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140" tabRatio="943" activeTab="3"/>
  </bookViews>
  <sheets>
    <sheet name="Sheet1" sheetId="107" r:id="rId1"/>
    <sheet name="確率の考え方" sheetId="110" r:id="rId2"/>
    <sheet name="output" sheetId="103" r:id="rId3"/>
    <sheet name="input_576101" sheetId="157" r:id="rId4"/>
    <sheet name="tables_576101" sheetId="158" r:id="rId5"/>
    <sheet name="input_576103" sheetId="153" r:id="rId6"/>
    <sheet name="tables_576103" sheetId="154" r:id="rId7"/>
    <sheet name="input_576104" sheetId="159" r:id="rId8"/>
    <sheet name="tables_576104" sheetId="160" r:id="rId9"/>
    <sheet name="input_576105" sheetId="161" r:id="rId10"/>
    <sheet name="tables_576105" sheetId="162" r:id="rId11"/>
    <sheet name="input_576100" sheetId="163" r:id="rId12"/>
    <sheet name="tables_576100" sheetId="164" r:id="rId13"/>
    <sheet name="gacha_bonus_tables" sheetId="98" r:id="rId14"/>
    <sheet name="R6追加前" sheetId="111" r:id="rId15"/>
    <sheet name="R6開放" sheetId="112" r:id="rId16"/>
  </sheets>
  <externalReferences>
    <externalReference r:id="rId17"/>
  </externalReferences>
  <definedNames>
    <definedName name="_xlnm._FilterDatabase" localSheetId="13" hidden="1">gacha_bonus_tables!$A$1:$F$1</definedName>
    <definedName name="_xlnm._FilterDatabase" localSheetId="12" hidden="1">tables_576100!$A$1:$V$294</definedName>
    <definedName name="_xlnm._FilterDatabase" localSheetId="4" hidden="1">tables_576101!$A$1:$V$294</definedName>
    <definedName name="_xlnm._FilterDatabase" localSheetId="6" hidden="1">tables_576103!$A$1:$V$294</definedName>
    <definedName name="_xlnm._FilterDatabase" localSheetId="8" hidden="1">tables_576104!$A$1:$V$294</definedName>
    <definedName name="_xlnm._FilterDatabase" localSheetId="10" hidden="1">tables_576105!$A$1:$V$294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9" i="163" l="1"/>
  <c r="B28" i="163"/>
  <c r="B29" i="161"/>
  <c r="B28" i="161"/>
  <c r="B29" i="159"/>
  <c r="B28" i="159"/>
  <c r="B29" i="153"/>
  <c r="B28" i="153"/>
  <c r="B29" i="157"/>
  <c r="B28" i="157"/>
  <c r="I2" i="164"/>
  <c r="J2" i="164"/>
  <c r="D2" i="164"/>
  <c r="E2" i="164"/>
  <c r="C2" i="164"/>
  <c r="I3" i="164"/>
  <c r="J3" i="164"/>
  <c r="D3" i="164"/>
  <c r="E3" i="164"/>
  <c r="C3" i="164"/>
  <c r="I4" i="164"/>
  <c r="J4" i="164"/>
  <c r="D4" i="164"/>
  <c r="E4" i="164"/>
  <c r="C4" i="164"/>
  <c r="I5" i="164"/>
  <c r="J5" i="164"/>
  <c r="D5" i="164"/>
  <c r="E5" i="164"/>
  <c r="C5" i="164"/>
  <c r="I6" i="164"/>
  <c r="J6" i="164"/>
  <c r="D6" i="164"/>
  <c r="E6" i="164"/>
  <c r="C6" i="164"/>
  <c r="I7" i="164"/>
  <c r="J7" i="164"/>
  <c r="D7" i="164"/>
  <c r="E7" i="164"/>
  <c r="C7" i="164"/>
  <c r="I8" i="164"/>
  <c r="J8" i="164"/>
  <c r="D8" i="164"/>
  <c r="E8" i="164"/>
  <c r="C8" i="164"/>
  <c r="I9" i="164"/>
  <c r="J9" i="164"/>
  <c r="D9" i="164"/>
  <c r="E9" i="164"/>
  <c r="C9" i="164"/>
  <c r="I10" i="164"/>
  <c r="J10" i="164"/>
  <c r="D10" i="164"/>
  <c r="E10" i="164"/>
  <c r="C10" i="164"/>
  <c r="I11" i="164"/>
  <c r="J11" i="164"/>
  <c r="D11" i="164"/>
  <c r="E11" i="164"/>
  <c r="C11" i="164"/>
  <c r="I12" i="164"/>
  <c r="J12" i="164"/>
  <c r="D12" i="164"/>
  <c r="E12" i="164"/>
  <c r="C12" i="164"/>
  <c r="I13" i="164"/>
  <c r="J13" i="164"/>
  <c r="D13" i="164"/>
  <c r="E13" i="164"/>
  <c r="C13" i="164"/>
  <c r="I14" i="164"/>
  <c r="J14" i="164"/>
  <c r="D14" i="164"/>
  <c r="E14" i="164"/>
  <c r="C14" i="164"/>
  <c r="I15" i="164"/>
  <c r="J15" i="164"/>
  <c r="D15" i="164"/>
  <c r="E15" i="164"/>
  <c r="C15" i="164"/>
  <c r="I16" i="164"/>
  <c r="J16" i="164"/>
  <c r="D16" i="164"/>
  <c r="E16" i="164"/>
  <c r="C16" i="164"/>
  <c r="I17" i="164"/>
  <c r="J17" i="164"/>
  <c r="D17" i="164"/>
  <c r="E17" i="164"/>
  <c r="C17" i="164"/>
  <c r="I18" i="164"/>
  <c r="J18" i="164"/>
  <c r="D18" i="164"/>
  <c r="E18" i="164"/>
  <c r="C18" i="164"/>
  <c r="I19" i="164"/>
  <c r="J19" i="164"/>
  <c r="D19" i="164"/>
  <c r="E19" i="164"/>
  <c r="C19" i="164"/>
  <c r="I20" i="164"/>
  <c r="J20" i="164"/>
  <c r="D20" i="164"/>
  <c r="E20" i="164"/>
  <c r="C20" i="164"/>
  <c r="I21" i="164"/>
  <c r="J21" i="164"/>
  <c r="D21" i="164"/>
  <c r="E21" i="164"/>
  <c r="C21" i="164"/>
  <c r="I22" i="164"/>
  <c r="J22" i="164"/>
  <c r="D22" i="164"/>
  <c r="E22" i="164"/>
  <c r="C22" i="164"/>
  <c r="I23" i="164"/>
  <c r="J23" i="164"/>
  <c r="D23" i="164"/>
  <c r="E23" i="164"/>
  <c r="C23" i="164"/>
  <c r="I24" i="164"/>
  <c r="J24" i="164"/>
  <c r="D24" i="164"/>
  <c r="E24" i="164"/>
  <c r="C24" i="164"/>
  <c r="I25" i="164"/>
  <c r="J25" i="164"/>
  <c r="D25" i="164"/>
  <c r="E25" i="164"/>
  <c r="C25" i="164"/>
  <c r="I26" i="164"/>
  <c r="J26" i="164"/>
  <c r="D26" i="164"/>
  <c r="E26" i="164"/>
  <c r="C26" i="164"/>
  <c r="I27" i="164"/>
  <c r="J27" i="164"/>
  <c r="D27" i="164"/>
  <c r="E27" i="164"/>
  <c r="C27" i="164"/>
  <c r="I28" i="164"/>
  <c r="J28" i="164"/>
  <c r="D28" i="164"/>
  <c r="E28" i="164"/>
  <c r="C28" i="164"/>
  <c r="I29" i="164"/>
  <c r="J29" i="164"/>
  <c r="D29" i="164"/>
  <c r="E29" i="164"/>
  <c r="C29" i="164"/>
  <c r="I30" i="164"/>
  <c r="J30" i="164"/>
  <c r="D30" i="164"/>
  <c r="E30" i="164"/>
  <c r="C30" i="164"/>
  <c r="I31" i="164"/>
  <c r="J31" i="164"/>
  <c r="D31" i="164"/>
  <c r="E31" i="164"/>
  <c r="C31" i="164"/>
  <c r="I32" i="164"/>
  <c r="J32" i="164"/>
  <c r="D32" i="164"/>
  <c r="E32" i="164"/>
  <c r="C32" i="164"/>
  <c r="I33" i="164"/>
  <c r="J33" i="164"/>
  <c r="D33" i="164"/>
  <c r="E33" i="164"/>
  <c r="C33" i="164"/>
  <c r="I34" i="164"/>
  <c r="J34" i="164"/>
  <c r="D34" i="164"/>
  <c r="E34" i="164"/>
  <c r="C34" i="164"/>
  <c r="I35" i="164"/>
  <c r="J35" i="164"/>
  <c r="D35" i="164"/>
  <c r="E35" i="164"/>
  <c r="C35" i="164"/>
  <c r="I36" i="164"/>
  <c r="J36" i="164"/>
  <c r="D36" i="164"/>
  <c r="E36" i="164"/>
  <c r="C36" i="164"/>
  <c r="I37" i="164"/>
  <c r="J37" i="164"/>
  <c r="D37" i="164"/>
  <c r="E37" i="164"/>
  <c r="C37" i="164"/>
  <c r="I38" i="164"/>
  <c r="J38" i="164"/>
  <c r="D38" i="164"/>
  <c r="E38" i="164"/>
  <c r="C38" i="164"/>
  <c r="I39" i="164"/>
  <c r="J39" i="164"/>
  <c r="D39" i="164"/>
  <c r="E39" i="164"/>
  <c r="C39" i="164"/>
  <c r="I40" i="164"/>
  <c r="J40" i="164"/>
  <c r="D40" i="164"/>
  <c r="E40" i="164"/>
  <c r="C40" i="164"/>
  <c r="I41" i="164"/>
  <c r="J41" i="164"/>
  <c r="D41" i="164"/>
  <c r="E41" i="164"/>
  <c r="C41" i="164"/>
  <c r="I42" i="164"/>
  <c r="D42" i="164"/>
  <c r="J42" i="164"/>
  <c r="E42" i="164"/>
  <c r="C42" i="164"/>
  <c r="I43" i="164"/>
  <c r="D43" i="164"/>
  <c r="J43" i="164"/>
  <c r="E43" i="164"/>
  <c r="C43" i="164"/>
  <c r="I44" i="164"/>
  <c r="D44" i="164"/>
  <c r="J44" i="164"/>
  <c r="E44" i="164"/>
  <c r="C44" i="164"/>
  <c r="I45" i="164"/>
  <c r="D45" i="164"/>
  <c r="J45" i="164"/>
  <c r="E45" i="164"/>
  <c r="C45" i="164"/>
  <c r="I46" i="164"/>
  <c r="D46" i="164"/>
  <c r="J46" i="164"/>
  <c r="E46" i="164"/>
  <c r="C46" i="164"/>
  <c r="I47" i="164"/>
  <c r="D47" i="164"/>
  <c r="J47" i="164"/>
  <c r="E47" i="164"/>
  <c r="C47" i="164"/>
  <c r="I48" i="164"/>
  <c r="D48" i="164"/>
  <c r="J48" i="164"/>
  <c r="E48" i="164"/>
  <c r="C48" i="164"/>
  <c r="I49" i="164"/>
  <c r="D49" i="164"/>
  <c r="J49" i="164"/>
  <c r="E49" i="164"/>
  <c r="C49" i="164"/>
  <c r="I50" i="164"/>
  <c r="D50" i="164"/>
  <c r="J50" i="164"/>
  <c r="E50" i="164"/>
  <c r="C50" i="164"/>
  <c r="I51" i="164"/>
  <c r="D51" i="164"/>
  <c r="J51" i="164"/>
  <c r="E51" i="164"/>
  <c r="C51" i="164"/>
  <c r="I52" i="164"/>
  <c r="D52" i="164"/>
  <c r="J52" i="164"/>
  <c r="E52" i="164"/>
  <c r="C52" i="164"/>
  <c r="I53" i="164"/>
  <c r="D53" i="164"/>
  <c r="J53" i="164"/>
  <c r="E53" i="164"/>
  <c r="C53" i="164"/>
  <c r="I54" i="164"/>
  <c r="D54" i="164"/>
  <c r="J54" i="164"/>
  <c r="E54" i="164"/>
  <c r="C54" i="164"/>
  <c r="I55" i="164"/>
  <c r="D55" i="164"/>
  <c r="J55" i="164"/>
  <c r="E55" i="164"/>
  <c r="C55" i="164"/>
  <c r="I56" i="164"/>
  <c r="D56" i="164"/>
  <c r="J56" i="164"/>
  <c r="E56" i="164"/>
  <c r="C56" i="164"/>
  <c r="I57" i="164"/>
  <c r="D57" i="164"/>
  <c r="J57" i="164"/>
  <c r="E57" i="164"/>
  <c r="C57" i="164"/>
  <c r="I58" i="164"/>
  <c r="D58" i="164"/>
  <c r="J58" i="164"/>
  <c r="E58" i="164"/>
  <c r="C58" i="164"/>
  <c r="I59" i="164"/>
  <c r="D59" i="164"/>
  <c r="J59" i="164"/>
  <c r="E59" i="164"/>
  <c r="C59" i="164"/>
  <c r="I60" i="164"/>
  <c r="D60" i="164"/>
  <c r="J60" i="164"/>
  <c r="E60" i="164"/>
  <c r="C60" i="164"/>
  <c r="I61" i="164"/>
  <c r="D61" i="164"/>
  <c r="J61" i="164"/>
  <c r="E61" i="164"/>
  <c r="C61" i="164"/>
  <c r="I62" i="164"/>
  <c r="D62" i="164"/>
  <c r="J62" i="164"/>
  <c r="E62" i="164"/>
  <c r="C62" i="164"/>
  <c r="I63" i="164"/>
  <c r="D63" i="164"/>
  <c r="J63" i="164"/>
  <c r="E63" i="164"/>
  <c r="C63" i="164"/>
  <c r="I64" i="164"/>
  <c r="D64" i="164"/>
  <c r="J64" i="164"/>
  <c r="E64" i="164"/>
  <c r="C64" i="164"/>
  <c r="I65" i="164"/>
  <c r="D65" i="164"/>
  <c r="J65" i="164"/>
  <c r="E65" i="164"/>
  <c r="C65" i="164"/>
  <c r="I66" i="164"/>
  <c r="D66" i="164"/>
  <c r="J66" i="164"/>
  <c r="E66" i="164"/>
  <c r="C66" i="164"/>
  <c r="I67" i="164"/>
  <c r="D67" i="164"/>
  <c r="J67" i="164"/>
  <c r="E67" i="164"/>
  <c r="C67" i="164"/>
  <c r="I68" i="164"/>
  <c r="D68" i="164"/>
  <c r="J68" i="164"/>
  <c r="E68" i="164"/>
  <c r="C68" i="164"/>
  <c r="I69" i="164"/>
  <c r="D69" i="164"/>
  <c r="J69" i="164"/>
  <c r="E69" i="164"/>
  <c r="C69" i="164"/>
  <c r="I70" i="164"/>
  <c r="D70" i="164"/>
  <c r="J70" i="164"/>
  <c r="E70" i="164"/>
  <c r="C70" i="164"/>
  <c r="I71" i="164"/>
  <c r="D71" i="164"/>
  <c r="J71" i="164"/>
  <c r="E71" i="164"/>
  <c r="C71" i="164"/>
  <c r="I72" i="164"/>
  <c r="D72" i="164"/>
  <c r="J72" i="164"/>
  <c r="E72" i="164"/>
  <c r="C72" i="164"/>
  <c r="I73" i="164"/>
  <c r="D73" i="164"/>
  <c r="J73" i="164"/>
  <c r="E73" i="164"/>
  <c r="C73" i="164"/>
  <c r="I74" i="164"/>
  <c r="D74" i="164"/>
  <c r="J74" i="164"/>
  <c r="E74" i="164"/>
  <c r="C74" i="164"/>
  <c r="I75" i="164"/>
  <c r="D75" i="164"/>
  <c r="J75" i="164"/>
  <c r="E75" i="164"/>
  <c r="C75" i="164"/>
  <c r="I76" i="164"/>
  <c r="D76" i="164"/>
  <c r="J76" i="164"/>
  <c r="E76" i="164"/>
  <c r="C76" i="164"/>
  <c r="I77" i="164"/>
  <c r="D77" i="164"/>
  <c r="J77" i="164"/>
  <c r="E77" i="164"/>
  <c r="C77" i="164"/>
  <c r="I78" i="164"/>
  <c r="D78" i="164"/>
  <c r="J78" i="164"/>
  <c r="E78" i="164"/>
  <c r="C78" i="164"/>
  <c r="I79" i="164"/>
  <c r="D79" i="164"/>
  <c r="J79" i="164"/>
  <c r="E79" i="164"/>
  <c r="C79" i="164"/>
  <c r="I80" i="164"/>
  <c r="D80" i="164"/>
  <c r="J80" i="164"/>
  <c r="E80" i="164"/>
  <c r="C80" i="164"/>
  <c r="I81" i="164"/>
  <c r="D81" i="164"/>
  <c r="J81" i="164"/>
  <c r="E81" i="164"/>
  <c r="C81" i="164"/>
  <c r="I82" i="164"/>
  <c r="D82" i="164"/>
  <c r="J82" i="164"/>
  <c r="E82" i="164"/>
  <c r="C82" i="164"/>
  <c r="I83" i="164"/>
  <c r="D83" i="164"/>
  <c r="J83" i="164"/>
  <c r="E83" i="164"/>
  <c r="C83" i="164"/>
  <c r="I84" i="164"/>
  <c r="D84" i="164"/>
  <c r="J84" i="164"/>
  <c r="E84" i="164"/>
  <c r="C84" i="164"/>
  <c r="I85" i="164"/>
  <c r="D85" i="164"/>
  <c r="J85" i="164"/>
  <c r="E85" i="164"/>
  <c r="C85" i="164"/>
  <c r="I86" i="164"/>
  <c r="D86" i="164"/>
  <c r="J86" i="164"/>
  <c r="E86" i="164"/>
  <c r="C86" i="164"/>
  <c r="I87" i="164"/>
  <c r="D87" i="164"/>
  <c r="J87" i="164"/>
  <c r="E87" i="164"/>
  <c r="C87" i="164"/>
  <c r="I88" i="164"/>
  <c r="D88" i="164"/>
  <c r="J88" i="164"/>
  <c r="E88" i="164"/>
  <c r="C88" i="164"/>
  <c r="I89" i="164"/>
  <c r="D89" i="164"/>
  <c r="J89" i="164"/>
  <c r="E89" i="164"/>
  <c r="C89" i="164"/>
  <c r="I90" i="164"/>
  <c r="D90" i="164"/>
  <c r="J90" i="164"/>
  <c r="E90" i="164"/>
  <c r="C90" i="164"/>
  <c r="I91" i="164"/>
  <c r="D91" i="164"/>
  <c r="J91" i="164"/>
  <c r="E91" i="164"/>
  <c r="C91" i="164"/>
  <c r="I92" i="164"/>
  <c r="D92" i="164"/>
  <c r="J92" i="164"/>
  <c r="E92" i="164"/>
  <c r="C92" i="164"/>
  <c r="I93" i="164"/>
  <c r="D93" i="164"/>
  <c r="J93" i="164"/>
  <c r="E93" i="164"/>
  <c r="C93" i="164"/>
  <c r="I94" i="164"/>
  <c r="D94" i="164"/>
  <c r="J94" i="164"/>
  <c r="E94" i="164"/>
  <c r="C94" i="164"/>
  <c r="I95" i="164"/>
  <c r="D95" i="164"/>
  <c r="J95" i="164"/>
  <c r="E95" i="164"/>
  <c r="C95" i="164"/>
  <c r="I96" i="164"/>
  <c r="D96" i="164"/>
  <c r="J96" i="164"/>
  <c r="E96" i="164"/>
  <c r="C96" i="164"/>
  <c r="I97" i="164"/>
  <c r="D97" i="164"/>
  <c r="J97" i="164"/>
  <c r="E97" i="164"/>
  <c r="C97" i="164"/>
  <c r="I98" i="164"/>
  <c r="D98" i="164"/>
  <c r="J98" i="164"/>
  <c r="E98" i="164"/>
  <c r="C98" i="164"/>
  <c r="I99" i="164"/>
  <c r="D99" i="164"/>
  <c r="J99" i="164"/>
  <c r="E99" i="164"/>
  <c r="C99" i="164"/>
  <c r="I100" i="164"/>
  <c r="D100" i="164"/>
  <c r="J100" i="164"/>
  <c r="E100" i="164"/>
  <c r="C100" i="164"/>
  <c r="I101" i="164"/>
  <c r="D101" i="164"/>
  <c r="J101" i="164"/>
  <c r="E101" i="164"/>
  <c r="C101" i="164"/>
  <c r="I102" i="164"/>
  <c r="D102" i="164"/>
  <c r="J102" i="164"/>
  <c r="E102" i="164"/>
  <c r="C102" i="164"/>
  <c r="I103" i="164"/>
  <c r="D103" i="164"/>
  <c r="J103" i="164"/>
  <c r="E103" i="164"/>
  <c r="C103" i="164"/>
  <c r="I104" i="164"/>
  <c r="D104" i="164"/>
  <c r="J104" i="164"/>
  <c r="E104" i="164"/>
  <c r="C104" i="164"/>
  <c r="I105" i="164"/>
  <c r="D105" i="164"/>
  <c r="J105" i="164"/>
  <c r="E105" i="164"/>
  <c r="C105" i="164"/>
  <c r="I106" i="164"/>
  <c r="D106" i="164"/>
  <c r="J106" i="164"/>
  <c r="E106" i="164"/>
  <c r="C106" i="164"/>
  <c r="I107" i="164"/>
  <c r="D107" i="164"/>
  <c r="J107" i="164"/>
  <c r="E107" i="164"/>
  <c r="C107" i="164"/>
  <c r="I108" i="164"/>
  <c r="D108" i="164"/>
  <c r="J108" i="164"/>
  <c r="E108" i="164"/>
  <c r="C108" i="164"/>
  <c r="I109" i="164"/>
  <c r="D109" i="164"/>
  <c r="J109" i="164"/>
  <c r="E109" i="164"/>
  <c r="C109" i="164"/>
  <c r="I110" i="164"/>
  <c r="D110" i="164"/>
  <c r="J110" i="164"/>
  <c r="E110" i="164"/>
  <c r="C110" i="164"/>
  <c r="I111" i="164"/>
  <c r="D111" i="164"/>
  <c r="J111" i="164"/>
  <c r="E111" i="164"/>
  <c r="C111" i="164"/>
  <c r="I112" i="164"/>
  <c r="D112" i="164"/>
  <c r="J112" i="164"/>
  <c r="E112" i="164"/>
  <c r="C112" i="164"/>
  <c r="I113" i="164"/>
  <c r="D113" i="164"/>
  <c r="J113" i="164"/>
  <c r="E113" i="164"/>
  <c r="C113" i="164"/>
  <c r="I114" i="164"/>
  <c r="D114" i="164"/>
  <c r="J114" i="164"/>
  <c r="E114" i="164"/>
  <c r="C114" i="164"/>
  <c r="I115" i="164"/>
  <c r="D115" i="164"/>
  <c r="J115" i="164"/>
  <c r="E115" i="164"/>
  <c r="C115" i="164"/>
  <c r="I116" i="164"/>
  <c r="D116" i="164"/>
  <c r="J116" i="164"/>
  <c r="E116" i="164"/>
  <c r="C116" i="164"/>
  <c r="I117" i="164"/>
  <c r="D117" i="164"/>
  <c r="J117" i="164"/>
  <c r="E117" i="164"/>
  <c r="C117" i="164"/>
  <c r="I118" i="164"/>
  <c r="D118" i="164"/>
  <c r="J118" i="164"/>
  <c r="E118" i="164"/>
  <c r="C118" i="164"/>
  <c r="I119" i="164"/>
  <c r="D119" i="164"/>
  <c r="J119" i="164"/>
  <c r="E119" i="164"/>
  <c r="C119" i="164"/>
  <c r="I120" i="164"/>
  <c r="D120" i="164"/>
  <c r="J120" i="164"/>
  <c r="E120" i="164"/>
  <c r="C120" i="164"/>
  <c r="I121" i="164"/>
  <c r="D121" i="164"/>
  <c r="J121" i="164"/>
  <c r="E121" i="164"/>
  <c r="C121" i="164"/>
  <c r="I122" i="164"/>
  <c r="D122" i="164"/>
  <c r="J122" i="164"/>
  <c r="E122" i="164"/>
  <c r="C122" i="164"/>
  <c r="I123" i="164"/>
  <c r="D123" i="164"/>
  <c r="J123" i="164"/>
  <c r="E123" i="164"/>
  <c r="C123" i="164"/>
  <c r="I124" i="164"/>
  <c r="D124" i="164"/>
  <c r="J124" i="164"/>
  <c r="E124" i="164"/>
  <c r="C124" i="164"/>
  <c r="I125" i="164"/>
  <c r="D125" i="164"/>
  <c r="J125" i="164"/>
  <c r="E125" i="164"/>
  <c r="C125" i="164"/>
  <c r="I126" i="164"/>
  <c r="D126" i="164"/>
  <c r="J126" i="164"/>
  <c r="E126" i="164"/>
  <c r="C126" i="164"/>
  <c r="I127" i="164"/>
  <c r="D127" i="164"/>
  <c r="J127" i="164"/>
  <c r="E127" i="164"/>
  <c r="C127" i="164"/>
  <c r="I128" i="164"/>
  <c r="D128" i="164"/>
  <c r="J128" i="164"/>
  <c r="E128" i="164"/>
  <c r="C128" i="164"/>
  <c r="I129" i="164"/>
  <c r="D129" i="164"/>
  <c r="J129" i="164"/>
  <c r="E129" i="164"/>
  <c r="C129" i="164"/>
  <c r="I130" i="164"/>
  <c r="D130" i="164"/>
  <c r="J130" i="164"/>
  <c r="E130" i="164"/>
  <c r="C130" i="164"/>
  <c r="I131" i="164"/>
  <c r="D131" i="164"/>
  <c r="J131" i="164"/>
  <c r="E131" i="164"/>
  <c r="C131" i="164"/>
  <c r="I132" i="164"/>
  <c r="D132" i="164"/>
  <c r="J132" i="164"/>
  <c r="E132" i="164"/>
  <c r="C132" i="164"/>
  <c r="I133" i="164"/>
  <c r="D133" i="164"/>
  <c r="J133" i="164"/>
  <c r="E133" i="164"/>
  <c r="C133" i="164"/>
  <c r="I134" i="164"/>
  <c r="D134" i="164"/>
  <c r="J134" i="164"/>
  <c r="E134" i="164"/>
  <c r="C134" i="164"/>
  <c r="I135" i="164"/>
  <c r="D135" i="164"/>
  <c r="J135" i="164"/>
  <c r="E135" i="164"/>
  <c r="C135" i="164"/>
  <c r="I136" i="164"/>
  <c r="D136" i="164"/>
  <c r="J136" i="164"/>
  <c r="E136" i="164"/>
  <c r="C136" i="164"/>
  <c r="I137" i="164"/>
  <c r="D137" i="164"/>
  <c r="J137" i="164"/>
  <c r="E137" i="164"/>
  <c r="C137" i="164"/>
  <c r="I138" i="164"/>
  <c r="D138" i="164"/>
  <c r="J138" i="164"/>
  <c r="E138" i="164"/>
  <c r="C138" i="164"/>
  <c r="I139" i="164"/>
  <c r="D139" i="164"/>
  <c r="J139" i="164"/>
  <c r="E139" i="164"/>
  <c r="C139" i="164"/>
  <c r="I140" i="164"/>
  <c r="D140" i="164"/>
  <c r="J140" i="164"/>
  <c r="E140" i="164"/>
  <c r="C140" i="164"/>
  <c r="I141" i="164"/>
  <c r="D141" i="164"/>
  <c r="J141" i="164"/>
  <c r="E141" i="164"/>
  <c r="C141" i="164"/>
  <c r="I142" i="164"/>
  <c r="D142" i="164"/>
  <c r="J142" i="164"/>
  <c r="E142" i="164"/>
  <c r="C142" i="164"/>
  <c r="I143" i="164"/>
  <c r="D143" i="164"/>
  <c r="J143" i="164"/>
  <c r="E143" i="164"/>
  <c r="C143" i="164"/>
  <c r="I144" i="164"/>
  <c r="D144" i="164"/>
  <c r="J144" i="164"/>
  <c r="E144" i="164"/>
  <c r="C144" i="164"/>
  <c r="I145" i="164"/>
  <c r="D145" i="164"/>
  <c r="J145" i="164"/>
  <c r="E145" i="164"/>
  <c r="C145" i="164"/>
  <c r="I146" i="164"/>
  <c r="D146" i="164"/>
  <c r="J146" i="164"/>
  <c r="E146" i="164"/>
  <c r="C146" i="164"/>
  <c r="I147" i="164"/>
  <c r="D147" i="164"/>
  <c r="J147" i="164"/>
  <c r="E147" i="164"/>
  <c r="C147" i="164"/>
  <c r="I148" i="164"/>
  <c r="D148" i="164"/>
  <c r="J148" i="164"/>
  <c r="E148" i="164"/>
  <c r="C148" i="164"/>
  <c r="I149" i="164"/>
  <c r="D149" i="164"/>
  <c r="J149" i="164"/>
  <c r="E149" i="164"/>
  <c r="C149" i="164"/>
  <c r="I150" i="164"/>
  <c r="D150" i="164"/>
  <c r="J150" i="164"/>
  <c r="E150" i="164"/>
  <c r="C150" i="164"/>
  <c r="I151" i="164"/>
  <c r="D151" i="164"/>
  <c r="J151" i="164"/>
  <c r="E151" i="164"/>
  <c r="C151" i="164"/>
  <c r="I152" i="164"/>
  <c r="D152" i="164"/>
  <c r="J152" i="164"/>
  <c r="E152" i="164"/>
  <c r="C152" i="164"/>
  <c r="I153" i="164"/>
  <c r="D153" i="164"/>
  <c r="J153" i="164"/>
  <c r="E153" i="164"/>
  <c r="C153" i="164"/>
  <c r="I154" i="164"/>
  <c r="D154" i="164"/>
  <c r="J154" i="164"/>
  <c r="E154" i="164"/>
  <c r="C154" i="164"/>
  <c r="I155" i="164"/>
  <c r="D155" i="164"/>
  <c r="J155" i="164"/>
  <c r="E155" i="164"/>
  <c r="C155" i="164"/>
  <c r="I156" i="164"/>
  <c r="D156" i="164"/>
  <c r="J156" i="164"/>
  <c r="E156" i="164"/>
  <c r="C156" i="164"/>
  <c r="I157" i="164"/>
  <c r="D157" i="164"/>
  <c r="J157" i="164"/>
  <c r="E157" i="164"/>
  <c r="C157" i="164"/>
  <c r="I158" i="164"/>
  <c r="D158" i="164"/>
  <c r="J158" i="164"/>
  <c r="E158" i="164"/>
  <c r="C158" i="164"/>
  <c r="I159" i="164"/>
  <c r="D159" i="164"/>
  <c r="J159" i="164"/>
  <c r="E159" i="164"/>
  <c r="C159" i="164"/>
  <c r="I160" i="164"/>
  <c r="D160" i="164"/>
  <c r="J160" i="164"/>
  <c r="E160" i="164"/>
  <c r="C160" i="164"/>
  <c r="I161" i="164"/>
  <c r="D161" i="164"/>
  <c r="J161" i="164"/>
  <c r="E161" i="164"/>
  <c r="C161" i="164"/>
  <c r="I162" i="164"/>
  <c r="D162" i="164"/>
  <c r="J162" i="164"/>
  <c r="E162" i="164"/>
  <c r="C162" i="164"/>
  <c r="I163" i="164"/>
  <c r="D163" i="164"/>
  <c r="J163" i="164"/>
  <c r="E163" i="164"/>
  <c r="C163" i="164"/>
  <c r="I164" i="164"/>
  <c r="D164" i="164"/>
  <c r="J164" i="164"/>
  <c r="E164" i="164"/>
  <c r="C164" i="164"/>
  <c r="I165" i="164"/>
  <c r="D165" i="164"/>
  <c r="J165" i="164"/>
  <c r="E165" i="164"/>
  <c r="C165" i="164"/>
  <c r="I166" i="164"/>
  <c r="D166" i="164"/>
  <c r="J166" i="164"/>
  <c r="E166" i="164"/>
  <c r="C166" i="164"/>
  <c r="I167" i="164"/>
  <c r="D167" i="164"/>
  <c r="J167" i="164"/>
  <c r="E167" i="164"/>
  <c r="C167" i="164"/>
  <c r="I168" i="164"/>
  <c r="D168" i="164"/>
  <c r="J168" i="164"/>
  <c r="E168" i="164"/>
  <c r="C168" i="164"/>
  <c r="I169" i="164"/>
  <c r="D169" i="164"/>
  <c r="J169" i="164"/>
  <c r="E169" i="164"/>
  <c r="C169" i="164"/>
  <c r="I170" i="164"/>
  <c r="D170" i="164"/>
  <c r="J170" i="164"/>
  <c r="E170" i="164"/>
  <c r="C170" i="164"/>
  <c r="I171" i="164"/>
  <c r="D171" i="164"/>
  <c r="J171" i="164"/>
  <c r="E171" i="164"/>
  <c r="C171" i="164"/>
  <c r="I172" i="164"/>
  <c r="D172" i="164"/>
  <c r="J172" i="164"/>
  <c r="E172" i="164"/>
  <c r="C172" i="164"/>
  <c r="I173" i="164"/>
  <c r="D173" i="164"/>
  <c r="J173" i="164"/>
  <c r="E173" i="164"/>
  <c r="C173" i="164"/>
  <c r="I174" i="164"/>
  <c r="D174" i="164"/>
  <c r="J174" i="164"/>
  <c r="E174" i="164"/>
  <c r="C174" i="164"/>
  <c r="I175" i="164"/>
  <c r="D175" i="164"/>
  <c r="J175" i="164"/>
  <c r="E175" i="164"/>
  <c r="C175" i="164"/>
  <c r="I176" i="164"/>
  <c r="D176" i="164"/>
  <c r="J176" i="164"/>
  <c r="E176" i="164"/>
  <c r="C176" i="164"/>
  <c r="I177" i="164"/>
  <c r="D177" i="164"/>
  <c r="J177" i="164"/>
  <c r="E177" i="164"/>
  <c r="C177" i="164"/>
  <c r="I178" i="164"/>
  <c r="D178" i="164"/>
  <c r="J178" i="164"/>
  <c r="E178" i="164"/>
  <c r="C178" i="164"/>
  <c r="I179" i="164"/>
  <c r="D179" i="164"/>
  <c r="J179" i="164"/>
  <c r="E179" i="164"/>
  <c r="C179" i="164"/>
  <c r="I180" i="164"/>
  <c r="D180" i="164"/>
  <c r="J180" i="164"/>
  <c r="E180" i="164"/>
  <c r="C180" i="164"/>
  <c r="I181" i="164"/>
  <c r="D181" i="164"/>
  <c r="J181" i="164"/>
  <c r="E181" i="164"/>
  <c r="C181" i="164"/>
  <c r="I182" i="164"/>
  <c r="D182" i="164"/>
  <c r="J182" i="164"/>
  <c r="E182" i="164"/>
  <c r="C182" i="164"/>
  <c r="I183" i="164"/>
  <c r="D183" i="164"/>
  <c r="J183" i="164"/>
  <c r="E183" i="164"/>
  <c r="C183" i="164"/>
  <c r="I184" i="164"/>
  <c r="D184" i="164"/>
  <c r="J184" i="164"/>
  <c r="E184" i="164"/>
  <c r="C184" i="164"/>
  <c r="I185" i="164"/>
  <c r="D185" i="164"/>
  <c r="J185" i="164"/>
  <c r="E185" i="164"/>
  <c r="C185" i="164"/>
  <c r="I186" i="164"/>
  <c r="D186" i="164"/>
  <c r="J186" i="164"/>
  <c r="E186" i="164"/>
  <c r="C186" i="164"/>
  <c r="I187" i="164"/>
  <c r="D187" i="164"/>
  <c r="J187" i="164"/>
  <c r="E187" i="164"/>
  <c r="C187" i="164"/>
  <c r="I188" i="164"/>
  <c r="D188" i="164"/>
  <c r="J188" i="164"/>
  <c r="E188" i="164"/>
  <c r="C188" i="164"/>
  <c r="I189" i="164"/>
  <c r="D189" i="164"/>
  <c r="J189" i="164"/>
  <c r="E189" i="164"/>
  <c r="C189" i="164"/>
  <c r="I190" i="164"/>
  <c r="D190" i="164"/>
  <c r="J190" i="164"/>
  <c r="E190" i="164"/>
  <c r="C190" i="164"/>
  <c r="I191" i="164"/>
  <c r="D191" i="164"/>
  <c r="J191" i="164"/>
  <c r="E191" i="164"/>
  <c r="C191" i="164"/>
  <c r="I192" i="164"/>
  <c r="D192" i="164"/>
  <c r="J192" i="164"/>
  <c r="E192" i="164"/>
  <c r="C192" i="164"/>
  <c r="I193" i="164"/>
  <c r="D193" i="164"/>
  <c r="J193" i="164"/>
  <c r="E193" i="164"/>
  <c r="C193" i="164"/>
  <c r="I194" i="164"/>
  <c r="D194" i="164"/>
  <c r="J194" i="164"/>
  <c r="E194" i="164"/>
  <c r="C194" i="164"/>
  <c r="I195" i="164"/>
  <c r="D195" i="164"/>
  <c r="J195" i="164"/>
  <c r="E195" i="164"/>
  <c r="C195" i="164"/>
  <c r="I196" i="164"/>
  <c r="D196" i="164"/>
  <c r="J196" i="164"/>
  <c r="E196" i="164"/>
  <c r="C196" i="164"/>
  <c r="I197" i="164"/>
  <c r="D197" i="164"/>
  <c r="J197" i="164"/>
  <c r="E197" i="164"/>
  <c r="C197" i="164"/>
  <c r="I198" i="164"/>
  <c r="D198" i="164"/>
  <c r="J198" i="164"/>
  <c r="E198" i="164"/>
  <c r="C198" i="164"/>
  <c r="I199" i="164"/>
  <c r="D199" i="164"/>
  <c r="J199" i="164"/>
  <c r="E199" i="164"/>
  <c r="C199" i="164"/>
  <c r="I200" i="164"/>
  <c r="D200" i="164"/>
  <c r="J200" i="164"/>
  <c r="E200" i="164"/>
  <c r="C200" i="164"/>
  <c r="I201" i="164"/>
  <c r="D201" i="164"/>
  <c r="J201" i="164"/>
  <c r="E201" i="164"/>
  <c r="C201" i="164"/>
  <c r="I202" i="164"/>
  <c r="D202" i="164"/>
  <c r="J202" i="164"/>
  <c r="E202" i="164"/>
  <c r="C202" i="164"/>
  <c r="I203" i="164"/>
  <c r="D203" i="164"/>
  <c r="J203" i="164"/>
  <c r="E203" i="164"/>
  <c r="C203" i="164"/>
  <c r="I204" i="164"/>
  <c r="D204" i="164"/>
  <c r="J204" i="164"/>
  <c r="E204" i="164"/>
  <c r="C204" i="164"/>
  <c r="I205" i="164"/>
  <c r="D205" i="164"/>
  <c r="J205" i="164"/>
  <c r="E205" i="164"/>
  <c r="C205" i="164"/>
  <c r="I206" i="164"/>
  <c r="D206" i="164"/>
  <c r="J206" i="164"/>
  <c r="E206" i="164"/>
  <c r="C206" i="164"/>
  <c r="I207" i="164"/>
  <c r="D207" i="164"/>
  <c r="J207" i="164"/>
  <c r="E207" i="164"/>
  <c r="C207" i="164"/>
  <c r="I208" i="164"/>
  <c r="D208" i="164"/>
  <c r="J208" i="164"/>
  <c r="E208" i="164"/>
  <c r="C208" i="164"/>
  <c r="I209" i="164"/>
  <c r="D209" i="164"/>
  <c r="J209" i="164"/>
  <c r="E209" i="164"/>
  <c r="C209" i="164"/>
  <c r="I210" i="164"/>
  <c r="D210" i="164"/>
  <c r="J210" i="164"/>
  <c r="E210" i="164"/>
  <c r="C210" i="164"/>
  <c r="I211" i="164"/>
  <c r="D211" i="164"/>
  <c r="J211" i="164"/>
  <c r="E211" i="164"/>
  <c r="C211" i="164"/>
  <c r="I212" i="164"/>
  <c r="D212" i="164"/>
  <c r="J212" i="164"/>
  <c r="E212" i="164"/>
  <c r="C212" i="164"/>
  <c r="I213" i="164"/>
  <c r="D213" i="164"/>
  <c r="J213" i="164"/>
  <c r="E213" i="164"/>
  <c r="C213" i="164"/>
  <c r="I214" i="164"/>
  <c r="D214" i="164"/>
  <c r="J214" i="164"/>
  <c r="E214" i="164"/>
  <c r="C214" i="164"/>
  <c r="I215" i="164"/>
  <c r="J215" i="164"/>
  <c r="D215" i="164"/>
  <c r="E215" i="164"/>
  <c r="C215" i="164"/>
  <c r="I216" i="164"/>
  <c r="J216" i="164"/>
  <c r="D216" i="164"/>
  <c r="E216" i="164"/>
  <c r="C216" i="164"/>
  <c r="I217" i="164"/>
  <c r="J217" i="164"/>
  <c r="D217" i="164"/>
  <c r="E217" i="164"/>
  <c r="C217" i="164"/>
  <c r="I218" i="164"/>
  <c r="J218" i="164"/>
  <c r="D218" i="164"/>
  <c r="E218" i="164"/>
  <c r="C218" i="164"/>
  <c r="I219" i="164"/>
  <c r="J219" i="164"/>
  <c r="D219" i="164"/>
  <c r="E219" i="164"/>
  <c r="C219" i="164"/>
  <c r="I220" i="164"/>
  <c r="J220" i="164"/>
  <c r="D220" i="164"/>
  <c r="E220" i="164"/>
  <c r="C220" i="164"/>
  <c r="I221" i="164"/>
  <c r="D221" i="164"/>
  <c r="J221" i="164"/>
  <c r="E221" i="164"/>
  <c r="C221" i="164"/>
  <c r="I222" i="164"/>
  <c r="D222" i="164"/>
  <c r="J222" i="164"/>
  <c r="E222" i="164"/>
  <c r="C222" i="164"/>
  <c r="I223" i="164"/>
  <c r="D223" i="164"/>
  <c r="J223" i="164"/>
  <c r="E223" i="164"/>
  <c r="C223" i="164"/>
  <c r="I224" i="164"/>
  <c r="D224" i="164"/>
  <c r="J224" i="164"/>
  <c r="E224" i="164"/>
  <c r="C224" i="164"/>
  <c r="I225" i="164"/>
  <c r="D225" i="164"/>
  <c r="J225" i="164"/>
  <c r="E225" i="164"/>
  <c r="C225" i="164"/>
  <c r="I226" i="164"/>
  <c r="D226" i="164"/>
  <c r="J226" i="164"/>
  <c r="E226" i="164"/>
  <c r="C226" i="164"/>
  <c r="I227" i="164"/>
  <c r="D227" i="164"/>
  <c r="J227" i="164"/>
  <c r="E227" i="164"/>
  <c r="C227" i="164"/>
  <c r="I228" i="164"/>
  <c r="D228" i="164"/>
  <c r="J228" i="164"/>
  <c r="E228" i="164"/>
  <c r="C228" i="164"/>
  <c r="I229" i="164"/>
  <c r="D229" i="164"/>
  <c r="J229" i="164"/>
  <c r="E229" i="164"/>
  <c r="C229" i="164"/>
  <c r="I230" i="164"/>
  <c r="D230" i="164"/>
  <c r="J230" i="164"/>
  <c r="E230" i="164"/>
  <c r="C230" i="164"/>
  <c r="I231" i="164"/>
  <c r="D231" i="164"/>
  <c r="J231" i="164"/>
  <c r="E231" i="164"/>
  <c r="C231" i="164"/>
  <c r="I232" i="164"/>
  <c r="D232" i="164"/>
  <c r="J232" i="164"/>
  <c r="E232" i="164"/>
  <c r="C232" i="164"/>
  <c r="I233" i="164"/>
  <c r="D233" i="164"/>
  <c r="J233" i="164"/>
  <c r="E233" i="164"/>
  <c r="C233" i="164"/>
  <c r="I234" i="164"/>
  <c r="D234" i="164"/>
  <c r="J234" i="164"/>
  <c r="E234" i="164"/>
  <c r="C234" i="164"/>
  <c r="I235" i="164"/>
  <c r="D235" i="164"/>
  <c r="J235" i="164"/>
  <c r="E235" i="164"/>
  <c r="C235" i="164"/>
  <c r="I236" i="164"/>
  <c r="D236" i="164"/>
  <c r="J236" i="164"/>
  <c r="E236" i="164"/>
  <c r="C236" i="164"/>
  <c r="I237" i="164"/>
  <c r="D237" i="164"/>
  <c r="J237" i="164"/>
  <c r="E237" i="164"/>
  <c r="C237" i="164"/>
  <c r="I238" i="164"/>
  <c r="D238" i="164"/>
  <c r="J238" i="164"/>
  <c r="E238" i="164"/>
  <c r="C238" i="164"/>
  <c r="I239" i="164"/>
  <c r="D239" i="164"/>
  <c r="J239" i="164"/>
  <c r="E239" i="164"/>
  <c r="C239" i="164"/>
  <c r="I240" i="164"/>
  <c r="D240" i="164"/>
  <c r="J240" i="164"/>
  <c r="E240" i="164"/>
  <c r="C240" i="164"/>
  <c r="I241" i="164"/>
  <c r="D241" i="164"/>
  <c r="J241" i="164"/>
  <c r="E241" i="164"/>
  <c r="C241" i="164"/>
  <c r="I242" i="164"/>
  <c r="D242" i="164"/>
  <c r="J242" i="164"/>
  <c r="E242" i="164"/>
  <c r="C242" i="164"/>
  <c r="I243" i="164"/>
  <c r="D243" i="164"/>
  <c r="J243" i="164"/>
  <c r="E243" i="164"/>
  <c r="C243" i="164"/>
  <c r="I244" i="164"/>
  <c r="D244" i="164"/>
  <c r="J244" i="164"/>
  <c r="E244" i="164"/>
  <c r="C244" i="164"/>
  <c r="I245" i="164"/>
  <c r="D245" i="164"/>
  <c r="J245" i="164"/>
  <c r="E245" i="164"/>
  <c r="C245" i="164"/>
  <c r="I246" i="164"/>
  <c r="D246" i="164"/>
  <c r="J246" i="164"/>
  <c r="E246" i="164"/>
  <c r="C246" i="164"/>
  <c r="I247" i="164"/>
  <c r="D247" i="164"/>
  <c r="J247" i="164"/>
  <c r="E247" i="164"/>
  <c r="C247" i="164"/>
  <c r="I248" i="164"/>
  <c r="D248" i="164"/>
  <c r="J248" i="164"/>
  <c r="E248" i="164"/>
  <c r="C248" i="164"/>
  <c r="I249" i="164"/>
  <c r="D249" i="164"/>
  <c r="J249" i="164"/>
  <c r="E249" i="164"/>
  <c r="C249" i="164"/>
  <c r="I250" i="164"/>
  <c r="D250" i="164"/>
  <c r="J250" i="164"/>
  <c r="E250" i="164"/>
  <c r="C250" i="164"/>
  <c r="I251" i="164"/>
  <c r="D251" i="164"/>
  <c r="J251" i="164"/>
  <c r="E251" i="164"/>
  <c r="C251" i="164"/>
  <c r="I252" i="164"/>
  <c r="D252" i="164"/>
  <c r="J252" i="164"/>
  <c r="E252" i="164"/>
  <c r="C252" i="164"/>
  <c r="I253" i="164"/>
  <c r="D253" i="164"/>
  <c r="J253" i="164"/>
  <c r="E253" i="164"/>
  <c r="C253" i="164"/>
  <c r="I254" i="164"/>
  <c r="D254" i="164"/>
  <c r="J254" i="164"/>
  <c r="E254" i="164"/>
  <c r="C254" i="164"/>
  <c r="I255" i="164"/>
  <c r="D255" i="164"/>
  <c r="J255" i="164"/>
  <c r="E255" i="164"/>
  <c r="C255" i="164"/>
  <c r="I256" i="164"/>
  <c r="D256" i="164"/>
  <c r="J256" i="164"/>
  <c r="E256" i="164"/>
  <c r="C256" i="164"/>
  <c r="I257" i="164"/>
  <c r="D257" i="164"/>
  <c r="J257" i="164"/>
  <c r="E257" i="164"/>
  <c r="C257" i="164"/>
  <c r="I258" i="164"/>
  <c r="D258" i="164"/>
  <c r="J258" i="164"/>
  <c r="E258" i="164"/>
  <c r="C258" i="164"/>
  <c r="I259" i="164"/>
  <c r="D259" i="164"/>
  <c r="J259" i="164"/>
  <c r="E259" i="164"/>
  <c r="C259" i="164"/>
  <c r="I260" i="164"/>
  <c r="D260" i="164"/>
  <c r="J260" i="164"/>
  <c r="E260" i="164"/>
  <c r="C260" i="164"/>
  <c r="I261" i="164"/>
  <c r="D261" i="164"/>
  <c r="J261" i="164"/>
  <c r="E261" i="164"/>
  <c r="C261" i="164"/>
  <c r="I262" i="164"/>
  <c r="D262" i="164"/>
  <c r="J262" i="164"/>
  <c r="E262" i="164"/>
  <c r="C262" i="164"/>
  <c r="I263" i="164"/>
  <c r="D263" i="164"/>
  <c r="J263" i="164"/>
  <c r="E263" i="164"/>
  <c r="C263" i="164"/>
  <c r="I264" i="164"/>
  <c r="D264" i="164"/>
  <c r="J264" i="164"/>
  <c r="E264" i="164"/>
  <c r="C264" i="164"/>
  <c r="I265" i="164"/>
  <c r="D265" i="164"/>
  <c r="J265" i="164"/>
  <c r="E265" i="164"/>
  <c r="C265" i="164"/>
  <c r="I266" i="164"/>
  <c r="D266" i="164"/>
  <c r="J266" i="164"/>
  <c r="E266" i="164"/>
  <c r="C266" i="164"/>
  <c r="I267" i="164"/>
  <c r="D267" i="164"/>
  <c r="J267" i="164"/>
  <c r="E267" i="164"/>
  <c r="C267" i="164"/>
  <c r="I268" i="164"/>
  <c r="D268" i="164"/>
  <c r="J268" i="164"/>
  <c r="E268" i="164"/>
  <c r="C268" i="164"/>
  <c r="I269" i="164"/>
  <c r="D269" i="164"/>
  <c r="J269" i="164"/>
  <c r="E269" i="164"/>
  <c r="C269" i="164"/>
  <c r="I270" i="164"/>
  <c r="D270" i="164"/>
  <c r="J270" i="164"/>
  <c r="E270" i="164"/>
  <c r="C270" i="164"/>
  <c r="I271" i="164"/>
  <c r="D271" i="164"/>
  <c r="J271" i="164"/>
  <c r="E271" i="164"/>
  <c r="C271" i="164"/>
  <c r="I272" i="164"/>
  <c r="D272" i="164"/>
  <c r="J272" i="164"/>
  <c r="E272" i="164"/>
  <c r="C272" i="164"/>
  <c r="I273" i="164"/>
  <c r="D273" i="164"/>
  <c r="J273" i="164"/>
  <c r="E273" i="164"/>
  <c r="C273" i="164"/>
  <c r="I274" i="164"/>
  <c r="D274" i="164"/>
  <c r="J274" i="164"/>
  <c r="E274" i="164"/>
  <c r="C274" i="164"/>
  <c r="I275" i="164"/>
  <c r="D275" i="164"/>
  <c r="J275" i="164"/>
  <c r="E275" i="164"/>
  <c r="C275" i="164"/>
  <c r="I276" i="164"/>
  <c r="D276" i="164"/>
  <c r="J276" i="164"/>
  <c r="E276" i="164"/>
  <c r="C276" i="164"/>
  <c r="I277" i="164"/>
  <c r="D277" i="164"/>
  <c r="J277" i="164"/>
  <c r="E277" i="164"/>
  <c r="C277" i="164"/>
  <c r="I278" i="164"/>
  <c r="D278" i="164"/>
  <c r="J278" i="164"/>
  <c r="E278" i="164"/>
  <c r="C278" i="164"/>
  <c r="I279" i="164"/>
  <c r="D279" i="164"/>
  <c r="J279" i="164"/>
  <c r="E279" i="164"/>
  <c r="C279" i="164"/>
  <c r="I280" i="164"/>
  <c r="D280" i="164"/>
  <c r="J280" i="164"/>
  <c r="E280" i="164"/>
  <c r="C280" i="164"/>
  <c r="I281" i="164"/>
  <c r="D281" i="164"/>
  <c r="J281" i="164"/>
  <c r="E281" i="164"/>
  <c r="C281" i="164"/>
  <c r="I282" i="164"/>
  <c r="D282" i="164"/>
  <c r="J282" i="164"/>
  <c r="E282" i="164"/>
  <c r="C282" i="164"/>
  <c r="I283" i="164"/>
  <c r="D283" i="164"/>
  <c r="J283" i="164"/>
  <c r="E283" i="164"/>
  <c r="C283" i="164"/>
  <c r="I284" i="164"/>
  <c r="D284" i="164"/>
  <c r="J284" i="164"/>
  <c r="E284" i="164"/>
  <c r="C284" i="164"/>
  <c r="I285" i="164"/>
  <c r="D285" i="164"/>
  <c r="J285" i="164"/>
  <c r="E285" i="164"/>
  <c r="C285" i="164"/>
  <c r="I286" i="164"/>
  <c r="D286" i="164"/>
  <c r="J286" i="164"/>
  <c r="E286" i="164"/>
  <c r="C286" i="164"/>
  <c r="I287" i="164"/>
  <c r="D287" i="164"/>
  <c r="J287" i="164"/>
  <c r="E287" i="164"/>
  <c r="C287" i="164"/>
  <c r="I288" i="164"/>
  <c r="D288" i="164"/>
  <c r="J288" i="164"/>
  <c r="E288" i="164"/>
  <c r="C288" i="164"/>
  <c r="I289" i="164"/>
  <c r="D289" i="164"/>
  <c r="J289" i="164"/>
  <c r="E289" i="164"/>
  <c r="C289" i="164"/>
  <c r="I290" i="164"/>
  <c r="D290" i="164"/>
  <c r="J290" i="164"/>
  <c r="E290" i="164"/>
  <c r="C290" i="164"/>
  <c r="I291" i="164"/>
  <c r="D291" i="164"/>
  <c r="J291" i="164"/>
  <c r="E291" i="164"/>
  <c r="C291" i="164"/>
  <c r="I292" i="164"/>
  <c r="D292" i="164"/>
  <c r="J292" i="164"/>
  <c r="E292" i="164"/>
  <c r="C292" i="164"/>
  <c r="I293" i="164"/>
  <c r="D293" i="164"/>
  <c r="J293" i="164"/>
  <c r="E293" i="164"/>
  <c r="C293" i="164"/>
  <c r="I294" i="164"/>
  <c r="D294" i="164"/>
  <c r="J294" i="164"/>
  <c r="E294" i="164"/>
  <c r="C294" i="164"/>
  <c r="I295" i="164"/>
  <c r="D295" i="164"/>
  <c r="J295" i="164"/>
  <c r="E295" i="164"/>
  <c r="C295" i="164"/>
  <c r="I296" i="164"/>
  <c r="D296" i="164"/>
  <c r="J296" i="164"/>
  <c r="E296" i="164"/>
  <c r="C296" i="164"/>
  <c r="I297" i="164"/>
  <c r="D297" i="164"/>
  <c r="J297" i="164"/>
  <c r="E297" i="164"/>
  <c r="C297" i="164"/>
  <c r="I298" i="164"/>
  <c r="D298" i="164"/>
  <c r="J298" i="164"/>
  <c r="E298" i="164"/>
  <c r="C298" i="164"/>
  <c r="I299" i="164"/>
  <c r="D299" i="164"/>
  <c r="J299" i="164"/>
  <c r="E299" i="164"/>
  <c r="C299" i="164"/>
  <c r="I300" i="164"/>
  <c r="D300" i="164"/>
  <c r="J300" i="164"/>
  <c r="E300" i="164"/>
  <c r="C300" i="164"/>
  <c r="I301" i="164"/>
  <c r="D301" i="164"/>
  <c r="J301" i="164"/>
  <c r="E301" i="164"/>
  <c r="C301" i="164"/>
  <c r="I302" i="164"/>
  <c r="D302" i="164"/>
  <c r="J302" i="164"/>
  <c r="E302" i="164"/>
  <c r="C302" i="164"/>
  <c r="I303" i="164"/>
  <c r="D303" i="164"/>
  <c r="J303" i="164"/>
  <c r="E303" i="164"/>
  <c r="C303" i="164"/>
  <c r="I304" i="164"/>
  <c r="D304" i="164"/>
  <c r="J304" i="164"/>
  <c r="E304" i="164"/>
  <c r="C304" i="164"/>
  <c r="I305" i="164"/>
  <c r="D305" i="164"/>
  <c r="J305" i="164"/>
  <c r="E305" i="164"/>
  <c r="C305" i="164"/>
  <c r="I306" i="164"/>
  <c r="D306" i="164"/>
  <c r="J306" i="164"/>
  <c r="E306" i="164"/>
  <c r="C306" i="164"/>
  <c r="I307" i="164"/>
  <c r="D307" i="164"/>
  <c r="J307" i="164"/>
  <c r="E307" i="164"/>
  <c r="C307" i="164"/>
  <c r="I308" i="164"/>
  <c r="D308" i="164"/>
  <c r="J308" i="164"/>
  <c r="E308" i="164"/>
  <c r="C308" i="164"/>
  <c r="I309" i="164"/>
  <c r="D309" i="164"/>
  <c r="J309" i="164"/>
  <c r="E309" i="164"/>
  <c r="C309" i="164"/>
  <c r="I310" i="164"/>
  <c r="D310" i="164"/>
  <c r="J310" i="164"/>
  <c r="E310" i="164"/>
  <c r="C310" i="164"/>
  <c r="I311" i="164"/>
  <c r="D311" i="164"/>
  <c r="J311" i="164"/>
  <c r="E311" i="164"/>
  <c r="C311" i="164"/>
  <c r="I312" i="164"/>
  <c r="D312" i="164"/>
  <c r="J312" i="164"/>
  <c r="E312" i="164"/>
  <c r="C312" i="164"/>
  <c r="I313" i="164"/>
  <c r="D313" i="164"/>
  <c r="J313" i="164"/>
  <c r="E313" i="164"/>
  <c r="C313" i="164"/>
  <c r="I314" i="164"/>
  <c r="D314" i="164"/>
  <c r="J314" i="164"/>
  <c r="E314" i="164"/>
  <c r="C314" i="164"/>
  <c r="I315" i="164"/>
  <c r="D315" i="164"/>
  <c r="J315" i="164"/>
  <c r="E315" i="164"/>
  <c r="C315" i="164"/>
  <c r="I316" i="164"/>
  <c r="D316" i="164"/>
  <c r="J316" i="164"/>
  <c r="E316" i="164"/>
  <c r="C316" i="164"/>
  <c r="I317" i="164"/>
  <c r="D317" i="164"/>
  <c r="J317" i="164"/>
  <c r="E317" i="164"/>
  <c r="C317" i="164"/>
  <c r="I318" i="164"/>
  <c r="D318" i="164"/>
  <c r="J318" i="164"/>
  <c r="E318" i="164"/>
  <c r="C318" i="164"/>
  <c r="I319" i="164"/>
  <c r="D319" i="164"/>
  <c r="J319" i="164"/>
  <c r="E319" i="164"/>
  <c r="C319" i="164"/>
  <c r="I320" i="164"/>
  <c r="D320" i="164"/>
  <c r="J320" i="164"/>
  <c r="E320" i="164"/>
  <c r="C320" i="164"/>
  <c r="I321" i="164"/>
  <c r="D321" i="164"/>
  <c r="J321" i="164"/>
  <c r="E321" i="164"/>
  <c r="C321" i="164"/>
  <c r="I322" i="164"/>
  <c r="D322" i="164"/>
  <c r="J322" i="164"/>
  <c r="E322" i="164"/>
  <c r="C322" i="164"/>
  <c r="I323" i="164"/>
  <c r="D323" i="164"/>
  <c r="J323" i="164"/>
  <c r="E323" i="164"/>
  <c r="C323" i="164"/>
  <c r="I324" i="164"/>
  <c r="D324" i="164"/>
  <c r="J324" i="164"/>
  <c r="E324" i="164"/>
  <c r="C324" i="164"/>
  <c r="I325" i="164"/>
  <c r="D325" i="164"/>
  <c r="J325" i="164"/>
  <c r="E325" i="164"/>
  <c r="C325" i="164"/>
  <c r="I326" i="164"/>
  <c r="D326" i="164"/>
  <c r="J326" i="164"/>
  <c r="E326" i="164"/>
  <c r="C326" i="164"/>
  <c r="I327" i="164"/>
  <c r="D327" i="164"/>
  <c r="J327" i="164"/>
  <c r="E327" i="164"/>
  <c r="C327" i="164"/>
  <c r="I328" i="164"/>
  <c r="D328" i="164"/>
  <c r="J328" i="164"/>
  <c r="E328" i="164"/>
  <c r="C328" i="164"/>
  <c r="I329" i="164"/>
  <c r="D329" i="164"/>
  <c r="J329" i="164"/>
  <c r="E329" i="164"/>
  <c r="C329" i="164"/>
  <c r="I330" i="164"/>
  <c r="D330" i="164"/>
  <c r="J330" i="164"/>
  <c r="E330" i="164"/>
  <c r="C330" i="164"/>
  <c r="I331" i="164"/>
  <c r="D331" i="164"/>
  <c r="J331" i="164"/>
  <c r="E331" i="164"/>
  <c r="C331" i="164"/>
  <c r="I332" i="164"/>
  <c r="D332" i="164"/>
  <c r="J332" i="164"/>
  <c r="E332" i="164"/>
  <c r="C332" i="164"/>
  <c r="I333" i="164"/>
  <c r="D333" i="164"/>
  <c r="J333" i="164"/>
  <c r="E333" i="164"/>
  <c r="C333" i="164"/>
  <c r="I334" i="164"/>
  <c r="D334" i="164"/>
  <c r="J334" i="164"/>
  <c r="E334" i="164"/>
  <c r="C334" i="164"/>
  <c r="I335" i="164"/>
  <c r="D335" i="164"/>
  <c r="J335" i="164"/>
  <c r="E335" i="164"/>
  <c r="C335" i="164"/>
  <c r="I336" i="164"/>
  <c r="D336" i="164"/>
  <c r="J336" i="164"/>
  <c r="E336" i="164"/>
  <c r="C336" i="164"/>
  <c r="I337" i="164"/>
  <c r="D337" i="164"/>
  <c r="J337" i="164"/>
  <c r="E337" i="164"/>
  <c r="C337" i="164"/>
  <c r="I338" i="164"/>
  <c r="D338" i="164"/>
  <c r="J338" i="164"/>
  <c r="E338" i="164"/>
  <c r="C338" i="164"/>
  <c r="I339" i="164"/>
  <c r="D339" i="164"/>
  <c r="J339" i="164"/>
  <c r="E339" i="164"/>
  <c r="C339" i="164"/>
  <c r="I340" i="164"/>
  <c r="D340" i="164"/>
  <c r="J340" i="164"/>
  <c r="E340" i="164"/>
  <c r="C340" i="164"/>
  <c r="I341" i="164"/>
  <c r="D341" i="164"/>
  <c r="J341" i="164"/>
  <c r="E341" i="164"/>
  <c r="C341" i="164"/>
  <c r="I342" i="164"/>
  <c r="D342" i="164"/>
  <c r="J342" i="164"/>
  <c r="E342" i="164"/>
  <c r="C342" i="164"/>
  <c r="I343" i="164"/>
  <c r="D343" i="164"/>
  <c r="J343" i="164"/>
  <c r="E343" i="164"/>
  <c r="C343" i="164"/>
  <c r="I344" i="164"/>
  <c r="D344" i="164"/>
  <c r="J344" i="164"/>
  <c r="E344" i="164"/>
  <c r="C344" i="164"/>
  <c r="I345" i="164"/>
  <c r="D345" i="164"/>
  <c r="J345" i="164"/>
  <c r="E345" i="164"/>
  <c r="C345" i="164"/>
  <c r="I346" i="164"/>
  <c r="D346" i="164"/>
  <c r="J346" i="164"/>
  <c r="E346" i="164"/>
  <c r="C346" i="164"/>
  <c r="I347" i="164"/>
  <c r="D347" i="164"/>
  <c r="J347" i="164"/>
  <c r="E347" i="164"/>
  <c r="C347" i="164"/>
  <c r="I348" i="164"/>
  <c r="D348" i="164"/>
  <c r="J348" i="164"/>
  <c r="E348" i="164"/>
  <c r="C348" i="164"/>
  <c r="I349" i="164"/>
  <c r="D349" i="164"/>
  <c r="J349" i="164"/>
  <c r="E349" i="164"/>
  <c r="C349" i="164"/>
  <c r="I350" i="164"/>
  <c r="D350" i="164"/>
  <c r="J350" i="164"/>
  <c r="E350" i="164"/>
  <c r="C350" i="164"/>
  <c r="I351" i="164"/>
  <c r="D351" i="164"/>
  <c r="J351" i="164"/>
  <c r="E351" i="164"/>
  <c r="C351" i="164"/>
  <c r="I352" i="164"/>
  <c r="D352" i="164"/>
  <c r="J352" i="164"/>
  <c r="E352" i="164"/>
  <c r="C352" i="164"/>
  <c r="I353" i="164"/>
  <c r="D353" i="164"/>
  <c r="J353" i="164"/>
  <c r="E353" i="164"/>
  <c r="C353" i="164"/>
  <c r="I354" i="164"/>
  <c r="D354" i="164"/>
  <c r="J354" i="164"/>
  <c r="E354" i="164"/>
  <c r="C354" i="164"/>
  <c r="I355" i="164"/>
  <c r="D355" i="164"/>
  <c r="J355" i="164"/>
  <c r="E355" i="164"/>
  <c r="C355" i="164"/>
  <c r="I356" i="164"/>
  <c r="D356" i="164"/>
  <c r="J356" i="164"/>
  <c r="E356" i="164"/>
  <c r="F356" i="164"/>
  <c r="C356" i="164"/>
  <c r="Q3" i="163"/>
  <c r="Q4" i="163"/>
  <c r="Q5" i="163"/>
  <c r="Q6" i="163"/>
  <c r="Q7" i="163"/>
  <c r="Q8" i="163"/>
  <c r="Q9" i="163"/>
  <c r="Q10" i="163"/>
  <c r="Q11" i="163"/>
  <c r="Q12" i="163"/>
  <c r="Q13" i="163"/>
  <c r="Q14" i="163"/>
  <c r="Q15" i="163"/>
  <c r="Q16" i="163"/>
  <c r="Q17" i="163"/>
  <c r="Q18" i="163"/>
  <c r="Q19" i="163"/>
  <c r="Q20" i="163"/>
  <c r="E29" i="163"/>
  <c r="E28" i="163"/>
  <c r="I2" i="162"/>
  <c r="J2" i="162"/>
  <c r="D2" i="162"/>
  <c r="E2" i="162"/>
  <c r="C2" i="162"/>
  <c r="I3" i="162"/>
  <c r="J3" i="162"/>
  <c r="D3" i="162"/>
  <c r="E3" i="162"/>
  <c r="C3" i="162"/>
  <c r="I4" i="162"/>
  <c r="J4" i="162"/>
  <c r="D4" i="162"/>
  <c r="E4" i="162"/>
  <c r="C4" i="162"/>
  <c r="I5" i="162"/>
  <c r="J5" i="162"/>
  <c r="D5" i="162"/>
  <c r="E5" i="162"/>
  <c r="C5" i="162"/>
  <c r="I6" i="162"/>
  <c r="J6" i="162"/>
  <c r="D6" i="162"/>
  <c r="E6" i="162"/>
  <c r="C6" i="162"/>
  <c r="I7" i="162"/>
  <c r="J7" i="162"/>
  <c r="D7" i="162"/>
  <c r="E7" i="162"/>
  <c r="C7" i="162"/>
  <c r="I8" i="162"/>
  <c r="J8" i="162"/>
  <c r="D8" i="162"/>
  <c r="E8" i="162"/>
  <c r="C8" i="162"/>
  <c r="I9" i="162"/>
  <c r="J9" i="162"/>
  <c r="D9" i="162"/>
  <c r="E9" i="162"/>
  <c r="C9" i="162"/>
  <c r="I10" i="162"/>
  <c r="J10" i="162"/>
  <c r="D10" i="162"/>
  <c r="E10" i="162"/>
  <c r="C10" i="162"/>
  <c r="I11" i="162"/>
  <c r="J11" i="162"/>
  <c r="D11" i="162"/>
  <c r="E11" i="162"/>
  <c r="C11" i="162"/>
  <c r="I12" i="162"/>
  <c r="J12" i="162"/>
  <c r="D12" i="162"/>
  <c r="E12" i="162"/>
  <c r="C12" i="162"/>
  <c r="I13" i="162"/>
  <c r="J13" i="162"/>
  <c r="D13" i="162"/>
  <c r="E13" i="162"/>
  <c r="C13" i="162"/>
  <c r="I14" i="162"/>
  <c r="J14" i="162"/>
  <c r="D14" i="162"/>
  <c r="E14" i="162"/>
  <c r="C14" i="162"/>
  <c r="I15" i="162"/>
  <c r="J15" i="162"/>
  <c r="D15" i="162"/>
  <c r="E15" i="162"/>
  <c r="C15" i="162"/>
  <c r="I16" i="162"/>
  <c r="J16" i="162"/>
  <c r="D16" i="162"/>
  <c r="E16" i="162"/>
  <c r="C16" i="162"/>
  <c r="I17" i="162"/>
  <c r="J17" i="162"/>
  <c r="D17" i="162"/>
  <c r="E17" i="162"/>
  <c r="C17" i="162"/>
  <c r="I18" i="162"/>
  <c r="J18" i="162"/>
  <c r="D18" i="162"/>
  <c r="E18" i="162"/>
  <c r="C18" i="162"/>
  <c r="I19" i="162"/>
  <c r="J19" i="162"/>
  <c r="D19" i="162"/>
  <c r="E19" i="162"/>
  <c r="C19" i="162"/>
  <c r="I20" i="162"/>
  <c r="J20" i="162"/>
  <c r="D20" i="162"/>
  <c r="E20" i="162"/>
  <c r="C20" i="162"/>
  <c r="I21" i="162"/>
  <c r="J21" i="162"/>
  <c r="D21" i="162"/>
  <c r="E21" i="162"/>
  <c r="C21" i="162"/>
  <c r="I22" i="162"/>
  <c r="J22" i="162"/>
  <c r="D22" i="162"/>
  <c r="E22" i="162"/>
  <c r="C22" i="162"/>
  <c r="I23" i="162"/>
  <c r="J23" i="162"/>
  <c r="D23" i="162"/>
  <c r="E23" i="162"/>
  <c r="C23" i="162"/>
  <c r="I24" i="162"/>
  <c r="J24" i="162"/>
  <c r="D24" i="162"/>
  <c r="E24" i="162"/>
  <c r="C24" i="162"/>
  <c r="I25" i="162"/>
  <c r="J25" i="162"/>
  <c r="D25" i="162"/>
  <c r="E25" i="162"/>
  <c r="C25" i="162"/>
  <c r="I26" i="162"/>
  <c r="J26" i="162"/>
  <c r="D26" i="162"/>
  <c r="E26" i="162"/>
  <c r="C26" i="162"/>
  <c r="I27" i="162"/>
  <c r="J27" i="162"/>
  <c r="D27" i="162"/>
  <c r="E27" i="162"/>
  <c r="C27" i="162"/>
  <c r="I28" i="162"/>
  <c r="J28" i="162"/>
  <c r="D28" i="162"/>
  <c r="E28" i="162"/>
  <c r="C28" i="162"/>
  <c r="I29" i="162"/>
  <c r="J29" i="162"/>
  <c r="D29" i="162"/>
  <c r="E29" i="162"/>
  <c r="C29" i="162"/>
  <c r="I30" i="162"/>
  <c r="J30" i="162"/>
  <c r="D30" i="162"/>
  <c r="E30" i="162"/>
  <c r="C30" i="162"/>
  <c r="I31" i="162"/>
  <c r="J31" i="162"/>
  <c r="D31" i="162"/>
  <c r="E31" i="162"/>
  <c r="C31" i="162"/>
  <c r="I32" i="162"/>
  <c r="J32" i="162"/>
  <c r="D32" i="162"/>
  <c r="E32" i="162"/>
  <c r="C32" i="162"/>
  <c r="I33" i="162"/>
  <c r="J33" i="162"/>
  <c r="D33" i="162"/>
  <c r="E33" i="162"/>
  <c r="C33" i="162"/>
  <c r="I34" i="162"/>
  <c r="J34" i="162"/>
  <c r="D34" i="162"/>
  <c r="E34" i="162"/>
  <c r="C34" i="162"/>
  <c r="I35" i="162"/>
  <c r="J35" i="162"/>
  <c r="D35" i="162"/>
  <c r="E35" i="162"/>
  <c r="C35" i="162"/>
  <c r="I36" i="162"/>
  <c r="J36" i="162"/>
  <c r="D36" i="162"/>
  <c r="E36" i="162"/>
  <c r="C36" i="162"/>
  <c r="I37" i="162"/>
  <c r="J37" i="162"/>
  <c r="D37" i="162"/>
  <c r="E37" i="162"/>
  <c r="C37" i="162"/>
  <c r="I38" i="162"/>
  <c r="J38" i="162"/>
  <c r="D38" i="162"/>
  <c r="E38" i="162"/>
  <c r="C38" i="162"/>
  <c r="I39" i="162"/>
  <c r="J39" i="162"/>
  <c r="D39" i="162"/>
  <c r="E39" i="162"/>
  <c r="C39" i="162"/>
  <c r="I40" i="162"/>
  <c r="J40" i="162"/>
  <c r="D40" i="162"/>
  <c r="E40" i="162"/>
  <c r="C40" i="162"/>
  <c r="I41" i="162"/>
  <c r="J41" i="162"/>
  <c r="D41" i="162"/>
  <c r="E41" i="162"/>
  <c r="C41" i="162"/>
  <c r="I42" i="162"/>
  <c r="D42" i="162"/>
  <c r="J42" i="162"/>
  <c r="E42" i="162"/>
  <c r="C42" i="162"/>
  <c r="I43" i="162"/>
  <c r="D43" i="162"/>
  <c r="J43" i="162"/>
  <c r="E43" i="162"/>
  <c r="C43" i="162"/>
  <c r="I44" i="162"/>
  <c r="D44" i="162"/>
  <c r="J44" i="162"/>
  <c r="E44" i="162"/>
  <c r="C44" i="162"/>
  <c r="I45" i="162"/>
  <c r="D45" i="162"/>
  <c r="J45" i="162"/>
  <c r="E45" i="162"/>
  <c r="C45" i="162"/>
  <c r="I46" i="162"/>
  <c r="D46" i="162"/>
  <c r="J46" i="162"/>
  <c r="E46" i="162"/>
  <c r="C46" i="162"/>
  <c r="I47" i="162"/>
  <c r="D47" i="162"/>
  <c r="J47" i="162"/>
  <c r="E47" i="162"/>
  <c r="C47" i="162"/>
  <c r="I48" i="162"/>
  <c r="D48" i="162"/>
  <c r="J48" i="162"/>
  <c r="E48" i="162"/>
  <c r="C48" i="162"/>
  <c r="I49" i="162"/>
  <c r="D49" i="162"/>
  <c r="J49" i="162"/>
  <c r="E49" i="162"/>
  <c r="C49" i="162"/>
  <c r="I50" i="162"/>
  <c r="D50" i="162"/>
  <c r="J50" i="162"/>
  <c r="E50" i="162"/>
  <c r="C50" i="162"/>
  <c r="I51" i="162"/>
  <c r="D51" i="162"/>
  <c r="J51" i="162"/>
  <c r="E51" i="162"/>
  <c r="C51" i="162"/>
  <c r="I52" i="162"/>
  <c r="D52" i="162"/>
  <c r="J52" i="162"/>
  <c r="E52" i="162"/>
  <c r="C52" i="162"/>
  <c r="I53" i="162"/>
  <c r="D53" i="162"/>
  <c r="J53" i="162"/>
  <c r="E53" i="162"/>
  <c r="C53" i="162"/>
  <c r="I54" i="162"/>
  <c r="D54" i="162"/>
  <c r="J54" i="162"/>
  <c r="E54" i="162"/>
  <c r="C54" i="162"/>
  <c r="I55" i="162"/>
  <c r="D55" i="162"/>
  <c r="J55" i="162"/>
  <c r="E55" i="162"/>
  <c r="C55" i="162"/>
  <c r="I56" i="162"/>
  <c r="D56" i="162"/>
  <c r="J56" i="162"/>
  <c r="E56" i="162"/>
  <c r="C56" i="162"/>
  <c r="I57" i="162"/>
  <c r="D57" i="162"/>
  <c r="J57" i="162"/>
  <c r="E57" i="162"/>
  <c r="C57" i="162"/>
  <c r="I58" i="162"/>
  <c r="D58" i="162"/>
  <c r="J58" i="162"/>
  <c r="E58" i="162"/>
  <c r="C58" i="162"/>
  <c r="I59" i="162"/>
  <c r="D59" i="162"/>
  <c r="J59" i="162"/>
  <c r="E59" i="162"/>
  <c r="C59" i="162"/>
  <c r="I60" i="162"/>
  <c r="D60" i="162"/>
  <c r="J60" i="162"/>
  <c r="E60" i="162"/>
  <c r="C60" i="162"/>
  <c r="I61" i="162"/>
  <c r="D61" i="162"/>
  <c r="J61" i="162"/>
  <c r="E61" i="162"/>
  <c r="C61" i="162"/>
  <c r="I62" i="162"/>
  <c r="D62" i="162"/>
  <c r="J62" i="162"/>
  <c r="E62" i="162"/>
  <c r="C62" i="162"/>
  <c r="I63" i="162"/>
  <c r="D63" i="162"/>
  <c r="J63" i="162"/>
  <c r="E63" i="162"/>
  <c r="C63" i="162"/>
  <c r="I64" i="162"/>
  <c r="D64" i="162"/>
  <c r="J64" i="162"/>
  <c r="E64" i="162"/>
  <c r="C64" i="162"/>
  <c r="I65" i="162"/>
  <c r="D65" i="162"/>
  <c r="J65" i="162"/>
  <c r="E65" i="162"/>
  <c r="C65" i="162"/>
  <c r="I66" i="162"/>
  <c r="D66" i="162"/>
  <c r="J66" i="162"/>
  <c r="E66" i="162"/>
  <c r="C66" i="162"/>
  <c r="I67" i="162"/>
  <c r="D67" i="162"/>
  <c r="J67" i="162"/>
  <c r="E67" i="162"/>
  <c r="C67" i="162"/>
  <c r="I68" i="162"/>
  <c r="D68" i="162"/>
  <c r="J68" i="162"/>
  <c r="E68" i="162"/>
  <c r="C68" i="162"/>
  <c r="I69" i="162"/>
  <c r="D69" i="162"/>
  <c r="J69" i="162"/>
  <c r="E69" i="162"/>
  <c r="C69" i="162"/>
  <c r="I70" i="162"/>
  <c r="D70" i="162"/>
  <c r="J70" i="162"/>
  <c r="E70" i="162"/>
  <c r="C70" i="162"/>
  <c r="I71" i="162"/>
  <c r="D71" i="162"/>
  <c r="J71" i="162"/>
  <c r="E71" i="162"/>
  <c r="C71" i="162"/>
  <c r="I72" i="162"/>
  <c r="D72" i="162"/>
  <c r="J72" i="162"/>
  <c r="E72" i="162"/>
  <c r="C72" i="162"/>
  <c r="I73" i="162"/>
  <c r="D73" i="162"/>
  <c r="J73" i="162"/>
  <c r="E73" i="162"/>
  <c r="C73" i="162"/>
  <c r="I74" i="162"/>
  <c r="D74" i="162"/>
  <c r="J74" i="162"/>
  <c r="E74" i="162"/>
  <c r="C74" i="162"/>
  <c r="I75" i="162"/>
  <c r="D75" i="162"/>
  <c r="J75" i="162"/>
  <c r="E75" i="162"/>
  <c r="C75" i="162"/>
  <c r="I76" i="162"/>
  <c r="D76" i="162"/>
  <c r="J76" i="162"/>
  <c r="E76" i="162"/>
  <c r="C76" i="162"/>
  <c r="I77" i="162"/>
  <c r="D77" i="162"/>
  <c r="J77" i="162"/>
  <c r="E77" i="162"/>
  <c r="C77" i="162"/>
  <c r="I78" i="162"/>
  <c r="D78" i="162"/>
  <c r="J78" i="162"/>
  <c r="E78" i="162"/>
  <c r="C78" i="162"/>
  <c r="I79" i="162"/>
  <c r="D79" i="162"/>
  <c r="J79" i="162"/>
  <c r="E79" i="162"/>
  <c r="C79" i="162"/>
  <c r="I80" i="162"/>
  <c r="D80" i="162"/>
  <c r="J80" i="162"/>
  <c r="E80" i="162"/>
  <c r="C80" i="162"/>
  <c r="I81" i="162"/>
  <c r="D81" i="162"/>
  <c r="J81" i="162"/>
  <c r="E81" i="162"/>
  <c r="C81" i="162"/>
  <c r="I82" i="162"/>
  <c r="D82" i="162"/>
  <c r="J82" i="162"/>
  <c r="E82" i="162"/>
  <c r="C82" i="162"/>
  <c r="I83" i="162"/>
  <c r="D83" i="162"/>
  <c r="J83" i="162"/>
  <c r="E83" i="162"/>
  <c r="C83" i="162"/>
  <c r="I84" i="162"/>
  <c r="D84" i="162"/>
  <c r="J84" i="162"/>
  <c r="E84" i="162"/>
  <c r="C84" i="162"/>
  <c r="I85" i="162"/>
  <c r="D85" i="162"/>
  <c r="J85" i="162"/>
  <c r="E85" i="162"/>
  <c r="C85" i="162"/>
  <c r="I86" i="162"/>
  <c r="D86" i="162"/>
  <c r="J86" i="162"/>
  <c r="E86" i="162"/>
  <c r="C86" i="162"/>
  <c r="I87" i="162"/>
  <c r="D87" i="162"/>
  <c r="J87" i="162"/>
  <c r="E87" i="162"/>
  <c r="C87" i="162"/>
  <c r="I88" i="162"/>
  <c r="D88" i="162"/>
  <c r="J88" i="162"/>
  <c r="E88" i="162"/>
  <c r="C88" i="162"/>
  <c r="I89" i="162"/>
  <c r="D89" i="162"/>
  <c r="J89" i="162"/>
  <c r="E89" i="162"/>
  <c r="C89" i="162"/>
  <c r="I90" i="162"/>
  <c r="D90" i="162"/>
  <c r="J90" i="162"/>
  <c r="E90" i="162"/>
  <c r="C90" i="162"/>
  <c r="I91" i="162"/>
  <c r="D91" i="162"/>
  <c r="J91" i="162"/>
  <c r="E91" i="162"/>
  <c r="C91" i="162"/>
  <c r="I92" i="162"/>
  <c r="D92" i="162"/>
  <c r="J92" i="162"/>
  <c r="E92" i="162"/>
  <c r="C92" i="162"/>
  <c r="I93" i="162"/>
  <c r="D93" i="162"/>
  <c r="J93" i="162"/>
  <c r="E93" i="162"/>
  <c r="C93" i="162"/>
  <c r="I94" i="162"/>
  <c r="D94" i="162"/>
  <c r="J94" i="162"/>
  <c r="E94" i="162"/>
  <c r="C94" i="162"/>
  <c r="I95" i="162"/>
  <c r="D95" i="162"/>
  <c r="J95" i="162"/>
  <c r="E95" i="162"/>
  <c r="C95" i="162"/>
  <c r="I96" i="162"/>
  <c r="D96" i="162"/>
  <c r="J96" i="162"/>
  <c r="E96" i="162"/>
  <c r="C96" i="162"/>
  <c r="I97" i="162"/>
  <c r="D97" i="162"/>
  <c r="J97" i="162"/>
  <c r="E97" i="162"/>
  <c r="C97" i="162"/>
  <c r="I98" i="162"/>
  <c r="D98" i="162"/>
  <c r="J98" i="162"/>
  <c r="E98" i="162"/>
  <c r="C98" i="162"/>
  <c r="I99" i="162"/>
  <c r="D99" i="162"/>
  <c r="J99" i="162"/>
  <c r="E99" i="162"/>
  <c r="C99" i="162"/>
  <c r="I100" i="162"/>
  <c r="D100" i="162"/>
  <c r="J100" i="162"/>
  <c r="E100" i="162"/>
  <c r="C100" i="162"/>
  <c r="I101" i="162"/>
  <c r="D101" i="162"/>
  <c r="J101" i="162"/>
  <c r="E101" i="162"/>
  <c r="C101" i="162"/>
  <c r="I102" i="162"/>
  <c r="D102" i="162"/>
  <c r="J102" i="162"/>
  <c r="E102" i="162"/>
  <c r="C102" i="162"/>
  <c r="I103" i="162"/>
  <c r="D103" i="162"/>
  <c r="J103" i="162"/>
  <c r="E103" i="162"/>
  <c r="C103" i="162"/>
  <c r="I104" i="162"/>
  <c r="D104" i="162"/>
  <c r="J104" i="162"/>
  <c r="E104" i="162"/>
  <c r="C104" i="162"/>
  <c r="I105" i="162"/>
  <c r="D105" i="162"/>
  <c r="J105" i="162"/>
  <c r="E105" i="162"/>
  <c r="C105" i="162"/>
  <c r="I106" i="162"/>
  <c r="D106" i="162"/>
  <c r="J106" i="162"/>
  <c r="E106" i="162"/>
  <c r="C106" i="162"/>
  <c r="I107" i="162"/>
  <c r="D107" i="162"/>
  <c r="J107" i="162"/>
  <c r="E107" i="162"/>
  <c r="C107" i="162"/>
  <c r="I108" i="162"/>
  <c r="D108" i="162"/>
  <c r="J108" i="162"/>
  <c r="E108" i="162"/>
  <c r="C108" i="162"/>
  <c r="I109" i="162"/>
  <c r="D109" i="162"/>
  <c r="J109" i="162"/>
  <c r="E109" i="162"/>
  <c r="C109" i="162"/>
  <c r="I110" i="162"/>
  <c r="D110" i="162"/>
  <c r="J110" i="162"/>
  <c r="E110" i="162"/>
  <c r="C110" i="162"/>
  <c r="I111" i="162"/>
  <c r="D111" i="162"/>
  <c r="J111" i="162"/>
  <c r="E111" i="162"/>
  <c r="C111" i="162"/>
  <c r="I112" i="162"/>
  <c r="D112" i="162"/>
  <c r="J112" i="162"/>
  <c r="E112" i="162"/>
  <c r="C112" i="162"/>
  <c r="I113" i="162"/>
  <c r="D113" i="162"/>
  <c r="J113" i="162"/>
  <c r="E113" i="162"/>
  <c r="C113" i="162"/>
  <c r="I114" i="162"/>
  <c r="D114" i="162"/>
  <c r="J114" i="162"/>
  <c r="E114" i="162"/>
  <c r="C114" i="162"/>
  <c r="I115" i="162"/>
  <c r="D115" i="162"/>
  <c r="J115" i="162"/>
  <c r="E115" i="162"/>
  <c r="C115" i="162"/>
  <c r="I116" i="162"/>
  <c r="D116" i="162"/>
  <c r="J116" i="162"/>
  <c r="E116" i="162"/>
  <c r="C116" i="162"/>
  <c r="I117" i="162"/>
  <c r="D117" i="162"/>
  <c r="J117" i="162"/>
  <c r="E117" i="162"/>
  <c r="C117" i="162"/>
  <c r="I118" i="162"/>
  <c r="D118" i="162"/>
  <c r="J118" i="162"/>
  <c r="E118" i="162"/>
  <c r="C118" i="162"/>
  <c r="I119" i="162"/>
  <c r="D119" i="162"/>
  <c r="J119" i="162"/>
  <c r="E119" i="162"/>
  <c r="C119" i="162"/>
  <c r="I120" i="162"/>
  <c r="D120" i="162"/>
  <c r="J120" i="162"/>
  <c r="E120" i="162"/>
  <c r="C120" i="162"/>
  <c r="I121" i="162"/>
  <c r="D121" i="162"/>
  <c r="J121" i="162"/>
  <c r="E121" i="162"/>
  <c r="C121" i="162"/>
  <c r="I122" i="162"/>
  <c r="D122" i="162"/>
  <c r="J122" i="162"/>
  <c r="E122" i="162"/>
  <c r="C122" i="162"/>
  <c r="I123" i="162"/>
  <c r="D123" i="162"/>
  <c r="J123" i="162"/>
  <c r="E123" i="162"/>
  <c r="C123" i="162"/>
  <c r="I124" i="162"/>
  <c r="D124" i="162"/>
  <c r="J124" i="162"/>
  <c r="E124" i="162"/>
  <c r="C124" i="162"/>
  <c r="I125" i="162"/>
  <c r="D125" i="162"/>
  <c r="J125" i="162"/>
  <c r="E125" i="162"/>
  <c r="C125" i="162"/>
  <c r="I126" i="162"/>
  <c r="D126" i="162"/>
  <c r="J126" i="162"/>
  <c r="E126" i="162"/>
  <c r="C126" i="162"/>
  <c r="I127" i="162"/>
  <c r="D127" i="162"/>
  <c r="J127" i="162"/>
  <c r="E127" i="162"/>
  <c r="C127" i="162"/>
  <c r="I128" i="162"/>
  <c r="D128" i="162"/>
  <c r="J128" i="162"/>
  <c r="E128" i="162"/>
  <c r="C128" i="162"/>
  <c r="I129" i="162"/>
  <c r="D129" i="162"/>
  <c r="J129" i="162"/>
  <c r="E129" i="162"/>
  <c r="C129" i="162"/>
  <c r="I130" i="162"/>
  <c r="D130" i="162"/>
  <c r="J130" i="162"/>
  <c r="E130" i="162"/>
  <c r="C130" i="162"/>
  <c r="I131" i="162"/>
  <c r="D131" i="162"/>
  <c r="J131" i="162"/>
  <c r="E131" i="162"/>
  <c r="C131" i="162"/>
  <c r="I132" i="162"/>
  <c r="D132" i="162"/>
  <c r="J132" i="162"/>
  <c r="E132" i="162"/>
  <c r="C132" i="162"/>
  <c r="I133" i="162"/>
  <c r="D133" i="162"/>
  <c r="J133" i="162"/>
  <c r="E133" i="162"/>
  <c r="C133" i="162"/>
  <c r="I134" i="162"/>
  <c r="D134" i="162"/>
  <c r="J134" i="162"/>
  <c r="E134" i="162"/>
  <c r="C134" i="162"/>
  <c r="I135" i="162"/>
  <c r="D135" i="162"/>
  <c r="J135" i="162"/>
  <c r="E135" i="162"/>
  <c r="C135" i="162"/>
  <c r="I136" i="162"/>
  <c r="D136" i="162"/>
  <c r="J136" i="162"/>
  <c r="E136" i="162"/>
  <c r="C136" i="162"/>
  <c r="I137" i="162"/>
  <c r="D137" i="162"/>
  <c r="J137" i="162"/>
  <c r="E137" i="162"/>
  <c r="C137" i="162"/>
  <c r="I138" i="162"/>
  <c r="D138" i="162"/>
  <c r="J138" i="162"/>
  <c r="E138" i="162"/>
  <c r="C138" i="162"/>
  <c r="I139" i="162"/>
  <c r="D139" i="162"/>
  <c r="J139" i="162"/>
  <c r="E139" i="162"/>
  <c r="C139" i="162"/>
  <c r="I140" i="162"/>
  <c r="D140" i="162"/>
  <c r="J140" i="162"/>
  <c r="E140" i="162"/>
  <c r="C140" i="162"/>
  <c r="I141" i="162"/>
  <c r="D141" i="162"/>
  <c r="J141" i="162"/>
  <c r="E141" i="162"/>
  <c r="C141" i="162"/>
  <c r="I142" i="162"/>
  <c r="D142" i="162"/>
  <c r="J142" i="162"/>
  <c r="E142" i="162"/>
  <c r="C142" i="162"/>
  <c r="I143" i="162"/>
  <c r="D143" i="162"/>
  <c r="J143" i="162"/>
  <c r="E143" i="162"/>
  <c r="C143" i="162"/>
  <c r="I144" i="162"/>
  <c r="D144" i="162"/>
  <c r="J144" i="162"/>
  <c r="E144" i="162"/>
  <c r="C144" i="162"/>
  <c r="I145" i="162"/>
  <c r="D145" i="162"/>
  <c r="J145" i="162"/>
  <c r="E145" i="162"/>
  <c r="C145" i="162"/>
  <c r="I146" i="162"/>
  <c r="D146" i="162"/>
  <c r="J146" i="162"/>
  <c r="E146" i="162"/>
  <c r="C146" i="162"/>
  <c r="I147" i="162"/>
  <c r="D147" i="162"/>
  <c r="J147" i="162"/>
  <c r="E147" i="162"/>
  <c r="C147" i="162"/>
  <c r="I148" i="162"/>
  <c r="D148" i="162"/>
  <c r="J148" i="162"/>
  <c r="E148" i="162"/>
  <c r="C148" i="162"/>
  <c r="I149" i="162"/>
  <c r="D149" i="162"/>
  <c r="J149" i="162"/>
  <c r="E149" i="162"/>
  <c r="C149" i="162"/>
  <c r="I150" i="162"/>
  <c r="D150" i="162"/>
  <c r="J150" i="162"/>
  <c r="E150" i="162"/>
  <c r="C150" i="162"/>
  <c r="I151" i="162"/>
  <c r="D151" i="162"/>
  <c r="J151" i="162"/>
  <c r="E151" i="162"/>
  <c r="C151" i="162"/>
  <c r="I152" i="162"/>
  <c r="D152" i="162"/>
  <c r="J152" i="162"/>
  <c r="E152" i="162"/>
  <c r="C152" i="162"/>
  <c r="I153" i="162"/>
  <c r="D153" i="162"/>
  <c r="J153" i="162"/>
  <c r="E153" i="162"/>
  <c r="C153" i="162"/>
  <c r="I154" i="162"/>
  <c r="D154" i="162"/>
  <c r="J154" i="162"/>
  <c r="E154" i="162"/>
  <c r="C154" i="162"/>
  <c r="I155" i="162"/>
  <c r="D155" i="162"/>
  <c r="J155" i="162"/>
  <c r="E155" i="162"/>
  <c r="C155" i="162"/>
  <c r="I156" i="162"/>
  <c r="D156" i="162"/>
  <c r="J156" i="162"/>
  <c r="E156" i="162"/>
  <c r="C156" i="162"/>
  <c r="I157" i="162"/>
  <c r="D157" i="162"/>
  <c r="J157" i="162"/>
  <c r="E157" i="162"/>
  <c r="C157" i="162"/>
  <c r="I158" i="162"/>
  <c r="D158" i="162"/>
  <c r="J158" i="162"/>
  <c r="E158" i="162"/>
  <c r="C158" i="162"/>
  <c r="I159" i="162"/>
  <c r="D159" i="162"/>
  <c r="J159" i="162"/>
  <c r="E159" i="162"/>
  <c r="C159" i="162"/>
  <c r="I160" i="162"/>
  <c r="D160" i="162"/>
  <c r="J160" i="162"/>
  <c r="E160" i="162"/>
  <c r="C160" i="162"/>
  <c r="I161" i="162"/>
  <c r="D161" i="162"/>
  <c r="J161" i="162"/>
  <c r="E161" i="162"/>
  <c r="C161" i="162"/>
  <c r="I162" i="162"/>
  <c r="D162" i="162"/>
  <c r="J162" i="162"/>
  <c r="E162" i="162"/>
  <c r="C162" i="162"/>
  <c r="I163" i="162"/>
  <c r="D163" i="162"/>
  <c r="J163" i="162"/>
  <c r="E163" i="162"/>
  <c r="C163" i="162"/>
  <c r="I164" i="162"/>
  <c r="D164" i="162"/>
  <c r="J164" i="162"/>
  <c r="E164" i="162"/>
  <c r="C164" i="162"/>
  <c r="I165" i="162"/>
  <c r="D165" i="162"/>
  <c r="J165" i="162"/>
  <c r="E165" i="162"/>
  <c r="C165" i="162"/>
  <c r="I166" i="162"/>
  <c r="D166" i="162"/>
  <c r="J166" i="162"/>
  <c r="E166" i="162"/>
  <c r="C166" i="162"/>
  <c r="I167" i="162"/>
  <c r="D167" i="162"/>
  <c r="J167" i="162"/>
  <c r="E167" i="162"/>
  <c r="C167" i="162"/>
  <c r="I168" i="162"/>
  <c r="D168" i="162"/>
  <c r="J168" i="162"/>
  <c r="E168" i="162"/>
  <c r="C168" i="162"/>
  <c r="I169" i="162"/>
  <c r="D169" i="162"/>
  <c r="J169" i="162"/>
  <c r="E169" i="162"/>
  <c r="C169" i="162"/>
  <c r="I170" i="162"/>
  <c r="D170" i="162"/>
  <c r="J170" i="162"/>
  <c r="E170" i="162"/>
  <c r="C170" i="162"/>
  <c r="I171" i="162"/>
  <c r="D171" i="162"/>
  <c r="J171" i="162"/>
  <c r="E171" i="162"/>
  <c r="C171" i="162"/>
  <c r="I172" i="162"/>
  <c r="D172" i="162"/>
  <c r="J172" i="162"/>
  <c r="E172" i="162"/>
  <c r="C172" i="162"/>
  <c r="I173" i="162"/>
  <c r="D173" i="162"/>
  <c r="J173" i="162"/>
  <c r="E173" i="162"/>
  <c r="C173" i="162"/>
  <c r="I174" i="162"/>
  <c r="D174" i="162"/>
  <c r="J174" i="162"/>
  <c r="E174" i="162"/>
  <c r="C174" i="162"/>
  <c r="I175" i="162"/>
  <c r="D175" i="162"/>
  <c r="J175" i="162"/>
  <c r="E175" i="162"/>
  <c r="C175" i="162"/>
  <c r="I176" i="162"/>
  <c r="D176" i="162"/>
  <c r="J176" i="162"/>
  <c r="E176" i="162"/>
  <c r="C176" i="162"/>
  <c r="I177" i="162"/>
  <c r="D177" i="162"/>
  <c r="J177" i="162"/>
  <c r="E177" i="162"/>
  <c r="C177" i="162"/>
  <c r="I178" i="162"/>
  <c r="D178" i="162"/>
  <c r="J178" i="162"/>
  <c r="E178" i="162"/>
  <c r="C178" i="162"/>
  <c r="I179" i="162"/>
  <c r="D179" i="162"/>
  <c r="J179" i="162"/>
  <c r="E179" i="162"/>
  <c r="C179" i="162"/>
  <c r="I180" i="162"/>
  <c r="D180" i="162"/>
  <c r="J180" i="162"/>
  <c r="E180" i="162"/>
  <c r="C180" i="162"/>
  <c r="I181" i="162"/>
  <c r="D181" i="162"/>
  <c r="J181" i="162"/>
  <c r="E181" i="162"/>
  <c r="C181" i="162"/>
  <c r="I182" i="162"/>
  <c r="D182" i="162"/>
  <c r="J182" i="162"/>
  <c r="E182" i="162"/>
  <c r="C182" i="162"/>
  <c r="I183" i="162"/>
  <c r="D183" i="162"/>
  <c r="J183" i="162"/>
  <c r="E183" i="162"/>
  <c r="C183" i="162"/>
  <c r="I184" i="162"/>
  <c r="D184" i="162"/>
  <c r="J184" i="162"/>
  <c r="E184" i="162"/>
  <c r="C184" i="162"/>
  <c r="I185" i="162"/>
  <c r="D185" i="162"/>
  <c r="J185" i="162"/>
  <c r="E185" i="162"/>
  <c r="C185" i="162"/>
  <c r="I186" i="162"/>
  <c r="D186" i="162"/>
  <c r="J186" i="162"/>
  <c r="E186" i="162"/>
  <c r="C186" i="162"/>
  <c r="I187" i="162"/>
  <c r="D187" i="162"/>
  <c r="J187" i="162"/>
  <c r="E187" i="162"/>
  <c r="C187" i="162"/>
  <c r="I188" i="162"/>
  <c r="D188" i="162"/>
  <c r="J188" i="162"/>
  <c r="E188" i="162"/>
  <c r="C188" i="162"/>
  <c r="I189" i="162"/>
  <c r="D189" i="162"/>
  <c r="J189" i="162"/>
  <c r="E189" i="162"/>
  <c r="C189" i="162"/>
  <c r="I190" i="162"/>
  <c r="D190" i="162"/>
  <c r="J190" i="162"/>
  <c r="E190" i="162"/>
  <c r="C190" i="162"/>
  <c r="I191" i="162"/>
  <c r="D191" i="162"/>
  <c r="J191" i="162"/>
  <c r="E191" i="162"/>
  <c r="C191" i="162"/>
  <c r="I192" i="162"/>
  <c r="D192" i="162"/>
  <c r="J192" i="162"/>
  <c r="E192" i="162"/>
  <c r="C192" i="162"/>
  <c r="I193" i="162"/>
  <c r="D193" i="162"/>
  <c r="J193" i="162"/>
  <c r="E193" i="162"/>
  <c r="C193" i="162"/>
  <c r="I194" i="162"/>
  <c r="D194" i="162"/>
  <c r="J194" i="162"/>
  <c r="E194" i="162"/>
  <c r="C194" i="162"/>
  <c r="I195" i="162"/>
  <c r="D195" i="162"/>
  <c r="J195" i="162"/>
  <c r="E195" i="162"/>
  <c r="C195" i="162"/>
  <c r="I196" i="162"/>
  <c r="D196" i="162"/>
  <c r="J196" i="162"/>
  <c r="E196" i="162"/>
  <c r="C196" i="162"/>
  <c r="I197" i="162"/>
  <c r="D197" i="162"/>
  <c r="J197" i="162"/>
  <c r="E197" i="162"/>
  <c r="C197" i="162"/>
  <c r="I198" i="162"/>
  <c r="D198" i="162"/>
  <c r="J198" i="162"/>
  <c r="E198" i="162"/>
  <c r="C198" i="162"/>
  <c r="I199" i="162"/>
  <c r="D199" i="162"/>
  <c r="J199" i="162"/>
  <c r="E199" i="162"/>
  <c r="C199" i="162"/>
  <c r="I200" i="162"/>
  <c r="D200" i="162"/>
  <c r="J200" i="162"/>
  <c r="E200" i="162"/>
  <c r="C200" i="162"/>
  <c r="I201" i="162"/>
  <c r="D201" i="162"/>
  <c r="J201" i="162"/>
  <c r="E201" i="162"/>
  <c r="C201" i="162"/>
  <c r="I202" i="162"/>
  <c r="D202" i="162"/>
  <c r="J202" i="162"/>
  <c r="E202" i="162"/>
  <c r="C202" i="162"/>
  <c r="I203" i="162"/>
  <c r="D203" i="162"/>
  <c r="J203" i="162"/>
  <c r="E203" i="162"/>
  <c r="C203" i="162"/>
  <c r="I204" i="162"/>
  <c r="D204" i="162"/>
  <c r="J204" i="162"/>
  <c r="E204" i="162"/>
  <c r="C204" i="162"/>
  <c r="I205" i="162"/>
  <c r="D205" i="162"/>
  <c r="J205" i="162"/>
  <c r="E205" i="162"/>
  <c r="C205" i="162"/>
  <c r="I206" i="162"/>
  <c r="D206" i="162"/>
  <c r="J206" i="162"/>
  <c r="E206" i="162"/>
  <c r="C206" i="162"/>
  <c r="I207" i="162"/>
  <c r="D207" i="162"/>
  <c r="J207" i="162"/>
  <c r="E207" i="162"/>
  <c r="C207" i="162"/>
  <c r="I208" i="162"/>
  <c r="D208" i="162"/>
  <c r="J208" i="162"/>
  <c r="E208" i="162"/>
  <c r="C208" i="162"/>
  <c r="I209" i="162"/>
  <c r="D209" i="162"/>
  <c r="J209" i="162"/>
  <c r="E209" i="162"/>
  <c r="C209" i="162"/>
  <c r="I210" i="162"/>
  <c r="D210" i="162"/>
  <c r="J210" i="162"/>
  <c r="E210" i="162"/>
  <c r="C210" i="162"/>
  <c r="I211" i="162"/>
  <c r="D211" i="162"/>
  <c r="J211" i="162"/>
  <c r="E211" i="162"/>
  <c r="C211" i="162"/>
  <c r="I212" i="162"/>
  <c r="D212" i="162"/>
  <c r="J212" i="162"/>
  <c r="E212" i="162"/>
  <c r="C212" i="162"/>
  <c r="I213" i="162"/>
  <c r="D213" i="162"/>
  <c r="J213" i="162"/>
  <c r="E213" i="162"/>
  <c r="C213" i="162"/>
  <c r="I214" i="162"/>
  <c r="D214" i="162"/>
  <c r="J214" i="162"/>
  <c r="E214" i="162"/>
  <c r="C214" i="162"/>
  <c r="I215" i="162"/>
  <c r="J215" i="162"/>
  <c r="D215" i="162"/>
  <c r="E215" i="162"/>
  <c r="C215" i="162"/>
  <c r="I216" i="162"/>
  <c r="J216" i="162"/>
  <c r="D216" i="162"/>
  <c r="E216" i="162"/>
  <c r="C216" i="162"/>
  <c r="I217" i="162"/>
  <c r="J217" i="162"/>
  <c r="D217" i="162"/>
  <c r="E217" i="162"/>
  <c r="C217" i="162"/>
  <c r="I218" i="162"/>
  <c r="J218" i="162"/>
  <c r="D218" i="162"/>
  <c r="E218" i="162"/>
  <c r="C218" i="162"/>
  <c r="I219" i="162"/>
  <c r="J219" i="162"/>
  <c r="D219" i="162"/>
  <c r="E219" i="162"/>
  <c r="C219" i="162"/>
  <c r="I220" i="162"/>
  <c r="J220" i="162"/>
  <c r="D220" i="162"/>
  <c r="E220" i="162"/>
  <c r="C220" i="162"/>
  <c r="I221" i="162"/>
  <c r="D221" i="162"/>
  <c r="J221" i="162"/>
  <c r="E221" i="162"/>
  <c r="C221" i="162"/>
  <c r="I222" i="162"/>
  <c r="D222" i="162"/>
  <c r="J222" i="162"/>
  <c r="E222" i="162"/>
  <c r="C222" i="162"/>
  <c r="I223" i="162"/>
  <c r="D223" i="162"/>
  <c r="J223" i="162"/>
  <c r="E223" i="162"/>
  <c r="C223" i="162"/>
  <c r="I224" i="162"/>
  <c r="D224" i="162"/>
  <c r="J224" i="162"/>
  <c r="E224" i="162"/>
  <c r="C224" i="162"/>
  <c r="I225" i="162"/>
  <c r="D225" i="162"/>
  <c r="J225" i="162"/>
  <c r="E225" i="162"/>
  <c r="C225" i="162"/>
  <c r="I226" i="162"/>
  <c r="D226" i="162"/>
  <c r="J226" i="162"/>
  <c r="E226" i="162"/>
  <c r="C226" i="162"/>
  <c r="I227" i="162"/>
  <c r="D227" i="162"/>
  <c r="J227" i="162"/>
  <c r="E227" i="162"/>
  <c r="C227" i="162"/>
  <c r="I228" i="162"/>
  <c r="D228" i="162"/>
  <c r="J228" i="162"/>
  <c r="E228" i="162"/>
  <c r="C228" i="162"/>
  <c r="I229" i="162"/>
  <c r="D229" i="162"/>
  <c r="J229" i="162"/>
  <c r="E229" i="162"/>
  <c r="C229" i="162"/>
  <c r="I230" i="162"/>
  <c r="D230" i="162"/>
  <c r="J230" i="162"/>
  <c r="E230" i="162"/>
  <c r="C230" i="162"/>
  <c r="I231" i="162"/>
  <c r="D231" i="162"/>
  <c r="J231" i="162"/>
  <c r="E231" i="162"/>
  <c r="C231" i="162"/>
  <c r="I232" i="162"/>
  <c r="D232" i="162"/>
  <c r="J232" i="162"/>
  <c r="E232" i="162"/>
  <c r="C232" i="162"/>
  <c r="I233" i="162"/>
  <c r="D233" i="162"/>
  <c r="J233" i="162"/>
  <c r="E233" i="162"/>
  <c r="C233" i="162"/>
  <c r="I234" i="162"/>
  <c r="D234" i="162"/>
  <c r="J234" i="162"/>
  <c r="E234" i="162"/>
  <c r="C234" i="162"/>
  <c r="I235" i="162"/>
  <c r="D235" i="162"/>
  <c r="J235" i="162"/>
  <c r="E235" i="162"/>
  <c r="C235" i="162"/>
  <c r="I236" i="162"/>
  <c r="D236" i="162"/>
  <c r="J236" i="162"/>
  <c r="E236" i="162"/>
  <c r="C236" i="162"/>
  <c r="I237" i="162"/>
  <c r="D237" i="162"/>
  <c r="J237" i="162"/>
  <c r="E237" i="162"/>
  <c r="C237" i="162"/>
  <c r="I238" i="162"/>
  <c r="D238" i="162"/>
  <c r="J238" i="162"/>
  <c r="E238" i="162"/>
  <c r="C238" i="162"/>
  <c r="I239" i="162"/>
  <c r="D239" i="162"/>
  <c r="J239" i="162"/>
  <c r="E239" i="162"/>
  <c r="C239" i="162"/>
  <c r="I240" i="162"/>
  <c r="D240" i="162"/>
  <c r="J240" i="162"/>
  <c r="E240" i="162"/>
  <c r="C240" i="162"/>
  <c r="I241" i="162"/>
  <c r="D241" i="162"/>
  <c r="J241" i="162"/>
  <c r="E241" i="162"/>
  <c r="C241" i="162"/>
  <c r="I242" i="162"/>
  <c r="D242" i="162"/>
  <c r="J242" i="162"/>
  <c r="E242" i="162"/>
  <c r="C242" i="162"/>
  <c r="I243" i="162"/>
  <c r="D243" i="162"/>
  <c r="J243" i="162"/>
  <c r="E243" i="162"/>
  <c r="C243" i="162"/>
  <c r="I244" i="162"/>
  <c r="D244" i="162"/>
  <c r="J244" i="162"/>
  <c r="E244" i="162"/>
  <c r="C244" i="162"/>
  <c r="I245" i="162"/>
  <c r="D245" i="162"/>
  <c r="J245" i="162"/>
  <c r="E245" i="162"/>
  <c r="C245" i="162"/>
  <c r="I246" i="162"/>
  <c r="D246" i="162"/>
  <c r="J246" i="162"/>
  <c r="E246" i="162"/>
  <c r="C246" i="162"/>
  <c r="I247" i="162"/>
  <c r="D247" i="162"/>
  <c r="J247" i="162"/>
  <c r="E247" i="162"/>
  <c r="C247" i="162"/>
  <c r="I248" i="162"/>
  <c r="D248" i="162"/>
  <c r="J248" i="162"/>
  <c r="E248" i="162"/>
  <c r="C248" i="162"/>
  <c r="I249" i="162"/>
  <c r="D249" i="162"/>
  <c r="J249" i="162"/>
  <c r="E249" i="162"/>
  <c r="C249" i="162"/>
  <c r="I250" i="162"/>
  <c r="D250" i="162"/>
  <c r="J250" i="162"/>
  <c r="E250" i="162"/>
  <c r="C250" i="162"/>
  <c r="I251" i="162"/>
  <c r="D251" i="162"/>
  <c r="J251" i="162"/>
  <c r="E251" i="162"/>
  <c r="C251" i="162"/>
  <c r="I252" i="162"/>
  <c r="D252" i="162"/>
  <c r="J252" i="162"/>
  <c r="E252" i="162"/>
  <c r="C252" i="162"/>
  <c r="I253" i="162"/>
  <c r="D253" i="162"/>
  <c r="J253" i="162"/>
  <c r="E253" i="162"/>
  <c r="C253" i="162"/>
  <c r="I254" i="162"/>
  <c r="D254" i="162"/>
  <c r="J254" i="162"/>
  <c r="E254" i="162"/>
  <c r="C254" i="162"/>
  <c r="I255" i="162"/>
  <c r="D255" i="162"/>
  <c r="J255" i="162"/>
  <c r="E255" i="162"/>
  <c r="C255" i="162"/>
  <c r="I256" i="162"/>
  <c r="D256" i="162"/>
  <c r="J256" i="162"/>
  <c r="E256" i="162"/>
  <c r="C256" i="162"/>
  <c r="I257" i="162"/>
  <c r="D257" i="162"/>
  <c r="J257" i="162"/>
  <c r="E257" i="162"/>
  <c r="C257" i="162"/>
  <c r="I258" i="162"/>
  <c r="D258" i="162"/>
  <c r="J258" i="162"/>
  <c r="E258" i="162"/>
  <c r="C258" i="162"/>
  <c r="I259" i="162"/>
  <c r="D259" i="162"/>
  <c r="J259" i="162"/>
  <c r="E259" i="162"/>
  <c r="C259" i="162"/>
  <c r="I260" i="162"/>
  <c r="D260" i="162"/>
  <c r="J260" i="162"/>
  <c r="E260" i="162"/>
  <c r="C260" i="162"/>
  <c r="I261" i="162"/>
  <c r="D261" i="162"/>
  <c r="J261" i="162"/>
  <c r="E261" i="162"/>
  <c r="C261" i="162"/>
  <c r="I262" i="162"/>
  <c r="D262" i="162"/>
  <c r="J262" i="162"/>
  <c r="E262" i="162"/>
  <c r="C262" i="162"/>
  <c r="I263" i="162"/>
  <c r="D263" i="162"/>
  <c r="J263" i="162"/>
  <c r="E263" i="162"/>
  <c r="C263" i="162"/>
  <c r="I264" i="162"/>
  <c r="D264" i="162"/>
  <c r="J264" i="162"/>
  <c r="E264" i="162"/>
  <c r="C264" i="162"/>
  <c r="I265" i="162"/>
  <c r="D265" i="162"/>
  <c r="J265" i="162"/>
  <c r="E265" i="162"/>
  <c r="C265" i="162"/>
  <c r="I266" i="162"/>
  <c r="D266" i="162"/>
  <c r="J266" i="162"/>
  <c r="E266" i="162"/>
  <c r="C266" i="162"/>
  <c r="I267" i="162"/>
  <c r="D267" i="162"/>
  <c r="J267" i="162"/>
  <c r="E267" i="162"/>
  <c r="C267" i="162"/>
  <c r="I268" i="162"/>
  <c r="D268" i="162"/>
  <c r="J268" i="162"/>
  <c r="E268" i="162"/>
  <c r="C268" i="162"/>
  <c r="I269" i="162"/>
  <c r="D269" i="162"/>
  <c r="J269" i="162"/>
  <c r="E269" i="162"/>
  <c r="C269" i="162"/>
  <c r="I270" i="162"/>
  <c r="D270" i="162"/>
  <c r="J270" i="162"/>
  <c r="E270" i="162"/>
  <c r="C270" i="162"/>
  <c r="I271" i="162"/>
  <c r="D271" i="162"/>
  <c r="J271" i="162"/>
  <c r="E271" i="162"/>
  <c r="C271" i="162"/>
  <c r="I272" i="162"/>
  <c r="D272" i="162"/>
  <c r="J272" i="162"/>
  <c r="E272" i="162"/>
  <c r="C272" i="162"/>
  <c r="I273" i="162"/>
  <c r="D273" i="162"/>
  <c r="J273" i="162"/>
  <c r="E273" i="162"/>
  <c r="C273" i="162"/>
  <c r="I274" i="162"/>
  <c r="D274" i="162"/>
  <c r="J274" i="162"/>
  <c r="E274" i="162"/>
  <c r="C274" i="162"/>
  <c r="I275" i="162"/>
  <c r="D275" i="162"/>
  <c r="J275" i="162"/>
  <c r="E275" i="162"/>
  <c r="C275" i="162"/>
  <c r="I276" i="162"/>
  <c r="D276" i="162"/>
  <c r="J276" i="162"/>
  <c r="E276" i="162"/>
  <c r="C276" i="162"/>
  <c r="I277" i="162"/>
  <c r="D277" i="162"/>
  <c r="J277" i="162"/>
  <c r="E277" i="162"/>
  <c r="C277" i="162"/>
  <c r="I278" i="162"/>
  <c r="D278" i="162"/>
  <c r="J278" i="162"/>
  <c r="E278" i="162"/>
  <c r="C278" i="162"/>
  <c r="I279" i="162"/>
  <c r="D279" i="162"/>
  <c r="J279" i="162"/>
  <c r="E279" i="162"/>
  <c r="C279" i="162"/>
  <c r="I280" i="162"/>
  <c r="D280" i="162"/>
  <c r="J280" i="162"/>
  <c r="E280" i="162"/>
  <c r="C280" i="162"/>
  <c r="I281" i="162"/>
  <c r="D281" i="162"/>
  <c r="J281" i="162"/>
  <c r="E281" i="162"/>
  <c r="C281" i="162"/>
  <c r="I282" i="162"/>
  <c r="D282" i="162"/>
  <c r="J282" i="162"/>
  <c r="E282" i="162"/>
  <c r="C282" i="162"/>
  <c r="I283" i="162"/>
  <c r="D283" i="162"/>
  <c r="J283" i="162"/>
  <c r="E283" i="162"/>
  <c r="C283" i="162"/>
  <c r="I284" i="162"/>
  <c r="D284" i="162"/>
  <c r="J284" i="162"/>
  <c r="E284" i="162"/>
  <c r="C284" i="162"/>
  <c r="I285" i="162"/>
  <c r="D285" i="162"/>
  <c r="J285" i="162"/>
  <c r="E285" i="162"/>
  <c r="C285" i="162"/>
  <c r="I286" i="162"/>
  <c r="D286" i="162"/>
  <c r="J286" i="162"/>
  <c r="E286" i="162"/>
  <c r="C286" i="162"/>
  <c r="I287" i="162"/>
  <c r="D287" i="162"/>
  <c r="J287" i="162"/>
  <c r="E287" i="162"/>
  <c r="C287" i="162"/>
  <c r="I288" i="162"/>
  <c r="D288" i="162"/>
  <c r="J288" i="162"/>
  <c r="E288" i="162"/>
  <c r="C288" i="162"/>
  <c r="I289" i="162"/>
  <c r="D289" i="162"/>
  <c r="J289" i="162"/>
  <c r="E289" i="162"/>
  <c r="C289" i="162"/>
  <c r="I290" i="162"/>
  <c r="D290" i="162"/>
  <c r="J290" i="162"/>
  <c r="E290" i="162"/>
  <c r="C290" i="162"/>
  <c r="I291" i="162"/>
  <c r="D291" i="162"/>
  <c r="J291" i="162"/>
  <c r="E291" i="162"/>
  <c r="C291" i="162"/>
  <c r="I292" i="162"/>
  <c r="D292" i="162"/>
  <c r="J292" i="162"/>
  <c r="E292" i="162"/>
  <c r="C292" i="162"/>
  <c r="I293" i="162"/>
  <c r="D293" i="162"/>
  <c r="J293" i="162"/>
  <c r="E293" i="162"/>
  <c r="C293" i="162"/>
  <c r="I294" i="162"/>
  <c r="D294" i="162"/>
  <c r="J294" i="162"/>
  <c r="E294" i="162"/>
  <c r="C294" i="162"/>
  <c r="I295" i="162"/>
  <c r="D295" i="162"/>
  <c r="J295" i="162"/>
  <c r="E295" i="162"/>
  <c r="C295" i="162"/>
  <c r="I296" i="162"/>
  <c r="D296" i="162"/>
  <c r="J296" i="162"/>
  <c r="E296" i="162"/>
  <c r="C296" i="162"/>
  <c r="I297" i="162"/>
  <c r="D297" i="162"/>
  <c r="J297" i="162"/>
  <c r="E297" i="162"/>
  <c r="C297" i="162"/>
  <c r="I298" i="162"/>
  <c r="D298" i="162"/>
  <c r="J298" i="162"/>
  <c r="E298" i="162"/>
  <c r="C298" i="162"/>
  <c r="I299" i="162"/>
  <c r="D299" i="162"/>
  <c r="J299" i="162"/>
  <c r="E299" i="162"/>
  <c r="C299" i="162"/>
  <c r="I300" i="162"/>
  <c r="D300" i="162"/>
  <c r="J300" i="162"/>
  <c r="E300" i="162"/>
  <c r="C300" i="162"/>
  <c r="I301" i="162"/>
  <c r="D301" i="162"/>
  <c r="J301" i="162"/>
  <c r="E301" i="162"/>
  <c r="C301" i="162"/>
  <c r="I302" i="162"/>
  <c r="D302" i="162"/>
  <c r="J302" i="162"/>
  <c r="E302" i="162"/>
  <c r="C302" i="162"/>
  <c r="I303" i="162"/>
  <c r="D303" i="162"/>
  <c r="J303" i="162"/>
  <c r="E303" i="162"/>
  <c r="C303" i="162"/>
  <c r="I304" i="162"/>
  <c r="D304" i="162"/>
  <c r="J304" i="162"/>
  <c r="E304" i="162"/>
  <c r="C304" i="162"/>
  <c r="I305" i="162"/>
  <c r="D305" i="162"/>
  <c r="J305" i="162"/>
  <c r="E305" i="162"/>
  <c r="C305" i="162"/>
  <c r="I306" i="162"/>
  <c r="D306" i="162"/>
  <c r="J306" i="162"/>
  <c r="E306" i="162"/>
  <c r="C306" i="162"/>
  <c r="I307" i="162"/>
  <c r="D307" i="162"/>
  <c r="J307" i="162"/>
  <c r="E307" i="162"/>
  <c r="C307" i="162"/>
  <c r="I308" i="162"/>
  <c r="D308" i="162"/>
  <c r="J308" i="162"/>
  <c r="E308" i="162"/>
  <c r="C308" i="162"/>
  <c r="I309" i="162"/>
  <c r="D309" i="162"/>
  <c r="J309" i="162"/>
  <c r="E309" i="162"/>
  <c r="C309" i="162"/>
  <c r="I310" i="162"/>
  <c r="D310" i="162"/>
  <c r="J310" i="162"/>
  <c r="E310" i="162"/>
  <c r="C310" i="162"/>
  <c r="I311" i="162"/>
  <c r="D311" i="162"/>
  <c r="J311" i="162"/>
  <c r="E311" i="162"/>
  <c r="C311" i="162"/>
  <c r="I312" i="162"/>
  <c r="D312" i="162"/>
  <c r="J312" i="162"/>
  <c r="E312" i="162"/>
  <c r="C312" i="162"/>
  <c r="I313" i="162"/>
  <c r="D313" i="162"/>
  <c r="J313" i="162"/>
  <c r="E313" i="162"/>
  <c r="C313" i="162"/>
  <c r="I314" i="162"/>
  <c r="D314" i="162"/>
  <c r="J314" i="162"/>
  <c r="E314" i="162"/>
  <c r="C314" i="162"/>
  <c r="I315" i="162"/>
  <c r="D315" i="162"/>
  <c r="J315" i="162"/>
  <c r="E315" i="162"/>
  <c r="C315" i="162"/>
  <c r="I316" i="162"/>
  <c r="D316" i="162"/>
  <c r="J316" i="162"/>
  <c r="E316" i="162"/>
  <c r="C316" i="162"/>
  <c r="I317" i="162"/>
  <c r="D317" i="162"/>
  <c r="J317" i="162"/>
  <c r="E317" i="162"/>
  <c r="C317" i="162"/>
  <c r="I318" i="162"/>
  <c r="D318" i="162"/>
  <c r="J318" i="162"/>
  <c r="E318" i="162"/>
  <c r="C318" i="162"/>
  <c r="I319" i="162"/>
  <c r="D319" i="162"/>
  <c r="J319" i="162"/>
  <c r="E319" i="162"/>
  <c r="C319" i="162"/>
  <c r="I320" i="162"/>
  <c r="D320" i="162"/>
  <c r="J320" i="162"/>
  <c r="E320" i="162"/>
  <c r="C320" i="162"/>
  <c r="I321" i="162"/>
  <c r="D321" i="162"/>
  <c r="J321" i="162"/>
  <c r="E321" i="162"/>
  <c r="C321" i="162"/>
  <c r="I322" i="162"/>
  <c r="D322" i="162"/>
  <c r="J322" i="162"/>
  <c r="E322" i="162"/>
  <c r="C322" i="162"/>
  <c r="I323" i="162"/>
  <c r="D323" i="162"/>
  <c r="J323" i="162"/>
  <c r="E323" i="162"/>
  <c r="C323" i="162"/>
  <c r="I324" i="162"/>
  <c r="D324" i="162"/>
  <c r="J324" i="162"/>
  <c r="E324" i="162"/>
  <c r="C324" i="162"/>
  <c r="I325" i="162"/>
  <c r="D325" i="162"/>
  <c r="J325" i="162"/>
  <c r="E325" i="162"/>
  <c r="C325" i="162"/>
  <c r="I326" i="162"/>
  <c r="D326" i="162"/>
  <c r="J326" i="162"/>
  <c r="E326" i="162"/>
  <c r="C326" i="162"/>
  <c r="I327" i="162"/>
  <c r="D327" i="162"/>
  <c r="J327" i="162"/>
  <c r="E327" i="162"/>
  <c r="C327" i="162"/>
  <c r="I328" i="162"/>
  <c r="D328" i="162"/>
  <c r="J328" i="162"/>
  <c r="E328" i="162"/>
  <c r="C328" i="162"/>
  <c r="I329" i="162"/>
  <c r="D329" i="162"/>
  <c r="J329" i="162"/>
  <c r="E329" i="162"/>
  <c r="C329" i="162"/>
  <c r="I330" i="162"/>
  <c r="D330" i="162"/>
  <c r="J330" i="162"/>
  <c r="E330" i="162"/>
  <c r="C330" i="162"/>
  <c r="I331" i="162"/>
  <c r="D331" i="162"/>
  <c r="J331" i="162"/>
  <c r="E331" i="162"/>
  <c r="C331" i="162"/>
  <c r="I332" i="162"/>
  <c r="D332" i="162"/>
  <c r="J332" i="162"/>
  <c r="E332" i="162"/>
  <c r="C332" i="162"/>
  <c r="I333" i="162"/>
  <c r="D333" i="162"/>
  <c r="J333" i="162"/>
  <c r="E333" i="162"/>
  <c r="C333" i="162"/>
  <c r="I334" i="162"/>
  <c r="D334" i="162"/>
  <c r="J334" i="162"/>
  <c r="E334" i="162"/>
  <c r="C334" i="162"/>
  <c r="I335" i="162"/>
  <c r="D335" i="162"/>
  <c r="J335" i="162"/>
  <c r="E335" i="162"/>
  <c r="C335" i="162"/>
  <c r="I336" i="162"/>
  <c r="D336" i="162"/>
  <c r="J336" i="162"/>
  <c r="E336" i="162"/>
  <c r="C336" i="162"/>
  <c r="I337" i="162"/>
  <c r="D337" i="162"/>
  <c r="J337" i="162"/>
  <c r="E337" i="162"/>
  <c r="C337" i="162"/>
  <c r="I338" i="162"/>
  <c r="D338" i="162"/>
  <c r="J338" i="162"/>
  <c r="E338" i="162"/>
  <c r="C338" i="162"/>
  <c r="I339" i="162"/>
  <c r="D339" i="162"/>
  <c r="J339" i="162"/>
  <c r="E339" i="162"/>
  <c r="C339" i="162"/>
  <c r="I340" i="162"/>
  <c r="D340" i="162"/>
  <c r="J340" i="162"/>
  <c r="E340" i="162"/>
  <c r="C340" i="162"/>
  <c r="I341" i="162"/>
  <c r="D341" i="162"/>
  <c r="J341" i="162"/>
  <c r="E341" i="162"/>
  <c r="C341" i="162"/>
  <c r="I342" i="162"/>
  <c r="D342" i="162"/>
  <c r="J342" i="162"/>
  <c r="E342" i="162"/>
  <c r="C342" i="162"/>
  <c r="I343" i="162"/>
  <c r="D343" i="162"/>
  <c r="J343" i="162"/>
  <c r="E343" i="162"/>
  <c r="C343" i="162"/>
  <c r="I344" i="162"/>
  <c r="D344" i="162"/>
  <c r="J344" i="162"/>
  <c r="E344" i="162"/>
  <c r="C344" i="162"/>
  <c r="I345" i="162"/>
  <c r="D345" i="162"/>
  <c r="J345" i="162"/>
  <c r="E345" i="162"/>
  <c r="C345" i="162"/>
  <c r="I346" i="162"/>
  <c r="D346" i="162"/>
  <c r="J346" i="162"/>
  <c r="E346" i="162"/>
  <c r="C346" i="162"/>
  <c r="I347" i="162"/>
  <c r="D347" i="162"/>
  <c r="J347" i="162"/>
  <c r="E347" i="162"/>
  <c r="C347" i="162"/>
  <c r="I348" i="162"/>
  <c r="D348" i="162"/>
  <c r="J348" i="162"/>
  <c r="E348" i="162"/>
  <c r="C348" i="162"/>
  <c r="I349" i="162"/>
  <c r="D349" i="162"/>
  <c r="J349" i="162"/>
  <c r="E349" i="162"/>
  <c r="C349" i="162"/>
  <c r="I350" i="162"/>
  <c r="D350" i="162"/>
  <c r="J350" i="162"/>
  <c r="E350" i="162"/>
  <c r="C350" i="162"/>
  <c r="I351" i="162"/>
  <c r="D351" i="162"/>
  <c r="J351" i="162"/>
  <c r="E351" i="162"/>
  <c r="C351" i="162"/>
  <c r="I352" i="162"/>
  <c r="D352" i="162"/>
  <c r="J352" i="162"/>
  <c r="E352" i="162"/>
  <c r="C352" i="162"/>
  <c r="I353" i="162"/>
  <c r="D353" i="162"/>
  <c r="J353" i="162"/>
  <c r="E353" i="162"/>
  <c r="C353" i="162"/>
  <c r="I354" i="162"/>
  <c r="D354" i="162"/>
  <c r="J354" i="162"/>
  <c r="E354" i="162"/>
  <c r="C354" i="162"/>
  <c r="I355" i="162"/>
  <c r="D355" i="162"/>
  <c r="J355" i="162"/>
  <c r="E355" i="162"/>
  <c r="C355" i="162"/>
  <c r="I356" i="162"/>
  <c r="D356" i="162"/>
  <c r="J356" i="162"/>
  <c r="E356" i="162"/>
  <c r="F356" i="162"/>
  <c r="C356" i="162"/>
  <c r="Q3" i="161"/>
  <c r="Q4" i="161"/>
  <c r="Q5" i="161"/>
  <c r="Q6" i="161"/>
  <c r="Q7" i="161"/>
  <c r="Q8" i="161"/>
  <c r="Q9" i="161"/>
  <c r="Q10" i="161"/>
  <c r="Q11" i="161"/>
  <c r="Q12" i="161"/>
  <c r="Q13" i="161"/>
  <c r="Q14" i="161"/>
  <c r="Q15" i="161"/>
  <c r="Q16" i="161"/>
  <c r="Q17" i="161"/>
  <c r="Q18" i="161"/>
  <c r="Q19" i="161"/>
  <c r="Q20" i="161"/>
  <c r="E29" i="161"/>
  <c r="E28" i="161"/>
  <c r="I2" i="160"/>
  <c r="J2" i="160"/>
  <c r="D2" i="160"/>
  <c r="E2" i="160"/>
  <c r="C2" i="160"/>
  <c r="I3" i="160"/>
  <c r="J3" i="160"/>
  <c r="D3" i="160"/>
  <c r="E3" i="160"/>
  <c r="C3" i="160"/>
  <c r="I4" i="160"/>
  <c r="J4" i="160"/>
  <c r="D4" i="160"/>
  <c r="E4" i="160"/>
  <c r="C4" i="160"/>
  <c r="I5" i="160"/>
  <c r="J5" i="160"/>
  <c r="D5" i="160"/>
  <c r="E5" i="160"/>
  <c r="C5" i="160"/>
  <c r="I6" i="160"/>
  <c r="J6" i="160"/>
  <c r="D6" i="160"/>
  <c r="E6" i="160"/>
  <c r="C6" i="160"/>
  <c r="I7" i="160"/>
  <c r="J7" i="160"/>
  <c r="D7" i="160"/>
  <c r="E7" i="160"/>
  <c r="C7" i="160"/>
  <c r="I8" i="160"/>
  <c r="J8" i="160"/>
  <c r="D8" i="160"/>
  <c r="E8" i="160"/>
  <c r="C8" i="160"/>
  <c r="I9" i="160"/>
  <c r="J9" i="160"/>
  <c r="D9" i="160"/>
  <c r="E9" i="160"/>
  <c r="C9" i="160"/>
  <c r="I10" i="160"/>
  <c r="J10" i="160"/>
  <c r="D10" i="160"/>
  <c r="E10" i="160"/>
  <c r="C10" i="160"/>
  <c r="I11" i="160"/>
  <c r="J11" i="160"/>
  <c r="D11" i="160"/>
  <c r="E11" i="160"/>
  <c r="C11" i="160"/>
  <c r="I12" i="160"/>
  <c r="J12" i="160"/>
  <c r="D12" i="160"/>
  <c r="E12" i="160"/>
  <c r="C12" i="160"/>
  <c r="I13" i="160"/>
  <c r="J13" i="160"/>
  <c r="D13" i="160"/>
  <c r="E13" i="160"/>
  <c r="C13" i="160"/>
  <c r="I14" i="160"/>
  <c r="J14" i="160"/>
  <c r="D14" i="160"/>
  <c r="E14" i="160"/>
  <c r="C14" i="160"/>
  <c r="I15" i="160"/>
  <c r="J15" i="160"/>
  <c r="D15" i="160"/>
  <c r="E15" i="160"/>
  <c r="C15" i="160"/>
  <c r="I16" i="160"/>
  <c r="J16" i="160"/>
  <c r="D16" i="160"/>
  <c r="E16" i="160"/>
  <c r="C16" i="160"/>
  <c r="I17" i="160"/>
  <c r="J17" i="160"/>
  <c r="D17" i="160"/>
  <c r="E17" i="160"/>
  <c r="C17" i="160"/>
  <c r="I18" i="160"/>
  <c r="J18" i="160"/>
  <c r="D18" i="160"/>
  <c r="E18" i="160"/>
  <c r="C18" i="160"/>
  <c r="I19" i="160"/>
  <c r="J19" i="160"/>
  <c r="D19" i="160"/>
  <c r="E19" i="160"/>
  <c r="C19" i="160"/>
  <c r="I20" i="160"/>
  <c r="J20" i="160"/>
  <c r="D20" i="160"/>
  <c r="E20" i="160"/>
  <c r="C20" i="160"/>
  <c r="I21" i="160"/>
  <c r="J21" i="160"/>
  <c r="D21" i="160"/>
  <c r="E21" i="160"/>
  <c r="C21" i="160"/>
  <c r="I22" i="160"/>
  <c r="J22" i="160"/>
  <c r="D22" i="160"/>
  <c r="E22" i="160"/>
  <c r="C22" i="160"/>
  <c r="I23" i="160"/>
  <c r="J23" i="160"/>
  <c r="D23" i="160"/>
  <c r="E23" i="160"/>
  <c r="C23" i="160"/>
  <c r="I24" i="160"/>
  <c r="J24" i="160"/>
  <c r="D24" i="160"/>
  <c r="E24" i="160"/>
  <c r="C24" i="160"/>
  <c r="I25" i="160"/>
  <c r="J25" i="160"/>
  <c r="D25" i="160"/>
  <c r="E25" i="160"/>
  <c r="C25" i="160"/>
  <c r="I26" i="160"/>
  <c r="J26" i="160"/>
  <c r="D26" i="160"/>
  <c r="E26" i="160"/>
  <c r="C26" i="160"/>
  <c r="I27" i="160"/>
  <c r="J27" i="160"/>
  <c r="D27" i="160"/>
  <c r="E27" i="160"/>
  <c r="C27" i="160"/>
  <c r="I28" i="160"/>
  <c r="J28" i="160"/>
  <c r="D28" i="160"/>
  <c r="E28" i="160"/>
  <c r="C28" i="160"/>
  <c r="I29" i="160"/>
  <c r="J29" i="160"/>
  <c r="D29" i="160"/>
  <c r="E29" i="160"/>
  <c r="C29" i="160"/>
  <c r="I30" i="160"/>
  <c r="J30" i="160"/>
  <c r="D30" i="160"/>
  <c r="E30" i="160"/>
  <c r="C30" i="160"/>
  <c r="I31" i="160"/>
  <c r="J31" i="160"/>
  <c r="D31" i="160"/>
  <c r="E31" i="160"/>
  <c r="C31" i="160"/>
  <c r="I32" i="160"/>
  <c r="J32" i="160"/>
  <c r="D32" i="160"/>
  <c r="E32" i="160"/>
  <c r="C32" i="160"/>
  <c r="I33" i="160"/>
  <c r="J33" i="160"/>
  <c r="D33" i="160"/>
  <c r="E33" i="160"/>
  <c r="C33" i="160"/>
  <c r="I34" i="160"/>
  <c r="J34" i="160"/>
  <c r="D34" i="160"/>
  <c r="E34" i="160"/>
  <c r="C34" i="160"/>
  <c r="I35" i="160"/>
  <c r="J35" i="160"/>
  <c r="D35" i="160"/>
  <c r="E35" i="160"/>
  <c r="C35" i="160"/>
  <c r="I36" i="160"/>
  <c r="J36" i="160"/>
  <c r="D36" i="160"/>
  <c r="E36" i="160"/>
  <c r="C36" i="160"/>
  <c r="I37" i="160"/>
  <c r="J37" i="160"/>
  <c r="D37" i="160"/>
  <c r="E37" i="160"/>
  <c r="C37" i="160"/>
  <c r="I38" i="160"/>
  <c r="J38" i="160"/>
  <c r="D38" i="160"/>
  <c r="E38" i="160"/>
  <c r="C38" i="160"/>
  <c r="I39" i="160"/>
  <c r="J39" i="160"/>
  <c r="D39" i="160"/>
  <c r="E39" i="160"/>
  <c r="C39" i="160"/>
  <c r="I40" i="160"/>
  <c r="J40" i="160"/>
  <c r="D40" i="160"/>
  <c r="E40" i="160"/>
  <c r="C40" i="160"/>
  <c r="I41" i="160"/>
  <c r="J41" i="160"/>
  <c r="D41" i="160"/>
  <c r="E41" i="160"/>
  <c r="C41" i="160"/>
  <c r="I42" i="160"/>
  <c r="D42" i="160"/>
  <c r="J42" i="160"/>
  <c r="E42" i="160"/>
  <c r="C42" i="160"/>
  <c r="I43" i="160"/>
  <c r="D43" i="160"/>
  <c r="J43" i="160"/>
  <c r="E43" i="160"/>
  <c r="C43" i="160"/>
  <c r="I44" i="160"/>
  <c r="D44" i="160"/>
  <c r="J44" i="160"/>
  <c r="E44" i="160"/>
  <c r="C44" i="160"/>
  <c r="I45" i="160"/>
  <c r="D45" i="160"/>
  <c r="J45" i="160"/>
  <c r="E45" i="160"/>
  <c r="C45" i="160"/>
  <c r="I46" i="160"/>
  <c r="D46" i="160"/>
  <c r="J46" i="160"/>
  <c r="E46" i="160"/>
  <c r="C46" i="160"/>
  <c r="I47" i="160"/>
  <c r="D47" i="160"/>
  <c r="J47" i="160"/>
  <c r="E47" i="160"/>
  <c r="C47" i="160"/>
  <c r="I48" i="160"/>
  <c r="D48" i="160"/>
  <c r="J48" i="160"/>
  <c r="E48" i="160"/>
  <c r="C48" i="160"/>
  <c r="I49" i="160"/>
  <c r="D49" i="160"/>
  <c r="J49" i="160"/>
  <c r="E49" i="160"/>
  <c r="C49" i="160"/>
  <c r="I50" i="160"/>
  <c r="D50" i="160"/>
  <c r="J50" i="160"/>
  <c r="E50" i="160"/>
  <c r="C50" i="160"/>
  <c r="I51" i="160"/>
  <c r="D51" i="160"/>
  <c r="J51" i="160"/>
  <c r="E51" i="160"/>
  <c r="C51" i="160"/>
  <c r="I52" i="160"/>
  <c r="D52" i="160"/>
  <c r="J52" i="160"/>
  <c r="E52" i="160"/>
  <c r="C52" i="160"/>
  <c r="I53" i="160"/>
  <c r="D53" i="160"/>
  <c r="J53" i="160"/>
  <c r="E53" i="160"/>
  <c r="C53" i="160"/>
  <c r="I54" i="160"/>
  <c r="D54" i="160"/>
  <c r="J54" i="160"/>
  <c r="E54" i="160"/>
  <c r="C54" i="160"/>
  <c r="I55" i="160"/>
  <c r="D55" i="160"/>
  <c r="J55" i="160"/>
  <c r="E55" i="160"/>
  <c r="C55" i="160"/>
  <c r="I56" i="160"/>
  <c r="D56" i="160"/>
  <c r="J56" i="160"/>
  <c r="E56" i="160"/>
  <c r="C56" i="160"/>
  <c r="I57" i="160"/>
  <c r="D57" i="160"/>
  <c r="J57" i="160"/>
  <c r="E57" i="160"/>
  <c r="C57" i="160"/>
  <c r="I58" i="160"/>
  <c r="D58" i="160"/>
  <c r="J58" i="160"/>
  <c r="E58" i="160"/>
  <c r="C58" i="160"/>
  <c r="I59" i="160"/>
  <c r="D59" i="160"/>
  <c r="J59" i="160"/>
  <c r="E59" i="160"/>
  <c r="C59" i="160"/>
  <c r="I60" i="160"/>
  <c r="D60" i="160"/>
  <c r="J60" i="160"/>
  <c r="E60" i="160"/>
  <c r="C60" i="160"/>
  <c r="I61" i="160"/>
  <c r="D61" i="160"/>
  <c r="J61" i="160"/>
  <c r="E61" i="160"/>
  <c r="C61" i="160"/>
  <c r="I62" i="160"/>
  <c r="D62" i="160"/>
  <c r="J62" i="160"/>
  <c r="E62" i="160"/>
  <c r="C62" i="160"/>
  <c r="I63" i="160"/>
  <c r="D63" i="160"/>
  <c r="J63" i="160"/>
  <c r="E63" i="160"/>
  <c r="C63" i="160"/>
  <c r="I64" i="160"/>
  <c r="D64" i="160"/>
  <c r="J64" i="160"/>
  <c r="E64" i="160"/>
  <c r="C64" i="160"/>
  <c r="I65" i="160"/>
  <c r="D65" i="160"/>
  <c r="J65" i="160"/>
  <c r="E65" i="160"/>
  <c r="C65" i="160"/>
  <c r="I66" i="160"/>
  <c r="D66" i="160"/>
  <c r="J66" i="160"/>
  <c r="E66" i="160"/>
  <c r="C66" i="160"/>
  <c r="I67" i="160"/>
  <c r="D67" i="160"/>
  <c r="J67" i="160"/>
  <c r="E67" i="160"/>
  <c r="C67" i="160"/>
  <c r="I68" i="160"/>
  <c r="D68" i="160"/>
  <c r="J68" i="160"/>
  <c r="E68" i="160"/>
  <c r="C68" i="160"/>
  <c r="I69" i="160"/>
  <c r="D69" i="160"/>
  <c r="J69" i="160"/>
  <c r="E69" i="160"/>
  <c r="C69" i="160"/>
  <c r="I70" i="160"/>
  <c r="D70" i="160"/>
  <c r="J70" i="160"/>
  <c r="E70" i="160"/>
  <c r="C70" i="160"/>
  <c r="I71" i="160"/>
  <c r="D71" i="160"/>
  <c r="J71" i="160"/>
  <c r="E71" i="160"/>
  <c r="C71" i="160"/>
  <c r="I72" i="160"/>
  <c r="D72" i="160"/>
  <c r="J72" i="160"/>
  <c r="E72" i="160"/>
  <c r="C72" i="160"/>
  <c r="I73" i="160"/>
  <c r="D73" i="160"/>
  <c r="J73" i="160"/>
  <c r="E73" i="160"/>
  <c r="C73" i="160"/>
  <c r="I74" i="160"/>
  <c r="D74" i="160"/>
  <c r="J74" i="160"/>
  <c r="E74" i="160"/>
  <c r="C74" i="160"/>
  <c r="I75" i="160"/>
  <c r="D75" i="160"/>
  <c r="J75" i="160"/>
  <c r="E75" i="160"/>
  <c r="C75" i="160"/>
  <c r="I76" i="160"/>
  <c r="D76" i="160"/>
  <c r="J76" i="160"/>
  <c r="E76" i="160"/>
  <c r="C76" i="160"/>
  <c r="I77" i="160"/>
  <c r="D77" i="160"/>
  <c r="J77" i="160"/>
  <c r="E77" i="160"/>
  <c r="C77" i="160"/>
  <c r="I78" i="160"/>
  <c r="D78" i="160"/>
  <c r="J78" i="160"/>
  <c r="E78" i="160"/>
  <c r="C78" i="160"/>
  <c r="I79" i="160"/>
  <c r="D79" i="160"/>
  <c r="J79" i="160"/>
  <c r="E79" i="160"/>
  <c r="C79" i="160"/>
  <c r="I80" i="160"/>
  <c r="D80" i="160"/>
  <c r="J80" i="160"/>
  <c r="E80" i="160"/>
  <c r="C80" i="160"/>
  <c r="I81" i="160"/>
  <c r="D81" i="160"/>
  <c r="J81" i="160"/>
  <c r="E81" i="160"/>
  <c r="C81" i="160"/>
  <c r="I82" i="160"/>
  <c r="D82" i="160"/>
  <c r="J82" i="160"/>
  <c r="E82" i="160"/>
  <c r="C82" i="160"/>
  <c r="I83" i="160"/>
  <c r="D83" i="160"/>
  <c r="J83" i="160"/>
  <c r="E83" i="160"/>
  <c r="C83" i="160"/>
  <c r="I84" i="160"/>
  <c r="D84" i="160"/>
  <c r="J84" i="160"/>
  <c r="E84" i="160"/>
  <c r="C84" i="160"/>
  <c r="I85" i="160"/>
  <c r="D85" i="160"/>
  <c r="J85" i="160"/>
  <c r="E85" i="160"/>
  <c r="C85" i="160"/>
  <c r="I86" i="160"/>
  <c r="D86" i="160"/>
  <c r="J86" i="160"/>
  <c r="E86" i="160"/>
  <c r="C86" i="160"/>
  <c r="I87" i="160"/>
  <c r="D87" i="160"/>
  <c r="J87" i="160"/>
  <c r="E87" i="160"/>
  <c r="C87" i="160"/>
  <c r="I88" i="160"/>
  <c r="D88" i="160"/>
  <c r="J88" i="160"/>
  <c r="E88" i="160"/>
  <c r="C88" i="160"/>
  <c r="I89" i="160"/>
  <c r="D89" i="160"/>
  <c r="J89" i="160"/>
  <c r="E89" i="160"/>
  <c r="C89" i="160"/>
  <c r="I90" i="160"/>
  <c r="D90" i="160"/>
  <c r="J90" i="160"/>
  <c r="E90" i="160"/>
  <c r="C90" i="160"/>
  <c r="I91" i="160"/>
  <c r="D91" i="160"/>
  <c r="J91" i="160"/>
  <c r="E91" i="160"/>
  <c r="C91" i="160"/>
  <c r="I92" i="160"/>
  <c r="D92" i="160"/>
  <c r="J92" i="160"/>
  <c r="E92" i="160"/>
  <c r="C92" i="160"/>
  <c r="I93" i="160"/>
  <c r="D93" i="160"/>
  <c r="J93" i="160"/>
  <c r="E93" i="160"/>
  <c r="C93" i="160"/>
  <c r="I94" i="160"/>
  <c r="D94" i="160"/>
  <c r="J94" i="160"/>
  <c r="E94" i="160"/>
  <c r="C94" i="160"/>
  <c r="I95" i="160"/>
  <c r="D95" i="160"/>
  <c r="J95" i="160"/>
  <c r="E95" i="160"/>
  <c r="C95" i="160"/>
  <c r="I96" i="160"/>
  <c r="D96" i="160"/>
  <c r="J96" i="160"/>
  <c r="E96" i="160"/>
  <c r="C96" i="160"/>
  <c r="I97" i="160"/>
  <c r="D97" i="160"/>
  <c r="J97" i="160"/>
  <c r="E97" i="160"/>
  <c r="C97" i="160"/>
  <c r="I98" i="160"/>
  <c r="D98" i="160"/>
  <c r="J98" i="160"/>
  <c r="E98" i="160"/>
  <c r="C98" i="160"/>
  <c r="I99" i="160"/>
  <c r="D99" i="160"/>
  <c r="J99" i="160"/>
  <c r="E99" i="160"/>
  <c r="C99" i="160"/>
  <c r="I100" i="160"/>
  <c r="D100" i="160"/>
  <c r="J100" i="160"/>
  <c r="E100" i="160"/>
  <c r="C100" i="160"/>
  <c r="I101" i="160"/>
  <c r="D101" i="160"/>
  <c r="J101" i="160"/>
  <c r="E101" i="160"/>
  <c r="C101" i="160"/>
  <c r="I102" i="160"/>
  <c r="D102" i="160"/>
  <c r="J102" i="160"/>
  <c r="E102" i="160"/>
  <c r="C102" i="160"/>
  <c r="I103" i="160"/>
  <c r="D103" i="160"/>
  <c r="J103" i="160"/>
  <c r="E103" i="160"/>
  <c r="C103" i="160"/>
  <c r="I104" i="160"/>
  <c r="D104" i="160"/>
  <c r="J104" i="160"/>
  <c r="E104" i="160"/>
  <c r="C104" i="160"/>
  <c r="I105" i="160"/>
  <c r="D105" i="160"/>
  <c r="J105" i="160"/>
  <c r="E105" i="160"/>
  <c r="C105" i="160"/>
  <c r="I106" i="160"/>
  <c r="D106" i="160"/>
  <c r="J106" i="160"/>
  <c r="E106" i="160"/>
  <c r="C106" i="160"/>
  <c r="I107" i="160"/>
  <c r="D107" i="160"/>
  <c r="J107" i="160"/>
  <c r="E107" i="160"/>
  <c r="C107" i="160"/>
  <c r="I108" i="160"/>
  <c r="D108" i="160"/>
  <c r="J108" i="160"/>
  <c r="E108" i="160"/>
  <c r="C108" i="160"/>
  <c r="I109" i="160"/>
  <c r="D109" i="160"/>
  <c r="J109" i="160"/>
  <c r="E109" i="160"/>
  <c r="C109" i="160"/>
  <c r="I110" i="160"/>
  <c r="D110" i="160"/>
  <c r="J110" i="160"/>
  <c r="E110" i="160"/>
  <c r="C110" i="160"/>
  <c r="I111" i="160"/>
  <c r="D111" i="160"/>
  <c r="J111" i="160"/>
  <c r="E111" i="160"/>
  <c r="C111" i="160"/>
  <c r="I112" i="160"/>
  <c r="D112" i="160"/>
  <c r="J112" i="160"/>
  <c r="E112" i="160"/>
  <c r="C112" i="160"/>
  <c r="I113" i="160"/>
  <c r="D113" i="160"/>
  <c r="J113" i="160"/>
  <c r="E113" i="160"/>
  <c r="C113" i="160"/>
  <c r="I114" i="160"/>
  <c r="D114" i="160"/>
  <c r="J114" i="160"/>
  <c r="E114" i="160"/>
  <c r="C114" i="160"/>
  <c r="I115" i="160"/>
  <c r="D115" i="160"/>
  <c r="J115" i="160"/>
  <c r="E115" i="160"/>
  <c r="C115" i="160"/>
  <c r="I116" i="160"/>
  <c r="D116" i="160"/>
  <c r="J116" i="160"/>
  <c r="E116" i="160"/>
  <c r="C116" i="160"/>
  <c r="I117" i="160"/>
  <c r="D117" i="160"/>
  <c r="J117" i="160"/>
  <c r="E117" i="160"/>
  <c r="C117" i="160"/>
  <c r="I118" i="160"/>
  <c r="D118" i="160"/>
  <c r="J118" i="160"/>
  <c r="E118" i="160"/>
  <c r="C118" i="160"/>
  <c r="I119" i="160"/>
  <c r="D119" i="160"/>
  <c r="J119" i="160"/>
  <c r="E119" i="160"/>
  <c r="C119" i="160"/>
  <c r="I120" i="160"/>
  <c r="D120" i="160"/>
  <c r="J120" i="160"/>
  <c r="E120" i="160"/>
  <c r="C120" i="160"/>
  <c r="I121" i="160"/>
  <c r="D121" i="160"/>
  <c r="J121" i="160"/>
  <c r="E121" i="160"/>
  <c r="C121" i="160"/>
  <c r="I122" i="160"/>
  <c r="D122" i="160"/>
  <c r="J122" i="160"/>
  <c r="E122" i="160"/>
  <c r="C122" i="160"/>
  <c r="I123" i="160"/>
  <c r="D123" i="160"/>
  <c r="J123" i="160"/>
  <c r="E123" i="160"/>
  <c r="C123" i="160"/>
  <c r="I124" i="160"/>
  <c r="D124" i="160"/>
  <c r="J124" i="160"/>
  <c r="E124" i="160"/>
  <c r="C124" i="160"/>
  <c r="I125" i="160"/>
  <c r="D125" i="160"/>
  <c r="J125" i="160"/>
  <c r="E125" i="160"/>
  <c r="C125" i="160"/>
  <c r="I126" i="160"/>
  <c r="D126" i="160"/>
  <c r="J126" i="160"/>
  <c r="E126" i="160"/>
  <c r="C126" i="160"/>
  <c r="I127" i="160"/>
  <c r="D127" i="160"/>
  <c r="J127" i="160"/>
  <c r="E127" i="160"/>
  <c r="C127" i="160"/>
  <c r="I128" i="160"/>
  <c r="D128" i="160"/>
  <c r="J128" i="160"/>
  <c r="E128" i="160"/>
  <c r="C128" i="160"/>
  <c r="I129" i="160"/>
  <c r="D129" i="160"/>
  <c r="J129" i="160"/>
  <c r="E129" i="160"/>
  <c r="C129" i="160"/>
  <c r="I130" i="160"/>
  <c r="D130" i="160"/>
  <c r="J130" i="160"/>
  <c r="E130" i="160"/>
  <c r="C130" i="160"/>
  <c r="I131" i="160"/>
  <c r="D131" i="160"/>
  <c r="J131" i="160"/>
  <c r="E131" i="160"/>
  <c r="C131" i="160"/>
  <c r="I132" i="160"/>
  <c r="D132" i="160"/>
  <c r="J132" i="160"/>
  <c r="E132" i="160"/>
  <c r="C132" i="160"/>
  <c r="I133" i="160"/>
  <c r="D133" i="160"/>
  <c r="J133" i="160"/>
  <c r="E133" i="160"/>
  <c r="C133" i="160"/>
  <c r="I134" i="160"/>
  <c r="D134" i="160"/>
  <c r="J134" i="160"/>
  <c r="E134" i="160"/>
  <c r="C134" i="160"/>
  <c r="I135" i="160"/>
  <c r="D135" i="160"/>
  <c r="J135" i="160"/>
  <c r="E135" i="160"/>
  <c r="C135" i="160"/>
  <c r="I136" i="160"/>
  <c r="D136" i="160"/>
  <c r="J136" i="160"/>
  <c r="E136" i="160"/>
  <c r="C136" i="160"/>
  <c r="I137" i="160"/>
  <c r="D137" i="160"/>
  <c r="J137" i="160"/>
  <c r="E137" i="160"/>
  <c r="C137" i="160"/>
  <c r="I138" i="160"/>
  <c r="D138" i="160"/>
  <c r="J138" i="160"/>
  <c r="E138" i="160"/>
  <c r="C138" i="160"/>
  <c r="I139" i="160"/>
  <c r="D139" i="160"/>
  <c r="J139" i="160"/>
  <c r="E139" i="160"/>
  <c r="C139" i="160"/>
  <c r="I140" i="160"/>
  <c r="D140" i="160"/>
  <c r="J140" i="160"/>
  <c r="E140" i="160"/>
  <c r="C140" i="160"/>
  <c r="I141" i="160"/>
  <c r="D141" i="160"/>
  <c r="J141" i="160"/>
  <c r="E141" i="160"/>
  <c r="C141" i="160"/>
  <c r="I142" i="160"/>
  <c r="D142" i="160"/>
  <c r="J142" i="160"/>
  <c r="E142" i="160"/>
  <c r="C142" i="160"/>
  <c r="I143" i="160"/>
  <c r="D143" i="160"/>
  <c r="J143" i="160"/>
  <c r="E143" i="160"/>
  <c r="C143" i="160"/>
  <c r="I144" i="160"/>
  <c r="D144" i="160"/>
  <c r="J144" i="160"/>
  <c r="E144" i="160"/>
  <c r="C144" i="160"/>
  <c r="I145" i="160"/>
  <c r="D145" i="160"/>
  <c r="J145" i="160"/>
  <c r="E145" i="160"/>
  <c r="C145" i="160"/>
  <c r="I146" i="160"/>
  <c r="D146" i="160"/>
  <c r="J146" i="160"/>
  <c r="E146" i="160"/>
  <c r="C146" i="160"/>
  <c r="I147" i="160"/>
  <c r="D147" i="160"/>
  <c r="J147" i="160"/>
  <c r="E147" i="160"/>
  <c r="C147" i="160"/>
  <c r="I148" i="160"/>
  <c r="D148" i="160"/>
  <c r="J148" i="160"/>
  <c r="E148" i="160"/>
  <c r="C148" i="160"/>
  <c r="I149" i="160"/>
  <c r="D149" i="160"/>
  <c r="J149" i="160"/>
  <c r="E149" i="160"/>
  <c r="C149" i="160"/>
  <c r="I150" i="160"/>
  <c r="D150" i="160"/>
  <c r="J150" i="160"/>
  <c r="E150" i="160"/>
  <c r="C150" i="160"/>
  <c r="I151" i="160"/>
  <c r="D151" i="160"/>
  <c r="J151" i="160"/>
  <c r="E151" i="160"/>
  <c r="C151" i="160"/>
  <c r="I152" i="160"/>
  <c r="D152" i="160"/>
  <c r="J152" i="160"/>
  <c r="E152" i="160"/>
  <c r="C152" i="160"/>
  <c r="I153" i="160"/>
  <c r="D153" i="160"/>
  <c r="J153" i="160"/>
  <c r="E153" i="160"/>
  <c r="C153" i="160"/>
  <c r="I154" i="160"/>
  <c r="D154" i="160"/>
  <c r="J154" i="160"/>
  <c r="E154" i="160"/>
  <c r="C154" i="160"/>
  <c r="I155" i="160"/>
  <c r="D155" i="160"/>
  <c r="J155" i="160"/>
  <c r="E155" i="160"/>
  <c r="C155" i="160"/>
  <c r="I156" i="160"/>
  <c r="D156" i="160"/>
  <c r="J156" i="160"/>
  <c r="E156" i="160"/>
  <c r="C156" i="160"/>
  <c r="I157" i="160"/>
  <c r="D157" i="160"/>
  <c r="J157" i="160"/>
  <c r="E157" i="160"/>
  <c r="C157" i="160"/>
  <c r="I158" i="160"/>
  <c r="D158" i="160"/>
  <c r="J158" i="160"/>
  <c r="E158" i="160"/>
  <c r="C158" i="160"/>
  <c r="I159" i="160"/>
  <c r="D159" i="160"/>
  <c r="J159" i="160"/>
  <c r="E159" i="160"/>
  <c r="C159" i="160"/>
  <c r="I160" i="160"/>
  <c r="D160" i="160"/>
  <c r="J160" i="160"/>
  <c r="E160" i="160"/>
  <c r="C160" i="160"/>
  <c r="I161" i="160"/>
  <c r="D161" i="160"/>
  <c r="J161" i="160"/>
  <c r="E161" i="160"/>
  <c r="C161" i="160"/>
  <c r="I162" i="160"/>
  <c r="D162" i="160"/>
  <c r="J162" i="160"/>
  <c r="E162" i="160"/>
  <c r="C162" i="160"/>
  <c r="I163" i="160"/>
  <c r="D163" i="160"/>
  <c r="J163" i="160"/>
  <c r="E163" i="160"/>
  <c r="C163" i="160"/>
  <c r="I164" i="160"/>
  <c r="D164" i="160"/>
  <c r="J164" i="160"/>
  <c r="E164" i="160"/>
  <c r="C164" i="160"/>
  <c r="I165" i="160"/>
  <c r="D165" i="160"/>
  <c r="J165" i="160"/>
  <c r="E165" i="160"/>
  <c r="C165" i="160"/>
  <c r="I166" i="160"/>
  <c r="D166" i="160"/>
  <c r="J166" i="160"/>
  <c r="E166" i="160"/>
  <c r="C166" i="160"/>
  <c r="I167" i="160"/>
  <c r="D167" i="160"/>
  <c r="J167" i="160"/>
  <c r="E167" i="160"/>
  <c r="C167" i="160"/>
  <c r="I168" i="160"/>
  <c r="D168" i="160"/>
  <c r="J168" i="160"/>
  <c r="E168" i="160"/>
  <c r="C168" i="160"/>
  <c r="I169" i="160"/>
  <c r="D169" i="160"/>
  <c r="J169" i="160"/>
  <c r="E169" i="160"/>
  <c r="C169" i="160"/>
  <c r="I170" i="160"/>
  <c r="D170" i="160"/>
  <c r="J170" i="160"/>
  <c r="E170" i="160"/>
  <c r="C170" i="160"/>
  <c r="I171" i="160"/>
  <c r="D171" i="160"/>
  <c r="J171" i="160"/>
  <c r="E171" i="160"/>
  <c r="C171" i="160"/>
  <c r="I172" i="160"/>
  <c r="D172" i="160"/>
  <c r="J172" i="160"/>
  <c r="E172" i="160"/>
  <c r="C172" i="160"/>
  <c r="I173" i="160"/>
  <c r="D173" i="160"/>
  <c r="J173" i="160"/>
  <c r="E173" i="160"/>
  <c r="C173" i="160"/>
  <c r="I174" i="160"/>
  <c r="D174" i="160"/>
  <c r="J174" i="160"/>
  <c r="E174" i="160"/>
  <c r="C174" i="160"/>
  <c r="I175" i="160"/>
  <c r="D175" i="160"/>
  <c r="J175" i="160"/>
  <c r="E175" i="160"/>
  <c r="C175" i="160"/>
  <c r="I176" i="160"/>
  <c r="D176" i="160"/>
  <c r="J176" i="160"/>
  <c r="E176" i="160"/>
  <c r="C176" i="160"/>
  <c r="I177" i="160"/>
  <c r="D177" i="160"/>
  <c r="J177" i="160"/>
  <c r="E177" i="160"/>
  <c r="C177" i="160"/>
  <c r="I178" i="160"/>
  <c r="D178" i="160"/>
  <c r="J178" i="160"/>
  <c r="E178" i="160"/>
  <c r="C178" i="160"/>
  <c r="I179" i="160"/>
  <c r="D179" i="160"/>
  <c r="J179" i="160"/>
  <c r="E179" i="160"/>
  <c r="C179" i="160"/>
  <c r="I180" i="160"/>
  <c r="D180" i="160"/>
  <c r="J180" i="160"/>
  <c r="E180" i="160"/>
  <c r="C180" i="160"/>
  <c r="I181" i="160"/>
  <c r="D181" i="160"/>
  <c r="J181" i="160"/>
  <c r="E181" i="160"/>
  <c r="C181" i="160"/>
  <c r="I182" i="160"/>
  <c r="D182" i="160"/>
  <c r="J182" i="160"/>
  <c r="E182" i="160"/>
  <c r="C182" i="160"/>
  <c r="I183" i="160"/>
  <c r="D183" i="160"/>
  <c r="J183" i="160"/>
  <c r="E183" i="160"/>
  <c r="C183" i="160"/>
  <c r="I184" i="160"/>
  <c r="D184" i="160"/>
  <c r="J184" i="160"/>
  <c r="E184" i="160"/>
  <c r="C184" i="160"/>
  <c r="I185" i="160"/>
  <c r="D185" i="160"/>
  <c r="J185" i="160"/>
  <c r="E185" i="160"/>
  <c r="C185" i="160"/>
  <c r="I186" i="160"/>
  <c r="D186" i="160"/>
  <c r="J186" i="160"/>
  <c r="E186" i="160"/>
  <c r="C186" i="160"/>
  <c r="I187" i="160"/>
  <c r="D187" i="160"/>
  <c r="J187" i="160"/>
  <c r="E187" i="160"/>
  <c r="C187" i="160"/>
  <c r="I188" i="160"/>
  <c r="D188" i="160"/>
  <c r="J188" i="160"/>
  <c r="E188" i="160"/>
  <c r="C188" i="160"/>
  <c r="I189" i="160"/>
  <c r="D189" i="160"/>
  <c r="J189" i="160"/>
  <c r="E189" i="160"/>
  <c r="C189" i="160"/>
  <c r="I190" i="160"/>
  <c r="D190" i="160"/>
  <c r="J190" i="160"/>
  <c r="E190" i="160"/>
  <c r="C190" i="160"/>
  <c r="I191" i="160"/>
  <c r="D191" i="160"/>
  <c r="J191" i="160"/>
  <c r="E191" i="160"/>
  <c r="C191" i="160"/>
  <c r="I192" i="160"/>
  <c r="D192" i="160"/>
  <c r="J192" i="160"/>
  <c r="E192" i="160"/>
  <c r="C192" i="160"/>
  <c r="I193" i="160"/>
  <c r="D193" i="160"/>
  <c r="J193" i="160"/>
  <c r="E193" i="160"/>
  <c r="C193" i="160"/>
  <c r="I194" i="160"/>
  <c r="D194" i="160"/>
  <c r="J194" i="160"/>
  <c r="E194" i="160"/>
  <c r="C194" i="160"/>
  <c r="I195" i="160"/>
  <c r="D195" i="160"/>
  <c r="J195" i="160"/>
  <c r="E195" i="160"/>
  <c r="C195" i="160"/>
  <c r="I196" i="160"/>
  <c r="D196" i="160"/>
  <c r="J196" i="160"/>
  <c r="E196" i="160"/>
  <c r="C196" i="160"/>
  <c r="I197" i="160"/>
  <c r="D197" i="160"/>
  <c r="J197" i="160"/>
  <c r="E197" i="160"/>
  <c r="C197" i="160"/>
  <c r="I198" i="160"/>
  <c r="D198" i="160"/>
  <c r="J198" i="160"/>
  <c r="E198" i="160"/>
  <c r="C198" i="160"/>
  <c r="I199" i="160"/>
  <c r="D199" i="160"/>
  <c r="J199" i="160"/>
  <c r="E199" i="160"/>
  <c r="C199" i="160"/>
  <c r="I200" i="160"/>
  <c r="D200" i="160"/>
  <c r="J200" i="160"/>
  <c r="E200" i="160"/>
  <c r="C200" i="160"/>
  <c r="I201" i="160"/>
  <c r="D201" i="160"/>
  <c r="J201" i="160"/>
  <c r="E201" i="160"/>
  <c r="C201" i="160"/>
  <c r="I202" i="160"/>
  <c r="D202" i="160"/>
  <c r="J202" i="160"/>
  <c r="E202" i="160"/>
  <c r="C202" i="160"/>
  <c r="I203" i="160"/>
  <c r="D203" i="160"/>
  <c r="J203" i="160"/>
  <c r="E203" i="160"/>
  <c r="C203" i="160"/>
  <c r="I204" i="160"/>
  <c r="D204" i="160"/>
  <c r="J204" i="160"/>
  <c r="E204" i="160"/>
  <c r="C204" i="160"/>
  <c r="I205" i="160"/>
  <c r="D205" i="160"/>
  <c r="J205" i="160"/>
  <c r="E205" i="160"/>
  <c r="C205" i="160"/>
  <c r="I206" i="160"/>
  <c r="D206" i="160"/>
  <c r="J206" i="160"/>
  <c r="E206" i="160"/>
  <c r="C206" i="160"/>
  <c r="I207" i="160"/>
  <c r="D207" i="160"/>
  <c r="J207" i="160"/>
  <c r="E207" i="160"/>
  <c r="C207" i="160"/>
  <c r="I208" i="160"/>
  <c r="D208" i="160"/>
  <c r="J208" i="160"/>
  <c r="E208" i="160"/>
  <c r="C208" i="160"/>
  <c r="I209" i="160"/>
  <c r="D209" i="160"/>
  <c r="J209" i="160"/>
  <c r="E209" i="160"/>
  <c r="C209" i="160"/>
  <c r="I210" i="160"/>
  <c r="D210" i="160"/>
  <c r="J210" i="160"/>
  <c r="E210" i="160"/>
  <c r="C210" i="160"/>
  <c r="I211" i="160"/>
  <c r="D211" i="160"/>
  <c r="J211" i="160"/>
  <c r="E211" i="160"/>
  <c r="C211" i="160"/>
  <c r="I212" i="160"/>
  <c r="D212" i="160"/>
  <c r="J212" i="160"/>
  <c r="E212" i="160"/>
  <c r="C212" i="160"/>
  <c r="I213" i="160"/>
  <c r="D213" i="160"/>
  <c r="J213" i="160"/>
  <c r="E213" i="160"/>
  <c r="C213" i="160"/>
  <c r="I214" i="160"/>
  <c r="D214" i="160"/>
  <c r="J214" i="160"/>
  <c r="E214" i="160"/>
  <c r="C214" i="160"/>
  <c r="I215" i="160"/>
  <c r="J215" i="160"/>
  <c r="D215" i="160"/>
  <c r="E215" i="160"/>
  <c r="C215" i="160"/>
  <c r="I216" i="160"/>
  <c r="J216" i="160"/>
  <c r="D216" i="160"/>
  <c r="E216" i="160"/>
  <c r="C216" i="160"/>
  <c r="I217" i="160"/>
  <c r="J217" i="160"/>
  <c r="D217" i="160"/>
  <c r="E217" i="160"/>
  <c r="C217" i="160"/>
  <c r="I218" i="160"/>
  <c r="J218" i="160"/>
  <c r="D218" i="160"/>
  <c r="E218" i="160"/>
  <c r="C218" i="160"/>
  <c r="I219" i="160"/>
  <c r="J219" i="160"/>
  <c r="D219" i="160"/>
  <c r="E219" i="160"/>
  <c r="C219" i="160"/>
  <c r="I220" i="160"/>
  <c r="J220" i="160"/>
  <c r="D220" i="160"/>
  <c r="E220" i="160"/>
  <c r="C220" i="160"/>
  <c r="I221" i="160"/>
  <c r="D221" i="160"/>
  <c r="J221" i="160"/>
  <c r="E221" i="160"/>
  <c r="C221" i="160"/>
  <c r="I222" i="160"/>
  <c r="D222" i="160"/>
  <c r="J222" i="160"/>
  <c r="E222" i="160"/>
  <c r="C222" i="160"/>
  <c r="I223" i="160"/>
  <c r="D223" i="160"/>
  <c r="J223" i="160"/>
  <c r="E223" i="160"/>
  <c r="C223" i="160"/>
  <c r="I224" i="160"/>
  <c r="D224" i="160"/>
  <c r="J224" i="160"/>
  <c r="E224" i="160"/>
  <c r="C224" i="160"/>
  <c r="I225" i="160"/>
  <c r="D225" i="160"/>
  <c r="J225" i="160"/>
  <c r="E225" i="160"/>
  <c r="C225" i="160"/>
  <c r="I226" i="160"/>
  <c r="D226" i="160"/>
  <c r="J226" i="160"/>
  <c r="E226" i="160"/>
  <c r="C226" i="160"/>
  <c r="I227" i="160"/>
  <c r="D227" i="160"/>
  <c r="J227" i="160"/>
  <c r="E227" i="160"/>
  <c r="C227" i="160"/>
  <c r="I228" i="160"/>
  <c r="D228" i="160"/>
  <c r="J228" i="160"/>
  <c r="E228" i="160"/>
  <c r="C228" i="160"/>
  <c r="I229" i="160"/>
  <c r="D229" i="160"/>
  <c r="J229" i="160"/>
  <c r="E229" i="160"/>
  <c r="C229" i="160"/>
  <c r="I230" i="160"/>
  <c r="D230" i="160"/>
  <c r="J230" i="160"/>
  <c r="E230" i="160"/>
  <c r="C230" i="160"/>
  <c r="I231" i="160"/>
  <c r="D231" i="160"/>
  <c r="J231" i="160"/>
  <c r="E231" i="160"/>
  <c r="C231" i="160"/>
  <c r="I232" i="160"/>
  <c r="D232" i="160"/>
  <c r="J232" i="160"/>
  <c r="E232" i="160"/>
  <c r="C232" i="160"/>
  <c r="I233" i="160"/>
  <c r="D233" i="160"/>
  <c r="J233" i="160"/>
  <c r="E233" i="160"/>
  <c r="C233" i="160"/>
  <c r="I234" i="160"/>
  <c r="D234" i="160"/>
  <c r="J234" i="160"/>
  <c r="E234" i="160"/>
  <c r="C234" i="160"/>
  <c r="I235" i="160"/>
  <c r="D235" i="160"/>
  <c r="J235" i="160"/>
  <c r="E235" i="160"/>
  <c r="C235" i="160"/>
  <c r="I236" i="160"/>
  <c r="D236" i="160"/>
  <c r="J236" i="160"/>
  <c r="E236" i="160"/>
  <c r="C236" i="160"/>
  <c r="I237" i="160"/>
  <c r="D237" i="160"/>
  <c r="J237" i="160"/>
  <c r="E237" i="160"/>
  <c r="C237" i="160"/>
  <c r="I238" i="160"/>
  <c r="D238" i="160"/>
  <c r="J238" i="160"/>
  <c r="E238" i="160"/>
  <c r="C238" i="160"/>
  <c r="I239" i="160"/>
  <c r="D239" i="160"/>
  <c r="J239" i="160"/>
  <c r="E239" i="160"/>
  <c r="C239" i="160"/>
  <c r="I240" i="160"/>
  <c r="D240" i="160"/>
  <c r="J240" i="160"/>
  <c r="E240" i="160"/>
  <c r="C240" i="160"/>
  <c r="I241" i="160"/>
  <c r="D241" i="160"/>
  <c r="J241" i="160"/>
  <c r="E241" i="160"/>
  <c r="C241" i="160"/>
  <c r="I242" i="160"/>
  <c r="D242" i="160"/>
  <c r="J242" i="160"/>
  <c r="E242" i="160"/>
  <c r="C242" i="160"/>
  <c r="I243" i="160"/>
  <c r="D243" i="160"/>
  <c r="J243" i="160"/>
  <c r="E243" i="160"/>
  <c r="C243" i="160"/>
  <c r="I244" i="160"/>
  <c r="D244" i="160"/>
  <c r="J244" i="160"/>
  <c r="E244" i="160"/>
  <c r="C244" i="160"/>
  <c r="I245" i="160"/>
  <c r="D245" i="160"/>
  <c r="J245" i="160"/>
  <c r="E245" i="160"/>
  <c r="C245" i="160"/>
  <c r="I246" i="160"/>
  <c r="D246" i="160"/>
  <c r="J246" i="160"/>
  <c r="E246" i="160"/>
  <c r="C246" i="160"/>
  <c r="I247" i="160"/>
  <c r="D247" i="160"/>
  <c r="J247" i="160"/>
  <c r="E247" i="160"/>
  <c r="C247" i="160"/>
  <c r="I248" i="160"/>
  <c r="D248" i="160"/>
  <c r="J248" i="160"/>
  <c r="E248" i="160"/>
  <c r="C248" i="160"/>
  <c r="I249" i="160"/>
  <c r="D249" i="160"/>
  <c r="J249" i="160"/>
  <c r="E249" i="160"/>
  <c r="C249" i="160"/>
  <c r="I250" i="160"/>
  <c r="D250" i="160"/>
  <c r="J250" i="160"/>
  <c r="E250" i="160"/>
  <c r="C250" i="160"/>
  <c r="I251" i="160"/>
  <c r="D251" i="160"/>
  <c r="J251" i="160"/>
  <c r="E251" i="160"/>
  <c r="C251" i="160"/>
  <c r="I252" i="160"/>
  <c r="D252" i="160"/>
  <c r="J252" i="160"/>
  <c r="E252" i="160"/>
  <c r="C252" i="160"/>
  <c r="I253" i="160"/>
  <c r="D253" i="160"/>
  <c r="J253" i="160"/>
  <c r="E253" i="160"/>
  <c r="C253" i="160"/>
  <c r="I254" i="160"/>
  <c r="D254" i="160"/>
  <c r="J254" i="160"/>
  <c r="E254" i="160"/>
  <c r="C254" i="160"/>
  <c r="I255" i="160"/>
  <c r="D255" i="160"/>
  <c r="J255" i="160"/>
  <c r="E255" i="160"/>
  <c r="C255" i="160"/>
  <c r="I256" i="160"/>
  <c r="D256" i="160"/>
  <c r="J256" i="160"/>
  <c r="E256" i="160"/>
  <c r="C256" i="160"/>
  <c r="I257" i="160"/>
  <c r="D257" i="160"/>
  <c r="J257" i="160"/>
  <c r="E257" i="160"/>
  <c r="C257" i="160"/>
  <c r="I258" i="160"/>
  <c r="D258" i="160"/>
  <c r="J258" i="160"/>
  <c r="E258" i="160"/>
  <c r="C258" i="160"/>
  <c r="I259" i="160"/>
  <c r="D259" i="160"/>
  <c r="J259" i="160"/>
  <c r="E259" i="160"/>
  <c r="C259" i="160"/>
  <c r="I260" i="160"/>
  <c r="D260" i="160"/>
  <c r="J260" i="160"/>
  <c r="E260" i="160"/>
  <c r="C260" i="160"/>
  <c r="I261" i="160"/>
  <c r="D261" i="160"/>
  <c r="J261" i="160"/>
  <c r="E261" i="160"/>
  <c r="C261" i="160"/>
  <c r="I262" i="160"/>
  <c r="D262" i="160"/>
  <c r="J262" i="160"/>
  <c r="E262" i="160"/>
  <c r="C262" i="160"/>
  <c r="I263" i="160"/>
  <c r="D263" i="160"/>
  <c r="J263" i="160"/>
  <c r="E263" i="160"/>
  <c r="C263" i="160"/>
  <c r="I264" i="160"/>
  <c r="D264" i="160"/>
  <c r="J264" i="160"/>
  <c r="E264" i="160"/>
  <c r="C264" i="160"/>
  <c r="I265" i="160"/>
  <c r="D265" i="160"/>
  <c r="J265" i="160"/>
  <c r="E265" i="160"/>
  <c r="C265" i="160"/>
  <c r="I266" i="160"/>
  <c r="D266" i="160"/>
  <c r="J266" i="160"/>
  <c r="E266" i="160"/>
  <c r="C266" i="160"/>
  <c r="I267" i="160"/>
  <c r="D267" i="160"/>
  <c r="J267" i="160"/>
  <c r="E267" i="160"/>
  <c r="C267" i="160"/>
  <c r="I268" i="160"/>
  <c r="D268" i="160"/>
  <c r="J268" i="160"/>
  <c r="E268" i="160"/>
  <c r="C268" i="160"/>
  <c r="I269" i="160"/>
  <c r="D269" i="160"/>
  <c r="J269" i="160"/>
  <c r="E269" i="160"/>
  <c r="C269" i="160"/>
  <c r="I270" i="160"/>
  <c r="D270" i="160"/>
  <c r="J270" i="160"/>
  <c r="E270" i="160"/>
  <c r="C270" i="160"/>
  <c r="I271" i="160"/>
  <c r="D271" i="160"/>
  <c r="J271" i="160"/>
  <c r="E271" i="160"/>
  <c r="C271" i="160"/>
  <c r="I272" i="160"/>
  <c r="D272" i="160"/>
  <c r="J272" i="160"/>
  <c r="E272" i="160"/>
  <c r="C272" i="160"/>
  <c r="I273" i="160"/>
  <c r="D273" i="160"/>
  <c r="J273" i="160"/>
  <c r="E273" i="160"/>
  <c r="C273" i="160"/>
  <c r="I274" i="160"/>
  <c r="D274" i="160"/>
  <c r="J274" i="160"/>
  <c r="E274" i="160"/>
  <c r="C274" i="160"/>
  <c r="I275" i="160"/>
  <c r="D275" i="160"/>
  <c r="J275" i="160"/>
  <c r="E275" i="160"/>
  <c r="C275" i="160"/>
  <c r="I276" i="160"/>
  <c r="D276" i="160"/>
  <c r="J276" i="160"/>
  <c r="E276" i="160"/>
  <c r="C276" i="160"/>
  <c r="I277" i="160"/>
  <c r="D277" i="160"/>
  <c r="J277" i="160"/>
  <c r="E277" i="160"/>
  <c r="C277" i="160"/>
  <c r="I278" i="160"/>
  <c r="D278" i="160"/>
  <c r="J278" i="160"/>
  <c r="E278" i="160"/>
  <c r="C278" i="160"/>
  <c r="I279" i="160"/>
  <c r="D279" i="160"/>
  <c r="J279" i="160"/>
  <c r="E279" i="160"/>
  <c r="C279" i="160"/>
  <c r="I280" i="160"/>
  <c r="D280" i="160"/>
  <c r="J280" i="160"/>
  <c r="E280" i="160"/>
  <c r="C280" i="160"/>
  <c r="I281" i="160"/>
  <c r="D281" i="160"/>
  <c r="J281" i="160"/>
  <c r="E281" i="160"/>
  <c r="C281" i="160"/>
  <c r="I282" i="160"/>
  <c r="D282" i="160"/>
  <c r="J282" i="160"/>
  <c r="E282" i="160"/>
  <c r="C282" i="160"/>
  <c r="I283" i="160"/>
  <c r="D283" i="160"/>
  <c r="J283" i="160"/>
  <c r="E283" i="160"/>
  <c r="C283" i="160"/>
  <c r="I284" i="160"/>
  <c r="D284" i="160"/>
  <c r="J284" i="160"/>
  <c r="E284" i="160"/>
  <c r="C284" i="160"/>
  <c r="I285" i="160"/>
  <c r="D285" i="160"/>
  <c r="J285" i="160"/>
  <c r="E285" i="160"/>
  <c r="C285" i="160"/>
  <c r="I286" i="160"/>
  <c r="D286" i="160"/>
  <c r="J286" i="160"/>
  <c r="E286" i="160"/>
  <c r="C286" i="160"/>
  <c r="I287" i="160"/>
  <c r="D287" i="160"/>
  <c r="J287" i="160"/>
  <c r="E287" i="160"/>
  <c r="C287" i="160"/>
  <c r="I288" i="160"/>
  <c r="D288" i="160"/>
  <c r="J288" i="160"/>
  <c r="E288" i="160"/>
  <c r="C288" i="160"/>
  <c r="I289" i="160"/>
  <c r="D289" i="160"/>
  <c r="J289" i="160"/>
  <c r="E289" i="160"/>
  <c r="C289" i="160"/>
  <c r="I290" i="160"/>
  <c r="D290" i="160"/>
  <c r="J290" i="160"/>
  <c r="E290" i="160"/>
  <c r="C290" i="160"/>
  <c r="I291" i="160"/>
  <c r="D291" i="160"/>
  <c r="J291" i="160"/>
  <c r="E291" i="160"/>
  <c r="C291" i="160"/>
  <c r="I292" i="160"/>
  <c r="D292" i="160"/>
  <c r="J292" i="160"/>
  <c r="E292" i="160"/>
  <c r="C292" i="160"/>
  <c r="I293" i="160"/>
  <c r="D293" i="160"/>
  <c r="J293" i="160"/>
  <c r="E293" i="160"/>
  <c r="C293" i="160"/>
  <c r="I294" i="160"/>
  <c r="D294" i="160"/>
  <c r="J294" i="160"/>
  <c r="E294" i="160"/>
  <c r="C294" i="160"/>
  <c r="I295" i="160"/>
  <c r="D295" i="160"/>
  <c r="J295" i="160"/>
  <c r="E295" i="160"/>
  <c r="C295" i="160"/>
  <c r="I296" i="160"/>
  <c r="D296" i="160"/>
  <c r="J296" i="160"/>
  <c r="E296" i="160"/>
  <c r="C296" i="160"/>
  <c r="I297" i="160"/>
  <c r="D297" i="160"/>
  <c r="J297" i="160"/>
  <c r="E297" i="160"/>
  <c r="C297" i="160"/>
  <c r="I298" i="160"/>
  <c r="D298" i="160"/>
  <c r="J298" i="160"/>
  <c r="E298" i="160"/>
  <c r="C298" i="160"/>
  <c r="I299" i="160"/>
  <c r="D299" i="160"/>
  <c r="J299" i="160"/>
  <c r="E299" i="160"/>
  <c r="C299" i="160"/>
  <c r="I300" i="160"/>
  <c r="D300" i="160"/>
  <c r="J300" i="160"/>
  <c r="E300" i="160"/>
  <c r="C300" i="160"/>
  <c r="I301" i="160"/>
  <c r="D301" i="160"/>
  <c r="J301" i="160"/>
  <c r="E301" i="160"/>
  <c r="C301" i="160"/>
  <c r="I302" i="160"/>
  <c r="D302" i="160"/>
  <c r="J302" i="160"/>
  <c r="E302" i="160"/>
  <c r="C302" i="160"/>
  <c r="I303" i="160"/>
  <c r="D303" i="160"/>
  <c r="J303" i="160"/>
  <c r="E303" i="160"/>
  <c r="C303" i="160"/>
  <c r="I304" i="160"/>
  <c r="D304" i="160"/>
  <c r="J304" i="160"/>
  <c r="E304" i="160"/>
  <c r="C304" i="160"/>
  <c r="I305" i="160"/>
  <c r="D305" i="160"/>
  <c r="J305" i="160"/>
  <c r="E305" i="160"/>
  <c r="C305" i="160"/>
  <c r="I306" i="160"/>
  <c r="D306" i="160"/>
  <c r="J306" i="160"/>
  <c r="E306" i="160"/>
  <c r="C306" i="160"/>
  <c r="I307" i="160"/>
  <c r="D307" i="160"/>
  <c r="J307" i="160"/>
  <c r="E307" i="160"/>
  <c r="C307" i="160"/>
  <c r="I308" i="160"/>
  <c r="D308" i="160"/>
  <c r="J308" i="160"/>
  <c r="E308" i="160"/>
  <c r="C308" i="160"/>
  <c r="I309" i="160"/>
  <c r="D309" i="160"/>
  <c r="J309" i="160"/>
  <c r="E309" i="160"/>
  <c r="C309" i="160"/>
  <c r="I310" i="160"/>
  <c r="D310" i="160"/>
  <c r="J310" i="160"/>
  <c r="E310" i="160"/>
  <c r="C310" i="160"/>
  <c r="I311" i="160"/>
  <c r="D311" i="160"/>
  <c r="J311" i="160"/>
  <c r="E311" i="160"/>
  <c r="C311" i="160"/>
  <c r="I312" i="160"/>
  <c r="D312" i="160"/>
  <c r="J312" i="160"/>
  <c r="E312" i="160"/>
  <c r="C312" i="160"/>
  <c r="I313" i="160"/>
  <c r="D313" i="160"/>
  <c r="J313" i="160"/>
  <c r="E313" i="160"/>
  <c r="C313" i="160"/>
  <c r="I314" i="160"/>
  <c r="D314" i="160"/>
  <c r="J314" i="160"/>
  <c r="E314" i="160"/>
  <c r="C314" i="160"/>
  <c r="I315" i="160"/>
  <c r="D315" i="160"/>
  <c r="J315" i="160"/>
  <c r="E315" i="160"/>
  <c r="C315" i="160"/>
  <c r="I316" i="160"/>
  <c r="D316" i="160"/>
  <c r="J316" i="160"/>
  <c r="E316" i="160"/>
  <c r="C316" i="160"/>
  <c r="I317" i="160"/>
  <c r="D317" i="160"/>
  <c r="J317" i="160"/>
  <c r="E317" i="160"/>
  <c r="C317" i="160"/>
  <c r="I318" i="160"/>
  <c r="D318" i="160"/>
  <c r="J318" i="160"/>
  <c r="E318" i="160"/>
  <c r="C318" i="160"/>
  <c r="I319" i="160"/>
  <c r="D319" i="160"/>
  <c r="J319" i="160"/>
  <c r="E319" i="160"/>
  <c r="C319" i="160"/>
  <c r="I320" i="160"/>
  <c r="D320" i="160"/>
  <c r="J320" i="160"/>
  <c r="E320" i="160"/>
  <c r="C320" i="160"/>
  <c r="I321" i="160"/>
  <c r="D321" i="160"/>
  <c r="J321" i="160"/>
  <c r="E321" i="160"/>
  <c r="C321" i="160"/>
  <c r="I322" i="160"/>
  <c r="D322" i="160"/>
  <c r="J322" i="160"/>
  <c r="E322" i="160"/>
  <c r="C322" i="160"/>
  <c r="I323" i="160"/>
  <c r="D323" i="160"/>
  <c r="J323" i="160"/>
  <c r="E323" i="160"/>
  <c r="C323" i="160"/>
  <c r="I324" i="160"/>
  <c r="D324" i="160"/>
  <c r="J324" i="160"/>
  <c r="E324" i="160"/>
  <c r="C324" i="160"/>
  <c r="I325" i="160"/>
  <c r="D325" i="160"/>
  <c r="J325" i="160"/>
  <c r="E325" i="160"/>
  <c r="C325" i="160"/>
  <c r="I326" i="160"/>
  <c r="D326" i="160"/>
  <c r="J326" i="160"/>
  <c r="E326" i="160"/>
  <c r="C326" i="160"/>
  <c r="I327" i="160"/>
  <c r="D327" i="160"/>
  <c r="J327" i="160"/>
  <c r="E327" i="160"/>
  <c r="C327" i="160"/>
  <c r="I328" i="160"/>
  <c r="D328" i="160"/>
  <c r="J328" i="160"/>
  <c r="E328" i="160"/>
  <c r="C328" i="160"/>
  <c r="I329" i="160"/>
  <c r="D329" i="160"/>
  <c r="J329" i="160"/>
  <c r="E329" i="160"/>
  <c r="C329" i="160"/>
  <c r="I330" i="160"/>
  <c r="D330" i="160"/>
  <c r="J330" i="160"/>
  <c r="E330" i="160"/>
  <c r="C330" i="160"/>
  <c r="I331" i="160"/>
  <c r="D331" i="160"/>
  <c r="J331" i="160"/>
  <c r="E331" i="160"/>
  <c r="C331" i="160"/>
  <c r="I332" i="160"/>
  <c r="D332" i="160"/>
  <c r="J332" i="160"/>
  <c r="E332" i="160"/>
  <c r="C332" i="160"/>
  <c r="I333" i="160"/>
  <c r="D333" i="160"/>
  <c r="J333" i="160"/>
  <c r="E333" i="160"/>
  <c r="C333" i="160"/>
  <c r="I334" i="160"/>
  <c r="D334" i="160"/>
  <c r="J334" i="160"/>
  <c r="E334" i="160"/>
  <c r="C334" i="160"/>
  <c r="I335" i="160"/>
  <c r="D335" i="160"/>
  <c r="J335" i="160"/>
  <c r="E335" i="160"/>
  <c r="C335" i="160"/>
  <c r="I336" i="160"/>
  <c r="D336" i="160"/>
  <c r="J336" i="160"/>
  <c r="E336" i="160"/>
  <c r="C336" i="160"/>
  <c r="I337" i="160"/>
  <c r="D337" i="160"/>
  <c r="J337" i="160"/>
  <c r="E337" i="160"/>
  <c r="C337" i="160"/>
  <c r="I338" i="160"/>
  <c r="D338" i="160"/>
  <c r="J338" i="160"/>
  <c r="E338" i="160"/>
  <c r="C338" i="160"/>
  <c r="I339" i="160"/>
  <c r="D339" i="160"/>
  <c r="J339" i="160"/>
  <c r="E339" i="160"/>
  <c r="C339" i="160"/>
  <c r="I340" i="160"/>
  <c r="D340" i="160"/>
  <c r="J340" i="160"/>
  <c r="E340" i="160"/>
  <c r="C340" i="160"/>
  <c r="I341" i="160"/>
  <c r="D341" i="160"/>
  <c r="J341" i="160"/>
  <c r="E341" i="160"/>
  <c r="C341" i="160"/>
  <c r="I342" i="160"/>
  <c r="D342" i="160"/>
  <c r="J342" i="160"/>
  <c r="E342" i="160"/>
  <c r="C342" i="160"/>
  <c r="I343" i="160"/>
  <c r="D343" i="160"/>
  <c r="J343" i="160"/>
  <c r="E343" i="160"/>
  <c r="C343" i="160"/>
  <c r="I344" i="160"/>
  <c r="D344" i="160"/>
  <c r="J344" i="160"/>
  <c r="E344" i="160"/>
  <c r="C344" i="160"/>
  <c r="I345" i="160"/>
  <c r="D345" i="160"/>
  <c r="J345" i="160"/>
  <c r="E345" i="160"/>
  <c r="C345" i="160"/>
  <c r="I346" i="160"/>
  <c r="D346" i="160"/>
  <c r="J346" i="160"/>
  <c r="E346" i="160"/>
  <c r="C346" i="160"/>
  <c r="I347" i="160"/>
  <c r="D347" i="160"/>
  <c r="J347" i="160"/>
  <c r="E347" i="160"/>
  <c r="C347" i="160"/>
  <c r="I348" i="160"/>
  <c r="D348" i="160"/>
  <c r="J348" i="160"/>
  <c r="E348" i="160"/>
  <c r="C348" i="160"/>
  <c r="I349" i="160"/>
  <c r="D349" i="160"/>
  <c r="J349" i="160"/>
  <c r="E349" i="160"/>
  <c r="C349" i="160"/>
  <c r="I350" i="160"/>
  <c r="D350" i="160"/>
  <c r="J350" i="160"/>
  <c r="E350" i="160"/>
  <c r="C350" i="160"/>
  <c r="I351" i="160"/>
  <c r="D351" i="160"/>
  <c r="J351" i="160"/>
  <c r="E351" i="160"/>
  <c r="C351" i="160"/>
  <c r="I352" i="160"/>
  <c r="D352" i="160"/>
  <c r="J352" i="160"/>
  <c r="E352" i="160"/>
  <c r="C352" i="160"/>
  <c r="I353" i="160"/>
  <c r="D353" i="160"/>
  <c r="J353" i="160"/>
  <c r="E353" i="160"/>
  <c r="C353" i="160"/>
  <c r="I354" i="160"/>
  <c r="D354" i="160"/>
  <c r="J354" i="160"/>
  <c r="E354" i="160"/>
  <c r="C354" i="160"/>
  <c r="I355" i="160"/>
  <c r="D355" i="160"/>
  <c r="J355" i="160"/>
  <c r="E355" i="160"/>
  <c r="C355" i="160"/>
  <c r="I356" i="160"/>
  <c r="D356" i="160"/>
  <c r="J356" i="160"/>
  <c r="E356" i="160"/>
  <c r="F356" i="160"/>
  <c r="C356" i="160"/>
  <c r="Q3" i="159"/>
  <c r="Q4" i="159"/>
  <c r="Q5" i="159"/>
  <c r="Q6" i="159"/>
  <c r="Q7" i="159"/>
  <c r="Q8" i="159"/>
  <c r="Q9" i="159"/>
  <c r="Q10" i="159"/>
  <c r="Q11" i="159"/>
  <c r="Q12" i="159"/>
  <c r="Q13" i="159"/>
  <c r="Q14" i="159"/>
  <c r="Q15" i="159"/>
  <c r="Q16" i="159"/>
  <c r="Q17" i="159"/>
  <c r="Q18" i="159"/>
  <c r="Q19" i="159"/>
  <c r="Q20" i="159"/>
  <c r="E29" i="159"/>
  <c r="E28" i="159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I356" i="154"/>
  <c r="D356" i="154"/>
  <c r="J356" i="154"/>
  <c r="E356" i="154"/>
  <c r="F356" i="154"/>
  <c r="C356" i="154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E28" i="153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I348" i="158"/>
  <c r="D348" i="158"/>
  <c r="J348" i="158"/>
  <c r="E348" i="158"/>
  <c r="C348" i="158"/>
  <c r="I349" i="158"/>
  <c r="D349" i="158"/>
  <c r="J349" i="158"/>
  <c r="E349" i="158"/>
  <c r="C349" i="158"/>
  <c r="I350" i="158"/>
  <c r="D350" i="158"/>
  <c r="J350" i="158"/>
  <c r="E350" i="158"/>
  <c r="C350" i="158"/>
  <c r="I351" i="158"/>
  <c r="D351" i="158"/>
  <c r="J351" i="158"/>
  <c r="E351" i="158"/>
  <c r="C351" i="158"/>
  <c r="I352" i="158"/>
  <c r="D352" i="158"/>
  <c r="J352" i="158"/>
  <c r="E352" i="158"/>
  <c r="C352" i="158"/>
  <c r="I353" i="158"/>
  <c r="D353" i="158"/>
  <c r="J353" i="158"/>
  <c r="E353" i="158"/>
  <c r="C353" i="158"/>
  <c r="I354" i="158"/>
  <c r="D354" i="158"/>
  <c r="J354" i="158"/>
  <c r="E354" i="158"/>
  <c r="C354" i="158"/>
  <c r="I355" i="158"/>
  <c r="D355" i="158"/>
  <c r="J355" i="158"/>
  <c r="E355" i="158"/>
  <c r="C355" i="158"/>
  <c r="I356" i="158"/>
  <c r="D356" i="158"/>
  <c r="J356" i="158"/>
  <c r="E356" i="158"/>
  <c r="F356" i="158"/>
  <c r="C356" i="158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E28" i="157"/>
  <c r="C28" i="157"/>
  <c r="C27" i="157"/>
  <c r="B27" i="157"/>
  <c r="F5" i="163"/>
  <c r="E5" i="163"/>
  <c r="F6" i="163"/>
  <c r="E6" i="163"/>
  <c r="F6" i="161"/>
  <c r="E6" i="161"/>
  <c r="F5" i="161"/>
  <c r="E5" i="161"/>
  <c r="F6" i="159"/>
  <c r="E6" i="159"/>
  <c r="F5" i="159"/>
  <c r="E5" i="159"/>
  <c r="F6" i="153"/>
  <c r="E6" i="153"/>
  <c r="F5" i="153"/>
  <c r="E5" i="153"/>
  <c r="C31" i="161"/>
  <c r="C28" i="163"/>
  <c r="C27" i="163"/>
  <c r="B27" i="163"/>
  <c r="E26" i="163"/>
  <c r="B26" i="163"/>
  <c r="E25" i="163"/>
  <c r="B25" i="163"/>
  <c r="E24" i="163"/>
  <c r="B24" i="163"/>
  <c r="E23" i="163"/>
  <c r="B23" i="163"/>
  <c r="E22" i="163"/>
  <c r="B22" i="163"/>
  <c r="B21" i="163"/>
  <c r="E20" i="163"/>
  <c r="B20" i="163"/>
  <c r="E19" i="163"/>
  <c r="B19" i="163"/>
  <c r="C31" i="163"/>
  <c r="B18" i="163"/>
  <c r="B17" i="163"/>
  <c r="C28" i="161"/>
  <c r="C27" i="161"/>
  <c r="B27" i="161"/>
  <c r="E26" i="161"/>
  <c r="B26" i="161"/>
  <c r="E25" i="161"/>
  <c r="B25" i="161"/>
  <c r="E24" i="161"/>
  <c r="B24" i="161"/>
  <c r="E23" i="161"/>
  <c r="B23" i="161"/>
  <c r="E22" i="161"/>
  <c r="B22" i="161"/>
  <c r="B21" i="161"/>
  <c r="E20" i="161"/>
  <c r="B20" i="161"/>
  <c r="E19" i="161"/>
  <c r="B19" i="161"/>
  <c r="B18" i="161"/>
  <c r="B17" i="161"/>
  <c r="C28" i="159"/>
  <c r="C27" i="159"/>
  <c r="B27" i="159"/>
  <c r="E26" i="159"/>
  <c r="B26" i="159"/>
  <c r="E25" i="159"/>
  <c r="B25" i="159"/>
  <c r="E24" i="159"/>
  <c r="B24" i="159"/>
  <c r="E23" i="159"/>
  <c r="B23" i="159"/>
  <c r="E22" i="159"/>
  <c r="B22" i="159"/>
  <c r="B21" i="159"/>
  <c r="E20" i="159"/>
  <c r="B20" i="159"/>
  <c r="E19" i="159"/>
  <c r="B19" i="159"/>
  <c r="C31" i="159"/>
  <c r="B18" i="159"/>
  <c r="B17" i="159"/>
  <c r="C28" i="153"/>
  <c r="C27" i="153"/>
  <c r="B27" i="153"/>
  <c r="E26" i="153"/>
  <c r="B26" i="153"/>
  <c r="E25" i="153"/>
  <c r="B25" i="153"/>
  <c r="E24" i="153"/>
  <c r="B24" i="153"/>
  <c r="E23" i="153"/>
  <c r="B23" i="153"/>
  <c r="E22" i="153"/>
  <c r="B22" i="153"/>
  <c r="B21" i="153"/>
  <c r="E20" i="153"/>
  <c r="B20" i="153"/>
  <c r="E19" i="153"/>
  <c r="B19" i="153"/>
  <c r="C31" i="153"/>
  <c r="B18" i="153"/>
  <c r="B17" i="153"/>
  <c r="A2" i="163"/>
  <c r="A36" i="163"/>
  <c r="G29" i="163"/>
  <c r="H29" i="163"/>
  <c r="O314" i="164"/>
  <c r="G17" i="163"/>
  <c r="E17" i="163"/>
  <c r="H17" i="163"/>
  <c r="O2" i="164"/>
  <c r="G18" i="163"/>
  <c r="E18" i="163"/>
  <c r="H18" i="163"/>
  <c r="O3" i="164"/>
  <c r="O4" i="164"/>
  <c r="O5" i="164"/>
  <c r="O6" i="164"/>
  <c r="O7" i="164"/>
  <c r="O8" i="164"/>
  <c r="O9" i="164"/>
  <c r="O10" i="164"/>
  <c r="O11" i="164"/>
  <c r="O12" i="164"/>
  <c r="O13" i="164"/>
  <c r="O14" i="164"/>
  <c r="O15" i="164"/>
  <c r="O16" i="164"/>
  <c r="O17" i="164"/>
  <c r="O18" i="164"/>
  <c r="O19" i="164"/>
  <c r="O20" i="164"/>
  <c r="O21" i="164"/>
  <c r="O22" i="164"/>
  <c r="O23" i="164"/>
  <c r="O24" i="164"/>
  <c r="O25" i="164"/>
  <c r="O26" i="164"/>
  <c r="O27" i="164"/>
  <c r="O28" i="164"/>
  <c r="O29" i="164"/>
  <c r="O30" i="164"/>
  <c r="O31" i="164"/>
  <c r="O32" i="164"/>
  <c r="O33" i="164"/>
  <c r="O34" i="164"/>
  <c r="O35" i="164"/>
  <c r="O36" i="164"/>
  <c r="O37" i="164"/>
  <c r="O38" i="164"/>
  <c r="O39" i="164"/>
  <c r="O40" i="164"/>
  <c r="O41" i="164"/>
  <c r="G24" i="163"/>
  <c r="H24" i="163"/>
  <c r="O42" i="164"/>
  <c r="G25" i="163"/>
  <c r="H25" i="163"/>
  <c r="O43" i="164"/>
  <c r="G26" i="163"/>
  <c r="H26" i="163"/>
  <c r="O44" i="164"/>
  <c r="O45" i="164"/>
  <c r="O46" i="164"/>
  <c r="O47" i="164"/>
  <c r="O48" i="164"/>
  <c r="O49" i="164"/>
  <c r="O50" i="164"/>
  <c r="G19" i="163"/>
  <c r="H19" i="163"/>
  <c r="O51" i="164"/>
  <c r="G20" i="163"/>
  <c r="H20" i="163"/>
  <c r="O52" i="164"/>
  <c r="G21" i="163"/>
  <c r="E21" i="163"/>
  <c r="H21" i="163"/>
  <c r="O53" i="164"/>
  <c r="O54" i="164"/>
  <c r="O55" i="164"/>
  <c r="O56" i="164"/>
  <c r="O57" i="164"/>
  <c r="O58" i="164"/>
  <c r="O59" i="164"/>
  <c r="O60" i="164"/>
  <c r="O61" i="164"/>
  <c r="O62" i="164"/>
  <c r="O63" i="164"/>
  <c r="O64" i="164"/>
  <c r="O65" i="164"/>
  <c r="O66" i="164"/>
  <c r="O67" i="164"/>
  <c r="O68" i="164"/>
  <c r="O69" i="164"/>
  <c r="O70" i="164"/>
  <c r="O71" i="164"/>
  <c r="O72" i="164"/>
  <c r="O73" i="164"/>
  <c r="O74" i="164"/>
  <c r="O75" i="164"/>
  <c r="O76" i="164"/>
  <c r="O77" i="164"/>
  <c r="O78" i="164"/>
  <c r="O79" i="164"/>
  <c r="O80" i="164"/>
  <c r="O81" i="164"/>
  <c r="O82" i="164"/>
  <c r="O83" i="164"/>
  <c r="O84" i="164"/>
  <c r="O85" i="164"/>
  <c r="O86" i="164"/>
  <c r="O87" i="164"/>
  <c r="O88" i="164"/>
  <c r="O89" i="164"/>
  <c r="O90" i="164"/>
  <c r="O91" i="164"/>
  <c r="O92" i="164"/>
  <c r="O93" i="164"/>
  <c r="O94" i="164"/>
  <c r="O95" i="164"/>
  <c r="O96" i="164"/>
  <c r="O97" i="164"/>
  <c r="O98" i="164"/>
  <c r="O99" i="164"/>
  <c r="O100" i="164"/>
  <c r="O101" i="164"/>
  <c r="O102" i="164"/>
  <c r="O103" i="164"/>
  <c r="O104" i="164"/>
  <c r="O105" i="164"/>
  <c r="O106" i="164"/>
  <c r="O107" i="164"/>
  <c r="O108" i="164"/>
  <c r="O109" i="164"/>
  <c r="O110" i="164"/>
  <c r="O111" i="164"/>
  <c r="O112" i="164"/>
  <c r="O113" i="164"/>
  <c r="O114" i="164"/>
  <c r="O115" i="164"/>
  <c r="O116" i="164"/>
  <c r="O117" i="164"/>
  <c r="O118" i="164"/>
  <c r="O119" i="164"/>
  <c r="O120" i="164"/>
  <c r="O121" i="164"/>
  <c r="O122" i="164"/>
  <c r="O123" i="164"/>
  <c r="O124" i="164"/>
  <c r="O125" i="164"/>
  <c r="O126" i="164"/>
  <c r="O127" i="164"/>
  <c r="O128" i="164"/>
  <c r="O129" i="164"/>
  <c r="O130" i="164"/>
  <c r="O131" i="164"/>
  <c r="O132" i="164"/>
  <c r="O133" i="164"/>
  <c r="O134" i="164"/>
  <c r="O135" i="164"/>
  <c r="O136" i="164"/>
  <c r="O137" i="164"/>
  <c r="G27" i="163"/>
  <c r="E27" i="163"/>
  <c r="H27" i="163"/>
  <c r="O138" i="164"/>
  <c r="G28" i="163"/>
  <c r="H28" i="163"/>
  <c r="O139" i="164"/>
  <c r="O140" i="164"/>
  <c r="O141" i="164"/>
  <c r="O142" i="164"/>
  <c r="O143" i="164"/>
  <c r="O144" i="164"/>
  <c r="O145" i="164"/>
  <c r="O146" i="164"/>
  <c r="O147" i="164"/>
  <c r="O148" i="164"/>
  <c r="O149" i="164"/>
  <c r="O150" i="164"/>
  <c r="O151" i="164"/>
  <c r="O152" i="164"/>
  <c r="O153" i="164"/>
  <c r="O154" i="164"/>
  <c r="O155" i="164"/>
  <c r="O156" i="164"/>
  <c r="O157" i="164"/>
  <c r="O158" i="164"/>
  <c r="O159" i="164"/>
  <c r="O160" i="164"/>
  <c r="O161" i="164"/>
  <c r="O162" i="164"/>
  <c r="O163" i="164"/>
  <c r="O164" i="164"/>
  <c r="O165" i="164"/>
  <c r="O166" i="164"/>
  <c r="O167" i="164"/>
  <c r="O168" i="164"/>
  <c r="O169" i="164"/>
  <c r="O170" i="164"/>
  <c r="O171" i="164"/>
  <c r="O172" i="164"/>
  <c r="O173" i="164"/>
  <c r="O174" i="164"/>
  <c r="O175" i="164"/>
  <c r="O176" i="164"/>
  <c r="O177" i="164"/>
  <c r="O178" i="164"/>
  <c r="O179" i="164"/>
  <c r="O180" i="164"/>
  <c r="O181" i="164"/>
  <c r="O182" i="164"/>
  <c r="O183" i="164"/>
  <c r="O184" i="164"/>
  <c r="O185" i="164"/>
  <c r="O186" i="164"/>
  <c r="O187" i="164"/>
  <c r="O188" i="164"/>
  <c r="O189" i="164"/>
  <c r="O190" i="164"/>
  <c r="O191" i="164"/>
  <c r="O192" i="164"/>
  <c r="O193" i="164"/>
  <c r="O194" i="164"/>
  <c r="O195" i="164"/>
  <c r="O196" i="164"/>
  <c r="O197" i="164"/>
  <c r="O198" i="164"/>
  <c r="O199" i="164"/>
  <c r="O200" i="164"/>
  <c r="O201" i="164"/>
  <c r="O202" i="164"/>
  <c r="O203" i="164"/>
  <c r="O204" i="164"/>
  <c r="O205" i="164"/>
  <c r="O206" i="164"/>
  <c r="O207" i="164"/>
  <c r="O208" i="164"/>
  <c r="O209" i="164"/>
  <c r="O210" i="164"/>
  <c r="O211" i="164"/>
  <c r="O212" i="164"/>
  <c r="O213" i="164"/>
  <c r="O214" i="164"/>
  <c r="G23" i="163"/>
  <c r="H23" i="163"/>
  <c r="O215" i="164"/>
  <c r="O216" i="164"/>
  <c r="O217" i="164"/>
  <c r="O218" i="164"/>
  <c r="O219" i="164"/>
  <c r="O220" i="164"/>
  <c r="O221" i="164"/>
  <c r="O222" i="164"/>
  <c r="O223" i="164"/>
  <c r="O224" i="164"/>
  <c r="O225" i="164"/>
  <c r="O226" i="164"/>
  <c r="O227" i="164"/>
  <c r="O228" i="164"/>
  <c r="O229" i="164"/>
  <c r="O230" i="164"/>
  <c r="O231" i="164"/>
  <c r="O232" i="164"/>
  <c r="O233" i="164"/>
  <c r="O234" i="164"/>
  <c r="O235" i="164"/>
  <c r="O236" i="164"/>
  <c r="O237" i="164"/>
  <c r="O238" i="164"/>
  <c r="O239" i="164"/>
  <c r="O240" i="164"/>
  <c r="O241" i="164"/>
  <c r="O242" i="164"/>
  <c r="O243" i="164"/>
  <c r="O244" i="164"/>
  <c r="O245" i="164"/>
  <c r="O246" i="164"/>
  <c r="O247" i="164"/>
  <c r="O248" i="164"/>
  <c r="O249" i="164"/>
  <c r="O250" i="164"/>
  <c r="O251" i="164"/>
  <c r="O252" i="164"/>
  <c r="O253" i="164"/>
  <c r="O254" i="164"/>
  <c r="O255" i="164"/>
  <c r="O256" i="164"/>
  <c r="O257" i="164"/>
  <c r="O258" i="164"/>
  <c r="O259" i="164"/>
  <c r="O260" i="164"/>
  <c r="O261" i="164"/>
  <c r="G22" i="163"/>
  <c r="H22" i="163"/>
  <c r="O262" i="164"/>
  <c r="O263" i="164"/>
  <c r="O264" i="164"/>
  <c r="O265" i="164"/>
  <c r="O266" i="164"/>
  <c r="O267" i="164"/>
  <c r="O268" i="164"/>
  <c r="O269" i="164"/>
  <c r="O270" i="164"/>
  <c r="O271" i="164"/>
  <c r="O272" i="164"/>
  <c r="O273" i="164"/>
  <c r="O274" i="164"/>
  <c r="O275" i="164"/>
  <c r="O276" i="164"/>
  <c r="O277" i="164"/>
  <c r="O278" i="164"/>
  <c r="O279" i="164"/>
  <c r="O280" i="164"/>
  <c r="O281" i="164"/>
  <c r="O282" i="164"/>
  <c r="O283" i="164"/>
  <c r="O284" i="164"/>
  <c r="O285" i="164"/>
  <c r="O286" i="164"/>
  <c r="O287" i="164"/>
  <c r="O288" i="164"/>
  <c r="O289" i="164"/>
  <c r="O290" i="164"/>
  <c r="O291" i="164"/>
  <c r="O292" i="164"/>
  <c r="O293" i="164"/>
  <c r="O294" i="164"/>
  <c r="O295" i="164"/>
  <c r="O296" i="164"/>
  <c r="O297" i="164"/>
  <c r="O298" i="164"/>
  <c r="O299" i="164"/>
  <c r="O300" i="164"/>
  <c r="O301" i="164"/>
  <c r="O302" i="164"/>
  <c r="O303" i="164"/>
  <c r="O304" i="164"/>
  <c r="O305" i="164"/>
  <c r="O306" i="164"/>
  <c r="O307" i="164"/>
  <c r="O308" i="164"/>
  <c r="O309" i="164"/>
  <c r="O310" i="164"/>
  <c r="O311" i="164"/>
  <c r="O312" i="164"/>
  <c r="O313" i="164"/>
  <c r="O315" i="164"/>
  <c r="O316" i="164"/>
  <c r="O317" i="164"/>
  <c r="O318" i="164"/>
  <c r="O319" i="164"/>
  <c r="O320" i="164"/>
  <c r="O321" i="164"/>
  <c r="O322" i="164"/>
  <c r="O323" i="164"/>
  <c r="O324" i="164"/>
  <c r="O325" i="164"/>
  <c r="O326" i="164"/>
  <c r="O327" i="164"/>
  <c r="O328" i="164"/>
  <c r="O329" i="164"/>
  <c r="O330" i="164"/>
  <c r="O331" i="164"/>
  <c r="O332" i="164"/>
  <c r="O333" i="164"/>
  <c r="O334" i="164"/>
  <c r="O335" i="164"/>
  <c r="O336" i="164"/>
  <c r="O337" i="164"/>
  <c r="O338" i="164"/>
  <c r="O339" i="164"/>
  <c r="O340" i="164"/>
  <c r="O341" i="164"/>
  <c r="O342" i="164"/>
  <c r="O343" i="164"/>
  <c r="O344" i="164"/>
  <c r="O345" i="164"/>
  <c r="O346" i="164"/>
  <c r="O347" i="164"/>
  <c r="O348" i="164"/>
  <c r="O349" i="164"/>
  <c r="O350" i="164"/>
  <c r="O351" i="164"/>
  <c r="O352" i="164"/>
  <c r="O353" i="164"/>
  <c r="O354" i="164"/>
  <c r="O355" i="164"/>
  <c r="R3" i="163"/>
  <c r="G31" i="163"/>
  <c r="E31" i="163"/>
  <c r="H31" i="163"/>
  <c r="O356" i="164"/>
  <c r="P314" i="164"/>
  <c r="P317" i="164"/>
  <c r="P321" i="164"/>
  <c r="P328" i="164"/>
  <c r="P2" i="164"/>
  <c r="P3" i="164"/>
  <c r="P4" i="164"/>
  <c r="P5" i="164"/>
  <c r="P6" i="164"/>
  <c r="P7" i="164"/>
  <c r="P8" i="164"/>
  <c r="P9" i="164"/>
  <c r="P10" i="164"/>
  <c r="P11" i="164"/>
  <c r="P12" i="164"/>
  <c r="P13" i="164"/>
  <c r="P14" i="164"/>
  <c r="P15" i="164"/>
  <c r="P16" i="164"/>
  <c r="P17" i="164"/>
  <c r="P18" i="164"/>
  <c r="P19" i="164"/>
  <c r="P20" i="164"/>
  <c r="P21" i="164"/>
  <c r="P22" i="164"/>
  <c r="P23" i="164"/>
  <c r="P24" i="164"/>
  <c r="P25" i="164"/>
  <c r="P26" i="164"/>
  <c r="P27" i="164"/>
  <c r="P28" i="164"/>
  <c r="P29" i="164"/>
  <c r="P30" i="164"/>
  <c r="P31" i="164"/>
  <c r="P32" i="164"/>
  <c r="P33" i="164"/>
  <c r="P34" i="164"/>
  <c r="P35" i="164"/>
  <c r="P36" i="164"/>
  <c r="P37" i="164"/>
  <c r="P38" i="164"/>
  <c r="P39" i="164"/>
  <c r="P40" i="164"/>
  <c r="P41" i="164"/>
  <c r="P42" i="164"/>
  <c r="P43" i="164"/>
  <c r="P44" i="164"/>
  <c r="P45" i="164"/>
  <c r="P46" i="164"/>
  <c r="P47" i="164"/>
  <c r="P48" i="164"/>
  <c r="P49" i="164"/>
  <c r="P50" i="164"/>
  <c r="P51" i="164"/>
  <c r="P52" i="164"/>
  <c r="P53" i="164"/>
  <c r="P54" i="164"/>
  <c r="P55" i="164"/>
  <c r="P56" i="164"/>
  <c r="P57" i="164"/>
  <c r="P58" i="164"/>
  <c r="P59" i="164"/>
  <c r="P60" i="164"/>
  <c r="P61" i="164"/>
  <c r="P62" i="164"/>
  <c r="P63" i="164"/>
  <c r="P64" i="164"/>
  <c r="P65" i="164"/>
  <c r="P66" i="164"/>
  <c r="P67" i="164"/>
  <c r="P68" i="164"/>
  <c r="P69" i="164"/>
  <c r="P70" i="164"/>
  <c r="P71" i="164"/>
  <c r="P72" i="164"/>
  <c r="P73" i="164"/>
  <c r="P74" i="164"/>
  <c r="P75" i="164"/>
  <c r="P76" i="164"/>
  <c r="P77" i="164"/>
  <c r="P78" i="164"/>
  <c r="P79" i="164"/>
  <c r="P80" i="164"/>
  <c r="P81" i="164"/>
  <c r="P82" i="164"/>
  <c r="P83" i="164"/>
  <c r="P84" i="164"/>
  <c r="P85" i="164"/>
  <c r="P86" i="164"/>
  <c r="P87" i="164"/>
  <c r="P88" i="164"/>
  <c r="P89" i="164"/>
  <c r="P90" i="164"/>
  <c r="P91" i="164"/>
  <c r="P92" i="164"/>
  <c r="P93" i="164"/>
  <c r="P94" i="164"/>
  <c r="P95" i="164"/>
  <c r="P96" i="164"/>
  <c r="P97" i="164"/>
  <c r="P98" i="164"/>
  <c r="P99" i="164"/>
  <c r="P100" i="164"/>
  <c r="P101" i="164"/>
  <c r="P102" i="164"/>
  <c r="P103" i="164"/>
  <c r="P104" i="164"/>
  <c r="P105" i="164"/>
  <c r="P106" i="164"/>
  <c r="P107" i="164"/>
  <c r="P108" i="164"/>
  <c r="P109" i="164"/>
  <c r="P110" i="164"/>
  <c r="P111" i="164"/>
  <c r="P112" i="164"/>
  <c r="P113" i="164"/>
  <c r="P114" i="164"/>
  <c r="P115" i="164"/>
  <c r="P116" i="164"/>
  <c r="P117" i="164"/>
  <c r="P118" i="164"/>
  <c r="P119" i="164"/>
  <c r="P120" i="164"/>
  <c r="P121" i="164"/>
  <c r="P122" i="164"/>
  <c r="P123" i="164"/>
  <c r="P124" i="164"/>
  <c r="P125" i="164"/>
  <c r="P126" i="164"/>
  <c r="P127" i="164"/>
  <c r="P128" i="164"/>
  <c r="P129" i="164"/>
  <c r="P130" i="164"/>
  <c r="P131" i="164"/>
  <c r="P132" i="164"/>
  <c r="P133" i="164"/>
  <c r="P134" i="164"/>
  <c r="P135" i="164"/>
  <c r="P136" i="164"/>
  <c r="P137" i="164"/>
  <c r="P138" i="164"/>
  <c r="P139" i="164"/>
  <c r="P140" i="164"/>
  <c r="P141" i="164"/>
  <c r="P142" i="164"/>
  <c r="P143" i="164"/>
  <c r="P144" i="164"/>
  <c r="P145" i="164"/>
  <c r="P146" i="164"/>
  <c r="P147" i="164"/>
  <c r="P148" i="164"/>
  <c r="P149" i="164"/>
  <c r="P150" i="164"/>
  <c r="P151" i="164"/>
  <c r="P152" i="164"/>
  <c r="P153" i="164"/>
  <c r="P154" i="164"/>
  <c r="P155" i="164"/>
  <c r="P156" i="164"/>
  <c r="P157" i="164"/>
  <c r="P158" i="164"/>
  <c r="P159" i="164"/>
  <c r="P160" i="164"/>
  <c r="P161" i="164"/>
  <c r="P162" i="164"/>
  <c r="P163" i="164"/>
  <c r="P164" i="164"/>
  <c r="P165" i="164"/>
  <c r="P166" i="164"/>
  <c r="P167" i="164"/>
  <c r="P168" i="164"/>
  <c r="P169" i="164"/>
  <c r="P170" i="164"/>
  <c r="P171" i="164"/>
  <c r="P172" i="164"/>
  <c r="P173" i="164"/>
  <c r="P174" i="164"/>
  <c r="P175" i="164"/>
  <c r="P176" i="164"/>
  <c r="P177" i="164"/>
  <c r="P178" i="164"/>
  <c r="P179" i="164"/>
  <c r="P180" i="164"/>
  <c r="P181" i="164"/>
  <c r="P182" i="164"/>
  <c r="P183" i="164"/>
  <c r="P184" i="164"/>
  <c r="P185" i="164"/>
  <c r="P186" i="164"/>
  <c r="P187" i="164"/>
  <c r="P188" i="164"/>
  <c r="P189" i="164"/>
  <c r="P190" i="164"/>
  <c r="P191" i="164"/>
  <c r="P192" i="164"/>
  <c r="P193" i="164"/>
  <c r="P194" i="164"/>
  <c r="P195" i="164"/>
  <c r="P196" i="164"/>
  <c r="P197" i="164"/>
  <c r="P198" i="164"/>
  <c r="P199" i="164"/>
  <c r="P200" i="164"/>
  <c r="P201" i="164"/>
  <c r="P202" i="164"/>
  <c r="P203" i="164"/>
  <c r="P204" i="164"/>
  <c r="P205" i="164"/>
  <c r="P206" i="164"/>
  <c r="P207" i="164"/>
  <c r="P208" i="164"/>
  <c r="P209" i="164"/>
  <c r="P210" i="164"/>
  <c r="P211" i="164"/>
  <c r="P212" i="164"/>
  <c r="P213" i="164"/>
  <c r="P214" i="164"/>
  <c r="P215" i="164"/>
  <c r="P216" i="164"/>
  <c r="P217" i="164"/>
  <c r="P218" i="164"/>
  <c r="P219" i="164"/>
  <c r="P220" i="164"/>
  <c r="P221" i="164"/>
  <c r="P222" i="164"/>
  <c r="P223" i="164"/>
  <c r="P224" i="164"/>
  <c r="P225" i="164"/>
  <c r="P226" i="164"/>
  <c r="P227" i="164"/>
  <c r="P228" i="164"/>
  <c r="P229" i="164"/>
  <c r="P230" i="164"/>
  <c r="P231" i="164"/>
  <c r="P232" i="164"/>
  <c r="P233" i="164"/>
  <c r="P234" i="164"/>
  <c r="P235" i="164"/>
  <c r="P236" i="164"/>
  <c r="P237" i="164"/>
  <c r="P238" i="164"/>
  <c r="P239" i="164"/>
  <c r="P240" i="164"/>
  <c r="P241" i="164"/>
  <c r="P242" i="164"/>
  <c r="P243" i="164"/>
  <c r="P244" i="164"/>
  <c r="P245" i="164"/>
  <c r="P246" i="164"/>
  <c r="P247" i="164"/>
  <c r="P248" i="164"/>
  <c r="P249" i="164"/>
  <c r="P250" i="164"/>
  <c r="P251" i="164"/>
  <c r="P252" i="164"/>
  <c r="P253" i="164"/>
  <c r="P254" i="164"/>
  <c r="P255" i="164"/>
  <c r="P256" i="164"/>
  <c r="P257" i="164"/>
  <c r="P258" i="164"/>
  <c r="P259" i="164"/>
  <c r="P260" i="164"/>
  <c r="P261" i="164"/>
  <c r="P262" i="164"/>
  <c r="P263" i="164"/>
  <c r="P264" i="164"/>
  <c r="P265" i="164"/>
  <c r="P266" i="164"/>
  <c r="P267" i="164"/>
  <c r="P268" i="164"/>
  <c r="P269" i="164"/>
  <c r="P270" i="164"/>
  <c r="P271" i="164"/>
  <c r="P272" i="164"/>
  <c r="P273" i="164"/>
  <c r="P274" i="164"/>
  <c r="P275" i="164"/>
  <c r="P276" i="164"/>
  <c r="P277" i="164"/>
  <c r="P278" i="164"/>
  <c r="P279" i="164"/>
  <c r="P280" i="164"/>
  <c r="P281" i="164"/>
  <c r="P282" i="164"/>
  <c r="P283" i="164"/>
  <c r="P284" i="164"/>
  <c r="P285" i="164"/>
  <c r="P286" i="164"/>
  <c r="P287" i="164"/>
  <c r="P288" i="164"/>
  <c r="P289" i="164"/>
  <c r="P290" i="164"/>
  <c r="P291" i="164"/>
  <c r="P292" i="164"/>
  <c r="P293" i="164"/>
  <c r="P294" i="164"/>
  <c r="P295" i="164"/>
  <c r="P296" i="164"/>
  <c r="P297" i="164"/>
  <c r="P298" i="164"/>
  <c r="P299" i="164"/>
  <c r="P300" i="164"/>
  <c r="P301" i="164"/>
  <c r="P302" i="164"/>
  <c r="P303" i="164"/>
  <c r="P304" i="164"/>
  <c r="P305" i="164"/>
  <c r="P306" i="164"/>
  <c r="P307" i="164"/>
  <c r="P308" i="164"/>
  <c r="P309" i="164"/>
  <c r="P310" i="164"/>
  <c r="P311" i="164"/>
  <c r="P312" i="164"/>
  <c r="P313" i="164"/>
  <c r="P315" i="164"/>
  <c r="P316" i="164"/>
  <c r="P318" i="164"/>
  <c r="P319" i="164"/>
  <c r="P320" i="164"/>
  <c r="P322" i="164"/>
  <c r="P323" i="164"/>
  <c r="P324" i="164"/>
  <c r="P325" i="164"/>
  <c r="P326" i="164"/>
  <c r="P327" i="164"/>
  <c r="P329" i="164"/>
  <c r="P330" i="164"/>
  <c r="P331" i="164"/>
  <c r="P332" i="164"/>
  <c r="P333" i="164"/>
  <c r="P334" i="164"/>
  <c r="P335" i="164"/>
  <c r="P336" i="164"/>
  <c r="P337" i="164"/>
  <c r="P338" i="164"/>
  <c r="P339" i="164"/>
  <c r="P340" i="164"/>
  <c r="P341" i="164"/>
  <c r="P342" i="164"/>
  <c r="P343" i="164"/>
  <c r="P344" i="164"/>
  <c r="P345" i="164"/>
  <c r="P346" i="164"/>
  <c r="P347" i="164"/>
  <c r="P348" i="164"/>
  <c r="P349" i="164"/>
  <c r="P350" i="164"/>
  <c r="P351" i="164"/>
  <c r="P352" i="164"/>
  <c r="P353" i="164"/>
  <c r="P354" i="164"/>
  <c r="P355" i="164"/>
  <c r="P356" i="164"/>
  <c r="F50" i="163"/>
  <c r="A2" i="161"/>
  <c r="A36" i="161"/>
  <c r="G29" i="161"/>
  <c r="H29" i="161"/>
  <c r="O314" i="162"/>
  <c r="G17" i="161"/>
  <c r="E17" i="161"/>
  <c r="H17" i="161"/>
  <c r="O2" i="162"/>
  <c r="G18" i="161"/>
  <c r="E18" i="161"/>
  <c r="H18" i="161"/>
  <c r="O3" i="162"/>
  <c r="O4" i="162"/>
  <c r="O5" i="162"/>
  <c r="O6" i="162"/>
  <c r="O7" i="162"/>
  <c r="O8" i="162"/>
  <c r="O9" i="162"/>
  <c r="O10" i="162"/>
  <c r="O11" i="162"/>
  <c r="O12" i="162"/>
  <c r="O13" i="162"/>
  <c r="O14" i="162"/>
  <c r="O15" i="162"/>
  <c r="O16" i="162"/>
  <c r="O17" i="162"/>
  <c r="O18" i="162"/>
  <c r="O19" i="162"/>
  <c r="O20" i="162"/>
  <c r="O21" i="162"/>
  <c r="O22" i="162"/>
  <c r="O23" i="162"/>
  <c r="O24" i="162"/>
  <c r="O25" i="162"/>
  <c r="O26" i="162"/>
  <c r="O27" i="162"/>
  <c r="O28" i="162"/>
  <c r="O29" i="162"/>
  <c r="O30" i="162"/>
  <c r="O31" i="162"/>
  <c r="O32" i="162"/>
  <c r="O33" i="162"/>
  <c r="O34" i="162"/>
  <c r="O35" i="162"/>
  <c r="O36" i="162"/>
  <c r="O37" i="162"/>
  <c r="O38" i="162"/>
  <c r="O39" i="162"/>
  <c r="O40" i="162"/>
  <c r="O41" i="162"/>
  <c r="G24" i="161"/>
  <c r="H24" i="161"/>
  <c r="O42" i="162"/>
  <c r="G25" i="161"/>
  <c r="H25" i="161"/>
  <c r="O43" i="162"/>
  <c r="G26" i="161"/>
  <c r="H26" i="161"/>
  <c r="O44" i="162"/>
  <c r="O45" i="162"/>
  <c r="O46" i="162"/>
  <c r="O47" i="162"/>
  <c r="O48" i="162"/>
  <c r="O49" i="162"/>
  <c r="O50" i="162"/>
  <c r="G19" i="161"/>
  <c r="H19" i="161"/>
  <c r="O51" i="162"/>
  <c r="G20" i="161"/>
  <c r="H20" i="161"/>
  <c r="O52" i="162"/>
  <c r="G21" i="161"/>
  <c r="E21" i="161"/>
  <c r="H21" i="161"/>
  <c r="O53" i="162"/>
  <c r="O54" i="162"/>
  <c r="O55" i="162"/>
  <c r="O56" i="162"/>
  <c r="O57" i="162"/>
  <c r="O58" i="162"/>
  <c r="O59" i="162"/>
  <c r="O60" i="162"/>
  <c r="O61" i="162"/>
  <c r="O62" i="162"/>
  <c r="O63" i="162"/>
  <c r="O64" i="162"/>
  <c r="O65" i="162"/>
  <c r="O66" i="162"/>
  <c r="O67" i="162"/>
  <c r="O68" i="162"/>
  <c r="O69" i="162"/>
  <c r="O70" i="162"/>
  <c r="O71" i="162"/>
  <c r="O72" i="162"/>
  <c r="O73" i="162"/>
  <c r="O74" i="162"/>
  <c r="O75" i="162"/>
  <c r="O76" i="162"/>
  <c r="O77" i="162"/>
  <c r="O78" i="162"/>
  <c r="O79" i="162"/>
  <c r="O80" i="162"/>
  <c r="O81" i="162"/>
  <c r="O82" i="162"/>
  <c r="O83" i="162"/>
  <c r="O84" i="162"/>
  <c r="O85" i="162"/>
  <c r="O86" i="162"/>
  <c r="O87" i="162"/>
  <c r="O88" i="162"/>
  <c r="O89" i="162"/>
  <c r="O90" i="162"/>
  <c r="O91" i="162"/>
  <c r="O92" i="162"/>
  <c r="O93" i="162"/>
  <c r="O94" i="162"/>
  <c r="O95" i="162"/>
  <c r="O96" i="162"/>
  <c r="O97" i="162"/>
  <c r="O98" i="162"/>
  <c r="O99" i="162"/>
  <c r="O100" i="162"/>
  <c r="O101" i="162"/>
  <c r="O102" i="162"/>
  <c r="O103" i="162"/>
  <c r="O104" i="162"/>
  <c r="O105" i="162"/>
  <c r="O106" i="162"/>
  <c r="O107" i="162"/>
  <c r="O108" i="162"/>
  <c r="O109" i="162"/>
  <c r="O110" i="162"/>
  <c r="O111" i="162"/>
  <c r="O112" i="162"/>
  <c r="O113" i="162"/>
  <c r="O114" i="162"/>
  <c r="O115" i="162"/>
  <c r="O116" i="162"/>
  <c r="O117" i="162"/>
  <c r="O118" i="162"/>
  <c r="O119" i="162"/>
  <c r="O120" i="162"/>
  <c r="O121" i="162"/>
  <c r="O122" i="162"/>
  <c r="O123" i="162"/>
  <c r="O124" i="162"/>
  <c r="O125" i="162"/>
  <c r="O126" i="162"/>
  <c r="O127" i="162"/>
  <c r="O128" i="162"/>
  <c r="O129" i="162"/>
  <c r="O130" i="162"/>
  <c r="O131" i="162"/>
  <c r="O132" i="162"/>
  <c r="O133" i="162"/>
  <c r="O134" i="162"/>
  <c r="O135" i="162"/>
  <c r="O136" i="162"/>
  <c r="O137" i="162"/>
  <c r="G27" i="161"/>
  <c r="E27" i="161"/>
  <c r="H27" i="161"/>
  <c r="O138" i="162"/>
  <c r="G28" i="161"/>
  <c r="H28" i="161"/>
  <c r="O139" i="162"/>
  <c r="O140" i="162"/>
  <c r="O141" i="162"/>
  <c r="O142" i="162"/>
  <c r="O143" i="162"/>
  <c r="O144" i="162"/>
  <c r="O145" i="162"/>
  <c r="O146" i="162"/>
  <c r="O147" i="162"/>
  <c r="O148" i="162"/>
  <c r="O149" i="162"/>
  <c r="O150" i="162"/>
  <c r="O151" i="162"/>
  <c r="O152" i="162"/>
  <c r="O153" i="162"/>
  <c r="O154" i="162"/>
  <c r="O155" i="162"/>
  <c r="O156" i="162"/>
  <c r="O157" i="162"/>
  <c r="O158" i="162"/>
  <c r="O159" i="162"/>
  <c r="O160" i="162"/>
  <c r="O161" i="162"/>
  <c r="O162" i="162"/>
  <c r="O163" i="162"/>
  <c r="O164" i="162"/>
  <c r="O165" i="162"/>
  <c r="O166" i="162"/>
  <c r="O167" i="162"/>
  <c r="O168" i="162"/>
  <c r="O169" i="162"/>
  <c r="O170" i="162"/>
  <c r="O171" i="162"/>
  <c r="O172" i="162"/>
  <c r="O173" i="162"/>
  <c r="O174" i="162"/>
  <c r="O175" i="162"/>
  <c r="O176" i="162"/>
  <c r="O177" i="162"/>
  <c r="O178" i="162"/>
  <c r="O179" i="162"/>
  <c r="O180" i="162"/>
  <c r="O181" i="162"/>
  <c r="O182" i="162"/>
  <c r="O183" i="162"/>
  <c r="O184" i="162"/>
  <c r="O185" i="162"/>
  <c r="O186" i="162"/>
  <c r="O187" i="162"/>
  <c r="O188" i="162"/>
  <c r="O189" i="162"/>
  <c r="O190" i="162"/>
  <c r="O191" i="162"/>
  <c r="O192" i="162"/>
  <c r="O193" i="162"/>
  <c r="O194" i="162"/>
  <c r="O195" i="162"/>
  <c r="O196" i="162"/>
  <c r="O197" i="162"/>
  <c r="O198" i="162"/>
  <c r="O199" i="162"/>
  <c r="O200" i="162"/>
  <c r="O201" i="162"/>
  <c r="O202" i="162"/>
  <c r="O203" i="162"/>
  <c r="O204" i="162"/>
  <c r="O205" i="162"/>
  <c r="O206" i="162"/>
  <c r="O207" i="162"/>
  <c r="O208" i="162"/>
  <c r="O209" i="162"/>
  <c r="O210" i="162"/>
  <c r="O211" i="162"/>
  <c r="O212" i="162"/>
  <c r="O213" i="162"/>
  <c r="O214" i="162"/>
  <c r="G23" i="161"/>
  <c r="H23" i="161"/>
  <c r="O215" i="162"/>
  <c r="O216" i="162"/>
  <c r="O217" i="162"/>
  <c r="O218" i="162"/>
  <c r="O219" i="162"/>
  <c r="O220" i="162"/>
  <c r="O221" i="162"/>
  <c r="O222" i="162"/>
  <c r="O223" i="162"/>
  <c r="O224" i="162"/>
  <c r="O225" i="162"/>
  <c r="O226" i="162"/>
  <c r="O227" i="162"/>
  <c r="O228" i="162"/>
  <c r="O229" i="162"/>
  <c r="O230" i="162"/>
  <c r="O231" i="162"/>
  <c r="O232" i="162"/>
  <c r="O233" i="162"/>
  <c r="O234" i="162"/>
  <c r="O235" i="162"/>
  <c r="O236" i="162"/>
  <c r="O237" i="162"/>
  <c r="O238" i="162"/>
  <c r="O239" i="162"/>
  <c r="O240" i="162"/>
  <c r="O241" i="162"/>
  <c r="O242" i="162"/>
  <c r="O243" i="162"/>
  <c r="O244" i="162"/>
  <c r="O245" i="162"/>
  <c r="O246" i="162"/>
  <c r="O247" i="162"/>
  <c r="O248" i="162"/>
  <c r="O249" i="162"/>
  <c r="O250" i="162"/>
  <c r="O251" i="162"/>
  <c r="O252" i="162"/>
  <c r="O253" i="162"/>
  <c r="O254" i="162"/>
  <c r="O255" i="162"/>
  <c r="O256" i="162"/>
  <c r="O257" i="162"/>
  <c r="O258" i="162"/>
  <c r="O259" i="162"/>
  <c r="O260" i="162"/>
  <c r="O261" i="162"/>
  <c r="G22" i="161"/>
  <c r="H22" i="161"/>
  <c r="O262" i="162"/>
  <c r="O263" i="162"/>
  <c r="O264" i="162"/>
  <c r="O265" i="162"/>
  <c r="O266" i="162"/>
  <c r="O267" i="162"/>
  <c r="O268" i="162"/>
  <c r="O269" i="162"/>
  <c r="O270" i="162"/>
  <c r="O271" i="162"/>
  <c r="O272" i="162"/>
  <c r="O273" i="162"/>
  <c r="O274" i="162"/>
  <c r="O275" i="162"/>
  <c r="O276" i="162"/>
  <c r="O277" i="162"/>
  <c r="O278" i="162"/>
  <c r="O279" i="162"/>
  <c r="O280" i="162"/>
  <c r="O281" i="162"/>
  <c r="O282" i="162"/>
  <c r="O283" i="162"/>
  <c r="O284" i="162"/>
  <c r="O285" i="162"/>
  <c r="O286" i="162"/>
  <c r="O287" i="162"/>
  <c r="O288" i="162"/>
  <c r="O289" i="162"/>
  <c r="O290" i="162"/>
  <c r="O291" i="162"/>
  <c r="O292" i="162"/>
  <c r="O293" i="162"/>
  <c r="O294" i="162"/>
  <c r="O295" i="162"/>
  <c r="O296" i="162"/>
  <c r="O297" i="162"/>
  <c r="O298" i="162"/>
  <c r="O299" i="162"/>
  <c r="O300" i="162"/>
  <c r="O301" i="162"/>
  <c r="O302" i="162"/>
  <c r="O303" i="162"/>
  <c r="O304" i="162"/>
  <c r="O305" i="162"/>
  <c r="O306" i="162"/>
  <c r="O307" i="162"/>
  <c r="O308" i="162"/>
  <c r="O309" i="162"/>
  <c r="O310" i="162"/>
  <c r="O311" i="162"/>
  <c r="O312" i="162"/>
  <c r="O313" i="162"/>
  <c r="O315" i="162"/>
  <c r="O316" i="162"/>
  <c r="O317" i="162"/>
  <c r="O318" i="162"/>
  <c r="O319" i="162"/>
  <c r="O320" i="162"/>
  <c r="O321" i="162"/>
  <c r="O322" i="162"/>
  <c r="O323" i="162"/>
  <c r="O324" i="162"/>
  <c r="O325" i="162"/>
  <c r="O326" i="162"/>
  <c r="O327" i="162"/>
  <c r="O328" i="162"/>
  <c r="O329" i="162"/>
  <c r="O330" i="162"/>
  <c r="O331" i="162"/>
  <c r="O332" i="162"/>
  <c r="O333" i="162"/>
  <c r="O334" i="162"/>
  <c r="O335" i="162"/>
  <c r="O336" i="162"/>
  <c r="O337" i="162"/>
  <c r="O338" i="162"/>
  <c r="O339" i="162"/>
  <c r="O340" i="162"/>
  <c r="O341" i="162"/>
  <c r="O342" i="162"/>
  <c r="O343" i="162"/>
  <c r="O344" i="162"/>
  <c r="O345" i="162"/>
  <c r="O346" i="162"/>
  <c r="O347" i="162"/>
  <c r="O348" i="162"/>
  <c r="O349" i="162"/>
  <c r="O350" i="162"/>
  <c r="O351" i="162"/>
  <c r="O352" i="162"/>
  <c r="O353" i="162"/>
  <c r="O354" i="162"/>
  <c r="O355" i="162"/>
  <c r="R3" i="161"/>
  <c r="G31" i="161"/>
  <c r="E31" i="161"/>
  <c r="H31" i="161"/>
  <c r="O356" i="162"/>
  <c r="P314" i="162"/>
  <c r="P317" i="162"/>
  <c r="P321" i="162"/>
  <c r="P328" i="162"/>
  <c r="P2" i="162"/>
  <c r="P3" i="162"/>
  <c r="P4" i="162"/>
  <c r="P5" i="162"/>
  <c r="P6" i="162"/>
  <c r="P7" i="162"/>
  <c r="P8" i="162"/>
  <c r="P9" i="162"/>
  <c r="P10" i="162"/>
  <c r="P11" i="162"/>
  <c r="P12" i="162"/>
  <c r="P13" i="162"/>
  <c r="P14" i="162"/>
  <c r="P15" i="162"/>
  <c r="P16" i="162"/>
  <c r="P17" i="162"/>
  <c r="P18" i="162"/>
  <c r="P19" i="162"/>
  <c r="P20" i="162"/>
  <c r="P21" i="162"/>
  <c r="P22" i="162"/>
  <c r="P23" i="162"/>
  <c r="P24" i="162"/>
  <c r="P25" i="162"/>
  <c r="P26" i="162"/>
  <c r="P27" i="162"/>
  <c r="P28" i="162"/>
  <c r="P29" i="162"/>
  <c r="P30" i="162"/>
  <c r="P31" i="162"/>
  <c r="P32" i="162"/>
  <c r="P33" i="162"/>
  <c r="P34" i="162"/>
  <c r="P35" i="162"/>
  <c r="P36" i="162"/>
  <c r="P37" i="162"/>
  <c r="P38" i="162"/>
  <c r="P39" i="162"/>
  <c r="P40" i="162"/>
  <c r="P41" i="162"/>
  <c r="P42" i="162"/>
  <c r="P43" i="162"/>
  <c r="P44" i="162"/>
  <c r="P45" i="162"/>
  <c r="P46" i="162"/>
  <c r="P47" i="162"/>
  <c r="P48" i="162"/>
  <c r="P49" i="162"/>
  <c r="P50" i="162"/>
  <c r="P51" i="162"/>
  <c r="P52" i="162"/>
  <c r="P53" i="162"/>
  <c r="P54" i="162"/>
  <c r="P55" i="162"/>
  <c r="P56" i="162"/>
  <c r="P57" i="162"/>
  <c r="P58" i="162"/>
  <c r="P59" i="162"/>
  <c r="P60" i="162"/>
  <c r="P61" i="162"/>
  <c r="P62" i="162"/>
  <c r="P63" i="162"/>
  <c r="P64" i="162"/>
  <c r="P65" i="162"/>
  <c r="P66" i="162"/>
  <c r="P67" i="162"/>
  <c r="P68" i="162"/>
  <c r="P69" i="162"/>
  <c r="P70" i="162"/>
  <c r="P71" i="162"/>
  <c r="P72" i="162"/>
  <c r="P73" i="162"/>
  <c r="P74" i="162"/>
  <c r="P75" i="162"/>
  <c r="P76" i="162"/>
  <c r="P77" i="162"/>
  <c r="P78" i="162"/>
  <c r="P79" i="162"/>
  <c r="P80" i="162"/>
  <c r="P81" i="162"/>
  <c r="P82" i="162"/>
  <c r="P83" i="162"/>
  <c r="P84" i="162"/>
  <c r="P85" i="162"/>
  <c r="P86" i="162"/>
  <c r="P87" i="162"/>
  <c r="P88" i="162"/>
  <c r="P89" i="162"/>
  <c r="P90" i="162"/>
  <c r="P91" i="162"/>
  <c r="P92" i="162"/>
  <c r="P93" i="162"/>
  <c r="P94" i="162"/>
  <c r="P95" i="162"/>
  <c r="P96" i="162"/>
  <c r="P97" i="162"/>
  <c r="P98" i="162"/>
  <c r="P99" i="162"/>
  <c r="P100" i="162"/>
  <c r="P101" i="162"/>
  <c r="P102" i="162"/>
  <c r="P103" i="162"/>
  <c r="P104" i="162"/>
  <c r="P105" i="162"/>
  <c r="P106" i="162"/>
  <c r="P107" i="162"/>
  <c r="P108" i="162"/>
  <c r="P109" i="162"/>
  <c r="P110" i="162"/>
  <c r="P111" i="162"/>
  <c r="P112" i="162"/>
  <c r="P113" i="162"/>
  <c r="P114" i="162"/>
  <c r="P115" i="162"/>
  <c r="P116" i="162"/>
  <c r="P117" i="162"/>
  <c r="P118" i="162"/>
  <c r="P119" i="162"/>
  <c r="P120" i="162"/>
  <c r="P121" i="162"/>
  <c r="P122" i="162"/>
  <c r="P123" i="162"/>
  <c r="P124" i="162"/>
  <c r="P125" i="162"/>
  <c r="P126" i="162"/>
  <c r="P127" i="162"/>
  <c r="P128" i="162"/>
  <c r="P129" i="162"/>
  <c r="P130" i="162"/>
  <c r="P131" i="162"/>
  <c r="P132" i="162"/>
  <c r="P133" i="162"/>
  <c r="P134" i="162"/>
  <c r="P135" i="162"/>
  <c r="P136" i="162"/>
  <c r="P137" i="162"/>
  <c r="P138" i="162"/>
  <c r="P139" i="162"/>
  <c r="P140" i="162"/>
  <c r="P141" i="162"/>
  <c r="P142" i="162"/>
  <c r="P143" i="162"/>
  <c r="P144" i="162"/>
  <c r="P145" i="162"/>
  <c r="P146" i="162"/>
  <c r="P147" i="162"/>
  <c r="P148" i="162"/>
  <c r="P149" i="162"/>
  <c r="P150" i="162"/>
  <c r="P151" i="162"/>
  <c r="P152" i="162"/>
  <c r="P153" i="162"/>
  <c r="P154" i="162"/>
  <c r="P155" i="162"/>
  <c r="P156" i="162"/>
  <c r="P157" i="162"/>
  <c r="P158" i="162"/>
  <c r="P159" i="162"/>
  <c r="P160" i="162"/>
  <c r="P161" i="162"/>
  <c r="P162" i="162"/>
  <c r="P163" i="162"/>
  <c r="P164" i="162"/>
  <c r="P165" i="162"/>
  <c r="P166" i="162"/>
  <c r="P167" i="162"/>
  <c r="P168" i="162"/>
  <c r="P169" i="162"/>
  <c r="P170" i="162"/>
  <c r="P171" i="162"/>
  <c r="P172" i="162"/>
  <c r="P173" i="162"/>
  <c r="P174" i="162"/>
  <c r="P175" i="162"/>
  <c r="P176" i="162"/>
  <c r="P177" i="162"/>
  <c r="P178" i="162"/>
  <c r="P179" i="162"/>
  <c r="P180" i="162"/>
  <c r="P181" i="162"/>
  <c r="P182" i="162"/>
  <c r="P183" i="162"/>
  <c r="P184" i="162"/>
  <c r="P185" i="162"/>
  <c r="P186" i="162"/>
  <c r="P187" i="162"/>
  <c r="P188" i="162"/>
  <c r="P189" i="162"/>
  <c r="P190" i="162"/>
  <c r="P191" i="162"/>
  <c r="P192" i="162"/>
  <c r="P193" i="162"/>
  <c r="P194" i="162"/>
  <c r="P195" i="162"/>
  <c r="P196" i="162"/>
  <c r="P197" i="162"/>
  <c r="P198" i="162"/>
  <c r="P199" i="162"/>
  <c r="P200" i="162"/>
  <c r="P201" i="162"/>
  <c r="P202" i="162"/>
  <c r="P203" i="162"/>
  <c r="P204" i="162"/>
  <c r="P205" i="162"/>
  <c r="P206" i="162"/>
  <c r="P207" i="162"/>
  <c r="P208" i="162"/>
  <c r="P209" i="162"/>
  <c r="P210" i="162"/>
  <c r="P211" i="162"/>
  <c r="P212" i="162"/>
  <c r="P213" i="162"/>
  <c r="P214" i="162"/>
  <c r="P215" i="162"/>
  <c r="P216" i="162"/>
  <c r="P217" i="162"/>
  <c r="P218" i="162"/>
  <c r="P219" i="162"/>
  <c r="P220" i="162"/>
  <c r="P221" i="162"/>
  <c r="P222" i="162"/>
  <c r="P223" i="162"/>
  <c r="P224" i="162"/>
  <c r="P225" i="162"/>
  <c r="P226" i="162"/>
  <c r="P227" i="162"/>
  <c r="P228" i="162"/>
  <c r="P229" i="162"/>
  <c r="P230" i="162"/>
  <c r="P231" i="162"/>
  <c r="P232" i="162"/>
  <c r="P233" i="162"/>
  <c r="P234" i="162"/>
  <c r="P235" i="162"/>
  <c r="P236" i="162"/>
  <c r="P237" i="162"/>
  <c r="P238" i="162"/>
  <c r="P239" i="162"/>
  <c r="P240" i="162"/>
  <c r="P241" i="162"/>
  <c r="P242" i="162"/>
  <c r="P243" i="162"/>
  <c r="P244" i="162"/>
  <c r="P245" i="162"/>
  <c r="P246" i="162"/>
  <c r="P247" i="162"/>
  <c r="P248" i="162"/>
  <c r="P249" i="162"/>
  <c r="P250" i="162"/>
  <c r="P251" i="162"/>
  <c r="P252" i="162"/>
  <c r="P253" i="162"/>
  <c r="P254" i="162"/>
  <c r="P255" i="162"/>
  <c r="P256" i="162"/>
  <c r="P257" i="162"/>
  <c r="P258" i="162"/>
  <c r="P259" i="162"/>
  <c r="P260" i="162"/>
  <c r="P261" i="162"/>
  <c r="P262" i="162"/>
  <c r="P263" i="162"/>
  <c r="P264" i="162"/>
  <c r="P265" i="162"/>
  <c r="P266" i="162"/>
  <c r="P267" i="162"/>
  <c r="P268" i="162"/>
  <c r="P269" i="162"/>
  <c r="P270" i="162"/>
  <c r="P271" i="162"/>
  <c r="P272" i="162"/>
  <c r="P273" i="162"/>
  <c r="P274" i="162"/>
  <c r="P275" i="162"/>
  <c r="P276" i="162"/>
  <c r="P277" i="162"/>
  <c r="P278" i="162"/>
  <c r="P279" i="162"/>
  <c r="P280" i="162"/>
  <c r="P281" i="162"/>
  <c r="P282" i="162"/>
  <c r="P283" i="162"/>
  <c r="P284" i="162"/>
  <c r="P285" i="162"/>
  <c r="P286" i="162"/>
  <c r="P287" i="162"/>
  <c r="P288" i="162"/>
  <c r="P289" i="162"/>
  <c r="P290" i="162"/>
  <c r="P291" i="162"/>
  <c r="P292" i="162"/>
  <c r="P293" i="162"/>
  <c r="P294" i="162"/>
  <c r="P295" i="162"/>
  <c r="P296" i="162"/>
  <c r="P297" i="162"/>
  <c r="P298" i="162"/>
  <c r="P299" i="162"/>
  <c r="P300" i="162"/>
  <c r="P301" i="162"/>
  <c r="P302" i="162"/>
  <c r="P303" i="162"/>
  <c r="P304" i="162"/>
  <c r="P305" i="162"/>
  <c r="P306" i="162"/>
  <c r="P307" i="162"/>
  <c r="P308" i="162"/>
  <c r="P309" i="162"/>
  <c r="P310" i="162"/>
  <c r="P311" i="162"/>
  <c r="P312" i="162"/>
  <c r="P313" i="162"/>
  <c r="P315" i="162"/>
  <c r="P316" i="162"/>
  <c r="P318" i="162"/>
  <c r="P319" i="162"/>
  <c r="P320" i="162"/>
  <c r="P322" i="162"/>
  <c r="P323" i="162"/>
  <c r="P324" i="162"/>
  <c r="P325" i="162"/>
  <c r="P326" i="162"/>
  <c r="P327" i="162"/>
  <c r="P329" i="162"/>
  <c r="P330" i="162"/>
  <c r="P331" i="162"/>
  <c r="P332" i="162"/>
  <c r="P333" i="162"/>
  <c r="P334" i="162"/>
  <c r="P335" i="162"/>
  <c r="P336" i="162"/>
  <c r="P337" i="162"/>
  <c r="P338" i="162"/>
  <c r="P339" i="162"/>
  <c r="P340" i="162"/>
  <c r="P341" i="162"/>
  <c r="P342" i="162"/>
  <c r="P343" i="162"/>
  <c r="P344" i="162"/>
  <c r="P345" i="162"/>
  <c r="P346" i="162"/>
  <c r="P347" i="162"/>
  <c r="P348" i="162"/>
  <c r="P349" i="162"/>
  <c r="P350" i="162"/>
  <c r="P351" i="162"/>
  <c r="P352" i="162"/>
  <c r="P353" i="162"/>
  <c r="P354" i="162"/>
  <c r="P355" i="162"/>
  <c r="P356" i="162"/>
  <c r="F50" i="161"/>
  <c r="A2" i="159"/>
  <c r="A36" i="159"/>
  <c r="G29" i="159"/>
  <c r="H29" i="159"/>
  <c r="O314" i="160"/>
  <c r="G17" i="159"/>
  <c r="E17" i="159"/>
  <c r="H17" i="159"/>
  <c r="O2" i="160"/>
  <c r="G18" i="159"/>
  <c r="E18" i="159"/>
  <c r="H18" i="159"/>
  <c r="O3" i="160"/>
  <c r="O4" i="160"/>
  <c r="O5" i="160"/>
  <c r="O6" i="160"/>
  <c r="O7" i="160"/>
  <c r="O8" i="160"/>
  <c r="O9" i="160"/>
  <c r="O10" i="160"/>
  <c r="O11" i="160"/>
  <c r="O12" i="160"/>
  <c r="O13" i="160"/>
  <c r="O14" i="160"/>
  <c r="O15" i="160"/>
  <c r="O16" i="160"/>
  <c r="O17" i="160"/>
  <c r="O18" i="160"/>
  <c r="O19" i="160"/>
  <c r="O20" i="160"/>
  <c r="O21" i="160"/>
  <c r="O22" i="160"/>
  <c r="O23" i="160"/>
  <c r="O24" i="160"/>
  <c r="O25" i="160"/>
  <c r="O26" i="160"/>
  <c r="O27" i="160"/>
  <c r="O28" i="160"/>
  <c r="O29" i="160"/>
  <c r="O30" i="160"/>
  <c r="O31" i="160"/>
  <c r="O32" i="160"/>
  <c r="O33" i="160"/>
  <c r="O34" i="160"/>
  <c r="O35" i="160"/>
  <c r="O36" i="160"/>
  <c r="O37" i="160"/>
  <c r="O38" i="160"/>
  <c r="O39" i="160"/>
  <c r="O40" i="160"/>
  <c r="O41" i="160"/>
  <c r="G24" i="159"/>
  <c r="H24" i="159"/>
  <c r="O42" i="160"/>
  <c r="G25" i="159"/>
  <c r="H25" i="159"/>
  <c r="O43" i="160"/>
  <c r="G26" i="159"/>
  <c r="H26" i="159"/>
  <c r="O44" i="160"/>
  <c r="O45" i="160"/>
  <c r="O46" i="160"/>
  <c r="O47" i="160"/>
  <c r="O48" i="160"/>
  <c r="O49" i="160"/>
  <c r="O50" i="160"/>
  <c r="G19" i="159"/>
  <c r="H19" i="159"/>
  <c r="O51" i="160"/>
  <c r="G20" i="159"/>
  <c r="H20" i="159"/>
  <c r="O52" i="160"/>
  <c r="G21" i="159"/>
  <c r="E21" i="159"/>
  <c r="H21" i="159"/>
  <c r="O53" i="160"/>
  <c r="O54" i="160"/>
  <c r="O55" i="160"/>
  <c r="O56" i="160"/>
  <c r="O57" i="160"/>
  <c r="O58" i="160"/>
  <c r="O59" i="160"/>
  <c r="O60" i="160"/>
  <c r="O61" i="160"/>
  <c r="O62" i="160"/>
  <c r="O63" i="160"/>
  <c r="O64" i="160"/>
  <c r="O65" i="160"/>
  <c r="O66" i="160"/>
  <c r="O67" i="160"/>
  <c r="O68" i="160"/>
  <c r="O69" i="160"/>
  <c r="O70" i="160"/>
  <c r="O71" i="160"/>
  <c r="O72" i="160"/>
  <c r="O73" i="160"/>
  <c r="O74" i="160"/>
  <c r="O75" i="160"/>
  <c r="O76" i="160"/>
  <c r="O77" i="160"/>
  <c r="O78" i="160"/>
  <c r="O79" i="160"/>
  <c r="O80" i="160"/>
  <c r="O81" i="160"/>
  <c r="O82" i="160"/>
  <c r="O83" i="160"/>
  <c r="O84" i="160"/>
  <c r="O85" i="160"/>
  <c r="O86" i="160"/>
  <c r="O87" i="160"/>
  <c r="O88" i="160"/>
  <c r="O89" i="160"/>
  <c r="O90" i="160"/>
  <c r="O91" i="160"/>
  <c r="O92" i="160"/>
  <c r="O93" i="160"/>
  <c r="O94" i="160"/>
  <c r="O95" i="160"/>
  <c r="O96" i="160"/>
  <c r="O97" i="160"/>
  <c r="O98" i="160"/>
  <c r="O99" i="160"/>
  <c r="O100" i="160"/>
  <c r="O101" i="160"/>
  <c r="O102" i="160"/>
  <c r="O103" i="160"/>
  <c r="O104" i="160"/>
  <c r="O105" i="160"/>
  <c r="O106" i="160"/>
  <c r="O107" i="160"/>
  <c r="O108" i="160"/>
  <c r="O109" i="160"/>
  <c r="O110" i="160"/>
  <c r="O111" i="160"/>
  <c r="O112" i="160"/>
  <c r="O113" i="160"/>
  <c r="O114" i="160"/>
  <c r="O115" i="160"/>
  <c r="O116" i="160"/>
  <c r="O117" i="160"/>
  <c r="O118" i="160"/>
  <c r="O119" i="160"/>
  <c r="O120" i="160"/>
  <c r="O121" i="160"/>
  <c r="O122" i="160"/>
  <c r="O123" i="160"/>
  <c r="O124" i="160"/>
  <c r="O125" i="160"/>
  <c r="O126" i="160"/>
  <c r="O127" i="160"/>
  <c r="O128" i="160"/>
  <c r="O129" i="160"/>
  <c r="O130" i="160"/>
  <c r="O131" i="160"/>
  <c r="O132" i="160"/>
  <c r="O133" i="160"/>
  <c r="O134" i="160"/>
  <c r="O135" i="160"/>
  <c r="O136" i="160"/>
  <c r="O137" i="160"/>
  <c r="G27" i="159"/>
  <c r="E27" i="159"/>
  <c r="H27" i="159"/>
  <c r="O138" i="160"/>
  <c r="G28" i="159"/>
  <c r="H28" i="159"/>
  <c r="O139" i="160"/>
  <c r="O140" i="160"/>
  <c r="O141" i="160"/>
  <c r="O142" i="160"/>
  <c r="O143" i="160"/>
  <c r="O144" i="160"/>
  <c r="O145" i="160"/>
  <c r="O146" i="160"/>
  <c r="O147" i="160"/>
  <c r="O148" i="160"/>
  <c r="O149" i="160"/>
  <c r="O150" i="160"/>
  <c r="O151" i="160"/>
  <c r="O152" i="160"/>
  <c r="O153" i="160"/>
  <c r="O154" i="160"/>
  <c r="O155" i="160"/>
  <c r="O156" i="160"/>
  <c r="O157" i="160"/>
  <c r="O158" i="160"/>
  <c r="O159" i="160"/>
  <c r="O160" i="160"/>
  <c r="O161" i="160"/>
  <c r="O162" i="160"/>
  <c r="O163" i="160"/>
  <c r="O164" i="160"/>
  <c r="O165" i="160"/>
  <c r="O166" i="160"/>
  <c r="O167" i="160"/>
  <c r="O168" i="160"/>
  <c r="O169" i="160"/>
  <c r="O170" i="160"/>
  <c r="O171" i="160"/>
  <c r="O172" i="160"/>
  <c r="O173" i="160"/>
  <c r="O174" i="160"/>
  <c r="O175" i="160"/>
  <c r="O176" i="160"/>
  <c r="O177" i="160"/>
  <c r="O178" i="160"/>
  <c r="O179" i="160"/>
  <c r="O180" i="160"/>
  <c r="O181" i="160"/>
  <c r="O182" i="160"/>
  <c r="O183" i="160"/>
  <c r="O184" i="160"/>
  <c r="O185" i="160"/>
  <c r="O186" i="160"/>
  <c r="O187" i="160"/>
  <c r="O188" i="160"/>
  <c r="O189" i="160"/>
  <c r="O190" i="160"/>
  <c r="O191" i="160"/>
  <c r="O192" i="160"/>
  <c r="O193" i="160"/>
  <c r="O194" i="160"/>
  <c r="O195" i="160"/>
  <c r="O196" i="160"/>
  <c r="O197" i="160"/>
  <c r="O198" i="160"/>
  <c r="O199" i="160"/>
  <c r="O200" i="160"/>
  <c r="O201" i="160"/>
  <c r="O202" i="160"/>
  <c r="O203" i="160"/>
  <c r="O204" i="160"/>
  <c r="O205" i="160"/>
  <c r="O206" i="160"/>
  <c r="O207" i="160"/>
  <c r="O208" i="160"/>
  <c r="O209" i="160"/>
  <c r="O210" i="160"/>
  <c r="O211" i="160"/>
  <c r="O212" i="160"/>
  <c r="O213" i="160"/>
  <c r="O214" i="160"/>
  <c r="G23" i="159"/>
  <c r="H23" i="159"/>
  <c r="O215" i="160"/>
  <c r="O216" i="160"/>
  <c r="O217" i="160"/>
  <c r="O218" i="160"/>
  <c r="O219" i="160"/>
  <c r="O220" i="160"/>
  <c r="O221" i="160"/>
  <c r="O222" i="160"/>
  <c r="O223" i="160"/>
  <c r="O224" i="160"/>
  <c r="O225" i="160"/>
  <c r="O226" i="160"/>
  <c r="O227" i="160"/>
  <c r="O228" i="160"/>
  <c r="O229" i="160"/>
  <c r="O230" i="160"/>
  <c r="O231" i="160"/>
  <c r="O232" i="160"/>
  <c r="O233" i="160"/>
  <c r="O234" i="160"/>
  <c r="O235" i="160"/>
  <c r="O236" i="160"/>
  <c r="O237" i="160"/>
  <c r="O238" i="160"/>
  <c r="O239" i="160"/>
  <c r="O240" i="160"/>
  <c r="O241" i="160"/>
  <c r="O242" i="160"/>
  <c r="O243" i="160"/>
  <c r="O244" i="160"/>
  <c r="O245" i="160"/>
  <c r="O246" i="160"/>
  <c r="O247" i="160"/>
  <c r="O248" i="160"/>
  <c r="O249" i="160"/>
  <c r="O250" i="160"/>
  <c r="O251" i="160"/>
  <c r="O252" i="160"/>
  <c r="O253" i="160"/>
  <c r="O254" i="160"/>
  <c r="O255" i="160"/>
  <c r="O256" i="160"/>
  <c r="O257" i="160"/>
  <c r="O258" i="160"/>
  <c r="O259" i="160"/>
  <c r="O260" i="160"/>
  <c r="O261" i="160"/>
  <c r="G22" i="159"/>
  <c r="H22" i="159"/>
  <c r="O262" i="160"/>
  <c r="O263" i="160"/>
  <c r="O264" i="160"/>
  <c r="O265" i="160"/>
  <c r="O266" i="160"/>
  <c r="O267" i="160"/>
  <c r="O268" i="160"/>
  <c r="O269" i="160"/>
  <c r="O270" i="160"/>
  <c r="O271" i="160"/>
  <c r="O272" i="160"/>
  <c r="O273" i="160"/>
  <c r="O274" i="160"/>
  <c r="O275" i="160"/>
  <c r="O276" i="160"/>
  <c r="O277" i="160"/>
  <c r="O278" i="160"/>
  <c r="O279" i="160"/>
  <c r="O280" i="160"/>
  <c r="O281" i="160"/>
  <c r="O282" i="160"/>
  <c r="O283" i="160"/>
  <c r="O284" i="160"/>
  <c r="O285" i="160"/>
  <c r="O286" i="160"/>
  <c r="O287" i="160"/>
  <c r="O288" i="160"/>
  <c r="O289" i="160"/>
  <c r="O290" i="160"/>
  <c r="O291" i="160"/>
  <c r="O292" i="160"/>
  <c r="O293" i="160"/>
  <c r="O294" i="160"/>
  <c r="O295" i="160"/>
  <c r="O296" i="160"/>
  <c r="O297" i="160"/>
  <c r="O298" i="160"/>
  <c r="O299" i="160"/>
  <c r="O300" i="160"/>
  <c r="O301" i="160"/>
  <c r="O302" i="160"/>
  <c r="O303" i="160"/>
  <c r="O304" i="160"/>
  <c r="O305" i="160"/>
  <c r="O306" i="160"/>
  <c r="O307" i="160"/>
  <c r="O308" i="160"/>
  <c r="O309" i="160"/>
  <c r="O310" i="160"/>
  <c r="O311" i="160"/>
  <c r="O312" i="160"/>
  <c r="O313" i="160"/>
  <c r="O315" i="160"/>
  <c r="O316" i="160"/>
  <c r="O317" i="160"/>
  <c r="O318" i="160"/>
  <c r="O319" i="160"/>
  <c r="O320" i="160"/>
  <c r="O321" i="160"/>
  <c r="O322" i="160"/>
  <c r="O323" i="160"/>
  <c r="O324" i="160"/>
  <c r="O325" i="160"/>
  <c r="O326" i="160"/>
  <c r="O327" i="160"/>
  <c r="O328" i="160"/>
  <c r="O329" i="160"/>
  <c r="O330" i="160"/>
  <c r="O331" i="160"/>
  <c r="O332" i="160"/>
  <c r="O333" i="160"/>
  <c r="O334" i="160"/>
  <c r="O335" i="160"/>
  <c r="O336" i="160"/>
  <c r="O337" i="160"/>
  <c r="O338" i="160"/>
  <c r="O339" i="160"/>
  <c r="O340" i="160"/>
  <c r="O341" i="160"/>
  <c r="O342" i="160"/>
  <c r="O343" i="160"/>
  <c r="O344" i="160"/>
  <c r="O345" i="160"/>
  <c r="O346" i="160"/>
  <c r="O347" i="160"/>
  <c r="O348" i="160"/>
  <c r="O349" i="160"/>
  <c r="O350" i="160"/>
  <c r="O351" i="160"/>
  <c r="O352" i="160"/>
  <c r="O353" i="160"/>
  <c r="O354" i="160"/>
  <c r="O355" i="160"/>
  <c r="R3" i="159"/>
  <c r="G31" i="159"/>
  <c r="E31" i="159"/>
  <c r="H31" i="159"/>
  <c r="O356" i="160"/>
  <c r="P314" i="160"/>
  <c r="P317" i="160"/>
  <c r="P321" i="160"/>
  <c r="P328" i="160"/>
  <c r="P2" i="160"/>
  <c r="P3" i="160"/>
  <c r="P4" i="160"/>
  <c r="P5" i="160"/>
  <c r="P6" i="160"/>
  <c r="P7" i="160"/>
  <c r="P8" i="160"/>
  <c r="P9" i="160"/>
  <c r="P10" i="160"/>
  <c r="P11" i="160"/>
  <c r="P12" i="160"/>
  <c r="P13" i="160"/>
  <c r="P14" i="160"/>
  <c r="P15" i="160"/>
  <c r="P16" i="160"/>
  <c r="P17" i="160"/>
  <c r="P18" i="160"/>
  <c r="P19" i="160"/>
  <c r="P20" i="160"/>
  <c r="P21" i="160"/>
  <c r="P22" i="160"/>
  <c r="P23" i="160"/>
  <c r="P24" i="160"/>
  <c r="P25" i="160"/>
  <c r="P26" i="160"/>
  <c r="P27" i="160"/>
  <c r="P28" i="160"/>
  <c r="P29" i="160"/>
  <c r="P30" i="160"/>
  <c r="P31" i="160"/>
  <c r="P32" i="160"/>
  <c r="P33" i="160"/>
  <c r="P34" i="160"/>
  <c r="P35" i="160"/>
  <c r="P36" i="160"/>
  <c r="P37" i="160"/>
  <c r="P38" i="160"/>
  <c r="P39" i="160"/>
  <c r="P40" i="160"/>
  <c r="P41" i="160"/>
  <c r="P42" i="160"/>
  <c r="P43" i="160"/>
  <c r="P44" i="160"/>
  <c r="P45" i="160"/>
  <c r="P46" i="160"/>
  <c r="P47" i="160"/>
  <c r="P48" i="160"/>
  <c r="P49" i="160"/>
  <c r="P50" i="160"/>
  <c r="P51" i="160"/>
  <c r="P52" i="160"/>
  <c r="P53" i="160"/>
  <c r="P54" i="160"/>
  <c r="P55" i="160"/>
  <c r="P56" i="160"/>
  <c r="P57" i="160"/>
  <c r="P58" i="160"/>
  <c r="P59" i="160"/>
  <c r="P60" i="160"/>
  <c r="P61" i="160"/>
  <c r="P62" i="160"/>
  <c r="P63" i="160"/>
  <c r="P64" i="160"/>
  <c r="P65" i="160"/>
  <c r="P66" i="160"/>
  <c r="P67" i="160"/>
  <c r="P68" i="160"/>
  <c r="P69" i="160"/>
  <c r="P70" i="160"/>
  <c r="P71" i="160"/>
  <c r="P72" i="160"/>
  <c r="P73" i="160"/>
  <c r="P74" i="160"/>
  <c r="P75" i="160"/>
  <c r="P76" i="160"/>
  <c r="P77" i="160"/>
  <c r="P78" i="160"/>
  <c r="P79" i="160"/>
  <c r="P80" i="160"/>
  <c r="P81" i="160"/>
  <c r="P82" i="160"/>
  <c r="P83" i="160"/>
  <c r="P84" i="160"/>
  <c r="P85" i="160"/>
  <c r="P86" i="160"/>
  <c r="P87" i="160"/>
  <c r="P88" i="160"/>
  <c r="P89" i="160"/>
  <c r="P90" i="160"/>
  <c r="P91" i="160"/>
  <c r="P92" i="160"/>
  <c r="P93" i="160"/>
  <c r="P94" i="160"/>
  <c r="P95" i="160"/>
  <c r="P96" i="160"/>
  <c r="P97" i="160"/>
  <c r="P98" i="160"/>
  <c r="P99" i="160"/>
  <c r="P100" i="160"/>
  <c r="P101" i="160"/>
  <c r="P102" i="160"/>
  <c r="P103" i="160"/>
  <c r="P104" i="160"/>
  <c r="P105" i="160"/>
  <c r="P106" i="160"/>
  <c r="P107" i="160"/>
  <c r="P108" i="160"/>
  <c r="P109" i="160"/>
  <c r="P110" i="160"/>
  <c r="P111" i="160"/>
  <c r="P112" i="160"/>
  <c r="P113" i="160"/>
  <c r="P114" i="160"/>
  <c r="P115" i="160"/>
  <c r="P116" i="160"/>
  <c r="P117" i="160"/>
  <c r="P118" i="160"/>
  <c r="P119" i="160"/>
  <c r="P120" i="160"/>
  <c r="P121" i="160"/>
  <c r="P122" i="160"/>
  <c r="P123" i="160"/>
  <c r="P124" i="160"/>
  <c r="P125" i="160"/>
  <c r="P126" i="160"/>
  <c r="P127" i="160"/>
  <c r="P128" i="160"/>
  <c r="P129" i="160"/>
  <c r="P130" i="160"/>
  <c r="P131" i="160"/>
  <c r="P132" i="160"/>
  <c r="P133" i="160"/>
  <c r="P134" i="160"/>
  <c r="P135" i="160"/>
  <c r="P136" i="160"/>
  <c r="P137" i="160"/>
  <c r="P138" i="160"/>
  <c r="P139" i="160"/>
  <c r="P140" i="160"/>
  <c r="P141" i="160"/>
  <c r="P142" i="160"/>
  <c r="P143" i="160"/>
  <c r="P144" i="160"/>
  <c r="P145" i="160"/>
  <c r="P146" i="160"/>
  <c r="P147" i="160"/>
  <c r="P148" i="160"/>
  <c r="P149" i="160"/>
  <c r="P150" i="160"/>
  <c r="P151" i="160"/>
  <c r="P152" i="160"/>
  <c r="P153" i="160"/>
  <c r="P154" i="160"/>
  <c r="P155" i="160"/>
  <c r="P156" i="160"/>
  <c r="P157" i="160"/>
  <c r="P158" i="160"/>
  <c r="P159" i="160"/>
  <c r="P160" i="160"/>
  <c r="P161" i="160"/>
  <c r="P162" i="160"/>
  <c r="P163" i="160"/>
  <c r="P164" i="160"/>
  <c r="P165" i="160"/>
  <c r="P166" i="160"/>
  <c r="P167" i="160"/>
  <c r="P168" i="160"/>
  <c r="P169" i="160"/>
  <c r="P170" i="160"/>
  <c r="P171" i="160"/>
  <c r="P172" i="160"/>
  <c r="P173" i="160"/>
  <c r="P174" i="160"/>
  <c r="P175" i="160"/>
  <c r="P176" i="160"/>
  <c r="P177" i="160"/>
  <c r="P178" i="160"/>
  <c r="P179" i="160"/>
  <c r="P180" i="160"/>
  <c r="P181" i="160"/>
  <c r="P182" i="160"/>
  <c r="P183" i="160"/>
  <c r="P184" i="160"/>
  <c r="P185" i="160"/>
  <c r="P186" i="160"/>
  <c r="P187" i="160"/>
  <c r="P188" i="160"/>
  <c r="P189" i="160"/>
  <c r="P190" i="160"/>
  <c r="P191" i="160"/>
  <c r="P192" i="160"/>
  <c r="P193" i="160"/>
  <c r="P194" i="160"/>
  <c r="P195" i="160"/>
  <c r="P196" i="160"/>
  <c r="P197" i="160"/>
  <c r="P198" i="160"/>
  <c r="P199" i="160"/>
  <c r="P200" i="160"/>
  <c r="P201" i="160"/>
  <c r="P202" i="160"/>
  <c r="P203" i="160"/>
  <c r="P204" i="160"/>
  <c r="P205" i="160"/>
  <c r="P206" i="160"/>
  <c r="P207" i="160"/>
  <c r="P208" i="160"/>
  <c r="P209" i="160"/>
  <c r="P210" i="160"/>
  <c r="P211" i="160"/>
  <c r="P212" i="160"/>
  <c r="P213" i="160"/>
  <c r="P214" i="160"/>
  <c r="P215" i="160"/>
  <c r="P216" i="160"/>
  <c r="P217" i="160"/>
  <c r="P218" i="160"/>
  <c r="P219" i="160"/>
  <c r="P220" i="160"/>
  <c r="P221" i="160"/>
  <c r="P222" i="160"/>
  <c r="P223" i="160"/>
  <c r="P224" i="160"/>
  <c r="P225" i="160"/>
  <c r="P226" i="160"/>
  <c r="P227" i="160"/>
  <c r="P228" i="160"/>
  <c r="P229" i="160"/>
  <c r="P230" i="160"/>
  <c r="P231" i="160"/>
  <c r="P232" i="160"/>
  <c r="P233" i="160"/>
  <c r="P234" i="160"/>
  <c r="P235" i="160"/>
  <c r="P236" i="160"/>
  <c r="P237" i="160"/>
  <c r="P238" i="160"/>
  <c r="P239" i="160"/>
  <c r="P240" i="160"/>
  <c r="P241" i="160"/>
  <c r="P242" i="160"/>
  <c r="P243" i="160"/>
  <c r="P244" i="160"/>
  <c r="P245" i="160"/>
  <c r="P246" i="160"/>
  <c r="P247" i="160"/>
  <c r="P248" i="160"/>
  <c r="P249" i="160"/>
  <c r="P250" i="160"/>
  <c r="P251" i="160"/>
  <c r="P252" i="160"/>
  <c r="P253" i="160"/>
  <c r="P254" i="160"/>
  <c r="P255" i="160"/>
  <c r="P256" i="160"/>
  <c r="P257" i="160"/>
  <c r="P258" i="160"/>
  <c r="P259" i="160"/>
  <c r="P260" i="160"/>
  <c r="P261" i="160"/>
  <c r="P262" i="160"/>
  <c r="P263" i="160"/>
  <c r="P264" i="160"/>
  <c r="P265" i="160"/>
  <c r="P266" i="160"/>
  <c r="P267" i="160"/>
  <c r="P268" i="160"/>
  <c r="P269" i="160"/>
  <c r="P270" i="160"/>
  <c r="P271" i="160"/>
  <c r="P272" i="160"/>
  <c r="P273" i="160"/>
  <c r="P274" i="160"/>
  <c r="P275" i="160"/>
  <c r="P276" i="160"/>
  <c r="P277" i="160"/>
  <c r="P278" i="160"/>
  <c r="P279" i="160"/>
  <c r="P280" i="160"/>
  <c r="P281" i="160"/>
  <c r="P282" i="160"/>
  <c r="P283" i="160"/>
  <c r="P284" i="160"/>
  <c r="P285" i="160"/>
  <c r="P286" i="160"/>
  <c r="P287" i="160"/>
  <c r="P288" i="160"/>
  <c r="P289" i="160"/>
  <c r="P290" i="160"/>
  <c r="P291" i="160"/>
  <c r="P292" i="160"/>
  <c r="P293" i="160"/>
  <c r="P294" i="160"/>
  <c r="P295" i="160"/>
  <c r="P296" i="160"/>
  <c r="P297" i="160"/>
  <c r="P298" i="160"/>
  <c r="P299" i="160"/>
  <c r="P300" i="160"/>
  <c r="P301" i="160"/>
  <c r="P302" i="160"/>
  <c r="P303" i="160"/>
  <c r="P304" i="160"/>
  <c r="P305" i="160"/>
  <c r="P306" i="160"/>
  <c r="P307" i="160"/>
  <c r="P308" i="160"/>
  <c r="P309" i="160"/>
  <c r="P310" i="160"/>
  <c r="P311" i="160"/>
  <c r="P312" i="160"/>
  <c r="P313" i="160"/>
  <c r="P315" i="160"/>
  <c r="P316" i="160"/>
  <c r="P318" i="160"/>
  <c r="P319" i="160"/>
  <c r="P320" i="160"/>
  <c r="P322" i="160"/>
  <c r="P323" i="160"/>
  <c r="P324" i="160"/>
  <c r="P325" i="160"/>
  <c r="P326" i="160"/>
  <c r="P327" i="160"/>
  <c r="P329" i="160"/>
  <c r="P330" i="160"/>
  <c r="P331" i="160"/>
  <c r="P332" i="160"/>
  <c r="P333" i="160"/>
  <c r="P334" i="160"/>
  <c r="P335" i="160"/>
  <c r="P336" i="160"/>
  <c r="P337" i="160"/>
  <c r="P338" i="160"/>
  <c r="P339" i="160"/>
  <c r="P340" i="160"/>
  <c r="P341" i="160"/>
  <c r="P342" i="160"/>
  <c r="P343" i="160"/>
  <c r="P344" i="160"/>
  <c r="P345" i="160"/>
  <c r="P346" i="160"/>
  <c r="P347" i="160"/>
  <c r="P348" i="160"/>
  <c r="P349" i="160"/>
  <c r="P350" i="160"/>
  <c r="P351" i="160"/>
  <c r="P352" i="160"/>
  <c r="P353" i="160"/>
  <c r="P354" i="160"/>
  <c r="P355" i="160"/>
  <c r="P356" i="160"/>
  <c r="F50" i="159"/>
  <c r="A2" i="153"/>
  <c r="A36" i="153"/>
  <c r="G29" i="153"/>
  <c r="H29" i="153"/>
  <c r="O314" i="154"/>
  <c r="G17" i="153"/>
  <c r="E17" i="153"/>
  <c r="H17" i="153"/>
  <c r="O2" i="154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E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R3" i="153"/>
  <c r="G31" i="153"/>
  <c r="E31" i="153"/>
  <c r="H31" i="153"/>
  <c r="O356" i="154"/>
  <c r="P314" i="154"/>
  <c r="P317" i="154"/>
  <c r="P321" i="154"/>
  <c r="P328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5" i="154"/>
  <c r="P316" i="154"/>
  <c r="P318" i="154"/>
  <c r="P319" i="154"/>
  <c r="P320" i="154"/>
  <c r="P322" i="154"/>
  <c r="P323" i="154"/>
  <c r="P324" i="154"/>
  <c r="P325" i="154"/>
  <c r="P326" i="154"/>
  <c r="P327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P342" i="154"/>
  <c r="P343" i="154"/>
  <c r="P344" i="154"/>
  <c r="P345" i="154"/>
  <c r="P346" i="154"/>
  <c r="P347" i="154"/>
  <c r="P348" i="154"/>
  <c r="P349" i="154"/>
  <c r="P350" i="154"/>
  <c r="P351" i="154"/>
  <c r="P352" i="154"/>
  <c r="P353" i="154"/>
  <c r="P354" i="154"/>
  <c r="P355" i="154"/>
  <c r="P356" i="154"/>
  <c r="F50" i="153"/>
  <c r="A2" i="157"/>
  <c r="F5" i="157"/>
  <c r="F6" i="157"/>
  <c r="A36" i="157"/>
  <c r="G29" i="157"/>
  <c r="H29" i="157"/>
  <c r="O314" i="158"/>
  <c r="E6" i="157"/>
  <c r="E19" i="157"/>
  <c r="B19" i="157"/>
  <c r="E24" i="157"/>
  <c r="B24" i="157"/>
  <c r="B17" i="157"/>
  <c r="G17" i="157"/>
  <c r="E17" i="157"/>
  <c r="H17" i="157"/>
  <c r="O2" i="158"/>
  <c r="E20" i="157"/>
  <c r="B20" i="157"/>
  <c r="E22" i="157"/>
  <c r="B22" i="157"/>
  <c r="E25" i="157"/>
  <c r="B25" i="157"/>
  <c r="C31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3" i="157"/>
  <c r="B23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E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R3" i="157"/>
  <c r="G31" i="157"/>
  <c r="E31" i="157"/>
  <c r="H31" i="157"/>
  <c r="O356" i="158"/>
  <c r="P314" i="158"/>
  <c r="P317" i="158"/>
  <c r="P321" i="158"/>
  <c r="P3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5" i="158"/>
  <c r="P316" i="158"/>
  <c r="P318" i="158"/>
  <c r="P319" i="158"/>
  <c r="P320" i="158"/>
  <c r="P322" i="158"/>
  <c r="P323" i="158"/>
  <c r="P324" i="158"/>
  <c r="P325" i="158"/>
  <c r="P326" i="158"/>
  <c r="P327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P351" i="158"/>
  <c r="P352" i="158"/>
  <c r="P353" i="158"/>
  <c r="P354" i="158"/>
  <c r="P355" i="158"/>
  <c r="P356" i="158"/>
  <c r="F50" i="157"/>
  <c r="F42" i="157"/>
  <c r="G42" i="157"/>
  <c r="F41" i="157"/>
  <c r="G41" i="157"/>
  <c r="F40" i="157"/>
  <c r="G40" i="157"/>
  <c r="B4" i="98"/>
  <c r="B3" i="98"/>
  <c r="B2" i="98"/>
  <c r="F342" i="154"/>
  <c r="F343" i="154"/>
  <c r="F344" i="154"/>
  <c r="F345" i="154"/>
  <c r="F346" i="154"/>
  <c r="F347" i="154"/>
  <c r="F348" i="154"/>
  <c r="F349" i="154"/>
  <c r="F350" i="154"/>
  <c r="F351" i="154"/>
  <c r="F352" i="154"/>
  <c r="F353" i="154"/>
  <c r="F354" i="154"/>
  <c r="F355" i="154"/>
  <c r="N356" i="154"/>
  <c r="M356" i="154"/>
  <c r="L356" i="154"/>
  <c r="K356" i="154"/>
  <c r="H356" i="154"/>
  <c r="N355" i="154"/>
  <c r="M355" i="154"/>
  <c r="L355" i="154"/>
  <c r="K355" i="154"/>
  <c r="H355" i="154"/>
  <c r="N354" i="154"/>
  <c r="M354" i="154"/>
  <c r="L354" i="154"/>
  <c r="K354" i="154"/>
  <c r="H354" i="154"/>
  <c r="N353" i="154"/>
  <c r="M353" i="154"/>
  <c r="L353" i="154"/>
  <c r="K353" i="154"/>
  <c r="H353" i="154"/>
  <c r="N352" i="154"/>
  <c r="M352" i="154"/>
  <c r="L352" i="154"/>
  <c r="K352" i="154"/>
  <c r="H352" i="154"/>
  <c r="N351" i="154"/>
  <c r="M351" i="154"/>
  <c r="L351" i="154"/>
  <c r="K351" i="154"/>
  <c r="H351" i="154"/>
  <c r="N350" i="154"/>
  <c r="M350" i="154"/>
  <c r="L350" i="154"/>
  <c r="K350" i="154"/>
  <c r="H350" i="154"/>
  <c r="N349" i="154"/>
  <c r="M349" i="154"/>
  <c r="L349" i="154"/>
  <c r="K349" i="154"/>
  <c r="H349" i="154"/>
  <c r="N348" i="154"/>
  <c r="M348" i="154"/>
  <c r="L348" i="154"/>
  <c r="K348" i="154"/>
  <c r="H348" i="154"/>
  <c r="N347" i="154"/>
  <c r="M347" i="154"/>
  <c r="L347" i="154"/>
  <c r="K347" i="154"/>
  <c r="H347" i="154"/>
  <c r="N346" i="154"/>
  <c r="M346" i="154"/>
  <c r="L346" i="154"/>
  <c r="K346" i="154"/>
  <c r="H346" i="154"/>
  <c r="N345" i="154"/>
  <c r="M345" i="154"/>
  <c r="L345" i="154"/>
  <c r="K345" i="154"/>
  <c r="H345" i="154"/>
  <c r="N344" i="154"/>
  <c r="M344" i="154"/>
  <c r="L344" i="154"/>
  <c r="K344" i="154"/>
  <c r="H344" i="154"/>
  <c r="N343" i="154"/>
  <c r="M343" i="154"/>
  <c r="L343" i="154"/>
  <c r="K343" i="154"/>
  <c r="H343" i="154"/>
  <c r="N342" i="154"/>
  <c r="M342" i="154"/>
  <c r="L342" i="154"/>
  <c r="K342" i="154"/>
  <c r="H342" i="154"/>
  <c r="A356" i="154"/>
  <c r="A355" i="154"/>
  <c r="A354" i="154"/>
  <c r="A353" i="154"/>
  <c r="A352" i="154"/>
  <c r="A351" i="154"/>
  <c r="A350" i="154"/>
  <c r="A349" i="154"/>
  <c r="A348" i="154"/>
  <c r="A347" i="154"/>
  <c r="A346" i="154"/>
  <c r="A345" i="154"/>
  <c r="A344" i="154"/>
  <c r="A343" i="154"/>
  <c r="A342" i="154"/>
  <c r="F342" i="160"/>
  <c r="F343" i="160"/>
  <c r="F344" i="160"/>
  <c r="F345" i="160"/>
  <c r="F346" i="160"/>
  <c r="F347" i="160"/>
  <c r="F348" i="160"/>
  <c r="F349" i="160"/>
  <c r="F350" i="160"/>
  <c r="F351" i="160"/>
  <c r="F352" i="160"/>
  <c r="F353" i="160"/>
  <c r="F354" i="160"/>
  <c r="F355" i="160"/>
  <c r="N356" i="160"/>
  <c r="M356" i="160"/>
  <c r="L356" i="160"/>
  <c r="K356" i="160"/>
  <c r="H356" i="160"/>
  <c r="N355" i="160"/>
  <c r="M355" i="160"/>
  <c r="L355" i="160"/>
  <c r="K355" i="160"/>
  <c r="H355" i="160"/>
  <c r="N354" i="160"/>
  <c r="M354" i="160"/>
  <c r="L354" i="160"/>
  <c r="K354" i="160"/>
  <c r="H354" i="160"/>
  <c r="N353" i="160"/>
  <c r="M353" i="160"/>
  <c r="L353" i="160"/>
  <c r="K353" i="160"/>
  <c r="H353" i="160"/>
  <c r="N352" i="160"/>
  <c r="M352" i="160"/>
  <c r="L352" i="160"/>
  <c r="K352" i="160"/>
  <c r="H352" i="160"/>
  <c r="N351" i="160"/>
  <c r="M351" i="160"/>
  <c r="L351" i="160"/>
  <c r="K351" i="160"/>
  <c r="H351" i="160"/>
  <c r="N350" i="160"/>
  <c r="M350" i="160"/>
  <c r="L350" i="160"/>
  <c r="K350" i="160"/>
  <c r="H350" i="160"/>
  <c r="N349" i="160"/>
  <c r="M349" i="160"/>
  <c r="L349" i="160"/>
  <c r="K349" i="160"/>
  <c r="H349" i="160"/>
  <c r="N348" i="160"/>
  <c r="M348" i="160"/>
  <c r="L348" i="160"/>
  <c r="K348" i="160"/>
  <c r="H348" i="160"/>
  <c r="N347" i="160"/>
  <c r="M347" i="160"/>
  <c r="L347" i="160"/>
  <c r="K347" i="160"/>
  <c r="H347" i="160"/>
  <c r="N346" i="160"/>
  <c r="M346" i="160"/>
  <c r="L346" i="160"/>
  <c r="K346" i="160"/>
  <c r="H346" i="160"/>
  <c r="N345" i="160"/>
  <c r="M345" i="160"/>
  <c r="L345" i="160"/>
  <c r="K345" i="160"/>
  <c r="H345" i="160"/>
  <c r="N344" i="160"/>
  <c r="M344" i="160"/>
  <c r="L344" i="160"/>
  <c r="K344" i="160"/>
  <c r="H344" i="160"/>
  <c r="N343" i="160"/>
  <c r="M343" i="160"/>
  <c r="L343" i="160"/>
  <c r="K343" i="160"/>
  <c r="H343" i="160"/>
  <c r="N342" i="160"/>
  <c r="M342" i="160"/>
  <c r="L342" i="160"/>
  <c r="K342" i="160"/>
  <c r="H342" i="160"/>
  <c r="A356" i="160"/>
  <c r="A355" i="160"/>
  <c r="A354" i="160"/>
  <c r="A353" i="160"/>
  <c r="A352" i="160"/>
  <c r="A351" i="160"/>
  <c r="A350" i="160"/>
  <c r="A349" i="160"/>
  <c r="A348" i="160"/>
  <c r="A347" i="160"/>
  <c r="A346" i="160"/>
  <c r="A345" i="160"/>
  <c r="A344" i="160"/>
  <c r="A343" i="160"/>
  <c r="A342" i="160"/>
  <c r="N356" i="162"/>
  <c r="M356" i="162"/>
  <c r="L356" i="162"/>
  <c r="K356" i="162"/>
  <c r="H356" i="162"/>
  <c r="F355" i="162"/>
  <c r="F342" i="162"/>
  <c r="F343" i="162"/>
  <c r="F344" i="162"/>
  <c r="F345" i="162"/>
  <c r="F346" i="162"/>
  <c r="F347" i="162"/>
  <c r="F348" i="162"/>
  <c r="F349" i="162"/>
  <c r="F350" i="162"/>
  <c r="F351" i="162"/>
  <c r="F352" i="162"/>
  <c r="F353" i="162"/>
  <c r="F354" i="162"/>
  <c r="N355" i="162"/>
  <c r="M355" i="162"/>
  <c r="L355" i="162"/>
  <c r="K355" i="162"/>
  <c r="H355" i="162"/>
  <c r="N354" i="162"/>
  <c r="M354" i="162"/>
  <c r="L354" i="162"/>
  <c r="K354" i="162"/>
  <c r="H354" i="162"/>
  <c r="N353" i="162"/>
  <c r="M353" i="162"/>
  <c r="L353" i="162"/>
  <c r="K353" i="162"/>
  <c r="H353" i="162"/>
  <c r="N352" i="162"/>
  <c r="M352" i="162"/>
  <c r="L352" i="162"/>
  <c r="K352" i="162"/>
  <c r="H352" i="162"/>
  <c r="N351" i="162"/>
  <c r="M351" i="162"/>
  <c r="L351" i="162"/>
  <c r="K351" i="162"/>
  <c r="H351" i="162"/>
  <c r="N350" i="162"/>
  <c r="M350" i="162"/>
  <c r="L350" i="162"/>
  <c r="K350" i="162"/>
  <c r="H350" i="162"/>
  <c r="N349" i="162"/>
  <c r="M349" i="162"/>
  <c r="L349" i="162"/>
  <c r="K349" i="162"/>
  <c r="H349" i="162"/>
  <c r="N348" i="162"/>
  <c r="M348" i="162"/>
  <c r="L348" i="162"/>
  <c r="K348" i="162"/>
  <c r="H348" i="162"/>
  <c r="N347" i="162"/>
  <c r="M347" i="162"/>
  <c r="L347" i="162"/>
  <c r="K347" i="162"/>
  <c r="H347" i="162"/>
  <c r="N346" i="162"/>
  <c r="M346" i="162"/>
  <c r="L346" i="162"/>
  <c r="K346" i="162"/>
  <c r="H346" i="162"/>
  <c r="N345" i="162"/>
  <c r="M345" i="162"/>
  <c r="L345" i="162"/>
  <c r="K345" i="162"/>
  <c r="H345" i="162"/>
  <c r="N344" i="162"/>
  <c r="M344" i="162"/>
  <c r="L344" i="162"/>
  <c r="K344" i="162"/>
  <c r="H344" i="162"/>
  <c r="N343" i="162"/>
  <c r="M343" i="162"/>
  <c r="L343" i="162"/>
  <c r="K343" i="162"/>
  <c r="H343" i="162"/>
  <c r="N342" i="162"/>
  <c r="M342" i="162"/>
  <c r="L342" i="162"/>
  <c r="K342" i="162"/>
  <c r="H342" i="162"/>
  <c r="A356" i="162"/>
  <c r="A355" i="162"/>
  <c r="A354" i="162"/>
  <c r="A353" i="162"/>
  <c r="A352" i="162"/>
  <c r="A351" i="162"/>
  <c r="A350" i="162"/>
  <c r="A349" i="162"/>
  <c r="A348" i="162"/>
  <c r="A347" i="162"/>
  <c r="A346" i="162"/>
  <c r="A345" i="162"/>
  <c r="A344" i="162"/>
  <c r="A343" i="162"/>
  <c r="A342" i="162"/>
  <c r="F342" i="164"/>
  <c r="F343" i="164"/>
  <c r="F344" i="164"/>
  <c r="F345" i="164"/>
  <c r="F346" i="164"/>
  <c r="F347" i="164"/>
  <c r="F348" i="164"/>
  <c r="F349" i="164"/>
  <c r="F350" i="164"/>
  <c r="F351" i="164"/>
  <c r="F352" i="164"/>
  <c r="F353" i="164"/>
  <c r="F354" i="164"/>
  <c r="F355" i="164"/>
  <c r="N356" i="164"/>
  <c r="M356" i="164"/>
  <c r="L356" i="164"/>
  <c r="K356" i="164"/>
  <c r="H356" i="164"/>
  <c r="N355" i="164"/>
  <c r="M355" i="164"/>
  <c r="L355" i="164"/>
  <c r="K355" i="164"/>
  <c r="H355" i="164"/>
  <c r="N354" i="164"/>
  <c r="M354" i="164"/>
  <c r="L354" i="164"/>
  <c r="K354" i="164"/>
  <c r="H354" i="164"/>
  <c r="N353" i="164"/>
  <c r="M353" i="164"/>
  <c r="L353" i="164"/>
  <c r="K353" i="164"/>
  <c r="H353" i="164"/>
  <c r="N352" i="164"/>
  <c r="M352" i="164"/>
  <c r="L352" i="164"/>
  <c r="K352" i="164"/>
  <c r="H352" i="164"/>
  <c r="N351" i="164"/>
  <c r="M351" i="164"/>
  <c r="L351" i="164"/>
  <c r="K351" i="164"/>
  <c r="H351" i="164"/>
  <c r="N350" i="164"/>
  <c r="M350" i="164"/>
  <c r="L350" i="164"/>
  <c r="K350" i="164"/>
  <c r="H350" i="164"/>
  <c r="N349" i="164"/>
  <c r="M349" i="164"/>
  <c r="L349" i="164"/>
  <c r="K349" i="164"/>
  <c r="H349" i="164"/>
  <c r="N348" i="164"/>
  <c r="M348" i="164"/>
  <c r="L348" i="164"/>
  <c r="K348" i="164"/>
  <c r="H348" i="164"/>
  <c r="N347" i="164"/>
  <c r="M347" i="164"/>
  <c r="L347" i="164"/>
  <c r="K347" i="164"/>
  <c r="H347" i="164"/>
  <c r="N346" i="164"/>
  <c r="M346" i="164"/>
  <c r="L346" i="164"/>
  <c r="K346" i="164"/>
  <c r="H346" i="164"/>
  <c r="N345" i="164"/>
  <c r="M345" i="164"/>
  <c r="L345" i="164"/>
  <c r="K345" i="164"/>
  <c r="H345" i="164"/>
  <c r="N344" i="164"/>
  <c r="M344" i="164"/>
  <c r="L344" i="164"/>
  <c r="K344" i="164"/>
  <c r="H344" i="164"/>
  <c r="N343" i="164"/>
  <c r="M343" i="164"/>
  <c r="L343" i="164"/>
  <c r="K343" i="164"/>
  <c r="H343" i="164"/>
  <c r="N342" i="164"/>
  <c r="M342" i="164"/>
  <c r="L342" i="164"/>
  <c r="K342" i="164"/>
  <c r="H342" i="164"/>
  <c r="A356" i="164"/>
  <c r="A355" i="164"/>
  <c r="A354" i="164"/>
  <c r="A353" i="164"/>
  <c r="A352" i="164"/>
  <c r="A351" i="164"/>
  <c r="A350" i="164"/>
  <c r="A349" i="164"/>
  <c r="A348" i="164"/>
  <c r="A347" i="164"/>
  <c r="A346" i="164"/>
  <c r="A345" i="164"/>
  <c r="A344" i="164"/>
  <c r="A343" i="164"/>
  <c r="A342" i="164"/>
  <c r="F355" i="158"/>
  <c r="F341" i="158"/>
  <c r="F342" i="158"/>
  <c r="F343" i="158"/>
  <c r="F344" i="158"/>
  <c r="F345" i="158"/>
  <c r="F346" i="158"/>
  <c r="F347" i="158"/>
  <c r="F348" i="158"/>
  <c r="F349" i="158"/>
  <c r="F350" i="158"/>
  <c r="F351" i="158"/>
  <c r="F352" i="158"/>
  <c r="F353" i="158"/>
  <c r="F354" i="158"/>
  <c r="E5" i="157"/>
  <c r="N355" i="158"/>
  <c r="M355" i="158"/>
  <c r="L355" i="158"/>
  <c r="K355" i="158"/>
  <c r="H355" i="158"/>
  <c r="N354" i="158"/>
  <c r="M354" i="158"/>
  <c r="L354" i="158"/>
  <c r="K354" i="158"/>
  <c r="H354" i="158"/>
  <c r="N353" i="158"/>
  <c r="M353" i="158"/>
  <c r="L353" i="158"/>
  <c r="K353" i="158"/>
  <c r="H353" i="158"/>
  <c r="N352" i="158"/>
  <c r="M352" i="158"/>
  <c r="L352" i="158"/>
  <c r="K352" i="158"/>
  <c r="H352" i="158"/>
  <c r="N351" i="158"/>
  <c r="M351" i="158"/>
  <c r="L351" i="158"/>
  <c r="K351" i="158"/>
  <c r="H351" i="158"/>
  <c r="N350" i="158"/>
  <c r="M350" i="158"/>
  <c r="L350" i="158"/>
  <c r="K350" i="158"/>
  <c r="H350" i="158"/>
  <c r="N349" i="158"/>
  <c r="M349" i="158"/>
  <c r="L349" i="158"/>
  <c r="K349" i="158"/>
  <c r="H349" i="158"/>
  <c r="N348" i="158"/>
  <c r="M348" i="158"/>
  <c r="L348" i="158"/>
  <c r="K348" i="158"/>
  <c r="H348" i="158"/>
  <c r="N347" i="158"/>
  <c r="M347" i="158"/>
  <c r="L347" i="158"/>
  <c r="K347" i="158"/>
  <c r="H347" i="158"/>
  <c r="N346" i="158"/>
  <c r="M346" i="158"/>
  <c r="L346" i="158"/>
  <c r="K346" i="158"/>
  <c r="H346" i="158"/>
  <c r="N345" i="158"/>
  <c r="M345" i="158"/>
  <c r="L345" i="158"/>
  <c r="K345" i="158"/>
  <c r="H345" i="158"/>
  <c r="N344" i="158"/>
  <c r="M344" i="158"/>
  <c r="L344" i="158"/>
  <c r="K344" i="158"/>
  <c r="H344" i="158"/>
  <c r="N343" i="158"/>
  <c r="M343" i="158"/>
  <c r="L343" i="158"/>
  <c r="K343" i="158"/>
  <c r="H343" i="158"/>
  <c r="N342" i="158"/>
  <c r="M342" i="158"/>
  <c r="L342" i="158"/>
  <c r="K342" i="158"/>
  <c r="H342" i="158"/>
  <c r="N341" i="158"/>
  <c r="M341" i="158"/>
  <c r="L341" i="158"/>
  <c r="K341" i="158"/>
  <c r="H341" i="158"/>
  <c r="A356" i="158"/>
  <c r="A355" i="158"/>
  <c r="A354" i="158"/>
  <c r="A353" i="158"/>
  <c r="A352" i="158"/>
  <c r="A351" i="158"/>
  <c r="A350" i="158"/>
  <c r="A349" i="158"/>
  <c r="A348" i="158"/>
  <c r="A347" i="158"/>
  <c r="A346" i="158"/>
  <c r="A345" i="158"/>
  <c r="A344" i="158"/>
  <c r="A343" i="158"/>
  <c r="A342" i="158"/>
  <c r="A341" i="158"/>
  <c r="C6" i="103"/>
  <c r="E6" i="103"/>
  <c r="C5" i="103"/>
  <c r="E5" i="103"/>
  <c r="C4" i="103"/>
  <c r="E4" i="103"/>
  <c r="C2" i="103"/>
  <c r="E2" i="103"/>
  <c r="F341" i="164"/>
  <c r="F42" i="163"/>
  <c r="G42" i="163"/>
  <c r="F41" i="163"/>
  <c r="G41" i="163"/>
  <c r="H341" i="164"/>
  <c r="K341" i="164"/>
  <c r="L341" i="164"/>
  <c r="M341" i="164"/>
  <c r="N341" i="164"/>
  <c r="B10" i="163"/>
  <c r="A341" i="164"/>
  <c r="F341" i="162"/>
  <c r="F48" i="161"/>
  <c r="F49" i="161"/>
  <c r="F42" i="161"/>
  <c r="G42" i="161"/>
  <c r="F41" i="161"/>
  <c r="G41" i="161"/>
  <c r="F341" i="160"/>
  <c r="F41" i="159"/>
  <c r="G41" i="159"/>
  <c r="F341" i="154"/>
  <c r="F41" i="153"/>
  <c r="G41" i="153"/>
  <c r="H341" i="162"/>
  <c r="K341" i="162"/>
  <c r="L341" i="162"/>
  <c r="M341" i="162"/>
  <c r="N341" i="162"/>
  <c r="B10" i="161"/>
  <c r="A341" i="162"/>
  <c r="F48" i="159"/>
  <c r="F49" i="159"/>
  <c r="F42" i="159"/>
  <c r="G42" i="159"/>
  <c r="H341" i="160"/>
  <c r="K341" i="160"/>
  <c r="L341" i="160"/>
  <c r="M341" i="160"/>
  <c r="N341" i="160"/>
  <c r="B10" i="159"/>
  <c r="A341" i="160"/>
  <c r="F48" i="153"/>
  <c r="F49" i="153"/>
  <c r="F42" i="153"/>
  <c r="G42" i="153"/>
  <c r="H341" i="154"/>
  <c r="K341" i="154"/>
  <c r="L341" i="154"/>
  <c r="M341" i="154"/>
  <c r="N341" i="154"/>
  <c r="B10" i="153"/>
  <c r="A341" i="154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B10" i="157"/>
  <c r="H356" i="158"/>
  <c r="K356" i="158"/>
  <c r="L356" i="158"/>
  <c r="M356" i="158"/>
  <c r="N356" i="158"/>
  <c r="F49" i="163"/>
  <c r="F48" i="163"/>
  <c r="F47" i="163"/>
  <c r="F46" i="163"/>
  <c r="B46" i="163"/>
  <c r="F45" i="163"/>
  <c r="B45" i="163"/>
  <c r="B44" i="163"/>
  <c r="B43" i="163"/>
  <c r="B42" i="163"/>
  <c r="B41" i="163"/>
  <c r="F40" i="163"/>
  <c r="B40" i="163"/>
  <c r="E30" i="163"/>
  <c r="A340" i="164"/>
  <c r="A339" i="164"/>
  <c r="A338" i="164"/>
  <c r="A337" i="164"/>
  <c r="A336" i="164"/>
  <c r="A335" i="164"/>
  <c r="A334" i="164"/>
  <c r="A333" i="164"/>
  <c r="A332" i="164"/>
  <c r="A331" i="164"/>
  <c r="A330" i="164"/>
  <c r="A329" i="164"/>
  <c r="A328" i="164"/>
  <c r="A327" i="164"/>
  <c r="A326" i="164"/>
  <c r="A325" i="164"/>
  <c r="A324" i="164"/>
  <c r="A323" i="164"/>
  <c r="A322" i="164"/>
  <c r="A321" i="164"/>
  <c r="A320" i="164"/>
  <c r="A319" i="164"/>
  <c r="A318" i="164"/>
  <c r="A317" i="164"/>
  <c r="A316" i="164"/>
  <c r="A315" i="164"/>
  <c r="A314" i="164"/>
  <c r="A313" i="164"/>
  <c r="A312" i="164"/>
  <c r="A311" i="164"/>
  <c r="A310" i="164"/>
  <c r="A309" i="164"/>
  <c r="A308" i="164"/>
  <c r="A307" i="164"/>
  <c r="A306" i="164"/>
  <c r="A305" i="164"/>
  <c r="A304" i="164"/>
  <c r="A303" i="164"/>
  <c r="A302" i="164"/>
  <c r="A301" i="164"/>
  <c r="A300" i="164"/>
  <c r="A299" i="164"/>
  <c r="A298" i="164"/>
  <c r="A297" i="164"/>
  <c r="A296" i="164"/>
  <c r="A295" i="164"/>
  <c r="A294" i="164"/>
  <c r="A293" i="164"/>
  <c r="A292" i="164"/>
  <c r="A291" i="164"/>
  <c r="A290" i="164"/>
  <c r="A289" i="164"/>
  <c r="A288" i="164"/>
  <c r="A287" i="164"/>
  <c r="A286" i="164"/>
  <c r="A285" i="164"/>
  <c r="A284" i="164"/>
  <c r="A283" i="164"/>
  <c r="A282" i="164"/>
  <c r="A281" i="164"/>
  <c r="A280" i="164"/>
  <c r="A279" i="164"/>
  <c r="A278" i="164"/>
  <c r="A277" i="164"/>
  <c r="A276" i="164"/>
  <c r="A275" i="164"/>
  <c r="A274" i="164"/>
  <c r="A273" i="164"/>
  <c r="A272" i="164"/>
  <c r="A271" i="164"/>
  <c r="A270" i="164"/>
  <c r="A269" i="164"/>
  <c r="A268" i="164"/>
  <c r="A267" i="164"/>
  <c r="A266" i="164"/>
  <c r="A265" i="164"/>
  <c r="A264" i="164"/>
  <c r="A263" i="164"/>
  <c r="A262" i="164"/>
  <c r="A261" i="164"/>
  <c r="A260" i="164"/>
  <c r="A259" i="164"/>
  <c r="A258" i="164"/>
  <c r="A257" i="164"/>
  <c r="A256" i="164"/>
  <c r="A255" i="164"/>
  <c r="A254" i="164"/>
  <c r="A253" i="164"/>
  <c r="A252" i="164"/>
  <c r="A251" i="164"/>
  <c r="A250" i="164"/>
  <c r="A249" i="164"/>
  <c r="A248" i="164"/>
  <c r="A247" i="164"/>
  <c r="A246" i="164"/>
  <c r="A245" i="164"/>
  <c r="A244" i="164"/>
  <c r="A243" i="164"/>
  <c r="A242" i="164"/>
  <c r="A241" i="164"/>
  <c r="A240" i="164"/>
  <c r="A239" i="164"/>
  <c r="A238" i="164"/>
  <c r="A237" i="164"/>
  <c r="A236" i="164"/>
  <c r="A235" i="164"/>
  <c r="A234" i="164"/>
  <c r="A233" i="164"/>
  <c r="A232" i="164"/>
  <c r="A231" i="164"/>
  <c r="A230" i="164"/>
  <c r="A229" i="164"/>
  <c r="A228" i="164"/>
  <c r="A227" i="164"/>
  <c r="A226" i="164"/>
  <c r="A225" i="164"/>
  <c r="A224" i="164"/>
  <c r="A223" i="164"/>
  <c r="A222" i="164"/>
  <c r="A221" i="164"/>
  <c r="A220" i="164"/>
  <c r="A219" i="164"/>
  <c r="A218" i="164"/>
  <c r="A217" i="164"/>
  <c r="A216" i="164"/>
  <c r="A215" i="164"/>
  <c r="A214" i="164"/>
  <c r="A213" i="164"/>
  <c r="A212" i="164"/>
  <c r="A211" i="164"/>
  <c r="A210" i="164"/>
  <c r="A209" i="164"/>
  <c r="A208" i="164"/>
  <c r="A207" i="164"/>
  <c r="A206" i="164"/>
  <c r="A205" i="164"/>
  <c r="A204" i="164"/>
  <c r="A203" i="164"/>
  <c r="A202" i="164"/>
  <c r="A201" i="164"/>
  <c r="A200" i="164"/>
  <c r="A199" i="164"/>
  <c r="A198" i="164"/>
  <c r="A197" i="164"/>
  <c r="A196" i="164"/>
  <c r="A195" i="164"/>
  <c r="A194" i="164"/>
  <c r="A193" i="164"/>
  <c r="A192" i="164"/>
  <c r="A191" i="164"/>
  <c r="A190" i="164"/>
  <c r="A189" i="164"/>
  <c r="A188" i="164"/>
  <c r="A187" i="164"/>
  <c r="A186" i="164"/>
  <c r="A185" i="164"/>
  <c r="A184" i="164"/>
  <c r="A183" i="164"/>
  <c r="A182" i="164"/>
  <c r="A181" i="164"/>
  <c r="A180" i="164"/>
  <c r="A179" i="164"/>
  <c r="A178" i="164"/>
  <c r="A177" i="164"/>
  <c r="A176" i="164"/>
  <c r="A175" i="164"/>
  <c r="A174" i="164"/>
  <c r="A173" i="164"/>
  <c r="A172" i="164"/>
  <c r="A171" i="164"/>
  <c r="A170" i="164"/>
  <c r="A169" i="164"/>
  <c r="A168" i="164"/>
  <c r="A167" i="164"/>
  <c r="A166" i="164"/>
  <c r="A165" i="164"/>
  <c r="A164" i="164"/>
  <c r="A163" i="164"/>
  <c r="A162" i="164"/>
  <c r="A161" i="164"/>
  <c r="A160" i="164"/>
  <c r="A159" i="164"/>
  <c r="A158" i="164"/>
  <c r="A157" i="164"/>
  <c r="A156" i="164"/>
  <c r="A155" i="164"/>
  <c r="A154" i="164"/>
  <c r="A153" i="164"/>
  <c r="A152" i="164"/>
  <c r="A151" i="164"/>
  <c r="A150" i="164"/>
  <c r="A149" i="164"/>
  <c r="A148" i="164"/>
  <c r="A147" i="164"/>
  <c r="A146" i="164"/>
  <c r="A145" i="164"/>
  <c r="A144" i="164"/>
  <c r="A143" i="164"/>
  <c r="A142" i="164"/>
  <c r="A141" i="164"/>
  <c r="A140" i="164"/>
  <c r="A139" i="164"/>
  <c r="A138" i="164"/>
  <c r="A137" i="164"/>
  <c r="A136" i="164"/>
  <c r="A135" i="164"/>
  <c r="A134" i="164"/>
  <c r="A133" i="164"/>
  <c r="A132" i="164"/>
  <c r="A131" i="164"/>
  <c r="A130" i="164"/>
  <c r="A129" i="164"/>
  <c r="A128" i="164"/>
  <c r="A127" i="164"/>
  <c r="A126" i="164"/>
  <c r="A125" i="164"/>
  <c r="A124" i="164"/>
  <c r="A123" i="164"/>
  <c r="A122" i="164"/>
  <c r="A121" i="164"/>
  <c r="A120" i="164"/>
  <c r="A119" i="164"/>
  <c r="A118" i="164"/>
  <c r="A117" i="164"/>
  <c r="A116" i="164"/>
  <c r="A115" i="164"/>
  <c r="A114" i="164"/>
  <c r="A113" i="164"/>
  <c r="A112" i="164"/>
  <c r="A111" i="164"/>
  <c r="A110" i="164"/>
  <c r="A109" i="164"/>
  <c r="A108" i="164"/>
  <c r="A107" i="164"/>
  <c r="A106" i="164"/>
  <c r="A105" i="164"/>
  <c r="A104" i="164"/>
  <c r="A103" i="164"/>
  <c r="A102" i="164"/>
  <c r="A101" i="164"/>
  <c r="A100" i="164"/>
  <c r="A99" i="164"/>
  <c r="A98" i="164"/>
  <c r="A97" i="164"/>
  <c r="A96" i="164"/>
  <c r="A95" i="164"/>
  <c r="A94" i="164"/>
  <c r="A93" i="164"/>
  <c r="A92" i="164"/>
  <c r="A91" i="164"/>
  <c r="A90" i="164"/>
  <c r="A89" i="164"/>
  <c r="A88" i="164"/>
  <c r="A87" i="164"/>
  <c r="A86" i="164"/>
  <c r="A85" i="164"/>
  <c r="A84" i="164"/>
  <c r="A83" i="164"/>
  <c r="A82" i="164"/>
  <c r="A81" i="164"/>
  <c r="A80" i="164"/>
  <c r="A79" i="164"/>
  <c r="A78" i="164"/>
  <c r="A77" i="164"/>
  <c r="A76" i="164"/>
  <c r="A75" i="164"/>
  <c r="A74" i="164"/>
  <c r="A73" i="164"/>
  <c r="A72" i="164"/>
  <c r="A71" i="164"/>
  <c r="A70" i="164"/>
  <c r="A69" i="164"/>
  <c r="A68" i="164"/>
  <c r="A67" i="164"/>
  <c r="A66" i="164"/>
  <c r="A65" i="164"/>
  <c r="A64" i="164"/>
  <c r="A63" i="164"/>
  <c r="A62" i="164"/>
  <c r="A61" i="164"/>
  <c r="A60" i="164"/>
  <c r="A59" i="164"/>
  <c r="A58" i="164"/>
  <c r="A57" i="164"/>
  <c r="A56" i="164"/>
  <c r="A55" i="164"/>
  <c r="A54" i="164"/>
  <c r="A53" i="164"/>
  <c r="A52" i="164"/>
  <c r="A51" i="164"/>
  <c r="A50" i="164"/>
  <c r="A49" i="164"/>
  <c r="A48" i="164"/>
  <c r="A47" i="164"/>
  <c r="A46" i="164"/>
  <c r="A45" i="164"/>
  <c r="A44" i="164"/>
  <c r="A43" i="164"/>
  <c r="A42" i="164"/>
  <c r="A41" i="164"/>
  <c r="A40" i="164"/>
  <c r="A39" i="164"/>
  <c r="A38" i="164"/>
  <c r="A37" i="164"/>
  <c r="A36" i="164"/>
  <c r="A35" i="164"/>
  <c r="A34" i="164"/>
  <c r="A33" i="164"/>
  <c r="A32" i="164"/>
  <c r="A31" i="164"/>
  <c r="A30" i="164"/>
  <c r="A29" i="164"/>
  <c r="A28" i="164"/>
  <c r="A27" i="164"/>
  <c r="A26" i="164"/>
  <c r="A25" i="164"/>
  <c r="A24" i="164"/>
  <c r="A23" i="164"/>
  <c r="A22" i="164"/>
  <c r="A21" i="164"/>
  <c r="A20" i="164"/>
  <c r="A19" i="164"/>
  <c r="A18" i="164"/>
  <c r="A17" i="164"/>
  <c r="A16" i="164"/>
  <c r="A15" i="164"/>
  <c r="A14" i="164"/>
  <c r="A13" i="164"/>
  <c r="A12" i="164"/>
  <c r="A11" i="164"/>
  <c r="A10" i="164"/>
  <c r="A9" i="164"/>
  <c r="A8" i="164"/>
  <c r="A7" i="164"/>
  <c r="A6" i="164"/>
  <c r="A5" i="164"/>
  <c r="A4" i="164"/>
  <c r="A3" i="164"/>
  <c r="A2" i="164"/>
  <c r="F340" i="164"/>
  <c r="F2" i="164"/>
  <c r="F3" i="164"/>
  <c r="F4" i="164"/>
  <c r="F5" i="164"/>
  <c r="F6" i="164"/>
  <c r="F7" i="164"/>
  <c r="F8" i="164"/>
  <c r="F9" i="164"/>
  <c r="F10" i="164"/>
  <c r="F11" i="164"/>
  <c r="F12" i="164"/>
  <c r="F13" i="164"/>
  <c r="F14" i="164"/>
  <c r="F15" i="164"/>
  <c r="F16" i="164"/>
  <c r="F17" i="164"/>
  <c r="F18" i="164"/>
  <c r="F19" i="164"/>
  <c r="F20" i="164"/>
  <c r="F21" i="164"/>
  <c r="F22" i="164"/>
  <c r="F23" i="164"/>
  <c r="F24" i="164"/>
  <c r="F25" i="164"/>
  <c r="F26" i="164"/>
  <c r="F27" i="164"/>
  <c r="F28" i="164"/>
  <c r="F29" i="164"/>
  <c r="F30" i="164"/>
  <c r="F31" i="164"/>
  <c r="F32" i="164"/>
  <c r="F33" i="164"/>
  <c r="F34" i="164"/>
  <c r="F35" i="164"/>
  <c r="F36" i="164"/>
  <c r="F37" i="164"/>
  <c r="F38" i="164"/>
  <c r="F39" i="164"/>
  <c r="F40" i="164"/>
  <c r="F41" i="164"/>
  <c r="F42" i="164"/>
  <c r="F43" i="164"/>
  <c r="F44" i="164"/>
  <c r="F45" i="164"/>
  <c r="F46" i="164"/>
  <c r="F47" i="164"/>
  <c r="F48" i="164"/>
  <c r="F49" i="164"/>
  <c r="F50" i="164"/>
  <c r="F51" i="164"/>
  <c r="F52" i="164"/>
  <c r="F53" i="164"/>
  <c r="F54" i="164"/>
  <c r="F55" i="164"/>
  <c r="F56" i="164"/>
  <c r="F57" i="164"/>
  <c r="F58" i="164"/>
  <c r="F59" i="164"/>
  <c r="F60" i="164"/>
  <c r="F61" i="164"/>
  <c r="F62" i="164"/>
  <c r="F63" i="164"/>
  <c r="F64" i="164"/>
  <c r="F65" i="164"/>
  <c r="F66" i="164"/>
  <c r="F67" i="164"/>
  <c r="F68" i="164"/>
  <c r="F69" i="164"/>
  <c r="F70" i="164"/>
  <c r="F71" i="164"/>
  <c r="F72" i="164"/>
  <c r="F73" i="164"/>
  <c r="F74" i="164"/>
  <c r="F75" i="164"/>
  <c r="F76" i="164"/>
  <c r="F77" i="164"/>
  <c r="F78" i="164"/>
  <c r="F79" i="164"/>
  <c r="F80" i="164"/>
  <c r="F81" i="164"/>
  <c r="F82" i="164"/>
  <c r="F83" i="164"/>
  <c r="F84" i="164"/>
  <c r="F85" i="164"/>
  <c r="F86" i="164"/>
  <c r="F87" i="164"/>
  <c r="F88" i="164"/>
  <c r="F89" i="164"/>
  <c r="F90" i="164"/>
  <c r="F91" i="164"/>
  <c r="F92" i="164"/>
  <c r="F93" i="164"/>
  <c r="F94" i="164"/>
  <c r="F95" i="164"/>
  <c r="F96" i="164"/>
  <c r="F97" i="164"/>
  <c r="F98" i="164"/>
  <c r="F99" i="164"/>
  <c r="F100" i="164"/>
  <c r="F101" i="164"/>
  <c r="F102" i="164"/>
  <c r="F103" i="164"/>
  <c r="F104" i="164"/>
  <c r="F105" i="164"/>
  <c r="F106" i="164"/>
  <c r="F107" i="164"/>
  <c r="F108" i="164"/>
  <c r="F109" i="164"/>
  <c r="F110" i="164"/>
  <c r="F111" i="164"/>
  <c r="F112" i="164"/>
  <c r="F113" i="164"/>
  <c r="F114" i="164"/>
  <c r="F115" i="164"/>
  <c r="F116" i="164"/>
  <c r="F117" i="164"/>
  <c r="F118" i="164"/>
  <c r="F119" i="164"/>
  <c r="F120" i="164"/>
  <c r="F121" i="164"/>
  <c r="F122" i="164"/>
  <c r="F123" i="164"/>
  <c r="F124" i="164"/>
  <c r="F125" i="164"/>
  <c r="F126" i="164"/>
  <c r="F127" i="164"/>
  <c r="F128" i="164"/>
  <c r="F129" i="164"/>
  <c r="F130" i="164"/>
  <c r="F131" i="164"/>
  <c r="F132" i="164"/>
  <c r="F133" i="164"/>
  <c r="F134" i="164"/>
  <c r="F135" i="164"/>
  <c r="F136" i="164"/>
  <c r="F137" i="164"/>
  <c r="F138" i="164"/>
  <c r="F139" i="164"/>
  <c r="F140" i="164"/>
  <c r="F141" i="164"/>
  <c r="F142" i="164"/>
  <c r="F143" i="164"/>
  <c r="F144" i="164"/>
  <c r="F145" i="164"/>
  <c r="F146" i="164"/>
  <c r="F147" i="164"/>
  <c r="F148" i="164"/>
  <c r="F149" i="164"/>
  <c r="F150" i="164"/>
  <c r="F151" i="164"/>
  <c r="F152" i="164"/>
  <c r="F153" i="164"/>
  <c r="F154" i="164"/>
  <c r="F155" i="164"/>
  <c r="F156" i="164"/>
  <c r="F157" i="164"/>
  <c r="F158" i="164"/>
  <c r="F159" i="164"/>
  <c r="F160" i="164"/>
  <c r="F161" i="164"/>
  <c r="F162" i="164"/>
  <c r="F163" i="164"/>
  <c r="F164" i="164"/>
  <c r="F165" i="164"/>
  <c r="F166" i="164"/>
  <c r="F167" i="164"/>
  <c r="F168" i="164"/>
  <c r="F169" i="164"/>
  <c r="F170" i="164"/>
  <c r="F171" i="164"/>
  <c r="F172" i="164"/>
  <c r="F173" i="164"/>
  <c r="F174" i="164"/>
  <c r="F175" i="164"/>
  <c r="F176" i="164"/>
  <c r="F177" i="164"/>
  <c r="F178" i="164"/>
  <c r="F179" i="164"/>
  <c r="F180" i="164"/>
  <c r="F181" i="164"/>
  <c r="F182" i="164"/>
  <c r="F183" i="164"/>
  <c r="F184" i="164"/>
  <c r="F185" i="164"/>
  <c r="F186" i="164"/>
  <c r="F187" i="164"/>
  <c r="F188" i="164"/>
  <c r="F189" i="164"/>
  <c r="F190" i="164"/>
  <c r="F191" i="164"/>
  <c r="F192" i="164"/>
  <c r="F193" i="164"/>
  <c r="F194" i="164"/>
  <c r="F195" i="164"/>
  <c r="F196" i="164"/>
  <c r="F197" i="164"/>
  <c r="F198" i="164"/>
  <c r="F199" i="164"/>
  <c r="F200" i="164"/>
  <c r="F201" i="164"/>
  <c r="F202" i="164"/>
  <c r="F203" i="164"/>
  <c r="F204" i="164"/>
  <c r="F205" i="164"/>
  <c r="F206" i="164"/>
  <c r="F207" i="164"/>
  <c r="F208" i="164"/>
  <c r="F209" i="164"/>
  <c r="F210" i="164"/>
  <c r="F211" i="164"/>
  <c r="F212" i="164"/>
  <c r="F213" i="164"/>
  <c r="F214" i="164"/>
  <c r="F215" i="164"/>
  <c r="F216" i="164"/>
  <c r="F217" i="164"/>
  <c r="F218" i="164"/>
  <c r="F219" i="164"/>
  <c r="F220" i="164"/>
  <c r="F221" i="164"/>
  <c r="F222" i="164"/>
  <c r="F223" i="164"/>
  <c r="F224" i="164"/>
  <c r="F225" i="164"/>
  <c r="F226" i="164"/>
  <c r="F227" i="164"/>
  <c r="F228" i="164"/>
  <c r="F229" i="164"/>
  <c r="F230" i="164"/>
  <c r="F231" i="164"/>
  <c r="F232" i="164"/>
  <c r="F233" i="164"/>
  <c r="F234" i="164"/>
  <c r="F235" i="164"/>
  <c r="F236" i="164"/>
  <c r="F237" i="164"/>
  <c r="F238" i="164"/>
  <c r="F239" i="164"/>
  <c r="F240" i="164"/>
  <c r="F241" i="164"/>
  <c r="F242" i="164"/>
  <c r="F243" i="164"/>
  <c r="F244" i="164"/>
  <c r="F245" i="164"/>
  <c r="F246" i="164"/>
  <c r="F247" i="164"/>
  <c r="F248" i="164"/>
  <c r="F249" i="164"/>
  <c r="F250" i="164"/>
  <c r="F251" i="164"/>
  <c r="F252" i="164"/>
  <c r="F253" i="164"/>
  <c r="F254" i="164"/>
  <c r="F255" i="164"/>
  <c r="F256" i="164"/>
  <c r="F257" i="164"/>
  <c r="F258" i="164"/>
  <c r="F259" i="164"/>
  <c r="F260" i="164"/>
  <c r="F261" i="164"/>
  <c r="F262" i="164"/>
  <c r="F263" i="164"/>
  <c r="F264" i="164"/>
  <c r="F265" i="164"/>
  <c r="F266" i="164"/>
  <c r="F267" i="164"/>
  <c r="F268" i="164"/>
  <c r="F269" i="164"/>
  <c r="F270" i="164"/>
  <c r="F271" i="164"/>
  <c r="F272" i="164"/>
  <c r="F273" i="164"/>
  <c r="F274" i="164"/>
  <c r="F275" i="164"/>
  <c r="F276" i="164"/>
  <c r="F277" i="164"/>
  <c r="F278" i="164"/>
  <c r="F279" i="164"/>
  <c r="F280" i="164"/>
  <c r="F281" i="164"/>
  <c r="F282" i="164"/>
  <c r="F283" i="164"/>
  <c r="F284" i="164"/>
  <c r="F285" i="164"/>
  <c r="F286" i="164"/>
  <c r="F287" i="164"/>
  <c r="F288" i="164"/>
  <c r="F289" i="164"/>
  <c r="F290" i="164"/>
  <c r="F291" i="164"/>
  <c r="F292" i="164"/>
  <c r="F293" i="164"/>
  <c r="F294" i="164"/>
  <c r="F295" i="164"/>
  <c r="F296" i="164"/>
  <c r="F297" i="164"/>
  <c r="F298" i="164"/>
  <c r="F299" i="164"/>
  <c r="F300" i="164"/>
  <c r="F301" i="164"/>
  <c r="F302" i="164"/>
  <c r="F303" i="164"/>
  <c r="F304" i="164"/>
  <c r="F305" i="164"/>
  <c r="F306" i="164"/>
  <c r="F307" i="164"/>
  <c r="F308" i="164"/>
  <c r="F309" i="164"/>
  <c r="F310" i="164"/>
  <c r="F311" i="164"/>
  <c r="F312" i="164"/>
  <c r="F313" i="164"/>
  <c r="F314" i="164"/>
  <c r="F315" i="164"/>
  <c r="F316" i="164"/>
  <c r="F317" i="164"/>
  <c r="F318" i="164"/>
  <c r="F319" i="164"/>
  <c r="F320" i="164"/>
  <c r="F321" i="164"/>
  <c r="F322" i="164"/>
  <c r="F323" i="164"/>
  <c r="F324" i="164"/>
  <c r="F325" i="164"/>
  <c r="F326" i="164"/>
  <c r="F327" i="164"/>
  <c r="F328" i="164"/>
  <c r="F329" i="164"/>
  <c r="F330" i="164"/>
  <c r="F331" i="164"/>
  <c r="F332" i="164"/>
  <c r="F333" i="164"/>
  <c r="F334" i="164"/>
  <c r="F335" i="164"/>
  <c r="F336" i="164"/>
  <c r="F337" i="164"/>
  <c r="F338" i="164"/>
  <c r="F339" i="164"/>
  <c r="N340" i="164"/>
  <c r="M340" i="164"/>
  <c r="L340" i="164"/>
  <c r="K340" i="164"/>
  <c r="H340" i="164"/>
  <c r="N339" i="164"/>
  <c r="M339" i="164"/>
  <c r="L339" i="164"/>
  <c r="K339" i="164"/>
  <c r="H339" i="164"/>
  <c r="N338" i="164"/>
  <c r="M338" i="164"/>
  <c r="L338" i="164"/>
  <c r="K338" i="164"/>
  <c r="H338" i="164"/>
  <c r="N337" i="164"/>
  <c r="M337" i="164"/>
  <c r="L337" i="164"/>
  <c r="K337" i="164"/>
  <c r="H337" i="164"/>
  <c r="N336" i="164"/>
  <c r="M336" i="164"/>
  <c r="L336" i="164"/>
  <c r="K336" i="164"/>
  <c r="H336" i="164"/>
  <c r="N335" i="164"/>
  <c r="M335" i="164"/>
  <c r="L335" i="164"/>
  <c r="K335" i="164"/>
  <c r="H335" i="164"/>
  <c r="N334" i="164"/>
  <c r="M334" i="164"/>
  <c r="L334" i="164"/>
  <c r="K334" i="164"/>
  <c r="H334" i="164"/>
  <c r="N333" i="164"/>
  <c r="M333" i="164"/>
  <c r="L333" i="164"/>
  <c r="K333" i="164"/>
  <c r="H333" i="164"/>
  <c r="N332" i="164"/>
  <c r="M332" i="164"/>
  <c r="L332" i="164"/>
  <c r="K332" i="164"/>
  <c r="H332" i="164"/>
  <c r="N331" i="164"/>
  <c r="M331" i="164"/>
  <c r="L331" i="164"/>
  <c r="K331" i="164"/>
  <c r="H331" i="164"/>
  <c r="N330" i="164"/>
  <c r="M330" i="164"/>
  <c r="L330" i="164"/>
  <c r="K330" i="164"/>
  <c r="H330" i="164"/>
  <c r="N329" i="164"/>
  <c r="M329" i="164"/>
  <c r="L329" i="164"/>
  <c r="K329" i="164"/>
  <c r="H329" i="164"/>
  <c r="N328" i="164"/>
  <c r="M328" i="164"/>
  <c r="L328" i="164"/>
  <c r="K328" i="164"/>
  <c r="H328" i="164"/>
  <c r="N327" i="164"/>
  <c r="M327" i="164"/>
  <c r="L327" i="164"/>
  <c r="K327" i="164"/>
  <c r="H327" i="164"/>
  <c r="N326" i="164"/>
  <c r="M326" i="164"/>
  <c r="L326" i="164"/>
  <c r="K326" i="164"/>
  <c r="H326" i="164"/>
  <c r="N325" i="164"/>
  <c r="M325" i="164"/>
  <c r="L325" i="164"/>
  <c r="K325" i="164"/>
  <c r="H325" i="164"/>
  <c r="N324" i="164"/>
  <c r="M324" i="164"/>
  <c r="L324" i="164"/>
  <c r="K324" i="164"/>
  <c r="H324" i="164"/>
  <c r="N323" i="164"/>
  <c r="M323" i="164"/>
  <c r="L323" i="164"/>
  <c r="K323" i="164"/>
  <c r="H323" i="164"/>
  <c r="N322" i="164"/>
  <c r="M322" i="164"/>
  <c r="L322" i="164"/>
  <c r="K322" i="164"/>
  <c r="H322" i="164"/>
  <c r="N321" i="164"/>
  <c r="M321" i="164"/>
  <c r="L321" i="164"/>
  <c r="K321" i="164"/>
  <c r="H321" i="164"/>
  <c r="N320" i="164"/>
  <c r="M320" i="164"/>
  <c r="L320" i="164"/>
  <c r="K320" i="164"/>
  <c r="H320" i="164"/>
  <c r="N319" i="164"/>
  <c r="M319" i="164"/>
  <c r="L319" i="164"/>
  <c r="K319" i="164"/>
  <c r="H319" i="164"/>
  <c r="N318" i="164"/>
  <c r="M318" i="164"/>
  <c r="L318" i="164"/>
  <c r="K318" i="164"/>
  <c r="H318" i="164"/>
  <c r="N317" i="164"/>
  <c r="M317" i="164"/>
  <c r="L317" i="164"/>
  <c r="K317" i="164"/>
  <c r="H317" i="164"/>
  <c r="N316" i="164"/>
  <c r="M316" i="164"/>
  <c r="L316" i="164"/>
  <c r="K316" i="164"/>
  <c r="H316" i="164"/>
  <c r="N315" i="164"/>
  <c r="M315" i="164"/>
  <c r="L315" i="164"/>
  <c r="K315" i="164"/>
  <c r="H315" i="164"/>
  <c r="N314" i="164"/>
  <c r="M314" i="164"/>
  <c r="L314" i="164"/>
  <c r="K314" i="164"/>
  <c r="H314" i="164"/>
  <c r="N313" i="164"/>
  <c r="M313" i="164"/>
  <c r="L313" i="164"/>
  <c r="K313" i="164"/>
  <c r="H313" i="164"/>
  <c r="N312" i="164"/>
  <c r="M312" i="164"/>
  <c r="L312" i="164"/>
  <c r="K312" i="164"/>
  <c r="H312" i="164"/>
  <c r="N311" i="164"/>
  <c r="M311" i="164"/>
  <c r="L311" i="164"/>
  <c r="K311" i="164"/>
  <c r="H311" i="164"/>
  <c r="N310" i="164"/>
  <c r="M310" i="164"/>
  <c r="L310" i="164"/>
  <c r="K310" i="164"/>
  <c r="H310" i="164"/>
  <c r="N309" i="164"/>
  <c r="M309" i="164"/>
  <c r="L309" i="164"/>
  <c r="K309" i="164"/>
  <c r="H309" i="164"/>
  <c r="N308" i="164"/>
  <c r="M308" i="164"/>
  <c r="L308" i="164"/>
  <c r="K308" i="164"/>
  <c r="H308" i="164"/>
  <c r="N307" i="164"/>
  <c r="M307" i="164"/>
  <c r="L307" i="164"/>
  <c r="K307" i="164"/>
  <c r="H307" i="164"/>
  <c r="N306" i="164"/>
  <c r="M306" i="164"/>
  <c r="L306" i="164"/>
  <c r="K306" i="164"/>
  <c r="H306" i="164"/>
  <c r="N305" i="164"/>
  <c r="M305" i="164"/>
  <c r="L305" i="164"/>
  <c r="K305" i="164"/>
  <c r="H305" i="164"/>
  <c r="N304" i="164"/>
  <c r="M304" i="164"/>
  <c r="L304" i="164"/>
  <c r="K304" i="164"/>
  <c r="H304" i="164"/>
  <c r="N303" i="164"/>
  <c r="M303" i="164"/>
  <c r="L303" i="164"/>
  <c r="K303" i="164"/>
  <c r="H303" i="164"/>
  <c r="N302" i="164"/>
  <c r="M302" i="164"/>
  <c r="L302" i="164"/>
  <c r="K302" i="164"/>
  <c r="H302" i="164"/>
  <c r="N301" i="164"/>
  <c r="M301" i="164"/>
  <c r="L301" i="164"/>
  <c r="K301" i="164"/>
  <c r="H301" i="164"/>
  <c r="N300" i="164"/>
  <c r="M300" i="164"/>
  <c r="L300" i="164"/>
  <c r="K300" i="164"/>
  <c r="H300" i="164"/>
  <c r="N299" i="164"/>
  <c r="M299" i="164"/>
  <c r="L299" i="164"/>
  <c r="K299" i="164"/>
  <c r="H299" i="164"/>
  <c r="N298" i="164"/>
  <c r="M298" i="164"/>
  <c r="L298" i="164"/>
  <c r="K298" i="164"/>
  <c r="H298" i="164"/>
  <c r="N297" i="164"/>
  <c r="M297" i="164"/>
  <c r="L297" i="164"/>
  <c r="K297" i="164"/>
  <c r="H297" i="164"/>
  <c r="N296" i="164"/>
  <c r="M296" i="164"/>
  <c r="L296" i="164"/>
  <c r="K296" i="164"/>
  <c r="H296" i="164"/>
  <c r="N295" i="164"/>
  <c r="M295" i="164"/>
  <c r="L295" i="164"/>
  <c r="K295" i="164"/>
  <c r="H295" i="164"/>
  <c r="N294" i="164"/>
  <c r="M294" i="164"/>
  <c r="L294" i="164"/>
  <c r="K294" i="164"/>
  <c r="H294" i="164"/>
  <c r="N293" i="164"/>
  <c r="M293" i="164"/>
  <c r="L293" i="164"/>
  <c r="K293" i="164"/>
  <c r="H293" i="164"/>
  <c r="N292" i="164"/>
  <c r="M292" i="164"/>
  <c r="L292" i="164"/>
  <c r="K292" i="164"/>
  <c r="H292" i="164"/>
  <c r="N291" i="164"/>
  <c r="M291" i="164"/>
  <c r="L291" i="164"/>
  <c r="K291" i="164"/>
  <c r="H291" i="164"/>
  <c r="N290" i="164"/>
  <c r="M290" i="164"/>
  <c r="L290" i="164"/>
  <c r="K290" i="164"/>
  <c r="H290" i="164"/>
  <c r="N289" i="164"/>
  <c r="M289" i="164"/>
  <c r="L289" i="164"/>
  <c r="K289" i="164"/>
  <c r="H289" i="164"/>
  <c r="N288" i="164"/>
  <c r="M288" i="164"/>
  <c r="L288" i="164"/>
  <c r="K288" i="164"/>
  <c r="H288" i="164"/>
  <c r="N287" i="164"/>
  <c r="M287" i="164"/>
  <c r="L287" i="164"/>
  <c r="K287" i="164"/>
  <c r="H287" i="164"/>
  <c r="N286" i="164"/>
  <c r="M286" i="164"/>
  <c r="L286" i="164"/>
  <c r="K286" i="164"/>
  <c r="H286" i="164"/>
  <c r="N285" i="164"/>
  <c r="M285" i="164"/>
  <c r="L285" i="164"/>
  <c r="K285" i="164"/>
  <c r="H285" i="164"/>
  <c r="N284" i="164"/>
  <c r="M284" i="164"/>
  <c r="L284" i="164"/>
  <c r="K284" i="164"/>
  <c r="H284" i="164"/>
  <c r="N283" i="164"/>
  <c r="M283" i="164"/>
  <c r="L283" i="164"/>
  <c r="K283" i="164"/>
  <c r="H283" i="164"/>
  <c r="N282" i="164"/>
  <c r="M282" i="164"/>
  <c r="L282" i="164"/>
  <c r="K282" i="164"/>
  <c r="H282" i="164"/>
  <c r="N281" i="164"/>
  <c r="M281" i="164"/>
  <c r="L281" i="164"/>
  <c r="K281" i="164"/>
  <c r="H281" i="164"/>
  <c r="N280" i="164"/>
  <c r="M280" i="164"/>
  <c r="L280" i="164"/>
  <c r="K280" i="164"/>
  <c r="H280" i="164"/>
  <c r="N279" i="164"/>
  <c r="M279" i="164"/>
  <c r="L279" i="164"/>
  <c r="K279" i="164"/>
  <c r="H279" i="164"/>
  <c r="N278" i="164"/>
  <c r="M278" i="164"/>
  <c r="L278" i="164"/>
  <c r="K278" i="164"/>
  <c r="H278" i="164"/>
  <c r="N277" i="164"/>
  <c r="M277" i="164"/>
  <c r="L277" i="164"/>
  <c r="K277" i="164"/>
  <c r="H277" i="164"/>
  <c r="N276" i="164"/>
  <c r="M276" i="164"/>
  <c r="L276" i="164"/>
  <c r="K276" i="164"/>
  <c r="H276" i="164"/>
  <c r="N275" i="164"/>
  <c r="M275" i="164"/>
  <c r="L275" i="164"/>
  <c r="K275" i="164"/>
  <c r="H275" i="164"/>
  <c r="N274" i="164"/>
  <c r="M274" i="164"/>
  <c r="L274" i="164"/>
  <c r="K274" i="164"/>
  <c r="H274" i="164"/>
  <c r="N273" i="164"/>
  <c r="M273" i="164"/>
  <c r="L273" i="164"/>
  <c r="K273" i="164"/>
  <c r="H273" i="164"/>
  <c r="N272" i="164"/>
  <c r="M272" i="164"/>
  <c r="L272" i="164"/>
  <c r="K272" i="164"/>
  <c r="H272" i="164"/>
  <c r="N271" i="164"/>
  <c r="M271" i="164"/>
  <c r="L271" i="164"/>
  <c r="K271" i="164"/>
  <c r="H271" i="164"/>
  <c r="N270" i="164"/>
  <c r="M270" i="164"/>
  <c r="L270" i="164"/>
  <c r="K270" i="164"/>
  <c r="H270" i="164"/>
  <c r="N269" i="164"/>
  <c r="M269" i="164"/>
  <c r="L269" i="164"/>
  <c r="K269" i="164"/>
  <c r="H269" i="164"/>
  <c r="N268" i="164"/>
  <c r="M268" i="164"/>
  <c r="L268" i="164"/>
  <c r="K268" i="164"/>
  <c r="H268" i="164"/>
  <c r="N267" i="164"/>
  <c r="M267" i="164"/>
  <c r="L267" i="164"/>
  <c r="K267" i="164"/>
  <c r="H267" i="164"/>
  <c r="N266" i="164"/>
  <c r="M266" i="164"/>
  <c r="L266" i="164"/>
  <c r="K266" i="164"/>
  <c r="H266" i="164"/>
  <c r="N265" i="164"/>
  <c r="M265" i="164"/>
  <c r="L265" i="164"/>
  <c r="K265" i="164"/>
  <c r="H265" i="164"/>
  <c r="N264" i="164"/>
  <c r="M264" i="164"/>
  <c r="L264" i="164"/>
  <c r="K264" i="164"/>
  <c r="H264" i="164"/>
  <c r="N263" i="164"/>
  <c r="M263" i="164"/>
  <c r="L263" i="164"/>
  <c r="K263" i="164"/>
  <c r="H263" i="164"/>
  <c r="N262" i="164"/>
  <c r="M262" i="164"/>
  <c r="L262" i="164"/>
  <c r="K262" i="164"/>
  <c r="H262" i="164"/>
  <c r="N261" i="164"/>
  <c r="M261" i="164"/>
  <c r="L261" i="164"/>
  <c r="K261" i="164"/>
  <c r="H261" i="164"/>
  <c r="N260" i="164"/>
  <c r="M260" i="164"/>
  <c r="L260" i="164"/>
  <c r="K260" i="164"/>
  <c r="H260" i="164"/>
  <c r="N259" i="164"/>
  <c r="M259" i="164"/>
  <c r="L259" i="164"/>
  <c r="K259" i="164"/>
  <c r="H259" i="164"/>
  <c r="N258" i="164"/>
  <c r="M258" i="164"/>
  <c r="L258" i="164"/>
  <c r="K258" i="164"/>
  <c r="H258" i="164"/>
  <c r="N257" i="164"/>
  <c r="M257" i="164"/>
  <c r="L257" i="164"/>
  <c r="K257" i="164"/>
  <c r="H257" i="164"/>
  <c r="N256" i="164"/>
  <c r="M256" i="164"/>
  <c r="L256" i="164"/>
  <c r="K256" i="164"/>
  <c r="H256" i="164"/>
  <c r="N255" i="164"/>
  <c r="M255" i="164"/>
  <c r="L255" i="164"/>
  <c r="K255" i="164"/>
  <c r="H255" i="164"/>
  <c r="N254" i="164"/>
  <c r="M254" i="164"/>
  <c r="L254" i="164"/>
  <c r="K254" i="164"/>
  <c r="H254" i="164"/>
  <c r="N253" i="164"/>
  <c r="M253" i="164"/>
  <c r="L253" i="164"/>
  <c r="K253" i="164"/>
  <c r="H253" i="164"/>
  <c r="N252" i="164"/>
  <c r="M252" i="164"/>
  <c r="L252" i="164"/>
  <c r="K252" i="164"/>
  <c r="H252" i="164"/>
  <c r="N251" i="164"/>
  <c r="M251" i="164"/>
  <c r="L251" i="164"/>
  <c r="K251" i="164"/>
  <c r="H251" i="164"/>
  <c r="N250" i="164"/>
  <c r="M250" i="164"/>
  <c r="L250" i="164"/>
  <c r="K250" i="164"/>
  <c r="H250" i="164"/>
  <c r="N249" i="164"/>
  <c r="M249" i="164"/>
  <c r="L249" i="164"/>
  <c r="K249" i="164"/>
  <c r="H249" i="164"/>
  <c r="N248" i="164"/>
  <c r="M248" i="164"/>
  <c r="L248" i="164"/>
  <c r="K248" i="164"/>
  <c r="H248" i="164"/>
  <c r="N247" i="164"/>
  <c r="M247" i="164"/>
  <c r="L247" i="164"/>
  <c r="K247" i="164"/>
  <c r="H247" i="164"/>
  <c r="N246" i="164"/>
  <c r="M246" i="164"/>
  <c r="L246" i="164"/>
  <c r="K246" i="164"/>
  <c r="H246" i="164"/>
  <c r="N245" i="164"/>
  <c r="M245" i="164"/>
  <c r="L245" i="164"/>
  <c r="K245" i="164"/>
  <c r="H245" i="164"/>
  <c r="N244" i="164"/>
  <c r="M244" i="164"/>
  <c r="L244" i="164"/>
  <c r="K244" i="164"/>
  <c r="H244" i="164"/>
  <c r="N243" i="164"/>
  <c r="M243" i="164"/>
  <c r="L243" i="164"/>
  <c r="K243" i="164"/>
  <c r="H243" i="164"/>
  <c r="N242" i="164"/>
  <c r="M242" i="164"/>
  <c r="L242" i="164"/>
  <c r="K242" i="164"/>
  <c r="H242" i="164"/>
  <c r="N241" i="164"/>
  <c r="M241" i="164"/>
  <c r="L241" i="164"/>
  <c r="K241" i="164"/>
  <c r="H241" i="164"/>
  <c r="N240" i="164"/>
  <c r="M240" i="164"/>
  <c r="L240" i="164"/>
  <c r="K240" i="164"/>
  <c r="H240" i="164"/>
  <c r="N239" i="164"/>
  <c r="M239" i="164"/>
  <c r="L239" i="164"/>
  <c r="K239" i="164"/>
  <c r="H239" i="164"/>
  <c r="N238" i="164"/>
  <c r="M238" i="164"/>
  <c r="L238" i="164"/>
  <c r="K238" i="164"/>
  <c r="H238" i="164"/>
  <c r="N237" i="164"/>
  <c r="M237" i="164"/>
  <c r="L237" i="164"/>
  <c r="K237" i="164"/>
  <c r="H237" i="164"/>
  <c r="N236" i="164"/>
  <c r="M236" i="164"/>
  <c r="L236" i="164"/>
  <c r="K236" i="164"/>
  <c r="H236" i="164"/>
  <c r="N235" i="164"/>
  <c r="M235" i="164"/>
  <c r="L235" i="164"/>
  <c r="K235" i="164"/>
  <c r="H235" i="164"/>
  <c r="N234" i="164"/>
  <c r="M234" i="164"/>
  <c r="L234" i="164"/>
  <c r="K234" i="164"/>
  <c r="H234" i="164"/>
  <c r="N233" i="164"/>
  <c r="M233" i="164"/>
  <c r="L233" i="164"/>
  <c r="K233" i="164"/>
  <c r="H233" i="164"/>
  <c r="N232" i="164"/>
  <c r="M232" i="164"/>
  <c r="L232" i="164"/>
  <c r="K232" i="164"/>
  <c r="H232" i="164"/>
  <c r="N231" i="164"/>
  <c r="M231" i="164"/>
  <c r="L231" i="164"/>
  <c r="K231" i="164"/>
  <c r="H231" i="164"/>
  <c r="N230" i="164"/>
  <c r="M230" i="164"/>
  <c r="L230" i="164"/>
  <c r="K230" i="164"/>
  <c r="H230" i="164"/>
  <c r="N229" i="164"/>
  <c r="M229" i="164"/>
  <c r="L229" i="164"/>
  <c r="K229" i="164"/>
  <c r="H229" i="164"/>
  <c r="N228" i="164"/>
  <c r="M228" i="164"/>
  <c r="L228" i="164"/>
  <c r="K228" i="164"/>
  <c r="H228" i="164"/>
  <c r="N227" i="164"/>
  <c r="M227" i="164"/>
  <c r="L227" i="164"/>
  <c r="K227" i="164"/>
  <c r="H227" i="164"/>
  <c r="N226" i="164"/>
  <c r="M226" i="164"/>
  <c r="L226" i="164"/>
  <c r="K226" i="164"/>
  <c r="H226" i="164"/>
  <c r="N225" i="164"/>
  <c r="M225" i="164"/>
  <c r="L225" i="164"/>
  <c r="K225" i="164"/>
  <c r="H225" i="164"/>
  <c r="N224" i="164"/>
  <c r="M224" i="164"/>
  <c r="L224" i="164"/>
  <c r="K224" i="164"/>
  <c r="H224" i="164"/>
  <c r="N223" i="164"/>
  <c r="M223" i="164"/>
  <c r="L223" i="164"/>
  <c r="K223" i="164"/>
  <c r="H223" i="164"/>
  <c r="N222" i="164"/>
  <c r="M222" i="164"/>
  <c r="L222" i="164"/>
  <c r="K222" i="164"/>
  <c r="H222" i="164"/>
  <c r="N221" i="164"/>
  <c r="M221" i="164"/>
  <c r="L221" i="164"/>
  <c r="K221" i="164"/>
  <c r="H221" i="164"/>
  <c r="N220" i="164"/>
  <c r="M220" i="164"/>
  <c r="L220" i="164"/>
  <c r="K220" i="164"/>
  <c r="H220" i="164"/>
  <c r="N219" i="164"/>
  <c r="M219" i="164"/>
  <c r="L219" i="164"/>
  <c r="K219" i="164"/>
  <c r="H219" i="164"/>
  <c r="N218" i="164"/>
  <c r="M218" i="164"/>
  <c r="L218" i="164"/>
  <c r="K218" i="164"/>
  <c r="H218" i="164"/>
  <c r="N217" i="164"/>
  <c r="M217" i="164"/>
  <c r="L217" i="164"/>
  <c r="K217" i="164"/>
  <c r="H217" i="164"/>
  <c r="N216" i="164"/>
  <c r="M216" i="164"/>
  <c r="L216" i="164"/>
  <c r="K216" i="164"/>
  <c r="H216" i="164"/>
  <c r="N215" i="164"/>
  <c r="M215" i="164"/>
  <c r="L215" i="164"/>
  <c r="K215" i="164"/>
  <c r="H215" i="164"/>
  <c r="N214" i="164"/>
  <c r="M214" i="164"/>
  <c r="L214" i="164"/>
  <c r="K214" i="164"/>
  <c r="H214" i="164"/>
  <c r="N213" i="164"/>
  <c r="M213" i="164"/>
  <c r="L213" i="164"/>
  <c r="K213" i="164"/>
  <c r="H213" i="164"/>
  <c r="N212" i="164"/>
  <c r="M212" i="164"/>
  <c r="L212" i="164"/>
  <c r="K212" i="164"/>
  <c r="H212" i="164"/>
  <c r="N211" i="164"/>
  <c r="M211" i="164"/>
  <c r="L211" i="164"/>
  <c r="K211" i="164"/>
  <c r="H211" i="164"/>
  <c r="N210" i="164"/>
  <c r="M210" i="164"/>
  <c r="L210" i="164"/>
  <c r="K210" i="164"/>
  <c r="H210" i="164"/>
  <c r="N209" i="164"/>
  <c r="M209" i="164"/>
  <c r="L209" i="164"/>
  <c r="K209" i="164"/>
  <c r="H209" i="164"/>
  <c r="N208" i="164"/>
  <c r="M208" i="164"/>
  <c r="L208" i="164"/>
  <c r="K208" i="164"/>
  <c r="H208" i="164"/>
  <c r="N207" i="164"/>
  <c r="M207" i="164"/>
  <c r="L207" i="164"/>
  <c r="K207" i="164"/>
  <c r="H207" i="164"/>
  <c r="N206" i="164"/>
  <c r="M206" i="164"/>
  <c r="L206" i="164"/>
  <c r="K206" i="164"/>
  <c r="H206" i="164"/>
  <c r="N205" i="164"/>
  <c r="M205" i="164"/>
  <c r="L205" i="164"/>
  <c r="K205" i="164"/>
  <c r="H205" i="164"/>
  <c r="N204" i="164"/>
  <c r="M204" i="164"/>
  <c r="L204" i="164"/>
  <c r="K204" i="164"/>
  <c r="H204" i="164"/>
  <c r="N203" i="164"/>
  <c r="M203" i="164"/>
  <c r="L203" i="164"/>
  <c r="K203" i="164"/>
  <c r="H203" i="164"/>
  <c r="N202" i="164"/>
  <c r="M202" i="164"/>
  <c r="L202" i="164"/>
  <c r="K202" i="164"/>
  <c r="H202" i="164"/>
  <c r="N201" i="164"/>
  <c r="M201" i="164"/>
  <c r="L201" i="164"/>
  <c r="K201" i="164"/>
  <c r="H201" i="164"/>
  <c r="N200" i="164"/>
  <c r="M200" i="164"/>
  <c r="L200" i="164"/>
  <c r="K200" i="164"/>
  <c r="H200" i="164"/>
  <c r="N199" i="164"/>
  <c r="M199" i="164"/>
  <c r="L199" i="164"/>
  <c r="K199" i="164"/>
  <c r="H199" i="164"/>
  <c r="N198" i="164"/>
  <c r="M198" i="164"/>
  <c r="L198" i="164"/>
  <c r="K198" i="164"/>
  <c r="H198" i="164"/>
  <c r="N197" i="164"/>
  <c r="M197" i="164"/>
  <c r="L197" i="164"/>
  <c r="K197" i="164"/>
  <c r="H197" i="164"/>
  <c r="N196" i="164"/>
  <c r="M196" i="164"/>
  <c r="L196" i="164"/>
  <c r="K196" i="164"/>
  <c r="H196" i="164"/>
  <c r="N195" i="164"/>
  <c r="M195" i="164"/>
  <c r="L195" i="164"/>
  <c r="K195" i="164"/>
  <c r="H195" i="164"/>
  <c r="N194" i="164"/>
  <c r="M194" i="164"/>
  <c r="L194" i="164"/>
  <c r="K194" i="164"/>
  <c r="H194" i="164"/>
  <c r="N193" i="164"/>
  <c r="M193" i="164"/>
  <c r="L193" i="164"/>
  <c r="K193" i="164"/>
  <c r="H193" i="164"/>
  <c r="N192" i="164"/>
  <c r="M192" i="164"/>
  <c r="L192" i="164"/>
  <c r="K192" i="164"/>
  <c r="H192" i="164"/>
  <c r="N191" i="164"/>
  <c r="M191" i="164"/>
  <c r="L191" i="164"/>
  <c r="K191" i="164"/>
  <c r="H191" i="164"/>
  <c r="N190" i="164"/>
  <c r="M190" i="164"/>
  <c r="L190" i="164"/>
  <c r="K190" i="164"/>
  <c r="H190" i="164"/>
  <c r="N189" i="164"/>
  <c r="M189" i="164"/>
  <c r="L189" i="164"/>
  <c r="K189" i="164"/>
  <c r="H189" i="164"/>
  <c r="N188" i="164"/>
  <c r="M188" i="164"/>
  <c r="L188" i="164"/>
  <c r="K188" i="164"/>
  <c r="H188" i="164"/>
  <c r="N187" i="164"/>
  <c r="M187" i="164"/>
  <c r="L187" i="164"/>
  <c r="K187" i="164"/>
  <c r="H187" i="164"/>
  <c r="N186" i="164"/>
  <c r="M186" i="164"/>
  <c r="L186" i="164"/>
  <c r="K186" i="164"/>
  <c r="H186" i="164"/>
  <c r="N185" i="164"/>
  <c r="M185" i="164"/>
  <c r="L185" i="164"/>
  <c r="K185" i="164"/>
  <c r="H185" i="164"/>
  <c r="N184" i="164"/>
  <c r="M184" i="164"/>
  <c r="L184" i="164"/>
  <c r="K184" i="164"/>
  <c r="H184" i="164"/>
  <c r="N183" i="164"/>
  <c r="M183" i="164"/>
  <c r="L183" i="164"/>
  <c r="K183" i="164"/>
  <c r="H183" i="164"/>
  <c r="N182" i="164"/>
  <c r="M182" i="164"/>
  <c r="L182" i="164"/>
  <c r="K182" i="164"/>
  <c r="H182" i="164"/>
  <c r="N181" i="164"/>
  <c r="M181" i="164"/>
  <c r="L181" i="164"/>
  <c r="K181" i="164"/>
  <c r="H181" i="164"/>
  <c r="N180" i="164"/>
  <c r="M180" i="164"/>
  <c r="L180" i="164"/>
  <c r="K180" i="164"/>
  <c r="H180" i="164"/>
  <c r="N179" i="164"/>
  <c r="M179" i="164"/>
  <c r="L179" i="164"/>
  <c r="K179" i="164"/>
  <c r="H179" i="164"/>
  <c r="N178" i="164"/>
  <c r="M178" i="164"/>
  <c r="L178" i="164"/>
  <c r="K178" i="164"/>
  <c r="H178" i="164"/>
  <c r="N177" i="164"/>
  <c r="M177" i="164"/>
  <c r="L177" i="164"/>
  <c r="K177" i="164"/>
  <c r="H177" i="164"/>
  <c r="N176" i="164"/>
  <c r="M176" i="164"/>
  <c r="L176" i="164"/>
  <c r="K176" i="164"/>
  <c r="H176" i="164"/>
  <c r="N175" i="164"/>
  <c r="M175" i="164"/>
  <c r="L175" i="164"/>
  <c r="K175" i="164"/>
  <c r="H175" i="164"/>
  <c r="N174" i="164"/>
  <c r="M174" i="164"/>
  <c r="L174" i="164"/>
  <c r="K174" i="164"/>
  <c r="H174" i="164"/>
  <c r="N173" i="164"/>
  <c r="M173" i="164"/>
  <c r="L173" i="164"/>
  <c r="K173" i="164"/>
  <c r="H173" i="164"/>
  <c r="N172" i="164"/>
  <c r="M172" i="164"/>
  <c r="L172" i="164"/>
  <c r="K172" i="164"/>
  <c r="H172" i="164"/>
  <c r="N171" i="164"/>
  <c r="M171" i="164"/>
  <c r="L171" i="164"/>
  <c r="K171" i="164"/>
  <c r="H171" i="164"/>
  <c r="N170" i="164"/>
  <c r="M170" i="164"/>
  <c r="L170" i="164"/>
  <c r="K170" i="164"/>
  <c r="H170" i="164"/>
  <c r="N169" i="164"/>
  <c r="M169" i="164"/>
  <c r="L169" i="164"/>
  <c r="K169" i="164"/>
  <c r="H169" i="164"/>
  <c r="N168" i="164"/>
  <c r="M168" i="164"/>
  <c r="L168" i="164"/>
  <c r="K168" i="164"/>
  <c r="H168" i="164"/>
  <c r="N167" i="164"/>
  <c r="M167" i="164"/>
  <c r="L167" i="164"/>
  <c r="K167" i="164"/>
  <c r="H167" i="164"/>
  <c r="N166" i="164"/>
  <c r="M166" i="164"/>
  <c r="L166" i="164"/>
  <c r="K166" i="164"/>
  <c r="H166" i="164"/>
  <c r="N165" i="164"/>
  <c r="M165" i="164"/>
  <c r="L165" i="164"/>
  <c r="K165" i="164"/>
  <c r="H165" i="164"/>
  <c r="N164" i="164"/>
  <c r="M164" i="164"/>
  <c r="L164" i="164"/>
  <c r="K164" i="164"/>
  <c r="H164" i="164"/>
  <c r="N163" i="164"/>
  <c r="M163" i="164"/>
  <c r="L163" i="164"/>
  <c r="K163" i="164"/>
  <c r="H163" i="164"/>
  <c r="N162" i="164"/>
  <c r="M162" i="164"/>
  <c r="L162" i="164"/>
  <c r="K162" i="164"/>
  <c r="H162" i="164"/>
  <c r="N161" i="164"/>
  <c r="M161" i="164"/>
  <c r="L161" i="164"/>
  <c r="K161" i="164"/>
  <c r="H161" i="164"/>
  <c r="N160" i="164"/>
  <c r="M160" i="164"/>
  <c r="L160" i="164"/>
  <c r="K160" i="164"/>
  <c r="H160" i="164"/>
  <c r="N159" i="164"/>
  <c r="M159" i="164"/>
  <c r="L159" i="164"/>
  <c r="K159" i="164"/>
  <c r="H159" i="164"/>
  <c r="N158" i="164"/>
  <c r="M158" i="164"/>
  <c r="L158" i="164"/>
  <c r="K158" i="164"/>
  <c r="H158" i="164"/>
  <c r="N157" i="164"/>
  <c r="M157" i="164"/>
  <c r="L157" i="164"/>
  <c r="K157" i="164"/>
  <c r="H157" i="164"/>
  <c r="N156" i="164"/>
  <c r="M156" i="164"/>
  <c r="L156" i="164"/>
  <c r="K156" i="164"/>
  <c r="H156" i="164"/>
  <c r="N155" i="164"/>
  <c r="M155" i="164"/>
  <c r="L155" i="164"/>
  <c r="K155" i="164"/>
  <c r="H155" i="164"/>
  <c r="N154" i="164"/>
  <c r="M154" i="164"/>
  <c r="L154" i="164"/>
  <c r="K154" i="164"/>
  <c r="H154" i="164"/>
  <c r="N153" i="164"/>
  <c r="M153" i="164"/>
  <c r="L153" i="164"/>
  <c r="K153" i="164"/>
  <c r="H153" i="164"/>
  <c r="N152" i="164"/>
  <c r="M152" i="164"/>
  <c r="L152" i="164"/>
  <c r="K152" i="164"/>
  <c r="H152" i="164"/>
  <c r="N151" i="164"/>
  <c r="M151" i="164"/>
  <c r="L151" i="164"/>
  <c r="K151" i="164"/>
  <c r="H151" i="164"/>
  <c r="N150" i="164"/>
  <c r="M150" i="164"/>
  <c r="L150" i="164"/>
  <c r="K150" i="164"/>
  <c r="H150" i="164"/>
  <c r="N149" i="164"/>
  <c r="M149" i="164"/>
  <c r="L149" i="164"/>
  <c r="K149" i="164"/>
  <c r="H149" i="164"/>
  <c r="N148" i="164"/>
  <c r="M148" i="164"/>
  <c r="L148" i="164"/>
  <c r="K148" i="164"/>
  <c r="H148" i="164"/>
  <c r="N147" i="164"/>
  <c r="M147" i="164"/>
  <c r="L147" i="164"/>
  <c r="K147" i="164"/>
  <c r="H147" i="164"/>
  <c r="N146" i="164"/>
  <c r="M146" i="164"/>
  <c r="L146" i="164"/>
  <c r="K146" i="164"/>
  <c r="H146" i="164"/>
  <c r="N145" i="164"/>
  <c r="M145" i="164"/>
  <c r="L145" i="164"/>
  <c r="K145" i="164"/>
  <c r="H145" i="164"/>
  <c r="N144" i="164"/>
  <c r="M144" i="164"/>
  <c r="L144" i="164"/>
  <c r="K144" i="164"/>
  <c r="H144" i="164"/>
  <c r="N143" i="164"/>
  <c r="M143" i="164"/>
  <c r="L143" i="164"/>
  <c r="K143" i="164"/>
  <c r="H143" i="164"/>
  <c r="N142" i="164"/>
  <c r="M142" i="164"/>
  <c r="L142" i="164"/>
  <c r="K142" i="164"/>
  <c r="H142" i="164"/>
  <c r="N141" i="164"/>
  <c r="M141" i="164"/>
  <c r="L141" i="164"/>
  <c r="K141" i="164"/>
  <c r="H141" i="164"/>
  <c r="N140" i="164"/>
  <c r="M140" i="164"/>
  <c r="L140" i="164"/>
  <c r="K140" i="164"/>
  <c r="H140" i="164"/>
  <c r="N139" i="164"/>
  <c r="M139" i="164"/>
  <c r="L139" i="164"/>
  <c r="K139" i="164"/>
  <c r="H139" i="164"/>
  <c r="N138" i="164"/>
  <c r="M138" i="164"/>
  <c r="L138" i="164"/>
  <c r="K138" i="164"/>
  <c r="H138" i="164"/>
  <c r="N137" i="164"/>
  <c r="M137" i="164"/>
  <c r="L137" i="164"/>
  <c r="K137" i="164"/>
  <c r="H137" i="164"/>
  <c r="N136" i="164"/>
  <c r="M136" i="164"/>
  <c r="L136" i="164"/>
  <c r="K136" i="164"/>
  <c r="H136" i="164"/>
  <c r="N135" i="164"/>
  <c r="M135" i="164"/>
  <c r="L135" i="164"/>
  <c r="K135" i="164"/>
  <c r="H135" i="164"/>
  <c r="N134" i="164"/>
  <c r="M134" i="164"/>
  <c r="L134" i="164"/>
  <c r="K134" i="164"/>
  <c r="H134" i="164"/>
  <c r="N133" i="164"/>
  <c r="M133" i="164"/>
  <c r="L133" i="164"/>
  <c r="K133" i="164"/>
  <c r="H133" i="164"/>
  <c r="N132" i="164"/>
  <c r="M132" i="164"/>
  <c r="L132" i="164"/>
  <c r="K132" i="164"/>
  <c r="H132" i="164"/>
  <c r="N131" i="164"/>
  <c r="M131" i="164"/>
  <c r="L131" i="164"/>
  <c r="K131" i="164"/>
  <c r="H131" i="164"/>
  <c r="N130" i="164"/>
  <c r="M130" i="164"/>
  <c r="L130" i="164"/>
  <c r="K130" i="164"/>
  <c r="H130" i="164"/>
  <c r="N129" i="164"/>
  <c r="M129" i="164"/>
  <c r="L129" i="164"/>
  <c r="K129" i="164"/>
  <c r="H129" i="164"/>
  <c r="N128" i="164"/>
  <c r="M128" i="164"/>
  <c r="L128" i="164"/>
  <c r="K128" i="164"/>
  <c r="H128" i="164"/>
  <c r="N127" i="164"/>
  <c r="M127" i="164"/>
  <c r="L127" i="164"/>
  <c r="K127" i="164"/>
  <c r="H127" i="164"/>
  <c r="N126" i="164"/>
  <c r="M126" i="164"/>
  <c r="L126" i="164"/>
  <c r="K126" i="164"/>
  <c r="H126" i="164"/>
  <c r="N125" i="164"/>
  <c r="M125" i="164"/>
  <c r="L125" i="164"/>
  <c r="K125" i="164"/>
  <c r="H125" i="164"/>
  <c r="N124" i="164"/>
  <c r="M124" i="164"/>
  <c r="L124" i="164"/>
  <c r="K124" i="164"/>
  <c r="H124" i="164"/>
  <c r="N123" i="164"/>
  <c r="M123" i="164"/>
  <c r="L123" i="164"/>
  <c r="K123" i="164"/>
  <c r="H123" i="164"/>
  <c r="N122" i="164"/>
  <c r="M122" i="164"/>
  <c r="L122" i="164"/>
  <c r="K122" i="164"/>
  <c r="H122" i="164"/>
  <c r="N121" i="164"/>
  <c r="M121" i="164"/>
  <c r="L121" i="164"/>
  <c r="K121" i="164"/>
  <c r="H121" i="164"/>
  <c r="N120" i="164"/>
  <c r="M120" i="164"/>
  <c r="L120" i="164"/>
  <c r="K120" i="164"/>
  <c r="H120" i="164"/>
  <c r="N119" i="164"/>
  <c r="M119" i="164"/>
  <c r="L119" i="164"/>
  <c r="K119" i="164"/>
  <c r="H119" i="164"/>
  <c r="N118" i="164"/>
  <c r="M118" i="164"/>
  <c r="L118" i="164"/>
  <c r="K118" i="164"/>
  <c r="H118" i="164"/>
  <c r="N117" i="164"/>
  <c r="M117" i="164"/>
  <c r="L117" i="164"/>
  <c r="K117" i="164"/>
  <c r="H117" i="164"/>
  <c r="N116" i="164"/>
  <c r="M116" i="164"/>
  <c r="L116" i="164"/>
  <c r="K116" i="164"/>
  <c r="H116" i="164"/>
  <c r="N115" i="164"/>
  <c r="M115" i="164"/>
  <c r="L115" i="164"/>
  <c r="K115" i="164"/>
  <c r="H115" i="164"/>
  <c r="N114" i="164"/>
  <c r="M114" i="164"/>
  <c r="L114" i="164"/>
  <c r="K114" i="164"/>
  <c r="H114" i="164"/>
  <c r="N113" i="164"/>
  <c r="M113" i="164"/>
  <c r="L113" i="164"/>
  <c r="K113" i="164"/>
  <c r="H113" i="164"/>
  <c r="N112" i="164"/>
  <c r="M112" i="164"/>
  <c r="L112" i="164"/>
  <c r="K112" i="164"/>
  <c r="H112" i="164"/>
  <c r="N111" i="164"/>
  <c r="M111" i="164"/>
  <c r="L111" i="164"/>
  <c r="K111" i="164"/>
  <c r="H111" i="164"/>
  <c r="N110" i="164"/>
  <c r="M110" i="164"/>
  <c r="L110" i="164"/>
  <c r="K110" i="164"/>
  <c r="H110" i="164"/>
  <c r="N109" i="164"/>
  <c r="M109" i="164"/>
  <c r="L109" i="164"/>
  <c r="K109" i="164"/>
  <c r="H109" i="164"/>
  <c r="N108" i="164"/>
  <c r="M108" i="164"/>
  <c r="L108" i="164"/>
  <c r="K108" i="164"/>
  <c r="H108" i="164"/>
  <c r="N107" i="164"/>
  <c r="M107" i="164"/>
  <c r="L107" i="164"/>
  <c r="K107" i="164"/>
  <c r="H107" i="164"/>
  <c r="N106" i="164"/>
  <c r="M106" i="164"/>
  <c r="L106" i="164"/>
  <c r="K106" i="164"/>
  <c r="H106" i="164"/>
  <c r="N105" i="164"/>
  <c r="M105" i="164"/>
  <c r="L105" i="164"/>
  <c r="K105" i="164"/>
  <c r="H105" i="164"/>
  <c r="N104" i="164"/>
  <c r="M104" i="164"/>
  <c r="L104" i="164"/>
  <c r="K104" i="164"/>
  <c r="H104" i="164"/>
  <c r="N103" i="164"/>
  <c r="M103" i="164"/>
  <c r="L103" i="164"/>
  <c r="K103" i="164"/>
  <c r="H103" i="164"/>
  <c r="N102" i="164"/>
  <c r="M102" i="164"/>
  <c r="L102" i="164"/>
  <c r="K102" i="164"/>
  <c r="H102" i="164"/>
  <c r="N101" i="164"/>
  <c r="M101" i="164"/>
  <c r="L101" i="164"/>
  <c r="K101" i="164"/>
  <c r="H101" i="164"/>
  <c r="N100" i="164"/>
  <c r="M100" i="164"/>
  <c r="L100" i="164"/>
  <c r="K100" i="164"/>
  <c r="H100" i="164"/>
  <c r="N99" i="164"/>
  <c r="M99" i="164"/>
  <c r="L99" i="164"/>
  <c r="K99" i="164"/>
  <c r="H99" i="164"/>
  <c r="N98" i="164"/>
  <c r="M98" i="164"/>
  <c r="L98" i="164"/>
  <c r="K98" i="164"/>
  <c r="H98" i="164"/>
  <c r="N97" i="164"/>
  <c r="M97" i="164"/>
  <c r="L97" i="164"/>
  <c r="K97" i="164"/>
  <c r="H97" i="164"/>
  <c r="N96" i="164"/>
  <c r="M96" i="164"/>
  <c r="L96" i="164"/>
  <c r="K96" i="164"/>
  <c r="H96" i="164"/>
  <c r="N95" i="164"/>
  <c r="M95" i="164"/>
  <c r="L95" i="164"/>
  <c r="K95" i="164"/>
  <c r="H95" i="164"/>
  <c r="N94" i="164"/>
  <c r="M94" i="164"/>
  <c r="L94" i="164"/>
  <c r="K94" i="164"/>
  <c r="H94" i="164"/>
  <c r="N93" i="164"/>
  <c r="M93" i="164"/>
  <c r="L93" i="164"/>
  <c r="K93" i="164"/>
  <c r="H93" i="164"/>
  <c r="N92" i="164"/>
  <c r="M92" i="164"/>
  <c r="L92" i="164"/>
  <c r="K92" i="164"/>
  <c r="H92" i="164"/>
  <c r="N91" i="164"/>
  <c r="M91" i="164"/>
  <c r="L91" i="164"/>
  <c r="K91" i="164"/>
  <c r="H91" i="164"/>
  <c r="N90" i="164"/>
  <c r="M90" i="164"/>
  <c r="L90" i="164"/>
  <c r="K90" i="164"/>
  <c r="H90" i="164"/>
  <c r="N89" i="164"/>
  <c r="M89" i="164"/>
  <c r="L89" i="164"/>
  <c r="K89" i="164"/>
  <c r="H89" i="164"/>
  <c r="N88" i="164"/>
  <c r="M88" i="164"/>
  <c r="L88" i="164"/>
  <c r="K88" i="164"/>
  <c r="H88" i="164"/>
  <c r="N87" i="164"/>
  <c r="M87" i="164"/>
  <c r="L87" i="164"/>
  <c r="K87" i="164"/>
  <c r="H87" i="164"/>
  <c r="N86" i="164"/>
  <c r="M86" i="164"/>
  <c r="L86" i="164"/>
  <c r="K86" i="164"/>
  <c r="H86" i="164"/>
  <c r="N85" i="164"/>
  <c r="M85" i="164"/>
  <c r="L85" i="164"/>
  <c r="K85" i="164"/>
  <c r="H85" i="164"/>
  <c r="N84" i="164"/>
  <c r="M84" i="164"/>
  <c r="L84" i="164"/>
  <c r="K84" i="164"/>
  <c r="H84" i="164"/>
  <c r="N83" i="164"/>
  <c r="M83" i="164"/>
  <c r="L83" i="164"/>
  <c r="K83" i="164"/>
  <c r="H83" i="164"/>
  <c r="N82" i="164"/>
  <c r="M82" i="164"/>
  <c r="L82" i="164"/>
  <c r="K82" i="164"/>
  <c r="H82" i="164"/>
  <c r="N81" i="164"/>
  <c r="M81" i="164"/>
  <c r="L81" i="164"/>
  <c r="K81" i="164"/>
  <c r="H81" i="164"/>
  <c r="N80" i="164"/>
  <c r="M80" i="164"/>
  <c r="L80" i="164"/>
  <c r="K80" i="164"/>
  <c r="H80" i="164"/>
  <c r="N79" i="164"/>
  <c r="M79" i="164"/>
  <c r="L79" i="164"/>
  <c r="K79" i="164"/>
  <c r="H79" i="164"/>
  <c r="N78" i="164"/>
  <c r="M78" i="164"/>
  <c r="L78" i="164"/>
  <c r="K78" i="164"/>
  <c r="H78" i="164"/>
  <c r="N77" i="164"/>
  <c r="M77" i="164"/>
  <c r="L77" i="164"/>
  <c r="K77" i="164"/>
  <c r="H77" i="164"/>
  <c r="N76" i="164"/>
  <c r="M76" i="164"/>
  <c r="L76" i="164"/>
  <c r="K76" i="164"/>
  <c r="H76" i="164"/>
  <c r="N75" i="164"/>
  <c r="M75" i="164"/>
  <c r="L75" i="164"/>
  <c r="K75" i="164"/>
  <c r="H75" i="164"/>
  <c r="N74" i="164"/>
  <c r="M74" i="164"/>
  <c r="L74" i="164"/>
  <c r="K74" i="164"/>
  <c r="H74" i="164"/>
  <c r="N73" i="164"/>
  <c r="M73" i="164"/>
  <c r="L73" i="164"/>
  <c r="K73" i="164"/>
  <c r="H73" i="164"/>
  <c r="N72" i="164"/>
  <c r="M72" i="164"/>
  <c r="L72" i="164"/>
  <c r="K72" i="164"/>
  <c r="H72" i="164"/>
  <c r="N71" i="164"/>
  <c r="M71" i="164"/>
  <c r="L71" i="164"/>
  <c r="K71" i="164"/>
  <c r="H71" i="164"/>
  <c r="N70" i="164"/>
  <c r="M70" i="164"/>
  <c r="L70" i="164"/>
  <c r="K70" i="164"/>
  <c r="H70" i="164"/>
  <c r="N69" i="164"/>
  <c r="M69" i="164"/>
  <c r="L69" i="164"/>
  <c r="K69" i="164"/>
  <c r="H69" i="164"/>
  <c r="N68" i="164"/>
  <c r="M68" i="164"/>
  <c r="L68" i="164"/>
  <c r="K68" i="164"/>
  <c r="H68" i="164"/>
  <c r="N67" i="164"/>
  <c r="M67" i="164"/>
  <c r="L67" i="164"/>
  <c r="K67" i="164"/>
  <c r="H67" i="164"/>
  <c r="N66" i="164"/>
  <c r="M66" i="164"/>
  <c r="L66" i="164"/>
  <c r="K66" i="164"/>
  <c r="H66" i="164"/>
  <c r="N65" i="164"/>
  <c r="M65" i="164"/>
  <c r="L65" i="164"/>
  <c r="K65" i="164"/>
  <c r="H65" i="164"/>
  <c r="N64" i="164"/>
  <c r="M64" i="164"/>
  <c r="L64" i="164"/>
  <c r="K64" i="164"/>
  <c r="H64" i="164"/>
  <c r="N63" i="164"/>
  <c r="M63" i="164"/>
  <c r="L63" i="164"/>
  <c r="K63" i="164"/>
  <c r="H63" i="164"/>
  <c r="N62" i="164"/>
  <c r="M62" i="164"/>
  <c r="L62" i="164"/>
  <c r="K62" i="164"/>
  <c r="H62" i="164"/>
  <c r="N61" i="164"/>
  <c r="M61" i="164"/>
  <c r="L61" i="164"/>
  <c r="K61" i="164"/>
  <c r="H61" i="164"/>
  <c r="N60" i="164"/>
  <c r="M60" i="164"/>
  <c r="L60" i="164"/>
  <c r="K60" i="164"/>
  <c r="H60" i="164"/>
  <c r="N59" i="164"/>
  <c r="M59" i="164"/>
  <c r="L59" i="164"/>
  <c r="K59" i="164"/>
  <c r="H59" i="164"/>
  <c r="N58" i="164"/>
  <c r="M58" i="164"/>
  <c r="L58" i="164"/>
  <c r="K58" i="164"/>
  <c r="H58" i="164"/>
  <c r="N57" i="164"/>
  <c r="M57" i="164"/>
  <c r="L57" i="164"/>
  <c r="K57" i="164"/>
  <c r="H57" i="164"/>
  <c r="N56" i="164"/>
  <c r="M56" i="164"/>
  <c r="L56" i="164"/>
  <c r="K56" i="164"/>
  <c r="H56" i="164"/>
  <c r="N55" i="164"/>
  <c r="M55" i="164"/>
  <c r="L55" i="164"/>
  <c r="K55" i="164"/>
  <c r="H55" i="164"/>
  <c r="N54" i="164"/>
  <c r="M54" i="164"/>
  <c r="L54" i="164"/>
  <c r="K54" i="164"/>
  <c r="H54" i="164"/>
  <c r="N53" i="164"/>
  <c r="M53" i="164"/>
  <c r="L53" i="164"/>
  <c r="K53" i="164"/>
  <c r="H53" i="164"/>
  <c r="N52" i="164"/>
  <c r="M52" i="164"/>
  <c r="L52" i="164"/>
  <c r="K52" i="164"/>
  <c r="H52" i="164"/>
  <c r="N51" i="164"/>
  <c r="M51" i="164"/>
  <c r="L51" i="164"/>
  <c r="K51" i="164"/>
  <c r="H51" i="164"/>
  <c r="N50" i="164"/>
  <c r="M50" i="164"/>
  <c r="L50" i="164"/>
  <c r="K50" i="164"/>
  <c r="H50" i="164"/>
  <c r="N49" i="164"/>
  <c r="M49" i="164"/>
  <c r="L49" i="164"/>
  <c r="K49" i="164"/>
  <c r="H49" i="164"/>
  <c r="N48" i="164"/>
  <c r="M48" i="164"/>
  <c r="L48" i="164"/>
  <c r="K48" i="164"/>
  <c r="H48" i="164"/>
  <c r="N47" i="164"/>
  <c r="M47" i="164"/>
  <c r="L47" i="164"/>
  <c r="K47" i="164"/>
  <c r="H47" i="164"/>
  <c r="N46" i="164"/>
  <c r="M46" i="164"/>
  <c r="L46" i="164"/>
  <c r="K46" i="164"/>
  <c r="H46" i="164"/>
  <c r="N45" i="164"/>
  <c r="M45" i="164"/>
  <c r="L45" i="164"/>
  <c r="K45" i="164"/>
  <c r="H45" i="164"/>
  <c r="N44" i="164"/>
  <c r="M44" i="164"/>
  <c r="L44" i="164"/>
  <c r="K44" i="164"/>
  <c r="H44" i="164"/>
  <c r="N43" i="164"/>
  <c r="M43" i="164"/>
  <c r="L43" i="164"/>
  <c r="K43" i="164"/>
  <c r="H43" i="164"/>
  <c r="N42" i="164"/>
  <c r="M42" i="164"/>
  <c r="L42" i="164"/>
  <c r="K42" i="164"/>
  <c r="H42" i="164"/>
  <c r="N41" i="164"/>
  <c r="M41" i="164"/>
  <c r="L41" i="164"/>
  <c r="K41" i="164"/>
  <c r="H41" i="164"/>
  <c r="N40" i="164"/>
  <c r="M40" i="164"/>
  <c r="L40" i="164"/>
  <c r="K40" i="164"/>
  <c r="H40" i="164"/>
  <c r="N39" i="164"/>
  <c r="M39" i="164"/>
  <c r="L39" i="164"/>
  <c r="K39" i="164"/>
  <c r="H39" i="164"/>
  <c r="N38" i="164"/>
  <c r="M38" i="164"/>
  <c r="L38" i="164"/>
  <c r="K38" i="164"/>
  <c r="H38" i="164"/>
  <c r="N37" i="164"/>
  <c r="M37" i="164"/>
  <c r="L37" i="164"/>
  <c r="K37" i="164"/>
  <c r="H37" i="164"/>
  <c r="N36" i="164"/>
  <c r="M36" i="164"/>
  <c r="L36" i="164"/>
  <c r="K36" i="164"/>
  <c r="H36" i="164"/>
  <c r="N35" i="164"/>
  <c r="M35" i="164"/>
  <c r="L35" i="164"/>
  <c r="K35" i="164"/>
  <c r="H35" i="164"/>
  <c r="N34" i="164"/>
  <c r="M34" i="164"/>
  <c r="L34" i="164"/>
  <c r="K34" i="164"/>
  <c r="H34" i="164"/>
  <c r="N33" i="164"/>
  <c r="M33" i="164"/>
  <c r="L33" i="164"/>
  <c r="K33" i="164"/>
  <c r="H33" i="164"/>
  <c r="N32" i="164"/>
  <c r="M32" i="164"/>
  <c r="L32" i="164"/>
  <c r="K32" i="164"/>
  <c r="H32" i="164"/>
  <c r="N31" i="164"/>
  <c r="M31" i="164"/>
  <c r="L31" i="164"/>
  <c r="K31" i="164"/>
  <c r="H31" i="164"/>
  <c r="N30" i="164"/>
  <c r="M30" i="164"/>
  <c r="L30" i="164"/>
  <c r="K30" i="164"/>
  <c r="H30" i="164"/>
  <c r="N29" i="164"/>
  <c r="M29" i="164"/>
  <c r="L29" i="164"/>
  <c r="K29" i="164"/>
  <c r="H29" i="164"/>
  <c r="N28" i="164"/>
  <c r="M28" i="164"/>
  <c r="L28" i="164"/>
  <c r="K28" i="164"/>
  <c r="H28" i="164"/>
  <c r="N27" i="164"/>
  <c r="M27" i="164"/>
  <c r="L27" i="164"/>
  <c r="K27" i="164"/>
  <c r="H27" i="164"/>
  <c r="N26" i="164"/>
  <c r="M26" i="164"/>
  <c r="L26" i="164"/>
  <c r="K26" i="164"/>
  <c r="H26" i="164"/>
  <c r="N25" i="164"/>
  <c r="M25" i="164"/>
  <c r="L25" i="164"/>
  <c r="K25" i="164"/>
  <c r="H25" i="164"/>
  <c r="N24" i="164"/>
  <c r="M24" i="164"/>
  <c r="L24" i="164"/>
  <c r="K24" i="164"/>
  <c r="H24" i="164"/>
  <c r="N23" i="164"/>
  <c r="M23" i="164"/>
  <c r="L23" i="164"/>
  <c r="K23" i="164"/>
  <c r="H23" i="164"/>
  <c r="N22" i="164"/>
  <c r="M22" i="164"/>
  <c r="L22" i="164"/>
  <c r="K22" i="164"/>
  <c r="H22" i="164"/>
  <c r="N21" i="164"/>
  <c r="M21" i="164"/>
  <c r="L21" i="164"/>
  <c r="K21" i="164"/>
  <c r="H21" i="164"/>
  <c r="N20" i="164"/>
  <c r="M20" i="164"/>
  <c r="L20" i="164"/>
  <c r="K20" i="164"/>
  <c r="H20" i="164"/>
  <c r="N19" i="164"/>
  <c r="M19" i="164"/>
  <c r="L19" i="164"/>
  <c r="K19" i="164"/>
  <c r="H19" i="164"/>
  <c r="N18" i="164"/>
  <c r="M18" i="164"/>
  <c r="L18" i="164"/>
  <c r="K18" i="164"/>
  <c r="H18" i="164"/>
  <c r="N17" i="164"/>
  <c r="M17" i="164"/>
  <c r="L17" i="164"/>
  <c r="K17" i="164"/>
  <c r="H17" i="164"/>
  <c r="N16" i="164"/>
  <c r="M16" i="164"/>
  <c r="L16" i="164"/>
  <c r="K16" i="164"/>
  <c r="H16" i="164"/>
  <c r="N15" i="164"/>
  <c r="M15" i="164"/>
  <c r="L15" i="164"/>
  <c r="K15" i="164"/>
  <c r="H15" i="164"/>
  <c r="N14" i="164"/>
  <c r="M14" i="164"/>
  <c r="L14" i="164"/>
  <c r="K14" i="164"/>
  <c r="H14" i="164"/>
  <c r="N13" i="164"/>
  <c r="M13" i="164"/>
  <c r="L13" i="164"/>
  <c r="K13" i="164"/>
  <c r="H13" i="164"/>
  <c r="N12" i="164"/>
  <c r="M12" i="164"/>
  <c r="L12" i="164"/>
  <c r="K12" i="164"/>
  <c r="H12" i="164"/>
  <c r="N11" i="164"/>
  <c r="M11" i="164"/>
  <c r="L11" i="164"/>
  <c r="K11" i="164"/>
  <c r="H11" i="164"/>
  <c r="N10" i="164"/>
  <c r="M10" i="164"/>
  <c r="L10" i="164"/>
  <c r="K10" i="164"/>
  <c r="H10" i="164"/>
  <c r="N9" i="164"/>
  <c r="M9" i="164"/>
  <c r="L9" i="164"/>
  <c r="K9" i="164"/>
  <c r="H9" i="164"/>
  <c r="N8" i="164"/>
  <c r="M8" i="164"/>
  <c r="L8" i="164"/>
  <c r="K8" i="164"/>
  <c r="H8" i="164"/>
  <c r="N7" i="164"/>
  <c r="M7" i="164"/>
  <c r="L7" i="164"/>
  <c r="K7" i="164"/>
  <c r="H7" i="164"/>
  <c r="N6" i="164"/>
  <c r="M6" i="164"/>
  <c r="L6" i="164"/>
  <c r="K6" i="164"/>
  <c r="H6" i="164"/>
  <c r="N5" i="164"/>
  <c r="M5" i="164"/>
  <c r="L5" i="164"/>
  <c r="K5" i="164"/>
  <c r="H5" i="164"/>
  <c r="N4" i="164"/>
  <c r="M4" i="164"/>
  <c r="L4" i="164"/>
  <c r="K4" i="164"/>
  <c r="H4" i="164"/>
  <c r="N3" i="164"/>
  <c r="M3" i="164"/>
  <c r="L3" i="164"/>
  <c r="K3" i="164"/>
  <c r="H3" i="164"/>
  <c r="N2" i="164"/>
  <c r="M2" i="164"/>
  <c r="L2" i="164"/>
  <c r="K2" i="164"/>
  <c r="H2" i="164"/>
  <c r="B47" i="163"/>
  <c r="C40" i="163"/>
  <c r="C41" i="163"/>
  <c r="C42" i="163"/>
  <c r="C43" i="163"/>
  <c r="C44" i="163"/>
  <c r="C45" i="163"/>
  <c r="C46" i="163"/>
  <c r="C47" i="163"/>
  <c r="G40" i="163"/>
  <c r="B32" i="163"/>
  <c r="C19" i="163"/>
  <c r="C20" i="163"/>
  <c r="C21" i="163"/>
  <c r="C22" i="163"/>
  <c r="C23" i="163"/>
  <c r="C24" i="163"/>
  <c r="C25" i="163"/>
  <c r="C26" i="163"/>
  <c r="C29" i="163"/>
  <c r="C30" i="163"/>
  <c r="C32" i="163"/>
  <c r="D32" i="163"/>
  <c r="I31" i="163"/>
  <c r="J31" i="163"/>
  <c r="F31" i="163"/>
  <c r="D31" i="163"/>
  <c r="G30" i="163"/>
  <c r="H30" i="163"/>
  <c r="I30" i="163"/>
  <c r="J30" i="163"/>
  <c r="F30" i="163"/>
  <c r="D30" i="163"/>
  <c r="I29" i="163"/>
  <c r="J29" i="163"/>
  <c r="F29" i="163"/>
  <c r="D29" i="163"/>
  <c r="I28" i="163"/>
  <c r="J28" i="163"/>
  <c r="F28" i="163"/>
  <c r="D28" i="163"/>
  <c r="I27" i="163"/>
  <c r="J27" i="163"/>
  <c r="F27" i="163"/>
  <c r="D27" i="163"/>
  <c r="I26" i="163"/>
  <c r="J26" i="163"/>
  <c r="F26" i="163"/>
  <c r="D26" i="163"/>
  <c r="I25" i="163"/>
  <c r="J25" i="163"/>
  <c r="F25" i="163"/>
  <c r="D25" i="163"/>
  <c r="I24" i="163"/>
  <c r="J24" i="163"/>
  <c r="F24" i="163"/>
  <c r="D24" i="163"/>
  <c r="I23" i="163"/>
  <c r="J23" i="163"/>
  <c r="F23" i="163"/>
  <c r="D23" i="163"/>
  <c r="I22" i="163"/>
  <c r="J22" i="163"/>
  <c r="F22" i="163"/>
  <c r="D22" i="163"/>
  <c r="I21" i="163"/>
  <c r="J21" i="163"/>
  <c r="F21" i="163"/>
  <c r="D21" i="163"/>
  <c r="R20" i="163"/>
  <c r="P20" i="163"/>
  <c r="O20" i="163"/>
  <c r="M20" i="163"/>
  <c r="I20" i="163"/>
  <c r="J20" i="163"/>
  <c r="F20" i="163"/>
  <c r="D20" i="163"/>
  <c r="R19" i="163"/>
  <c r="P19" i="163"/>
  <c r="O19" i="163"/>
  <c r="M19" i="163"/>
  <c r="I19" i="163"/>
  <c r="J19" i="163"/>
  <c r="F19" i="163"/>
  <c r="D19" i="163"/>
  <c r="R18" i="163"/>
  <c r="P18" i="163"/>
  <c r="O18" i="163"/>
  <c r="M18" i="163"/>
  <c r="I18" i="163"/>
  <c r="J18" i="163"/>
  <c r="F18" i="163"/>
  <c r="C18" i="163"/>
  <c r="D18" i="163"/>
  <c r="R17" i="163"/>
  <c r="P17" i="163"/>
  <c r="O17" i="163"/>
  <c r="M17" i="163"/>
  <c r="I17" i="163"/>
  <c r="J17" i="163"/>
  <c r="F17" i="163"/>
  <c r="C17" i="163"/>
  <c r="D17" i="163"/>
  <c r="V16" i="163"/>
  <c r="R16" i="163"/>
  <c r="P16" i="163"/>
  <c r="O16" i="163"/>
  <c r="M16" i="163"/>
  <c r="V15" i="163"/>
  <c r="R15" i="163"/>
  <c r="P15" i="163"/>
  <c r="O15" i="163"/>
  <c r="M15" i="163"/>
  <c r="V14" i="163"/>
  <c r="R14" i="163"/>
  <c r="P14" i="163"/>
  <c r="O14" i="163"/>
  <c r="M14" i="163"/>
  <c r="V13" i="163"/>
  <c r="R13" i="163"/>
  <c r="P13" i="163"/>
  <c r="O13" i="163"/>
  <c r="M13" i="163"/>
  <c r="V12" i="163"/>
  <c r="R12" i="163"/>
  <c r="P12" i="163"/>
  <c r="O12" i="163"/>
  <c r="M12" i="163"/>
  <c r="V11" i="163"/>
  <c r="R11" i="163"/>
  <c r="P11" i="163"/>
  <c r="O11" i="163"/>
  <c r="M11" i="163"/>
  <c r="V10" i="163"/>
  <c r="R10" i="163"/>
  <c r="P10" i="163"/>
  <c r="O10" i="163"/>
  <c r="M10" i="163"/>
  <c r="V9" i="163"/>
  <c r="R9" i="163"/>
  <c r="P9" i="163"/>
  <c r="O9" i="163"/>
  <c r="M9" i="163"/>
  <c r="V8" i="163"/>
  <c r="R8" i="163"/>
  <c r="P8" i="163"/>
  <c r="O8" i="163"/>
  <c r="M8" i="163"/>
  <c r="V7" i="163"/>
  <c r="R7" i="163"/>
  <c r="P7" i="163"/>
  <c r="O7" i="163"/>
  <c r="M7" i="163"/>
  <c r="V6" i="163"/>
  <c r="R6" i="163"/>
  <c r="P6" i="163"/>
  <c r="O6" i="163"/>
  <c r="M6" i="163"/>
  <c r="V5" i="163"/>
  <c r="R5" i="163"/>
  <c r="P5" i="163"/>
  <c r="O5" i="163"/>
  <c r="M5" i="163"/>
  <c r="V4" i="163"/>
  <c r="R4" i="163"/>
  <c r="P4" i="163"/>
  <c r="O4" i="163"/>
  <c r="M4" i="163"/>
  <c r="V3" i="163"/>
  <c r="P3" i="163"/>
  <c r="O3" i="163"/>
  <c r="M3" i="163"/>
  <c r="V2" i="163"/>
  <c r="F47" i="161"/>
  <c r="F46" i="161"/>
  <c r="B46" i="161"/>
  <c r="F45" i="161"/>
  <c r="B45" i="161"/>
  <c r="B44" i="161"/>
  <c r="B43" i="161"/>
  <c r="B42" i="161"/>
  <c r="B41" i="161"/>
  <c r="F40" i="161"/>
  <c r="B40" i="161"/>
  <c r="E30" i="161"/>
  <c r="A340" i="162"/>
  <c r="A339" i="162"/>
  <c r="A338" i="162"/>
  <c r="A337" i="162"/>
  <c r="A336" i="162"/>
  <c r="A335" i="162"/>
  <c r="A334" i="162"/>
  <c r="A333" i="162"/>
  <c r="A332" i="162"/>
  <c r="A331" i="162"/>
  <c r="A330" i="162"/>
  <c r="A329" i="162"/>
  <c r="A328" i="162"/>
  <c r="A327" i="162"/>
  <c r="A326" i="162"/>
  <c r="A325" i="162"/>
  <c r="A324" i="162"/>
  <c r="A323" i="162"/>
  <c r="A322" i="162"/>
  <c r="A321" i="162"/>
  <c r="A320" i="162"/>
  <c r="A319" i="162"/>
  <c r="A318" i="162"/>
  <c r="A317" i="162"/>
  <c r="A316" i="162"/>
  <c r="A315" i="162"/>
  <c r="A314" i="162"/>
  <c r="A313" i="162"/>
  <c r="A312" i="162"/>
  <c r="A311" i="162"/>
  <c r="A310" i="162"/>
  <c r="A309" i="162"/>
  <c r="A308" i="162"/>
  <c r="A307" i="162"/>
  <c r="A306" i="162"/>
  <c r="A305" i="162"/>
  <c r="A304" i="162"/>
  <c r="A303" i="162"/>
  <c r="A302" i="162"/>
  <c r="A301" i="162"/>
  <c r="A300" i="162"/>
  <c r="A299" i="162"/>
  <c r="A298" i="162"/>
  <c r="A297" i="162"/>
  <c r="A296" i="162"/>
  <c r="A295" i="162"/>
  <c r="A294" i="162"/>
  <c r="A293" i="162"/>
  <c r="A292" i="162"/>
  <c r="A291" i="162"/>
  <c r="A290" i="162"/>
  <c r="A289" i="162"/>
  <c r="A288" i="162"/>
  <c r="A287" i="162"/>
  <c r="A286" i="162"/>
  <c r="A285" i="162"/>
  <c r="A284" i="162"/>
  <c r="A283" i="162"/>
  <c r="A282" i="162"/>
  <c r="A281" i="162"/>
  <c r="A280" i="162"/>
  <c r="A279" i="162"/>
  <c r="A278" i="162"/>
  <c r="A277" i="162"/>
  <c r="A276" i="162"/>
  <c r="A275" i="162"/>
  <c r="A274" i="162"/>
  <c r="A273" i="162"/>
  <c r="A272" i="162"/>
  <c r="A271" i="162"/>
  <c r="A270" i="162"/>
  <c r="A269" i="162"/>
  <c r="A268" i="162"/>
  <c r="A267" i="162"/>
  <c r="A266" i="162"/>
  <c r="A265" i="162"/>
  <c r="A264" i="162"/>
  <c r="A263" i="162"/>
  <c r="A262" i="162"/>
  <c r="A261" i="162"/>
  <c r="A260" i="162"/>
  <c r="A259" i="162"/>
  <c r="A258" i="162"/>
  <c r="A257" i="162"/>
  <c r="A256" i="162"/>
  <c r="A255" i="162"/>
  <c r="A254" i="162"/>
  <c r="A253" i="162"/>
  <c r="A252" i="162"/>
  <c r="A251" i="162"/>
  <c r="A250" i="162"/>
  <c r="A249" i="162"/>
  <c r="A248" i="162"/>
  <c r="A247" i="162"/>
  <c r="A246" i="162"/>
  <c r="A245" i="162"/>
  <c r="A244" i="162"/>
  <c r="A243" i="162"/>
  <c r="A242" i="162"/>
  <c r="A241" i="162"/>
  <c r="A240" i="162"/>
  <c r="A239" i="162"/>
  <c r="A238" i="162"/>
  <c r="A237" i="162"/>
  <c r="A236" i="162"/>
  <c r="A235" i="162"/>
  <c r="A234" i="162"/>
  <c r="A233" i="162"/>
  <c r="A232" i="162"/>
  <c r="A231" i="162"/>
  <c r="A230" i="162"/>
  <c r="A229" i="162"/>
  <c r="A228" i="162"/>
  <c r="A227" i="162"/>
  <c r="A226" i="162"/>
  <c r="A225" i="162"/>
  <c r="A224" i="162"/>
  <c r="A223" i="162"/>
  <c r="A222" i="162"/>
  <c r="A221" i="162"/>
  <c r="A220" i="162"/>
  <c r="A219" i="162"/>
  <c r="A218" i="162"/>
  <c r="A217" i="162"/>
  <c r="A216" i="162"/>
  <c r="A215" i="162"/>
  <c r="A214" i="162"/>
  <c r="A213" i="162"/>
  <c r="A212" i="162"/>
  <c r="A211" i="162"/>
  <c r="A210" i="162"/>
  <c r="A209" i="162"/>
  <c r="A208" i="162"/>
  <c r="A207" i="162"/>
  <c r="A206" i="162"/>
  <c r="A205" i="162"/>
  <c r="A204" i="162"/>
  <c r="A203" i="162"/>
  <c r="A202" i="162"/>
  <c r="A201" i="162"/>
  <c r="A200" i="162"/>
  <c r="A199" i="162"/>
  <c r="A198" i="162"/>
  <c r="A197" i="162"/>
  <c r="A196" i="162"/>
  <c r="A195" i="162"/>
  <c r="A194" i="162"/>
  <c r="A193" i="162"/>
  <c r="A192" i="162"/>
  <c r="A191" i="162"/>
  <c r="A190" i="162"/>
  <c r="A189" i="162"/>
  <c r="A188" i="162"/>
  <c r="A187" i="162"/>
  <c r="A186" i="162"/>
  <c r="A185" i="162"/>
  <c r="A184" i="162"/>
  <c r="A183" i="162"/>
  <c r="A182" i="162"/>
  <c r="A181" i="162"/>
  <c r="A180" i="162"/>
  <c r="A179" i="162"/>
  <c r="A178" i="162"/>
  <c r="A177" i="162"/>
  <c r="A176" i="162"/>
  <c r="A175" i="162"/>
  <c r="A174" i="162"/>
  <c r="A173" i="162"/>
  <c r="A172" i="162"/>
  <c r="A171" i="162"/>
  <c r="A170" i="162"/>
  <c r="A169" i="162"/>
  <c r="A168" i="162"/>
  <c r="A167" i="162"/>
  <c r="A166" i="162"/>
  <c r="A165" i="162"/>
  <c r="A164" i="162"/>
  <c r="A163" i="162"/>
  <c r="A162" i="162"/>
  <c r="A161" i="162"/>
  <c r="A160" i="162"/>
  <c r="A159" i="162"/>
  <c r="A158" i="162"/>
  <c r="A157" i="162"/>
  <c r="A156" i="162"/>
  <c r="A155" i="162"/>
  <c r="A154" i="162"/>
  <c r="A153" i="162"/>
  <c r="A152" i="162"/>
  <c r="A151" i="162"/>
  <c r="A150" i="162"/>
  <c r="A149" i="162"/>
  <c r="A148" i="162"/>
  <c r="A147" i="162"/>
  <c r="A146" i="162"/>
  <c r="A145" i="162"/>
  <c r="A144" i="162"/>
  <c r="A143" i="162"/>
  <c r="A142" i="162"/>
  <c r="A141" i="162"/>
  <c r="A140" i="162"/>
  <c r="A139" i="162"/>
  <c r="A138" i="162"/>
  <c r="A137" i="162"/>
  <c r="A136" i="162"/>
  <c r="A135" i="162"/>
  <c r="A134" i="162"/>
  <c r="A133" i="162"/>
  <c r="A132" i="162"/>
  <c r="A131" i="162"/>
  <c r="A130" i="162"/>
  <c r="A129" i="162"/>
  <c r="A128" i="162"/>
  <c r="A127" i="162"/>
  <c r="A126" i="162"/>
  <c r="A125" i="162"/>
  <c r="A124" i="162"/>
  <c r="A123" i="162"/>
  <c r="A122" i="162"/>
  <c r="A121" i="162"/>
  <c r="A120" i="162"/>
  <c r="A119" i="162"/>
  <c r="A118" i="162"/>
  <c r="A117" i="162"/>
  <c r="A116" i="162"/>
  <c r="A115" i="162"/>
  <c r="A114" i="162"/>
  <c r="A113" i="162"/>
  <c r="A112" i="162"/>
  <c r="A111" i="162"/>
  <c r="A110" i="162"/>
  <c r="A109" i="162"/>
  <c r="A108" i="162"/>
  <c r="A107" i="162"/>
  <c r="A106" i="162"/>
  <c r="A105" i="162"/>
  <c r="A104" i="162"/>
  <c r="A103" i="162"/>
  <c r="A102" i="162"/>
  <c r="A101" i="162"/>
  <c r="A100" i="162"/>
  <c r="A99" i="162"/>
  <c r="A98" i="162"/>
  <c r="A97" i="162"/>
  <c r="A96" i="162"/>
  <c r="A95" i="162"/>
  <c r="A94" i="162"/>
  <c r="A93" i="162"/>
  <c r="A92" i="162"/>
  <c r="A91" i="162"/>
  <c r="A90" i="162"/>
  <c r="A89" i="162"/>
  <c r="A88" i="162"/>
  <c r="A87" i="162"/>
  <c r="A86" i="162"/>
  <c r="A85" i="162"/>
  <c r="A84" i="162"/>
  <c r="A83" i="162"/>
  <c r="A82" i="162"/>
  <c r="A81" i="162"/>
  <c r="A80" i="162"/>
  <c r="A79" i="162"/>
  <c r="A78" i="162"/>
  <c r="A77" i="162"/>
  <c r="A76" i="162"/>
  <c r="A75" i="162"/>
  <c r="A74" i="162"/>
  <c r="A73" i="162"/>
  <c r="A72" i="162"/>
  <c r="A71" i="162"/>
  <c r="A70" i="162"/>
  <c r="A69" i="162"/>
  <c r="A68" i="162"/>
  <c r="A67" i="162"/>
  <c r="A66" i="162"/>
  <c r="A65" i="162"/>
  <c r="A64" i="162"/>
  <c r="A63" i="162"/>
  <c r="A62" i="162"/>
  <c r="A61" i="162"/>
  <c r="A60" i="162"/>
  <c r="A59" i="162"/>
  <c r="A58" i="162"/>
  <c r="A57" i="162"/>
  <c r="A56" i="162"/>
  <c r="A55" i="162"/>
  <c r="A54" i="162"/>
  <c r="A53" i="162"/>
  <c r="A52" i="162"/>
  <c r="A51" i="162"/>
  <c r="A50" i="162"/>
  <c r="A49" i="162"/>
  <c r="A48" i="162"/>
  <c r="A47" i="162"/>
  <c r="A46" i="162"/>
  <c r="A45" i="162"/>
  <c r="A44" i="162"/>
  <c r="A43" i="162"/>
  <c r="A42" i="162"/>
  <c r="A41" i="162"/>
  <c r="A40" i="162"/>
  <c r="A39" i="162"/>
  <c r="A38" i="162"/>
  <c r="A37" i="162"/>
  <c r="A36" i="162"/>
  <c r="A35" i="162"/>
  <c r="A34" i="162"/>
  <c r="A33" i="162"/>
  <c r="A32" i="162"/>
  <c r="A31" i="162"/>
  <c r="A30" i="162"/>
  <c r="A29" i="162"/>
  <c r="A28" i="162"/>
  <c r="A27" i="162"/>
  <c r="A26" i="162"/>
  <c r="A25" i="162"/>
  <c r="A24" i="162"/>
  <c r="A23" i="162"/>
  <c r="A22" i="162"/>
  <c r="A21" i="162"/>
  <c r="A20" i="162"/>
  <c r="A19" i="162"/>
  <c r="A18" i="162"/>
  <c r="A17" i="162"/>
  <c r="A16" i="162"/>
  <c r="A15" i="162"/>
  <c r="A14" i="162"/>
  <c r="A13" i="162"/>
  <c r="A12" i="162"/>
  <c r="A11" i="162"/>
  <c r="A10" i="162"/>
  <c r="A9" i="162"/>
  <c r="A8" i="162"/>
  <c r="A7" i="162"/>
  <c r="A6" i="162"/>
  <c r="A5" i="162"/>
  <c r="A4" i="162"/>
  <c r="A3" i="162"/>
  <c r="A2" i="162"/>
  <c r="F340" i="162"/>
  <c r="F2" i="162"/>
  <c r="F3" i="162"/>
  <c r="F4" i="162"/>
  <c r="F5" i="162"/>
  <c r="F6" i="162"/>
  <c r="F7" i="162"/>
  <c r="F8" i="162"/>
  <c r="F9" i="162"/>
  <c r="F10" i="162"/>
  <c r="F11" i="162"/>
  <c r="F12" i="162"/>
  <c r="F13" i="162"/>
  <c r="F14" i="162"/>
  <c r="F15" i="162"/>
  <c r="F16" i="162"/>
  <c r="F17" i="162"/>
  <c r="F18" i="162"/>
  <c r="F19" i="162"/>
  <c r="F20" i="162"/>
  <c r="F21" i="162"/>
  <c r="F22" i="162"/>
  <c r="F23" i="162"/>
  <c r="F24" i="162"/>
  <c r="F25" i="162"/>
  <c r="F26" i="162"/>
  <c r="F27" i="162"/>
  <c r="F28" i="162"/>
  <c r="F29" i="162"/>
  <c r="F30" i="162"/>
  <c r="F31" i="162"/>
  <c r="F32" i="162"/>
  <c r="F33" i="162"/>
  <c r="F34" i="162"/>
  <c r="F35" i="162"/>
  <c r="F36" i="162"/>
  <c r="F37" i="162"/>
  <c r="F38" i="162"/>
  <c r="F39" i="162"/>
  <c r="F40" i="162"/>
  <c r="F41" i="162"/>
  <c r="F42" i="162"/>
  <c r="F43" i="162"/>
  <c r="F44" i="162"/>
  <c r="F45" i="162"/>
  <c r="F46" i="162"/>
  <c r="F47" i="162"/>
  <c r="F48" i="162"/>
  <c r="F49" i="162"/>
  <c r="F50" i="162"/>
  <c r="F51" i="162"/>
  <c r="F52" i="162"/>
  <c r="F53" i="162"/>
  <c r="F54" i="162"/>
  <c r="F55" i="162"/>
  <c r="F56" i="162"/>
  <c r="F57" i="162"/>
  <c r="F58" i="162"/>
  <c r="F59" i="162"/>
  <c r="F60" i="162"/>
  <c r="F61" i="162"/>
  <c r="F62" i="162"/>
  <c r="F63" i="162"/>
  <c r="F64" i="162"/>
  <c r="F65" i="162"/>
  <c r="F66" i="162"/>
  <c r="F67" i="162"/>
  <c r="F68" i="162"/>
  <c r="F69" i="162"/>
  <c r="F70" i="162"/>
  <c r="F71" i="162"/>
  <c r="F72" i="162"/>
  <c r="F73" i="162"/>
  <c r="F74" i="162"/>
  <c r="F75" i="162"/>
  <c r="F76" i="162"/>
  <c r="F77" i="162"/>
  <c r="F78" i="162"/>
  <c r="F79" i="162"/>
  <c r="F80" i="162"/>
  <c r="F81" i="162"/>
  <c r="F82" i="162"/>
  <c r="F83" i="162"/>
  <c r="F84" i="162"/>
  <c r="F85" i="162"/>
  <c r="F86" i="162"/>
  <c r="F87" i="162"/>
  <c r="F88" i="162"/>
  <c r="F89" i="162"/>
  <c r="F90" i="162"/>
  <c r="F91" i="162"/>
  <c r="F92" i="162"/>
  <c r="F93" i="162"/>
  <c r="F94" i="162"/>
  <c r="F95" i="162"/>
  <c r="F96" i="162"/>
  <c r="F97" i="162"/>
  <c r="F98" i="162"/>
  <c r="F99" i="162"/>
  <c r="F100" i="162"/>
  <c r="F101" i="162"/>
  <c r="F102" i="162"/>
  <c r="F103" i="162"/>
  <c r="F104" i="162"/>
  <c r="F105" i="162"/>
  <c r="F106" i="162"/>
  <c r="F107" i="162"/>
  <c r="F108" i="162"/>
  <c r="F109" i="162"/>
  <c r="F110" i="162"/>
  <c r="F111" i="162"/>
  <c r="F112" i="162"/>
  <c r="F113" i="162"/>
  <c r="F114" i="162"/>
  <c r="F115" i="162"/>
  <c r="F116" i="162"/>
  <c r="F117" i="162"/>
  <c r="F118" i="162"/>
  <c r="F119" i="162"/>
  <c r="F120" i="162"/>
  <c r="F121" i="162"/>
  <c r="F122" i="162"/>
  <c r="F123" i="162"/>
  <c r="F124" i="162"/>
  <c r="F125" i="162"/>
  <c r="F126" i="162"/>
  <c r="F127" i="162"/>
  <c r="F128" i="162"/>
  <c r="F129" i="162"/>
  <c r="F130" i="162"/>
  <c r="F131" i="162"/>
  <c r="F132" i="162"/>
  <c r="F133" i="162"/>
  <c r="F134" i="162"/>
  <c r="F135" i="162"/>
  <c r="F136" i="162"/>
  <c r="F137" i="162"/>
  <c r="F138" i="162"/>
  <c r="F139" i="162"/>
  <c r="F140" i="162"/>
  <c r="F141" i="162"/>
  <c r="F142" i="162"/>
  <c r="F143" i="162"/>
  <c r="F144" i="162"/>
  <c r="F145" i="162"/>
  <c r="F146" i="162"/>
  <c r="F147" i="162"/>
  <c r="F148" i="162"/>
  <c r="F149" i="162"/>
  <c r="F150" i="162"/>
  <c r="F151" i="162"/>
  <c r="F152" i="162"/>
  <c r="F153" i="162"/>
  <c r="F154" i="162"/>
  <c r="F155" i="162"/>
  <c r="F156" i="162"/>
  <c r="F157" i="162"/>
  <c r="F158" i="162"/>
  <c r="F159" i="162"/>
  <c r="F160" i="162"/>
  <c r="F161" i="162"/>
  <c r="F162" i="162"/>
  <c r="F163" i="162"/>
  <c r="F164" i="162"/>
  <c r="F165" i="162"/>
  <c r="F166" i="162"/>
  <c r="F167" i="162"/>
  <c r="F168" i="162"/>
  <c r="F169" i="162"/>
  <c r="F170" i="162"/>
  <c r="F171" i="162"/>
  <c r="F172" i="162"/>
  <c r="F173" i="162"/>
  <c r="F174" i="162"/>
  <c r="F175" i="162"/>
  <c r="F176" i="162"/>
  <c r="F177" i="162"/>
  <c r="F178" i="162"/>
  <c r="F179" i="162"/>
  <c r="F180" i="162"/>
  <c r="F181" i="162"/>
  <c r="F182" i="162"/>
  <c r="F183" i="162"/>
  <c r="F184" i="162"/>
  <c r="F185" i="162"/>
  <c r="F186" i="162"/>
  <c r="F187" i="162"/>
  <c r="F188" i="162"/>
  <c r="F189" i="162"/>
  <c r="F190" i="162"/>
  <c r="F191" i="162"/>
  <c r="F192" i="162"/>
  <c r="F193" i="162"/>
  <c r="F194" i="162"/>
  <c r="F195" i="162"/>
  <c r="F196" i="162"/>
  <c r="F197" i="162"/>
  <c r="F198" i="162"/>
  <c r="F199" i="162"/>
  <c r="F200" i="162"/>
  <c r="F201" i="162"/>
  <c r="F202" i="162"/>
  <c r="F203" i="162"/>
  <c r="F204" i="162"/>
  <c r="F205" i="162"/>
  <c r="F206" i="162"/>
  <c r="F207" i="162"/>
  <c r="F208" i="162"/>
  <c r="F209" i="162"/>
  <c r="F210" i="162"/>
  <c r="F211" i="162"/>
  <c r="F212" i="162"/>
  <c r="F213" i="162"/>
  <c r="F214" i="162"/>
  <c r="F215" i="162"/>
  <c r="F216" i="162"/>
  <c r="F217" i="162"/>
  <c r="F218" i="162"/>
  <c r="F219" i="162"/>
  <c r="F220" i="162"/>
  <c r="F221" i="162"/>
  <c r="F222" i="162"/>
  <c r="F223" i="162"/>
  <c r="F224" i="162"/>
  <c r="F225" i="162"/>
  <c r="F226" i="162"/>
  <c r="F227" i="162"/>
  <c r="F228" i="162"/>
  <c r="F229" i="162"/>
  <c r="F230" i="162"/>
  <c r="F231" i="162"/>
  <c r="F232" i="162"/>
  <c r="F233" i="162"/>
  <c r="F234" i="162"/>
  <c r="F235" i="162"/>
  <c r="F236" i="162"/>
  <c r="F237" i="162"/>
  <c r="F238" i="162"/>
  <c r="F239" i="162"/>
  <c r="F240" i="162"/>
  <c r="F241" i="162"/>
  <c r="F242" i="162"/>
  <c r="F243" i="162"/>
  <c r="F244" i="162"/>
  <c r="F245" i="162"/>
  <c r="F246" i="162"/>
  <c r="F247" i="162"/>
  <c r="F248" i="162"/>
  <c r="F249" i="162"/>
  <c r="F250" i="162"/>
  <c r="F251" i="162"/>
  <c r="F252" i="162"/>
  <c r="F253" i="162"/>
  <c r="F254" i="162"/>
  <c r="F255" i="162"/>
  <c r="F256" i="162"/>
  <c r="F257" i="162"/>
  <c r="F258" i="162"/>
  <c r="F259" i="162"/>
  <c r="F260" i="162"/>
  <c r="F261" i="162"/>
  <c r="F262" i="162"/>
  <c r="F263" i="162"/>
  <c r="F264" i="162"/>
  <c r="F265" i="162"/>
  <c r="F266" i="162"/>
  <c r="F267" i="162"/>
  <c r="F268" i="162"/>
  <c r="F269" i="162"/>
  <c r="F270" i="162"/>
  <c r="F271" i="162"/>
  <c r="F272" i="162"/>
  <c r="F273" i="162"/>
  <c r="F274" i="162"/>
  <c r="F275" i="162"/>
  <c r="F276" i="162"/>
  <c r="F277" i="162"/>
  <c r="F278" i="162"/>
  <c r="F279" i="162"/>
  <c r="F280" i="162"/>
  <c r="F281" i="162"/>
  <c r="F282" i="162"/>
  <c r="F283" i="162"/>
  <c r="F284" i="162"/>
  <c r="F285" i="162"/>
  <c r="F286" i="162"/>
  <c r="F287" i="162"/>
  <c r="F288" i="162"/>
  <c r="F289" i="162"/>
  <c r="F290" i="162"/>
  <c r="F291" i="162"/>
  <c r="F292" i="162"/>
  <c r="F293" i="162"/>
  <c r="F294" i="162"/>
  <c r="F295" i="162"/>
  <c r="F296" i="162"/>
  <c r="F297" i="162"/>
  <c r="F298" i="162"/>
  <c r="F299" i="162"/>
  <c r="F300" i="162"/>
  <c r="F301" i="162"/>
  <c r="F302" i="162"/>
  <c r="F303" i="162"/>
  <c r="F304" i="162"/>
  <c r="F305" i="162"/>
  <c r="F306" i="162"/>
  <c r="F307" i="162"/>
  <c r="F308" i="162"/>
  <c r="F309" i="162"/>
  <c r="F310" i="162"/>
  <c r="F311" i="162"/>
  <c r="F312" i="162"/>
  <c r="F313" i="162"/>
  <c r="F314" i="162"/>
  <c r="F315" i="162"/>
  <c r="F316" i="162"/>
  <c r="F317" i="162"/>
  <c r="F318" i="162"/>
  <c r="F319" i="162"/>
  <c r="F320" i="162"/>
  <c r="F321" i="162"/>
  <c r="F322" i="162"/>
  <c r="F323" i="162"/>
  <c r="F324" i="162"/>
  <c r="F325" i="162"/>
  <c r="F326" i="162"/>
  <c r="F327" i="162"/>
  <c r="F328" i="162"/>
  <c r="F329" i="162"/>
  <c r="F330" i="162"/>
  <c r="F331" i="162"/>
  <c r="F332" i="162"/>
  <c r="F333" i="162"/>
  <c r="F334" i="162"/>
  <c r="F335" i="162"/>
  <c r="F336" i="162"/>
  <c r="F337" i="162"/>
  <c r="F338" i="162"/>
  <c r="F339" i="162"/>
  <c r="N340" i="162"/>
  <c r="M340" i="162"/>
  <c r="L340" i="162"/>
  <c r="K340" i="162"/>
  <c r="H340" i="162"/>
  <c r="N339" i="162"/>
  <c r="M339" i="162"/>
  <c r="L339" i="162"/>
  <c r="K339" i="162"/>
  <c r="H339" i="162"/>
  <c r="N338" i="162"/>
  <c r="M338" i="162"/>
  <c r="L338" i="162"/>
  <c r="K338" i="162"/>
  <c r="H338" i="162"/>
  <c r="N337" i="162"/>
  <c r="M337" i="162"/>
  <c r="L337" i="162"/>
  <c r="K337" i="162"/>
  <c r="H337" i="162"/>
  <c r="N336" i="162"/>
  <c r="M336" i="162"/>
  <c r="L336" i="162"/>
  <c r="K336" i="162"/>
  <c r="H336" i="162"/>
  <c r="N335" i="162"/>
  <c r="M335" i="162"/>
  <c r="L335" i="162"/>
  <c r="K335" i="162"/>
  <c r="H335" i="162"/>
  <c r="N334" i="162"/>
  <c r="M334" i="162"/>
  <c r="L334" i="162"/>
  <c r="K334" i="162"/>
  <c r="H334" i="162"/>
  <c r="N333" i="162"/>
  <c r="M333" i="162"/>
  <c r="L333" i="162"/>
  <c r="K333" i="162"/>
  <c r="H333" i="162"/>
  <c r="N332" i="162"/>
  <c r="M332" i="162"/>
  <c r="L332" i="162"/>
  <c r="K332" i="162"/>
  <c r="H332" i="162"/>
  <c r="N331" i="162"/>
  <c r="M331" i="162"/>
  <c r="L331" i="162"/>
  <c r="K331" i="162"/>
  <c r="H331" i="162"/>
  <c r="N330" i="162"/>
  <c r="M330" i="162"/>
  <c r="L330" i="162"/>
  <c r="K330" i="162"/>
  <c r="H330" i="162"/>
  <c r="N329" i="162"/>
  <c r="M329" i="162"/>
  <c r="L329" i="162"/>
  <c r="K329" i="162"/>
  <c r="H329" i="162"/>
  <c r="N328" i="162"/>
  <c r="M328" i="162"/>
  <c r="L328" i="162"/>
  <c r="K328" i="162"/>
  <c r="H328" i="162"/>
  <c r="N327" i="162"/>
  <c r="M327" i="162"/>
  <c r="L327" i="162"/>
  <c r="K327" i="162"/>
  <c r="H327" i="162"/>
  <c r="N326" i="162"/>
  <c r="M326" i="162"/>
  <c r="L326" i="162"/>
  <c r="K326" i="162"/>
  <c r="H326" i="162"/>
  <c r="N325" i="162"/>
  <c r="M325" i="162"/>
  <c r="L325" i="162"/>
  <c r="K325" i="162"/>
  <c r="H325" i="162"/>
  <c r="N324" i="162"/>
  <c r="M324" i="162"/>
  <c r="L324" i="162"/>
  <c r="K324" i="162"/>
  <c r="H324" i="162"/>
  <c r="N323" i="162"/>
  <c r="M323" i="162"/>
  <c r="L323" i="162"/>
  <c r="K323" i="162"/>
  <c r="H323" i="162"/>
  <c r="N322" i="162"/>
  <c r="M322" i="162"/>
  <c r="L322" i="162"/>
  <c r="K322" i="162"/>
  <c r="H322" i="162"/>
  <c r="N321" i="162"/>
  <c r="M321" i="162"/>
  <c r="L321" i="162"/>
  <c r="K321" i="162"/>
  <c r="H321" i="162"/>
  <c r="N320" i="162"/>
  <c r="M320" i="162"/>
  <c r="L320" i="162"/>
  <c r="K320" i="162"/>
  <c r="H320" i="162"/>
  <c r="N319" i="162"/>
  <c r="M319" i="162"/>
  <c r="L319" i="162"/>
  <c r="K319" i="162"/>
  <c r="H319" i="162"/>
  <c r="N318" i="162"/>
  <c r="M318" i="162"/>
  <c r="L318" i="162"/>
  <c r="K318" i="162"/>
  <c r="H318" i="162"/>
  <c r="N317" i="162"/>
  <c r="M317" i="162"/>
  <c r="L317" i="162"/>
  <c r="K317" i="162"/>
  <c r="H317" i="162"/>
  <c r="N316" i="162"/>
  <c r="M316" i="162"/>
  <c r="L316" i="162"/>
  <c r="K316" i="162"/>
  <c r="H316" i="162"/>
  <c r="N315" i="162"/>
  <c r="M315" i="162"/>
  <c r="L315" i="162"/>
  <c r="K315" i="162"/>
  <c r="H315" i="162"/>
  <c r="N314" i="162"/>
  <c r="M314" i="162"/>
  <c r="L314" i="162"/>
  <c r="K314" i="162"/>
  <c r="H314" i="162"/>
  <c r="N313" i="162"/>
  <c r="M313" i="162"/>
  <c r="L313" i="162"/>
  <c r="K313" i="162"/>
  <c r="H313" i="162"/>
  <c r="N312" i="162"/>
  <c r="M312" i="162"/>
  <c r="L312" i="162"/>
  <c r="K312" i="162"/>
  <c r="H312" i="162"/>
  <c r="N311" i="162"/>
  <c r="M311" i="162"/>
  <c r="L311" i="162"/>
  <c r="K311" i="162"/>
  <c r="H311" i="162"/>
  <c r="N310" i="162"/>
  <c r="M310" i="162"/>
  <c r="L310" i="162"/>
  <c r="K310" i="162"/>
  <c r="H310" i="162"/>
  <c r="N309" i="162"/>
  <c r="M309" i="162"/>
  <c r="L309" i="162"/>
  <c r="K309" i="162"/>
  <c r="H309" i="162"/>
  <c r="N308" i="162"/>
  <c r="M308" i="162"/>
  <c r="L308" i="162"/>
  <c r="K308" i="162"/>
  <c r="H308" i="162"/>
  <c r="N307" i="162"/>
  <c r="M307" i="162"/>
  <c r="L307" i="162"/>
  <c r="K307" i="162"/>
  <c r="H307" i="162"/>
  <c r="N306" i="162"/>
  <c r="M306" i="162"/>
  <c r="L306" i="162"/>
  <c r="K306" i="162"/>
  <c r="H306" i="162"/>
  <c r="N305" i="162"/>
  <c r="M305" i="162"/>
  <c r="L305" i="162"/>
  <c r="K305" i="162"/>
  <c r="H305" i="162"/>
  <c r="N304" i="162"/>
  <c r="M304" i="162"/>
  <c r="L304" i="162"/>
  <c r="K304" i="162"/>
  <c r="H304" i="162"/>
  <c r="N303" i="162"/>
  <c r="M303" i="162"/>
  <c r="L303" i="162"/>
  <c r="K303" i="162"/>
  <c r="H303" i="162"/>
  <c r="N302" i="162"/>
  <c r="M302" i="162"/>
  <c r="L302" i="162"/>
  <c r="K302" i="162"/>
  <c r="H302" i="162"/>
  <c r="N301" i="162"/>
  <c r="M301" i="162"/>
  <c r="L301" i="162"/>
  <c r="K301" i="162"/>
  <c r="H301" i="162"/>
  <c r="N300" i="162"/>
  <c r="M300" i="162"/>
  <c r="L300" i="162"/>
  <c r="K300" i="162"/>
  <c r="H300" i="162"/>
  <c r="N299" i="162"/>
  <c r="M299" i="162"/>
  <c r="L299" i="162"/>
  <c r="K299" i="162"/>
  <c r="H299" i="162"/>
  <c r="N298" i="162"/>
  <c r="M298" i="162"/>
  <c r="L298" i="162"/>
  <c r="K298" i="162"/>
  <c r="H298" i="162"/>
  <c r="N297" i="162"/>
  <c r="M297" i="162"/>
  <c r="L297" i="162"/>
  <c r="K297" i="162"/>
  <c r="H297" i="162"/>
  <c r="N296" i="162"/>
  <c r="M296" i="162"/>
  <c r="L296" i="162"/>
  <c r="K296" i="162"/>
  <c r="H296" i="162"/>
  <c r="N295" i="162"/>
  <c r="M295" i="162"/>
  <c r="L295" i="162"/>
  <c r="K295" i="162"/>
  <c r="H295" i="162"/>
  <c r="N294" i="162"/>
  <c r="M294" i="162"/>
  <c r="L294" i="162"/>
  <c r="K294" i="162"/>
  <c r="H294" i="162"/>
  <c r="N293" i="162"/>
  <c r="M293" i="162"/>
  <c r="L293" i="162"/>
  <c r="K293" i="162"/>
  <c r="H293" i="162"/>
  <c r="N292" i="162"/>
  <c r="M292" i="162"/>
  <c r="L292" i="162"/>
  <c r="K292" i="162"/>
  <c r="H292" i="162"/>
  <c r="N291" i="162"/>
  <c r="M291" i="162"/>
  <c r="L291" i="162"/>
  <c r="K291" i="162"/>
  <c r="H291" i="162"/>
  <c r="N290" i="162"/>
  <c r="M290" i="162"/>
  <c r="L290" i="162"/>
  <c r="K290" i="162"/>
  <c r="H290" i="162"/>
  <c r="N289" i="162"/>
  <c r="M289" i="162"/>
  <c r="L289" i="162"/>
  <c r="K289" i="162"/>
  <c r="H289" i="162"/>
  <c r="N288" i="162"/>
  <c r="M288" i="162"/>
  <c r="L288" i="162"/>
  <c r="K288" i="162"/>
  <c r="H288" i="162"/>
  <c r="N287" i="162"/>
  <c r="M287" i="162"/>
  <c r="L287" i="162"/>
  <c r="K287" i="162"/>
  <c r="H287" i="162"/>
  <c r="N286" i="162"/>
  <c r="M286" i="162"/>
  <c r="L286" i="162"/>
  <c r="K286" i="162"/>
  <c r="H286" i="162"/>
  <c r="N285" i="162"/>
  <c r="M285" i="162"/>
  <c r="L285" i="162"/>
  <c r="K285" i="162"/>
  <c r="H285" i="162"/>
  <c r="N284" i="162"/>
  <c r="M284" i="162"/>
  <c r="L284" i="162"/>
  <c r="K284" i="162"/>
  <c r="H284" i="162"/>
  <c r="N283" i="162"/>
  <c r="M283" i="162"/>
  <c r="L283" i="162"/>
  <c r="K283" i="162"/>
  <c r="H283" i="162"/>
  <c r="N282" i="162"/>
  <c r="M282" i="162"/>
  <c r="L282" i="162"/>
  <c r="K282" i="162"/>
  <c r="H282" i="162"/>
  <c r="N281" i="162"/>
  <c r="M281" i="162"/>
  <c r="L281" i="162"/>
  <c r="K281" i="162"/>
  <c r="H281" i="162"/>
  <c r="N280" i="162"/>
  <c r="M280" i="162"/>
  <c r="L280" i="162"/>
  <c r="K280" i="162"/>
  <c r="H280" i="162"/>
  <c r="N279" i="162"/>
  <c r="M279" i="162"/>
  <c r="L279" i="162"/>
  <c r="K279" i="162"/>
  <c r="H279" i="162"/>
  <c r="N278" i="162"/>
  <c r="M278" i="162"/>
  <c r="L278" i="162"/>
  <c r="K278" i="162"/>
  <c r="H278" i="162"/>
  <c r="N277" i="162"/>
  <c r="M277" i="162"/>
  <c r="L277" i="162"/>
  <c r="K277" i="162"/>
  <c r="H277" i="162"/>
  <c r="N276" i="162"/>
  <c r="M276" i="162"/>
  <c r="L276" i="162"/>
  <c r="K276" i="162"/>
  <c r="H276" i="162"/>
  <c r="N275" i="162"/>
  <c r="M275" i="162"/>
  <c r="L275" i="162"/>
  <c r="K275" i="162"/>
  <c r="H275" i="162"/>
  <c r="N274" i="162"/>
  <c r="M274" i="162"/>
  <c r="L274" i="162"/>
  <c r="K274" i="162"/>
  <c r="H274" i="162"/>
  <c r="N273" i="162"/>
  <c r="M273" i="162"/>
  <c r="L273" i="162"/>
  <c r="K273" i="162"/>
  <c r="H273" i="162"/>
  <c r="N272" i="162"/>
  <c r="M272" i="162"/>
  <c r="L272" i="162"/>
  <c r="K272" i="162"/>
  <c r="H272" i="162"/>
  <c r="N271" i="162"/>
  <c r="M271" i="162"/>
  <c r="L271" i="162"/>
  <c r="K271" i="162"/>
  <c r="H271" i="162"/>
  <c r="N270" i="162"/>
  <c r="M270" i="162"/>
  <c r="L270" i="162"/>
  <c r="K270" i="162"/>
  <c r="H270" i="162"/>
  <c r="N269" i="162"/>
  <c r="M269" i="162"/>
  <c r="L269" i="162"/>
  <c r="K269" i="162"/>
  <c r="H269" i="162"/>
  <c r="N268" i="162"/>
  <c r="M268" i="162"/>
  <c r="L268" i="162"/>
  <c r="K268" i="162"/>
  <c r="H268" i="162"/>
  <c r="N267" i="162"/>
  <c r="M267" i="162"/>
  <c r="L267" i="162"/>
  <c r="K267" i="162"/>
  <c r="H267" i="162"/>
  <c r="N266" i="162"/>
  <c r="M266" i="162"/>
  <c r="L266" i="162"/>
  <c r="K266" i="162"/>
  <c r="H266" i="162"/>
  <c r="N265" i="162"/>
  <c r="M265" i="162"/>
  <c r="L265" i="162"/>
  <c r="K265" i="162"/>
  <c r="H265" i="162"/>
  <c r="N264" i="162"/>
  <c r="M264" i="162"/>
  <c r="L264" i="162"/>
  <c r="K264" i="162"/>
  <c r="H264" i="162"/>
  <c r="N263" i="162"/>
  <c r="M263" i="162"/>
  <c r="L263" i="162"/>
  <c r="K263" i="162"/>
  <c r="H263" i="162"/>
  <c r="N262" i="162"/>
  <c r="M262" i="162"/>
  <c r="L262" i="162"/>
  <c r="K262" i="162"/>
  <c r="H262" i="162"/>
  <c r="N261" i="162"/>
  <c r="M261" i="162"/>
  <c r="L261" i="162"/>
  <c r="K261" i="162"/>
  <c r="H261" i="162"/>
  <c r="N260" i="162"/>
  <c r="M260" i="162"/>
  <c r="L260" i="162"/>
  <c r="K260" i="162"/>
  <c r="H260" i="162"/>
  <c r="N259" i="162"/>
  <c r="M259" i="162"/>
  <c r="L259" i="162"/>
  <c r="K259" i="162"/>
  <c r="H259" i="162"/>
  <c r="N258" i="162"/>
  <c r="M258" i="162"/>
  <c r="L258" i="162"/>
  <c r="K258" i="162"/>
  <c r="H258" i="162"/>
  <c r="N257" i="162"/>
  <c r="M257" i="162"/>
  <c r="L257" i="162"/>
  <c r="K257" i="162"/>
  <c r="H257" i="162"/>
  <c r="N256" i="162"/>
  <c r="M256" i="162"/>
  <c r="L256" i="162"/>
  <c r="K256" i="162"/>
  <c r="H256" i="162"/>
  <c r="N255" i="162"/>
  <c r="M255" i="162"/>
  <c r="L255" i="162"/>
  <c r="K255" i="162"/>
  <c r="H255" i="162"/>
  <c r="N254" i="162"/>
  <c r="M254" i="162"/>
  <c r="L254" i="162"/>
  <c r="K254" i="162"/>
  <c r="H254" i="162"/>
  <c r="N253" i="162"/>
  <c r="M253" i="162"/>
  <c r="L253" i="162"/>
  <c r="K253" i="162"/>
  <c r="H253" i="162"/>
  <c r="N252" i="162"/>
  <c r="M252" i="162"/>
  <c r="L252" i="162"/>
  <c r="K252" i="162"/>
  <c r="H252" i="162"/>
  <c r="N251" i="162"/>
  <c r="M251" i="162"/>
  <c r="L251" i="162"/>
  <c r="K251" i="162"/>
  <c r="H251" i="162"/>
  <c r="N250" i="162"/>
  <c r="M250" i="162"/>
  <c r="L250" i="162"/>
  <c r="K250" i="162"/>
  <c r="H250" i="162"/>
  <c r="N249" i="162"/>
  <c r="M249" i="162"/>
  <c r="L249" i="162"/>
  <c r="K249" i="162"/>
  <c r="H249" i="162"/>
  <c r="N248" i="162"/>
  <c r="M248" i="162"/>
  <c r="L248" i="162"/>
  <c r="K248" i="162"/>
  <c r="H248" i="162"/>
  <c r="N247" i="162"/>
  <c r="M247" i="162"/>
  <c r="L247" i="162"/>
  <c r="K247" i="162"/>
  <c r="H247" i="162"/>
  <c r="N246" i="162"/>
  <c r="M246" i="162"/>
  <c r="L246" i="162"/>
  <c r="K246" i="162"/>
  <c r="H246" i="162"/>
  <c r="N245" i="162"/>
  <c r="M245" i="162"/>
  <c r="L245" i="162"/>
  <c r="K245" i="162"/>
  <c r="H245" i="162"/>
  <c r="N244" i="162"/>
  <c r="M244" i="162"/>
  <c r="L244" i="162"/>
  <c r="K244" i="162"/>
  <c r="H244" i="162"/>
  <c r="N243" i="162"/>
  <c r="M243" i="162"/>
  <c r="L243" i="162"/>
  <c r="K243" i="162"/>
  <c r="H243" i="162"/>
  <c r="N242" i="162"/>
  <c r="M242" i="162"/>
  <c r="L242" i="162"/>
  <c r="K242" i="162"/>
  <c r="H242" i="162"/>
  <c r="N241" i="162"/>
  <c r="M241" i="162"/>
  <c r="L241" i="162"/>
  <c r="K241" i="162"/>
  <c r="H241" i="162"/>
  <c r="N240" i="162"/>
  <c r="M240" i="162"/>
  <c r="L240" i="162"/>
  <c r="K240" i="162"/>
  <c r="H240" i="162"/>
  <c r="N239" i="162"/>
  <c r="M239" i="162"/>
  <c r="L239" i="162"/>
  <c r="K239" i="162"/>
  <c r="H239" i="162"/>
  <c r="N238" i="162"/>
  <c r="M238" i="162"/>
  <c r="L238" i="162"/>
  <c r="K238" i="162"/>
  <c r="H238" i="162"/>
  <c r="N237" i="162"/>
  <c r="M237" i="162"/>
  <c r="L237" i="162"/>
  <c r="K237" i="162"/>
  <c r="H237" i="162"/>
  <c r="N236" i="162"/>
  <c r="M236" i="162"/>
  <c r="L236" i="162"/>
  <c r="K236" i="162"/>
  <c r="H236" i="162"/>
  <c r="N235" i="162"/>
  <c r="M235" i="162"/>
  <c r="L235" i="162"/>
  <c r="K235" i="162"/>
  <c r="H235" i="162"/>
  <c r="N234" i="162"/>
  <c r="M234" i="162"/>
  <c r="L234" i="162"/>
  <c r="K234" i="162"/>
  <c r="H234" i="162"/>
  <c r="N233" i="162"/>
  <c r="M233" i="162"/>
  <c r="L233" i="162"/>
  <c r="K233" i="162"/>
  <c r="H233" i="162"/>
  <c r="N232" i="162"/>
  <c r="M232" i="162"/>
  <c r="L232" i="162"/>
  <c r="K232" i="162"/>
  <c r="H232" i="162"/>
  <c r="N231" i="162"/>
  <c r="M231" i="162"/>
  <c r="L231" i="162"/>
  <c r="K231" i="162"/>
  <c r="H231" i="162"/>
  <c r="N230" i="162"/>
  <c r="M230" i="162"/>
  <c r="L230" i="162"/>
  <c r="K230" i="162"/>
  <c r="H230" i="162"/>
  <c r="N229" i="162"/>
  <c r="M229" i="162"/>
  <c r="L229" i="162"/>
  <c r="K229" i="162"/>
  <c r="H229" i="162"/>
  <c r="N228" i="162"/>
  <c r="M228" i="162"/>
  <c r="L228" i="162"/>
  <c r="K228" i="162"/>
  <c r="H228" i="162"/>
  <c r="N227" i="162"/>
  <c r="M227" i="162"/>
  <c r="L227" i="162"/>
  <c r="K227" i="162"/>
  <c r="H227" i="162"/>
  <c r="N226" i="162"/>
  <c r="M226" i="162"/>
  <c r="L226" i="162"/>
  <c r="K226" i="162"/>
  <c r="H226" i="162"/>
  <c r="N225" i="162"/>
  <c r="M225" i="162"/>
  <c r="L225" i="162"/>
  <c r="K225" i="162"/>
  <c r="H225" i="162"/>
  <c r="N224" i="162"/>
  <c r="M224" i="162"/>
  <c r="L224" i="162"/>
  <c r="K224" i="162"/>
  <c r="H224" i="162"/>
  <c r="N223" i="162"/>
  <c r="M223" i="162"/>
  <c r="L223" i="162"/>
  <c r="K223" i="162"/>
  <c r="H223" i="162"/>
  <c r="N222" i="162"/>
  <c r="M222" i="162"/>
  <c r="L222" i="162"/>
  <c r="K222" i="162"/>
  <c r="H222" i="162"/>
  <c r="N221" i="162"/>
  <c r="M221" i="162"/>
  <c r="L221" i="162"/>
  <c r="K221" i="162"/>
  <c r="H221" i="162"/>
  <c r="N220" i="162"/>
  <c r="M220" i="162"/>
  <c r="L220" i="162"/>
  <c r="K220" i="162"/>
  <c r="H220" i="162"/>
  <c r="N219" i="162"/>
  <c r="M219" i="162"/>
  <c r="L219" i="162"/>
  <c r="K219" i="162"/>
  <c r="H219" i="162"/>
  <c r="N218" i="162"/>
  <c r="M218" i="162"/>
  <c r="L218" i="162"/>
  <c r="K218" i="162"/>
  <c r="H218" i="162"/>
  <c r="N217" i="162"/>
  <c r="M217" i="162"/>
  <c r="L217" i="162"/>
  <c r="K217" i="162"/>
  <c r="H217" i="162"/>
  <c r="N216" i="162"/>
  <c r="M216" i="162"/>
  <c r="L216" i="162"/>
  <c r="K216" i="162"/>
  <c r="H216" i="162"/>
  <c r="N215" i="162"/>
  <c r="M215" i="162"/>
  <c r="L215" i="162"/>
  <c r="K215" i="162"/>
  <c r="H215" i="162"/>
  <c r="N214" i="162"/>
  <c r="M214" i="162"/>
  <c r="L214" i="162"/>
  <c r="K214" i="162"/>
  <c r="H214" i="162"/>
  <c r="N213" i="162"/>
  <c r="M213" i="162"/>
  <c r="L213" i="162"/>
  <c r="K213" i="162"/>
  <c r="H213" i="162"/>
  <c r="N212" i="162"/>
  <c r="M212" i="162"/>
  <c r="L212" i="162"/>
  <c r="K212" i="162"/>
  <c r="H212" i="162"/>
  <c r="N211" i="162"/>
  <c r="M211" i="162"/>
  <c r="L211" i="162"/>
  <c r="K211" i="162"/>
  <c r="H211" i="162"/>
  <c r="N210" i="162"/>
  <c r="M210" i="162"/>
  <c r="L210" i="162"/>
  <c r="K210" i="162"/>
  <c r="H210" i="162"/>
  <c r="N209" i="162"/>
  <c r="M209" i="162"/>
  <c r="L209" i="162"/>
  <c r="K209" i="162"/>
  <c r="H209" i="162"/>
  <c r="N208" i="162"/>
  <c r="M208" i="162"/>
  <c r="L208" i="162"/>
  <c r="K208" i="162"/>
  <c r="H208" i="162"/>
  <c r="N207" i="162"/>
  <c r="M207" i="162"/>
  <c r="L207" i="162"/>
  <c r="K207" i="162"/>
  <c r="H207" i="162"/>
  <c r="N206" i="162"/>
  <c r="M206" i="162"/>
  <c r="L206" i="162"/>
  <c r="K206" i="162"/>
  <c r="H206" i="162"/>
  <c r="N205" i="162"/>
  <c r="M205" i="162"/>
  <c r="L205" i="162"/>
  <c r="K205" i="162"/>
  <c r="H205" i="162"/>
  <c r="N204" i="162"/>
  <c r="M204" i="162"/>
  <c r="L204" i="162"/>
  <c r="K204" i="162"/>
  <c r="H204" i="162"/>
  <c r="N203" i="162"/>
  <c r="M203" i="162"/>
  <c r="L203" i="162"/>
  <c r="K203" i="162"/>
  <c r="H203" i="162"/>
  <c r="N202" i="162"/>
  <c r="M202" i="162"/>
  <c r="L202" i="162"/>
  <c r="K202" i="162"/>
  <c r="H202" i="162"/>
  <c r="N201" i="162"/>
  <c r="M201" i="162"/>
  <c r="L201" i="162"/>
  <c r="K201" i="162"/>
  <c r="H201" i="162"/>
  <c r="N200" i="162"/>
  <c r="M200" i="162"/>
  <c r="L200" i="162"/>
  <c r="K200" i="162"/>
  <c r="H200" i="162"/>
  <c r="N199" i="162"/>
  <c r="M199" i="162"/>
  <c r="L199" i="162"/>
  <c r="K199" i="162"/>
  <c r="H199" i="162"/>
  <c r="N198" i="162"/>
  <c r="M198" i="162"/>
  <c r="L198" i="162"/>
  <c r="K198" i="162"/>
  <c r="H198" i="162"/>
  <c r="N197" i="162"/>
  <c r="M197" i="162"/>
  <c r="L197" i="162"/>
  <c r="K197" i="162"/>
  <c r="H197" i="162"/>
  <c r="N196" i="162"/>
  <c r="M196" i="162"/>
  <c r="L196" i="162"/>
  <c r="K196" i="162"/>
  <c r="H196" i="162"/>
  <c r="N195" i="162"/>
  <c r="M195" i="162"/>
  <c r="L195" i="162"/>
  <c r="K195" i="162"/>
  <c r="H195" i="162"/>
  <c r="N194" i="162"/>
  <c r="M194" i="162"/>
  <c r="L194" i="162"/>
  <c r="K194" i="162"/>
  <c r="H194" i="162"/>
  <c r="N193" i="162"/>
  <c r="M193" i="162"/>
  <c r="L193" i="162"/>
  <c r="K193" i="162"/>
  <c r="H193" i="162"/>
  <c r="N192" i="162"/>
  <c r="M192" i="162"/>
  <c r="L192" i="162"/>
  <c r="K192" i="162"/>
  <c r="H192" i="162"/>
  <c r="N191" i="162"/>
  <c r="M191" i="162"/>
  <c r="L191" i="162"/>
  <c r="K191" i="162"/>
  <c r="H191" i="162"/>
  <c r="N190" i="162"/>
  <c r="M190" i="162"/>
  <c r="L190" i="162"/>
  <c r="K190" i="162"/>
  <c r="H190" i="162"/>
  <c r="N189" i="162"/>
  <c r="M189" i="162"/>
  <c r="L189" i="162"/>
  <c r="K189" i="162"/>
  <c r="H189" i="162"/>
  <c r="N188" i="162"/>
  <c r="M188" i="162"/>
  <c r="L188" i="162"/>
  <c r="K188" i="162"/>
  <c r="H188" i="162"/>
  <c r="N187" i="162"/>
  <c r="M187" i="162"/>
  <c r="L187" i="162"/>
  <c r="K187" i="162"/>
  <c r="H187" i="162"/>
  <c r="N186" i="162"/>
  <c r="M186" i="162"/>
  <c r="L186" i="162"/>
  <c r="K186" i="162"/>
  <c r="H186" i="162"/>
  <c r="N185" i="162"/>
  <c r="M185" i="162"/>
  <c r="L185" i="162"/>
  <c r="K185" i="162"/>
  <c r="H185" i="162"/>
  <c r="N184" i="162"/>
  <c r="M184" i="162"/>
  <c r="L184" i="162"/>
  <c r="K184" i="162"/>
  <c r="H184" i="162"/>
  <c r="N183" i="162"/>
  <c r="M183" i="162"/>
  <c r="L183" i="162"/>
  <c r="K183" i="162"/>
  <c r="H183" i="162"/>
  <c r="N182" i="162"/>
  <c r="M182" i="162"/>
  <c r="L182" i="162"/>
  <c r="K182" i="162"/>
  <c r="H182" i="162"/>
  <c r="N181" i="162"/>
  <c r="M181" i="162"/>
  <c r="L181" i="162"/>
  <c r="K181" i="162"/>
  <c r="H181" i="162"/>
  <c r="N180" i="162"/>
  <c r="M180" i="162"/>
  <c r="L180" i="162"/>
  <c r="K180" i="162"/>
  <c r="H180" i="162"/>
  <c r="N179" i="162"/>
  <c r="M179" i="162"/>
  <c r="L179" i="162"/>
  <c r="K179" i="162"/>
  <c r="H179" i="162"/>
  <c r="N178" i="162"/>
  <c r="M178" i="162"/>
  <c r="L178" i="162"/>
  <c r="K178" i="162"/>
  <c r="H178" i="162"/>
  <c r="N177" i="162"/>
  <c r="M177" i="162"/>
  <c r="L177" i="162"/>
  <c r="K177" i="162"/>
  <c r="H177" i="162"/>
  <c r="N176" i="162"/>
  <c r="M176" i="162"/>
  <c r="L176" i="162"/>
  <c r="K176" i="162"/>
  <c r="H176" i="162"/>
  <c r="N175" i="162"/>
  <c r="M175" i="162"/>
  <c r="L175" i="162"/>
  <c r="K175" i="162"/>
  <c r="H175" i="162"/>
  <c r="N174" i="162"/>
  <c r="M174" i="162"/>
  <c r="L174" i="162"/>
  <c r="K174" i="162"/>
  <c r="H174" i="162"/>
  <c r="N173" i="162"/>
  <c r="M173" i="162"/>
  <c r="L173" i="162"/>
  <c r="K173" i="162"/>
  <c r="H173" i="162"/>
  <c r="N172" i="162"/>
  <c r="M172" i="162"/>
  <c r="L172" i="162"/>
  <c r="K172" i="162"/>
  <c r="H172" i="162"/>
  <c r="N171" i="162"/>
  <c r="M171" i="162"/>
  <c r="L171" i="162"/>
  <c r="K171" i="162"/>
  <c r="H171" i="162"/>
  <c r="N170" i="162"/>
  <c r="M170" i="162"/>
  <c r="L170" i="162"/>
  <c r="K170" i="162"/>
  <c r="H170" i="162"/>
  <c r="N169" i="162"/>
  <c r="M169" i="162"/>
  <c r="L169" i="162"/>
  <c r="K169" i="162"/>
  <c r="H169" i="162"/>
  <c r="N168" i="162"/>
  <c r="M168" i="162"/>
  <c r="L168" i="162"/>
  <c r="K168" i="162"/>
  <c r="H168" i="162"/>
  <c r="N167" i="162"/>
  <c r="M167" i="162"/>
  <c r="L167" i="162"/>
  <c r="K167" i="162"/>
  <c r="H167" i="162"/>
  <c r="N166" i="162"/>
  <c r="M166" i="162"/>
  <c r="L166" i="162"/>
  <c r="K166" i="162"/>
  <c r="H166" i="162"/>
  <c r="N165" i="162"/>
  <c r="M165" i="162"/>
  <c r="L165" i="162"/>
  <c r="K165" i="162"/>
  <c r="H165" i="162"/>
  <c r="N164" i="162"/>
  <c r="M164" i="162"/>
  <c r="L164" i="162"/>
  <c r="K164" i="162"/>
  <c r="H164" i="162"/>
  <c r="N163" i="162"/>
  <c r="M163" i="162"/>
  <c r="L163" i="162"/>
  <c r="K163" i="162"/>
  <c r="H163" i="162"/>
  <c r="N162" i="162"/>
  <c r="M162" i="162"/>
  <c r="L162" i="162"/>
  <c r="K162" i="162"/>
  <c r="H162" i="162"/>
  <c r="N161" i="162"/>
  <c r="M161" i="162"/>
  <c r="L161" i="162"/>
  <c r="K161" i="162"/>
  <c r="H161" i="162"/>
  <c r="N160" i="162"/>
  <c r="M160" i="162"/>
  <c r="L160" i="162"/>
  <c r="K160" i="162"/>
  <c r="H160" i="162"/>
  <c r="N159" i="162"/>
  <c r="M159" i="162"/>
  <c r="L159" i="162"/>
  <c r="K159" i="162"/>
  <c r="H159" i="162"/>
  <c r="N158" i="162"/>
  <c r="M158" i="162"/>
  <c r="L158" i="162"/>
  <c r="K158" i="162"/>
  <c r="H158" i="162"/>
  <c r="N157" i="162"/>
  <c r="M157" i="162"/>
  <c r="L157" i="162"/>
  <c r="K157" i="162"/>
  <c r="H157" i="162"/>
  <c r="N156" i="162"/>
  <c r="M156" i="162"/>
  <c r="L156" i="162"/>
  <c r="K156" i="162"/>
  <c r="H156" i="162"/>
  <c r="N155" i="162"/>
  <c r="M155" i="162"/>
  <c r="L155" i="162"/>
  <c r="K155" i="162"/>
  <c r="H155" i="162"/>
  <c r="N154" i="162"/>
  <c r="M154" i="162"/>
  <c r="L154" i="162"/>
  <c r="K154" i="162"/>
  <c r="H154" i="162"/>
  <c r="N153" i="162"/>
  <c r="M153" i="162"/>
  <c r="L153" i="162"/>
  <c r="K153" i="162"/>
  <c r="H153" i="162"/>
  <c r="N152" i="162"/>
  <c r="M152" i="162"/>
  <c r="L152" i="162"/>
  <c r="K152" i="162"/>
  <c r="H152" i="162"/>
  <c r="N151" i="162"/>
  <c r="M151" i="162"/>
  <c r="L151" i="162"/>
  <c r="K151" i="162"/>
  <c r="H151" i="162"/>
  <c r="N150" i="162"/>
  <c r="M150" i="162"/>
  <c r="L150" i="162"/>
  <c r="K150" i="162"/>
  <c r="H150" i="162"/>
  <c r="N149" i="162"/>
  <c r="M149" i="162"/>
  <c r="L149" i="162"/>
  <c r="K149" i="162"/>
  <c r="H149" i="162"/>
  <c r="N148" i="162"/>
  <c r="M148" i="162"/>
  <c r="L148" i="162"/>
  <c r="K148" i="162"/>
  <c r="H148" i="162"/>
  <c r="N147" i="162"/>
  <c r="M147" i="162"/>
  <c r="L147" i="162"/>
  <c r="K147" i="162"/>
  <c r="H147" i="162"/>
  <c r="N146" i="162"/>
  <c r="M146" i="162"/>
  <c r="L146" i="162"/>
  <c r="K146" i="162"/>
  <c r="H146" i="162"/>
  <c r="N145" i="162"/>
  <c r="M145" i="162"/>
  <c r="L145" i="162"/>
  <c r="K145" i="162"/>
  <c r="H145" i="162"/>
  <c r="N144" i="162"/>
  <c r="M144" i="162"/>
  <c r="L144" i="162"/>
  <c r="K144" i="162"/>
  <c r="H144" i="162"/>
  <c r="N143" i="162"/>
  <c r="M143" i="162"/>
  <c r="L143" i="162"/>
  <c r="K143" i="162"/>
  <c r="H143" i="162"/>
  <c r="N142" i="162"/>
  <c r="M142" i="162"/>
  <c r="L142" i="162"/>
  <c r="K142" i="162"/>
  <c r="H142" i="162"/>
  <c r="N141" i="162"/>
  <c r="M141" i="162"/>
  <c r="L141" i="162"/>
  <c r="K141" i="162"/>
  <c r="H141" i="162"/>
  <c r="N140" i="162"/>
  <c r="M140" i="162"/>
  <c r="L140" i="162"/>
  <c r="K140" i="162"/>
  <c r="H140" i="162"/>
  <c r="N139" i="162"/>
  <c r="M139" i="162"/>
  <c r="L139" i="162"/>
  <c r="K139" i="162"/>
  <c r="H139" i="162"/>
  <c r="N138" i="162"/>
  <c r="M138" i="162"/>
  <c r="L138" i="162"/>
  <c r="K138" i="162"/>
  <c r="H138" i="162"/>
  <c r="N137" i="162"/>
  <c r="M137" i="162"/>
  <c r="L137" i="162"/>
  <c r="K137" i="162"/>
  <c r="H137" i="162"/>
  <c r="N136" i="162"/>
  <c r="M136" i="162"/>
  <c r="L136" i="162"/>
  <c r="K136" i="162"/>
  <c r="H136" i="162"/>
  <c r="N135" i="162"/>
  <c r="M135" i="162"/>
  <c r="L135" i="162"/>
  <c r="K135" i="162"/>
  <c r="H135" i="162"/>
  <c r="N134" i="162"/>
  <c r="M134" i="162"/>
  <c r="L134" i="162"/>
  <c r="K134" i="162"/>
  <c r="H134" i="162"/>
  <c r="N133" i="162"/>
  <c r="M133" i="162"/>
  <c r="L133" i="162"/>
  <c r="K133" i="162"/>
  <c r="H133" i="162"/>
  <c r="N132" i="162"/>
  <c r="M132" i="162"/>
  <c r="L132" i="162"/>
  <c r="K132" i="162"/>
  <c r="H132" i="162"/>
  <c r="N131" i="162"/>
  <c r="M131" i="162"/>
  <c r="L131" i="162"/>
  <c r="K131" i="162"/>
  <c r="H131" i="162"/>
  <c r="N130" i="162"/>
  <c r="M130" i="162"/>
  <c r="L130" i="162"/>
  <c r="K130" i="162"/>
  <c r="H130" i="162"/>
  <c r="N129" i="162"/>
  <c r="M129" i="162"/>
  <c r="L129" i="162"/>
  <c r="K129" i="162"/>
  <c r="H129" i="162"/>
  <c r="N128" i="162"/>
  <c r="M128" i="162"/>
  <c r="L128" i="162"/>
  <c r="K128" i="162"/>
  <c r="H128" i="162"/>
  <c r="N127" i="162"/>
  <c r="M127" i="162"/>
  <c r="L127" i="162"/>
  <c r="K127" i="162"/>
  <c r="H127" i="162"/>
  <c r="N126" i="162"/>
  <c r="M126" i="162"/>
  <c r="L126" i="162"/>
  <c r="K126" i="162"/>
  <c r="H126" i="162"/>
  <c r="N125" i="162"/>
  <c r="M125" i="162"/>
  <c r="L125" i="162"/>
  <c r="K125" i="162"/>
  <c r="H125" i="162"/>
  <c r="N124" i="162"/>
  <c r="M124" i="162"/>
  <c r="L124" i="162"/>
  <c r="K124" i="162"/>
  <c r="H124" i="162"/>
  <c r="N123" i="162"/>
  <c r="M123" i="162"/>
  <c r="L123" i="162"/>
  <c r="K123" i="162"/>
  <c r="H123" i="162"/>
  <c r="N122" i="162"/>
  <c r="M122" i="162"/>
  <c r="L122" i="162"/>
  <c r="K122" i="162"/>
  <c r="H122" i="162"/>
  <c r="N121" i="162"/>
  <c r="M121" i="162"/>
  <c r="L121" i="162"/>
  <c r="K121" i="162"/>
  <c r="H121" i="162"/>
  <c r="N120" i="162"/>
  <c r="M120" i="162"/>
  <c r="L120" i="162"/>
  <c r="K120" i="162"/>
  <c r="H120" i="162"/>
  <c r="N119" i="162"/>
  <c r="M119" i="162"/>
  <c r="L119" i="162"/>
  <c r="K119" i="162"/>
  <c r="H119" i="162"/>
  <c r="N118" i="162"/>
  <c r="M118" i="162"/>
  <c r="L118" i="162"/>
  <c r="K118" i="162"/>
  <c r="H118" i="162"/>
  <c r="N117" i="162"/>
  <c r="M117" i="162"/>
  <c r="L117" i="162"/>
  <c r="K117" i="162"/>
  <c r="H117" i="162"/>
  <c r="N116" i="162"/>
  <c r="M116" i="162"/>
  <c r="L116" i="162"/>
  <c r="K116" i="162"/>
  <c r="H116" i="162"/>
  <c r="N115" i="162"/>
  <c r="M115" i="162"/>
  <c r="L115" i="162"/>
  <c r="K115" i="162"/>
  <c r="H115" i="162"/>
  <c r="N114" i="162"/>
  <c r="M114" i="162"/>
  <c r="L114" i="162"/>
  <c r="K114" i="162"/>
  <c r="H114" i="162"/>
  <c r="N113" i="162"/>
  <c r="M113" i="162"/>
  <c r="L113" i="162"/>
  <c r="K113" i="162"/>
  <c r="H113" i="162"/>
  <c r="N112" i="162"/>
  <c r="M112" i="162"/>
  <c r="L112" i="162"/>
  <c r="K112" i="162"/>
  <c r="H112" i="162"/>
  <c r="N111" i="162"/>
  <c r="M111" i="162"/>
  <c r="L111" i="162"/>
  <c r="K111" i="162"/>
  <c r="H111" i="162"/>
  <c r="N110" i="162"/>
  <c r="M110" i="162"/>
  <c r="L110" i="162"/>
  <c r="K110" i="162"/>
  <c r="H110" i="162"/>
  <c r="N109" i="162"/>
  <c r="M109" i="162"/>
  <c r="L109" i="162"/>
  <c r="K109" i="162"/>
  <c r="H109" i="162"/>
  <c r="N108" i="162"/>
  <c r="M108" i="162"/>
  <c r="L108" i="162"/>
  <c r="K108" i="162"/>
  <c r="H108" i="162"/>
  <c r="N107" i="162"/>
  <c r="M107" i="162"/>
  <c r="L107" i="162"/>
  <c r="K107" i="162"/>
  <c r="H107" i="162"/>
  <c r="N106" i="162"/>
  <c r="M106" i="162"/>
  <c r="L106" i="162"/>
  <c r="K106" i="162"/>
  <c r="H106" i="162"/>
  <c r="N105" i="162"/>
  <c r="M105" i="162"/>
  <c r="L105" i="162"/>
  <c r="K105" i="162"/>
  <c r="H105" i="162"/>
  <c r="N104" i="162"/>
  <c r="M104" i="162"/>
  <c r="L104" i="162"/>
  <c r="K104" i="162"/>
  <c r="H104" i="162"/>
  <c r="N103" i="162"/>
  <c r="M103" i="162"/>
  <c r="L103" i="162"/>
  <c r="K103" i="162"/>
  <c r="H103" i="162"/>
  <c r="N102" i="162"/>
  <c r="M102" i="162"/>
  <c r="L102" i="162"/>
  <c r="K102" i="162"/>
  <c r="H102" i="162"/>
  <c r="N101" i="162"/>
  <c r="M101" i="162"/>
  <c r="L101" i="162"/>
  <c r="K101" i="162"/>
  <c r="H101" i="162"/>
  <c r="N100" i="162"/>
  <c r="M100" i="162"/>
  <c r="L100" i="162"/>
  <c r="K100" i="162"/>
  <c r="H100" i="162"/>
  <c r="N99" i="162"/>
  <c r="M99" i="162"/>
  <c r="L99" i="162"/>
  <c r="K99" i="162"/>
  <c r="H99" i="162"/>
  <c r="N98" i="162"/>
  <c r="M98" i="162"/>
  <c r="L98" i="162"/>
  <c r="K98" i="162"/>
  <c r="H98" i="162"/>
  <c r="N97" i="162"/>
  <c r="M97" i="162"/>
  <c r="L97" i="162"/>
  <c r="K97" i="162"/>
  <c r="H97" i="162"/>
  <c r="N96" i="162"/>
  <c r="M96" i="162"/>
  <c r="L96" i="162"/>
  <c r="K96" i="162"/>
  <c r="H96" i="162"/>
  <c r="N95" i="162"/>
  <c r="M95" i="162"/>
  <c r="L95" i="162"/>
  <c r="K95" i="162"/>
  <c r="H95" i="162"/>
  <c r="N94" i="162"/>
  <c r="M94" i="162"/>
  <c r="L94" i="162"/>
  <c r="K94" i="162"/>
  <c r="H94" i="162"/>
  <c r="N93" i="162"/>
  <c r="M93" i="162"/>
  <c r="L93" i="162"/>
  <c r="K93" i="162"/>
  <c r="H93" i="162"/>
  <c r="N92" i="162"/>
  <c r="M92" i="162"/>
  <c r="L92" i="162"/>
  <c r="K92" i="162"/>
  <c r="H92" i="162"/>
  <c r="N91" i="162"/>
  <c r="M91" i="162"/>
  <c r="L91" i="162"/>
  <c r="K91" i="162"/>
  <c r="H91" i="162"/>
  <c r="N90" i="162"/>
  <c r="M90" i="162"/>
  <c r="L90" i="162"/>
  <c r="K90" i="162"/>
  <c r="H90" i="162"/>
  <c r="N89" i="162"/>
  <c r="M89" i="162"/>
  <c r="L89" i="162"/>
  <c r="K89" i="162"/>
  <c r="H89" i="162"/>
  <c r="N88" i="162"/>
  <c r="M88" i="162"/>
  <c r="L88" i="162"/>
  <c r="K88" i="162"/>
  <c r="H88" i="162"/>
  <c r="N87" i="162"/>
  <c r="M87" i="162"/>
  <c r="L87" i="162"/>
  <c r="K87" i="162"/>
  <c r="H87" i="162"/>
  <c r="N86" i="162"/>
  <c r="M86" i="162"/>
  <c r="L86" i="162"/>
  <c r="K86" i="162"/>
  <c r="H86" i="162"/>
  <c r="N85" i="162"/>
  <c r="M85" i="162"/>
  <c r="L85" i="162"/>
  <c r="K85" i="162"/>
  <c r="H85" i="162"/>
  <c r="N84" i="162"/>
  <c r="M84" i="162"/>
  <c r="L84" i="162"/>
  <c r="K84" i="162"/>
  <c r="H84" i="162"/>
  <c r="N83" i="162"/>
  <c r="M83" i="162"/>
  <c r="L83" i="162"/>
  <c r="K83" i="162"/>
  <c r="H83" i="162"/>
  <c r="N82" i="162"/>
  <c r="M82" i="162"/>
  <c r="L82" i="162"/>
  <c r="K82" i="162"/>
  <c r="H82" i="162"/>
  <c r="N81" i="162"/>
  <c r="M81" i="162"/>
  <c r="L81" i="162"/>
  <c r="K81" i="162"/>
  <c r="H81" i="162"/>
  <c r="N80" i="162"/>
  <c r="M80" i="162"/>
  <c r="L80" i="162"/>
  <c r="K80" i="162"/>
  <c r="H80" i="162"/>
  <c r="N79" i="162"/>
  <c r="M79" i="162"/>
  <c r="L79" i="162"/>
  <c r="K79" i="162"/>
  <c r="H79" i="162"/>
  <c r="N78" i="162"/>
  <c r="M78" i="162"/>
  <c r="L78" i="162"/>
  <c r="K78" i="162"/>
  <c r="H78" i="162"/>
  <c r="N77" i="162"/>
  <c r="M77" i="162"/>
  <c r="L77" i="162"/>
  <c r="K77" i="162"/>
  <c r="H77" i="162"/>
  <c r="N76" i="162"/>
  <c r="M76" i="162"/>
  <c r="L76" i="162"/>
  <c r="K76" i="162"/>
  <c r="H76" i="162"/>
  <c r="N75" i="162"/>
  <c r="M75" i="162"/>
  <c r="L75" i="162"/>
  <c r="K75" i="162"/>
  <c r="H75" i="162"/>
  <c r="N74" i="162"/>
  <c r="M74" i="162"/>
  <c r="L74" i="162"/>
  <c r="K74" i="162"/>
  <c r="H74" i="162"/>
  <c r="N73" i="162"/>
  <c r="M73" i="162"/>
  <c r="L73" i="162"/>
  <c r="K73" i="162"/>
  <c r="H73" i="162"/>
  <c r="N72" i="162"/>
  <c r="M72" i="162"/>
  <c r="L72" i="162"/>
  <c r="K72" i="162"/>
  <c r="H72" i="162"/>
  <c r="N71" i="162"/>
  <c r="M71" i="162"/>
  <c r="L71" i="162"/>
  <c r="K71" i="162"/>
  <c r="H71" i="162"/>
  <c r="N70" i="162"/>
  <c r="M70" i="162"/>
  <c r="L70" i="162"/>
  <c r="K70" i="162"/>
  <c r="H70" i="162"/>
  <c r="N69" i="162"/>
  <c r="M69" i="162"/>
  <c r="L69" i="162"/>
  <c r="K69" i="162"/>
  <c r="H69" i="162"/>
  <c r="N68" i="162"/>
  <c r="M68" i="162"/>
  <c r="L68" i="162"/>
  <c r="K68" i="162"/>
  <c r="H68" i="162"/>
  <c r="N67" i="162"/>
  <c r="M67" i="162"/>
  <c r="L67" i="162"/>
  <c r="K67" i="162"/>
  <c r="H67" i="162"/>
  <c r="N66" i="162"/>
  <c r="M66" i="162"/>
  <c r="L66" i="162"/>
  <c r="K66" i="162"/>
  <c r="H66" i="162"/>
  <c r="N65" i="162"/>
  <c r="M65" i="162"/>
  <c r="L65" i="162"/>
  <c r="K65" i="162"/>
  <c r="H65" i="162"/>
  <c r="N64" i="162"/>
  <c r="M64" i="162"/>
  <c r="L64" i="162"/>
  <c r="K64" i="162"/>
  <c r="H64" i="162"/>
  <c r="N63" i="162"/>
  <c r="M63" i="162"/>
  <c r="L63" i="162"/>
  <c r="K63" i="162"/>
  <c r="H63" i="162"/>
  <c r="N62" i="162"/>
  <c r="M62" i="162"/>
  <c r="L62" i="162"/>
  <c r="K62" i="162"/>
  <c r="H62" i="162"/>
  <c r="N61" i="162"/>
  <c r="M61" i="162"/>
  <c r="L61" i="162"/>
  <c r="K61" i="162"/>
  <c r="H61" i="162"/>
  <c r="N60" i="162"/>
  <c r="M60" i="162"/>
  <c r="L60" i="162"/>
  <c r="K60" i="162"/>
  <c r="H60" i="162"/>
  <c r="N59" i="162"/>
  <c r="M59" i="162"/>
  <c r="L59" i="162"/>
  <c r="K59" i="162"/>
  <c r="H59" i="162"/>
  <c r="N58" i="162"/>
  <c r="M58" i="162"/>
  <c r="L58" i="162"/>
  <c r="K58" i="162"/>
  <c r="H58" i="162"/>
  <c r="N57" i="162"/>
  <c r="M57" i="162"/>
  <c r="L57" i="162"/>
  <c r="K57" i="162"/>
  <c r="H57" i="162"/>
  <c r="N56" i="162"/>
  <c r="M56" i="162"/>
  <c r="L56" i="162"/>
  <c r="K56" i="162"/>
  <c r="H56" i="162"/>
  <c r="N55" i="162"/>
  <c r="M55" i="162"/>
  <c r="L55" i="162"/>
  <c r="K55" i="162"/>
  <c r="H55" i="162"/>
  <c r="N54" i="162"/>
  <c r="M54" i="162"/>
  <c r="L54" i="162"/>
  <c r="K54" i="162"/>
  <c r="H54" i="162"/>
  <c r="N53" i="162"/>
  <c r="M53" i="162"/>
  <c r="L53" i="162"/>
  <c r="K53" i="162"/>
  <c r="H53" i="162"/>
  <c r="N52" i="162"/>
  <c r="M52" i="162"/>
  <c r="L52" i="162"/>
  <c r="K52" i="162"/>
  <c r="H52" i="162"/>
  <c r="N51" i="162"/>
  <c r="M51" i="162"/>
  <c r="L51" i="162"/>
  <c r="K51" i="162"/>
  <c r="H51" i="162"/>
  <c r="N50" i="162"/>
  <c r="M50" i="162"/>
  <c r="L50" i="162"/>
  <c r="K50" i="162"/>
  <c r="H50" i="162"/>
  <c r="N49" i="162"/>
  <c r="M49" i="162"/>
  <c r="L49" i="162"/>
  <c r="K49" i="162"/>
  <c r="H49" i="162"/>
  <c r="N48" i="162"/>
  <c r="M48" i="162"/>
  <c r="L48" i="162"/>
  <c r="K48" i="162"/>
  <c r="H48" i="162"/>
  <c r="N47" i="162"/>
  <c r="M47" i="162"/>
  <c r="L47" i="162"/>
  <c r="K47" i="162"/>
  <c r="H47" i="162"/>
  <c r="N46" i="162"/>
  <c r="M46" i="162"/>
  <c r="L46" i="162"/>
  <c r="K46" i="162"/>
  <c r="H46" i="162"/>
  <c r="N45" i="162"/>
  <c r="M45" i="162"/>
  <c r="L45" i="162"/>
  <c r="K45" i="162"/>
  <c r="H45" i="162"/>
  <c r="N44" i="162"/>
  <c r="M44" i="162"/>
  <c r="L44" i="162"/>
  <c r="K44" i="162"/>
  <c r="H44" i="162"/>
  <c r="N43" i="162"/>
  <c r="M43" i="162"/>
  <c r="L43" i="162"/>
  <c r="K43" i="162"/>
  <c r="H43" i="162"/>
  <c r="N42" i="162"/>
  <c r="M42" i="162"/>
  <c r="L42" i="162"/>
  <c r="K42" i="162"/>
  <c r="H42" i="162"/>
  <c r="N41" i="162"/>
  <c r="M41" i="162"/>
  <c r="L41" i="162"/>
  <c r="K41" i="162"/>
  <c r="H41" i="162"/>
  <c r="N40" i="162"/>
  <c r="M40" i="162"/>
  <c r="L40" i="162"/>
  <c r="K40" i="162"/>
  <c r="H40" i="162"/>
  <c r="N39" i="162"/>
  <c r="M39" i="162"/>
  <c r="L39" i="162"/>
  <c r="K39" i="162"/>
  <c r="H39" i="162"/>
  <c r="N38" i="162"/>
  <c r="M38" i="162"/>
  <c r="L38" i="162"/>
  <c r="K38" i="162"/>
  <c r="H38" i="162"/>
  <c r="N37" i="162"/>
  <c r="M37" i="162"/>
  <c r="L37" i="162"/>
  <c r="K37" i="162"/>
  <c r="H37" i="162"/>
  <c r="N36" i="162"/>
  <c r="M36" i="162"/>
  <c r="L36" i="162"/>
  <c r="K36" i="162"/>
  <c r="H36" i="162"/>
  <c r="N35" i="162"/>
  <c r="M35" i="162"/>
  <c r="L35" i="162"/>
  <c r="K35" i="162"/>
  <c r="H35" i="162"/>
  <c r="N34" i="162"/>
  <c r="M34" i="162"/>
  <c r="L34" i="162"/>
  <c r="K34" i="162"/>
  <c r="H34" i="162"/>
  <c r="N33" i="162"/>
  <c r="M33" i="162"/>
  <c r="L33" i="162"/>
  <c r="K33" i="162"/>
  <c r="H33" i="162"/>
  <c r="N32" i="162"/>
  <c r="M32" i="162"/>
  <c r="L32" i="162"/>
  <c r="K32" i="162"/>
  <c r="H32" i="162"/>
  <c r="N31" i="162"/>
  <c r="M31" i="162"/>
  <c r="L31" i="162"/>
  <c r="K31" i="162"/>
  <c r="H31" i="162"/>
  <c r="N30" i="162"/>
  <c r="M30" i="162"/>
  <c r="L30" i="162"/>
  <c r="K30" i="162"/>
  <c r="H30" i="162"/>
  <c r="N29" i="162"/>
  <c r="M29" i="162"/>
  <c r="L29" i="162"/>
  <c r="K29" i="162"/>
  <c r="H29" i="162"/>
  <c r="N28" i="162"/>
  <c r="M28" i="162"/>
  <c r="L28" i="162"/>
  <c r="K28" i="162"/>
  <c r="H28" i="162"/>
  <c r="N27" i="162"/>
  <c r="M27" i="162"/>
  <c r="L27" i="162"/>
  <c r="K27" i="162"/>
  <c r="H27" i="162"/>
  <c r="N26" i="162"/>
  <c r="M26" i="162"/>
  <c r="L26" i="162"/>
  <c r="K26" i="162"/>
  <c r="H26" i="162"/>
  <c r="N25" i="162"/>
  <c r="M25" i="162"/>
  <c r="L25" i="162"/>
  <c r="K25" i="162"/>
  <c r="H25" i="162"/>
  <c r="N24" i="162"/>
  <c r="M24" i="162"/>
  <c r="L24" i="162"/>
  <c r="K24" i="162"/>
  <c r="H24" i="162"/>
  <c r="N23" i="162"/>
  <c r="M23" i="162"/>
  <c r="L23" i="162"/>
  <c r="K23" i="162"/>
  <c r="H23" i="162"/>
  <c r="N22" i="162"/>
  <c r="M22" i="162"/>
  <c r="L22" i="162"/>
  <c r="K22" i="162"/>
  <c r="H22" i="162"/>
  <c r="N21" i="162"/>
  <c r="M21" i="162"/>
  <c r="L21" i="162"/>
  <c r="K21" i="162"/>
  <c r="H21" i="162"/>
  <c r="N20" i="162"/>
  <c r="M20" i="162"/>
  <c r="L20" i="162"/>
  <c r="K20" i="162"/>
  <c r="H20" i="162"/>
  <c r="N19" i="162"/>
  <c r="M19" i="162"/>
  <c r="L19" i="162"/>
  <c r="K19" i="162"/>
  <c r="H19" i="162"/>
  <c r="N18" i="162"/>
  <c r="M18" i="162"/>
  <c r="L18" i="162"/>
  <c r="K18" i="162"/>
  <c r="H18" i="162"/>
  <c r="N17" i="162"/>
  <c r="M17" i="162"/>
  <c r="L17" i="162"/>
  <c r="K17" i="162"/>
  <c r="H17" i="162"/>
  <c r="N16" i="162"/>
  <c r="M16" i="162"/>
  <c r="L16" i="162"/>
  <c r="K16" i="162"/>
  <c r="H16" i="162"/>
  <c r="N15" i="162"/>
  <c r="M15" i="162"/>
  <c r="L15" i="162"/>
  <c r="K15" i="162"/>
  <c r="H15" i="162"/>
  <c r="N14" i="162"/>
  <c r="M14" i="162"/>
  <c r="L14" i="162"/>
  <c r="K14" i="162"/>
  <c r="H14" i="162"/>
  <c r="N13" i="162"/>
  <c r="M13" i="162"/>
  <c r="L13" i="162"/>
  <c r="K13" i="162"/>
  <c r="H13" i="162"/>
  <c r="N12" i="162"/>
  <c r="M12" i="162"/>
  <c r="L12" i="162"/>
  <c r="K12" i="162"/>
  <c r="H12" i="162"/>
  <c r="N11" i="162"/>
  <c r="M11" i="162"/>
  <c r="L11" i="162"/>
  <c r="K11" i="162"/>
  <c r="H11" i="162"/>
  <c r="N10" i="162"/>
  <c r="M10" i="162"/>
  <c r="L10" i="162"/>
  <c r="K10" i="162"/>
  <c r="H10" i="162"/>
  <c r="N9" i="162"/>
  <c r="M9" i="162"/>
  <c r="L9" i="162"/>
  <c r="K9" i="162"/>
  <c r="H9" i="162"/>
  <c r="N8" i="162"/>
  <c r="M8" i="162"/>
  <c r="L8" i="162"/>
  <c r="K8" i="162"/>
  <c r="H8" i="162"/>
  <c r="N7" i="162"/>
  <c r="M7" i="162"/>
  <c r="L7" i="162"/>
  <c r="K7" i="162"/>
  <c r="H7" i="162"/>
  <c r="N6" i="162"/>
  <c r="M6" i="162"/>
  <c r="L6" i="162"/>
  <c r="K6" i="162"/>
  <c r="H6" i="162"/>
  <c r="N5" i="162"/>
  <c r="M5" i="162"/>
  <c r="L5" i="162"/>
  <c r="K5" i="162"/>
  <c r="H5" i="162"/>
  <c r="N4" i="162"/>
  <c r="M4" i="162"/>
  <c r="L4" i="162"/>
  <c r="K4" i="162"/>
  <c r="H4" i="162"/>
  <c r="N3" i="162"/>
  <c r="M3" i="162"/>
  <c r="L3" i="162"/>
  <c r="K3" i="162"/>
  <c r="H3" i="162"/>
  <c r="N2" i="162"/>
  <c r="M2" i="162"/>
  <c r="L2" i="162"/>
  <c r="K2" i="162"/>
  <c r="H2" i="162"/>
  <c r="B47" i="161"/>
  <c r="C40" i="161"/>
  <c r="C41" i="161"/>
  <c r="C42" i="161"/>
  <c r="C43" i="161"/>
  <c r="C44" i="161"/>
  <c r="C45" i="161"/>
  <c r="C46" i="161"/>
  <c r="C47" i="161"/>
  <c r="G40" i="161"/>
  <c r="B32" i="161"/>
  <c r="C19" i="161"/>
  <c r="C20" i="161"/>
  <c r="C21" i="161"/>
  <c r="C22" i="161"/>
  <c r="C23" i="161"/>
  <c r="C24" i="161"/>
  <c r="C25" i="161"/>
  <c r="C26" i="161"/>
  <c r="C29" i="161"/>
  <c r="C30" i="161"/>
  <c r="C32" i="161"/>
  <c r="D32" i="161"/>
  <c r="I31" i="161"/>
  <c r="J31" i="161"/>
  <c r="F31" i="161"/>
  <c r="D31" i="161"/>
  <c r="G30" i="161"/>
  <c r="H30" i="161"/>
  <c r="I30" i="161"/>
  <c r="J30" i="161"/>
  <c r="F30" i="161"/>
  <c r="D30" i="161"/>
  <c r="I29" i="161"/>
  <c r="J29" i="161"/>
  <c r="F29" i="161"/>
  <c r="D29" i="161"/>
  <c r="I28" i="161"/>
  <c r="J28" i="161"/>
  <c r="F28" i="161"/>
  <c r="D28" i="161"/>
  <c r="I27" i="161"/>
  <c r="J27" i="161"/>
  <c r="F27" i="161"/>
  <c r="D27" i="161"/>
  <c r="I26" i="161"/>
  <c r="J26" i="161"/>
  <c r="F26" i="161"/>
  <c r="D26" i="161"/>
  <c r="I25" i="161"/>
  <c r="J25" i="161"/>
  <c r="F25" i="161"/>
  <c r="D25" i="161"/>
  <c r="I24" i="161"/>
  <c r="J24" i="161"/>
  <c r="F24" i="161"/>
  <c r="D24" i="161"/>
  <c r="I23" i="161"/>
  <c r="J23" i="161"/>
  <c r="F23" i="161"/>
  <c r="D23" i="161"/>
  <c r="I22" i="161"/>
  <c r="J22" i="161"/>
  <c r="F22" i="161"/>
  <c r="D22" i="161"/>
  <c r="I21" i="161"/>
  <c r="J21" i="161"/>
  <c r="F21" i="161"/>
  <c r="D21" i="161"/>
  <c r="R20" i="161"/>
  <c r="P20" i="161"/>
  <c r="O20" i="161"/>
  <c r="M20" i="161"/>
  <c r="I20" i="161"/>
  <c r="J20" i="161"/>
  <c r="F20" i="161"/>
  <c r="D20" i="161"/>
  <c r="R19" i="161"/>
  <c r="P19" i="161"/>
  <c r="O19" i="161"/>
  <c r="M19" i="161"/>
  <c r="I19" i="161"/>
  <c r="J19" i="161"/>
  <c r="F19" i="161"/>
  <c r="D19" i="161"/>
  <c r="R18" i="161"/>
  <c r="P18" i="161"/>
  <c r="O18" i="161"/>
  <c r="M18" i="161"/>
  <c r="I18" i="161"/>
  <c r="J18" i="161"/>
  <c r="F18" i="161"/>
  <c r="C18" i="161"/>
  <c r="D18" i="161"/>
  <c r="R17" i="161"/>
  <c r="P17" i="161"/>
  <c r="O17" i="161"/>
  <c r="M17" i="161"/>
  <c r="I17" i="161"/>
  <c r="J17" i="161"/>
  <c r="F17" i="161"/>
  <c r="C17" i="161"/>
  <c r="D17" i="161"/>
  <c r="V16" i="161"/>
  <c r="R16" i="161"/>
  <c r="P16" i="161"/>
  <c r="O16" i="161"/>
  <c r="M16" i="161"/>
  <c r="V15" i="161"/>
  <c r="R15" i="161"/>
  <c r="P15" i="161"/>
  <c r="O15" i="161"/>
  <c r="M15" i="161"/>
  <c r="V14" i="161"/>
  <c r="R14" i="161"/>
  <c r="P14" i="161"/>
  <c r="O14" i="161"/>
  <c r="M14" i="161"/>
  <c r="V13" i="161"/>
  <c r="R13" i="161"/>
  <c r="P13" i="161"/>
  <c r="O13" i="161"/>
  <c r="M13" i="161"/>
  <c r="V12" i="161"/>
  <c r="R12" i="161"/>
  <c r="P12" i="161"/>
  <c r="O12" i="161"/>
  <c r="M12" i="161"/>
  <c r="V11" i="161"/>
  <c r="R11" i="161"/>
  <c r="P11" i="161"/>
  <c r="O11" i="161"/>
  <c r="M11" i="161"/>
  <c r="V10" i="161"/>
  <c r="R10" i="161"/>
  <c r="P10" i="161"/>
  <c r="O10" i="161"/>
  <c r="M10" i="161"/>
  <c r="V9" i="161"/>
  <c r="R9" i="161"/>
  <c r="P9" i="161"/>
  <c r="O9" i="161"/>
  <c r="M9" i="161"/>
  <c r="V8" i="161"/>
  <c r="R8" i="161"/>
  <c r="P8" i="161"/>
  <c r="O8" i="161"/>
  <c r="M8" i="161"/>
  <c r="V7" i="161"/>
  <c r="R7" i="161"/>
  <c r="P7" i="161"/>
  <c r="O7" i="161"/>
  <c r="M7" i="161"/>
  <c r="V6" i="161"/>
  <c r="R6" i="161"/>
  <c r="P6" i="161"/>
  <c r="O6" i="161"/>
  <c r="M6" i="161"/>
  <c r="V5" i="161"/>
  <c r="R5" i="161"/>
  <c r="P5" i="161"/>
  <c r="O5" i="161"/>
  <c r="M5" i="161"/>
  <c r="V4" i="161"/>
  <c r="R4" i="161"/>
  <c r="P4" i="161"/>
  <c r="O4" i="161"/>
  <c r="M4" i="161"/>
  <c r="V3" i="161"/>
  <c r="P3" i="161"/>
  <c r="O3" i="161"/>
  <c r="M3" i="161"/>
  <c r="V2" i="161"/>
  <c r="A340" i="160"/>
  <c r="A339" i="160"/>
  <c r="A338" i="160"/>
  <c r="A337" i="160"/>
  <c r="A336" i="160"/>
  <c r="A335" i="160"/>
  <c r="A334" i="160"/>
  <c r="A333" i="160"/>
  <c r="A332" i="160"/>
  <c r="A331" i="160"/>
  <c r="A330" i="160"/>
  <c r="A329" i="160"/>
  <c r="A328" i="160"/>
  <c r="A327" i="160"/>
  <c r="A326" i="160"/>
  <c r="A325" i="160"/>
  <c r="A324" i="160"/>
  <c r="A323" i="160"/>
  <c r="A322" i="160"/>
  <c r="A321" i="160"/>
  <c r="A320" i="160"/>
  <c r="A319" i="160"/>
  <c r="A318" i="160"/>
  <c r="A317" i="160"/>
  <c r="A316" i="160"/>
  <c r="A315" i="160"/>
  <c r="A314" i="160"/>
  <c r="A313" i="160"/>
  <c r="A312" i="160"/>
  <c r="A311" i="160"/>
  <c r="A310" i="160"/>
  <c r="A309" i="160"/>
  <c r="A308" i="160"/>
  <c r="A307" i="160"/>
  <c r="A306" i="160"/>
  <c r="A305" i="160"/>
  <c r="A304" i="160"/>
  <c r="A303" i="160"/>
  <c r="A302" i="160"/>
  <c r="A301" i="160"/>
  <c r="A300" i="160"/>
  <c r="A299" i="160"/>
  <c r="A298" i="160"/>
  <c r="A297" i="160"/>
  <c r="A296" i="160"/>
  <c r="A295" i="160"/>
  <c r="A294" i="160"/>
  <c r="A293" i="160"/>
  <c r="A292" i="160"/>
  <c r="A291" i="160"/>
  <c r="A290" i="160"/>
  <c r="A289" i="160"/>
  <c r="A288" i="160"/>
  <c r="A287" i="160"/>
  <c r="A286" i="160"/>
  <c r="A285" i="160"/>
  <c r="A284" i="160"/>
  <c r="A283" i="160"/>
  <c r="A282" i="160"/>
  <c r="A281" i="160"/>
  <c r="A280" i="160"/>
  <c r="A279" i="160"/>
  <c r="A278" i="160"/>
  <c r="A277" i="160"/>
  <c r="A276" i="160"/>
  <c r="A275" i="160"/>
  <c r="A274" i="160"/>
  <c r="A273" i="160"/>
  <c r="A272" i="160"/>
  <c r="A271" i="160"/>
  <c r="A270" i="160"/>
  <c r="A269" i="160"/>
  <c r="A268" i="160"/>
  <c r="A267" i="160"/>
  <c r="A266" i="160"/>
  <c r="A265" i="160"/>
  <c r="A264" i="160"/>
  <c r="A263" i="160"/>
  <c r="A262" i="160"/>
  <c r="A261" i="160"/>
  <c r="A260" i="160"/>
  <c r="A259" i="160"/>
  <c r="A258" i="160"/>
  <c r="A257" i="160"/>
  <c r="A256" i="160"/>
  <c r="A255" i="160"/>
  <c r="A254" i="160"/>
  <c r="A253" i="160"/>
  <c r="A252" i="160"/>
  <c r="A251" i="160"/>
  <c r="A250" i="160"/>
  <c r="A249" i="160"/>
  <c r="A248" i="160"/>
  <c r="A247" i="160"/>
  <c r="A246" i="160"/>
  <c r="A245" i="160"/>
  <c r="A244" i="160"/>
  <c r="A243" i="160"/>
  <c r="A242" i="160"/>
  <c r="A241" i="160"/>
  <c r="A240" i="160"/>
  <c r="A239" i="160"/>
  <c r="A238" i="160"/>
  <c r="A237" i="160"/>
  <c r="A236" i="160"/>
  <c r="A235" i="160"/>
  <c r="A234" i="160"/>
  <c r="A233" i="160"/>
  <c r="A232" i="160"/>
  <c r="A231" i="160"/>
  <c r="A230" i="160"/>
  <c r="A229" i="160"/>
  <c r="A228" i="160"/>
  <c r="A227" i="160"/>
  <c r="A226" i="160"/>
  <c r="A225" i="160"/>
  <c r="A224" i="160"/>
  <c r="A223" i="160"/>
  <c r="A222" i="160"/>
  <c r="A221" i="160"/>
  <c r="A220" i="160"/>
  <c r="A219" i="160"/>
  <c r="A218" i="160"/>
  <c r="A217" i="160"/>
  <c r="A216" i="160"/>
  <c r="A215" i="160"/>
  <c r="A214" i="160"/>
  <c r="A213" i="160"/>
  <c r="A212" i="160"/>
  <c r="A211" i="160"/>
  <c r="A210" i="160"/>
  <c r="A209" i="160"/>
  <c r="A208" i="160"/>
  <c r="A207" i="160"/>
  <c r="A206" i="160"/>
  <c r="A205" i="160"/>
  <c r="A204" i="160"/>
  <c r="A203" i="160"/>
  <c r="A202" i="160"/>
  <c r="A201" i="160"/>
  <c r="A200" i="160"/>
  <c r="A199" i="160"/>
  <c r="A198" i="160"/>
  <c r="A197" i="160"/>
  <c r="A196" i="160"/>
  <c r="A195" i="160"/>
  <c r="A194" i="160"/>
  <c r="A193" i="160"/>
  <c r="A192" i="160"/>
  <c r="A191" i="160"/>
  <c r="A190" i="160"/>
  <c r="A189" i="160"/>
  <c r="A188" i="160"/>
  <c r="A187" i="160"/>
  <c r="A186" i="160"/>
  <c r="A185" i="160"/>
  <c r="A184" i="160"/>
  <c r="A183" i="160"/>
  <c r="A182" i="160"/>
  <c r="A181" i="160"/>
  <c r="A180" i="160"/>
  <c r="A179" i="160"/>
  <c r="A178" i="160"/>
  <c r="A177" i="160"/>
  <c r="A176" i="160"/>
  <c r="A175" i="160"/>
  <c r="A174" i="160"/>
  <c r="A173" i="160"/>
  <c r="A172" i="160"/>
  <c r="A171" i="160"/>
  <c r="A170" i="160"/>
  <c r="A169" i="160"/>
  <c r="A168" i="160"/>
  <c r="A167" i="160"/>
  <c r="A166" i="160"/>
  <c r="A165" i="160"/>
  <c r="A164" i="160"/>
  <c r="A163" i="160"/>
  <c r="A162" i="160"/>
  <c r="A161" i="160"/>
  <c r="A160" i="160"/>
  <c r="A159" i="160"/>
  <c r="A158" i="160"/>
  <c r="A157" i="160"/>
  <c r="A156" i="160"/>
  <c r="A155" i="160"/>
  <c r="A154" i="160"/>
  <c r="A153" i="160"/>
  <c r="A152" i="160"/>
  <c r="A151" i="160"/>
  <c r="A150" i="160"/>
  <c r="A149" i="160"/>
  <c r="A148" i="160"/>
  <c r="A147" i="160"/>
  <c r="A146" i="160"/>
  <c r="A145" i="160"/>
  <c r="A144" i="160"/>
  <c r="A143" i="160"/>
  <c r="A142" i="160"/>
  <c r="A141" i="160"/>
  <c r="A140" i="160"/>
  <c r="A139" i="160"/>
  <c r="A138" i="160"/>
  <c r="A137" i="160"/>
  <c r="A136" i="160"/>
  <c r="A135" i="160"/>
  <c r="A134" i="160"/>
  <c r="A133" i="160"/>
  <c r="A132" i="160"/>
  <c r="A131" i="160"/>
  <c r="A130" i="160"/>
  <c r="A129" i="160"/>
  <c r="A128" i="160"/>
  <c r="A127" i="160"/>
  <c r="A126" i="160"/>
  <c r="A125" i="160"/>
  <c r="A124" i="160"/>
  <c r="A123" i="160"/>
  <c r="A122" i="160"/>
  <c r="A121" i="160"/>
  <c r="A120" i="160"/>
  <c r="A119" i="160"/>
  <c r="A118" i="160"/>
  <c r="A117" i="160"/>
  <c r="A116" i="160"/>
  <c r="A115" i="160"/>
  <c r="A114" i="160"/>
  <c r="A113" i="160"/>
  <c r="A112" i="160"/>
  <c r="A111" i="160"/>
  <c r="A110" i="160"/>
  <c r="A109" i="160"/>
  <c r="A108" i="160"/>
  <c r="A107" i="160"/>
  <c r="A106" i="160"/>
  <c r="A105" i="160"/>
  <c r="A104" i="160"/>
  <c r="A103" i="160"/>
  <c r="A102" i="160"/>
  <c r="A101" i="160"/>
  <c r="A100" i="160"/>
  <c r="A99" i="160"/>
  <c r="A98" i="160"/>
  <c r="A97" i="160"/>
  <c r="A96" i="160"/>
  <c r="A95" i="160"/>
  <c r="A94" i="160"/>
  <c r="A93" i="160"/>
  <c r="A92" i="160"/>
  <c r="A91" i="160"/>
  <c r="A90" i="160"/>
  <c r="A89" i="160"/>
  <c r="A88" i="160"/>
  <c r="A87" i="160"/>
  <c r="A86" i="160"/>
  <c r="A85" i="160"/>
  <c r="A84" i="160"/>
  <c r="A83" i="160"/>
  <c r="A82" i="160"/>
  <c r="A81" i="160"/>
  <c r="A80" i="160"/>
  <c r="A79" i="160"/>
  <c r="A78" i="160"/>
  <c r="A77" i="160"/>
  <c r="A76" i="160"/>
  <c r="A75" i="160"/>
  <c r="A74" i="160"/>
  <c r="A73" i="160"/>
  <c r="A72" i="160"/>
  <c r="A71" i="160"/>
  <c r="A70" i="160"/>
  <c r="A69" i="160"/>
  <c r="A68" i="160"/>
  <c r="A67" i="160"/>
  <c r="A66" i="160"/>
  <c r="A65" i="160"/>
  <c r="A64" i="160"/>
  <c r="A63" i="160"/>
  <c r="A62" i="160"/>
  <c r="A61" i="160"/>
  <c r="A60" i="160"/>
  <c r="A59" i="160"/>
  <c r="A58" i="160"/>
  <c r="A57" i="160"/>
  <c r="A56" i="160"/>
  <c r="A55" i="160"/>
  <c r="A54" i="160"/>
  <c r="A53" i="160"/>
  <c r="A52" i="160"/>
  <c r="A51" i="160"/>
  <c r="A50" i="160"/>
  <c r="A49" i="160"/>
  <c r="A48" i="160"/>
  <c r="A47" i="160"/>
  <c r="A46" i="160"/>
  <c r="A45" i="160"/>
  <c r="A44" i="160"/>
  <c r="A43" i="160"/>
  <c r="A42" i="160"/>
  <c r="A41" i="160"/>
  <c r="A40" i="160"/>
  <c r="A39" i="160"/>
  <c r="A38" i="160"/>
  <c r="A37" i="160"/>
  <c r="A36" i="160"/>
  <c r="A35" i="160"/>
  <c r="A34" i="160"/>
  <c r="A33" i="160"/>
  <c r="A32" i="160"/>
  <c r="A31" i="160"/>
  <c r="A30" i="160"/>
  <c r="A29" i="160"/>
  <c r="A28" i="160"/>
  <c r="A27" i="160"/>
  <c r="A26" i="160"/>
  <c r="A25" i="160"/>
  <c r="A24" i="160"/>
  <c r="A23" i="160"/>
  <c r="A22" i="160"/>
  <c r="A21" i="160"/>
  <c r="A20" i="160"/>
  <c r="A19" i="160"/>
  <c r="A18" i="160"/>
  <c r="A17" i="160"/>
  <c r="A16" i="160"/>
  <c r="A15" i="160"/>
  <c r="A14" i="160"/>
  <c r="A13" i="160"/>
  <c r="A12" i="160"/>
  <c r="A11" i="160"/>
  <c r="A10" i="160"/>
  <c r="A9" i="160"/>
  <c r="A8" i="160"/>
  <c r="A7" i="160"/>
  <c r="A6" i="160"/>
  <c r="A5" i="160"/>
  <c r="A4" i="160"/>
  <c r="A3" i="160"/>
  <c r="A2" i="160"/>
  <c r="F47" i="159"/>
  <c r="F46" i="159"/>
  <c r="B46" i="159"/>
  <c r="F45" i="159"/>
  <c r="B45" i="159"/>
  <c r="B44" i="159"/>
  <c r="B43" i="159"/>
  <c r="B42" i="159"/>
  <c r="B41" i="159"/>
  <c r="F40" i="159"/>
  <c r="B40" i="159"/>
  <c r="E30" i="159"/>
  <c r="F340" i="160"/>
  <c r="F2" i="160"/>
  <c r="F3" i="160"/>
  <c r="F4" i="160"/>
  <c r="F5" i="160"/>
  <c r="F6" i="160"/>
  <c r="F7" i="160"/>
  <c r="F8" i="160"/>
  <c r="F9" i="160"/>
  <c r="F10" i="160"/>
  <c r="F11" i="160"/>
  <c r="F12" i="160"/>
  <c r="F13" i="160"/>
  <c r="F14" i="160"/>
  <c r="F15" i="160"/>
  <c r="F16" i="160"/>
  <c r="F17" i="160"/>
  <c r="F18" i="160"/>
  <c r="F19" i="160"/>
  <c r="F20" i="160"/>
  <c r="F21" i="160"/>
  <c r="F22" i="160"/>
  <c r="F23" i="160"/>
  <c r="F24" i="160"/>
  <c r="F25" i="160"/>
  <c r="F26" i="160"/>
  <c r="F27" i="160"/>
  <c r="F28" i="160"/>
  <c r="F29" i="160"/>
  <c r="F30" i="160"/>
  <c r="F31" i="160"/>
  <c r="F32" i="160"/>
  <c r="F33" i="160"/>
  <c r="F34" i="160"/>
  <c r="F35" i="160"/>
  <c r="F36" i="160"/>
  <c r="F37" i="160"/>
  <c r="F38" i="160"/>
  <c r="F39" i="160"/>
  <c r="F40" i="160"/>
  <c r="F41" i="160"/>
  <c r="F42" i="160"/>
  <c r="F43" i="160"/>
  <c r="F44" i="160"/>
  <c r="F45" i="160"/>
  <c r="F46" i="160"/>
  <c r="F47" i="160"/>
  <c r="F48" i="160"/>
  <c r="F49" i="160"/>
  <c r="F50" i="160"/>
  <c r="F51" i="160"/>
  <c r="F52" i="160"/>
  <c r="F53" i="160"/>
  <c r="F54" i="160"/>
  <c r="F55" i="160"/>
  <c r="F56" i="160"/>
  <c r="F57" i="160"/>
  <c r="F58" i="160"/>
  <c r="F59" i="160"/>
  <c r="F60" i="160"/>
  <c r="F61" i="160"/>
  <c r="F62" i="160"/>
  <c r="F63" i="160"/>
  <c r="F64" i="160"/>
  <c r="F65" i="160"/>
  <c r="F66" i="160"/>
  <c r="F67" i="160"/>
  <c r="F68" i="160"/>
  <c r="F69" i="160"/>
  <c r="F70" i="160"/>
  <c r="F71" i="160"/>
  <c r="F72" i="160"/>
  <c r="F73" i="160"/>
  <c r="F74" i="160"/>
  <c r="F75" i="160"/>
  <c r="F76" i="160"/>
  <c r="F77" i="160"/>
  <c r="F78" i="160"/>
  <c r="F79" i="160"/>
  <c r="F80" i="160"/>
  <c r="F81" i="160"/>
  <c r="F82" i="160"/>
  <c r="F83" i="160"/>
  <c r="F84" i="160"/>
  <c r="F85" i="160"/>
  <c r="F86" i="160"/>
  <c r="F87" i="160"/>
  <c r="F88" i="160"/>
  <c r="F89" i="160"/>
  <c r="F90" i="160"/>
  <c r="F91" i="160"/>
  <c r="F92" i="160"/>
  <c r="F93" i="160"/>
  <c r="F94" i="160"/>
  <c r="F95" i="160"/>
  <c r="F96" i="160"/>
  <c r="F97" i="160"/>
  <c r="F98" i="160"/>
  <c r="F99" i="160"/>
  <c r="F100" i="160"/>
  <c r="F101" i="160"/>
  <c r="F102" i="160"/>
  <c r="F103" i="160"/>
  <c r="F104" i="160"/>
  <c r="F105" i="160"/>
  <c r="F106" i="160"/>
  <c r="F107" i="160"/>
  <c r="F108" i="160"/>
  <c r="F109" i="160"/>
  <c r="F110" i="160"/>
  <c r="F111" i="160"/>
  <c r="F112" i="160"/>
  <c r="F113" i="160"/>
  <c r="F114" i="160"/>
  <c r="F115" i="160"/>
  <c r="F116" i="160"/>
  <c r="F117" i="160"/>
  <c r="F118" i="160"/>
  <c r="F119" i="160"/>
  <c r="F120" i="160"/>
  <c r="F121" i="160"/>
  <c r="F122" i="160"/>
  <c r="F123" i="160"/>
  <c r="F124" i="160"/>
  <c r="F125" i="160"/>
  <c r="F126" i="160"/>
  <c r="F127" i="160"/>
  <c r="F128" i="160"/>
  <c r="F129" i="160"/>
  <c r="F130" i="160"/>
  <c r="F131" i="160"/>
  <c r="F132" i="160"/>
  <c r="F133" i="160"/>
  <c r="F134" i="160"/>
  <c r="F135" i="160"/>
  <c r="F136" i="160"/>
  <c r="F137" i="160"/>
  <c r="F138" i="160"/>
  <c r="F139" i="160"/>
  <c r="F140" i="160"/>
  <c r="F141" i="160"/>
  <c r="F142" i="160"/>
  <c r="F143" i="160"/>
  <c r="F144" i="160"/>
  <c r="F145" i="160"/>
  <c r="F146" i="160"/>
  <c r="F147" i="160"/>
  <c r="F148" i="160"/>
  <c r="F149" i="160"/>
  <c r="F150" i="160"/>
  <c r="F151" i="160"/>
  <c r="F152" i="160"/>
  <c r="F153" i="160"/>
  <c r="F154" i="160"/>
  <c r="F155" i="160"/>
  <c r="F156" i="160"/>
  <c r="F157" i="160"/>
  <c r="F158" i="160"/>
  <c r="F159" i="160"/>
  <c r="F160" i="160"/>
  <c r="F161" i="160"/>
  <c r="F162" i="160"/>
  <c r="F163" i="160"/>
  <c r="F164" i="160"/>
  <c r="F165" i="160"/>
  <c r="F166" i="160"/>
  <c r="F167" i="160"/>
  <c r="F168" i="160"/>
  <c r="F169" i="160"/>
  <c r="F170" i="160"/>
  <c r="F171" i="160"/>
  <c r="F172" i="160"/>
  <c r="F173" i="160"/>
  <c r="F174" i="160"/>
  <c r="F175" i="160"/>
  <c r="F176" i="160"/>
  <c r="F177" i="160"/>
  <c r="F178" i="160"/>
  <c r="F179" i="160"/>
  <c r="F180" i="160"/>
  <c r="F181" i="160"/>
  <c r="F182" i="160"/>
  <c r="F183" i="160"/>
  <c r="F184" i="160"/>
  <c r="F185" i="160"/>
  <c r="F186" i="160"/>
  <c r="F187" i="160"/>
  <c r="F188" i="160"/>
  <c r="F189" i="160"/>
  <c r="F190" i="160"/>
  <c r="F191" i="160"/>
  <c r="F192" i="160"/>
  <c r="F193" i="160"/>
  <c r="F194" i="160"/>
  <c r="F195" i="160"/>
  <c r="F196" i="160"/>
  <c r="F197" i="160"/>
  <c r="F198" i="160"/>
  <c r="F199" i="160"/>
  <c r="F200" i="160"/>
  <c r="F201" i="160"/>
  <c r="F202" i="160"/>
  <c r="F203" i="160"/>
  <c r="F204" i="160"/>
  <c r="F205" i="160"/>
  <c r="F206" i="160"/>
  <c r="F207" i="160"/>
  <c r="F208" i="160"/>
  <c r="F209" i="160"/>
  <c r="F210" i="160"/>
  <c r="F211" i="160"/>
  <c r="F212" i="160"/>
  <c r="F213" i="160"/>
  <c r="F214" i="160"/>
  <c r="F215" i="160"/>
  <c r="F216" i="160"/>
  <c r="F217" i="160"/>
  <c r="F218" i="160"/>
  <c r="F219" i="160"/>
  <c r="F220" i="160"/>
  <c r="F221" i="160"/>
  <c r="F222" i="160"/>
  <c r="F223" i="160"/>
  <c r="F224" i="160"/>
  <c r="F225" i="160"/>
  <c r="F226" i="160"/>
  <c r="F227" i="160"/>
  <c r="F228" i="160"/>
  <c r="F229" i="160"/>
  <c r="F230" i="160"/>
  <c r="F231" i="160"/>
  <c r="F232" i="160"/>
  <c r="F233" i="160"/>
  <c r="F234" i="160"/>
  <c r="F235" i="160"/>
  <c r="F236" i="160"/>
  <c r="F237" i="160"/>
  <c r="F238" i="160"/>
  <c r="F239" i="160"/>
  <c r="F240" i="160"/>
  <c r="F241" i="160"/>
  <c r="F242" i="160"/>
  <c r="F243" i="160"/>
  <c r="F244" i="160"/>
  <c r="F245" i="160"/>
  <c r="F246" i="160"/>
  <c r="F247" i="160"/>
  <c r="F248" i="160"/>
  <c r="F249" i="160"/>
  <c r="F250" i="160"/>
  <c r="F251" i="160"/>
  <c r="F252" i="160"/>
  <c r="F253" i="160"/>
  <c r="F254" i="160"/>
  <c r="F255" i="160"/>
  <c r="F256" i="160"/>
  <c r="F257" i="160"/>
  <c r="F258" i="160"/>
  <c r="F259" i="160"/>
  <c r="F260" i="160"/>
  <c r="F261" i="160"/>
  <c r="F262" i="160"/>
  <c r="F263" i="160"/>
  <c r="F264" i="160"/>
  <c r="F265" i="160"/>
  <c r="F266" i="160"/>
  <c r="F267" i="160"/>
  <c r="F268" i="160"/>
  <c r="F269" i="160"/>
  <c r="F270" i="160"/>
  <c r="F271" i="160"/>
  <c r="F272" i="160"/>
  <c r="F273" i="160"/>
  <c r="F274" i="160"/>
  <c r="F275" i="160"/>
  <c r="F276" i="160"/>
  <c r="F277" i="160"/>
  <c r="F278" i="160"/>
  <c r="F279" i="160"/>
  <c r="F280" i="160"/>
  <c r="F281" i="160"/>
  <c r="F282" i="160"/>
  <c r="F283" i="160"/>
  <c r="F284" i="160"/>
  <c r="F285" i="160"/>
  <c r="F286" i="160"/>
  <c r="F287" i="160"/>
  <c r="F288" i="160"/>
  <c r="F289" i="160"/>
  <c r="F290" i="160"/>
  <c r="F291" i="160"/>
  <c r="F292" i="160"/>
  <c r="F293" i="160"/>
  <c r="F294" i="160"/>
  <c r="F295" i="160"/>
  <c r="F296" i="160"/>
  <c r="F297" i="160"/>
  <c r="F298" i="160"/>
  <c r="F299" i="160"/>
  <c r="F300" i="160"/>
  <c r="F301" i="160"/>
  <c r="F302" i="160"/>
  <c r="F303" i="160"/>
  <c r="F304" i="160"/>
  <c r="F305" i="160"/>
  <c r="F306" i="160"/>
  <c r="F307" i="160"/>
  <c r="F308" i="160"/>
  <c r="F309" i="160"/>
  <c r="F310" i="160"/>
  <c r="F311" i="160"/>
  <c r="F312" i="160"/>
  <c r="F313" i="160"/>
  <c r="F314" i="160"/>
  <c r="F315" i="160"/>
  <c r="F316" i="160"/>
  <c r="F317" i="160"/>
  <c r="F318" i="160"/>
  <c r="F319" i="160"/>
  <c r="F320" i="160"/>
  <c r="F321" i="160"/>
  <c r="F322" i="160"/>
  <c r="F323" i="160"/>
  <c r="F324" i="160"/>
  <c r="F325" i="160"/>
  <c r="F326" i="160"/>
  <c r="F327" i="160"/>
  <c r="F328" i="160"/>
  <c r="F329" i="160"/>
  <c r="F330" i="160"/>
  <c r="F331" i="160"/>
  <c r="F332" i="160"/>
  <c r="F333" i="160"/>
  <c r="F334" i="160"/>
  <c r="F335" i="160"/>
  <c r="F336" i="160"/>
  <c r="F337" i="160"/>
  <c r="F338" i="160"/>
  <c r="F339" i="160"/>
  <c r="N340" i="160"/>
  <c r="M340" i="160"/>
  <c r="L340" i="160"/>
  <c r="K340" i="160"/>
  <c r="H340" i="160"/>
  <c r="N339" i="160"/>
  <c r="M339" i="160"/>
  <c r="L339" i="160"/>
  <c r="K339" i="160"/>
  <c r="H339" i="160"/>
  <c r="N338" i="160"/>
  <c r="M338" i="160"/>
  <c r="L338" i="160"/>
  <c r="K338" i="160"/>
  <c r="H338" i="160"/>
  <c r="N337" i="160"/>
  <c r="M337" i="160"/>
  <c r="L337" i="160"/>
  <c r="K337" i="160"/>
  <c r="H337" i="160"/>
  <c r="N336" i="160"/>
  <c r="M336" i="160"/>
  <c r="L336" i="160"/>
  <c r="K336" i="160"/>
  <c r="H336" i="160"/>
  <c r="N335" i="160"/>
  <c r="M335" i="160"/>
  <c r="L335" i="160"/>
  <c r="K335" i="160"/>
  <c r="H335" i="160"/>
  <c r="N334" i="160"/>
  <c r="M334" i="160"/>
  <c r="L334" i="160"/>
  <c r="K334" i="160"/>
  <c r="H334" i="160"/>
  <c r="N333" i="160"/>
  <c r="M333" i="160"/>
  <c r="L333" i="160"/>
  <c r="K333" i="160"/>
  <c r="H333" i="160"/>
  <c r="N332" i="160"/>
  <c r="M332" i="160"/>
  <c r="L332" i="160"/>
  <c r="K332" i="160"/>
  <c r="H332" i="160"/>
  <c r="N331" i="160"/>
  <c r="M331" i="160"/>
  <c r="L331" i="160"/>
  <c r="K331" i="160"/>
  <c r="H331" i="160"/>
  <c r="N330" i="160"/>
  <c r="M330" i="160"/>
  <c r="L330" i="160"/>
  <c r="K330" i="160"/>
  <c r="H330" i="160"/>
  <c r="N329" i="160"/>
  <c r="M329" i="160"/>
  <c r="L329" i="160"/>
  <c r="K329" i="160"/>
  <c r="H329" i="160"/>
  <c r="N328" i="160"/>
  <c r="M328" i="160"/>
  <c r="L328" i="160"/>
  <c r="K328" i="160"/>
  <c r="H328" i="160"/>
  <c r="N327" i="160"/>
  <c r="M327" i="160"/>
  <c r="L327" i="160"/>
  <c r="K327" i="160"/>
  <c r="H327" i="160"/>
  <c r="N326" i="160"/>
  <c r="M326" i="160"/>
  <c r="L326" i="160"/>
  <c r="K326" i="160"/>
  <c r="H326" i="160"/>
  <c r="N325" i="160"/>
  <c r="M325" i="160"/>
  <c r="L325" i="160"/>
  <c r="K325" i="160"/>
  <c r="H325" i="160"/>
  <c r="N324" i="160"/>
  <c r="M324" i="160"/>
  <c r="L324" i="160"/>
  <c r="K324" i="160"/>
  <c r="H324" i="160"/>
  <c r="N323" i="160"/>
  <c r="M323" i="160"/>
  <c r="L323" i="160"/>
  <c r="K323" i="160"/>
  <c r="H323" i="160"/>
  <c r="N322" i="160"/>
  <c r="M322" i="160"/>
  <c r="L322" i="160"/>
  <c r="K322" i="160"/>
  <c r="H322" i="160"/>
  <c r="N321" i="160"/>
  <c r="M321" i="160"/>
  <c r="L321" i="160"/>
  <c r="K321" i="160"/>
  <c r="H321" i="160"/>
  <c r="N320" i="160"/>
  <c r="M320" i="160"/>
  <c r="L320" i="160"/>
  <c r="K320" i="160"/>
  <c r="H320" i="160"/>
  <c r="N319" i="160"/>
  <c r="M319" i="160"/>
  <c r="L319" i="160"/>
  <c r="K319" i="160"/>
  <c r="H319" i="160"/>
  <c r="N318" i="160"/>
  <c r="M318" i="160"/>
  <c r="L318" i="160"/>
  <c r="K318" i="160"/>
  <c r="H318" i="160"/>
  <c r="N317" i="160"/>
  <c r="M317" i="160"/>
  <c r="L317" i="160"/>
  <c r="K317" i="160"/>
  <c r="H317" i="160"/>
  <c r="N316" i="160"/>
  <c r="M316" i="160"/>
  <c r="L316" i="160"/>
  <c r="K316" i="160"/>
  <c r="H316" i="160"/>
  <c r="N315" i="160"/>
  <c r="M315" i="160"/>
  <c r="L315" i="160"/>
  <c r="K315" i="160"/>
  <c r="H315" i="160"/>
  <c r="N314" i="160"/>
  <c r="M314" i="160"/>
  <c r="L314" i="160"/>
  <c r="K314" i="160"/>
  <c r="H314" i="160"/>
  <c r="N313" i="160"/>
  <c r="M313" i="160"/>
  <c r="L313" i="160"/>
  <c r="K313" i="160"/>
  <c r="H313" i="160"/>
  <c r="N312" i="160"/>
  <c r="M312" i="160"/>
  <c r="L312" i="160"/>
  <c r="K312" i="160"/>
  <c r="H312" i="160"/>
  <c r="N311" i="160"/>
  <c r="M311" i="160"/>
  <c r="L311" i="160"/>
  <c r="K311" i="160"/>
  <c r="H311" i="160"/>
  <c r="N310" i="160"/>
  <c r="M310" i="160"/>
  <c r="L310" i="160"/>
  <c r="K310" i="160"/>
  <c r="H310" i="160"/>
  <c r="N309" i="160"/>
  <c r="M309" i="160"/>
  <c r="L309" i="160"/>
  <c r="K309" i="160"/>
  <c r="H309" i="160"/>
  <c r="N308" i="160"/>
  <c r="M308" i="160"/>
  <c r="L308" i="160"/>
  <c r="K308" i="160"/>
  <c r="H308" i="160"/>
  <c r="N307" i="160"/>
  <c r="M307" i="160"/>
  <c r="L307" i="160"/>
  <c r="K307" i="160"/>
  <c r="H307" i="160"/>
  <c r="N306" i="160"/>
  <c r="M306" i="160"/>
  <c r="L306" i="160"/>
  <c r="K306" i="160"/>
  <c r="H306" i="160"/>
  <c r="N305" i="160"/>
  <c r="M305" i="160"/>
  <c r="L305" i="160"/>
  <c r="K305" i="160"/>
  <c r="H305" i="160"/>
  <c r="N304" i="160"/>
  <c r="M304" i="160"/>
  <c r="L304" i="160"/>
  <c r="K304" i="160"/>
  <c r="H304" i="160"/>
  <c r="N303" i="160"/>
  <c r="M303" i="160"/>
  <c r="L303" i="160"/>
  <c r="K303" i="160"/>
  <c r="H303" i="160"/>
  <c r="N302" i="160"/>
  <c r="M302" i="160"/>
  <c r="L302" i="160"/>
  <c r="K302" i="160"/>
  <c r="H302" i="160"/>
  <c r="N301" i="160"/>
  <c r="M301" i="160"/>
  <c r="L301" i="160"/>
  <c r="K301" i="160"/>
  <c r="H301" i="160"/>
  <c r="N300" i="160"/>
  <c r="M300" i="160"/>
  <c r="L300" i="160"/>
  <c r="K300" i="160"/>
  <c r="H300" i="160"/>
  <c r="N299" i="160"/>
  <c r="M299" i="160"/>
  <c r="L299" i="160"/>
  <c r="K299" i="160"/>
  <c r="H299" i="160"/>
  <c r="N298" i="160"/>
  <c r="M298" i="160"/>
  <c r="L298" i="160"/>
  <c r="K298" i="160"/>
  <c r="H298" i="160"/>
  <c r="N297" i="160"/>
  <c r="M297" i="160"/>
  <c r="L297" i="160"/>
  <c r="K297" i="160"/>
  <c r="H297" i="160"/>
  <c r="N296" i="160"/>
  <c r="M296" i="160"/>
  <c r="L296" i="160"/>
  <c r="K296" i="160"/>
  <c r="H296" i="160"/>
  <c r="N295" i="160"/>
  <c r="M295" i="160"/>
  <c r="L295" i="160"/>
  <c r="K295" i="160"/>
  <c r="H295" i="160"/>
  <c r="N294" i="160"/>
  <c r="M294" i="160"/>
  <c r="L294" i="160"/>
  <c r="K294" i="160"/>
  <c r="H294" i="160"/>
  <c r="N293" i="160"/>
  <c r="M293" i="160"/>
  <c r="L293" i="160"/>
  <c r="K293" i="160"/>
  <c r="H293" i="160"/>
  <c r="N292" i="160"/>
  <c r="M292" i="160"/>
  <c r="L292" i="160"/>
  <c r="K292" i="160"/>
  <c r="H292" i="160"/>
  <c r="N291" i="160"/>
  <c r="M291" i="160"/>
  <c r="L291" i="160"/>
  <c r="K291" i="160"/>
  <c r="H291" i="160"/>
  <c r="N290" i="160"/>
  <c r="M290" i="160"/>
  <c r="L290" i="160"/>
  <c r="K290" i="160"/>
  <c r="H290" i="160"/>
  <c r="N289" i="160"/>
  <c r="M289" i="160"/>
  <c r="L289" i="160"/>
  <c r="K289" i="160"/>
  <c r="H289" i="160"/>
  <c r="N288" i="160"/>
  <c r="M288" i="160"/>
  <c r="L288" i="160"/>
  <c r="K288" i="160"/>
  <c r="H288" i="160"/>
  <c r="N287" i="160"/>
  <c r="M287" i="160"/>
  <c r="L287" i="160"/>
  <c r="K287" i="160"/>
  <c r="H287" i="160"/>
  <c r="N286" i="160"/>
  <c r="M286" i="160"/>
  <c r="L286" i="160"/>
  <c r="K286" i="160"/>
  <c r="H286" i="160"/>
  <c r="N285" i="160"/>
  <c r="M285" i="160"/>
  <c r="L285" i="160"/>
  <c r="K285" i="160"/>
  <c r="H285" i="160"/>
  <c r="N284" i="160"/>
  <c r="M284" i="160"/>
  <c r="L284" i="160"/>
  <c r="K284" i="160"/>
  <c r="H284" i="160"/>
  <c r="N283" i="160"/>
  <c r="M283" i="160"/>
  <c r="L283" i="160"/>
  <c r="K283" i="160"/>
  <c r="H283" i="160"/>
  <c r="N282" i="160"/>
  <c r="M282" i="160"/>
  <c r="L282" i="160"/>
  <c r="K282" i="160"/>
  <c r="H282" i="160"/>
  <c r="N281" i="160"/>
  <c r="M281" i="160"/>
  <c r="L281" i="160"/>
  <c r="K281" i="160"/>
  <c r="H281" i="160"/>
  <c r="N280" i="160"/>
  <c r="M280" i="160"/>
  <c r="L280" i="160"/>
  <c r="K280" i="160"/>
  <c r="H280" i="160"/>
  <c r="N279" i="160"/>
  <c r="M279" i="160"/>
  <c r="L279" i="160"/>
  <c r="K279" i="160"/>
  <c r="H279" i="160"/>
  <c r="N278" i="160"/>
  <c r="M278" i="160"/>
  <c r="L278" i="160"/>
  <c r="K278" i="160"/>
  <c r="H278" i="160"/>
  <c r="N277" i="160"/>
  <c r="M277" i="160"/>
  <c r="L277" i="160"/>
  <c r="K277" i="160"/>
  <c r="H277" i="160"/>
  <c r="N276" i="160"/>
  <c r="M276" i="160"/>
  <c r="L276" i="160"/>
  <c r="K276" i="160"/>
  <c r="H276" i="160"/>
  <c r="N275" i="160"/>
  <c r="M275" i="160"/>
  <c r="L275" i="160"/>
  <c r="K275" i="160"/>
  <c r="H275" i="160"/>
  <c r="N274" i="160"/>
  <c r="M274" i="160"/>
  <c r="L274" i="160"/>
  <c r="K274" i="160"/>
  <c r="H274" i="160"/>
  <c r="N273" i="160"/>
  <c r="M273" i="160"/>
  <c r="L273" i="160"/>
  <c r="K273" i="160"/>
  <c r="H273" i="160"/>
  <c r="N272" i="160"/>
  <c r="M272" i="160"/>
  <c r="L272" i="160"/>
  <c r="K272" i="160"/>
  <c r="H272" i="160"/>
  <c r="N271" i="160"/>
  <c r="M271" i="160"/>
  <c r="L271" i="160"/>
  <c r="K271" i="160"/>
  <c r="H271" i="160"/>
  <c r="N270" i="160"/>
  <c r="M270" i="160"/>
  <c r="L270" i="160"/>
  <c r="K270" i="160"/>
  <c r="H270" i="160"/>
  <c r="N269" i="160"/>
  <c r="M269" i="160"/>
  <c r="L269" i="160"/>
  <c r="K269" i="160"/>
  <c r="H269" i="160"/>
  <c r="N268" i="160"/>
  <c r="M268" i="160"/>
  <c r="L268" i="160"/>
  <c r="K268" i="160"/>
  <c r="H268" i="160"/>
  <c r="N267" i="160"/>
  <c r="M267" i="160"/>
  <c r="L267" i="160"/>
  <c r="K267" i="160"/>
  <c r="H267" i="160"/>
  <c r="N266" i="160"/>
  <c r="M266" i="160"/>
  <c r="L266" i="160"/>
  <c r="K266" i="160"/>
  <c r="H266" i="160"/>
  <c r="N265" i="160"/>
  <c r="M265" i="160"/>
  <c r="L265" i="160"/>
  <c r="K265" i="160"/>
  <c r="H265" i="160"/>
  <c r="N264" i="160"/>
  <c r="M264" i="160"/>
  <c r="L264" i="160"/>
  <c r="K264" i="160"/>
  <c r="H264" i="160"/>
  <c r="N263" i="160"/>
  <c r="M263" i="160"/>
  <c r="L263" i="160"/>
  <c r="K263" i="160"/>
  <c r="H263" i="160"/>
  <c r="N262" i="160"/>
  <c r="M262" i="160"/>
  <c r="L262" i="160"/>
  <c r="K262" i="160"/>
  <c r="H262" i="160"/>
  <c r="N261" i="160"/>
  <c r="M261" i="160"/>
  <c r="L261" i="160"/>
  <c r="K261" i="160"/>
  <c r="H261" i="160"/>
  <c r="N260" i="160"/>
  <c r="M260" i="160"/>
  <c r="L260" i="160"/>
  <c r="K260" i="160"/>
  <c r="H260" i="160"/>
  <c r="N259" i="160"/>
  <c r="M259" i="160"/>
  <c r="L259" i="160"/>
  <c r="K259" i="160"/>
  <c r="H259" i="160"/>
  <c r="N258" i="160"/>
  <c r="M258" i="160"/>
  <c r="L258" i="160"/>
  <c r="K258" i="160"/>
  <c r="H258" i="160"/>
  <c r="N257" i="160"/>
  <c r="M257" i="160"/>
  <c r="L257" i="160"/>
  <c r="K257" i="160"/>
  <c r="H257" i="160"/>
  <c r="N256" i="160"/>
  <c r="M256" i="160"/>
  <c r="L256" i="160"/>
  <c r="K256" i="160"/>
  <c r="H256" i="160"/>
  <c r="N255" i="160"/>
  <c r="M255" i="160"/>
  <c r="L255" i="160"/>
  <c r="K255" i="160"/>
  <c r="H255" i="160"/>
  <c r="N254" i="160"/>
  <c r="M254" i="160"/>
  <c r="L254" i="160"/>
  <c r="K254" i="160"/>
  <c r="H254" i="160"/>
  <c r="N253" i="160"/>
  <c r="M253" i="160"/>
  <c r="L253" i="160"/>
  <c r="K253" i="160"/>
  <c r="H253" i="160"/>
  <c r="N252" i="160"/>
  <c r="M252" i="160"/>
  <c r="L252" i="160"/>
  <c r="K252" i="160"/>
  <c r="H252" i="160"/>
  <c r="N251" i="160"/>
  <c r="M251" i="160"/>
  <c r="L251" i="160"/>
  <c r="K251" i="160"/>
  <c r="H251" i="160"/>
  <c r="N250" i="160"/>
  <c r="M250" i="160"/>
  <c r="L250" i="160"/>
  <c r="K250" i="160"/>
  <c r="H250" i="160"/>
  <c r="N249" i="160"/>
  <c r="M249" i="160"/>
  <c r="L249" i="160"/>
  <c r="K249" i="160"/>
  <c r="H249" i="160"/>
  <c r="N248" i="160"/>
  <c r="M248" i="160"/>
  <c r="L248" i="160"/>
  <c r="K248" i="160"/>
  <c r="H248" i="160"/>
  <c r="N247" i="160"/>
  <c r="M247" i="160"/>
  <c r="L247" i="160"/>
  <c r="K247" i="160"/>
  <c r="H247" i="160"/>
  <c r="N246" i="160"/>
  <c r="M246" i="160"/>
  <c r="L246" i="160"/>
  <c r="K246" i="160"/>
  <c r="H246" i="160"/>
  <c r="N245" i="160"/>
  <c r="M245" i="160"/>
  <c r="L245" i="160"/>
  <c r="K245" i="160"/>
  <c r="H245" i="160"/>
  <c r="N244" i="160"/>
  <c r="M244" i="160"/>
  <c r="L244" i="160"/>
  <c r="K244" i="160"/>
  <c r="H244" i="160"/>
  <c r="N243" i="160"/>
  <c r="M243" i="160"/>
  <c r="L243" i="160"/>
  <c r="K243" i="160"/>
  <c r="H243" i="160"/>
  <c r="N242" i="160"/>
  <c r="M242" i="160"/>
  <c r="L242" i="160"/>
  <c r="K242" i="160"/>
  <c r="H242" i="160"/>
  <c r="N241" i="160"/>
  <c r="M241" i="160"/>
  <c r="L241" i="160"/>
  <c r="K241" i="160"/>
  <c r="H241" i="160"/>
  <c r="N240" i="160"/>
  <c r="M240" i="160"/>
  <c r="L240" i="160"/>
  <c r="K240" i="160"/>
  <c r="H240" i="160"/>
  <c r="N239" i="160"/>
  <c r="M239" i="160"/>
  <c r="L239" i="160"/>
  <c r="K239" i="160"/>
  <c r="H239" i="160"/>
  <c r="N238" i="160"/>
  <c r="M238" i="160"/>
  <c r="L238" i="160"/>
  <c r="K238" i="160"/>
  <c r="H238" i="160"/>
  <c r="N237" i="160"/>
  <c r="M237" i="160"/>
  <c r="L237" i="160"/>
  <c r="K237" i="160"/>
  <c r="H237" i="160"/>
  <c r="N236" i="160"/>
  <c r="M236" i="160"/>
  <c r="L236" i="160"/>
  <c r="K236" i="160"/>
  <c r="H236" i="160"/>
  <c r="N235" i="160"/>
  <c r="M235" i="160"/>
  <c r="L235" i="160"/>
  <c r="K235" i="160"/>
  <c r="H235" i="160"/>
  <c r="N234" i="160"/>
  <c r="M234" i="160"/>
  <c r="L234" i="160"/>
  <c r="K234" i="160"/>
  <c r="H234" i="160"/>
  <c r="N233" i="160"/>
  <c r="M233" i="160"/>
  <c r="L233" i="160"/>
  <c r="K233" i="160"/>
  <c r="H233" i="160"/>
  <c r="N232" i="160"/>
  <c r="M232" i="160"/>
  <c r="L232" i="160"/>
  <c r="K232" i="160"/>
  <c r="H232" i="160"/>
  <c r="N231" i="160"/>
  <c r="M231" i="160"/>
  <c r="L231" i="160"/>
  <c r="K231" i="160"/>
  <c r="H231" i="160"/>
  <c r="N230" i="160"/>
  <c r="M230" i="160"/>
  <c r="L230" i="160"/>
  <c r="K230" i="160"/>
  <c r="H230" i="160"/>
  <c r="N229" i="160"/>
  <c r="M229" i="160"/>
  <c r="L229" i="160"/>
  <c r="K229" i="160"/>
  <c r="H229" i="160"/>
  <c r="N228" i="160"/>
  <c r="M228" i="160"/>
  <c r="L228" i="160"/>
  <c r="K228" i="160"/>
  <c r="H228" i="160"/>
  <c r="N227" i="160"/>
  <c r="M227" i="160"/>
  <c r="L227" i="160"/>
  <c r="K227" i="160"/>
  <c r="H227" i="160"/>
  <c r="N226" i="160"/>
  <c r="M226" i="160"/>
  <c r="L226" i="160"/>
  <c r="K226" i="160"/>
  <c r="H226" i="160"/>
  <c r="N225" i="160"/>
  <c r="M225" i="160"/>
  <c r="L225" i="160"/>
  <c r="K225" i="160"/>
  <c r="H225" i="160"/>
  <c r="N224" i="160"/>
  <c r="M224" i="160"/>
  <c r="L224" i="160"/>
  <c r="K224" i="160"/>
  <c r="H224" i="160"/>
  <c r="N223" i="160"/>
  <c r="M223" i="160"/>
  <c r="L223" i="160"/>
  <c r="K223" i="160"/>
  <c r="H223" i="160"/>
  <c r="N222" i="160"/>
  <c r="M222" i="160"/>
  <c r="L222" i="160"/>
  <c r="K222" i="160"/>
  <c r="H222" i="160"/>
  <c r="N221" i="160"/>
  <c r="M221" i="160"/>
  <c r="L221" i="160"/>
  <c r="K221" i="160"/>
  <c r="H221" i="160"/>
  <c r="N220" i="160"/>
  <c r="M220" i="160"/>
  <c r="L220" i="160"/>
  <c r="K220" i="160"/>
  <c r="H220" i="160"/>
  <c r="N219" i="160"/>
  <c r="M219" i="160"/>
  <c r="L219" i="160"/>
  <c r="K219" i="160"/>
  <c r="H219" i="160"/>
  <c r="N218" i="160"/>
  <c r="M218" i="160"/>
  <c r="L218" i="160"/>
  <c r="K218" i="160"/>
  <c r="H218" i="160"/>
  <c r="N217" i="160"/>
  <c r="M217" i="160"/>
  <c r="L217" i="160"/>
  <c r="K217" i="160"/>
  <c r="H217" i="160"/>
  <c r="N216" i="160"/>
  <c r="M216" i="160"/>
  <c r="L216" i="160"/>
  <c r="K216" i="160"/>
  <c r="H216" i="160"/>
  <c r="N215" i="160"/>
  <c r="M215" i="160"/>
  <c r="L215" i="160"/>
  <c r="K215" i="160"/>
  <c r="H215" i="160"/>
  <c r="N214" i="160"/>
  <c r="M214" i="160"/>
  <c r="L214" i="160"/>
  <c r="K214" i="160"/>
  <c r="H214" i="160"/>
  <c r="N213" i="160"/>
  <c r="M213" i="160"/>
  <c r="L213" i="160"/>
  <c r="K213" i="160"/>
  <c r="H213" i="160"/>
  <c r="N212" i="160"/>
  <c r="M212" i="160"/>
  <c r="L212" i="160"/>
  <c r="K212" i="160"/>
  <c r="H212" i="160"/>
  <c r="N211" i="160"/>
  <c r="M211" i="160"/>
  <c r="L211" i="160"/>
  <c r="K211" i="160"/>
  <c r="H211" i="160"/>
  <c r="N210" i="160"/>
  <c r="M210" i="160"/>
  <c r="L210" i="160"/>
  <c r="K210" i="160"/>
  <c r="H210" i="160"/>
  <c r="N209" i="160"/>
  <c r="M209" i="160"/>
  <c r="L209" i="160"/>
  <c r="K209" i="160"/>
  <c r="H209" i="160"/>
  <c r="N208" i="160"/>
  <c r="M208" i="160"/>
  <c r="L208" i="160"/>
  <c r="K208" i="160"/>
  <c r="H208" i="160"/>
  <c r="N207" i="160"/>
  <c r="M207" i="160"/>
  <c r="L207" i="160"/>
  <c r="K207" i="160"/>
  <c r="H207" i="160"/>
  <c r="N206" i="160"/>
  <c r="M206" i="160"/>
  <c r="L206" i="160"/>
  <c r="K206" i="160"/>
  <c r="H206" i="160"/>
  <c r="N205" i="160"/>
  <c r="M205" i="160"/>
  <c r="L205" i="160"/>
  <c r="K205" i="160"/>
  <c r="H205" i="160"/>
  <c r="N204" i="160"/>
  <c r="M204" i="160"/>
  <c r="L204" i="160"/>
  <c r="K204" i="160"/>
  <c r="H204" i="160"/>
  <c r="N203" i="160"/>
  <c r="M203" i="160"/>
  <c r="L203" i="160"/>
  <c r="K203" i="160"/>
  <c r="H203" i="160"/>
  <c r="N202" i="160"/>
  <c r="M202" i="160"/>
  <c r="L202" i="160"/>
  <c r="K202" i="160"/>
  <c r="H202" i="160"/>
  <c r="N201" i="160"/>
  <c r="M201" i="160"/>
  <c r="L201" i="160"/>
  <c r="K201" i="160"/>
  <c r="H201" i="160"/>
  <c r="N200" i="160"/>
  <c r="M200" i="160"/>
  <c r="L200" i="160"/>
  <c r="K200" i="160"/>
  <c r="H200" i="160"/>
  <c r="N199" i="160"/>
  <c r="M199" i="160"/>
  <c r="L199" i="160"/>
  <c r="K199" i="160"/>
  <c r="H199" i="160"/>
  <c r="N198" i="160"/>
  <c r="M198" i="160"/>
  <c r="L198" i="160"/>
  <c r="K198" i="160"/>
  <c r="H198" i="160"/>
  <c r="N197" i="160"/>
  <c r="M197" i="160"/>
  <c r="L197" i="160"/>
  <c r="K197" i="160"/>
  <c r="H197" i="160"/>
  <c r="N196" i="160"/>
  <c r="M196" i="160"/>
  <c r="L196" i="160"/>
  <c r="K196" i="160"/>
  <c r="H196" i="160"/>
  <c r="N195" i="160"/>
  <c r="M195" i="160"/>
  <c r="L195" i="160"/>
  <c r="K195" i="160"/>
  <c r="H195" i="160"/>
  <c r="N194" i="160"/>
  <c r="M194" i="160"/>
  <c r="L194" i="160"/>
  <c r="K194" i="160"/>
  <c r="H194" i="160"/>
  <c r="N193" i="160"/>
  <c r="M193" i="160"/>
  <c r="L193" i="160"/>
  <c r="K193" i="160"/>
  <c r="H193" i="160"/>
  <c r="N192" i="160"/>
  <c r="M192" i="160"/>
  <c r="L192" i="160"/>
  <c r="K192" i="160"/>
  <c r="H192" i="160"/>
  <c r="N191" i="160"/>
  <c r="M191" i="160"/>
  <c r="L191" i="160"/>
  <c r="K191" i="160"/>
  <c r="H191" i="160"/>
  <c r="N190" i="160"/>
  <c r="M190" i="160"/>
  <c r="L190" i="160"/>
  <c r="K190" i="160"/>
  <c r="H190" i="160"/>
  <c r="N189" i="160"/>
  <c r="M189" i="160"/>
  <c r="L189" i="160"/>
  <c r="K189" i="160"/>
  <c r="H189" i="160"/>
  <c r="N188" i="160"/>
  <c r="M188" i="160"/>
  <c r="L188" i="160"/>
  <c r="K188" i="160"/>
  <c r="H188" i="160"/>
  <c r="N187" i="160"/>
  <c r="M187" i="160"/>
  <c r="L187" i="160"/>
  <c r="K187" i="160"/>
  <c r="H187" i="160"/>
  <c r="N186" i="160"/>
  <c r="M186" i="160"/>
  <c r="L186" i="160"/>
  <c r="K186" i="160"/>
  <c r="H186" i="160"/>
  <c r="N185" i="160"/>
  <c r="M185" i="160"/>
  <c r="L185" i="160"/>
  <c r="K185" i="160"/>
  <c r="H185" i="160"/>
  <c r="N184" i="160"/>
  <c r="M184" i="160"/>
  <c r="L184" i="160"/>
  <c r="K184" i="160"/>
  <c r="H184" i="160"/>
  <c r="N183" i="160"/>
  <c r="M183" i="160"/>
  <c r="L183" i="160"/>
  <c r="K183" i="160"/>
  <c r="H183" i="160"/>
  <c r="N182" i="160"/>
  <c r="M182" i="160"/>
  <c r="L182" i="160"/>
  <c r="K182" i="160"/>
  <c r="H182" i="160"/>
  <c r="N181" i="160"/>
  <c r="M181" i="160"/>
  <c r="L181" i="160"/>
  <c r="K181" i="160"/>
  <c r="H181" i="160"/>
  <c r="N180" i="160"/>
  <c r="M180" i="160"/>
  <c r="L180" i="160"/>
  <c r="K180" i="160"/>
  <c r="H180" i="160"/>
  <c r="N179" i="160"/>
  <c r="M179" i="160"/>
  <c r="L179" i="160"/>
  <c r="K179" i="160"/>
  <c r="H179" i="160"/>
  <c r="N178" i="160"/>
  <c r="M178" i="160"/>
  <c r="L178" i="160"/>
  <c r="K178" i="160"/>
  <c r="H178" i="160"/>
  <c r="N177" i="160"/>
  <c r="M177" i="160"/>
  <c r="L177" i="160"/>
  <c r="K177" i="160"/>
  <c r="H177" i="160"/>
  <c r="N176" i="160"/>
  <c r="M176" i="160"/>
  <c r="L176" i="160"/>
  <c r="K176" i="160"/>
  <c r="H176" i="160"/>
  <c r="N175" i="160"/>
  <c r="M175" i="160"/>
  <c r="L175" i="160"/>
  <c r="K175" i="160"/>
  <c r="H175" i="160"/>
  <c r="N174" i="160"/>
  <c r="M174" i="160"/>
  <c r="L174" i="160"/>
  <c r="K174" i="160"/>
  <c r="H174" i="160"/>
  <c r="N173" i="160"/>
  <c r="M173" i="160"/>
  <c r="L173" i="160"/>
  <c r="K173" i="160"/>
  <c r="H173" i="160"/>
  <c r="N172" i="160"/>
  <c r="M172" i="160"/>
  <c r="L172" i="160"/>
  <c r="K172" i="160"/>
  <c r="H172" i="160"/>
  <c r="N171" i="160"/>
  <c r="M171" i="160"/>
  <c r="L171" i="160"/>
  <c r="K171" i="160"/>
  <c r="H171" i="160"/>
  <c r="N170" i="160"/>
  <c r="M170" i="160"/>
  <c r="L170" i="160"/>
  <c r="K170" i="160"/>
  <c r="H170" i="160"/>
  <c r="N169" i="160"/>
  <c r="M169" i="160"/>
  <c r="L169" i="160"/>
  <c r="K169" i="160"/>
  <c r="H169" i="160"/>
  <c r="N168" i="160"/>
  <c r="M168" i="160"/>
  <c r="L168" i="160"/>
  <c r="K168" i="160"/>
  <c r="H168" i="160"/>
  <c r="N167" i="160"/>
  <c r="M167" i="160"/>
  <c r="L167" i="160"/>
  <c r="K167" i="160"/>
  <c r="H167" i="160"/>
  <c r="N166" i="160"/>
  <c r="M166" i="160"/>
  <c r="L166" i="160"/>
  <c r="K166" i="160"/>
  <c r="H166" i="160"/>
  <c r="N165" i="160"/>
  <c r="M165" i="160"/>
  <c r="L165" i="160"/>
  <c r="K165" i="160"/>
  <c r="H165" i="160"/>
  <c r="N164" i="160"/>
  <c r="M164" i="160"/>
  <c r="L164" i="160"/>
  <c r="K164" i="160"/>
  <c r="H164" i="160"/>
  <c r="N163" i="160"/>
  <c r="M163" i="160"/>
  <c r="L163" i="160"/>
  <c r="K163" i="160"/>
  <c r="H163" i="160"/>
  <c r="N162" i="160"/>
  <c r="M162" i="160"/>
  <c r="L162" i="160"/>
  <c r="K162" i="160"/>
  <c r="H162" i="160"/>
  <c r="N161" i="160"/>
  <c r="M161" i="160"/>
  <c r="L161" i="160"/>
  <c r="K161" i="160"/>
  <c r="H161" i="160"/>
  <c r="N160" i="160"/>
  <c r="M160" i="160"/>
  <c r="L160" i="160"/>
  <c r="K160" i="160"/>
  <c r="H160" i="160"/>
  <c r="N159" i="160"/>
  <c r="M159" i="160"/>
  <c r="L159" i="160"/>
  <c r="K159" i="160"/>
  <c r="H159" i="160"/>
  <c r="N158" i="160"/>
  <c r="M158" i="160"/>
  <c r="L158" i="160"/>
  <c r="K158" i="160"/>
  <c r="H158" i="160"/>
  <c r="N157" i="160"/>
  <c r="M157" i="160"/>
  <c r="L157" i="160"/>
  <c r="K157" i="160"/>
  <c r="H157" i="160"/>
  <c r="N156" i="160"/>
  <c r="M156" i="160"/>
  <c r="L156" i="160"/>
  <c r="K156" i="160"/>
  <c r="H156" i="160"/>
  <c r="N155" i="160"/>
  <c r="M155" i="160"/>
  <c r="L155" i="160"/>
  <c r="K155" i="160"/>
  <c r="H155" i="160"/>
  <c r="N154" i="160"/>
  <c r="M154" i="160"/>
  <c r="L154" i="160"/>
  <c r="K154" i="160"/>
  <c r="H154" i="160"/>
  <c r="N153" i="160"/>
  <c r="M153" i="160"/>
  <c r="L153" i="160"/>
  <c r="K153" i="160"/>
  <c r="H153" i="160"/>
  <c r="N152" i="160"/>
  <c r="M152" i="160"/>
  <c r="L152" i="160"/>
  <c r="K152" i="160"/>
  <c r="H152" i="160"/>
  <c r="N151" i="160"/>
  <c r="M151" i="160"/>
  <c r="L151" i="160"/>
  <c r="K151" i="160"/>
  <c r="H151" i="160"/>
  <c r="N150" i="160"/>
  <c r="M150" i="160"/>
  <c r="L150" i="160"/>
  <c r="K150" i="160"/>
  <c r="H150" i="160"/>
  <c r="N149" i="160"/>
  <c r="M149" i="160"/>
  <c r="L149" i="160"/>
  <c r="K149" i="160"/>
  <c r="H149" i="160"/>
  <c r="N148" i="160"/>
  <c r="M148" i="160"/>
  <c r="L148" i="160"/>
  <c r="K148" i="160"/>
  <c r="H148" i="160"/>
  <c r="N147" i="160"/>
  <c r="M147" i="160"/>
  <c r="L147" i="160"/>
  <c r="K147" i="160"/>
  <c r="H147" i="160"/>
  <c r="N146" i="160"/>
  <c r="M146" i="160"/>
  <c r="L146" i="160"/>
  <c r="K146" i="160"/>
  <c r="H146" i="160"/>
  <c r="N145" i="160"/>
  <c r="M145" i="160"/>
  <c r="L145" i="160"/>
  <c r="K145" i="160"/>
  <c r="H145" i="160"/>
  <c r="N144" i="160"/>
  <c r="M144" i="160"/>
  <c r="L144" i="160"/>
  <c r="K144" i="160"/>
  <c r="H144" i="160"/>
  <c r="N143" i="160"/>
  <c r="M143" i="160"/>
  <c r="L143" i="160"/>
  <c r="K143" i="160"/>
  <c r="H143" i="160"/>
  <c r="N142" i="160"/>
  <c r="M142" i="160"/>
  <c r="L142" i="160"/>
  <c r="K142" i="160"/>
  <c r="H142" i="160"/>
  <c r="N141" i="160"/>
  <c r="M141" i="160"/>
  <c r="L141" i="160"/>
  <c r="K141" i="160"/>
  <c r="H141" i="160"/>
  <c r="N140" i="160"/>
  <c r="M140" i="160"/>
  <c r="L140" i="160"/>
  <c r="K140" i="160"/>
  <c r="H140" i="160"/>
  <c r="N139" i="160"/>
  <c r="M139" i="160"/>
  <c r="L139" i="160"/>
  <c r="K139" i="160"/>
  <c r="H139" i="160"/>
  <c r="N138" i="160"/>
  <c r="M138" i="160"/>
  <c r="L138" i="160"/>
  <c r="K138" i="160"/>
  <c r="H138" i="160"/>
  <c r="N137" i="160"/>
  <c r="M137" i="160"/>
  <c r="L137" i="160"/>
  <c r="K137" i="160"/>
  <c r="H137" i="160"/>
  <c r="N136" i="160"/>
  <c r="M136" i="160"/>
  <c r="L136" i="160"/>
  <c r="K136" i="160"/>
  <c r="H136" i="160"/>
  <c r="N135" i="160"/>
  <c r="M135" i="160"/>
  <c r="L135" i="160"/>
  <c r="K135" i="160"/>
  <c r="H135" i="160"/>
  <c r="N134" i="160"/>
  <c r="M134" i="160"/>
  <c r="L134" i="160"/>
  <c r="K134" i="160"/>
  <c r="H134" i="160"/>
  <c r="N133" i="160"/>
  <c r="M133" i="160"/>
  <c r="L133" i="160"/>
  <c r="K133" i="160"/>
  <c r="H133" i="160"/>
  <c r="N132" i="160"/>
  <c r="M132" i="160"/>
  <c r="L132" i="160"/>
  <c r="K132" i="160"/>
  <c r="H132" i="160"/>
  <c r="N131" i="160"/>
  <c r="M131" i="160"/>
  <c r="L131" i="160"/>
  <c r="K131" i="160"/>
  <c r="H131" i="160"/>
  <c r="N130" i="160"/>
  <c r="M130" i="160"/>
  <c r="L130" i="160"/>
  <c r="K130" i="160"/>
  <c r="H130" i="160"/>
  <c r="N129" i="160"/>
  <c r="M129" i="160"/>
  <c r="L129" i="160"/>
  <c r="K129" i="160"/>
  <c r="H129" i="160"/>
  <c r="N128" i="160"/>
  <c r="M128" i="160"/>
  <c r="L128" i="160"/>
  <c r="K128" i="160"/>
  <c r="H128" i="160"/>
  <c r="N127" i="160"/>
  <c r="M127" i="160"/>
  <c r="L127" i="160"/>
  <c r="K127" i="160"/>
  <c r="H127" i="160"/>
  <c r="N126" i="160"/>
  <c r="M126" i="160"/>
  <c r="L126" i="160"/>
  <c r="K126" i="160"/>
  <c r="H126" i="160"/>
  <c r="N125" i="160"/>
  <c r="M125" i="160"/>
  <c r="L125" i="160"/>
  <c r="K125" i="160"/>
  <c r="H125" i="160"/>
  <c r="N124" i="160"/>
  <c r="M124" i="160"/>
  <c r="L124" i="160"/>
  <c r="K124" i="160"/>
  <c r="H124" i="160"/>
  <c r="N123" i="160"/>
  <c r="M123" i="160"/>
  <c r="L123" i="160"/>
  <c r="K123" i="160"/>
  <c r="H123" i="160"/>
  <c r="N122" i="160"/>
  <c r="M122" i="160"/>
  <c r="L122" i="160"/>
  <c r="K122" i="160"/>
  <c r="H122" i="160"/>
  <c r="N121" i="160"/>
  <c r="M121" i="160"/>
  <c r="L121" i="160"/>
  <c r="K121" i="160"/>
  <c r="H121" i="160"/>
  <c r="N120" i="160"/>
  <c r="M120" i="160"/>
  <c r="L120" i="160"/>
  <c r="K120" i="160"/>
  <c r="H120" i="160"/>
  <c r="N119" i="160"/>
  <c r="M119" i="160"/>
  <c r="L119" i="160"/>
  <c r="K119" i="160"/>
  <c r="H119" i="160"/>
  <c r="N118" i="160"/>
  <c r="M118" i="160"/>
  <c r="L118" i="160"/>
  <c r="K118" i="160"/>
  <c r="H118" i="160"/>
  <c r="N117" i="160"/>
  <c r="M117" i="160"/>
  <c r="L117" i="160"/>
  <c r="K117" i="160"/>
  <c r="H117" i="160"/>
  <c r="N116" i="160"/>
  <c r="M116" i="160"/>
  <c r="L116" i="160"/>
  <c r="K116" i="160"/>
  <c r="H116" i="160"/>
  <c r="N115" i="160"/>
  <c r="M115" i="160"/>
  <c r="L115" i="160"/>
  <c r="K115" i="160"/>
  <c r="H115" i="160"/>
  <c r="N114" i="160"/>
  <c r="M114" i="160"/>
  <c r="L114" i="160"/>
  <c r="K114" i="160"/>
  <c r="H114" i="160"/>
  <c r="N113" i="160"/>
  <c r="M113" i="160"/>
  <c r="L113" i="160"/>
  <c r="K113" i="160"/>
  <c r="H113" i="160"/>
  <c r="N112" i="160"/>
  <c r="M112" i="160"/>
  <c r="L112" i="160"/>
  <c r="K112" i="160"/>
  <c r="H112" i="160"/>
  <c r="N111" i="160"/>
  <c r="M111" i="160"/>
  <c r="L111" i="160"/>
  <c r="K111" i="160"/>
  <c r="H111" i="160"/>
  <c r="N110" i="160"/>
  <c r="M110" i="160"/>
  <c r="L110" i="160"/>
  <c r="K110" i="160"/>
  <c r="H110" i="160"/>
  <c r="N109" i="160"/>
  <c r="M109" i="160"/>
  <c r="L109" i="160"/>
  <c r="K109" i="160"/>
  <c r="H109" i="160"/>
  <c r="N108" i="160"/>
  <c r="M108" i="160"/>
  <c r="L108" i="160"/>
  <c r="K108" i="160"/>
  <c r="H108" i="160"/>
  <c r="N107" i="160"/>
  <c r="M107" i="160"/>
  <c r="L107" i="160"/>
  <c r="K107" i="160"/>
  <c r="H107" i="160"/>
  <c r="N106" i="160"/>
  <c r="M106" i="160"/>
  <c r="L106" i="160"/>
  <c r="K106" i="160"/>
  <c r="H106" i="160"/>
  <c r="N105" i="160"/>
  <c r="M105" i="160"/>
  <c r="L105" i="160"/>
  <c r="K105" i="160"/>
  <c r="H105" i="160"/>
  <c r="N104" i="160"/>
  <c r="M104" i="160"/>
  <c r="L104" i="160"/>
  <c r="K104" i="160"/>
  <c r="H104" i="160"/>
  <c r="N103" i="160"/>
  <c r="M103" i="160"/>
  <c r="L103" i="160"/>
  <c r="K103" i="160"/>
  <c r="H103" i="160"/>
  <c r="N102" i="160"/>
  <c r="M102" i="160"/>
  <c r="L102" i="160"/>
  <c r="K102" i="160"/>
  <c r="H102" i="160"/>
  <c r="N101" i="160"/>
  <c r="M101" i="160"/>
  <c r="L101" i="160"/>
  <c r="K101" i="160"/>
  <c r="H101" i="160"/>
  <c r="N100" i="160"/>
  <c r="M100" i="160"/>
  <c r="L100" i="160"/>
  <c r="K100" i="160"/>
  <c r="H100" i="160"/>
  <c r="N99" i="160"/>
  <c r="M99" i="160"/>
  <c r="L99" i="160"/>
  <c r="K99" i="160"/>
  <c r="H99" i="160"/>
  <c r="N98" i="160"/>
  <c r="M98" i="160"/>
  <c r="L98" i="160"/>
  <c r="K98" i="160"/>
  <c r="H98" i="160"/>
  <c r="N97" i="160"/>
  <c r="M97" i="160"/>
  <c r="L97" i="160"/>
  <c r="K97" i="160"/>
  <c r="H97" i="160"/>
  <c r="N96" i="160"/>
  <c r="M96" i="160"/>
  <c r="L96" i="160"/>
  <c r="K96" i="160"/>
  <c r="H96" i="160"/>
  <c r="N95" i="160"/>
  <c r="M95" i="160"/>
  <c r="L95" i="160"/>
  <c r="K95" i="160"/>
  <c r="H95" i="160"/>
  <c r="N94" i="160"/>
  <c r="M94" i="160"/>
  <c r="L94" i="160"/>
  <c r="K94" i="160"/>
  <c r="H94" i="160"/>
  <c r="N93" i="160"/>
  <c r="M93" i="160"/>
  <c r="L93" i="160"/>
  <c r="K93" i="160"/>
  <c r="H93" i="160"/>
  <c r="N92" i="160"/>
  <c r="M92" i="160"/>
  <c r="L92" i="160"/>
  <c r="K92" i="160"/>
  <c r="H92" i="160"/>
  <c r="N91" i="160"/>
  <c r="M91" i="160"/>
  <c r="L91" i="160"/>
  <c r="K91" i="160"/>
  <c r="H91" i="160"/>
  <c r="N90" i="160"/>
  <c r="M90" i="160"/>
  <c r="L90" i="160"/>
  <c r="K90" i="160"/>
  <c r="H90" i="160"/>
  <c r="N89" i="160"/>
  <c r="M89" i="160"/>
  <c r="L89" i="160"/>
  <c r="K89" i="160"/>
  <c r="H89" i="160"/>
  <c r="N88" i="160"/>
  <c r="M88" i="160"/>
  <c r="L88" i="160"/>
  <c r="K88" i="160"/>
  <c r="H88" i="160"/>
  <c r="N87" i="160"/>
  <c r="M87" i="160"/>
  <c r="L87" i="160"/>
  <c r="K87" i="160"/>
  <c r="H87" i="160"/>
  <c r="N86" i="160"/>
  <c r="M86" i="160"/>
  <c r="L86" i="160"/>
  <c r="K86" i="160"/>
  <c r="H86" i="160"/>
  <c r="N85" i="160"/>
  <c r="M85" i="160"/>
  <c r="L85" i="160"/>
  <c r="K85" i="160"/>
  <c r="H85" i="160"/>
  <c r="N84" i="160"/>
  <c r="M84" i="160"/>
  <c r="L84" i="160"/>
  <c r="K84" i="160"/>
  <c r="H84" i="160"/>
  <c r="N83" i="160"/>
  <c r="M83" i="160"/>
  <c r="L83" i="160"/>
  <c r="K83" i="160"/>
  <c r="H83" i="160"/>
  <c r="N82" i="160"/>
  <c r="M82" i="160"/>
  <c r="L82" i="160"/>
  <c r="K82" i="160"/>
  <c r="H82" i="160"/>
  <c r="N81" i="160"/>
  <c r="M81" i="160"/>
  <c r="L81" i="160"/>
  <c r="K81" i="160"/>
  <c r="H81" i="160"/>
  <c r="N80" i="160"/>
  <c r="M80" i="160"/>
  <c r="L80" i="160"/>
  <c r="K80" i="160"/>
  <c r="H80" i="160"/>
  <c r="N79" i="160"/>
  <c r="M79" i="160"/>
  <c r="L79" i="160"/>
  <c r="K79" i="160"/>
  <c r="H79" i="160"/>
  <c r="N78" i="160"/>
  <c r="M78" i="160"/>
  <c r="L78" i="160"/>
  <c r="K78" i="160"/>
  <c r="H78" i="160"/>
  <c r="N77" i="160"/>
  <c r="M77" i="160"/>
  <c r="L77" i="160"/>
  <c r="K77" i="160"/>
  <c r="H77" i="160"/>
  <c r="N76" i="160"/>
  <c r="M76" i="160"/>
  <c r="L76" i="160"/>
  <c r="K76" i="160"/>
  <c r="H76" i="160"/>
  <c r="N75" i="160"/>
  <c r="M75" i="160"/>
  <c r="L75" i="160"/>
  <c r="K75" i="160"/>
  <c r="H75" i="160"/>
  <c r="N74" i="160"/>
  <c r="M74" i="160"/>
  <c r="L74" i="160"/>
  <c r="K74" i="160"/>
  <c r="H74" i="160"/>
  <c r="N73" i="160"/>
  <c r="M73" i="160"/>
  <c r="L73" i="160"/>
  <c r="K73" i="160"/>
  <c r="H73" i="160"/>
  <c r="N72" i="160"/>
  <c r="M72" i="160"/>
  <c r="L72" i="160"/>
  <c r="K72" i="160"/>
  <c r="H72" i="160"/>
  <c r="N71" i="160"/>
  <c r="M71" i="160"/>
  <c r="L71" i="160"/>
  <c r="K71" i="160"/>
  <c r="H71" i="160"/>
  <c r="N70" i="160"/>
  <c r="M70" i="160"/>
  <c r="L70" i="160"/>
  <c r="K70" i="160"/>
  <c r="H70" i="160"/>
  <c r="N69" i="160"/>
  <c r="M69" i="160"/>
  <c r="L69" i="160"/>
  <c r="K69" i="160"/>
  <c r="H69" i="160"/>
  <c r="N68" i="160"/>
  <c r="M68" i="160"/>
  <c r="L68" i="160"/>
  <c r="K68" i="160"/>
  <c r="H68" i="160"/>
  <c r="N67" i="160"/>
  <c r="M67" i="160"/>
  <c r="L67" i="160"/>
  <c r="K67" i="160"/>
  <c r="H67" i="160"/>
  <c r="N66" i="160"/>
  <c r="M66" i="160"/>
  <c r="L66" i="160"/>
  <c r="K66" i="160"/>
  <c r="H66" i="160"/>
  <c r="N65" i="160"/>
  <c r="M65" i="160"/>
  <c r="L65" i="160"/>
  <c r="K65" i="160"/>
  <c r="H65" i="160"/>
  <c r="N64" i="160"/>
  <c r="M64" i="160"/>
  <c r="L64" i="160"/>
  <c r="K64" i="160"/>
  <c r="H64" i="160"/>
  <c r="N63" i="160"/>
  <c r="M63" i="160"/>
  <c r="L63" i="160"/>
  <c r="K63" i="160"/>
  <c r="H63" i="160"/>
  <c r="N62" i="160"/>
  <c r="M62" i="160"/>
  <c r="L62" i="160"/>
  <c r="K62" i="160"/>
  <c r="H62" i="160"/>
  <c r="N61" i="160"/>
  <c r="M61" i="160"/>
  <c r="L61" i="160"/>
  <c r="K61" i="160"/>
  <c r="H61" i="160"/>
  <c r="N60" i="160"/>
  <c r="M60" i="160"/>
  <c r="L60" i="160"/>
  <c r="K60" i="160"/>
  <c r="H60" i="160"/>
  <c r="N59" i="160"/>
  <c r="M59" i="160"/>
  <c r="L59" i="160"/>
  <c r="K59" i="160"/>
  <c r="H59" i="160"/>
  <c r="N58" i="160"/>
  <c r="M58" i="160"/>
  <c r="L58" i="160"/>
  <c r="K58" i="160"/>
  <c r="H58" i="160"/>
  <c r="N57" i="160"/>
  <c r="M57" i="160"/>
  <c r="L57" i="160"/>
  <c r="K57" i="160"/>
  <c r="H57" i="160"/>
  <c r="N56" i="160"/>
  <c r="M56" i="160"/>
  <c r="L56" i="160"/>
  <c r="K56" i="160"/>
  <c r="H56" i="160"/>
  <c r="N55" i="160"/>
  <c r="M55" i="160"/>
  <c r="L55" i="160"/>
  <c r="K55" i="160"/>
  <c r="H55" i="160"/>
  <c r="N54" i="160"/>
  <c r="M54" i="160"/>
  <c r="L54" i="160"/>
  <c r="K54" i="160"/>
  <c r="H54" i="160"/>
  <c r="N53" i="160"/>
  <c r="M53" i="160"/>
  <c r="L53" i="160"/>
  <c r="K53" i="160"/>
  <c r="H53" i="160"/>
  <c r="N52" i="160"/>
  <c r="M52" i="160"/>
  <c r="L52" i="160"/>
  <c r="K52" i="160"/>
  <c r="H52" i="160"/>
  <c r="N51" i="160"/>
  <c r="M51" i="160"/>
  <c r="L51" i="160"/>
  <c r="K51" i="160"/>
  <c r="H51" i="160"/>
  <c r="N50" i="160"/>
  <c r="M50" i="160"/>
  <c r="L50" i="160"/>
  <c r="K50" i="160"/>
  <c r="H50" i="160"/>
  <c r="N49" i="160"/>
  <c r="M49" i="160"/>
  <c r="L49" i="160"/>
  <c r="K49" i="160"/>
  <c r="H49" i="160"/>
  <c r="N48" i="160"/>
  <c r="M48" i="160"/>
  <c r="L48" i="160"/>
  <c r="K48" i="160"/>
  <c r="H48" i="160"/>
  <c r="N47" i="160"/>
  <c r="M47" i="160"/>
  <c r="L47" i="160"/>
  <c r="K47" i="160"/>
  <c r="H47" i="160"/>
  <c r="N46" i="160"/>
  <c r="M46" i="160"/>
  <c r="L46" i="160"/>
  <c r="K46" i="160"/>
  <c r="H46" i="160"/>
  <c r="N45" i="160"/>
  <c r="M45" i="160"/>
  <c r="L45" i="160"/>
  <c r="K45" i="160"/>
  <c r="H45" i="160"/>
  <c r="N44" i="160"/>
  <c r="M44" i="160"/>
  <c r="L44" i="160"/>
  <c r="K44" i="160"/>
  <c r="H44" i="160"/>
  <c r="N43" i="160"/>
  <c r="M43" i="160"/>
  <c r="L43" i="160"/>
  <c r="K43" i="160"/>
  <c r="H43" i="160"/>
  <c r="N42" i="160"/>
  <c r="M42" i="160"/>
  <c r="L42" i="160"/>
  <c r="K42" i="160"/>
  <c r="H42" i="160"/>
  <c r="N41" i="160"/>
  <c r="M41" i="160"/>
  <c r="L41" i="160"/>
  <c r="K41" i="160"/>
  <c r="H41" i="160"/>
  <c r="N40" i="160"/>
  <c r="M40" i="160"/>
  <c r="L40" i="160"/>
  <c r="K40" i="160"/>
  <c r="H40" i="160"/>
  <c r="N39" i="160"/>
  <c r="M39" i="160"/>
  <c r="L39" i="160"/>
  <c r="K39" i="160"/>
  <c r="H39" i="160"/>
  <c r="N38" i="160"/>
  <c r="M38" i="160"/>
  <c r="L38" i="160"/>
  <c r="K38" i="160"/>
  <c r="H38" i="160"/>
  <c r="N37" i="160"/>
  <c r="M37" i="160"/>
  <c r="L37" i="160"/>
  <c r="K37" i="160"/>
  <c r="H37" i="160"/>
  <c r="N36" i="160"/>
  <c r="M36" i="160"/>
  <c r="L36" i="160"/>
  <c r="K36" i="160"/>
  <c r="H36" i="160"/>
  <c r="N35" i="160"/>
  <c r="M35" i="160"/>
  <c r="L35" i="160"/>
  <c r="K35" i="160"/>
  <c r="H35" i="160"/>
  <c r="N34" i="160"/>
  <c r="M34" i="160"/>
  <c r="L34" i="160"/>
  <c r="K34" i="160"/>
  <c r="H34" i="160"/>
  <c r="N33" i="160"/>
  <c r="M33" i="160"/>
  <c r="L33" i="160"/>
  <c r="K33" i="160"/>
  <c r="H33" i="160"/>
  <c r="N32" i="160"/>
  <c r="M32" i="160"/>
  <c r="L32" i="160"/>
  <c r="K32" i="160"/>
  <c r="H32" i="160"/>
  <c r="N31" i="160"/>
  <c r="M31" i="160"/>
  <c r="L31" i="160"/>
  <c r="K31" i="160"/>
  <c r="H31" i="160"/>
  <c r="N30" i="160"/>
  <c r="M30" i="160"/>
  <c r="L30" i="160"/>
  <c r="K30" i="160"/>
  <c r="H30" i="160"/>
  <c r="N29" i="160"/>
  <c r="M29" i="160"/>
  <c r="L29" i="160"/>
  <c r="K29" i="160"/>
  <c r="H29" i="160"/>
  <c r="N28" i="160"/>
  <c r="M28" i="160"/>
  <c r="L28" i="160"/>
  <c r="K28" i="160"/>
  <c r="H28" i="160"/>
  <c r="N27" i="160"/>
  <c r="M27" i="160"/>
  <c r="L27" i="160"/>
  <c r="K27" i="160"/>
  <c r="H27" i="160"/>
  <c r="N26" i="160"/>
  <c r="M26" i="160"/>
  <c r="L26" i="160"/>
  <c r="K26" i="160"/>
  <c r="H26" i="160"/>
  <c r="N25" i="160"/>
  <c r="M25" i="160"/>
  <c r="L25" i="160"/>
  <c r="K25" i="160"/>
  <c r="H25" i="160"/>
  <c r="N24" i="160"/>
  <c r="M24" i="160"/>
  <c r="L24" i="160"/>
  <c r="K24" i="160"/>
  <c r="H24" i="160"/>
  <c r="N23" i="160"/>
  <c r="M23" i="160"/>
  <c r="L23" i="160"/>
  <c r="K23" i="160"/>
  <c r="H23" i="160"/>
  <c r="N22" i="160"/>
  <c r="M22" i="160"/>
  <c r="L22" i="160"/>
  <c r="K22" i="160"/>
  <c r="H22" i="160"/>
  <c r="N21" i="160"/>
  <c r="M21" i="160"/>
  <c r="L21" i="160"/>
  <c r="K21" i="160"/>
  <c r="H21" i="160"/>
  <c r="N20" i="160"/>
  <c r="M20" i="160"/>
  <c r="L20" i="160"/>
  <c r="K20" i="160"/>
  <c r="H20" i="160"/>
  <c r="N19" i="160"/>
  <c r="M19" i="160"/>
  <c r="L19" i="160"/>
  <c r="K19" i="160"/>
  <c r="H19" i="160"/>
  <c r="N18" i="160"/>
  <c r="M18" i="160"/>
  <c r="L18" i="160"/>
  <c r="K18" i="160"/>
  <c r="H18" i="160"/>
  <c r="N17" i="160"/>
  <c r="M17" i="160"/>
  <c r="L17" i="160"/>
  <c r="K17" i="160"/>
  <c r="H17" i="160"/>
  <c r="N16" i="160"/>
  <c r="M16" i="160"/>
  <c r="L16" i="160"/>
  <c r="K16" i="160"/>
  <c r="H16" i="160"/>
  <c r="N15" i="160"/>
  <c r="M15" i="160"/>
  <c r="L15" i="160"/>
  <c r="K15" i="160"/>
  <c r="H15" i="160"/>
  <c r="N14" i="160"/>
  <c r="M14" i="160"/>
  <c r="L14" i="160"/>
  <c r="K14" i="160"/>
  <c r="H14" i="160"/>
  <c r="N13" i="160"/>
  <c r="M13" i="160"/>
  <c r="L13" i="160"/>
  <c r="K13" i="160"/>
  <c r="H13" i="160"/>
  <c r="N12" i="160"/>
  <c r="M12" i="160"/>
  <c r="L12" i="160"/>
  <c r="K12" i="160"/>
  <c r="H12" i="160"/>
  <c r="N11" i="160"/>
  <c r="M11" i="160"/>
  <c r="L11" i="160"/>
  <c r="K11" i="160"/>
  <c r="H11" i="160"/>
  <c r="N10" i="160"/>
  <c r="M10" i="160"/>
  <c r="L10" i="160"/>
  <c r="K10" i="160"/>
  <c r="H10" i="160"/>
  <c r="N9" i="160"/>
  <c r="M9" i="160"/>
  <c r="L9" i="160"/>
  <c r="K9" i="160"/>
  <c r="H9" i="160"/>
  <c r="N8" i="160"/>
  <c r="M8" i="160"/>
  <c r="L8" i="160"/>
  <c r="K8" i="160"/>
  <c r="H8" i="160"/>
  <c r="N7" i="160"/>
  <c r="M7" i="160"/>
  <c r="L7" i="160"/>
  <c r="K7" i="160"/>
  <c r="H7" i="160"/>
  <c r="N6" i="160"/>
  <c r="M6" i="160"/>
  <c r="L6" i="160"/>
  <c r="K6" i="160"/>
  <c r="H6" i="160"/>
  <c r="N5" i="160"/>
  <c r="M5" i="160"/>
  <c r="L5" i="160"/>
  <c r="K5" i="160"/>
  <c r="H5" i="160"/>
  <c r="N4" i="160"/>
  <c r="M4" i="160"/>
  <c r="L4" i="160"/>
  <c r="K4" i="160"/>
  <c r="H4" i="160"/>
  <c r="N3" i="160"/>
  <c r="M3" i="160"/>
  <c r="L3" i="160"/>
  <c r="K3" i="160"/>
  <c r="H3" i="160"/>
  <c r="N2" i="160"/>
  <c r="M2" i="160"/>
  <c r="L2" i="160"/>
  <c r="K2" i="160"/>
  <c r="H2" i="160"/>
  <c r="B47" i="159"/>
  <c r="C40" i="159"/>
  <c r="C41" i="159"/>
  <c r="C42" i="159"/>
  <c r="C43" i="159"/>
  <c r="C44" i="159"/>
  <c r="C45" i="159"/>
  <c r="C46" i="159"/>
  <c r="C47" i="159"/>
  <c r="G40" i="159"/>
  <c r="B32" i="159"/>
  <c r="C19" i="159"/>
  <c r="C20" i="159"/>
  <c r="C21" i="159"/>
  <c r="C22" i="159"/>
  <c r="C23" i="159"/>
  <c r="C24" i="159"/>
  <c r="C25" i="159"/>
  <c r="C26" i="159"/>
  <c r="C29" i="159"/>
  <c r="C30" i="159"/>
  <c r="C32" i="159"/>
  <c r="D32" i="159"/>
  <c r="I31" i="159"/>
  <c r="J31" i="159"/>
  <c r="F31" i="159"/>
  <c r="D31" i="159"/>
  <c r="G30" i="159"/>
  <c r="H30" i="159"/>
  <c r="I30" i="159"/>
  <c r="J30" i="159"/>
  <c r="F30" i="159"/>
  <c r="D30" i="159"/>
  <c r="I29" i="159"/>
  <c r="J29" i="159"/>
  <c r="F29" i="159"/>
  <c r="D29" i="159"/>
  <c r="I28" i="159"/>
  <c r="J28" i="159"/>
  <c r="F28" i="159"/>
  <c r="D28" i="159"/>
  <c r="I27" i="159"/>
  <c r="J27" i="159"/>
  <c r="F27" i="159"/>
  <c r="D27" i="159"/>
  <c r="I26" i="159"/>
  <c r="J26" i="159"/>
  <c r="F26" i="159"/>
  <c r="D26" i="159"/>
  <c r="I25" i="159"/>
  <c r="J25" i="159"/>
  <c r="F25" i="159"/>
  <c r="D25" i="159"/>
  <c r="I24" i="159"/>
  <c r="J24" i="159"/>
  <c r="F24" i="159"/>
  <c r="D24" i="159"/>
  <c r="I23" i="159"/>
  <c r="J23" i="159"/>
  <c r="F23" i="159"/>
  <c r="D23" i="159"/>
  <c r="I22" i="159"/>
  <c r="J22" i="159"/>
  <c r="F22" i="159"/>
  <c r="D22" i="159"/>
  <c r="I21" i="159"/>
  <c r="J21" i="159"/>
  <c r="F21" i="159"/>
  <c r="D21" i="159"/>
  <c r="R20" i="159"/>
  <c r="P20" i="159"/>
  <c r="O20" i="159"/>
  <c r="M20" i="159"/>
  <c r="I20" i="159"/>
  <c r="J20" i="159"/>
  <c r="F20" i="159"/>
  <c r="D20" i="159"/>
  <c r="R19" i="159"/>
  <c r="P19" i="159"/>
  <c r="O19" i="159"/>
  <c r="M19" i="159"/>
  <c r="I19" i="159"/>
  <c r="J19" i="159"/>
  <c r="F19" i="159"/>
  <c r="D19" i="159"/>
  <c r="R18" i="159"/>
  <c r="P18" i="159"/>
  <c r="O18" i="159"/>
  <c r="M18" i="159"/>
  <c r="I18" i="159"/>
  <c r="J18" i="159"/>
  <c r="F18" i="159"/>
  <c r="C18" i="159"/>
  <c r="D18" i="159"/>
  <c r="R17" i="159"/>
  <c r="P17" i="159"/>
  <c r="O17" i="159"/>
  <c r="M17" i="159"/>
  <c r="I17" i="159"/>
  <c r="J17" i="159"/>
  <c r="F17" i="159"/>
  <c r="C17" i="159"/>
  <c r="D17" i="159"/>
  <c r="V16" i="159"/>
  <c r="R16" i="159"/>
  <c r="P16" i="159"/>
  <c r="O16" i="159"/>
  <c r="M16" i="159"/>
  <c r="V15" i="159"/>
  <c r="R15" i="159"/>
  <c r="P15" i="159"/>
  <c r="O15" i="159"/>
  <c r="M15" i="159"/>
  <c r="V14" i="159"/>
  <c r="R14" i="159"/>
  <c r="P14" i="159"/>
  <c r="O14" i="159"/>
  <c r="M14" i="159"/>
  <c r="V13" i="159"/>
  <c r="R13" i="159"/>
  <c r="P13" i="159"/>
  <c r="O13" i="159"/>
  <c r="M13" i="159"/>
  <c r="V12" i="159"/>
  <c r="R12" i="159"/>
  <c r="P12" i="159"/>
  <c r="O12" i="159"/>
  <c r="M12" i="159"/>
  <c r="V11" i="159"/>
  <c r="R11" i="159"/>
  <c r="P11" i="159"/>
  <c r="O11" i="159"/>
  <c r="M11" i="159"/>
  <c r="V10" i="159"/>
  <c r="R10" i="159"/>
  <c r="P10" i="159"/>
  <c r="O10" i="159"/>
  <c r="M10" i="159"/>
  <c r="V9" i="159"/>
  <c r="R9" i="159"/>
  <c r="P9" i="159"/>
  <c r="O9" i="159"/>
  <c r="M9" i="159"/>
  <c r="V8" i="159"/>
  <c r="R8" i="159"/>
  <c r="P8" i="159"/>
  <c r="O8" i="159"/>
  <c r="M8" i="159"/>
  <c r="V7" i="159"/>
  <c r="R7" i="159"/>
  <c r="P7" i="159"/>
  <c r="O7" i="159"/>
  <c r="M7" i="159"/>
  <c r="V6" i="159"/>
  <c r="R6" i="159"/>
  <c r="P6" i="159"/>
  <c r="O6" i="159"/>
  <c r="M6" i="159"/>
  <c r="V5" i="159"/>
  <c r="R5" i="159"/>
  <c r="P5" i="159"/>
  <c r="O5" i="159"/>
  <c r="M5" i="159"/>
  <c r="V4" i="159"/>
  <c r="R4" i="159"/>
  <c r="P4" i="159"/>
  <c r="O4" i="159"/>
  <c r="M4" i="159"/>
  <c r="V3" i="159"/>
  <c r="P3" i="159"/>
  <c r="O3" i="159"/>
  <c r="M3" i="159"/>
  <c r="V2" i="159"/>
  <c r="F336" i="154"/>
  <c r="H336" i="154"/>
  <c r="K336" i="154"/>
  <c r="L336" i="154"/>
  <c r="M336" i="154"/>
  <c r="N336" i="154"/>
  <c r="F337" i="154"/>
  <c r="F338" i="154"/>
  <c r="F339" i="154"/>
  <c r="F340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6" i="158"/>
  <c r="K336" i="158"/>
  <c r="L336" i="158"/>
  <c r="M336" i="158"/>
  <c r="N336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R6" i="153"/>
  <c r="R4" i="153"/>
  <c r="R5" i="153"/>
  <c r="R7" i="153"/>
  <c r="F331" i="154"/>
  <c r="H331" i="154"/>
  <c r="K331" i="154"/>
  <c r="L331" i="154"/>
  <c r="M331" i="154"/>
  <c r="N331" i="154"/>
  <c r="F332" i="154"/>
  <c r="F333" i="154"/>
  <c r="F334" i="154"/>
  <c r="F335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R4" i="157"/>
  <c r="R5" i="157"/>
  <c r="R6" i="157"/>
  <c r="R7" i="157"/>
  <c r="C19" i="157"/>
  <c r="C20" i="157"/>
  <c r="C21" i="157"/>
  <c r="C22" i="157"/>
  <c r="C23" i="157"/>
  <c r="C24" i="157"/>
  <c r="C25" i="157"/>
  <c r="C26" i="157"/>
  <c r="C29" i="157"/>
  <c r="C30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F325" i="154"/>
  <c r="H325" i="154"/>
  <c r="K325" i="154"/>
  <c r="L325" i="154"/>
  <c r="M325" i="154"/>
  <c r="N325" i="154"/>
  <c r="F326" i="154"/>
  <c r="F327" i="154"/>
  <c r="F328" i="154"/>
  <c r="F329" i="154"/>
  <c r="F330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B40" i="157"/>
  <c r="B41" i="157"/>
  <c r="B42" i="157"/>
  <c r="B43" i="157"/>
  <c r="B46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9" i="153"/>
  <c r="C30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9" i="157"/>
  <c r="F47" i="157"/>
  <c r="B44" i="157"/>
  <c r="B45" i="157"/>
  <c r="B47" i="157"/>
  <c r="C41" i="157"/>
  <c r="C42" i="157"/>
  <c r="C43" i="157"/>
  <c r="C44" i="157"/>
  <c r="C45" i="157"/>
  <c r="C46" i="157"/>
  <c r="C40" i="157"/>
  <c r="C47" i="157"/>
  <c r="F46" i="157"/>
  <c r="F45" i="157"/>
  <c r="B32" i="157"/>
  <c r="D32" i="157"/>
  <c r="I28" i="157"/>
  <c r="J28" i="157"/>
  <c r="F28" i="157"/>
  <c r="D28" i="157"/>
  <c r="I21" i="157"/>
  <c r="J21" i="157"/>
  <c r="F21" i="157"/>
  <c r="F48" i="157"/>
  <c r="D21" i="157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<sst xmlns="http://schemas.openxmlformats.org/spreadsheetml/2006/main" count="878" uniqueCount="268">
  <si>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</si>
  <si>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</si>
  <si>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</si>
  <si>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</si>
  <si>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</si>
  <si>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</si>
  <si>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</si>
  <si>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</si>
  <si>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</si>
  <si>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</si>
  <si>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</si>
  <si>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</si>
  <si>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</si>
  <si>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</si>
  <si>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</si>
  <si>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</si>
  <si>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</si>
  <si>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</si>
  <si>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</si>
  <si>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</si>
  <si>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</si>
  <si>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</si>
  <si>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</si>
  <si>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</si>
  <si>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</si>
  <si>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</si>
  <si>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</si>
  <si>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</si>
  <si>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</si>
  <si>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</si>
  <si>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</si>
  <si>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</si>
  <si>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</si>
  <si>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</si>
  <si>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</si>
  <si>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</si>
  <si>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</si>
  <si>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</si>
  <si>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</si>
  <si>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</si>
  <si>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</si>
  <si>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</si>
  <si>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</si>
  <si>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</si>
  <si>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</si>
  <si>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</si>
  <si>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</si>
  <si>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</si>
  <si>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</si>
  <si>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</si>
  <si>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</si>
  <si>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</si>
  <si>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</si>
  <si>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</si>
  <si>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</si>
  <si>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</si>
  <si>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</si>
  <si>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</si>
  <si>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</si>
  <si>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</si>
  <si>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</si>
  <si>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</si>
  <si>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</si>
  <si>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</si>
  <si>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</si>
  <si>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</si>
  <si>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</si>
  <si>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</si>
  <si>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</si>
  <si>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</si>
  <si>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</si>
  <si>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</si>
  <si>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</si>
  <si>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</si>
  <si>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</si>
  <si>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</si>
  <si>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</si>
  <si>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</si>
  <si>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</si>
  <si>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</si>
  <si>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</si>
  <si>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</si>
  <si>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</si>
  <si>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</si>
  <si>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</si>
  <si>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</si>
  <si>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</si>
  <si>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</si>
  <si>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</si>
  <si>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</si>
  <si>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</si>
  <si>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</si>
  <si>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</si>
  <si>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</si>
  <si>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</si>
  <si>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</si>
  <si>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</si>
  <si>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</si>
  <si>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</si>
  <si>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</si>
  <si>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</si>
  <si>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</si>
  <si>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</si>
  <si>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</si>
  <si>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</si>
  <si>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</si>
  <si>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</si>
  <si>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</si>
  <si>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</si>
  <si>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</si>
  <si>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</si>
  <si>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</si>
  <si>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</si>
  <si>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</si>
  <si>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</si>
  <si>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</si>
  <si>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</si>
  <si>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</si>
  <si>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</si>
  <si>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</si>
  <si>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</si>
  <si>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</si>
  <si>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</si>
  <si>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</si>
  <si>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</si>
  <si>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</si>
  <si>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</si>
  <si>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</si>
  <si>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</si>
  <si>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</si>
  <si>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</si>
  <si>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</si>
  <si>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</si>
  <si>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</si>
  <si>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</si>
  <si>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</si>
  <si>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</si>
  <si>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</si>
  <si>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</si>
  <si>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</si>
  <si>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</si>
  <si>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</si>
  <si>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</si>
  <si>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</si>
  <si>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</si>
  <si>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</si>
  <si>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</si>
  <si>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</si>
  <si>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</si>
  <si>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</si>
  <si>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</si>
  <si>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</si>
  <si>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</si>
  <si>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</si>
  <si>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</si>
  <si>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</si>
  <si>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</si>
  <si>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</si>
  <si>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</si>
  <si>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</si>
  <si>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</si>
  <si>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</si>
  <si>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</si>
  <si>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</si>
  <si>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</si>
  <si>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</si>
  <si>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</si>
  <si>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</si>
  <si>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</si>
  <si>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</si>
  <si>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</si>
  <si>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</si>
  <si>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</si>
  <si>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</si>
  <si>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</si>
  <si>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</si>
  <si>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</si>
  <si>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</si>
  <si>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</si>
  <si>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</si>
  <si>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</si>
  <si>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</si>
  <si>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</si>
  <si>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</si>
  <si>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</si>
  <si>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</si>
  <si>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</si>
  <si>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</si>
  <si>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</si>
  <si>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</si>
  <si>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</si>
  <si>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</si>
  <si>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</si>
  <si>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</si>
  <si>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</si>
  <si>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</si>
  <si>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</si>
  <si>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</si>
  <si>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</si>
  <si>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</si>
  <si>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</si>
  <si>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</si>
  <si>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</si>
  <si>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</si>
  <si>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</si>
  <si>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</si>
  <si>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</si>
  <si>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</si>
  <si>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</si>
  <si>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</si>
  <si>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</si>
  <si>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</si>
  <si>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</si>
  <si>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</si>
  <si>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</si>
  <si>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</si>
  <si>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</si>
  <si>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</si>
  <si>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</si>
  <si>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</si>
  <si>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</si>
  <si>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</si>
  <si>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</si>
  <si>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</si>
  <si>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</si>
  <si>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</si>
  <si>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</si>
  <si>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</si>
  <si>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</si>
  <si>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</si>
  <si>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</si>
  <si>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</si>
  <si>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</si>
  <si>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</si>
  <si>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</si>
  <si>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</si>
  <si>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</si>
  <si>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</si>
  <si>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</si>
  <si>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</si>
  <si>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</si>
  <si>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</si>
  <si>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</si>
  <si>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通常確率</t>
    <phoneticPr fontId="21"/>
  </si>
  <si>
    <t>tables_363100</t>
    <phoneticPr fontId="21"/>
  </si>
  <si>
    <t>PremiumSSw</t>
    <phoneticPr fontId="21"/>
  </si>
  <si>
    <t>PremiumSSw</t>
    <phoneticPr fontId="21"/>
  </si>
  <si>
    <t>old</t>
    <phoneticPr fontId="21"/>
  </si>
  <si>
    <t>unit</t>
    <phoneticPr fontId="21"/>
  </si>
  <si>
    <t>ja</t>
  </si>
  <si>
    <t>old</t>
    <phoneticPr fontId="21"/>
  </si>
  <si>
    <t>PremiumSSS</t>
    <phoneticPr fontId="21"/>
  </si>
  <si>
    <t>ギガ秘術の果実 x 1</t>
    <phoneticPr fontId="21"/>
  </si>
  <si>
    <t>限界突破キー x 3</t>
    <rPh sb="0" eb="4">
      <t>ゲンカ</t>
    </rPh>
    <phoneticPr fontId="21"/>
  </si>
  <si>
    <t>マスターキー x 3</t>
    <phoneticPr fontId="21"/>
  </si>
  <si>
    <t>STEP3特典として
ギガ秘術の果実1体をプレゼント！</t>
    <phoneticPr fontId="21"/>
  </si>
  <si>
    <t>item</t>
    <phoneticPr fontId="21"/>
  </si>
  <si>
    <t>STEP4特典として
限界突破キー3本をプレゼント！</t>
    <rPh sb="11" eb="15">
      <t>ゲンカ</t>
    </rPh>
    <phoneticPr fontId="21"/>
  </si>
  <si>
    <t>STEP5特典として
マスターキー3本をプレゼント！</t>
    <rPh sb="18" eb="19">
      <t>ポｎ</t>
    </rPh>
    <phoneticPr fontId="21"/>
  </si>
  <si>
    <t>tables_576101</t>
    <phoneticPr fontId="21"/>
  </si>
  <si>
    <t>tables_576103</t>
    <phoneticPr fontId="21"/>
  </si>
  <si>
    <t>tables_576104</t>
    <phoneticPr fontId="21"/>
  </si>
  <si>
    <t>tables_576105</t>
    <phoneticPr fontId="21"/>
  </si>
  <si>
    <t>tables_576100</t>
    <phoneticPr fontId="21"/>
  </si>
  <si>
    <t>576103</t>
    <phoneticPr fontId="21"/>
  </si>
  <si>
    <t>576104</t>
    <phoneticPr fontId="21"/>
  </si>
  <si>
    <t>576105</t>
    <phoneticPr fontId="21"/>
  </si>
  <si>
    <t>1000億BK記念ガチャSideC特典</t>
    <rPh sb="4" eb="5">
      <t>オｋ</t>
    </rPh>
    <rPh sb="17" eb="19">
      <t>トクテン</t>
    </rPh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</si>
</sst>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000000000%"/>
    <numFmt numFmtId="182" formatCode="0.00000000000000%"/>
    <numFmt numFmtId="183" formatCode="0.000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0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1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27" fillId="25" borderId="1" xfId="0" applyFont="1" applyFill="1" applyBorder="1" applyAlignment="1">
      <alignment vertical="center"/>
    </xf>
    <xf numFmtId="182" fontId="0" fillId="4" borderId="1" xfId="0" applyNumberFormat="1" applyFill="1" applyBorder="1"/>
    <xf numFmtId="0" fontId="26" fillId="3" borderId="14" xfId="2" applyFont="1" applyFill="1" applyBorder="1" applyAlignment="1">
      <alignment vertical="center"/>
    </xf>
    <xf numFmtId="0" fontId="4" fillId="0" borderId="1" xfId="3036" applyFont="1" applyBorder="1"/>
    <xf numFmtId="0" fontId="3" fillId="0" borderId="1" xfId="3036" applyFont="1" applyBorder="1"/>
    <xf numFmtId="0" fontId="26" fillId="4" borderId="0" xfId="2" applyFont="1" applyFill="1" applyAlignment="1">
      <alignment vertical="center"/>
    </xf>
    <xf numFmtId="0" fontId="53" fillId="4" borderId="1" xfId="0" applyFont="1" applyFill="1" applyBorder="1" applyAlignment="1">
      <alignment vertical="center"/>
    </xf>
    <xf numFmtId="183" fontId="0" fillId="0" borderId="0" xfId="0" applyNumberFormat="1"/>
    <xf numFmtId="180" fontId="0" fillId="4" borderId="1" xfId="0" applyNumberFormat="1" applyFill="1" applyBorder="1"/>
    <xf numFmtId="0" fontId="26" fillId="0" borderId="1" xfId="2" applyFont="1" applyFill="1" applyBorder="1" applyAlignment="1">
      <alignment vertical="center"/>
    </xf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externalLink" Target="externalLinks/externalLink1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スカルズR5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スカルズR6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ライプニッツR5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ライプニッツR6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ライプニッツ(超覚醒)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hp</v>
          </cell>
          <cell r="L1392" t="str">
            <v>体力タイプ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technical</v>
          </cell>
          <cell r="L1414" t="str">
            <v>テクニカルタイプ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スパルタR4</v>
          </cell>
          <cell r="H1428" t="str">
            <v>blue</v>
          </cell>
          <cell r="I1428">
            <v>4</v>
          </cell>
          <cell r="J1428" t="str">
            <v>DropWizSS</v>
          </cell>
          <cell r="K1428" t="str">
            <v>attack</v>
          </cell>
          <cell r="L1428" t="str">
            <v>攻撃タイプ</v>
          </cell>
          <cell r="M1428" t="str">
            <v>human</v>
          </cell>
        </row>
        <row r="1429">
          <cell r="A1429">
            <v>1437</v>
          </cell>
          <cell r="B1429" t="str">
            <v>ja</v>
          </cell>
          <cell r="C1429" t="str">
            <v>スパルタR5</v>
          </cell>
          <cell r="H1429" t="str">
            <v>blue</v>
          </cell>
          <cell r="I1429">
            <v>5</v>
          </cell>
          <cell r="J1429" t="str">
            <v>DropWizSS</v>
          </cell>
          <cell r="K1429" t="str">
            <v>attack</v>
          </cell>
          <cell r="L1429" t="str">
            <v>攻撃タイプ</v>
          </cell>
          <cell r="M1429" t="str">
            <v>human</v>
          </cell>
        </row>
        <row r="1430">
          <cell r="A1430">
            <v>1438</v>
          </cell>
          <cell r="B1430" t="str">
            <v>ja</v>
          </cell>
          <cell r="C1430" t="str">
            <v>ゼノビアR5</v>
          </cell>
          <cell r="H1430" t="str">
            <v>green</v>
          </cell>
          <cell r="I1430">
            <v>5</v>
          </cell>
          <cell r="J1430" t="str">
            <v>DropWizSS</v>
          </cell>
          <cell r="K1430" t="str">
            <v>balance</v>
          </cell>
          <cell r="L1430" t="str">
            <v>バランスタイプ</v>
          </cell>
          <cell r="M1430" t="str">
            <v>human</v>
          </cell>
        </row>
        <row r="1431">
          <cell r="A1431">
            <v>1439</v>
          </cell>
          <cell r="B1431" t="str">
            <v>ja</v>
          </cell>
          <cell r="C1431" t="str">
            <v>ゼノビアR6</v>
          </cell>
          <cell r="H1431" t="str">
            <v>green</v>
          </cell>
          <cell r="I1431">
            <v>6</v>
          </cell>
          <cell r="J1431" t="str">
            <v>DropWizSS</v>
          </cell>
          <cell r="K1431" t="str">
            <v>balance</v>
          </cell>
          <cell r="L1431" t="str">
            <v>バランスタイプ</v>
          </cell>
          <cell r="M1431" t="str">
            <v>human</v>
          </cell>
        </row>
        <row r="1432">
          <cell r="A1432">
            <v>1440</v>
          </cell>
          <cell r="B1432" t="str">
            <v>ja</v>
          </cell>
          <cell r="C1432" t="str">
            <v>ブルータスR5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ブルータスR6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アレキサンダーR5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human</v>
          </cell>
        </row>
        <row r="1435">
          <cell r="A1435">
            <v>1443</v>
          </cell>
          <cell r="B1435" t="str">
            <v>ja</v>
          </cell>
          <cell r="C1435" t="str">
            <v>アレキサンダーR6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human</v>
          </cell>
        </row>
        <row r="1436">
          <cell r="A1436">
            <v>1444</v>
          </cell>
          <cell r="B1436" t="str">
            <v>ja</v>
          </cell>
          <cell r="C1436" t="str">
            <v>クレオパトラR5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human</v>
          </cell>
        </row>
        <row r="1437">
          <cell r="A1437">
            <v>1445</v>
          </cell>
          <cell r="B1437" t="str">
            <v>ja</v>
          </cell>
          <cell r="C1437" t="str">
            <v>クレオパトラR6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human</v>
          </cell>
        </row>
        <row r="1438">
          <cell r="A1438">
            <v>1446</v>
          </cell>
          <cell r="B1438" t="str">
            <v>ja</v>
          </cell>
          <cell r="C1438" t="str">
            <v>カエサルR5</v>
          </cell>
          <cell r="H1438" t="str">
            <v>green</v>
          </cell>
          <cell r="I1438">
            <v>5</v>
          </cell>
          <cell r="J1438" t="str">
            <v>DropWizSS</v>
          </cell>
          <cell r="K1438" t="str">
            <v>attack</v>
          </cell>
          <cell r="L1438" t="str">
            <v>攻撃タイプ</v>
          </cell>
          <cell r="M1438" t="str">
            <v>unknown</v>
          </cell>
        </row>
        <row r="1439">
          <cell r="A1439">
            <v>1447</v>
          </cell>
          <cell r="B1439" t="str">
            <v>ja</v>
          </cell>
          <cell r="C1439" t="str">
            <v>カエサルR6</v>
          </cell>
          <cell r="H1439" t="str">
            <v>green</v>
          </cell>
          <cell r="I1439">
            <v>6</v>
          </cell>
          <cell r="J1439" t="str">
            <v>DropWizSS</v>
          </cell>
          <cell r="K1439" t="str">
            <v>technical</v>
          </cell>
          <cell r="L1439" t="str">
            <v>テクニカルタイプ</v>
          </cell>
          <cell r="M1439" t="str">
            <v>unknown</v>
          </cell>
        </row>
        <row r="1440">
          <cell r="A1440">
            <v>1448</v>
          </cell>
          <cell r="B1440" t="str">
            <v>ja</v>
          </cell>
          <cell r="C1440" t="str">
            <v>ハンニバルR5</v>
          </cell>
          <cell r="H1440" t="str">
            <v>blue</v>
          </cell>
          <cell r="I1440">
            <v>5</v>
          </cell>
          <cell r="J1440" t="str">
            <v>PremiumSSw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ハンニバルR6</v>
          </cell>
          <cell r="H1441" t="str">
            <v>blue</v>
          </cell>
          <cell r="I1441">
            <v>6</v>
          </cell>
          <cell r="J1441" t="str">
            <v>PremiumSSw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ブーディカR4</v>
          </cell>
          <cell r="H1442" t="str">
            <v>yellow</v>
          </cell>
          <cell r="I1442">
            <v>4</v>
          </cell>
          <cell r="J1442" t="str">
            <v>DropWizSS</v>
          </cell>
          <cell r="K1442" t="str">
            <v>technical</v>
          </cell>
          <cell r="L1442" t="str">
            <v>テクニカルタイプ</v>
          </cell>
          <cell r="M1442" t="str">
            <v>unknown</v>
          </cell>
        </row>
        <row r="1443">
          <cell r="A1443">
            <v>1451</v>
          </cell>
          <cell r="B1443" t="str">
            <v>ja</v>
          </cell>
          <cell r="C1443" t="str">
            <v>ブーディカR5</v>
          </cell>
          <cell r="H1443" t="str">
            <v>yellow</v>
          </cell>
          <cell r="I1443">
            <v>5</v>
          </cell>
          <cell r="J1443" t="str">
            <v>DropWizSS</v>
          </cell>
          <cell r="K1443" t="str">
            <v>balance</v>
          </cell>
          <cell r="L1443" t="str">
            <v>バランスタイプ</v>
          </cell>
          <cell r="M1443" t="str">
            <v>unknown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パラケルススR5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パラケルススR6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5001</v>
          </cell>
          <cell r="B1564" t="str">
            <v>ja</v>
          </cell>
          <cell r="C1564" t="str">
            <v>ガルーダ</v>
          </cell>
          <cell r="D1564" t="str">
            <v>ノーマルクエスト</v>
          </cell>
          <cell r="E1564" t="str">
            <v>QoH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PremiumSSw</v>
          </cell>
          <cell r="K1564" t="str">
            <v>attack</v>
          </cell>
          <cell r="L1564" t="str">
            <v>攻撃タイプ</v>
          </cell>
          <cell r="M1564" t="str">
            <v>god</v>
          </cell>
        </row>
        <row r="1565">
          <cell r="A1565">
            <v>5002</v>
          </cell>
          <cell r="B1565" t="str">
            <v>ja</v>
          </cell>
          <cell r="C1565" t="str">
            <v>ガルーダ★６</v>
          </cell>
          <cell r="D1565" t="str">
            <v>ノーマルクエスト</v>
          </cell>
          <cell r="E1565" t="str">
            <v>アバター</v>
          </cell>
          <cell r="F1565" t="str">
            <v>世界観</v>
          </cell>
          <cell r="G1565" t="str">
            <v>男性</v>
          </cell>
          <cell r="H1565" t="str">
            <v>red</v>
          </cell>
          <cell r="I1565">
            <v>6</v>
          </cell>
          <cell r="J1565" t="str">
            <v>PremiumSSw</v>
          </cell>
          <cell r="K1565" t="str">
            <v>attack</v>
          </cell>
          <cell r="L1565" t="str">
            <v>攻撃タイプ</v>
          </cell>
          <cell r="M1565" t="str">
            <v>god</v>
          </cell>
        </row>
        <row r="1566">
          <cell r="A1566">
            <v>5003</v>
          </cell>
          <cell r="B1566" t="str">
            <v>ja</v>
          </cell>
          <cell r="C1566" t="str">
            <v>ナーガ</v>
          </cell>
          <cell r="D1566" t="str">
            <v>リンクガチャ:4神</v>
          </cell>
          <cell r="E1566" t="str">
            <v>守護神</v>
          </cell>
          <cell r="F1566" t="str">
            <v>格好いい</v>
          </cell>
          <cell r="G1566" t="str">
            <v>不明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animal</v>
          </cell>
        </row>
        <row r="1567">
          <cell r="A1567">
            <v>5004</v>
          </cell>
          <cell r="B1567" t="str">
            <v>ja</v>
          </cell>
          <cell r="C1567" t="str">
            <v>ナーガ★６</v>
          </cell>
          <cell r="D1567" t="str">
            <v>ノーマルクエスト</v>
          </cell>
          <cell r="E1567" t="str">
            <v>アバター</v>
          </cell>
          <cell r="F1567" t="str">
            <v>世界観</v>
          </cell>
          <cell r="G1567" t="str">
            <v>不明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animal</v>
          </cell>
        </row>
        <row r="1568">
          <cell r="A1568">
            <v>5005</v>
          </cell>
          <cell r="B1568" t="str">
            <v>ja</v>
          </cell>
          <cell r="C1568" t="str">
            <v>カーミラ</v>
          </cell>
          <cell r="D1568" t="str">
            <v>ノーマルクエスト</v>
          </cell>
          <cell r="E1568" t="str">
            <v>QoH</v>
          </cell>
          <cell r="F1568" t="str">
            <v>世界観</v>
          </cell>
          <cell r="G1568" t="str">
            <v>不明</v>
          </cell>
          <cell r="H1568" t="str">
            <v>green</v>
          </cell>
          <cell r="I1568">
            <v>5</v>
          </cell>
          <cell r="J1568" t="str">
            <v>PremiumSSw</v>
          </cell>
          <cell r="K1568" t="str">
            <v>balance</v>
          </cell>
          <cell r="L1568" t="str">
            <v>バランスタイプ</v>
          </cell>
          <cell r="M1568" t="str">
            <v>demon</v>
          </cell>
        </row>
        <row r="1569">
          <cell r="A1569">
            <v>5006</v>
          </cell>
          <cell r="B1569" t="str">
            <v>ja</v>
          </cell>
          <cell r="C1569" t="str">
            <v>カーミラ★６</v>
          </cell>
          <cell r="D1569" t="str">
            <v>ノーマルクエスト</v>
          </cell>
          <cell r="E1569" t="str">
            <v>アバター</v>
          </cell>
          <cell r="F1569" t="str">
            <v>世界観</v>
          </cell>
          <cell r="G1569" t="str">
            <v>男性</v>
          </cell>
          <cell r="H1569" t="str">
            <v>green</v>
          </cell>
          <cell r="I1569">
            <v>6</v>
          </cell>
          <cell r="J1569" t="str">
            <v>PremiumSSw</v>
          </cell>
          <cell r="K1569" t="str">
            <v>balance</v>
          </cell>
          <cell r="L1569" t="str">
            <v>バランスタイプ</v>
          </cell>
          <cell r="M1569" t="str">
            <v>demon</v>
          </cell>
        </row>
        <row r="1570">
          <cell r="A1570">
            <v>5007</v>
          </cell>
          <cell r="B1570" t="str">
            <v>ja</v>
          </cell>
          <cell r="C1570" t="str">
            <v>ヘルシング</v>
          </cell>
          <cell r="D1570" t="str">
            <v>リンクガチャ:4神</v>
          </cell>
          <cell r="E1570" t="str">
            <v>守護神</v>
          </cell>
          <cell r="F1570" t="str">
            <v>格好いい</v>
          </cell>
          <cell r="G1570" t="str">
            <v>不明</v>
          </cell>
          <cell r="H1570" t="str">
            <v>yellow</v>
          </cell>
          <cell r="I1570">
            <v>5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human</v>
          </cell>
        </row>
        <row r="1571">
          <cell r="A1571">
            <v>5008</v>
          </cell>
          <cell r="B1571" t="str">
            <v>ja</v>
          </cell>
          <cell r="C1571" t="str">
            <v>ヘルシング★６</v>
          </cell>
          <cell r="D1571" t="str">
            <v>ノーマルクエスト</v>
          </cell>
          <cell r="E1571" t="str">
            <v>アバター</v>
          </cell>
          <cell r="F1571" t="str">
            <v>世界観</v>
          </cell>
          <cell r="G1571" t="str">
            <v>不明</v>
          </cell>
          <cell r="H1571" t="str">
            <v>yellow</v>
          </cell>
          <cell r="I1571">
            <v>6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human</v>
          </cell>
        </row>
        <row r="1572">
          <cell r="A1572">
            <v>6001</v>
          </cell>
          <cell r="B1572" t="str">
            <v>ja</v>
          </cell>
          <cell r="C1572" t="str">
            <v>ジェリー</v>
          </cell>
          <cell r="D1572" t="str">
            <v>ノーマルクエスト</v>
          </cell>
          <cell r="E1572" t="str">
            <v>QoH</v>
          </cell>
          <cell r="F1572" t="str">
            <v>世界観</v>
          </cell>
          <cell r="G1572" t="str">
            <v>不明</v>
          </cell>
          <cell r="H1572" t="str">
            <v>red</v>
          </cell>
          <cell r="I1572">
            <v>1</v>
          </cell>
          <cell r="J1572" t="str">
            <v>Drop1T</v>
          </cell>
          <cell r="K1572" t="str">
            <v>ra</v>
          </cell>
          <cell r="L1572" t="str">
            <v>ラグランジュチャレンジ</v>
          </cell>
          <cell r="M1572" t="str">
            <v>unknown</v>
          </cell>
        </row>
        <row r="1573">
          <cell r="A1573">
            <v>6002</v>
          </cell>
          <cell r="B1573" t="str">
            <v>ja</v>
          </cell>
          <cell r="C1573" t="str">
            <v>ヨシタカ</v>
          </cell>
          <cell r="D1573" t="str">
            <v>ノーマルクエスト</v>
          </cell>
          <cell r="E1573" t="str">
            <v>アバター</v>
          </cell>
          <cell r="F1573" t="str">
            <v>世界観</v>
          </cell>
          <cell r="G1573" t="str">
            <v>男性</v>
          </cell>
          <cell r="H1573" t="str">
            <v>red</v>
          </cell>
          <cell r="I1573">
            <v>2</v>
          </cell>
          <cell r="J1573" t="str">
            <v>Drop1N</v>
          </cell>
          <cell r="K1573" t="str">
            <v>ra</v>
          </cell>
          <cell r="L1573" t="str">
            <v>ラグランジュチャレンジ</v>
          </cell>
          <cell r="M1573" t="str">
            <v>human</v>
          </cell>
        </row>
        <row r="1574">
          <cell r="A1574">
            <v>6003</v>
          </cell>
          <cell r="B1574" t="str">
            <v>ja</v>
          </cell>
          <cell r="C1574" t="str">
            <v>朱雀</v>
          </cell>
          <cell r="D1574" t="str">
            <v>リンクガチャ:4神</v>
          </cell>
          <cell r="E1574" t="str">
            <v>守護神</v>
          </cell>
          <cell r="F1574" t="str">
            <v>格好いい</v>
          </cell>
          <cell r="G1574" t="str">
            <v>不明</v>
          </cell>
          <cell r="H1574" t="str">
            <v>red</v>
          </cell>
          <cell r="I1574">
            <v>3</v>
          </cell>
          <cell r="J1574" t="str">
            <v>Drop2N</v>
          </cell>
          <cell r="K1574" t="str">
            <v>ra</v>
          </cell>
          <cell r="L1574" t="str">
            <v>ラグランジュチャレンジ</v>
          </cell>
          <cell r="M1574" t="str">
            <v>animal</v>
          </cell>
        </row>
        <row r="1575">
          <cell r="A1575">
            <v>6004</v>
          </cell>
          <cell r="B1575" t="str">
            <v>ja</v>
          </cell>
          <cell r="C1575" t="str">
            <v>ブレット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不明</v>
          </cell>
          <cell r="H1575" t="str">
            <v>red</v>
          </cell>
          <cell r="I1575">
            <v>1</v>
          </cell>
          <cell r="J1575" t="str">
            <v>Drop1W</v>
          </cell>
          <cell r="K1575" t="str">
            <v>ra</v>
          </cell>
          <cell r="L1575" t="str">
            <v>ラグランジュチャレンジ</v>
          </cell>
          <cell r="M1575" t="str">
            <v>animal</v>
          </cell>
        </row>
        <row r="1576">
          <cell r="A1576">
            <v>6005</v>
          </cell>
          <cell r="B1576" t="str">
            <v>ja</v>
          </cell>
          <cell r="C1576" t="str">
            <v>孤神 テティス</v>
          </cell>
          <cell r="D1576" t="str">
            <v>初期ガチャ</v>
          </cell>
          <cell r="E1576" t="str">
            <v>管理者</v>
          </cell>
          <cell r="F1576" t="str">
            <v>美しい</v>
          </cell>
          <cell r="G1576" t="str">
            <v>女性</v>
          </cell>
          <cell r="H1576" t="str">
            <v>blue</v>
          </cell>
          <cell r="I1576">
            <v>4</v>
          </cell>
          <cell r="J1576" t="str">
            <v>PremiumN</v>
          </cell>
          <cell r="K1576" t="str">
            <v>ra</v>
          </cell>
          <cell r="L1576" t="str">
            <v>ラグランジュチャレンジ</v>
          </cell>
          <cell r="M1576" t="str">
            <v>god</v>
          </cell>
        </row>
        <row r="1577">
          <cell r="A1577">
            <v>6006</v>
          </cell>
          <cell r="B1577" t="str">
            <v>ja</v>
          </cell>
          <cell r="C1577" t="str">
            <v>海底の孤高神 テティス</v>
          </cell>
          <cell r="D1577" t="str">
            <v>初期ガチャ</v>
          </cell>
          <cell r="E1577" t="str">
            <v>管理者</v>
          </cell>
          <cell r="F1577" t="str">
            <v>美しい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PremiumN</v>
          </cell>
          <cell r="K1577" t="str">
            <v>ra</v>
          </cell>
          <cell r="L1577" t="str">
            <v>ラグランジュチャレンジ</v>
          </cell>
          <cell r="M1577" t="str">
            <v>god</v>
          </cell>
        </row>
        <row r="1578">
          <cell r="A1578">
            <v>6007</v>
          </cell>
          <cell r="B1578" t="str">
            <v>ja</v>
          </cell>
          <cell r="C1578" t="str">
            <v>番犬 ケルベロス</v>
          </cell>
          <cell r="D1578" t="str">
            <v>初期ガチャ</v>
          </cell>
          <cell r="E1578" t="str">
            <v>破界者</v>
          </cell>
          <cell r="F1578" t="str">
            <v>可愛い</v>
          </cell>
          <cell r="G1578" t="str">
            <v>女性</v>
          </cell>
          <cell r="H1578" t="str">
            <v>red</v>
          </cell>
          <cell r="I1578">
            <v>4</v>
          </cell>
          <cell r="J1578" t="str">
            <v>PremiumN</v>
          </cell>
          <cell r="K1578" t="str">
            <v>ra</v>
          </cell>
          <cell r="L1578" t="str">
            <v>ラグランジュチャレンジ</v>
          </cell>
          <cell r="M1578" t="str">
            <v>animal</v>
          </cell>
        </row>
        <row r="1579">
          <cell r="A1579">
            <v>6008</v>
          </cell>
          <cell r="B1579" t="str">
            <v>ja</v>
          </cell>
          <cell r="C1579" t="str">
            <v>焔神 プロメテウス</v>
          </cell>
          <cell r="D1579" t="str">
            <v>初期ガチャ</v>
          </cell>
          <cell r="E1579" t="str">
            <v>管理者</v>
          </cell>
          <cell r="F1579" t="str">
            <v>格好いい</v>
          </cell>
          <cell r="G1579" t="str">
            <v>男性</v>
          </cell>
          <cell r="H1579" t="str">
            <v>red</v>
          </cell>
          <cell r="I1579">
            <v>4</v>
          </cell>
          <cell r="J1579" t="str">
            <v>PremiumN</v>
          </cell>
          <cell r="K1579" t="str">
            <v>ra</v>
          </cell>
          <cell r="L1579" t="str">
            <v>ラグランジュチャレンジ</v>
          </cell>
          <cell r="M1579" t="str">
            <v>god</v>
          </cell>
        </row>
        <row r="1580">
          <cell r="A1580">
            <v>6009</v>
          </cell>
          <cell r="B1580" t="str">
            <v>ja</v>
          </cell>
          <cell r="C1580" t="str">
            <v>超越自我 ラグランジュ</v>
          </cell>
          <cell r="D1580" t="str">
            <v>ガチャ:フィーバーフェス02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5</v>
          </cell>
          <cell r="J1580" t="str">
            <v>PremiumSSS</v>
          </cell>
          <cell r="K1580" t="str">
            <v>ra</v>
          </cell>
          <cell r="L1580" t="str">
            <v>ラグランジュチャレンジ</v>
          </cell>
          <cell r="M1580" t="str">
            <v>human</v>
          </cell>
        </row>
        <row r="1581">
          <cell r="A1581">
            <v>6010</v>
          </cell>
          <cell r="B1581" t="str">
            <v>ja</v>
          </cell>
          <cell r="C1581" t="str">
            <v>超越凌駕 ラグランジュ</v>
          </cell>
          <cell r="D1581" t="str">
            <v>ガチャ:フィーバーフェス02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6</v>
          </cell>
          <cell r="J1581" t="str">
            <v>PremiumSSS</v>
          </cell>
          <cell r="K1581" t="str">
            <v>ra</v>
          </cell>
          <cell r="L1581" t="str">
            <v>ラグランジュチャレンジ</v>
          </cell>
          <cell r="M1581" t="str">
            <v>human</v>
          </cell>
        </row>
        <row r="1582">
          <cell r="A1582">
            <v>6011</v>
          </cell>
          <cell r="B1582" t="str">
            <v>ja</v>
          </cell>
          <cell r="C1582" t="str">
            <v>パトドッグリーダー ポチ</v>
          </cell>
          <cell r="D1582" t="str">
            <v>ガチャ:フィーバーフェス02</v>
          </cell>
          <cell r="E1582" t="str">
            <v>執行者</v>
          </cell>
          <cell r="F1582" t="str">
            <v>格好いい</v>
          </cell>
          <cell r="G1582" t="str">
            <v>男性</v>
          </cell>
          <cell r="H1582" t="str">
            <v>blue</v>
          </cell>
          <cell r="I1582">
            <v>2</v>
          </cell>
          <cell r="J1582" t="str">
            <v>Drop1T</v>
          </cell>
          <cell r="K1582" t="str">
            <v>ra002</v>
          </cell>
          <cell r="L1582" t="str">
            <v>ユークリッドチャレンジ</v>
          </cell>
          <cell r="M1582" t="str">
            <v>unknown</v>
          </cell>
        </row>
        <row r="1583">
          <cell r="A1583">
            <v>6012</v>
          </cell>
          <cell r="B1583" t="str">
            <v>ja</v>
          </cell>
          <cell r="C1583" t="str">
            <v>ミミ</v>
          </cell>
          <cell r="D1583" t="str">
            <v>ガチャ:フィーバーフェス02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yellow</v>
          </cell>
          <cell r="I1583">
            <v>1</v>
          </cell>
          <cell r="J1583" t="str">
            <v>Drop1W</v>
          </cell>
          <cell r="K1583" t="str">
            <v>ra002</v>
          </cell>
          <cell r="L1583" t="str">
            <v>ユークリッドチャレンジ</v>
          </cell>
          <cell r="M1583" t="str">
            <v>animal</v>
          </cell>
        </row>
        <row r="1584">
          <cell r="A1584">
            <v>6013</v>
          </cell>
          <cell r="B1584" t="str">
            <v>ja</v>
          </cell>
          <cell r="C1584" t="str">
            <v>護衛機人 スケアクロウ</v>
          </cell>
          <cell r="D1584" t="str">
            <v>ガチャ:フィーバーフェス02</v>
          </cell>
          <cell r="E1584" t="str">
            <v>執行者</v>
          </cell>
          <cell r="F1584" t="str">
            <v>格好いい</v>
          </cell>
          <cell r="G1584" t="str">
            <v>男性</v>
          </cell>
          <cell r="H1584" t="str">
            <v>blue</v>
          </cell>
          <cell r="I1584">
            <v>2</v>
          </cell>
          <cell r="J1584" t="str">
            <v>Drop1N</v>
          </cell>
          <cell r="K1584" t="str">
            <v>ra002</v>
          </cell>
          <cell r="L1584" t="str">
            <v>ユークリッドチャレンジ</v>
          </cell>
          <cell r="M1584" t="str">
            <v>machine</v>
          </cell>
        </row>
        <row r="1585">
          <cell r="A1585">
            <v>6014</v>
          </cell>
          <cell r="B1585" t="str">
            <v>ja</v>
          </cell>
          <cell r="C1585" t="str">
            <v>月下の人狼 ローレンス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男性</v>
          </cell>
          <cell r="H1585" t="str">
            <v>blue</v>
          </cell>
          <cell r="I1585">
            <v>4</v>
          </cell>
          <cell r="J1585" t="str">
            <v>PremiumW</v>
          </cell>
          <cell r="K1585" t="str">
            <v>ra002</v>
          </cell>
          <cell r="L1585" t="str">
            <v>ユークリッドチャレンジ</v>
          </cell>
          <cell r="M1585" t="str">
            <v>animal</v>
          </cell>
        </row>
        <row r="1586">
          <cell r="A1586">
            <v>6015</v>
          </cell>
          <cell r="B1586" t="str">
            <v>ja</v>
          </cell>
          <cell r="C1586" t="str">
            <v>フレイヤ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男性</v>
          </cell>
          <cell r="H1586" t="str">
            <v>blue</v>
          </cell>
          <cell r="I1586">
            <v>4</v>
          </cell>
          <cell r="J1586" t="str">
            <v>PremiumSS</v>
          </cell>
          <cell r="K1586" t="str">
            <v>ra002</v>
          </cell>
          <cell r="L1586" t="str">
            <v>ユークリッドチャレンジ</v>
          </cell>
          <cell r="M1586" t="str">
            <v>animal</v>
          </cell>
        </row>
        <row r="1587">
          <cell r="A1587">
            <v>6016</v>
          </cell>
          <cell r="B1587" t="str">
            <v>ja</v>
          </cell>
          <cell r="C1587" t="str">
            <v>根原論理 ユークリッド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5</v>
          </cell>
          <cell r="J1587" t="str">
            <v>PremiumSSS</v>
          </cell>
          <cell r="K1587" t="str">
            <v>ra002</v>
          </cell>
          <cell r="L1587" t="str">
            <v>ユークリッドチャレンジ</v>
          </cell>
          <cell r="M1587" t="str">
            <v>human</v>
          </cell>
        </row>
        <row r="1588">
          <cell r="A1588">
            <v>6017</v>
          </cell>
          <cell r="B1588" t="str">
            <v>ja</v>
          </cell>
          <cell r="C1588" t="str">
            <v>不朽の極論 ユークリッド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blue</v>
          </cell>
          <cell r="I1588">
            <v>6</v>
          </cell>
          <cell r="J1588" t="str">
            <v>PremiumSSS</v>
          </cell>
          <cell r="K1588" t="str">
            <v>ra002</v>
          </cell>
          <cell r="L1588" t="str">
            <v>ユークリッドチャレンジ</v>
          </cell>
          <cell r="M1588" t="str">
            <v>human</v>
          </cell>
        </row>
        <row r="1589">
          <cell r="A1589">
            <v>6018</v>
          </cell>
          <cell r="B1589" t="str">
            <v>ja</v>
          </cell>
          <cell r="C1589" t="str">
            <v>ハヅル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PremiumSS</v>
          </cell>
          <cell r="K1589" t="str">
            <v>ra002</v>
          </cell>
          <cell r="L1589" t="str">
            <v>ユークリッドチャレンジ</v>
          </cell>
          <cell r="M1589" t="str">
            <v>animal</v>
          </cell>
        </row>
        <row r="1590">
          <cell r="A1590">
            <v>6019</v>
          </cell>
          <cell r="B1590" t="str">
            <v>ja</v>
          </cell>
          <cell r="C1590" t="str">
            <v>天織羽鶴 ハヅル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red</v>
          </cell>
          <cell r="I1590">
            <v>5</v>
          </cell>
          <cell r="J1590" t="str">
            <v>PremiumSS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6020</v>
          </cell>
          <cell r="B1591" t="str">
            <v>ja</v>
          </cell>
          <cell r="C1591" t="str">
            <v>ミズチ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</v>
          </cell>
          <cell r="K1591" t="str">
            <v>ra002</v>
          </cell>
          <cell r="L1591" t="str">
            <v>ユークリッドチャレンジ</v>
          </cell>
          <cell r="M1591" t="str">
            <v>dragon</v>
          </cell>
        </row>
        <row r="1592">
          <cell r="A1592">
            <v>8001</v>
          </cell>
          <cell r="B1592" t="str">
            <v>ja</v>
          </cell>
          <cell r="C1592" t="str">
            <v>媽祖</v>
          </cell>
          <cell r="D1592" t="str">
            <v>イベント:ミクコラボ01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attack</v>
          </cell>
          <cell r="L1592" t="str">
            <v>攻撃タイプ</v>
          </cell>
          <cell r="M1592" t="str">
            <v>god</v>
          </cell>
        </row>
        <row r="1593">
          <cell r="A1593">
            <v>8002</v>
          </cell>
          <cell r="B1593" t="str">
            <v>ja</v>
          </cell>
          <cell r="C1593" t="str">
            <v>宣導する天海妃 媽祖</v>
          </cell>
          <cell r="D1593" t="str">
            <v>イベント:ミクコラボ01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6</v>
          </cell>
          <cell r="J1593" t="str">
            <v>PremiumSS</v>
          </cell>
          <cell r="K1593" t="str">
            <v>attack</v>
          </cell>
          <cell r="L1593" t="str">
            <v>攻撃タイプ</v>
          </cell>
          <cell r="M1593" t="str">
            <v>god</v>
          </cell>
        </row>
        <row r="1594">
          <cell r="A1594">
            <v>8003</v>
          </cell>
          <cell r="B1594" t="str">
            <v>ja</v>
          </cell>
          <cell r="C1594" t="str">
            <v>蛟龍</v>
          </cell>
          <cell r="D1594" t="str">
            <v>イベント:ミクコラボ01</v>
          </cell>
          <cell r="E1594" t="str">
            <v>執行者</v>
          </cell>
          <cell r="F1594" t="str">
            <v>格好いい</v>
          </cell>
          <cell r="G1594" t="str">
            <v>不明</v>
          </cell>
          <cell r="H1594" t="str">
            <v>blue</v>
          </cell>
          <cell r="I1594">
            <v>5</v>
          </cell>
          <cell r="J1594" t="str">
            <v>DropWizS</v>
          </cell>
          <cell r="K1594" t="str">
            <v>hp</v>
          </cell>
          <cell r="L1594" t="str">
            <v>体力タイプ</v>
          </cell>
          <cell r="M1594" t="str">
            <v>dragon</v>
          </cell>
        </row>
        <row r="1595">
          <cell r="A1595">
            <v>8004</v>
          </cell>
          <cell r="B1595" t="str">
            <v>ja</v>
          </cell>
          <cell r="C1595" t="str">
            <v>呼嵐の蒼棲龍 蛟龍</v>
          </cell>
          <cell r="D1595" t="str">
            <v>イベント:ミクコラボ01</v>
          </cell>
          <cell r="E1595" t="str">
            <v>執行者</v>
          </cell>
          <cell r="F1595" t="str">
            <v>格好いい</v>
          </cell>
          <cell r="G1595" t="str">
            <v>不明</v>
          </cell>
          <cell r="H1595" t="str">
            <v>blue</v>
          </cell>
          <cell r="I1595">
            <v>6</v>
          </cell>
          <cell r="J1595" t="str">
            <v>DropWizS</v>
          </cell>
          <cell r="K1595" t="str">
            <v>hp</v>
          </cell>
          <cell r="L1595" t="str">
            <v>体力タイプ</v>
          </cell>
          <cell r="M1595" t="str">
            <v>dragon</v>
          </cell>
        </row>
        <row r="1596">
          <cell r="A1596">
            <v>8005</v>
          </cell>
          <cell r="B1596" t="str">
            <v>ja</v>
          </cell>
          <cell r="C1596" t="str">
            <v>三蔵法師</v>
          </cell>
          <cell r="D1596" t="str">
            <v>イベント:ミクコラボ01</v>
          </cell>
          <cell r="E1596" t="str">
            <v>執行者</v>
          </cell>
          <cell r="F1596" t="str">
            <v>格好いい</v>
          </cell>
          <cell r="G1596" t="str">
            <v>不明</v>
          </cell>
          <cell r="H1596" t="str">
            <v>blue</v>
          </cell>
          <cell r="I1596">
            <v>5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human</v>
          </cell>
        </row>
        <row r="1597">
          <cell r="A1597">
            <v>8006</v>
          </cell>
          <cell r="B1597" t="str">
            <v>ja</v>
          </cell>
          <cell r="C1597" t="str">
            <v>慈戒の呪封使 三蔵法師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不明</v>
          </cell>
          <cell r="H1597" t="str">
            <v>blue</v>
          </cell>
          <cell r="I1597">
            <v>6</v>
          </cell>
          <cell r="J1597" t="str">
            <v>PremiumSS</v>
          </cell>
          <cell r="K1597" t="str">
            <v>balance</v>
          </cell>
          <cell r="L1597" t="str">
            <v>バランスタイプ</v>
          </cell>
          <cell r="M1597" t="str">
            <v>human</v>
          </cell>
        </row>
        <row r="1598">
          <cell r="A1598">
            <v>8007</v>
          </cell>
          <cell r="B1598" t="str">
            <v>ja</v>
          </cell>
          <cell r="C1598" t="str">
            <v>孫悟空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5</v>
          </cell>
          <cell r="J1598" t="str">
            <v>DropWizS</v>
          </cell>
          <cell r="K1598" t="str">
            <v>attack</v>
          </cell>
          <cell r="L1598" t="str">
            <v>攻撃タイプ</v>
          </cell>
          <cell r="M1598" t="str">
            <v>animal</v>
          </cell>
        </row>
        <row r="1599">
          <cell r="A1599">
            <v>8008</v>
          </cell>
          <cell r="B1599" t="str">
            <v>ja</v>
          </cell>
          <cell r="C1599" t="str">
            <v>花果の天猿仙人 孫悟空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red</v>
          </cell>
          <cell r="I1599">
            <v>6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8009</v>
          </cell>
          <cell r="B1600" t="str">
            <v>ja</v>
          </cell>
          <cell r="C1600" t="str">
            <v>西王娘娘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green</v>
          </cell>
          <cell r="I1600">
            <v>5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god</v>
          </cell>
        </row>
        <row r="1601">
          <cell r="A1601">
            <v>8010</v>
          </cell>
          <cell r="B1601" t="str">
            <v>ja</v>
          </cell>
          <cell r="C1601" t="str">
            <v>極楽瑶池の聖母 西王娘娘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green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god</v>
          </cell>
        </row>
        <row r="1602">
          <cell r="A1602">
            <v>8011</v>
          </cell>
          <cell r="B1602" t="str">
            <v>ja</v>
          </cell>
          <cell r="C1602" t="str">
            <v>月下老人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DropWizS</v>
          </cell>
          <cell r="K1602" t="str">
            <v>balance</v>
          </cell>
          <cell r="L1602" t="str">
            <v>バランスタイプ</v>
          </cell>
          <cell r="M1602" t="str">
            <v>god</v>
          </cell>
        </row>
        <row r="1603">
          <cell r="A1603">
            <v>8012</v>
          </cell>
          <cell r="B1603" t="str">
            <v>ja</v>
          </cell>
          <cell r="C1603" t="str">
            <v>破戀斬る縁剣 月下老人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DropWizS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8013</v>
          </cell>
          <cell r="B1604" t="str">
            <v>ja</v>
          </cell>
          <cell r="C1604" t="str">
            <v>初音ミクV3</v>
          </cell>
          <cell r="D1604" t="str">
            <v>初音ミクV3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4</v>
          </cell>
          <cell r="J1604" t="str">
            <v>DropWizS</v>
          </cell>
          <cell r="K1604" t="str">
            <v>balance</v>
          </cell>
          <cell r="L1604" t="str">
            <v>バランスタイプ</v>
          </cell>
          <cell r="M1604" t="str">
            <v>unknown</v>
          </cell>
        </row>
        <row r="1605">
          <cell r="A1605">
            <v>8014</v>
          </cell>
          <cell r="B1605" t="str">
            <v>ja</v>
          </cell>
          <cell r="C1605" t="str">
            <v>初音ミクV3</v>
          </cell>
          <cell r="D1605" t="str">
            <v>初音ミクV3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5</v>
          </cell>
          <cell r="J1605" t="str">
            <v>DropWizS</v>
          </cell>
          <cell r="K1605" t="str">
            <v>balance</v>
          </cell>
          <cell r="L1605" t="str">
            <v>バランスタイプ</v>
          </cell>
          <cell r="M1605" t="str">
            <v>unknown</v>
          </cell>
        </row>
        <row r="1606">
          <cell r="A1606">
            <v>8015</v>
          </cell>
          <cell r="B1606" t="str">
            <v>ja</v>
          </cell>
          <cell r="C1606" t="str">
            <v>初音ミク・アペンド</v>
          </cell>
          <cell r="D1606" t="str">
            <v>初音ミク・アペンド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4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8016</v>
          </cell>
          <cell r="B1607" t="str">
            <v>ja</v>
          </cell>
          <cell r="C1607" t="str">
            <v>初音ミク・アペンド</v>
          </cell>
          <cell r="D1607" t="str">
            <v>初音ミク・アペンド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green</v>
          </cell>
          <cell r="I1607">
            <v>5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8017</v>
          </cell>
          <cell r="B1608" t="str">
            <v>ja</v>
          </cell>
          <cell r="C1608" t="str">
            <v>初音ミク</v>
          </cell>
          <cell r="D1608" t="str">
            <v>初音ミク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green</v>
          </cell>
          <cell r="I1608">
            <v>4</v>
          </cell>
          <cell r="J1608" t="str">
            <v>PremiumSSS</v>
          </cell>
          <cell r="K1608" t="str">
            <v>balance</v>
          </cell>
          <cell r="L1608" t="str">
            <v>バランスタイプ</v>
          </cell>
          <cell r="M1608" t="str">
            <v>unknown</v>
          </cell>
        </row>
        <row r="1609">
          <cell r="A1609">
            <v>8018</v>
          </cell>
          <cell r="B1609" t="str">
            <v>ja</v>
          </cell>
          <cell r="C1609" t="str">
            <v>初音ミク</v>
          </cell>
          <cell r="D1609" t="str">
            <v>初音ミク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8019</v>
          </cell>
          <cell r="B1610" t="str">
            <v>ja</v>
          </cell>
          <cell r="C1610" t="str">
            <v>鏡音リン</v>
          </cell>
          <cell r="D1610" t="str">
            <v>鏡音リン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yellow</v>
          </cell>
          <cell r="I1610">
            <v>4</v>
          </cell>
          <cell r="J1610" t="str">
            <v>PremiumSS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8020</v>
          </cell>
          <cell r="B1611" t="str">
            <v>ja</v>
          </cell>
          <cell r="C1611" t="str">
            <v>鏡音リン</v>
          </cell>
          <cell r="D1611" t="str">
            <v>鏡音リン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yellow</v>
          </cell>
          <cell r="I1611">
            <v>5</v>
          </cell>
          <cell r="J1611" t="str">
            <v>PremiumSS</v>
          </cell>
          <cell r="K1611" t="str">
            <v>balance</v>
          </cell>
          <cell r="L1611" t="str">
            <v>バランスタイプ</v>
          </cell>
          <cell r="M1611" t="str">
            <v>unknown</v>
          </cell>
        </row>
        <row r="1612">
          <cell r="A1612">
            <v>8021</v>
          </cell>
          <cell r="B1612" t="str">
            <v>ja</v>
          </cell>
          <cell r="C1612" t="str">
            <v>鏡音レン</v>
          </cell>
          <cell r="D1612" t="str">
            <v>鏡音レン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4</v>
          </cell>
          <cell r="J1612" t="str">
            <v>PremiumSS</v>
          </cell>
          <cell r="K1612" t="str">
            <v>heal</v>
          </cell>
          <cell r="L1612" t="str">
            <v>回復タイプ</v>
          </cell>
          <cell r="M1612" t="str">
            <v>unknown</v>
          </cell>
        </row>
        <row r="1613">
          <cell r="A1613">
            <v>8022</v>
          </cell>
          <cell r="B1613" t="str">
            <v>ja</v>
          </cell>
          <cell r="C1613" t="str">
            <v>鏡音レン</v>
          </cell>
          <cell r="D1613" t="str">
            <v>鏡音レン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5</v>
          </cell>
          <cell r="J1613" t="str">
            <v>PremiumSS</v>
          </cell>
          <cell r="K1613" t="str">
            <v>heal</v>
          </cell>
          <cell r="L1613" t="str">
            <v>回復タイプ</v>
          </cell>
          <cell r="M1613" t="str">
            <v>unknown</v>
          </cell>
        </row>
        <row r="1614">
          <cell r="A1614">
            <v>8023</v>
          </cell>
          <cell r="B1614" t="str">
            <v>ja</v>
          </cell>
          <cell r="C1614" t="str">
            <v>巡音ルカ</v>
          </cell>
          <cell r="D1614" t="str">
            <v>巡音ルカ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red</v>
          </cell>
          <cell r="I1614">
            <v>3</v>
          </cell>
          <cell r="J1614" t="str">
            <v>PremiumS</v>
          </cell>
          <cell r="K1614" t="str">
            <v>attack</v>
          </cell>
          <cell r="L1614" t="str">
            <v>攻撃タイプ</v>
          </cell>
          <cell r="M1614" t="str">
            <v>unknown</v>
          </cell>
        </row>
        <row r="1615">
          <cell r="A1615">
            <v>8024</v>
          </cell>
          <cell r="B1615" t="str">
            <v>ja</v>
          </cell>
          <cell r="C1615" t="str">
            <v>巡音ルカ</v>
          </cell>
          <cell r="D1615" t="str">
            <v>巡音ルカ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PremiumS</v>
          </cell>
          <cell r="K1615" t="str">
            <v>attack</v>
          </cell>
          <cell r="L1615" t="str">
            <v>攻撃タイプ</v>
          </cell>
          <cell r="M1615" t="str">
            <v>unknown</v>
          </cell>
        </row>
        <row r="1616">
          <cell r="A1616">
            <v>8025</v>
          </cell>
          <cell r="B1616" t="str">
            <v>ja</v>
          </cell>
          <cell r="C1616" t="str">
            <v>MEIKO</v>
          </cell>
          <cell r="D1616" t="str">
            <v>MEIKO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3</v>
          </cell>
          <cell r="J1616" t="str">
            <v>PremiumS</v>
          </cell>
          <cell r="K1616" t="str">
            <v>hp</v>
          </cell>
          <cell r="L1616" t="str">
            <v>体力タイプ</v>
          </cell>
          <cell r="M1616" t="str">
            <v>unknown</v>
          </cell>
        </row>
        <row r="1617">
          <cell r="A1617">
            <v>8026</v>
          </cell>
          <cell r="B1617" t="str">
            <v>ja</v>
          </cell>
          <cell r="C1617" t="str">
            <v>MEIKO</v>
          </cell>
          <cell r="D1617" t="str">
            <v>MEIKO</v>
          </cell>
          <cell r="E1617" t="str">
            <v>執行者</v>
          </cell>
          <cell r="F1617" t="str">
            <v>格好いい</v>
          </cell>
          <cell r="G1617" t="str">
            <v>男性</v>
          </cell>
          <cell r="H1617" t="str">
            <v>red</v>
          </cell>
          <cell r="I1617">
            <v>4</v>
          </cell>
          <cell r="J1617" t="str">
            <v>PremiumS</v>
          </cell>
          <cell r="K1617" t="str">
            <v>hp</v>
          </cell>
          <cell r="L1617" t="str">
            <v>体力タイプ</v>
          </cell>
          <cell r="M1617" t="str">
            <v>unknown</v>
          </cell>
        </row>
        <row r="1618">
          <cell r="A1618">
            <v>8027</v>
          </cell>
          <cell r="B1618" t="str">
            <v>ja</v>
          </cell>
          <cell r="C1618" t="str">
            <v>KAITO</v>
          </cell>
          <cell r="D1618" t="str">
            <v>KAITO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blue</v>
          </cell>
          <cell r="I1618">
            <v>3</v>
          </cell>
          <cell r="J1618" t="str">
            <v>PremiumS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8028</v>
          </cell>
          <cell r="B1619" t="str">
            <v>ja</v>
          </cell>
          <cell r="C1619" t="str">
            <v>KAITO</v>
          </cell>
          <cell r="D1619" t="str">
            <v>KAITO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4</v>
          </cell>
          <cell r="J1619" t="str">
            <v>PremiumS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</row>
        <row r="1620">
          <cell r="A1620">
            <v>8029</v>
          </cell>
          <cell r="B1620" t="str">
            <v>ja</v>
          </cell>
          <cell r="C1620" t="str">
            <v>Expoミク</v>
          </cell>
          <cell r="D1620" t="str">
            <v>Expoミク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blue</v>
          </cell>
          <cell r="I1620">
            <v>4</v>
          </cell>
          <cell r="J1620" t="str">
            <v>Drop2N</v>
          </cell>
          <cell r="K1620" t="str">
            <v>heal</v>
          </cell>
          <cell r="L1620" t="str">
            <v>回復タイプ</v>
          </cell>
          <cell r="M1620" t="str">
            <v>unknown</v>
          </cell>
        </row>
        <row r="1621">
          <cell r="A1621">
            <v>8030</v>
          </cell>
          <cell r="B1621" t="str">
            <v>ja</v>
          </cell>
          <cell r="C1621" t="str">
            <v>Expoミク</v>
          </cell>
          <cell r="D1621" t="str">
            <v>Expoミク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5</v>
          </cell>
          <cell r="J1621" t="str">
            <v>Drop2N</v>
          </cell>
          <cell r="K1621" t="str">
            <v>heal</v>
          </cell>
          <cell r="L1621" t="str">
            <v>回復タイプ</v>
          </cell>
          <cell r="M1621" t="str">
            <v>unknown</v>
          </cell>
        </row>
        <row r="1622">
          <cell r="A1622">
            <v>8031</v>
          </cell>
          <cell r="B1622" t="str">
            <v>ja</v>
          </cell>
          <cell r="C1622" t="str">
            <v>閻羅王</v>
          </cell>
          <cell r="D1622" t="str">
            <v>Expoミク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8032</v>
          </cell>
          <cell r="B1623" t="str">
            <v>ja</v>
          </cell>
          <cell r="C1623" t="str">
            <v>六道輪廻の絶獄 閻羅王</v>
          </cell>
          <cell r="D1623" t="str">
            <v>Expoミク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6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</row>
        <row r="1624">
          <cell r="A1624">
            <v>8033</v>
          </cell>
          <cell r="B1624" t="str">
            <v>ja</v>
          </cell>
          <cell r="C1624" t="str">
            <v>牛頭馬面</v>
          </cell>
          <cell r="D1624" t="str">
            <v>Expoミク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5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8034</v>
          </cell>
          <cell r="B1625" t="str">
            <v>ja</v>
          </cell>
          <cell r="C1625" t="str">
            <v>冥府狩る魂使 牛頭馬面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6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</row>
        <row r="1626">
          <cell r="A1626">
            <v>8035</v>
          </cell>
          <cell r="B1626" t="str">
            <v>ja</v>
          </cell>
          <cell r="C1626" t="str">
            <v>飛衛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PremiumSS</v>
          </cell>
          <cell r="K1626" t="str">
            <v>heal</v>
          </cell>
          <cell r="L1626" t="str">
            <v>回復タイプ</v>
          </cell>
          <cell r="M1626" t="str">
            <v>human</v>
          </cell>
        </row>
        <row r="1627">
          <cell r="A1627">
            <v>8036</v>
          </cell>
          <cell r="B1627" t="str">
            <v>ja</v>
          </cell>
          <cell r="C1627" t="str">
            <v>レア６飛衛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blue</v>
          </cell>
          <cell r="I1627">
            <v>6</v>
          </cell>
          <cell r="J1627" t="str">
            <v>PremiumSS</v>
          </cell>
          <cell r="K1627" t="str">
            <v>heal</v>
          </cell>
          <cell r="L1627" t="str">
            <v>回復タイプ</v>
          </cell>
          <cell r="M1627" t="str">
            <v>human</v>
          </cell>
        </row>
        <row r="1628">
          <cell r="A1628">
            <v>8037</v>
          </cell>
          <cell r="B1628" t="str">
            <v>ja</v>
          </cell>
          <cell r="C1628" t="str">
            <v>紀昌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DropWizS</v>
          </cell>
          <cell r="K1628" t="str">
            <v>attack</v>
          </cell>
          <cell r="L1628" t="str">
            <v>攻撃タイプ</v>
          </cell>
          <cell r="M1628" t="str">
            <v>human</v>
          </cell>
        </row>
        <row r="1629">
          <cell r="A1629">
            <v>8038</v>
          </cell>
          <cell r="B1629" t="str">
            <v>ja</v>
          </cell>
          <cell r="C1629" t="str">
            <v>レア６紀昌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6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human</v>
          </cell>
        </row>
        <row r="1630">
          <cell r="A1630">
            <v>8039</v>
          </cell>
          <cell r="B1630" t="str">
            <v>ja</v>
          </cell>
          <cell r="C1630" t="str">
            <v>何仙姑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yellow</v>
          </cell>
          <cell r="I1630">
            <v>5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god</v>
          </cell>
        </row>
        <row r="1631">
          <cell r="A1631">
            <v>8040</v>
          </cell>
          <cell r="B1631" t="str">
            <v>ja</v>
          </cell>
          <cell r="C1631" t="str">
            <v>レア６何仙姑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yellow</v>
          </cell>
          <cell r="I1631">
            <v>6</v>
          </cell>
          <cell r="J1631" t="str">
            <v>PremiumSSw</v>
          </cell>
          <cell r="K1631" t="str">
            <v>hp</v>
          </cell>
          <cell r="L1631" t="str">
            <v>体力タイプ</v>
          </cell>
          <cell r="M1631" t="str">
            <v>god</v>
          </cell>
        </row>
        <row r="1632">
          <cell r="A1632">
            <v>8041</v>
          </cell>
          <cell r="B1632" t="str">
            <v>ja</v>
          </cell>
          <cell r="C1632" t="str">
            <v>藍采和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5</v>
          </cell>
          <cell r="J1632" t="str">
            <v>DropWizS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8042</v>
          </cell>
          <cell r="B1633" t="str">
            <v>ja</v>
          </cell>
          <cell r="C1633" t="str">
            <v>レア６藍采和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6</v>
          </cell>
          <cell r="J1633" t="str">
            <v>DropWizS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8043</v>
          </cell>
          <cell r="B1634" t="str">
            <v>ja</v>
          </cell>
          <cell r="C1634" t="str">
            <v>サンリオキャラ大集合+アザゼル</v>
          </cell>
          <cell r="D1634" t="str">
            <v>サンリオキャラ大集合+アザゼル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</row>
        <row r="1635">
          <cell r="A1635">
            <v>8044</v>
          </cell>
          <cell r="B1635" t="str">
            <v>ja</v>
          </cell>
          <cell r="C1635" t="str">
            <v>サンリオキャラ大集合+アザゼル</v>
          </cell>
          <cell r="D1635" t="str">
            <v>サンリオキャラ大集合+アザゼル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technical</v>
          </cell>
          <cell r="L1635" t="str">
            <v>テクニカルタイプ</v>
          </cell>
          <cell r="M1635" t="str">
            <v>ss</v>
          </cell>
        </row>
        <row r="1636">
          <cell r="A1636">
            <v>8045</v>
          </cell>
          <cell r="B1636" t="str">
            <v>ja</v>
          </cell>
          <cell r="C1636" t="str">
            <v>ニムダ_サンリオキャラ混じり</v>
          </cell>
          <cell r="D1636" t="str">
            <v>ニムダ_サンリオキャラ混じり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Drop2N</v>
          </cell>
          <cell r="K1636" t="str">
            <v>technical</v>
          </cell>
          <cell r="L1636" t="str">
            <v>テクニカルタイプ</v>
          </cell>
          <cell r="M1636" t="str">
            <v>ss</v>
          </cell>
        </row>
        <row r="1637">
          <cell r="A1637">
            <v>8046</v>
          </cell>
          <cell r="B1637" t="str">
            <v>ja</v>
          </cell>
          <cell r="C1637" t="str">
            <v>ニムダ_サンリオキャラ混じり</v>
          </cell>
          <cell r="D1637" t="str">
            <v>ニムダ_サンリオキャラ混じり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Drop2N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8047</v>
          </cell>
          <cell r="B1638" t="str">
            <v>ja</v>
          </cell>
          <cell r="C1638" t="str">
            <v>ハローキティ</v>
          </cell>
          <cell r="D1638" t="str">
            <v>ハローキティ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4</v>
          </cell>
          <cell r="J1638" t="str">
            <v>Drop2N</v>
          </cell>
          <cell r="K1638" t="str">
            <v>balance</v>
          </cell>
          <cell r="L1638" t="str">
            <v>バランスタイプ</v>
          </cell>
          <cell r="M1638" t="str">
            <v>ss</v>
          </cell>
        </row>
        <row r="1639">
          <cell r="A1639">
            <v>8048</v>
          </cell>
          <cell r="B1639" t="str">
            <v>ja</v>
          </cell>
          <cell r="C1639" t="str">
            <v>ハローキティ</v>
          </cell>
          <cell r="D1639" t="str">
            <v>ハローキティ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5</v>
          </cell>
          <cell r="J1639" t="str">
            <v>Drop2N</v>
          </cell>
          <cell r="K1639" t="str">
            <v>balance</v>
          </cell>
          <cell r="L1639" t="str">
            <v>バランスタイプ</v>
          </cell>
          <cell r="M1639" t="str">
            <v>ss</v>
          </cell>
        </row>
        <row r="1640">
          <cell r="A1640">
            <v>8049</v>
          </cell>
          <cell r="B1640" t="str">
            <v>ja</v>
          </cell>
          <cell r="C1640" t="str">
            <v>KIRIMIちゃん</v>
          </cell>
          <cell r="D1640" t="str">
            <v>KIRIMIちゃん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4</v>
          </cell>
          <cell r="J1640" t="str">
            <v>Drop2N</v>
          </cell>
          <cell r="K1640" t="str">
            <v>hp</v>
          </cell>
          <cell r="L1640" t="str">
            <v>体力タイプ</v>
          </cell>
          <cell r="M1640" t="str">
            <v>ss</v>
          </cell>
        </row>
        <row r="1641">
          <cell r="A1641">
            <v>8050</v>
          </cell>
          <cell r="B1641" t="str">
            <v>ja</v>
          </cell>
          <cell r="C1641" t="str">
            <v>KIRIMIちゃん</v>
          </cell>
          <cell r="D1641" t="str">
            <v>KIRIMIちゃん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5</v>
          </cell>
          <cell r="J1641" t="str">
            <v>Drop2N</v>
          </cell>
          <cell r="K1641" t="str">
            <v>hp</v>
          </cell>
          <cell r="L1641" t="str">
            <v>体力タイプ</v>
          </cell>
          <cell r="M1641" t="str">
            <v>ss</v>
          </cell>
        </row>
        <row r="1642">
          <cell r="A1642">
            <v>8051</v>
          </cell>
          <cell r="B1642" t="str">
            <v>ja</v>
          </cell>
          <cell r="C1642" t="str">
            <v>ハローキティのリボン</v>
          </cell>
          <cell r="D1642" t="str">
            <v>ハローキティのリボン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red</v>
          </cell>
          <cell r="I1642">
            <v>5</v>
          </cell>
          <cell r="J1642" t="str">
            <v>Drop2N</v>
          </cell>
          <cell r="K1642" t="str">
            <v>evolution</v>
          </cell>
          <cell r="L1642" t="str">
            <v>覚醒素材タイプ</v>
          </cell>
          <cell r="M1642" t="str">
            <v>ss</v>
          </cell>
        </row>
        <row r="1643">
          <cell r="A1643">
            <v>8052</v>
          </cell>
          <cell r="B1643" t="str">
            <v>ja</v>
          </cell>
          <cell r="C1643" t="str">
            <v>ママの作ったアップルパイ</v>
          </cell>
          <cell r="D1643" t="str">
            <v>ママの作ったアップルパイ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evolution</v>
          </cell>
          <cell r="L1643" t="str">
            <v>覚醒素材タイプ</v>
          </cell>
          <cell r="M1643" t="str">
            <v>ss</v>
          </cell>
        </row>
        <row r="1644">
          <cell r="A1644">
            <v>8053</v>
          </cell>
          <cell r="B1644" t="str">
            <v>ja</v>
          </cell>
          <cell r="C1644" t="str">
            <v>D.R.T.H__キティコスプレ</v>
          </cell>
          <cell r="D1644" t="str">
            <v>D.R.T.H__キティコスプレ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8054</v>
          </cell>
          <cell r="B1645" t="str">
            <v>ja</v>
          </cell>
          <cell r="C1645" t="str">
            <v>D.R.T.H__キティコスプレ</v>
          </cell>
          <cell r="D1645" t="str">
            <v>D.R.T.H__キティコスプレ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ss</v>
          </cell>
        </row>
        <row r="1646">
          <cell r="A1646">
            <v>8055</v>
          </cell>
          <cell r="B1646" t="str">
            <v>ja</v>
          </cell>
          <cell r="C1646" t="str">
            <v>マイメロディ</v>
          </cell>
          <cell r="D1646" t="str">
            <v>マイメロディ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4</v>
          </cell>
          <cell r="J1646" t="str">
            <v>PremiumS</v>
          </cell>
          <cell r="K1646" t="str">
            <v>attack</v>
          </cell>
          <cell r="L1646" t="str">
            <v>攻撃タイプ</v>
          </cell>
          <cell r="M1646" t="str">
            <v>ss</v>
          </cell>
        </row>
        <row r="1647">
          <cell r="A1647">
            <v>8056</v>
          </cell>
          <cell r="B1647" t="str">
            <v>ja</v>
          </cell>
          <cell r="C1647" t="str">
            <v>マイメロディ</v>
          </cell>
          <cell r="D1647" t="str">
            <v>マイメロディ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PremiumS</v>
          </cell>
          <cell r="K1647" t="str">
            <v>attack</v>
          </cell>
          <cell r="L1647" t="str">
            <v>攻撃タイプ</v>
          </cell>
          <cell r="M1647" t="str">
            <v>ss</v>
          </cell>
        </row>
        <row r="1648">
          <cell r="A1648">
            <v>8057</v>
          </cell>
          <cell r="B1648" t="str">
            <v>ja</v>
          </cell>
          <cell r="C1648" t="str">
            <v>ニーベルゲン_シナモロールコスプレ</v>
          </cell>
          <cell r="D1648" t="str">
            <v>ニーベルゲン_シナモロールコスプレ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4</v>
          </cell>
          <cell r="J1648" t="str">
            <v>PremiumS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8058</v>
          </cell>
          <cell r="B1649" t="str">
            <v>ja</v>
          </cell>
          <cell r="C1649" t="str">
            <v>ニーベルゲン_シナモロールコスプレ</v>
          </cell>
          <cell r="D1649" t="str">
            <v>ニーベルゲン_シナモロールコスプレ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5</v>
          </cell>
          <cell r="J1649" t="str">
            <v>PremiumS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8059</v>
          </cell>
          <cell r="B1650" t="str">
            <v>ja</v>
          </cell>
          <cell r="C1650" t="str">
            <v>カカシ_マイメロディコスプレ</v>
          </cell>
          <cell r="D1650" t="str">
            <v>カカシ_マイメロディコスプレ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green</v>
          </cell>
          <cell r="I1650">
            <v>4</v>
          </cell>
          <cell r="J1650" t="str">
            <v>PremiumS</v>
          </cell>
          <cell r="K1650" t="str">
            <v>technical</v>
          </cell>
          <cell r="L1650" t="str">
            <v>テクニカルタイプ</v>
          </cell>
          <cell r="M1650" t="str">
            <v>ss</v>
          </cell>
        </row>
        <row r="1651">
          <cell r="A1651">
            <v>8060</v>
          </cell>
          <cell r="B1651" t="str">
            <v>ja</v>
          </cell>
          <cell r="C1651" t="str">
            <v>カカシ_マイメロディコスプレ</v>
          </cell>
          <cell r="D1651" t="str">
            <v>カカシ_マイメロディコスプレ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green</v>
          </cell>
          <cell r="I1651">
            <v>5</v>
          </cell>
          <cell r="J1651" t="str">
            <v>PremiumS</v>
          </cell>
          <cell r="K1651" t="str">
            <v>technical</v>
          </cell>
          <cell r="L1651" t="str">
            <v>テクニカルタイプ</v>
          </cell>
          <cell r="M1651" t="str">
            <v>ss</v>
          </cell>
        </row>
        <row r="1652">
          <cell r="A1652">
            <v>8061</v>
          </cell>
          <cell r="B1652" t="str">
            <v>ja</v>
          </cell>
          <cell r="C1652" t="str">
            <v>ケロケロけろっぴ</v>
          </cell>
          <cell r="D1652" t="str">
            <v>ケロケロけろっぴ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green</v>
          </cell>
          <cell r="I1652">
            <v>3</v>
          </cell>
          <cell r="J1652" t="str">
            <v>PremiumS</v>
          </cell>
          <cell r="K1652" t="str">
            <v>balance</v>
          </cell>
          <cell r="L1652" t="str">
            <v>バランスタイプ</v>
          </cell>
          <cell r="M1652" t="str">
            <v>ss</v>
          </cell>
        </row>
        <row r="1653">
          <cell r="A1653">
            <v>8062</v>
          </cell>
          <cell r="B1653" t="str">
            <v>ja</v>
          </cell>
          <cell r="C1653" t="str">
            <v>ケロケロけろっぴ</v>
          </cell>
          <cell r="D1653" t="str">
            <v>ケロケロけろっぴ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8063</v>
          </cell>
          <cell r="B1654" t="str">
            <v>ja</v>
          </cell>
          <cell r="C1654" t="str">
            <v>モルドレッド_ポムポムプリンコスプレ</v>
          </cell>
          <cell r="D1654" t="str">
            <v>モルドレッド_ポムポムプリンコスプレ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PremiumSS</v>
          </cell>
          <cell r="K1654" t="str">
            <v>heal</v>
          </cell>
          <cell r="L1654" t="str">
            <v>回復タイプ</v>
          </cell>
          <cell r="M1654" t="str">
            <v>ss</v>
          </cell>
        </row>
        <row r="1655">
          <cell r="A1655">
            <v>8064</v>
          </cell>
          <cell r="B1655" t="str">
            <v>ja</v>
          </cell>
          <cell r="C1655" t="str">
            <v>モルドレッド_ポムポムプリンコスプレ</v>
          </cell>
          <cell r="D1655" t="str">
            <v>モルドレッド_ポムポムプリンコスプレ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PremiumSS</v>
          </cell>
          <cell r="K1655" t="str">
            <v>heal</v>
          </cell>
          <cell r="L1655" t="str">
            <v>回復タイプ</v>
          </cell>
          <cell r="M1655" t="str">
            <v>ss</v>
          </cell>
        </row>
        <row r="1656">
          <cell r="A1656">
            <v>8065</v>
          </cell>
          <cell r="B1656" t="str">
            <v>ja</v>
          </cell>
          <cell r="C1656" t="str">
            <v>クロミ</v>
          </cell>
          <cell r="D1656" t="str">
            <v>クロミ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3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8066</v>
          </cell>
          <cell r="B1657" t="str">
            <v>ja</v>
          </cell>
          <cell r="C1657" t="str">
            <v>クロミ</v>
          </cell>
          <cell r="D1657" t="str">
            <v>クロミ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4</v>
          </cell>
          <cell r="J1657" t="str">
            <v>PremiumS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8067</v>
          </cell>
          <cell r="B1658" t="str">
            <v>ja</v>
          </cell>
          <cell r="C1658" t="str">
            <v>バッドばつ丸</v>
          </cell>
          <cell r="D1658" t="str">
            <v>バッドばつ丸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blue</v>
          </cell>
          <cell r="I1658">
            <v>3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</row>
        <row r="1659">
          <cell r="A1659">
            <v>8068</v>
          </cell>
          <cell r="B1659" t="str">
            <v>ja</v>
          </cell>
          <cell r="C1659" t="str">
            <v>バッドばつ丸</v>
          </cell>
          <cell r="D1659" t="str">
            <v>バッドばつ丸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4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</row>
        <row r="1660">
          <cell r="A1660">
            <v>8069</v>
          </cell>
          <cell r="B1660" t="str">
            <v>ja</v>
          </cell>
          <cell r="C1660" t="str">
            <v>シナモロール</v>
          </cell>
          <cell r="D1660" t="str">
            <v>シナモロール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PremiumS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8070</v>
          </cell>
          <cell r="B1661" t="str">
            <v>ja</v>
          </cell>
          <cell r="C1661" t="str">
            <v>シナモロール</v>
          </cell>
          <cell r="D1661" t="str">
            <v>シナモロール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PremiumS</v>
          </cell>
          <cell r="K1661" t="str">
            <v>heal</v>
          </cell>
          <cell r="L1661" t="str">
            <v>回復タイプ</v>
          </cell>
          <cell r="M1661" t="str">
            <v>ss</v>
          </cell>
        </row>
        <row r="1662">
          <cell r="A1662">
            <v>8071</v>
          </cell>
          <cell r="B1662" t="str">
            <v>ja</v>
          </cell>
          <cell r="C1662" t="str">
            <v>ポムポムプリン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3</v>
          </cell>
          <cell r="J1662" t="str">
            <v>PremiumS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8072</v>
          </cell>
          <cell r="B1663" t="str">
            <v>ja</v>
          </cell>
          <cell r="C1663" t="str">
            <v>ポムポムプリン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yellow</v>
          </cell>
          <cell r="I1663">
            <v>4</v>
          </cell>
          <cell r="J1663" t="str">
            <v>PremiumS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8073</v>
          </cell>
          <cell r="B1664" t="str">
            <v>ja</v>
          </cell>
          <cell r="C1664" t="str">
            <v>星海祈る天光妃 媽祖</v>
          </cell>
          <cell r="D1664" t="str">
            <v>Expoミク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attack</v>
          </cell>
          <cell r="L1664" t="str">
            <v>攻撃タイプ</v>
          </cell>
          <cell r="M1664" t="str">
            <v>human</v>
          </cell>
        </row>
        <row r="1665">
          <cell r="A1665">
            <v>8074</v>
          </cell>
          <cell r="B1665" t="str">
            <v>ja</v>
          </cell>
          <cell r="C1665" t="str">
            <v>海戀の絶龍姫 蛟龍</v>
          </cell>
          <cell r="D1665" t="str">
            <v>Expoミク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DropWizS</v>
          </cell>
          <cell r="K1665" t="str">
            <v>hp</v>
          </cell>
          <cell r="L1665" t="str">
            <v>体力タイプ</v>
          </cell>
          <cell r="M1665" t="str">
            <v>dragon</v>
          </cell>
        </row>
        <row r="1666">
          <cell r="A1666">
            <v>8075</v>
          </cell>
          <cell r="B1666" t="str">
            <v>ja</v>
          </cell>
          <cell r="C1666" t="str">
            <v>解脱天の知徳 三蔵法師</v>
          </cell>
          <cell r="D1666" t="str">
            <v>Expoミク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god</v>
          </cell>
        </row>
        <row r="1667">
          <cell r="A1667">
            <v>8076</v>
          </cell>
          <cell r="B1667" t="str">
            <v>ja</v>
          </cell>
          <cell r="C1667" t="str">
            <v>天暴の斉天大聖 孫悟空</v>
          </cell>
          <cell r="D1667" t="str">
            <v>Expoミク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DropWizS</v>
          </cell>
          <cell r="K1667" t="str">
            <v>attack</v>
          </cell>
          <cell r="L1667" t="str">
            <v>攻撃タイプ</v>
          </cell>
          <cell r="M1667" t="str">
            <v>unknown</v>
          </cell>
        </row>
        <row r="1668">
          <cell r="A1668">
            <v>8077</v>
          </cell>
          <cell r="B1668" t="str">
            <v>ja</v>
          </cell>
          <cell r="C1668" t="str">
            <v>鄭成功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5</v>
          </cell>
          <cell r="J1668" t="str">
            <v>PremiumSS</v>
          </cell>
          <cell r="K1668" t="str">
            <v>attack</v>
          </cell>
          <cell r="L1668" t="str">
            <v>攻撃タイプ</v>
          </cell>
          <cell r="M1668" t="str">
            <v>human</v>
          </cell>
        </row>
        <row r="1669">
          <cell r="A1669">
            <v>8078</v>
          </cell>
          <cell r="B1669" t="str">
            <v>ja</v>
          </cell>
          <cell r="C1669" t="str">
            <v>レア６鄭成功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8079</v>
          </cell>
          <cell r="B1670" t="str">
            <v>ja</v>
          </cell>
          <cell r="C1670" t="str">
            <v>赤鬼</v>
          </cell>
          <cell r="D1670" t="str">
            <v>ポムポムプリン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5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8080</v>
          </cell>
          <cell r="B1671" t="str">
            <v>ja</v>
          </cell>
          <cell r="C1671" t="str">
            <v>レア６赤鬼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6</v>
          </cell>
          <cell r="J1671" t="str">
            <v>DropWizS</v>
          </cell>
          <cell r="K1671" t="str">
            <v>hp</v>
          </cell>
          <cell r="L1671" t="str">
            <v>体力タイプ</v>
          </cell>
          <cell r="M1671" t="str">
            <v>dragon</v>
          </cell>
        </row>
        <row r="1672">
          <cell r="A1672">
            <v>8081</v>
          </cell>
          <cell r="B1672" t="str">
            <v>ja</v>
          </cell>
          <cell r="C1672" t="str">
            <v>関羽</v>
          </cell>
          <cell r="H1672" t="str">
            <v>green</v>
          </cell>
          <cell r="I1672">
            <v>5</v>
          </cell>
          <cell r="J1672" t="str">
            <v>PremiumSSS</v>
          </cell>
          <cell r="K1672" t="str">
            <v>balance</v>
          </cell>
          <cell r="L1672" t="str">
            <v>バランスタイプ</v>
          </cell>
          <cell r="M1672" t="str">
            <v>samurai</v>
          </cell>
        </row>
        <row r="1673">
          <cell r="A1673">
            <v>8082</v>
          </cell>
          <cell r="B1673" t="str">
            <v>ja</v>
          </cell>
          <cell r="C1673" t="str">
            <v>★６関羽</v>
          </cell>
          <cell r="H1673" t="str">
            <v>green</v>
          </cell>
          <cell r="I1673">
            <v>6</v>
          </cell>
          <cell r="J1673" t="str">
            <v>PremiumSSS</v>
          </cell>
          <cell r="K1673" t="str">
            <v>balance</v>
          </cell>
          <cell r="L1673" t="str">
            <v>バランスタイプ</v>
          </cell>
          <cell r="M1673" t="str">
            <v>samurai</v>
          </cell>
        </row>
        <row r="1674">
          <cell r="A1674">
            <v>8083</v>
          </cell>
          <cell r="B1674" t="str">
            <v>ja</v>
          </cell>
          <cell r="C1674" t="str">
            <v>曹操</v>
          </cell>
          <cell r="H1674" t="str">
            <v>yellow</v>
          </cell>
          <cell r="I1674">
            <v>5</v>
          </cell>
          <cell r="J1674" t="str">
            <v>DropWizSS</v>
          </cell>
          <cell r="K1674" t="str">
            <v>technical</v>
          </cell>
          <cell r="L1674" t="str">
            <v>テクニカルタイプ</v>
          </cell>
          <cell r="M1674" t="str">
            <v>samurai</v>
          </cell>
        </row>
        <row r="1675">
          <cell r="A1675">
            <v>8084</v>
          </cell>
          <cell r="B1675" t="str">
            <v>ja</v>
          </cell>
          <cell r="C1675" t="str">
            <v>★６曹操</v>
          </cell>
          <cell r="H1675" t="str">
            <v>yellow</v>
          </cell>
          <cell r="I1675">
            <v>6</v>
          </cell>
          <cell r="J1675" t="str">
            <v>DropWizSS</v>
          </cell>
          <cell r="K1675" t="str">
            <v>technical</v>
          </cell>
          <cell r="L1675" t="str">
            <v>テクニカルタイプ</v>
          </cell>
          <cell r="M1675" t="str">
            <v>samurai</v>
          </cell>
        </row>
        <row r="1676">
          <cell r="A1676">
            <v>8085</v>
          </cell>
          <cell r="B1676" t="str">
            <v>ja</v>
          </cell>
          <cell r="C1676" t="str">
            <v>九霊無上の聖母 西王娘娘</v>
          </cell>
          <cell r="H1676" t="str">
            <v>green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god</v>
          </cell>
        </row>
        <row r="1677">
          <cell r="A1677">
            <v>8086</v>
          </cell>
          <cell r="B1677" t="str">
            <v>ja</v>
          </cell>
          <cell r="C1677" t="str">
            <v>砕縁の情滅剣 月下老人</v>
          </cell>
          <cell r="H1677" t="str">
            <v>yellow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god</v>
          </cell>
        </row>
        <row r="1678">
          <cell r="A1678">
            <v>8087</v>
          </cell>
          <cell r="B1678" t="str">
            <v>ja</v>
          </cell>
          <cell r="C1678" t="str">
            <v>財神</v>
          </cell>
          <cell r="H1678" t="str">
            <v>red</v>
          </cell>
          <cell r="I1678">
            <v>5</v>
          </cell>
          <cell r="J1678" t="str">
            <v>PremiumSSS</v>
          </cell>
          <cell r="K1678" t="str">
            <v>technical</v>
          </cell>
          <cell r="L1678" t="str">
            <v>テクニカルタイプ</v>
          </cell>
          <cell r="M1678" t="str">
            <v>god</v>
          </cell>
        </row>
        <row r="1679">
          <cell r="A1679">
            <v>8088</v>
          </cell>
          <cell r="B1679" t="str">
            <v>ja</v>
          </cell>
          <cell r="C1679" t="str">
            <v>★６財神</v>
          </cell>
          <cell r="H1679" t="str">
            <v>red</v>
          </cell>
          <cell r="I1679">
            <v>6</v>
          </cell>
          <cell r="J1679" t="str">
            <v>PremiumSSS</v>
          </cell>
          <cell r="K1679" t="str">
            <v>technical</v>
          </cell>
          <cell r="L1679" t="str">
            <v>テクニカルタイプ</v>
          </cell>
          <cell r="M1679" t="str">
            <v>god</v>
          </cell>
        </row>
        <row r="1680">
          <cell r="A1680">
            <v>8089</v>
          </cell>
          <cell r="B1680" t="str">
            <v>ja</v>
          </cell>
          <cell r="C1680" t="str">
            <v>年獣</v>
          </cell>
          <cell r="H1680" t="str">
            <v>green</v>
          </cell>
          <cell r="I1680">
            <v>5</v>
          </cell>
          <cell r="J1680" t="str">
            <v>DropWizS</v>
          </cell>
          <cell r="K1680" t="str">
            <v>attack</v>
          </cell>
          <cell r="L1680" t="str">
            <v>攻撃タイプ</v>
          </cell>
          <cell r="M1680" t="str">
            <v>animal</v>
          </cell>
        </row>
        <row r="1681">
          <cell r="A1681">
            <v>8090</v>
          </cell>
          <cell r="B1681" t="str">
            <v>ja</v>
          </cell>
          <cell r="C1681" t="str">
            <v>★６年獣</v>
          </cell>
          <cell r="H1681" t="str">
            <v>green</v>
          </cell>
          <cell r="I1681">
            <v>6</v>
          </cell>
          <cell r="J1681" t="str">
            <v>DropWizS</v>
          </cell>
          <cell r="K1681" t="str">
            <v>attack</v>
          </cell>
          <cell r="L1681" t="str">
            <v>攻撃タイプ</v>
          </cell>
          <cell r="M1681" t="str">
            <v>animal</v>
          </cell>
        </row>
        <row r="1682">
          <cell r="A1682">
            <v>8095</v>
          </cell>
          <cell r="B1682" t="str">
            <v>ja</v>
          </cell>
          <cell r="C1682" t="str">
            <v>バハムートダック赤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6</v>
          </cell>
          <cell r="J1682" t="str">
            <v>Material</v>
          </cell>
          <cell r="K1682" t="str">
            <v>exp</v>
          </cell>
          <cell r="L1682" t="str">
            <v>強化素材タイプ</v>
          </cell>
          <cell r="M1682" t="str">
            <v>unknown</v>
          </cell>
        </row>
        <row r="1683">
          <cell r="A1683">
            <v>8096</v>
          </cell>
          <cell r="B1683" t="str">
            <v>ja</v>
          </cell>
          <cell r="C1683" t="str">
            <v>バハムートダック緑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6</v>
          </cell>
          <cell r="J1683" t="str">
            <v>Material</v>
          </cell>
          <cell r="K1683" t="str">
            <v>exp</v>
          </cell>
          <cell r="L1683" t="str">
            <v>強化素材タイプ</v>
          </cell>
          <cell r="M1683" t="str">
            <v>unknown</v>
          </cell>
        </row>
        <row r="1684">
          <cell r="A1684">
            <v>8097</v>
          </cell>
          <cell r="B1684" t="str">
            <v>ja</v>
          </cell>
          <cell r="C1684" t="str">
            <v>バハムートダック青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blue</v>
          </cell>
          <cell r="I1684">
            <v>6</v>
          </cell>
          <cell r="J1684" t="str">
            <v>Material</v>
          </cell>
          <cell r="K1684" t="str">
            <v>exp</v>
          </cell>
          <cell r="L1684" t="str">
            <v>強化素材タイプ</v>
          </cell>
          <cell r="M1684" t="str">
            <v>unknown</v>
          </cell>
        </row>
        <row r="1685">
          <cell r="A1685">
            <v>8098</v>
          </cell>
          <cell r="B1685" t="str">
            <v>ja</v>
          </cell>
          <cell r="C1685" t="str">
            <v>バハムートダック黄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6</v>
          </cell>
          <cell r="J1685" t="str">
            <v>Material</v>
          </cell>
          <cell r="K1685" t="str">
            <v>exp</v>
          </cell>
          <cell r="L1685" t="str">
            <v>強化素材タイプ</v>
          </cell>
          <cell r="M1685" t="str">
            <v>unknown</v>
          </cell>
        </row>
        <row r="1686">
          <cell r="A1686">
            <v>8099</v>
          </cell>
          <cell r="B1686" t="str">
            <v>ja</v>
          </cell>
          <cell r="C1686" t="str">
            <v>韓湘子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green</v>
          </cell>
          <cell r="I1686">
            <v>5</v>
          </cell>
          <cell r="J1686" t="str">
            <v>PremiumSSw</v>
          </cell>
          <cell r="K1686" t="str">
            <v>balance</v>
          </cell>
          <cell r="L1686" t="str">
            <v>バランスタイプ</v>
          </cell>
          <cell r="M1686" t="str">
            <v>god</v>
          </cell>
        </row>
        <row r="1687">
          <cell r="A1687">
            <v>8100</v>
          </cell>
          <cell r="B1687" t="str">
            <v>ja</v>
          </cell>
          <cell r="C1687" t="str">
            <v>韓湘子★６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green</v>
          </cell>
          <cell r="I1687">
            <v>6</v>
          </cell>
          <cell r="J1687" t="str">
            <v>PremiumSSw</v>
          </cell>
          <cell r="K1687" t="str">
            <v>balance</v>
          </cell>
          <cell r="L1687" t="str">
            <v>バランスタイプ</v>
          </cell>
          <cell r="M1687" t="str">
            <v>god</v>
          </cell>
        </row>
        <row r="1688">
          <cell r="A1688">
            <v>8101</v>
          </cell>
          <cell r="B1688" t="str">
            <v>ja</v>
          </cell>
          <cell r="C1688" t="str">
            <v>張果老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5</v>
          </cell>
          <cell r="J1688" t="str">
            <v>DropWizS</v>
          </cell>
          <cell r="K1688" t="str">
            <v>attack</v>
          </cell>
          <cell r="L1688" t="str">
            <v>攻撃タイプ</v>
          </cell>
          <cell r="M1688" t="str">
            <v>god</v>
          </cell>
        </row>
        <row r="1689">
          <cell r="A1689">
            <v>8102</v>
          </cell>
          <cell r="B1689" t="str">
            <v>ja</v>
          </cell>
          <cell r="C1689" t="str">
            <v>張果老★６</v>
          </cell>
          <cell r="D1689" t="str">
            <v>各属性相性良3・黄・R455</v>
          </cell>
          <cell r="E1689" t="str">
            <v>執行者</v>
          </cell>
          <cell r="F1689" t="str">
            <v>格好いい</v>
          </cell>
          <cell r="G1689" t="str">
            <v>男性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</row>
        <row r="1690">
          <cell r="A1690">
            <v>8103</v>
          </cell>
          <cell r="B1690" t="str">
            <v>ja</v>
          </cell>
          <cell r="C1690" t="str">
            <v>李鐵拐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PremiumSSw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</row>
        <row r="1691">
          <cell r="A1691">
            <v>8104</v>
          </cell>
          <cell r="B1691" t="str">
            <v>ja</v>
          </cell>
          <cell r="C1691" t="str">
            <v>李鐵拐★６</v>
          </cell>
          <cell r="D1691" t="str">
            <v>各属性相性良3・黄・R455</v>
          </cell>
          <cell r="E1691" t="str">
            <v>執行者</v>
          </cell>
          <cell r="F1691" t="str">
            <v>格好いい</v>
          </cell>
          <cell r="G1691" t="str">
            <v>男性</v>
          </cell>
          <cell r="H1691" t="str">
            <v>red</v>
          </cell>
          <cell r="I1691">
            <v>6</v>
          </cell>
          <cell r="J1691" t="str">
            <v>PremiumSSw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</row>
        <row r="1692">
          <cell r="A1692">
            <v>8105</v>
          </cell>
          <cell r="B1692" t="str">
            <v>ja</v>
          </cell>
          <cell r="C1692" t="str">
            <v>曹國舅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god</v>
          </cell>
        </row>
        <row r="1693">
          <cell r="A1693">
            <v>8106</v>
          </cell>
          <cell r="B1693" t="str">
            <v>ja</v>
          </cell>
          <cell r="C1693" t="str">
            <v>曹國舅★６</v>
          </cell>
          <cell r="D1693" t="str">
            <v>各属性相性良3・黄・R455</v>
          </cell>
          <cell r="E1693" t="str">
            <v>執行者</v>
          </cell>
          <cell r="F1693" t="str">
            <v>格好いい</v>
          </cell>
          <cell r="G1693" t="str">
            <v>男性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god</v>
          </cell>
        </row>
        <row r="1694">
          <cell r="A1694">
            <v>9001</v>
          </cell>
          <cell r="B1694" t="str">
            <v>ja</v>
          </cell>
          <cell r="C1694" t="str">
            <v>春香</v>
          </cell>
          <cell r="D1694" t="str">
            <v>ポムポムプリン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5</v>
          </cell>
          <cell r="J1694" t="str">
            <v>PremiumSSw</v>
          </cell>
          <cell r="K1694" t="str">
            <v>attack</v>
          </cell>
          <cell r="L1694" t="str">
            <v>攻撃タイプ</v>
          </cell>
          <cell r="M1694" t="str">
            <v>human</v>
          </cell>
        </row>
        <row r="1695">
          <cell r="A1695">
            <v>9002</v>
          </cell>
          <cell r="B1695" t="str">
            <v>ja</v>
          </cell>
          <cell r="C1695" t="str">
            <v>春香★６</v>
          </cell>
          <cell r="D1695" t="str">
            <v>ポムポムプリン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6</v>
          </cell>
          <cell r="J1695" t="str">
            <v>PremiumSSw</v>
          </cell>
          <cell r="K1695" t="str">
            <v>attack</v>
          </cell>
          <cell r="L1695" t="str">
            <v>攻撃タイプ</v>
          </cell>
          <cell r="M1695" t="str">
            <v>human</v>
          </cell>
        </row>
        <row r="1696">
          <cell r="A1696">
            <v>9003</v>
          </cell>
          <cell r="B1696" t="str">
            <v>ja</v>
          </cell>
          <cell r="C1696" t="str">
            <v>夢龍</v>
          </cell>
          <cell r="D1696" t="str">
            <v>ポムポムプリン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green</v>
          </cell>
          <cell r="I1696">
            <v>5</v>
          </cell>
          <cell r="J1696" t="str">
            <v>DropWizS</v>
          </cell>
          <cell r="K1696" t="str">
            <v>heal</v>
          </cell>
          <cell r="L1696" t="str">
            <v>回復タイプ</v>
          </cell>
          <cell r="M1696" t="str">
            <v>dragon</v>
          </cell>
        </row>
        <row r="1697">
          <cell r="A1697">
            <v>9004</v>
          </cell>
          <cell r="B1697" t="str">
            <v>ja</v>
          </cell>
          <cell r="C1697" t="str">
            <v>夢龍★６</v>
          </cell>
          <cell r="D1697" t="str">
            <v>各属性相性良3・黄・R455</v>
          </cell>
          <cell r="E1697" t="str">
            <v>執行者</v>
          </cell>
          <cell r="F1697" t="str">
            <v>格好いい</v>
          </cell>
          <cell r="G1697" t="str">
            <v>男性</v>
          </cell>
          <cell r="H1697" t="str">
            <v>green</v>
          </cell>
          <cell r="I1697">
            <v>6</v>
          </cell>
          <cell r="J1697" t="str">
            <v>DropWizS</v>
          </cell>
          <cell r="K1697" t="str">
            <v>heal</v>
          </cell>
          <cell r="L1697" t="str">
            <v>回復タイプ</v>
          </cell>
          <cell r="M1697" t="str">
            <v>dragon</v>
          </cell>
        </row>
        <row r="1698">
          <cell r="A1698">
            <v>9005</v>
          </cell>
          <cell r="B1698" t="str">
            <v>ja</v>
          </cell>
          <cell r="C1698" t="str">
            <v>降臨</v>
          </cell>
          <cell r="D1698" t="str">
            <v>ポムポムプリン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blue</v>
          </cell>
          <cell r="I1698">
            <v>5</v>
          </cell>
          <cell r="J1698" t="str">
            <v>PremiumSSw</v>
          </cell>
          <cell r="K1698" t="str">
            <v>hp</v>
          </cell>
          <cell r="L1698" t="str">
            <v>体力タイプ</v>
          </cell>
          <cell r="M1698" t="str">
            <v>demon</v>
          </cell>
        </row>
        <row r="1699">
          <cell r="A1699">
            <v>9006</v>
          </cell>
          <cell r="B1699" t="str">
            <v>ja</v>
          </cell>
          <cell r="C1699" t="str">
            <v>降臨★６</v>
          </cell>
          <cell r="D1699" t="str">
            <v>ポムポムプリン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blue</v>
          </cell>
          <cell r="I1699">
            <v>6</v>
          </cell>
          <cell r="J1699" t="str">
            <v>PremiumSSw</v>
          </cell>
          <cell r="K1699" t="str">
            <v>hp</v>
          </cell>
          <cell r="L1699" t="str">
            <v>体力タイプ</v>
          </cell>
          <cell r="M1699" t="str">
            <v>demon</v>
          </cell>
        </row>
        <row r="1700">
          <cell r="A1700">
            <v>9007</v>
          </cell>
          <cell r="B1700" t="str">
            <v>ja</v>
          </cell>
          <cell r="C1700" t="str">
            <v>田禹治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red</v>
          </cell>
          <cell r="I1700">
            <v>5</v>
          </cell>
          <cell r="J1700" t="str">
            <v>DropWizS</v>
          </cell>
          <cell r="K1700" t="str">
            <v>technical</v>
          </cell>
          <cell r="L1700" t="str">
            <v>テクニカルタイプ</v>
          </cell>
          <cell r="M1700" t="str">
            <v>hero</v>
          </cell>
        </row>
        <row r="1701">
          <cell r="A1701">
            <v>9008</v>
          </cell>
          <cell r="B1701" t="str">
            <v>ja</v>
          </cell>
          <cell r="C1701" t="str">
            <v>田禹治★６</v>
          </cell>
          <cell r="D1701" t="str">
            <v>各属性相性良3・黄・R455</v>
          </cell>
          <cell r="E1701" t="str">
            <v>執行者</v>
          </cell>
          <cell r="F1701" t="str">
            <v>格好いい</v>
          </cell>
          <cell r="G1701" t="str">
            <v>男性</v>
          </cell>
          <cell r="H1701" t="str">
            <v>red</v>
          </cell>
          <cell r="I1701">
            <v>6</v>
          </cell>
          <cell r="J1701" t="str">
            <v>DropWizS</v>
          </cell>
          <cell r="K1701" t="str">
            <v>technical</v>
          </cell>
          <cell r="L1701" t="str">
            <v>テクニカルタイプ</v>
          </cell>
          <cell r="M1701" t="str">
            <v>hero</v>
          </cell>
        </row>
        <row r="1702">
          <cell r="A1702">
            <v>10001</v>
          </cell>
          <cell r="B1702" t="str">
            <v>ja</v>
          </cell>
          <cell r="C1702" t="str">
            <v>テストユニット01</v>
          </cell>
          <cell r="H1702" t="str">
            <v>yellow</v>
          </cell>
          <cell r="I1702">
            <v>6</v>
          </cell>
          <cell r="J1702" t="str">
            <v>DropWizS</v>
          </cell>
          <cell r="K1702" t="str">
            <v>heal</v>
          </cell>
          <cell r="L1702" t="str">
            <v>回復タイプ</v>
          </cell>
          <cell r="M1702" t="str">
            <v>human</v>
          </cell>
        </row>
        <row r="1703">
          <cell r="A1703">
            <v>10002</v>
          </cell>
          <cell r="B1703" t="str">
            <v>ja</v>
          </cell>
          <cell r="C1703" t="str">
            <v>テストユニット02</v>
          </cell>
          <cell r="H1703" t="str">
            <v>yellow</v>
          </cell>
          <cell r="I1703">
            <v>6</v>
          </cell>
          <cell r="J1703" t="str">
            <v>PremiumSS</v>
          </cell>
          <cell r="K1703" t="str">
            <v>technical</v>
          </cell>
          <cell r="L1703" t="str">
            <v>テクニカルタイプ</v>
          </cell>
          <cell r="M1703" t="str">
            <v>animal</v>
          </cell>
        </row>
        <row r="1704">
          <cell r="A1704">
            <v>10003</v>
          </cell>
          <cell r="B1704" t="str">
            <v>ja</v>
          </cell>
          <cell r="C1704" t="str">
            <v>テストユニット03</v>
          </cell>
          <cell r="H1704" t="str">
            <v>red</v>
          </cell>
          <cell r="I1704">
            <v>5</v>
          </cell>
          <cell r="J1704" t="str">
            <v>PremiumSSS</v>
          </cell>
          <cell r="K1704" t="str">
            <v>technical</v>
          </cell>
          <cell r="L1704" t="str">
            <v>テクニカルタイプ</v>
          </cell>
          <cell r="M1704" t="str">
            <v>academia</v>
          </cell>
        </row>
        <row r="1705">
          <cell r="A1705">
            <v>10004</v>
          </cell>
          <cell r="B1705" t="str">
            <v>ja</v>
          </cell>
          <cell r="C1705" t="str">
            <v>テストユニット04</v>
          </cell>
          <cell r="H1705" t="str">
            <v>red</v>
          </cell>
          <cell r="I1705">
            <v>6</v>
          </cell>
          <cell r="J1705" t="str">
            <v>PremiumSSS</v>
          </cell>
          <cell r="K1705" t="str">
            <v>technical</v>
          </cell>
          <cell r="L1705" t="str">
            <v>テクニカルタイプ</v>
          </cell>
          <cell r="M1705" t="str">
            <v>academia</v>
          </cell>
        </row>
        <row r="1706">
          <cell r="A1706">
            <v>10005</v>
          </cell>
          <cell r="B1706" t="str">
            <v>ja</v>
          </cell>
          <cell r="C1706" t="str">
            <v>テストユニット05</v>
          </cell>
          <cell r="H1706" t="str">
            <v>yellow</v>
          </cell>
          <cell r="I1706">
            <v>6</v>
          </cell>
          <cell r="J1706" t="str">
            <v>PremiumSS</v>
          </cell>
          <cell r="K1706" t="str">
            <v>technical</v>
          </cell>
          <cell r="L1706" t="str">
            <v>テクニカルタイプ</v>
          </cell>
          <cell r="M1706" t="str">
            <v>human</v>
          </cell>
        </row>
        <row r="1707">
          <cell r="A1707">
            <v>10006</v>
          </cell>
          <cell r="B1707" t="str">
            <v>ja</v>
          </cell>
          <cell r="C1707" t="str">
            <v>テストユニット06</v>
          </cell>
          <cell r="H1707" t="str">
            <v>yellow</v>
          </cell>
          <cell r="I1707">
            <v>6</v>
          </cell>
          <cell r="J1707" t="str">
            <v>PremiumSS</v>
          </cell>
          <cell r="K1707" t="str">
            <v>attack</v>
          </cell>
          <cell r="L1707" t="str">
            <v>攻撃タイプ</v>
          </cell>
          <cell r="M1707" t="str">
            <v>animal</v>
          </cell>
        </row>
        <row r="1708">
          <cell r="A1708">
            <v>10007</v>
          </cell>
          <cell r="B1708" t="str">
            <v>ja</v>
          </cell>
          <cell r="C1708" t="str">
            <v>テストユニット07</v>
          </cell>
          <cell r="H1708" t="str">
            <v>yellow</v>
          </cell>
          <cell r="I1708">
            <v>5</v>
          </cell>
          <cell r="J1708" t="str">
            <v>PremiumSSS</v>
          </cell>
          <cell r="K1708" t="str">
            <v>technical</v>
          </cell>
          <cell r="L1708" t="str">
            <v>テクニカルタイプ</v>
          </cell>
          <cell r="M1708" t="str">
            <v>machine</v>
          </cell>
        </row>
        <row r="1709">
          <cell r="A1709">
            <v>10008</v>
          </cell>
          <cell r="B1709" t="str">
            <v>ja</v>
          </cell>
          <cell r="C1709" t="str">
            <v>テストユニット08</v>
          </cell>
          <cell r="H1709" t="str">
            <v>yellow</v>
          </cell>
          <cell r="I1709">
            <v>6</v>
          </cell>
          <cell r="J1709" t="str">
            <v>PremiumSSS</v>
          </cell>
          <cell r="K1709" t="str">
            <v>technical</v>
          </cell>
          <cell r="L1709" t="str">
            <v>テクニカルタイプ</v>
          </cell>
          <cell r="M1709" t="str">
            <v>machine</v>
          </cell>
        </row>
        <row r="1710">
          <cell r="A1710">
            <v>10009</v>
          </cell>
          <cell r="B1710" t="str">
            <v>ja</v>
          </cell>
          <cell r="C1710" t="str">
            <v>青テスト01</v>
          </cell>
          <cell r="H1710" t="str">
            <v>blue</v>
          </cell>
          <cell r="I1710">
            <v>6</v>
          </cell>
          <cell r="J1710" t="str">
            <v>DropWizS</v>
          </cell>
          <cell r="K1710" t="str">
            <v>heal</v>
          </cell>
          <cell r="L1710" t="str">
            <v>回復タイプ</v>
          </cell>
          <cell r="M1710" t="str">
            <v>human</v>
          </cell>
        </row>
        <row r="1711">
          <cell r="A1711">
            <v>10010</v>
          </cell>
          <cell r="B1711" t="str">
            <v>ja</v>
          </cell>
          <cell r="C1711" t="str">
            <v>赤テスト01</v>
          </cell>
          <cell r="H1711" t="str">
            <v>red</v>
          </cell>
          <cell r="I1711">
            <v>6</v>
          </cell>
          <cell r="J1711" t="str">
            <v>PremiumSSS</v>
          </cell>
          <cell r="K1711" t="str">
            <v>technical</v>
          </cell>
          <cell r="L1711" t="str">
            <v>テクニカルタイプ</v>
          </cell>
          <cell r="M1711" t="str">
            <v>human</v>
          </cell>
        </row>
        <row r="1712">
          <cell r="A1712">
            <v>10011</v>
          </cell>
          <cell r="B1712" t="str">
            <v>ja</v>
          </cell>
          <cell r="C1712" t="str">
            <v>テストユニット11</v>
          </cell>
          <cell r="H1712" t="str">
            <v>yellow</v>
          </cell>
          <cell r="I1712">
            <v>5</v>
          </cell>
          <cell r="J1712" t="str">
            <v>PremiumSS</v>
          </cell>
          <cell r="K1712" t="str">
            <v>balance</v>
          </cell>
          <cell r="L1712" t="str">
            <v>バランスタイプ</v>
          </cell>
          <cell r="M1712" t="str">
            <v>human</v>
          </cell>
        </row>
        <row r="1713">
          <cell r="A1713">
            <v>10012</v>
          </cell>
          <cell r="B1713" t="str">
            <v>ja</v>
          </cell>
          <cell r="C1713" t="str">
            <v>テストユニット12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balance</v>
          </cell>
          <cell r="L1713" t="str">
            <v>バランスタイプ</v>
          </cell>
          <cell r="M1713" t="str">
            <v>human</v>
          </cell>
        </row>
        <row r="1714">
          <cell r="A1714">
            <v>10013</v>
          </cell>
          <cell r="B1714" t="str">
            <v>ja</v>
          </cell>
          <cell r="C1714" t="str">
            <v>テストユニット13</v>
          </cell>
          <cell r="H1714" t="str">
            <v>yellow</v>
          </cell>
          <cell r="I1714">
            <v>5</v>
          </cell>
          <cell r="J1714" t="str">
            <v>PremiumSSw</v>
          </cell>
          <cell r="K1714" t="str">
            <v>hp</v>
          </cell>
          <cell r="L1714" t="str">
            <v>体力タイプ</v>
          </cell>
          <cell r="M1714" t="str">
            <v>dragon</v>
          </cell>
        </row>
        <row r="1715">
          <cell r="A1715">
            <v>10014</v>
          </cell>
          <cell r="B1715" t="str">
            <v>ja</v>
          </cell>
          <cell r="C1715" t="str">
            <v>テストユニット14</v>
          </cell>
          <cell r="H1715" t="str">
            <v>yellow</v>
          </cell>
          <cell r="I1715">
            <v>6</v>
          </cell>
          <cell r="J1715" t="str">
            <v>PremiumSSw</v>
          </cell>
          <cell r="K1715" t="str">
            <v>hp</v>
          </cell>
          <cell r="L1715" t="str">
            <v>体力タイプ</v>
          </cell>
          <cell r="M1715" t="str">
            <v>dragon</v>
          </cell>
        </row>
        <row r="1716">
          <cell r="A1716">
            <v>10015</v>
          </cell>
          <cell r="B1716" t="str">
            <v>ja</v>
          </cell>
          <cell r="C1716" t="str">
            <v>テストユニット15</v>
          </cell>
          <cell r="H1716" t="str">
            <v>green</v>
          </cell>
          <cell r="I1716">
            <v>5</v>
          </cell>
          <cell r="J1716" t="str">
            <v>DropWizS</v>
          </cell>
          <cell r="K1716" t="str">
            <v>heal</v>
          </cell>
          <cell r="L1716" t="str">
            <v>回復タイプ</v>
          </cell>
          <cell r="M1716" t="str">
            <v>human</v>
          </cell>
        </row>
        <row r="1717">
          <cell r="A1717">
            <v>10016</v>
          </cell>
          <cell r="B1717" t="str">
            <v>ja</v>
          </cell>
          <cell r="C1717" t="str">
            <v>テストユニット16</v>
          </cell>
          <cell r="H1717" t="str">
            <v>green</v>
          </cell>
          <cell r="I1717">
            <v>6</v>
          </cell>
          <cell r="J1717" t="str">
            <v>DropWizS</v>
          </cell>
          <cell r="K1717" t="str">
            <v>heal</v>
          </cell>
          <cell r="L1717" t="str">
            <v>回復タイプ</v>
          </cell>
          <cell r="M1717" t="str">
            <v>human</v>
          </cell>
        </row>
        <row r="1718">
          <cell r="A1718">
            <v>10017</v>
          </cell>
          <cell r="B1718" t="str">
            <v>ja</v>
          </cell>
          <cell r="C1718" t="str">
            <v>テストユニット17</v>
          </cell>
          <cell r="H1718" t="str">
            <v>red</v>
          </cell>
          <cell r="I1718">
            <v>6</v>
          </cell>
          <cell r="J1718" t="str">
            <v>PremiumSS</v>
          </cell>
          <cell r="K1718" t="str">
            <v>balance</v>
          </cell>
          <cell r="L1718" t="str">
            <v>バランスタイプ</v>
          </cell>
          <cell r="M1718" t="str">
            <v>unknown</v>
          </cell>
        </row>
        <row r="1719">
          <cell r="A1719">
            <v>10018</v>
          </cell>
          <cell r="B1719" t="str">
            <v>ja</v>
          </cell>
          <cell r="C1719" t="str">
            <v>テストユニット18</v>
          </cell>
          <cell r="H1719" t="str">
            <v>blue</v>
          </cell>
          <cell r="I1719">
            <v>6</v>
          </cell>
          <cell r="J1719" t="str">
            <v>PremiumSS</v>
          </cell>
          <cell r="K1719" t="str">
            <v>balance</v>
          </cell>
          <cell r="L1719" t="str">
            <v>バランスタイプ</v>
          </cell>
          <cell r="M1719" t="str">
            <v>unknown</v>
          </cell>
        </row>
        <row r="1720">
          <cell r="A1720">
            <v>10019</v>
          </cell>
          <cell r="B1720" t="str">
            <v>ja</v>
          </cell>
          <cell r="C1720" t="str">
            <v>テストユニット19</v>
          </cell>
          <cell r="H1720" t="str">
            <v>green</v>
          </cell>
          <cell r="I1720">
            <v>6</v>
          </cell>
          <cell r="J1720" t="str">
            <v>PremiumSS</v>
          </cell>
          <cell r="K1720" t="str">
            <v>balance</v>
          </cell>
          <cell r="L1720" t="str">
            <v>バランスタイプ</v>
          </cell>
          <cell r="M1720" t="str">
            <v>unknown</v>
          </cell>
        </row>
        <row r="1721">
          <cell r="A1721">
            <v>10020</v>
          </cell>
          <cell r="B1721" t="str">
            <v>ja</v>
          </cell>
          <cell r="C1721" t="str">
            <v>テストユニット20</v>
          </cell>
          <cell r="H1721" t="str">
            <v>yellow</v>
          </cell>
          <cell r="I1721">
            <v>6</v>
          </cell>
          <cell r="J1721" t="str">
            <v>PremiumSS</v>
          </cell>
          <cell r="K1721" t="str">
            <v>balance</v>
          </cell>
          <cell r="L1721" t="str">
            <v>バランスタイプ</v>
          </cell>
          <cell r="M1721" t="str">
            <v>unknown</v>
          </cell>
        </row>
        <row r="1722">
          <cell r="A1722">
            <v>10021</v>
          </cell>
          <cell r="B1722" t="str">
            <v>ja</v>
          </cell>
          <cell r="C1722" t="str">
            <v>テストユニット21</v>
          </cell>
          <cell r="H1722" t="str">
            <v>blue</v>
          </cell>
          <cell r="I1722">
            <v>5</v>
          </cell>
          <cell r="J1722" t="str">
            <v>PremiumSSw</v>
          </cell>
          <cell r="K1722" t="str">
            <v>hp</v>
          </cell>
          <cell r="L1722" t="str">
            <v>体力タイプ</v>
          </cell>
          <cell r="M1722" t="str">
            <v>demon</v>
          </cell>
        </row>
        <row r="1723">
          <cell r="A1723">
            <v>10022</v>
          </cell>
          <cell r="B1723" t="str">
            <v>ja</v>
          </cell>
          <cell r="C1723" t="str">
            <v>テストユニット22</v>
          </cell>
          <cell r="H1723" t="str">
            <v>blue</v>
          </cell>
          <cell r="I1723">
            <v>6</v>
          </cell>
          <cell r="J1723" t="str">
            <v>PremiumSSw</v>
          </cell>
          <cell r="K1723" t="str">
            <v>hp</v>
          </cell>
          <cell r="L1723" t="str">
            <v>体力タイプ</v>
          </cell>
          <cell r="M1723" t="str">
            <v>demon</v>
          </cell>
        </row>
        <row r="1724">
          <cell r="A1724">
            <v>10023</v>
          </cell>
          <cell r="B1724" t="str">
            <v>ja</v>
          </cell>
          <cell r="C1724" t="str">
            <v>テストユニット23</v>
          </cell>
          <cell r="H1724" t="str">
            <v>green</v>
          </cell>
          <cell r="I1724">
            <v>5</v>
          </cell>
          <cell r="J1724" t="str">
            <v>PremiumSSw</v>
          </cell>
          <cell r="K1724" t="str">
            <v>heal</v>
          </cell>
          <cell r="L1724" t="str">
            <v>回復タイプ</v>
          </cell>
          <cell r="M1724" t="str">
            <v>dragon</v>
          </cell>
        </row>
        <row r="1725">
          <cell r="A1725">
            <v>10024</v>
          </cell>
          <cell r="B1725" t="str">
            <v>ja</v>
          </cell>
          <cell r="C1725" t="str">
            <v>テストユニット24</v>
          </cell>
          <cell r="H1725" t="str">
            <v>green</v>
          </cell>
          <cell r="I1725">
            <v>6</v>
          </cell>
          <cell r="J1725" t="str">
            <v>PremiumSSw</v>
          </cell>
          <cell r="K1725" t="str">
            <v>hp</v>
          </cell>
          <cell r="L1725" t="str">
            <v>体力タイプ</v>
          </cell>
          <cell r="M1725" t="str">
            <v>dragon</v>
          </cell>
        </row>
        <row r="1726">
          <cell r="A1726">
            <v>10025</v>
          </cell>
          <cell r="B1726" t="str">
            <v>ja</v>
          </cell>
          <cell r="C1726" t="str">
            <v>テストユニット25</v>
          </cell>
          <cell r="H1726" t="str">
            <v>red</v>
          </cell>
          <cell r="I1726">
            <v>5</v>
          </cell>
          <cell r="J1726" t="str">
            <v>PremiumSSw</v>
          </cell>
          <cell r="K1726" t="str">
            <v>hp</v>
          </cell>
          <cell r="L1726" t="str">
            <v>体力タイプ</v>
          </cell>
          <cell r="M1726" t="str">
            <v>dragon</v>
          </cell>
        </row>
        <row r="1727">
          <cell r="A1727">
            <v>10026</v>
          </cell>
          <cell r="B1727" t="str">
            <v>ja</v>
          </cell>
          <cell r="C1727" t="str">
            <v>テストユニット26</v>
          </cell>
          <cell r="H1727" t="str">
            <v>red</v>
          </cell>
          <cell r="I1727">
            <v>6</v>
          </cell>
          <cell r="J1727" t="str">
            <v>PremiumSSw</v>
          </cell>
          <cell r="K1727" t="str">
            <v>hp</v>
          </cell>
          <cell r="L1727" t="str">
            <v>体力タイプ</v>
          </cell>
          <cell r="M1727" t="str">
            <v>dragon</v>
          </cell>
        </row>
        <row r="1728">
          <cell r="A1728">
            <v>10027</v>
          </cell>
          <cell r="B1728" t="str">
            <v>ja</v>
          </cell>
          <cell r="C1728" t="str">
            <v>テストユニット27</v>
          </cell>
          <cell r="H1728" t="str">
            <v>green</v>
          </cell>
          <cell r="I1728">
            <v>6</v>
          </cell>
          <cell r="J1728" t="str">
            <v>PremiumSS</v>
          </cell>
          <cell r="K1728" t="str">
            <v>balance</v>
          </cell>
          <cell r="L1728" t="str">
            <v>バランスタイプ</v>
          </cell>
          <cell r="M1728" t="str">
            <v>unknown</v>
          </cell>
        </row>
        <row r="1729">
          <cell r="A1729">
            <v>10028</v>
          </cell>
          <cell r="B1729" t="str">
            <v>ja</v>
          </cell>
          <cell r="C1729" t="str">
            <v>テストユニット28</v>
          </cell>
          <cell r="H1729" t="str">
            <v>yellow</v>
          </cell>
          <cell r="I1729">
            <v>6</v>
          </cell>
          <cell r="J1729" t="str">
            <v>PremiumSS</v>
          </cell>
          <cell r="K1729" t="str">
            <v>balance</v>
          </cell>
          <cell r="L1729" t="str">
            <v>バランスタイプ</v>
          </cell>
          <cell r="M1729" t="str">
            <v>unknown</v>
          </cell>
        </row>
        <row r="1730">
          <cell r="A1730">
            <v>10029</v>
          </cell>
          <cell r="B1730" t="str">
            <v>ja</v>
          </cell>
          <cell r="C1730" t="str">
            <v>テストユニット29</v>
          </cell>
          <cell r="H1730" t="str">
            <v>red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10030</v>
          </cell>
          <cell r="B1731" t="str">
            <v>ja</v>
          </cell>
          <cell r="C1731" t="str">
            <v>テストユニット30</v>
          </cell>
          <cell r="H1731" t="str">
            <v>blue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10031</v>
          </cell>
          <cell r="B1732" t="str">
            <v>ja</v>
          </cell>
          <cell r="C1732" t="str">
            <v>テストユニット31</v>
          </cell>
          <cell r="H1732" t="str">
            <v>green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10032</v>
          </cell>
          <cell r="B1733" t="str">
            <v>ja</v>
          </cell>
          <cell r="C1733" t="str">
            <v>テストユニット32</v>
          </cell>
          <cell r="H1733" t="str">
            <v>yellow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10033</v>
          </cell>
          <cell r="B1734" t="str">
            <v>ja</v>
          </cell>
          <cell r="C1734" t="str">
            <v>テストユニット33</v>
          </cell>
          <cell r="H1734" t="str">
            <v>red</v>
          </cell>
          <cell r="I1734">
            <v>6</v>
          </cell>
          <cell r="J1734" t="str">
            <v>PremiumSS</v>
          </cell>
          <cell r="K1734" t="str">
            <v>balance</v>
          </cell>
          <cell r="L1734" t="str">
            <v>バランスタイプ</v>
          </cell>
          <cell r="M1734" t="str">
            <v>unknown</v>
          </cell>
        </row>
        <row r="1735">
          <cell r="A1735">
            <v>10034</v>
          </cell>
          <cell r="B1735" t="str">
            <v>ja</v>
          </cell>
          <cell r="C1735" t="str">
            <v>テストユニット34</v>
          </cell>
          <cell r="H1735" t="str">
            <v>blue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unknown</v>
          </cell>
        </row>
        <row r="1736">
          <cell r="A1736">
            <v>10035</v>
          </cell>
          <cell r="B1736" t="str">
            <v>ja</v>
          </cell>
          <cell r="C1736" t="str">
            <v>テストユニット35</v>
          </cell>
          <cell r="H1736" t="str">
            <v>green</v>
          </cell>
          <cell r="I1736">
            <v>6</v>
          </cell>
          <cell r="J1736" t="str">
            <v>PremiumSS</v>
          </cell>
          <cell r="K1736" t="str">
            <v>balance</v>
          </cell>
          <cell r="L1736" t="str">
            <v>バランスタイプ</v>
          </cell>
          <cell r="M1736" t="str">
            <v>unknown</v>
          </cell>
        </row>
        <row r="1737">
          <cell r="A1737">
            <v>10036</v>
          </cell>
          <cell r="B1737" t="str">
            <v>ja</v>
          </cell>
          <cell r="C1737" t="str">
            <v>テストユニット36</v>
          </cell>
          <cell r="H1737" t="str">
            <v>yellow</v>
          </cell>
          <cell r="I1737">
            <v>6</v>
          </cell>
          <cell r="J1737" t="str">
            <v>PremiumSS</v>
          </cell>
          <cell r="K1737" t="str">
            <v>balance</v>
          </cell>
          <cell r="L1737" t="str">
            <v>バランスタイプ</v>
          </cell>
          <cell r="M1737" t="str">
            <v>unknown</v>
          </cell>
        </row>
        <row r="1738">
          <cell r="A1738">
            <v>10037</v>
          </cell>
          <cell r="B1738" t="str">
            <v>ja</v>
          </cell>
          <cell r="C1738" t="str">
            <v>テストユニット37</v>
          </cell>
          <cell r="H1738" t="str">
            <v>red</v>
          </cell>
          <cell r="I1738">
            <v>6</v>
          </cell>
          <cell r="J1738" t="str">
            <v>PremiumSS</v>
          </cell>
          <cell r="K1738" t="str">
            <v>balance</v>
          </cell>
          <cell r="L1738" t="str">
            <v>バランスタイプ</v>
          </cell>
          <cell r="M1738" t="str">
            <v>unknown</v>
          </cell>
        </row>
        <row r="1739">
          <cell r="A1739">
            <v>10038</v>
          </cell>
          <cell r="B1739" t="str">
            <v>ja</v>
          </cell>
          <cell r="C1739" t="str">
            <v>テストユニット38</v>
          </cell>
          <cell r="H1739" t="str">
            <v>blue</v>
          </cell>
          <cell r="I1739">
            <v>6</v>
          </cell>
          <cell r="J1739" t="str">
            <v>PremiumSS</v>
          </cell>
          <cell r="K1739" t="str">
            <v>balance</v>
          </cell>
          <cell r="L1739" t="str">
            <v>バランスタイプ</v>
          </cell>
          <cell r="M1739" t="str">
            <v>unknown</v>
          </cell>
        </row>
        <row r="1740">
          <cell r="A1740">
            <v>10039</v>
          </cell>
          <cell r="B1740" t="str">
            <v>ja</v>
          </cell>
          <cell r="C1740" t="str">
            <v>テストユニット39</v>
          </cell>
          <cell r="H1740" t="str">
            <v>green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10040</v>
          </cell>
          <cell r="B1741" t="str">
            <v>ja</v>
          </cell>
          <cell r="C1741" t="str">
            <v>テストユニット40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10041</v>
          </cell>
          <cell r="B1742" t="str">
            <v>ja</v>
          </cell>
          <cell r="C1742" t="str">
            <v>テストユニット41</v>
          </cell>
          <cell r="H1742" t="str">
            <v>red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10042</v>
          </cell>
          <cell r="B1743" t="str">
            <v>ja</v>
          </cell>
          <cell r="C1743" t="str">
            <v>テストユニット42</v>
          </cell>
          <cell r="H1743" t="str">
            <v>blue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10043</v>
          </cell>
          <cell r="B1744" t="str">
            <v>ja</v>
          </cell>
          <cell r="C1744" t="str">
            <v>テストユニット43</v>
          </cell>
          <cell r="H1744" t="str">
            <v>green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10044</v>
          </cell>
          <cell r="B1745" t="str">
            <v>ja</v>
          </cell>
          <cell r="C1745" t="str">
            <v>テストユニット44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10045</v>
          </cell>
          <cell r="B1746" t="str">
            <v>ja</v>
          </cell>
          <cell r="C1746" t="str">
            <v>テストユニット45</v>
          </cell>
          <cell r="H1746" t="str">
            <v>red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10046</v>
          </cell>
          <cell r="B1747" t="str">
            <v>ja</v>
          </cell>
          <cell r="C1747" t="str">
            <v>テストユニット46</v>
          </cell>
          <cell r="H1747" t="str">
            <v>blue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10047</v>
          </cell>
          <cell r="B1748" t="str">
            <v>ja</v>
          </cell>
          <cell r="C1748" t="str">
            <v>テストユニット47</v>
          </cell>
          <cell r="H1748" t="str">
            <v>green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10048</v>
          </cell>
          <cell r="B1749" t="str">
            <v>ja</v>
          </cell>
          <cell r="C1749" t="str">
            <v>テストユニット48</v>
          </cell>
          <cell r="H1749" t="str">
            <v>yellow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10049</v>
          </cell>
          <cell r="B1750" t="str">
            <v>ja</v>
          </cell>
          <cell r="C1750" t="str">
            <v>テストユニット49</v>
          </cell>
          <cell r="H1750" t="str">
            <v>red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10050</v>
          </cell>
          <cell r="B1751" t="str">
            <v>ja</v>
          </cell>
          <cell r="C1751" t="str">
            <v>テストユニット50</v>
          </cell>
          <cell r="H1751" t="str">
            <v>blue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10051</v>
          </cell>
          <cell r="B1752" t="str">
            <v>ja</v>
          </cell>
          <cell r="C1752" t="str">
            <v>テストユニット51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10052</v>
          </cell>
          <cell r="B1753" t="str">
            <v>ja</v>
          </cell>
          <cell r="C1753" t="str">
            <v>テストユニット52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10053</v>
          </cell>
          <cell r="B1754" t="str">
            <v>ja</v>
          </cell>
          <cell r="C1754" t="str">
            <v>テストユニット53</v>
          </cell>
          <cell r="H1754" t="str">
            <v>red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10054</v>
          </cell>
          <cell r="B1755" t="str">
            <v>ja</v>
          </cell>
          <cell r="C1755" t="str">
            <v>テストユニット54</v>
          </cell>
          <cell r="H1755" t="str">
            <v>blue</v>
          </cell>
          <cell r="I1755">
            <v>6</v>
          </cell>
          <cell r="J1755" t="str">
            <v>PremiumSS</v>
          </cell>
          <cell r="K1755" t="str">
            <v>balance</v>
          </cell>
          <cell r="L1755" t="str">
            <v>バランスタイプ</v>
          </cell>
          <cell r="M1755" t="str">
            <v>unknown</v>
          </cell>
        </row>
        <row r="1756">
          <cell r="A1756">
            <v>10055</v>
          </cell>
          <cell r="B1756" t="str">
            <v>ja</v>
          </cell>
          <cell r="C1756" t="str">
            <v>テストユニット55</v>
          </cell>
          <cell r="H1756" t="str">
            <v>green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10056</v>
          </cell>
          <cell r="B1757" t="str">
            <v>ja</v>
          </cell>
          <cell r="C1757" t="str">
            <v>テストユニット56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10057</v>
          </cell>
          <cell r="B1758" t="str">
            <v>ja</v>
          </cell>
          <cell r="C1758" t="str">
            <v>テストユニット57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10058</v>
          </cell>
          <cell r="B1759" t="str">
            <v>ja</v>
          </cell>
          <cell r="C1759" t="str">
            <v>テストユニット58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10059</v>
          </cell>
          <cell r="B1760" t="str">
            <v>ja</v>
          </cell>
          <cell r="C1760" t="str">
            <v>テストユニット59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10060</v>
          </cell>
          <cell r="B1761" t="str">
            <v>ja</v>
          </cell>
          <cell r="C1761" t="str">
            <v>テストユニット60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10061</v>
          </cell>
          <cell r="B1762" t="str">
            <v>ja</v>
          </cell>
          <cell r="C1762" t="str">
            <v>テストユニット61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10062</v>
          </cell>
          <cell r="B1763" t="str">
            <v>ja</v>
          </cell>
          <cell r="C1763" t="str">
            <v>テストユニット62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10063</v>
          </cell>
          <cell r="B1764" t="str">
            <v>ja</v>
          </cell>
          <cell r="C1764" t="str">
            <v>テストユニット63</v>
          </cell>
          <cell r="H1764" t="str">
            <v>green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10064</v>
          </cell>
          <cell r="B1765" t="str">
            <v>ja</v>
          </cell>
          <cell r="C1765" t="str">
            <v>テストユニット64</v>
          </cell>
          <cell r="H1765" t="str">
            <v>yellow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10065</v>
          </cell>
          <cell r="B1766" t="str">
            <v>ja</v>
          </cell>
          <cell r="C1766" t="str">
            <v>テストユニット65</v>
          </cell>
          <cell r="H1766" t="str">
            <v>red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10066</v>
          </cell>
          <cell r="B1767" t="str">
            <v>ja</v>
          </cell>
          <cell r="C1767" t="str">
            <v>テストユニット66</v>
          </cell>
          <cell r="H1767" t="str">
            <v>blue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10067</v>
          </cell>
          <cell r="B1768" t="str">
            <v>ja</v>
          </cell>
          <cell r="C1768" t="str">
            <v>テストユニット67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10068</v>
          </cell>
          <cell r="B1769" t="str">
            <v>ja</v>
          </cell>
          <cell r="C1769" t="str">
            <v>テストユニット68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10069</v>
          </cell>
          <cell r="B1770" t="str">
            <v>ja</v>
          </cell>
          <cell r="C1770" t="str">
            <v>テストユニット69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10070</v>
          </cell>
          <cell r="B1771" t="str">
            <v>ja</v>
          </cell>
          <cell r="C1771" t="str">
            <v>覚醒元(R5)</v>
          </cell>
          <cell r="H1771" t="str">
            <v>red</v>
          </cell>
          <cell r="I1771">
            <v>5</v>
          </cell>
          <cell r="J1771" t="str">
            <v>PremiumSSS</v>
          </cell>
          <cell r="K1771" t="str">
            <v>balance</v>
          </cell>
          <cell r="L1771" t="str">
            <v>バランスタイプ</v>
          </cell>
          <cell r="M1771" t="str">
            <v>dragon</v>
          </cell>
        </row>
        <row r="1772">
          <cell r="A1772">
            <v>10071</v>
          </cell>
          <cell r="B1772" t="str">
            <v>ja</v>
          </cell>
          <cell r="C1772" t="str">
            <v>通常覚醒(R6)</v>
          </cell>
          <cell r="H1772" t="str">
            <v>red</v>
          </cell>
          <cell r="I1772">
            <v>6</v>
          </cell>
          <cell r="J1772" t="str">
            <v>PremiumSSS</v>
          </cell>
          <cell r="K1772" t="str">
            <v>hp</v>
          </cell>
          <cell r="L1772" t="str">
            <v>体力タイプ</v>
          </cell>
          <cell r="M1772" t="str">
            <v>demon</v>
          </cell>
        </row>
        <row r="1773">
          <cell r="A1773">
            <v>10072</v>
          </cell>
          <cell r="B1773" t="str">
            <v>ja</v>
          </cell>
          <cell r="C1773" t="str">
            <v>超覚醒A(R6)</v>
          </cell>
          <cell r="H1773" t="str">
            <v>green</v>
          </cell>
          <cell r="I1773">
            <v>6</v>
          </cell>
          <cell r="J1773" t="str">
            <v>PremiumSSS</v>
          </cell>
          <cell r="K1773" t="str">
            <v>heal</v>
          </cell>
          <cell r="L1773" t="str">
            <v>回復タイプ</v>
          </cell>
          <cell r="M1773" t="str">
            <v>unknown</v>
          </cell>
        </row>
        <row r="1774">
          <cell r="A1774">
            <v>10073</v>
          </cell>
          <cell r="B1774" t="str">
            <v>ja</v>
          </cell>
          <cell r="C1774" t="str">
            <v>超覚醒B(R6)</v>
          </cell>
          <cell r="H1774" t="str">
            <v>green</v>
          </cell>
          <cell r="I1774">
            <v>6</v>
          </cell>
          <cell r="J1774" t="str">
            <v>PremiumSSS</v>
          </cell>
          <cell r="K1774" t="str">
            <v>attack</v>
          </cell>
          <cell r="L1774" t="str">
            <v>攻撃タイプ</v>
          </cell>
          <cell r="M1774" t="str">
            <v>samurai</v>
          </cell>
        </row>
        <row r="1775">
          <cell r="A1775">
            <v>10074</v>
          </cell>
          <cell r="B1775" t="str">
            <v>ja</v>
          </cell>
          <cell r="C1775" t="str">
            <v>超覚醒C(R6)</v>
          </cell>
          <cell r="H1775" t="str">
            <v>blue</v>
          </cell>
          <cell r="I1775">
            <v>6</v>
          </cell>
          <cell r="J1775" t="str">
            <v>PremiumSSS</v>
          </cell>
          <cell r="K1775" t="str">
            <v>balance</v>
          </cell>
          <cell r="L1775" t="str">
            <v>バランスタイプ</v>
          </cell>
          <cell r="M1775" t="str">
            <v>fantasy</v>
          </cell>
        </row>
        <row r="1776">
          <cell r="A1776">
            <v>10075</v>
          </cell>
          <cell r="B1776" t="str">
            <v>ja</v>
          </cell>
          <cell r="C1776" t="str">
            <v>テストユニット75</v>
          </cell>
          <cell r="H1776" t="str">
            <v>blue</v>
          </cell>
          <cell r="I1776">
            <v>6</v>
          </cell>
          <cell r="J1776" t="str">
            <v>PremiumSSS</v>
          </cell>
          <cell r="K1776" t="str">
            <v>balance</v>
          </cell>
          <cell r="L1776" t="str">
            <v>バランスタイプ</v>
          </cell>
          <cell r="M1776" t="str">
            <v>human</v>
          </cell>
        </row>
        <row r="1777">
          <cell r="A1777">
            <v>10076</v>
          </cell>
          <cell r="B1777" t="str">
            <v>ja</v>
          </cell>
          <cell r="C1777" t="str">
            <v>テストユニット76</v>
          </cell>
          <cell r="H1777" t="str">
            <v>blue</v>
          </cell>
          <cell r="I1777">
            <v>6</v>
          </cell>
          <cell r="J1777" t="str">
            <v>PremiumSSS</v>
          </cell>
          <cell r="K1777" t="str">
            <v>hp</v>
          </cell>
          <cell r="L1777" t="str">
            <v>体力タイプ</v>
          </cell>
          <cell r="M1777" t="str">
            <v>weapon</v>
          </cell>
        </row>
        <row r="1778">
          <cell r="A1778">
            <v>10077</v>
          </cell>
          <cell r="B1778" t="str">
            <v>ja</v>
          </cell>
          <cell r="C1778" t="str">
            <v>テストユニット77</v>
          </cell>
          <cell r="H1778" t="str">
            <v>yellow</v>
          </cell>
          <cell r="I1778">
            <v>6</v>
          </cell>
          <cell r="J1778" t="str">
            <v>PremiumSSS</v>
          </cell>
          <cell r="K1778" t="str">
            <v>heal</v>
          </cell>
          <cell r="L1778" t="str">
            <v>回復タイプ</v>
          </cell>
          <cell r="M1778" t="str">
            <v>queen</v>
          </cell>
        </row>
        <row r="1779">
          <cell r="A1779">
            <v>10078</v>
          </cell>
          <cell r="B1779" t="str">
            <v>ja</v>
          </cell>
          <cell r="C1779" t="str">
            <v>テストユニット78</v>
          </cell>
          <cell r="H1779" t="str">
            <v>yellow</v>
          </cell>
          <cell r="I1779">
            <v>6</v>
          </cell>
          <cell r="J1779" t="str">
            <v>PremiumSSS</v>
          </cell>
          <cell r="K1779" t="str">
            <v>attack</v>
          </cell>
          <cell r="L1779" t="str">
            <v>攻撃タイプ</v>
          </cell>
          <cell r="M1779" t="str">
            <v>academia</v>
          </cell>
        </row>
        <row r="1780">
          <cell r="A1780">
            <v>10079</v>
          </cell>
          <cell r="B1780" t="str">
            <v>ja</v>
          </cell>
          <cell r="C1780" t="str">
            <v>テストユニット79</v>
          </cell>
          <cell r="H1780" t="str">
            <v>yellow</v>
          </cell>
          <cell r="I1780">
            <v>6</v>
          </cell>
          <cell r="J1780" t="str">
            <v>PremiumSSS</v>
          </cell>
          <cell r="K1780" t="str">
            <v>technical</v>
          </cell>
          <cell r="L1780" t="str">
            <v>テクニカルタイプ</v>
          </cell>
          <cell r="M1780" t="str">
            <v>animal</v>
          </cell>
        </row>
        <row r="1781">
          <cell r="A1781">
            <v>10080</v>
          </cell>
          <cell r="B1781" t="str">
            <v>ja</v>
          </cell>
          <cell r="C1781" t="str">
            <v>テストユニット80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10081</v>
          </cell>
          <cell r="B1782" t="str">
            <v>ja</v>
          </cell>
          <cell r="C1782" t="str">
            <v>テストユニット81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10082</v>
          </cell>
          <cell r="B1783" t="str">
            <v>ja</v>
          </cell>
          <cell r="C1783" t="str">
            <v>テストユニット82</v>
          </cell>
          <cell r="H1783" t="str">
            <v>blue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</row>
        <row r="1784">
          <cell r="A1784">
            <v>10083</v>
          </cell>
          <cell r="B1784" t="str">
            <v>ja</v>
          </cell>
          <cell r="C1784" t="str">
            <v>テストユニット83</v>
          </cell>
          <cell r="H1784" t="str">
            <v>green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</row>
        <row r="1785">
          <cell r="A1785">
            <v>10084</v>
          </cell>
          <cell r="B1785" t="str">
            <v>ja</v>
          </cell>
          <cell r="C1785" t="str">
            <v>テストユニット84</v>
          </cell>
          <cell r="H1785" t="str">
            <v>yellow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</row>
        <row r="1786">
          <cell r="A1786">
            <v>10085</v>
          </cell>
          <cell r="B1786" t="str">
            <v>ja</v>
          </cell>
          <cell r="C1786" t="str">
            <v>テストユニット85</v>
          </cell>
          <cell r="H1786" t="str">
            <v>red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</row>
        <row r="1787">
          <cell r="A1787">
            <v>10086</v>
          </cell>
          <cell r="B1787" t="str">
            <v>ja</v>
          </cell>
          <cell r="C1787" t="str">
            <v>テストユニット86</v>
          </cell>
          <cell r="H1787" t="str">
            <v>blue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</row>
        <row r="1788">
          <cell r="A1788">
            <v>10087</v>
          </cell>
          <cell r="B1788" t="str">
            <v>ja</v>
          </cell>
          <cell r="C1788" t="str">
            <v>テストユニット87</v>
          </cell>
          <cell r="H1788" t="str">
            <v>green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10088</v>
          </cell>
          <cell r="B1789" t="str">
            <v>ja</v>
          </cell>
          <cell r="C1789" t="str">
            <v>テストユニット88</v>
          </cell>
          <cell r="H1789" t="str">
            <v>yellow</v>
          </cell>
          <cell r="I1789">
            <v>6</v>
          </cell>
          <cell r="J1789" t="str">
            <v>PremiumSS</v>
          </cell>
          <cell r="K1789" t="str">
            <v>balance</v>
          </cell>
          <cell r="L1789" t="str">
            <v>バランスタイプ</v>
          </cell>
          <cell r="M1789" t="str">
            <v>unknown</v>
          </cell>
        </row>
        <row r="1790">
          <cell r="A1790">
            <v>10089</v>
          </cell>
          <cell r="B1790" t="str">
            <v>ja</v>
          </cell>
          <cell r="C1790" t="str">
            <v>テストユニット89</v>
          </cell>
          <cell r="H1790" t="str">
            <v>red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10090</v>
          </cell>
          <cell r="B1791" t="str">
            <v>ja</v>
          </cell>
          <cell r="C1791" t="str">
            <v>テストユニット90</v>
          </cell>
          <cell r="H1791" t="str">
            <v>blue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</row>
        <row r="1792">
          <cell r="A1792">
            <v>10101</v>
          </cell>
          <cell r="B1792" t="str">
            <v>ja</v>
          </cell>
          <cell r="C1792" t="str">
            <v>Usagi-kun</v>
          </cell>
          <cell r="H1792" t="str">
            <v>blue</v>
          </cell>
          <cell r="I1792">
            <v>6</v>
          </cell>
          <cell r="J1792" t="str">
            <v>DropWizS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</row>
        <row r="1793">
          <cell r="A1793">
            <v>10102</v>
          </cell>
          <cell r="B1793" t="str">
            <v>ja</v>
          </cell>
          <cell r="C1793" t="str">
            <v>ローズ</v>
          </cell>
          <cell r="D1793" t="str">
            <v>未定</v>
          </cell>
          <cell r="E1793" t="str">
            <v>執行者</v>
          </cell>
          <cell r="F1793" t="str">
            <v>格好いい</v>
          </cell>
          <cell r="G1793" t="str">
            <v>不明</v>
          </cell>
          <cell r="H1793" t="str">
            <v>red</v>
          </cell>
          <cell r="I1793">
            <v>3</v>
          </cell>
          <cell r="J1793" t="str">
            <v>DropWizSSS</v>
          </cell>
          <cell r="K1793" t="str">
            <v>attack</v>
          </cell>
          <cell r="L1793" t="str">
            <v>攻撃タイプ</v>
          </cell>
          <cell r="M1793" t="str">
            <v>queen</v>
          </cell>
        </row>
        <row r="1794">
          <cell r="A1794">
            <v>10103</v>
          </cell>
          <cell r="B1794" t="str">
            <v>ja</v>
          </cell>
          <cell r="C1794" t="str">
            <v>ローズ</v>
          </cell>
          <cell r="D1794" t="str">
            <v>未定</v>
          </cell>
          <cell r="E1794" t="str">
            <v>執行者</v>
          </cell>
          <cell r="F1794" t="str">
            <v>格好いい</v>
          </cell>
          <cell r="G1794" t="str">
            <v>不明</v>
          </cell>
          <cell r="H1794" t="str">
            <v>red</v>
          </cell>
          <cell r="I1794">
            <v>4</v>
          </cell>
          <cell r="J1794" t="str">
            <v>DropWizSSS</v>
          </cell>
          <cell r="K1794" t="str">
            <v>attack</v>
          </cell>
          <cell r="L1794" t="str">
            <v>攻撃タイプ</v>
          </cell>
          <cell r="M1794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2" t="s">
        <v>247</v>
      </c>
      <c r="B2" s="61" t="s">
        <v>110</v>
      </c>
      <c r="C2" s="50" t="str">
        <f t="shared" ref="C2" si="0">RIGHT(F2,6)</f>
        <v>576101</v>
      </c>
      <c r="D2" s="19" t="s">
        <v>45</v>
      </c>
      <c r="E2" s="17" t="str">
        <f t="shared" ref="E2" si="1">B2&amp;C2&amp;D2</f>
        <v>gacha_select_tables_576101.tmp</v>
      </c>
      <c r="F2" s="99" t="s">
        <v>259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576103</v>
      </c>
      <c r="D3" s="19" t="s">
        <v>45</v>
      </c>
      <c r="E3" s="17" t="str">
        <f t="shared" ref="E3:E10" si="3">B3&amp;C3&amp;D3</f>
        <v>gacha_select_tables_576103.tmp</v>
      </c>
      <c r="F3" s="99" t="s">
        <v>260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2" t="s">
        <v>247</v>
      </c>
      <c r="B4" s="61" t="s">
        <v>110</v>
      </c>
      <c r="C4" s="50" t="str">
        <f t="shared" si="2"/>
        <v>576104</v>
      </c>
      <c r="D4" s="19" t="s">
        <v>45</v>
      </c>
      <c r="E4" s="17" t="str">
        <f t="shared" si="3"/>
        <v>gacha_select_tables_576104.tmp</v>
      </c>
      <c r="F4" s="99" t="s">
        <v>261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2" t="s">
        <v>247</v>
      </c>
      <c r="B5" s="61" t="s">
        <v>110</v>
      </c>
      <c r="C5" s="50" t="str">
        <f t="shared" si="2"/>
        <v>576105</v>
      </c>
      <c r="D5" s="19" t="s">
        <v>45</v>
      </c>
      <c r="E5" s="17" t="str">
        <f t="shared" si="3"/>
        <v>gacha_select_tables_576105.tmp</v>
      </c>
      <c r="F5" s="99" t="s">
        <v>262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92" t="s">
        <v>247</v>
      </c>
      <c r="B6" s="61" t="s">
        <v>110</v>
      </c>
      <c r="C6" s="50" t="str">
        <f t="shared" ref="C6" si="4">RIGHT(F6,6)</f>
        <v>576100</v>
      </c>
      <c r="D6" s="19" t="s">
        <v>45</v>
      </c>
      <c r="E6" s="17" t="str">
        <f t="shared" ref="E6" si="5">B6&amp;C6&amp;D6</f>
        <v>gacha_select_tables_576100.tmp</v>
      </c>
      <c r="F6" s="99" t="s">
        <v>263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ref="E7" si="6">B7&amp;C7&amp;D7</f>
        <v>gacha_select_tables_363100.tmp</v>
      </c>
      <c r="F7" s="88" t="s">
        <v>244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3" t="s">
        <v>250</v>
      </c>
      <c r="B8" s="27" t="s">
        <v>50</v>
      </c>
      <c r="C8" s="32">
        <v>576</v>
      </c>
      <c r="D8" s="19" t="s">
        <v>46</v>
      </c>
      <c r="E8" s="17" t="str">
        <f t="shared" si="3"/>
        <v>gacha_bonus_tables_576.tmp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3" t="s">
        <v>250</v>
      </c>
      <c r="B9" s="19" t="s">
        <v>48</v>
      </c>
      <c r="C9" s="32">
        <v>576</v>
      </c>
      <c r="D9" s="19" t="s">
        <v>46</v>
      </c>
      <c r="E9" s="17" t="str">
        <f t="shared" si="3"/>
        <v>gifts_tmp_576.tmp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3" t="s">
        <v>250</v>
      </c>
      <c r="B10" s="19" t="s">
        <v>49</v>
      </c>
      <c r="C10" s="32">
        <v>576</v>
      </c>
      <c r="D10" s="19" t="s">
        <v>46</v>
      </c>
      <c r="E10" s="17" t="str">
        <f t="shared" si="3"/>
        <v>gifts_i18n_576.tmp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tabSelected="1" workbookViewId="0">
      <selection activeCell="B27" sqref="B27:B2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576101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1076</v>
      </c>
      <c r="M3" s="37" t="str">
        <f>VLOOKUP(L3,[1]characters!$A:$C,3,FALSE)</f>
        <v>パレート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VLOOKUP(L3,tables_576101!B:C,2,FALSE)</f>
        <v>PremiumSSS5R3less</v>
      </c>
      <c r="R3" s="62">
        <f t="shared" ref="R3:R20" si="1">N3*A$36</f>
        <v>681600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VLOOKUP(L4,tables_576101!B:C,2,FALSE)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6.3380281690140854E-4</v>
      </c>
      <c r="F5">
        <f>(COUNTIF(tables_576101!C:C,input_576101!A28)+COUNTIF(tables_576101!C:C,input_576101!A29))</f>
        <v>72</v>
      </c>
      <c r="H5" s="83">
        <v>5.0000000000000001E-3</v>
      </c>
      <c r="I5" s="31">
        <v>1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VLOOKUP(L5,tables_576101!B:C,2,FALSE)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5">
        <f>(B10-H6)/(F6-I6)</f>
        <v>9.8437500000000001E-3</v>
      </c>
      <c r="F6">
        <f>(COUNTIF(tables_576101!C:C,input_576101!A25)+COUNTIF(tables_576101!C:C,input_576101!A18)+COUNTIF(tables_576101!C:C,input_576101!A20)+COUNTIF(tables_576101!C:C,input_576101!A22))</f>
        <v>96</v>
      </c>
      <c r="H6" s="87">
        <v>0</v>
      </c>
      <c r="I6" s="31">
        <v>0</v>
      </c>
      <c r="L6" s="89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VLOOKUP(L6,tables_576101!B:C,2,FALSE)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VLOOKUP(L7,tables_576101!B:C,2,FALSE)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5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VLOOKUP(L8,tables_576101!B:C,2,FALSE)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VLOOKUP(L9,tables_576101!B:C,2,FALSE)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0.94499999999999995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VLOOKUP(L10,tables_576101!B:C,2,FALSE)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6">
        <v>0.05</v>
      </c>
      <c r="C11" t="s">
        <v>243</v>
      </c>
      <c r="L11" s="86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VLOOKUP(L11,tables_576101!B:C,2,FALSE)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5.0000000000000001E-3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VLOOKUP(L12,tables_576101!B:C,2,FALSE)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VLOOKUP(L13,tables_576101!B:C,2,FALSE)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VLOOKUP(L14,tables_576101!B:C,2,FALSE)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VLOOKUP(L15,tables_576101!B:C,2,FALSE)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VLOOKUP(L16,tables_576101!B:C,2,FALSE)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0.22437500000000002</v>
      </c>
      <c r="C17" s="84">
        <f t="shared" ref="C17:C31" si="2">SUMIF(Q:Q,A17,N:N)</f>
        <v>0</v>
      </c>
      <c r="D17" s="74">
        <f t="shared" ref="D17:D32" si="3">B17-C17</f>
        <v>0.22437500000000002</v>
      </c>
      <c r="E17">
        <f>COUNTIF(tables_576101!C:C,input_576101!A17)-COUNTIF(Q:Q,A17)</f>
        <v>20</v>
      </c>
      <c r="F17" s="43">
        <f>IFERROR(B17/E17,0)</f>
        <v>1.1218750000000001E-2</v>
      </c>
      <c r="G17">
        <f t="shared" ref="G17:G31" si="4">A$36*B17</f>
        <v>30586800.000000004</v>
      </c>
      <c r="H17">
        <f t="shared" ref="H17:H31" si="5">IFERROR(ROUND(G17/E17,5),0)</f>
        <v>1529340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VLOOKUP(L17,tables_576101!B:C,2,FALSE)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B6-SUM(B20,B22,B25,B27,C27,C31)</f>
        <v>0.10017656250000001</v>
      </c>
      <c r="C18" s="84">
        <f t="shared" si="2"/>
        <v>0</v>
      </c>
      <c r="D18" s="74">
        <f t="shared" si="3"/>
        <v>0.10017656250000001</v>
      </c>
      <c r="E18">
        <f>COUNTIF(tables_576101!C:C,input_576101!A18)-COUNTIF(Q:Q,A18)</f>
        <v>20</v>
      </c>
      <c r="F18" s="43">
        <f>IFERROR(B18/E18,0)</f>
        <v>5.0088281250000007E-3</v>
      </c>
      <c r="G18">
        <f t="shared" si="4"/>
        <v>13656069.000000002</v>
      </c>
      <c r="H18">
        <f t="shared" si="5"/>
        <v>682803.45</v>
      </c>
      <c r="I18">
        <f t="shared" si="6"/>
        <v>0.44999999995343387</v>
      </c>
      <c r="J18">
        <f t="shared" si="7"/>
        <v>2.2222222224521784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VLOOKUP(L18,tables_576101!B:C,2,FALSE)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0.25593749999999998</v>
      </c>
      <c r="C19" s="84">
        <f t="shared" si="2"/>
        <v>0</v>
      </c>
      <c r="D19" s="74">
        <f t="shared" si="3"/>
        <v>0.25593749999999998</v>
      </c>
      <c r="E19">
        <f>COUNTIF(tables_576101!C:C,input_576101!A19)-COUNTIF(Q:Q,A19)</f>
        <v>52</v>
      </c>
      <c r="F19" s="43">
        <f t="shared" ref="F19:F31" si="8">IFERROR(B19/E19,0)</f>
        <v>4.921875E-3</v>
      </c>
      <c r="G19">
        <f t="shared" si="4"/>
        <v>34889400</v>
      </c>
      <c r="H19">
        <f t="shared" si="5"/>
        <v>670950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VLOOKUP(L19,tables_576101!B:C,2,FALSE)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E$6*E20*B$6*0.95</f>
        <v>0.21882656249999999</v>
      </c>
      <c r="C20" s="84">
        <f t="shared" si="2"/>
        <v>0</v>
      </c>
      <c r="D20" s="74">
        <f t="shared" si="3"/>
        <v>0.21882656249999999</v>
      </c>
      <c r="E20">
        <f>COUNTIF(tables_576101!C:C,input_576101!A20)-COUNTIF(Q:Q,A20)</f>
        <v>52</v>
      </c>
      <c r="F20" s="43">
        <f t="shared" si="8"/>
        <v>4.2082031249999997E-3</v>
      </c>
      <c r="G20">
        <f t="shared" si="4"/>
        <v>29830437</v>
      </c>
      <c r="H20">
        <f t="shared" si="5"/>
        <v>573662.25</v>
      </c>
      <c r="I20">
        <f t="shared" si="6"/>
        <v>0.25</v>
      </c>
      <c r="J20">
        <f t="shared" si="7"/>
        <v>4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VLOOKUP(L20,tables_576101!B:C,2,FALSE)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B7-B23-B26-B28-B29-B31-C28</f>
        <v>1.0234375000000004E-2</v>
      </c>
      <c r="C21" s="84">
        <f t="shared" si="2"/>
        <v>0</v>
      </c>
      <c r="D21" s="74">
        <f t="shared" si="3"/>
        <v>1.0234375000000004E-2</v>
      </c>
      <c r="E21">
        <f>COUNTIF(tables_576101!C:C,input_576101!A21)-COUNTIF(Q:Q,A21)</f>
        <v>52</v>
      </c>
      <c r="F21" s="43">
        <f t="shared" si="8"/>
        <v>1.9681490384615392E-4</v>
      </c>
      <c r="G21">
        <f t="shared" si="4"/>
        <v>1395150.0000000005</v>
      </c>
      <c r="H21">
        <f t="shared" si="5"/>
        <v>26829.807690000001</v>
      </c>
      <c r="I21">
        <f t="shared" si="6"/>
        <v>0.80769000000145752</v>
      </c>
      <c r="J21">
        <f t="shared" si="7"/>
        <v>1.2380987755180768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90">
        <f>E$6*E22*B$6*0.95</f>
        <v>8.4164062499999998E-2</v>
      </c>
      <c r="C22" s="84">
        <f t="shared" si="2"/>
        <v>0</v>
      </c>
      <c r="D22" s="74">
        <f t="shared" si="3"/>
        <v>8.4164062499999998E-2</v>
      </c>
      <c r="E22">
        <f>COUNTIF(tables_576101!C:C,input_576101!A22)-COUNTIF(Q:Q,A22)</f>
        <v>20</v>
      </c>
      <c r="F22" s="43">
        <f t="shared" si="8"/>
        <v>4.2082031249999997E-3</v>
      </c>
      <c r="G22">
        <f t="shared" si="4"/>
        <v>11473245</v>
      </c>
      <c r="H22">
        <f t="shared" si="5"/>
        <v>573662.25</v>
      </c>
      <c r="I22">
        <f t="shared" si="6"/>
        <v>0.25</v>
      </c>
      <c r="J22">
        <f t="shared" si="7"/>
        <v>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1.2796874999999999E-2</v>
      </c>
      <c r="C23" s="84">
        <f t="shared" si="2"/>
        <v>0</v>
      </c>
      <c r="D23" s="74">
        <f t="shared" si="3"/>
        <v>1.2796874999999999E-2</v>
      </c>
      <c r="E23">
        <f>COUNTIF(tables_576101!C:C,input_576101!A23)-COUNTIF(Q:Q,A23)</f>
        <v>26</v>
      </c>
      <c r="F23" s="43">
        <f t="shared" si="8"/>
        <v>4.921875E-4</v>
      </c>
      <c r="G23">
        <f t="shared" si="4"/>
        <v>1744470</v>
      </c>
      <c r="H23">
        <f t="shared" si="5"/>
        <v>67095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1.96875E-2</v>
      </c>
      <c r="C24" s="84">
        <f t="shared" si="2"/>
        <v>0</v>
      </c>
      <c r="D24" s="74">
        <f t="shared" si="3"/>
        <v>1.96875E-2</v>
      </c>
      <c r="E24">
        <f>COUNTIF(tables_576101!C:C,input_576101!A24)-COUNTIF(Q:Q,A24)</f>
        <v>4</v>
      </c>
      <c r="F24" s="43">
        <f t="shared" si="8"/>
        <v>4.921875E-3</v>
      </c>
      <c r="G24">
        <f t="shared" si="4"/>
        <v>2683800</v>
      </c>
      <c r="H24">
        <f t="shared" si="5"/>
        <v>670950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90">
        <f>E$6*E25*B$6*0.95</f>
        <v>1.6832812500000002E-2</v>
      </c>
      <c r="C25" s="84">
        <f t="shared" si="2"/>
        <v>0</v>
      </c>
      <c r="D25" s="74">
        <f t="shared" si="3"/>
        <v>1.6832812500000002E-2</v>
      </c>
      <c r="E25">
        <f>COUNTIF(tables_576101!C:C,input_576101!A25)-COUNTIF(Q:Q,A25)</f>
        <v>4</v>
      </c>
      <c r="F25" s="43">
        <f t="shared" si="8"/>
        <v>4.2082031250000006E-3</v>
      </c>
      <c r="G25">
        <f t="shared" si="4"/>
        <v>2294649.0000000005</v>
      </c>
      <c r="H25">
        <f t="shared" si="5"/>
        <v>573662.25</v>
      </c>
      <c r="I25">
        <f t="shared" si="6"/>
        <v>0.25</v>
      </c>
      <c r="J25">
        <f t="shared" si="7"/>
        <v>4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1.96875E-3</v>
      </c>
      <c r="C26" s="84">
        <f t="shared" si="2"/>
        <v>0</v>
      </c>
      <c r="D26" s="74">
        <f t="shared" si="3"/>
        <v>1.96875E-3</v>
      </c>
      <c r="E26">
        <f>COUNTIF(tables_576101!C:C,input_576101!A26)-COUNTIF(Q:Q,A26)</f>
        <v>4</v>
      </c>
      <c r="F26" s="43">
        <f t="shared" si="8"/>
        <v>4.921875E-4</v>
      </c>
      <c r="G26">
        <f t="shared" si="4"/>
        <v>268380</v>
      </c>
      <c r="H26">
        <f t="shared" si="5"/>
        <v>67095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97">
        <f>B11-B28-B29-C28-C27</f>
        <v>2.5000000000000001E-2</v>
      </c>
      <c r="C27" s="84">
        <f t="shared" si="2"/>
        <v>0</v>
      </c>
      <c r="D27" s="74">
        <f t="shared" si="3"/>
        <v>2.5000000000000001E-2</v>
      </c>
      <c r="E27">
        <f>COUNTIF(tables_576101!C:C,input_576101!A27)-COUNTIF(Q:Q,A27)</f>
        <v>28</v>
      </c>
      <c r="F27" s="43">
        <f>IFERROR(B27/E27,0)</f>
        <v>8.9285714285714294E-4</v>
      </c>
      <c r="G27">
        <f t="shared" si="4"/>
        <v>3408000</v>
      </c>
      <c r="H27">
        <f t="shared" si="5"/>
        <v>121714.28571</v>
      </c>
      <c r="I27">
        <f t="shared" si="6"/>
        <v>0.28570999999647029</v>
      </c>
      <c r="J27">
        <f t="shared" si="7"/>
        <v>3.5000525008307521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B11/2*E28/(SUM(E28:E29))</f>
        <v>9.7222222222222224E-3</v>
      </c>
      <c r="C28" s="84">
        <f t="shared" si="2"/>
        <v>0</v>
      </c>
      <c r="D28" s="74">
        <f t="shared" si="3"/>
        <v>9.7222222222222224E-3</v>
      </c>
      <c r="E28">
        <f>COUNTIF(tables_576101!C:C,input_576101!A28)-COUNTIF(Q:Q,A28)</f>
        <v>28</v>
      </c>
      <c r="F28" s="43">
        <f t="shared" si="8"/>
        <v>3.4722222222222224E-4</v>
      </c>
      <c r="G28">
        <f t="shared" si="4"/>
        <v>1325333.3333333333</v>
      </c>
      <c r="H28">
        <f t="shared" si="5"/>
        <v>47333.333330000001</v>
      </c>
      <c r="I28">
        <f t="shared" si="6"/>
        <v>0.33333000000129687</v>
      </c>
      <c r="J28">
        <f t="shared" si="7"/>
        <v>3.0000300002883309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B11/2*E29/(SUM(E28:E29))</f>
        <v>1.5277777777777779E-2</v>
      </c>
      <c r="C29" s="84">
        <f t="shared" si="2"/>
        <v>0</v>
      </c>
      <c r="D29" s="74">
        <f t="shared" si="3"/>
        <v>1.5277777777777779E-2</v>
      </c>
      <c r="E29">
        <f>COUNTIF(tables_576101!C:C,input_576101!A29)-COUNTIF(Q:Q,A29)</f>
        <v>44</v>
      </c>
      <c r="F29" s="43">
        <f t="shared" si="8"/>
        <v>3.4722222222222224E-4</v>
      </c>
      <c r="G29">
        <f t="shared" si="4"/>
        <v>2082666.6666666667</v>
      </c>
      <c r="H29">
        <f t="shared" si="5"/>
        <v>47333.333330000001</v>
      </c>
      <c r="I29">
        <f t="shared" si="6"/>
        <v>0.33333000000129687</v>
      </c>
      <c r="J29">
        <f t="shared" si="7"/>
        <v>3.0000300002883309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v>0</v>
      </c>
      <c r="C30" s="84">
        <f t="shared" si="2"/>
        <v>0</v>
      </c>
      <c r="D30" s="74">
        <f t="shared" si="3"/>
        <v>0</v>
      </c>
      <c r="E30">
        <f>COUNTIF(tables_576101!C:C,input_576101!A30)-COUNTIF(Q:Q,A30)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5.0000000000000001E-3</v>
      </c>
      <c r="D31" s="74">
        <f t="shared" si="3"/>
        <v>-5.0000000000000001E-3</v>
      </c>
      <c r="E31">
        <f>COUNTIF(tables_576101!C:C,input_576101!A31)-COUNTIF(Q:Q,A31)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0.99500000000000011</v>
      </c>
      <c r="C32" s="41">
        <f>SUM(C19:C31)</f>
        <v>5.0000000000000001E-3</v>
      </c>
      <c r="D32" s="42">
        <f t="shared" si="3"/>
        <v>0.9900000000000001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136320000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SUMIF(tables_576101!C:C,input_576101!A40,tables_576101!O:O)</f>
        <v>34889400</v>
      </c>
      <c r="C40" s="54">
        <f t="shared" ref="C40:C46" ca="1" si="9">B40/B$47</f>
        <v>0.49245204171409385</v>
      </c>
      <c r="E40">
        <v>3</v>
      </c>
      <c r="F40">
        <f ca="1">SUMIF(tables_576101!J:J,input_576101!E40,tables_576101!O:O)</f>
        <v>68160000</v>
      </c>
      <c r="G40">
        <f ca="1">F40/A36</f>
        <v>0.5</v>
      </c>
    </row>
    <row r="41" spans="1:7" x14ac:dyDescent="0.15">
      <c r="A41" s="33" t="s">
        <v>104</v>
      </c>
      <c r="B41">
        <f ca="1">SUMIF(tables_576101!C:C,input_576101!A41,tables_576101!O:O)</f>
        <v>29830437</v>
      </c>
      <c r="C41" s="54">
        <f t="shared" ca="1" si="9"/>
        <v>0.42104649566555025</v>
      </c>
      <c r="E41">
        <v>4</v>
      </c>
      <c r="F41">
        <f ca="1">SUMIF(tables_576101!J:J,input_576101!E41,tables_576101!O:O)</f>
        <v>60662399.999879986</v>
      </c>
      <c r="G41">
        <f ca="1">F41/A36</f>
        <v>0.4449999999991196</v>
      </c>
    </row>
    <row r="42" spans="1:7" x14ac:dyDescent="0.15">
      <c r="A42" s="33" t="s">
        <v>106</v>
      </c>
      <c r="B42">
        <f ca="1">SUMIF(tables_576101!C:C,input_576101!A42,tables_576101!O:O)</f>
        <v>3407999.9998799996</v>
      </c>
      <c r="C42" s="54">
        <f t="shared" ca="1" si="9"/>
        <v>4.8102763535702454E-2</v>
      </c>
      <c r="E42">
        <v>5</v>
      </c>
      <c r="F42">
        <f ca="1">SUMIF(tables_576101!J:J,input_576101!E42,tables_576101!O:O)</f>
        <v>7497599.9996399926</v>
      </c>
      <c r="G42">
        <f ca="1">F42/A36</f>
        <v>5.4999999997359099E-2</v>
      </c>
    </row>
    <row r="43" spans="1:7" x14ac:dyDescent="0.15">
      <c r="A43" s="33" t="s">
        <v>109</v>
      </c>
      <c r="B43">
        <f>SUMIF(tables_576101!C:C,input_576101!A43,tables_576101!O:O)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SUMIF(tables_576101!C:C,input_576101!A44,tables_576101!O:O)</f>
        <v>1395149.9998799998</v>
      </c>
      <c r="C44" s="54">
        <f t="shared" ca="1" si="9"/>
        <v>1.9692068821427815E-2</v>
      </c>
      <c r="E44" t="s">
        <v>54</v>
      </c>
      <c r="F44" s="55"/>
    </row>
    <row r="45" spans="1:7" x14ac:dyDescent="0.15">
      <c r="A45" s="33" t="s">
        <v>107</v>
      </c>
      <c r="B45">
        <f ca="1">SUMIF(tables_576101!C:C,input_576101!A45,tables_576101!O:O)</f>
        <v>1325333.3332400008</v>
      </c>
      <c r="C45" s="54">
        <f t="shared" ca="1" si="9"/>
        <v>1.8706630263225617E-2</v>
      </c>
      <c r="E45" t="s">
        <v>204</v>
      </c>
      <c r="F45" s="55">
        <f ca="1">SUMIF(tables_576101!I:I,input_576101!E45,tables_576101!P:P)</f>
        <v>0.3275046875011523</v>
      </c>
    </row>
    <row r="46" spans="1:7" x14ac:dyDescent="0.15">
      <c r="A46" s="33" t="s">
        <v>108</v>
      </c>
      <c r="B46">
        <f>SUMIF(tables_576101!C:C,input_576101!A46,tables_576101!O:O)</f>
        <v>0</v>
      </c>
      <c r="C46" s="54">
        <f t="shared" ca="1" si="9"/>
        <v>0</v>
      </c>
      <c r="E46" t="s">
        <v>205</v>
      </c>
      <c r="F46" s="55">
        <f ca="1">SUMIF(tables_576101!I:I,input_576101!E46,tables_576101!P:P)</f>
        <v>0.18742397836575606</v>
      </c>
    </row>
    <row r="47" spans="1:7" x14ac:dyDescent="0.15">
      <c r="A47" s="39" t="s">
        <v>59</v>
      </c>
      <c r="B47">
        <f ca="1">SUM(B40:B46)</f>
        <v>70848320.333000004</v>
      </c>
      <c r="C47" s="55">
        <f ca="1">SUM(C40:C46)</f>
        <v>0.99999999999999989</v>
      </c>
      <c r="E47" t="s">
        <v>206</v>
      </c>
      <c r="F47" s="55">
        <f ca="1">SUMIF(tables_576101!I:I,input_576101!E47,tables_576101!P:P)</f>
        <v>0.43007133413553617</v>
      </c>
    </row>
    <row r="48" spans="1:7" x14ac:dyDescent="0.15">
      <c r="E48" t="s">
        <v>207</v>
      </c>
      <c r="F48" s="55">
        <f ca="1">SUMIF(tables_576101!I:I,input_576101!E48,tables_576101!P:P)</f>
        <v>4.6874999997744082E-2</v>
      </c>
      <c r="G48" s="55"/>
    </row>
    <row r="49" spans="5:6" x14ac:dyDescent="0.15">
      <c r="E49" t="s">
        <v>245</v>
      </c>
      <c r="F49" s="55">
        <f ca="1">SUMIF(tables_576101!I:I,input_576101!E49,tables_576101!P:P)</f>
        <v>3.1249999997909235E-3</v>
      </c>
    </row>
    <row r="50" spans="5:6" x14ac:dyDescent="0.15">
      <c r="E50" t="s">
        <v>251</v>
      </c>
      <c r="F50" s="55">
        <f ca="1">SUMIF(tables_576101!I:I,input_576101!E50,tables_576101!P:P)</f>
        <v>5.0000000000175902E-3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6"/>
  <sheetViews>
    <sheetView showGridLines="0" zoomScale="75" zoomScaleNormal="75" zoomScalePageLayoutView="75" workbookViewId="0">
      <pane ySplit="1" topLeftCell="A313" activePane="bottomLeft" state="frozen"/>
      <selection activeCell="H276" sqref="H276"/>
      <selection pane="bottomLeft" activeCell="B356" sqref="B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input_576101!A$2</f>
        <v>576101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IFERROR(VLOOKUP(B2,input_576101!L:R,7,FALSE),VLOOKUP(tables_576101!C2,input_576101!A:H,8,FALSE))</f>
        <v>1529340</v>
      </c>
      <c r="P2" s="46">
        <f t="shared" ref="P2:P65" ca="1" si="1">O2/SUM(O:O)</f>
        <v>1.1218750000039468E-2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input_576101!A$2</f>
        <v>576101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IFERROR(VLOOKUP(B3,input_576101!L:R,7,FALSE),VLOOKUP(tables_576101!C3,input_576101!A:H,8,FALSE))</f>
        <v>682803.45</v>
      </c>
      <c r="P3" s="46">
        <f t="shared" ca="1" si="1"/>
        <v>5.0088281250176211E-3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input_576101!A$2</f>
        <v>576101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IFERROR(VLOOKUP(B4,input_576101!L:R,7,FALSE),VLOOKUP(tables_576101!C4,input_576101!A:H,8,FALSE))</f>
        <v>1529340</v>
      </c>
      <c r="P4" s="46">
        <f t="shared" ca="1" si="1"/>
        <v>1.1218750000039468E-2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input_576101!A$2</f>
        <v>576101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IFERROR(VLOOKUP(B5,input_576101!L:R,7,FALSE),VLOOKUP(tables_576101!C5,input_576101!A:H,8,FALSE))</f>
        <v>682803.45</v>
      </c>
      <c r="P5" s="46">
        <f t="shared" ca="1" si="1"/>
        <v>5.0088281250176211E-3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input_576101!A$2</f>
        <v>576101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IFERROR(VLOOKUP(B6,input_576101!L:R,7,FALSE),VLOOKUP(tables_576101!C6,input_576101!A:H,8,FALSE))</f>
        <v>1529340</v>
      </c>
      <c r="P6" s="46">
        <f t="shared" ca="1" si="1"/>
        <v>1.1218750000039468E-2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input_576101!A$2</f>
        <v>576101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IFERROR(VLOOKUP(B7,input_576101!L:R,7,FALSE),VLOOKUP(tables_576101!C7,input_576101!A:H,8,FALSE))</f>
        <v>682803.45</v>
      </c>
      <c r="P7" s="46">
        <f t="shared" ca="1" si="1"/>
        <v>5.0088281250176211E-3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input_576101!A$2</f>
        <v>576101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IFERROR(VLOOKUP(B8,input_576101!L:R,7,FALSE),VLOOKUP(tables_576101!C8,input_576101!A:H,8,FALSE))</f>
        <v>1529340</v>
      </c>
      <c r="P8" s="46">
        <f t="shared" ca="1" si="1"/>
        <v>1.1218750000039468E-2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input_576101!A$2</f>
        <v>576101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IFERROR(VLOOKUP(B9,input_576101!L:R,7,FALSE),VLOOKUP(tables_576101!C9,input_576101!A:H,8,FALSE))</f>
        <v>682803.45</v>
      </c>
      <c r="P9" s="46">
        <f t="shared" ca="1" si="1"/>
        <v>5.0088281250176211E-3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input_576101!A$2</f>
        <v>576101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IFERROR(VLOOKUP(B10,input_576101!L:R,7,FALSE),VLOOKUP(tables_576101!C10,input_576101!A:H,8,FALSE))</f>
        <v>1529340</v>
      </c>
      <c r="P10" s="46">
        <f t="shared" ca="1" si="1"/>
        <v>1.1218750000039468E-2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input_576101!A$2</f>
        <v>576101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IFERROR(VLOOKUP(B11,input_576101!L:R,7,FALSE),VLOOKUP(tables_576101!C11,input_576101!A:H,8,FALSE))</f>
        <v>682803.45</v>
      </c>
      <c r="P11" s="46">
        <f t="shared" ca="1" si="1"/>
        <v>5.0088281250176211E-3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input_576101!A$2</f>
        <v>576101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IFERROR(VLOOKUP(B12,input_576101!L:R,7,FALSE),VLOOKUP(tables_576101!C12,input_576101!A:H,8,FALSE))</f>
        <v>1529340</v>
      </c>
      <c r="P12" s="46">
        <f t="shared" ca="1" si="1"/>
        <v>1.1218750000039468E-2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input_576101!A$2</f>
        <v>576101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IFERROR(VLOOKUP(B13,input_576101!L:R,7,FALSE),VLOOKUP(tables_576101!C13,input_576101!A:H,8,FALSE))</f>
        <v>682803.45</v>
      </c>
      <c r="P13" s="46">
        <f t="shared" ca="1" si="1"/>
        <v>5.0088281250176211E-3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input_576101!A$2</f>
        <v>576101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IFERROR(VLOOKUP(B14,input_576101!L:R,7,FALSE),VLOOKUP(tables_576101!C14,input_576101!A:H,8,FALSE))</f>
        <v>1529340</v>
      </c>
      <c r="P14" s="46">
        <f t="shared" ca="1" si="1"/>
        <v>1.1218750000039468E-2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input_576101!A$2</f>
        <v>576101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IFERROR(VLOOKUP(B15,input_576101!L:R,7,FALSE),VLOOKUP(tables_576101!C15,input_576101!A:H,8,FALSE))</f>
        <v>682803.45</v>
      </c>
      <c r="P15" s="46">
        <f t="shared" ca="1" si="1"/>
        <v>5.0088281250176211E-3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input_576101!A$2</f>
        <v>576101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IFERROR(VLOOKUP(B16,input_576101!L:R,7,FALSE),VLOOKUP(tables_576101!C16,input_576101!A:H,8,FALSE))</f>
        <v>1529340</v>
      </c>
      <c r="P16" s="46">
        <f t="shared" ca="1" si="1"/>
        <v>1.1218750000039468E-2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input_576101!A$2</f>
        <v>576101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IFERROR(VLOOKUP(B17,input_576101!L:R,7,FALSE),VLOOKUP(tables_576101!C17,input_576101!A:H,8,FALSE))</f>
        <v>682803.45</v>
      </c>
      <c r="P17" s="46">
        <f t="shared" ca="1" si="1"/>
        <v>5.0088281250176211E-3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input_576101!A$2</f>
        <v>576101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IFERROR(VLOOKUP(B18,input_576101!L:R,7,FALSE),VLOOKUP(tables_576101!C18,input_576101!A:H,8,FALSE))</f>
        <v>1529340</v>
      </c>
      <c r="P18" s="46">
        <f t="shared" ca="1" si="1"/>
        <v>1.1218750000039468E-2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input_576101!A$2</f>
        <v>576101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IFERROR(VLOOKUP(B19,input_576101!L:R,7,FALSE),VLOOKUP(tables_576101!C19,input_576101!A:H,8,FALSE))</f>
        <v>682803.45</v>
      </c>
      <c r="P19" s="46">
        <f t="shared" ca="1" si="1"/>
        <v>5.0088281250176211E-3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input_576101!A$2</f>
        <v>576101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IFERROR(VLOOKUP(B20,input_576101!L:R,7,FALSE),VLOOKUP(tables_576101!C20,input_576101!A:H,8,FALSE))</f>
        <v>1529340</v>
      </c>
      <c r="P20" s="46">
        <f t="shared" ca="1" si="1"/>
        <v>1.1218750000039468E-2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input_576101!A$2</f>
        <v>576101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IFERROR(VLOOKUP(B21,input_576101!L:R,7,FALSE),VLOOKUP(tables_576101!C21,input_576101!A:H,8,FALSE))</f>
        <v>682803.45</v>
      </c>
      <c r="P21" s="46">
        <f t="shared" ca="1" si="1"/>
        <v>5.0088281250176211E-3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input_576101!A$2</f>
        <v>576101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IFERROR(VLOOKUP(B22,input_576101!L:R,7,FALSE),VLOOKUP(tables_576101!C22,input_576101!A:H,8,FALSE))</f>
        <v>1529340</v>
      </c>
      <c r="P22" s="46">
        <f t="shared" ca="1" si="1"/>
        <v>1.1218750000039468E-2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input_576101!A$2</f>
        <v>576101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IFERROR(VLOOKUP(B23,input_576101!L:R,7,FALSE),VLOOKUP(tables_576101!C23,input_576101!A:H,8,FALSE))</f>
        <v>682803.45</v>
      </c>
      <c r="P23" s="46">
        <f t="shared" ca="1" si="1"/>
        <v>5.0088281250176211E-3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input_576101!A$2</f>
        <v>576101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IFERROR(VLOOKUP(B24,input_576101!L:R,7,FALSE),VLOOKUP(tables_576101!C24,input_576101!A:H,8,FALSE))</f>
        <v>1529340</v>
      </c>
      <c r="P24" s="46">
        <f t="shared" ca="1" si="1"/>
        <v>1.1218750000039468E-2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input_576101!A$2</f>
        <v>576101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IFERROR(VLOOKUP(B25,input_576101!L:R,7,FALSE),VLOOKUP(tables_576101!C25,input_576101!A:H,8,FALSE))</f>
        <v>682803.45</v>
      </c>
      <c r="P25" s="46">
        <f t="shared" ca="1" si="1"/>
        <v>5.0088281250176211E-3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input_576101!A$2</f>
        <v>576101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IFERROR(VLOOKUP(B26,input_576101!L:R,7,FALSE),VLOOKUP(tables_576101!C26,input_576101!A:H,8,FALSE))</f>
        <v>1529340</v>
      </c>
      <c r="P26" s="46">
        <f t="shared" ca="1" si="1"/>
        <v>1.1218750000039468E-2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input_576101!A$2</f>
        <v>576101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IFERROR(VLOOKUP(B27,input_576101!L:R,7,FALSE),VLOOKUP(tables_576101!C27,input_576101!A:H,8,FALSE))</f>
        <v>682803.45</v>
      </c>
      <c r="P27" s="46">
        <f t="shared" ca="1" si="1"/>
        <v>5.0088281250176211E-3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input_576101!A$2</f>
        <v>576101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IFERROR(VLOOKUP(B28,input_576101!L:R,7,FALSE),VLOOKUP(tables_576101!C28,input_576101!A:H,8,FALSE))</f>
        <v>1529340</v>
      </c>
      <c r="P28" s="46">
        <f t="shared" ca="1" si="1"/>
        <v>1.1218750000039468E-2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input_576101!A$2</f>
        <v>576101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IFERROR(VLOOKUP(B29,input_576101!L:R,7,FALSE),VLOOKUP(tables_576101!C29,input_576101!A:H,8,FALSE))</f>
        <v>682803.45</v>
      </c>
      <c r="P29" s="46">
        <f t="shared" ca="1" si="1"/>
        <v>5.0088281250176211E-3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input_576101!A$2</f>
        <v>576101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IFERROR(VLOOKUP(B30,input_576101!L:R,7,FALSE),VLOOKUP(tables_576101!C30,input_576101!A:H,8,FALSE))</f>
        <v>1529340</v>
      </c>
      <c r="P30" s="46">
        <f t="shared" ca="1" si="1"/>
        <v>1.1218750000039468E-2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input_576101!A$2</f>
        <v>576101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IFERROR(VLOOKUP(B31,input_576101!L:R,7,FALSE),VLOOKUP(tables_576101!C31,input_576101!A:H,8,FALSE))</f>
        <v>682803.45</v>
      </c>
      <c r="P31" s="46">
        <f t="shared" ca="1" si="1"/>
        <v>5.0088281250176211E-3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input_576101!A$2</f>
        <v>576101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IFERROR(VLOOKUP(B32,input_576101!L:R,7,FALSE),VLOOKUP(tables_576101!C32,input_576101!A:H,8,FALSE))</f>
        <v>1529340</v>
      </c>
      <c r="P32" s="46">
        <f t="shared" ca="1" si="1"/>
        <v>1.1218750000039468E-2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input_576101!A$2</f>
        <v>576101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IFERROR(VLOOKUP(B33,input_576101!L:R,7,FALSE),VLOOKUP(tables_576101!C33,input_576101!A:H,8,FALSE))</f>
        <v>682803.45</v>
      </c>
      <c r="P33" s="46">
        <f t="shared" ca="1" si="1"/>
        <v>5.0088281250176211E-3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input_576101!A$2</f>
        <v>576101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IFERROR(VLOOKUP(B34,input_576101!L:R,7,FALSE),VLOOKUP(tables_576101!C34,input_576101!A:H,8,FALSE))</f>
        <v>1529340</v>
      </c>
      <c r="P34" s="46">
        <f t="shared" ca="1" si="1"/>
        <v>1.1218750000039468E-2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input_576101!A$2</f>
        <v>576101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IFERROR(VLOOKUP(B35,input_576101!L:R,7,FALSE),VLOOKUP(tables_576101!C35,input_576101!A:H,8,FALSE))</f>
        <v>682803.45</v>
      </c>
      <c r="P35" s="46">
        <f t="shared" ca="1" si="1"/>
        <v>5.0088281250176211E-3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input_576101!A$2</f>
        <v>576101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IFERROR(VLOOKUP(B36,input_576101!L:R,7,FALSE),VLOOKUP(tables_576101!C36,input_576101!A:H,8,FALSE))</f>
        <v>1529340</v>
      </c>
      <c r="P36" s="46">
        <f t="shared" ca="1" si="1"/>
        <v>1.1218750000039468E-2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input_576101!A$2</f>
        <v>576101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IFERROR(VLOOKUP(B37,input_576101!L:R,7,FALSE),VLOOKUP(tables_576101!C37,input_576101!A:H,8,FALSE))</f>
        <v>682803.45</v>
      </c>
      <c r="P37" s="46">
        <f t="shared" ca="1" si="1"/>
        <v>5.0088281250176211E-3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input_576101!A$2</f>
        <v>576101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IFERROR(VLOOKUP(B38,input_576101!L:R,7,FALSE),VLOOKUP(tables_576101!C38,input_576101!A:H,8,FALSE))</f>
        <v>1529340</v>
      </c>
      <c r="P38" s="46">
        <f t="shared" ca="1" si="1"/>
        <v>1.1218750000039468E-2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input_576101!A$2</f>
        <v>576101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IFERROR(VLOOKUP(B39,input_576101!L:R,7,FALSE),VLOOKUP(tables_576101!C39,input_576101!A:H,8,FALSE))</f>
        <v>682803.45</v>
      </c>
      <c r="P39" s="46">
        <f t="shared" ca="1" si="1"/>
        <v>5.0088281250176211E-3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input_576101!A$2</f>
        <v>576101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IFERROR(VLOOKUP(B40,input_576101!L:R,7,FALSE),VLOOKUP(tables_576101!C40,input_576101!A:H,8,FALSE))</f>
        <v>1529340</v>
      </c>
      <c r="P40" s="46">
        <f t="shared" ca="1" si="1"/>
        <v>1.1218750000039468E-2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input_576101!A$2</f>
        <v>576101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IFERROR(VLOOKUP(B41,input_576101!L:R,7,FALSE),VLOOKUP(tables_576101!C41,input_576101!A:H,8,FALSE))</f>
        <v>682803.45</v>
      </c>
      <c r="P41" s="46">
        <f t="shared" ca="1" si="1"/>
        <v>5.0088281250176211E-3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input_576101!A$2</f>
        <v>576101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IFERROR(VLOOKUP(B42,input_576101!L:R,7,FALSE),VLOOKUP(tables_576101!C42,input_576101!A:H,8,FALSE))</f>
        <v>670950</v>
      </c>
      <c r="P42" s="46">
        <f t="shared" ca="1" si="1"/>
        <v>4.9218750000173152E-3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input_576101!A$2</f>
        <v>576101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IFERROR(VLOOKUP(B43,input_576101!L:R,7,FALSE),VLOOKUP(tables_576101!C43,input_576101!A:H,8,FALSE))</f>
        <v>573662.25</v>
      </c>
      <c r="P43" s="46">
        <f t="shared" ca="1" si="1"/>
        <v>4.2082031250148047E-3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input_576101!A$2</f>
        <v>576101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IFERROR(VLOOKUP(B44,input_576101!L:R,7,FALSE),VLOOKUP(tables_576101!C44,input_576101!A:H,8,FALSE))</f>
        <v>67095</v>
      </c>
      <c r="P44" s="46">
        <f t="shared" ca="1" si="1"/>
        <v>4.9218750000173158E-4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input_576101!A$2</f>
        <v>576101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IFERROR(VLOOKUP(B45,input_576101!L:R,7,FALSE),VLOOKUP(tables_576101!C45,input_576101!A:H,8,FALSE))</f>
        <v>670950</v>
      </c>
      <c r="P45" s="46">
        <f t="shared" ca="1" si="1"/>
        <v>4.9218750000173152E-3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input_576101!A$2</f>
        <v>576101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IFERROR(VLOOKUP(B46,input_576101!L:R,7,FALSE),VLOOKUP(tables_576101!C46,input_576101!A:H,8,FALSE))</f>
        <v>573662.25</v>
      </c>
      <c r="P46" s="46">
        <f t="shared" ca="1" si="1"/>
        <v>4.2082031250148047E-3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input_576101!A$2</f>
        <v>576101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IFERROR(VLOOKUP(B47,input_576101!L:R,7,FALSE),VLOOKUP(tables_576101!C47,input_576101!A:H,8,FALSE))</f>
        <v>67095</v>
      </c>
      <c r="P47" s="46">
        <f t="shared" ca="1" si="1"/>
        <v>4.9218750000173158E-4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input_576101!A$2</f>
        <v>576101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IFERROR(VLOOKUP(B48,input_576101!L:R,7,FALSE),VLOOKUP(tables_576101!C48,input_576101!A:H,8,FALSE))</f>
        <v>670950</v>
      </c>
      <c r="P48" s="46">
        <f t="shared" ca="1" si="1"/>
        <v>4.9218750000173152E-3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input_576101!A$2</f>
        <v>576101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IFERROR(VLOOKUP(B49,input_576101!L:R,7,FALSE),VLOOKUP(tables_576101!C49,input_576101!A:H,8,FALSE))</f>
        <v>573662.25</v>
      </c>
      <c r="P49" s="46">
        <f t="shared" ca="1" si="1"/>
        <v>4.2082031250148047E-3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input_576101!A$2</f>
        <v>576101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IFERROR(VLOOKUP(B50,input_576101!L:R,7,FALSE),VLOOKUP(tables_576101!C50,input_576101!A:H,8,FALSE))</f>
        <v>67095</v>
      </c>
      <c r="P50" s="46">
        <f t="shared" ca="1" si="1"/>
        <v>4.9218750000173158E-4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input_576101!A$2</f>
        <v>576101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IFERROR(VLOOKUP(B51,input_576101!L:R,7,FALSE),VLOOKUP(tables_576101!C51,input_576101!A:H,8,FALSE))</f>
        <v>670950</v>
      </c>
      <c r="P51" s="46">
        <f t="shared" ca="1" si="1"/>
        <v>4.9218750000173152E-3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input_576101!A$2</f>
        <v>576101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IFERROR(VLOOKUP(B52,input_576101!L:R,7,FALSE),VLOOKUP(tables_576101!C52,input_576101!A:H,8,FALSE))</f>
        <v>573662.25</v>
      </c>
      <c r="P52" s="46">
        <f t="shared" ca="1" si="1"/>
        <v>4.2082031250148047E-3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input_576101!A$2</f>
        <v>576101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IFERROR(VLOOKUP(B53,input_576101!L:R,7,FALSE),VLOOKUP(tables_576101!C53,input_576101!A:H,8,FALSE))</f>
        <v>26829.807690000001</v>
      </c>
      <c r="P53" s="46">
        <f t="shared" ca="1" si="1"/>
        <v>1.9681490382991777E-4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input_576101!A$2</f>
        <v>576101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IFERROR(VLOOKUP(B54,input_576101!L:R,7,FALSE),VLOOKUP(tables_576101!C54,input_576101!A:H,8,FALSE))</f>
        <v>670950</v>
      </c>
      <c r="P54" s="46">
        <f t="shared" ca="1" si="1"/>
        <v>4.9218750000173152E-3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input_576101!A$2</f>
        <v>576101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IFERROR(VLOOKUP(B55,input_576101!L:R,7,FALSE),VLOOKUP(tables_576101!C55,input_576101!A:H,8,FALSE))</f>
        <v>573662.25</v>
      </c>
      <c r="P55" s="46">
        <f t="shared" ca="1" si="1"/>
        <v>4.2082031250148047E-3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input_576101!A$2</f>
        <v>576101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IFERROR(VLOOKUP(B56,input_576101!L:R,7,FALSE),VLOOKUP(tables_576101!C56,input_576101!A:H,8,FALSE))</f>
        <v>26829.807690000001</v>
      </c>
      <c r="P56" s="46">
        <f t="shared" ca="1" si="1"/>
        <v>1.9681490382991777E-4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input_576101!A$2</f>
        <v>576101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IFERROR(VLOOKUP(B57,input_576101!L:R,7,FALSE),VLOOKUP(tables_576101!C57,input_576101!A:H,8,FALSE))</f>
        <v>670950</v>
      </c>
      <c r="P57" s="46">
        <f t="shared" ca="1" si="1"/>
        <v>4.9218750000173152E-3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input_576101!A$2</f>
        <v>576101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IFERROR(VLOOKUP(B58,input_576101!L:R,7,FALSE),VLOOKUP(tables_576101!C58,input_576101!A:H,8,FALSE))</f>
        <v>573662.25</v>
      </c>
      <c r="P58" s="46">
        <f t="shared" ca="1" si="1"/>
        <v>4.2082031250148047E-3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input_576101!A$2</f>
        <v>576101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IFERROR(VLOOKUP(B59,input_576101!L:R,7,FALSE),VLOOKUP(tables_576101!C59,input_576101!A:H,8,FALSE))</f>
        <v>26829.807690000001</v>
      </c>
      <c r="P59" s="46">
        <f t="shared" ca="1" si="1"/>
        <v>1.9681490382991777E-4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input_576101!A$2</f>
        <v>576101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IFERROR(VLOOKUP(B60,input_576101!L:R,7,FALSE),VLOOKUP(tables_576101!C60,input_576101!A:H,8,FALSE))</f>
        <v>670950</v>
      </c>
      <c r="P60" s="46">
        <f t="shared" ca="1" si="1"/>
        <v>4.9218750000173152E-3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input_576101!A$2</f>
        <v>576101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IFERROR(VLOOKUP(B61,input_576101!L:R,7,FALSE),VLOOKUP(tables_576101!C61,input_576101!A:H,8,FALSE))</f>
        <v>573662.25</v>
      </c>
      <c r="P61" s="46">
        <f t="shared" ca="1" si="1"/>
        <v>4.2082031250148047E-3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input_576101!A$2</f>
        <v>576101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IFERROR(VLOOKUP(B62,input_576101!L:R,7,FALSE),VLOOKUP(tables_576101!C62,input_576101!A:H,8,FALSE))</f>
        <v>26829.807690000001</v>
      </c>
      <c r="P62" s="46">
        <f t="shared" ca="1" si="1"/>
        <v>1.9681490382991777E-4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input_576101!A$2</f>
        <v>576101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IFERROR(VLOOKUP(B63,input_576101!L:R,7,FALSE),VLOOKUP(tables_576101!C63,input_576101!A:H,8,FALSE))</f>
        <v>670950</v>
      </c>
      <c r="P63" s="46">
        <f t="shared" ca="1" si="1"/>
        <v>4.9218750000173152E-3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input_576101!A$2</f>
        <v>576101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IFERROR(VLOOKUP(B64,input_576101!L:R,7,FALSE),VLOOKUP(tables_576101!C64,input_576101!A:H,8,FALSE))</f>
        <v>573662.25</v>
      </c>
      <c r="P64" s="46">
        <f t="shared" ca="1" si="1"/>
        <v>4.2082031250148047E-3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input_576101!A$2</f>
        <v>576101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IFERROR(VLOOKUP(B65,input_576101!L:R,7,FALSE),VLOOKUP(tables_576101!C65,input_576101!A:H,8,FALSE))</f>
        <v>26829.807690000001</v>
      </c>
      <c r="P65" s="46">
        <f t="shared" ca="1" si="1"/>
        <v>1.9681490382991777E-4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input_576101!A$2</f>
        <v>576101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IFERROR(VLOOKUP(B66,input_576101!L:R,7,FALSE),VLOOKUP(tables_576101!C66,input_576101!A:H,8,FALSE))</f>
        <v>670950</v>
      </c>
      <c r="P66" s="46">
        <f t="shared" ref="P66:P129" ca="1" si="4">O66/SUM(O:O)</f>
        <v>4.9218750000173152E-3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input_576101!A$2</f>
        <v>576101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IFERROR(VLOOKUP(B67,input_576101!L:R,7,FALSE),VLOOKUP(tables_576101!C67,input_576101!A:H,8,FALSE))</f>
        <v>573662.25</v>
      </c>
      <c r="P67" s="46">
        <f t="shared" ca="1" si="4"/>
        <v>4.2082031250148047E-3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input_576101!A$2</f>
        <v>576101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IFERROR(VLOOKUP(B68,input_576101!L:R,7,FALSE),VLOOKUP(tables_576101!C68,input_576101!A:H,8,FALSE))</f>
        <v>26829.807690000001</v>
      </c>
      <c r="P68" s="46">
        <f t="shared" ca="1" si="4"/>
        <v>1.9681490382991777E-4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input_576101!A$2</f>
        <v>576101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IFERROR(VLOOKUP(B69,input_576101!L:R,7,FALSE),VLOOKUP(tables_576101!C69,input_576101!A:H,8,FALSE))</f>
        <v>670950</v>
      </c>
      <c r="P69" s="46">
        <f t="shared" ca="1" si="4"/>
        <v>4.9218750000173152E-3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input_576101!A$2</f>
        <v>576101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IFERROR(VLOOKUP(B70,input_576101!L:R,7,FALSE),VLOOKUP(tables_576101!C70,input_576101!A:H,8,FALSE))</f>
        <v>573662.25</v>
      </c>
      <c r="P70" s="46">
        <f t="shared" ca="1" si="4"/>
        <v>4.2082031250148047E-3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input_576101!A$2</f>
        <v>576101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IFERROR(VLOOKUP(B71,input_576101!L:R,7,FALSE),VLOOKUP(tables_576101!C71,input_576101!A:H,8,FALSE))</f>
        <v>26829.807690000001</v>
      </c>
      <c r="P71" s="46">
        <f t="shared" ca="1" si="4"/>
        <v>1.9681490382991777E-4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input_576101!A$2</f>
        <v>576101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IFERROR(VLOOKUP(B72,input_576101!L:R,7,FALSE),VLOOKUP(tables_576101!C72,input_576101!A:H,8,FALSE))</f>
        <v>670950</v>
      </c>
      <c r="P72" s="46">
        <f t="shared" ca="1" si="4"/>
        <v>4.9218750000173152E-3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input_576101!A$2</f>
        <v>576101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IFERROR(VLOOKUP(B73,input_576101!L:R,7,FALSE),VLOOKUP(tables_576101!C73,input_576101!A:H,8,FALSE))</f>
        <v>573662.25</v>
      </c>
      <c r="P73" s="46">
        <f t="shared" ca="1" si="4"/>
        <v>4.2082031250148047E-3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input_576101!A$2</f>
        <v>576101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IFERROR(VLOOKUP(B74,input_576101!L:R,7,FALSE),VLOOKUP(tables_576101!C74,input_576101!A:H,8,FALSE))</f>
        <v>26829.807690000001</v>
      </c>
      <c r="P74" s="46">
        <f t="shared" ca="1" si="4"/>
        <v>1.9681490382991777E-4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input_576101!A$2</f>
        <v>576101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IFERROR(VLOOKUP(B75,input_576101!L:R,7,FALSE),VLOOKUP(tables_576101!C75,input_576101!A:H,8,FALSE))</f>
        <v>670950</v>
      </c>
      <c r="P75" s="46">
        <f t="shared" ca="1" si="4"/>
        <v>4.9218750000173152E-3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input_576101!A$2</f>
        <v>576101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IFERROR(VLOOKUP(B76,input_576101!L:R,7,FALSE),VLOOKUP(tables_576101!C76,input_576101!A:H,8,FALSE))</f>
        <v>573662.25</v>
      </c>
      <c r="P76" s="46">
        <f t="shared" ca="1" si="4"/>
        <v>4.2082031250148047E-3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input_576101!A$2</f>
        <v>576101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IFERROR(VLOOKUP(B77,input_576101!L:R,7,FALSE),VLOOKUP(tables_576101!C77,input_576101!A:H,8,FALSE))</f>
        <v>26829.807690000001</v>
      </c>
      <c r="P77" s="46">
        <f t="shared" ca="1" si="4"/>
        <v>1.9681490382991777E-4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input_576101!A$2</f>
        <v>576101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IFERROR(VLOOKUP(B78,input_576101!L:R,7,FALSE),VLOOKUP(tables_576101!C78,input_576101!A:H,8,FALSE))</f>
        <v>670950</v>
      </c>
      <c r="P78" s="46">
        <f t="shared" ca="1" si="4"/>
        <v>4.9218750000173152E-3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input_576101!A$2</f>
        <v>576101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IFERROR(VLOOKUP(B79,input_576101!L:R,7,FALSE),VLOOKUP(tables_576101!C79,input_576101!A:H,8,FALSE))</f>
        <v>573662.25</v>
      </c>
      <c r="P79" s="46">
        <f t="shared" ca="1" si="4"/>
        <v>4.2082031250148047E-3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input_576101!A$2</f>
        <v>576101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IFERROR(VLOOKUP(B80,input_576101!L:R,7,FALSE),VLOOKUP(tables_576101!C80,input_576101!A:H,8,FALSE))</f>
        <v>26829.807690000001</v>
      </c>
      <c r="P80" s="46">
        <f t="shared" ca="1" si="4"/>
        <v>1.9681490382991777E-4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input_576101!A$2</f>
        <v>576101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IFERROR(VLOOKUP(B81,input_576101!L:R,7,FALSE),VLOOKUP(tables_576101!C81,input_576101!A:H,8,FALSE))</f>
        <v>670950</v>
      </c>
      <c r="P81" s="46">
        <f t="shared" ca="1" si="4"/>
        <v>4.9218750000173152E-3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input_576101!A$2</f>
        <v>576101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IFERROR(VLOOKUP(B82,input_576101!L:R,7,FALSE),VLOOKUP(tables_576101!C82,input_576101!A:H,8,FALSE))</f>
        <v>573662.25</v>
      </c>
      <c r="P82" s="46">
        <f t="shared" ca="1" si="4"/>
        <v>4.2082031250148047E-3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input_576101!A$2</f>
        <v>576101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IFERROR(VLOOKUP(B83,input_576101!L:R,7,FALSE),VLOOKUP(tables_576101!C83,input_576101!A:H,8,FALSE))</f>
        <v>26829.807690000001</v>
      </c>
      <c r="P83" s="46">
        <f t="shared" ca="1" si="4"/>
        <v>1.9681490382991777E-4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input_576101!A$2</f>
        <v>576101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IFERROR(VLOOKUP(B84,input_576101!L:R,7,FALSE),VLOOKUP(tables_576101!C84,input_576101!A:H,8,FALSE))</f>
        <v>670950</v>
      </c>
      <c r="P84" s="46">
        <f t="shared" ca="1" si="4"/>
        <v>4.9218750000173152E-3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input_576101!A$2</f>
        <v>576101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IFERROR(VLOOKUP(B85,input_576101!L:R,7,FALSE),VLOOKUP(tables_576101!C85,input_576101!A:H,8,FALSE))</f>
        <v>573662.25</v>
      </c>
      <c r="P85" s="46">
        <f t="shared" ca="1" si="4"/>
        <v>4.2082031250148047E-3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input_576101!A$2</f>
        <v>576101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IFERROR(VLOOKUP(B86,input_576101!L:R,7,FALSE),VLOOKUP(tables_576101!C86,input_576101!A:H,8,FALSE))</f>
        <v>26829.807690000001</v>
      </c>
      <c r="P86" s="46">
        <f t="shared" ca="1" si="4"/>
        <v>1.9681490382991777E-4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input_576101!A$2</f>
        <v>576101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IFERROR(VLOOKUP(B87,input_576101!L:R,7,FALSE),VLOOKUP(tables_576101!C87,input_576101!A:H,8,FALSE))</f>
        <v>670950</v>
      </c>
      <c r="P87" s="46">
        <f t="shared" ca="1" si="4"/>
        <v>4.9218750000173152E-3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input_576101!A$2</f>
        <v>576101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IFERROR(VLOOKUP(B88,input_576101!L:R,7,FALSE),VLOOKUP(tables_576101!C88,input_576101!A:H,8,FALSE))</f>
        <v>573662.25</v>
      </c>
      <c r="P88" s="46">
        <f t="shared" ca="1" si="4"/>
        <v>4.2082031250148047E-3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input_576101!A$2</f>
        <v>576101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IFERROR(VLOOKUP(B89,input_576101!L:R,7,FALSE),VLOOKUP(tables_576101!C89,input_576101!A:H,8,FALSE))</f>
        <v>26829.807690000001</v>
      </c>
      <c r="P89" s="46">
        <f t="shared" ca="1" si="4"/>
        <v>1.9681490382991777E-4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input_576101!A$2</f>
        <v>576101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IFERROR(VLOOKUP(B90,input_576101!L:R,7,FALSE),VLOOKUP(tables_576101!C90,input_576101!A:H,8,FALSE))</f>
        <v>670950</v>
      </c>
      <c r="P90" s="46">
        <f t="shared" ca="1" si="4"/>
        <v>4.9218750000173152E-3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input_576101!A$2</f>
        <v>576101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IFERROR(VLOOKUP(B91,input_576101!L:R,7,FALSE),VLOOKUP(tables_576101!C91,input_576101!A:H,8,FALSE))</f>
        <v>573662.25</v>
      </c>
      <c r="P91" s="46">
        <f t="shared" ca="1" si="4"/>
        <v>4.2082031250148047E-3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input_576101!A$2</f>
        <v>576101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IFERROR(VLOOKUP(B92,input_576101!L:R,7,FALSE),VLOOKUP(tables_576101!C92,input_576101!A:H,8,FALSE))</f>
        <v>26829.807690000001</v>
      </c>
      <c r="P92" s="46">
        <f t="shared" ca="1" si="4"/>
        <v>1.9681490382991777E-4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input_576101!A$2</f>
        <v>576101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IFERROR(VLOOKUP(B93,input_576101!L:R,7,FALSE),VLOOKUP(tables_576101!C93,input_576101!A:H,8,FALSE))</f>
        <v>670950</v>
      </c>
      <c r="P93" s="46">
        <f t="shared" ca="1" si="4"/>
        <v>4.9218750000173152E-3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input_576101!A$2</f>
        <v>576101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IFERROR(VLOOKUP(B94,input_576101!L:R,7,FALSE),VLOOKUP(tables_576101!C94,input_576101!A:H,8,FALSE))</f>
        <v>573662.25</v>
      </c>
      <c r="P94" s="46">
        <f t="shared" ca="1" si="4"/>
        <v>4.2082031250148047E-3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input_576101!A$2</f>
        <v>576101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IFERROR(VLOOKUP(B95,input_576101!L:R,7,FALSE),VLOOKUP(tables_576101!C95,input_576101!A:H,8,FALSE))</f>
        <v>26829.807690000001</v>
      </c>
      <c r="P95" s="46">
        <f t="shared" ca="1" si="4"/>
        <v>1.9681490382991777E-4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input_576101!A$2</f>
        <v>576101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IFERROR(VLOOKUP(B96,input_576101!L:R,7,FALSE),VLOOKUP(tables_576101!C96,input_576101!A:H,8,FALSE))</f>
        <v>670950</v>
      </c>
      <c r="P96" s="46">
        <f t="shared" ca="1" si="4"/>
        <v>4.9218750000173152E-3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input_576101!A$2</f>
        <v>576101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IFERROR(VLOOKUP(B97,input_576101!L:R,7,FALSE),VLOOKUP(tables_576101!C97,input_576101!A:H,8,FALSE))</f>
        <v>573662.25</v>
      </c>
      <c r="P97" s="46">
        <f t="shared" ca="1" si="4"/>
        <v>4.2082031250148047E-3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input_576101!A$2</f>
        <v>576101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IFERROR(VLOOKUP(B98,input_576101!L:R,7,FALSE),VLOOKUP(tables_576101!C98,input_576101!A:H,8,FALSE))</f>
        <v>26829.807690000001</v>
      </c>
      <c r="P98" s="46">
        <f t="shared" ca="1" si="4"/>
        <v>1.9681490382991777E-4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input_576101!A$2</f>
        <v>576101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IFERROR(VLOOKUP(B99,input_576101!L:R,7,FALSE),VLOOKUP(tables_576101!C99,input_576101!A:H,8,FALSE))</f>
        <v>670950</v>
      </c>
      <c r="P99" s="46">
        <f t="shared" ca="1" si="4"/>
        <v>4.9218750000173152E-3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input_576101!A$2</f>
        <v>576101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IFERROR(VLOOKUP(B100,input_576101!L:R,7,FALSE),VLOOKUP(tables_576101!C100,input_576101!A:H,8,FALSE))</f>
        <v>573662.25</v>
      </c>
      <c r="P100" s="46">
        <f t="shared" ca="1" si="4"/>
        <v>4.2082031250148047E-3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input_576101!A$2</f>
        <v>576101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IFERROR(VLOOKUP(B101,input_576101!L:R,7,FALSE),VLOOKUP(tables_576101!C101,input_576101!A:H,8,FALSE))</f>
        <v>26829.807690000001</v>
      </c>
      <c r="P101" s="46">
        <f t="shared" ca="1" si="4"/>
        <v>1.9681490382991777E-4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input_576101!A$2</f>
        <v>576101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IFERROR(VLOOKUP(B102,input_576101!L:R,7,FALSE),VLOOKUP(tables_576101!C102,input_576101!A:H,8,FALSE))</f>
        <v>670950</v>
      </c>
      <c r="P102" s="46">
        <f t="shared" ca="1" si="4"/>
        <v>4.9218750000173152E-3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input_576101!A$2</f>
        <v>576101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IFERROR(VLOOKUP(B103,input_576101!L:R,7,FALSE),VLOOKUP(tables_576101!C103,input_576101!A:H,8,FALSE))</f>
        <v>573662.25</v>
      </c>
      <c r="P103" s="46">
        <f t="shared" ca="1" si="4"/>
        <v>4.2082031250148047E-3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input_576101!A$2</f>
        <v>576101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IFERROR(VLOOKUP(B104,input_576101!L:R,7,FALSE),VLOOKUP(tables_576101!C104,input_576101!A:H,8,FALSE))</f>
        <v>26829.807690000001</v>
      </c>
      <c r="P104" s="46">
        <f t="shared" ca="1" si="4"/>
        <v>1.9681490382991777E-4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input_576101!A$2</f>
        <v>576101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IFERROR(VLOOKUP(B105,input_576101!L:R,7,FALSE),VLOOKUP(tables_576101!C105,input_576101!A:H,8,FALSE))</f>
        <v>670950</v>
      </c>
      <c r="P105" s="46">
        <f t="shared" ca="1" si="4"/>
        <v>4.9218750000173152E-3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input_576101!A$2</f>
        <v>576101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IFERROR(VLOOKUP(B106,input_576101!L:R,7,FALSE),VLOOKUP(tables_576101!C106,input_576101!A:H,8,FALSE))</f>
        <v>573662.25</v>
      </c>
      <c r="P106" s="46">
        <f t="shared" ca="1" si="4"/>
        <v>4.2082031250148047E-3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input_576101!A$2</f>
        <v>576101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IFERROR(VLOOKUP(B107,input_576101!L:R,7,FALSE),VLOOKUP(tables_576101!C107,input_576101!A:H,8,FALSE))</f>
        <v>26829.807690000001</v>
      </c>
      <c r="P107" s="46">
        <f t="shared" ca="1" si="4"/>
        <v>1.9681490382991777E-4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input_576101!A$2</f>
        <v>576101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IFERROR(VLOOKUP(B108,input_576101!L:R,7,FALSE),VLOOKUP(tables_576101!C108,input_576101!A:H,8,FALSE))</f>
        <v>670950</v>
      </c>
      <c r="P108" s="46">
        <f t="shared" ca="1" si="4"/>
        <v>4.9218750000173152E-3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input_576101!A$2</f>
        <v>576101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IFERROR(VLOOKUP(B109,input_576101!L:R,7,FALSE),VLOOKUP(tables_576101!C109,input_576101!A:H,8,FALSE))</f>
        <v>573662.25</v>
      </c>
      <c r="P109" s="46">
        <f t="shared" ca="1" si="4"/>
        <v>4.2082031250148047E-3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input_576101!A$2</f>
        <v>576101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IFERROR(VLOOKUP(B110,input_576101!L:R,7,FALSE),VLOOKUP(tables_576101!C110,input_576101!A:H,8,FALSE))</f>
        <v>26829.807690000001</v>
      </c>
      <c r="P110" s="46">
        <f t="shared" ca="1" si="4"/>
        <v>1.9681490382991777E-4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input_576101!A$2</f>
        <v>576101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IFERROR(VLOOKUP(B111,input_576101!L:R,7,FALSE),VLOOKUP(tables_576101!C111,input_576101!A:H,8,FALSE))</f>
        <v>670950</v>
      </c>
      <c r="P111" s="46">
        <f t="shared" ca="1" si="4"/>
        <v>4.9218750000173152E-3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input_576101!A$2</f>
        <v>576101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IFERROR(VLOOKUP(B112,input_576101!L:R,7,FALSE),VLOOKUP(tables_576101!C112,input_576101!A:H,8,FALSE))</f>
        <v>573662.25</v>
      </c>
      <c r="P112" s="46">
        <f t="shared" ca="1" si="4"/>
        <v>4.2082031250148047E-3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input_576101!A$2</f>
        <v>576101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IFERROR(VLOOKUP(B113,input_576101!L:R,7,FALSE),VLOOKUP(tables_576101!C113,input_576101!A:H,8,FALSE))</f>
        <v>67095</v>
      </c>
      <c r="P113" s="46">
        <f t="shared" ca="1" si="4"/>
        <v>4.9218750000173158E-4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input_576101!A$2</f>
        <v>576101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IFERROR(VLOOKUP(B114,input_576101!L:R,7,FALSE),VLOOKUP(tables_576101!C114,input_576101!A:H,8,FALSE))</f>
        <v>670950</v>
      </c>
      <c r="P114" s="46">
        <f t="shared" ca="1" si="4"/>
        <v>4.9218750000173152E-3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input_576101!A$2</f>
        <v>576101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IFERROR(VLOOKUP(B115,input_576101!L:R,7,FALSE),VLOOKUP(tables_576101!C115,input_576101!A:H,8,FALSE))</f>
        <v>573662.25</v>
      </c>
      <c r="P115" s="46">
        <f t="shared" ca="1" si="4"/>
        <v>4.2082031250148047E-3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input_576101!A$2</f>
        <v>576101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IFERROR(VLOOKUP(B116,input_576101!L:R,7,FALSE),VLOOKUP(tables_576101!C116,input_576101!A:H,8,FALSE))</f>
        <v>26829.807690000001</v>
      </c>
      <c r="P116" s="46">
        <f t="shared" ca="1" si="4"/>
        <v>1.9681490382991777E-4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input_576101!A$2</f>
        <v>576101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IFERROR(VLOOKUP(B117,input_576101!L:R,7,FALSE),VLOOKUP(tables_576101!C117,input_576101!A:H,8,FALSE))</f>
        <v>670950</v>
      </c>
      <c r="P117" s="46">
        <f t="shared" ca="1" si="4"/>
        <v>4.9218750000173152E-3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input_576101!A$2</f>
        <v>576101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IFERROR(VLOOKUP(B118,input_576101!L:R,7,FALSE),VLOOKUP(tables_576101!C118,input_576101!A:H,8,FALSE))</f>
        <v>573662.25</v>
      </c>
      <c r="P118" s="46">
        <f t="shared" ca="1" si="4"/>
        <v>4.2082031250148047E-3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input_576101!A$2</f>
        <v>576101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IFERROR(VLOOKUP(B119,input_576101!L:R,7,FALSE),VLOOKUP(tables_576101!C119,input_576101!A:H,8,FALSE))</f>
        <v>26829.807690000001</v>
      </c>
      <c r="P119" s="46">
        <f t="shared" ca="1" si="4"/>
        <v>1.9681490382991777E-4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input_576101!A$2</f>
        <v>576101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IFERROR(VLOOKUP(B120,input_576101!L:R,7,FALSE),VLOOKUP(tables_576101!C120,input_576101!A:H,8,FALSE))</f>
        <v>670950</v>
      </c>
      <c r="P120" s="46">
        <f t="shared" ca="1" si="4"/>
        <v>4.9218750000173152E-3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input_576101!A$2</f>
        <v>576101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IFERROR(VLOOKUP(B121,input_576101!L:R,7,FALSE),VLOOKUP(tables_576101!C121,input_576101!A:H,8,FALSE))</f>
        <v>573662.25</v>
      </c>
      <c r="P121" s="46">
        <f t="shared" ca="1" si="4"/>
        <v>4.2082031250148047E-3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input_576101!A$2</f>
        <v>576101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IFERROR(VLOOKUP(B122,input_576101!L:R,7,FALSE),VLOOKUP(tables_576101!C122,input_576101!A:H,8,FALSE))</f>
        <v>26829.807690000001</v>
      </c>
      <c r="P122" s="46">
        <f t="shared" ca="1" si="4"/>
        <v>1.9681490382991777E-4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input_576101!A$2</f>
        <v>576101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IFERROR(VLOOKUP(B123,input_576101!L:R,7,FALSE),VLOOKUP(tables_576101!C123,input_576101!A:H,8,FALSE))</f>
        <v>670950</v>
      </c>
      <c r="P123" s="46">
        <f t="shared" ca="1" si="4"/>
        <v>4.9218750000173152E-3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input_576101!A$2</f>
        <v>576101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IFERROR(VLOOKUP(B124,input_576101!L:R,7,FALSE),VLOOKUP(tables_576101!C124,input_576101!A:H,8,FALSE))</f>
        <v>573662.25</v>
      </c>
      <c r="P124" s="46">
        <f t="shared" ca="1" si="4"/>
        <v>4.2082031250148047E-3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input_576101!A$2</f>
        <v>576101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IFERROR(VLOOKUP(B125,input_576101!L:R,7,FALSE),VLOOKUP(tables_576101!C125,input_576101!A:H,8,FALSE))</f>
        <v>26829.807690000001</v>
      </c>
      <c r="P125" s="46">
        <f t="shared" ca="1" si="4"/>
        <v>1.9681490382991777E-4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input_576101!A$2</f>
        <v>576101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IFERROR(VLOOKUP(B126,input_576101!L:R,7,FALSE),VLOOKUP(tables_576101!C126,input_576101!A:H,8,FALSE))</f>
        <v>670950</v>
      </c>
      <c r="P126" s="46">
        <f t="shared" ca="1" si="4"/>
        <v>4.9218750000173152E-3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input_576101!A$2</f>
        <v>576101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IFERROR(VLOOKUP(B127,input_576101!L:R,7,FALSE),VLOOKUP(tables_576101!C127,input_576101!A:H,8,FALSE))</f>
        <v>573662.25</v>
      </c>
      <c r="P127" s="46">
        <f t="shared" ca="1" si="4"/>
        <v>4.2082031250148047E-3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input_576101!A$2</f>
        <v>576101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IFERROR(VLOOKUP(B128,input_576101!L:R,7,FALSE),VLOOKUP(tables_576101!C128,input_576101!A:H,8,FALSE))</f>
        <v>26829.807690000001</v>
      </c>
      <c r="P128" s="46">
        <f t="shared" ca="1" si="4"/>
        <v>1.9681490382991777E-4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input_576101!A$2</f>
        <v>576101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IFERROR(VLOOKUP(B129,input_576101!L:R,7,FALSE),VLOOKUP(tables_576101!C129,input_576101!A:H,8,FALSE))</f>
        <v>670950</v>
      </c>
      <c r="P129" s="46">
        <f t="shared" ca="1" si="4"/>
        <v>4.9218750000173152E-3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input_576101!A$2</f>
        <v>576101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IFERROR(VLOOKUP(B130,input_576101!L:R,7,FALSE),VLOOKUP(tables_576101!C130,input_576101!A:H,8,FALSE))</f>
        <v>573662.25</v>
      </c>
      <c r="P130" s="46">
        <f t="shared" ref="P130:P193" ca="1" si="7">O130/SUM(O:O)</f>
        <v>4.2082031250148047E-3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input_576101!A$2</f>
        <v>576101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IFERROR(VLOOKUP(B131,input_576101!L:R,7,FALSE),VLOOKUP(tables_576101!C131,input_576101!A:H,8,FALSE))</f>
        <v>26829.807690000001</v>
      </c>
      <c r="P131" s="46">
        <f t="shared" ca="1" si="7"/>
        <v>1.9681490382991777E-4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input_576101!A$2</f>
        <v>576101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IFERROR(VLOOKUP(B132,input_576101!L:R,7,FALSE),VLOOKUP(tables_576101!C132,input_576101!A:H,8,FALSE))</f>
        <v>670950</v>
      </c>
      <c r="P132" s="46">
        <f t="shared" ca="1" si="7"/>
        <v>4.9218750000173152E-3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input_576101!A$2</f>
        <v>576101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IFERROR(VLOOKUP(B133,input_576101!L:R,7,FALSE),VLOOKUP(tables_576101!C133,input_576101!A:H,8,FALSE))</f>
        <v>573662.25</v>
      </c>
      <c r="P133" s="46">
        <f t="shared" ca="1" si="7"/>
        <v>4.2082031250148047E-3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input_576101!A$2</f>
        <v>576101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IFERROR(VLOOKUP(B134,input_576101!L:R,7,FALSE),VLOOKUP(tables_576101!C134,input_576101!A:H,8,FALSE))</f>
        <v>26829.807690000001</v>
      </c>
      <c r="P134" s="46">
        <f t="shared" ca="1" si="7"/>
        <v>1.9681490382991777E-4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input_576101!A$2</f>
        <v>576101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IFERROR(VLOOKUP(B135,input_576101!L:R,7,FALSE),VLOOKUP(tables_576101!C135,input_576101!A:H,8,FALSE))</f>
        <v>670950</v>
      </c>
      <c r="P135" s="46">
        <f t="shared" ca="1" si="7"/>
        <v>4.9218750000173152E-3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input_576101!A$2</f>
        <v>576101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IFERROR(VLOOKUP(B136,input_576101!L:R,7,FALSE),VLOOKUP(tables_576101!C136,input_576101!A:H,8,FALSE))</f>
        <v>573662.25</v>
      </c>
      <c r="P136" s="46">
        <f t="shared" ca="1" si="7"/>
        <v>4.2082031250148047E-3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input_576101!A$2</f>
        <v>576101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IFERROR(VLOOKUP(B137,input_576101!L:R,7,FALSE),VLOOKUP(tables_576101!C137,input_576101!A:H,8,FALSE))</f>
        <v>26829.807690000001</v>
      </c>
      <c r="P137" s="46">
        <f t="shared" ca="1" si="7"/>
        <v>1.9681490382991777E-4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input_576101!A$2</f>
        <v>576101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IFERROR(VLOOKUP(B138,input_576101!L:R,7,FALSE),VLOOKUP(tables_576101!C138,input_576101!A:H,8,FALSE))</f>
        <v>121714.28571</v>
      </c>
      <c r="P138" s="46">
        <f t="shared" ca="1" si="7"/>
        <v>8.9285714282884526E-4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input_576101!A$2</f>
        <v>576101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IFERROR(VLOOKUP(B139,input_576101!L:R,7,FALSE),VLOOKUP(tables_576101!C139,input_576101!A:H,8,FALSE))</f>
        <v>47333.333330000001</v>
      </c>
      <c r="P139" s="46">
        <f t="shared" ca="1" si="7"/>
        <v>3.4722222219899152E-4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input_576101!A$2</f>
        <v>576101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IFERROR(VLOOKUP(B140,input_576101!L:R,7,FALSE),VLOOKUP(tables_576101!C140,input_576101!A:H,8,FALSE))</f>
        <v>121714.28571</v>
      </c>
      <c r="P140" s="46">
        <f t="shared" ca="1" si="7"/>
        <v>8.9285714282884526E-4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input_576101!A$2</f>
        <v>576101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IFERROR(VLOOKUP(B141,input_576101!L:R,7,FALSE),VLOOKUP(tables_576101!C141,input_576101!A:H,8,FALSE))</f>
        <v>47333.333330000001</v>
      </c>
      <c r="P141" s="46">
        <f t="shared" ca="1" si="7"/>
        <v>3.4722222219899152E-4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input_576101!A$2</f>
        <v>576101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IFERROR(VLOOKUP(B142,input_576101!L:R,7,FALSE),VLOOKUP(tables_576101!C142,input_576101!A:H,8,FALSE))</f>
        <v>121714.28571</v>
      </c>
      <c r="P142" s="46">
        <f t="shared" ca="1" si="7"/>
        <v>8.9285714282884526E-4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input_576101!A$2</f>
        <v>576101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IFERROR(VLOOKUP(B143,input_576101!L:R,7,FALSE),VLOOKUP(tables_576101!C143,input_576101!A:H,8,FALSE))</f>
        <v>47333.333330000001</v>
      </c>
      <c r="P143" s="46">
        <f t="shared" ca="1" si="7"/>
        <v>3.4722222219899152E-4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input_576101!A$2</f>
        <v>576101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IFERROR(VLOOKUP(B144,input_576101!L:R,7,FALSE),VLOOKUP(tables_576101!C144,input_576101!A:H,8,FALSE))</f>
        <v>121714.28571</v>
      </c>
      <c r="P144" s="46">
        <f t="shared" ca="1" si="7"/>
        <v>8.9285714282884526E-4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input_576101!A$2</f>
        <v>576101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IFERROR(VLOOKUP(B145,input_576101!L:R,7,FALSE),VLOOKUP(tables_576101!C145,input_576101!A:H,8,FALSE))</f>
        <v>47333.333330000001</v>
      </c>
      <c r="P145" s="46">
        <f t="shared" ca="1" si="7"/>
        <v>3.4722222219899152E-4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input_576101!A$2</f>
        <v>576101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IFERROR(VLOOKUP(B146,input_576101!L:R,7,FALSE),VLOOKUP(tables_576101!C146,input_576101!A:H,8,FALSE))</f>
        <v>670950</v>
      </c>
      <c r="P146" s="46">
        <f t="shared" ca="1" si="7"/>
        <v>4.9218750000173152E-3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input_576101!A$2</f>
        <v>576101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IFERROR(VLOOKUP(B147,input_576101!L:R,7,FALSE),VLOOKUP(tables_576101!C147,input_576101!A:H,8,FALSE))</f>
        <v>573662.25</v>
      </c>
      <c r="P147" s="46">
        <f t="shared" ca="1" si="7"/>
        <v>4.2082031250148047E-3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input_576101!A$2</f>
        <v>576101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IFERROR(VLOOKUP(B148,input_576101!L:R,7,FALSE),VLOOKUP(tables_576101!C148,input_576101!A:H,8,FALSE))</f>
        <v>26829.807690000001</v>
      </c>
      <c r="P148" s="46">
        <f t="shared" ca="1" si="7"/>
        <v>1.9681490382991777E-4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input_576101!A$2</f>
        <v>576101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IFERROR(VLOOKUP(B149,input_576101!L:R,7,FALSE),VLOOKUP(tables_576101!C149,input_576101!A:H,8,FALSE))</f>
        <v>121714.28571</v>
      </c>
      <c r="P149" s="46">
        <f t="shared" ca="1" si="7"/>
        <v>8.9285714282884526E-4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input_576101!A$2</f>
        <v>576101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IFERROR(VLOOKUP(B150,input_576101!L:R,7,FALSE),VLOOKUP(tables_576101!C150,input_576101!A:H,8,FALSE))</f>
        <v>47333.333330000001</v>
      </c>
      <c r="P150" s="46">
        <f t="shared" ca="1" si="7"/>
        <v>3.4722222219899152E-4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input_576101!A$2</f>
        <v>576101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IFERROR(VLOOKUP(B151,input_576101!L:R,7,FALSE),VLOOKUP(tables_576101!C151,input_576101!A:H,8,FALSE))</f>
        <v>121714.28571</v>
      </c>
      <c r="P151" s="46">
        <f t="shared" ca="1" si="7"/>
        <v>8.9285714282884526E-4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input_576101!A$2</f>
        <v>576101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IFERROR(VLOOKUP(B152,input_576101!L:R,7,FALSE),VLOOKUP(tables_576101!C152,input_576101!A:H,8,FALSE))</f>
        <v>47333.333330000001</v>
      </c>
      <c r="P152" s="46">
        <f t="shared" ca="1" si="7"/>
        <v>3.4722222219899152E-4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input_576101!A$2</f>
        <v>576101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IFERROR(VLOOKUP(B153,input_576101!L:R,7,FALSE),VLOOKUP(tables_576101!C153,input_576101!A:H,8,FALSE))</f>
        <v>670950</v>
      </c>
      <c r="P153" s="46">
        <f t="shared" ca="1" si="7"/>
        <v>4.9218750000173152E-3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input_576101!A$2</f>
        <v>576101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IFERROR(VLOOKUP(B154,input_576101!L:R,7,FALSE),VLOOKUP(tables_576101!C154,input_576101!A:H,8,FALSE))</f>
        <v>573662.25</v>
      </c>
      <c r="P154" s="46">
        <f t="shared" ca="1" si="7"/>
        <v>4.2082031250148047E-3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input_576101!A$2</f>
        <v>576101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IFERROR(VLOOKUP(B155,input_576101!L:R,7,FALSE),VLOOKUP(tables_576101!C155,input_576101!A:H,8,FALSE))</f>
        <v>26829.807690000001</v>
      </c>
      <c r="P155" s="46">
        <f t="shared" ca="1" si="7"/>
        <v>1.9681490382991777E-4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input_576101!A$2</f>
        <v>576101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IFERROR(VLOOKUP(B156,input_576101!L:R,7,FALSE),VLOOKUP(tables_576101!C156,input_576101!A:H,8,FALSE))</f>
        <v>121714.28571</v>
      </c>
      <c r="P156" s="46">
        <f t="shared" ca="1" si="7"/>
        <v>8.9285714282884526E-4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input_576101!A$2</f>
        <v>576101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IFERROR(VLOOKUP(B157,input_576101!L:R,7,FALSE),VLOOKUP(tables_576101!C157,input_576101!A:H,8,FALSE))</f>
        <v>47333.333330000001</v>
      </c>
      <c r="P157" s="46">
        <f t="shared" ca="1" si="7"/>
        <v>3.4722222219899152E-4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input_576101!A$2</f>
        <v>576101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IFERROR(VLOOKUP(B158,input_576101!L:R,7,FALSE),VLOOKUP(tables_576101!C158,input_576101!A:H,8,FALSE))</f>
        <v>670950</v>
      </c>
      <c r="P158" s="46">
        <f t="shared" ca="1" si="7"/>
        <v>4.9218750000173152E-3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input_576101!A$2</f>
        <v>576101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IFERROR(VLOOKUP(B159,input_576101!L:R,7,FALSE),VLOOKUP(tables_576101!C159,input_576101!A:H,8,FALSE))</f>
        <v>573662.25</v>
      </c>
      <c r="P159" s="46">
        <f t="shared" ca="1" si="7"/>
        <v>4.2082031250148047E-3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input_576101!A$2</f>
        <v>576101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IFERROR(VLOOKUP(B160,input_576101!L:R,7,FALSE),VLOOKUP(tables_576101!C160,input_576101!A:H,8,FALSE))</f>
        <v>26829.807690000001</v>
      </c>
      <c r="P160" s="46">
        <f t="shared" ca="1" si="7"/>
        <v>1.9681490382991777E-4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input_576101!A$2</f>
        <v>576101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IFERROR(VLOOKUP(B161,input_576101!L:R,7,FALSE),VLOOKUP(tables_576101!C161,input_576101!A:H,8,FALSE))</f>
        <v>670950</v>
      </c>
      <c r="P161" s="46">
        <f t="shared" ca="1" si="7"/>
        <v>4.9218750000173152E-3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input_576101!A$2</f>
        <v>576101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IFERROR(VLOOKUP(B162,input_576101!L:R,7,FALSE),VLOOKUP(tables_576101!C162,input_576101!A:H,8,FALSE))</f>
        <v>573662.25</v>
      </c>
      <c r="P162" s="46">
        <f t="shared" ca="1" si="7"/>
        <v>4.2082031250148047E-3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input_576101!A$2</f>
        <v>576101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IFERROR(VLOOKUP(B163,input_576101!L:R,7,FALSE),VLOOKUP(tables_576101!C163,input_576101!A:H,8,FALSE))</f>
        <v>26829.807690000001</v>
      </c>
      <c r="P163" s="46">
        <f t="shared" ca="1" si="7"/>
        <v>1.9681490382991777E-4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input_576101!A$2</f>
        <v>576101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IFERROR(VLOOKUP(B164,input_576101!L:R,7,FALSE),VLOOKUP(tables_576101!C164,input_576101!A:H,8,FALSE))</f>
        <v>121714.28571</v>
      </c>
      <c r="P164" s="46">
        <f t="shared" ca="1" si="7"/>
        <v>8.9285714282884526E-4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input_576101!A$2</f>
        <v>576101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IFERROR(VLOOKUP(B165,input_576101!L:R,7,FALSE),VLOOKUP(tables_576101!C165,input_576101!A:H,8,FALSE))</f>
        <v>47333.333330000001</v>
      </c>
      <c r="P165" s="46">
        <f t="shared" ca="1" si="7"/>
        <v>3.4722222219899152E-4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input_576101!A$2</f>
        <v>576101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IFERROR(VLOOKUP(B166,input_576101!L:R,7,FALSE),VLOOKUP(tables_576101!C166,input_576101!A:H,8,FALSE))</f>
        <v>670950</v>
      </c>
      <c r="P166" s="46">
        <f t="shared" ca="1" si="7"/>
        <v>4.9218750000173152E-3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input_576101!A$2</f>
        <v>576101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IFERROR(VLOOKUP(B167,input_576101!L:R,7,FALSE),VLOOKUP(tables_576101!C167,input_576101!A:H,8,FALSE))</f>
        <v>573662.25</v>
      </c>
      <c r="P167" s="46">
        <f t="shared" ca="1" si="7"/>
        <v>4.2082031250148047E-3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input_576101!A$2</f>
        <v>576101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IFERROR(VLOOKUP(B168,input_576101!L:R,7,FALSE),VLOOKUP(tables_576101!C168,input_576101!A:H,8,FALSE))</f>
        <v>26829.807690000001</v>
      </c>
      <c r="P168" s="46">
        <f t="shared" ca="1" si="7"/>
        <v>1.9681490382991777E-4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input_576101!A$2</f>
        <v>576101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IFERROR(VLOOKUP(B169,input_576101!L:R,7,FALSE),VLOOKUP(tables_576101!C169,input_576101!A:H,8,FALSE))</f>
        <v>121714.28571</v>
      </c>
      <c r="P169" s="46">
        <f t="shared" ca="1" si="7"/>
        <v>8.9285714282884526E-4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input_576101!A$2</f>
        <v>576101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IFERROR(VLOOKUP(B170,input_576101!L:R,7,FALSE),VLOOKUP(tables_576101!C170,input_576101!A:H,8,FALSE))</f>
        <v>47333.333330000001</v>
      </c>
      <c r="P170" s="46">
        <f t="shared" ca="1" si="7"/>
        <v>3.4722222219899152E-4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input_576101!A$2</f>
        <v>576101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IFERROR(VLOOKUP(B171,input_576101!L:R,7,FALSE),VLOOKUP(tables_576101!C171,input_576101!A:H,8,FALSE))</f>
        <v>670950</v>
      </c>
      <c r="P171" s="46">
        <f t="shared" ca="1" si="7"/>
        <v>4.9218750000173152E-3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input_576101!A$2</f>
        <v>576101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IFERROR(VLOOKUP(B172,input_576101!L:R,7,FALSE),VLOOKUP(tables_576101!C172,input_576101!A:H,8,FALSE))</f>
        <v>573662.25</v>
      </c>
      <c r="P172" s="46">
        <f t="shared" ca="1" si="7"/>
        <v>4.2082031250148047E-3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input_576101!A$2</f>
        <v>576101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IFERROR(VLOOKUP(B173,input_576101!L:R,7,FALSE),VLOOKUP(tables_576101!C173,input_576101!A:H,8,FALSE))</f>
        <v>26829.807690000001</v>
      </c>
      <c r="P173" s="46">
        <f t="shared" ca="1" si="7"/>
        <v>1.9681490382991777E-4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input_576101!A$2</f>
        <v>576101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IFERROR(VLOOKUP(B174,input_576101!L:R,7,FALSE),VLOOKUP(tables_576101!C174,input_576101!A:H,8,FALSE))</f>
        <v>121714.28571</v>
      </c>
      <c r="P174" s="46">
        <f t="shared" ca="1" si="7"/>
        <v>8.9285714282884526E-4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input_576101!A$2</f>
        <v>576101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IFERROR(VLOOKUP(B175,input_576101!L:R,7,FALSE),VLOOKUP(tables_576101!C175,input_576101!A:H,8,FALSE))</f>
        <v>47333.333330000001</v>
      </c>
      <c r="P175" s="46">
        <f t="shared" ca="1" si="7"/>
        <v>3.4722222219899152E-4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input_576101!A$2</f>
        <v>576101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IFERROR(VLOOKUP(B176,input_576101!L:R,7,FALSE),VLOOKUP(tables_576101!C176,input_576101!A:H,8,FALSE))</f>
        <v>121714.28571</v>
      </c>
      <c r="P176" s="46">
        <f t="shared" ca="1" si="7"/>
        <v>8.9285714282884526E-4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input_576101!A$2</f>
        <v>576101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IFERROR(VLOOKUP(B177,input_576101!L:R,7,FALSE),VLOOKUP(tables_576101!C177,input_576101!A:H,8,FALSE))</f>
        <v>47333.333330000001</v>
      </c>
      <c r="P177" s="46">
        <f t="shared" ca="1" si="7"/>
        <v>3.4722222219899152E-4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input_576101!A$2</f>
        <v>576101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IFERROR(VLOOKUP(B178,input_576101!L:R,7,FALSE),VLOOKUP(tables_576101!C178,input_576101!A:H,8,FALSE))</f>
        <v>670950</v>
      </c>
      <c r="P178" s="46">
        <f t="shared" ca="1" si="7"/>
        <v>4.9218750000173152E-3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input_576101!A$2</f>
        <v>576101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IFERROR(VLOOKUP(B179,input_576101!L:R,7,FALSE),VLOOKUP(tables_576101!C179,input_576101!A:H,8,FALSE))</f>
        <v>573662.25</v>
      </c>
      <c r="P179" s="46">
        <f t="shared" ca="1" si="7"/>
        <v>4.2082031250148047E-3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input_576101!A$2</f>
        <v>576101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IFERROR(VLOOKUP(B180,input_576101!L:R,7,FALSE),VLOOKUP(tables_576101!C180,input_576101!A:H,8,FALSE))</f>
        <v>26829.807690000001</v>
      </c>
      <c r="P180" s="46">
        <f t="shared" ca="1" si="7"/>
        <v>1.9681490382991777E-4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input_576101!A$2</f>
        <v>576101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IFERROR(VLOOKUP(B181,input_576101!L:R,7,FALSE),VLOOKUP(tables_576101!C181,input_576101!A:H,8,FALSE))</f>
        <v>670950</v>
      </c>
      <c r="P181" s="46">
        <f t="shared" ca="1" si="7"/>
        <v>4.9218750000173152E-3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input_576101!A$2</f>
        <v>576101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IFERROR(VLOOKUP(B182,input_576101!L:R,7,FALSE),VLOOKUP(tables_576101!C182,input_576101!A:H,8,FALSE))</f>
        <v>573662.25</v>
      </c>
      <c r="P182" s="46">
        <f t="shared" ca="1" si="7"/>
        <v>4.2082031250148047E-3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input_576101!A$2</f>
        <v>576101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IFERROR(VLOOKUP(B183,input_576101!L:R,7,FALSE),VLOOKUP(tables_576101!C183,input_576101!A:H,8,FALSE))</f>
        <v>26829.807690000001</v>
      </c>
      <c r="P183" s="46">
        <f t="shared" ca="1" si="7"/>
        <v>1.9681490382991777E-4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input_576101!A$2</f>
        <v>576101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IFERROR(VLOOKUP(B184,input_576101!L:R,7,FALSE),VLOOKUP(tables_576101!C184,input_576101!A:H,8,FALSE))</f>
        <v>121714.28571</v>
      </c>
      <c r="P184" s="46">
        <f t="shared" ca="1" si="7"/>
        <v>8.9285714282884526E-4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input_576101!A$2</f>
        <v>576101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IFERROR(VLOOKUP(B185,input_576101!L:R,7,FALSE),VLOOKUP(tables_576101!C185,input_576101!A:H,8,FALSE))</f>
        <v>47333.333330000001</v>
      </c>
      <c r="P185" s="46">
        <f t="shared" ca="1" si="7"/>
        <v>3.4722222219899152E-4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input_576101!A$2</f>
        <v>576101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IFERROR(VLOOKUP(B186,input_576101!L:R,7,FALSE),VLOOKUP(tables_576101!C186,input_576101!A:H,8,FALSE))</f>
        <v>670950</v>
      </c>
      <c r="P186" s="46">
        <f t="shared" ca="1" si="7"/>
        <v>4.9218750000173152E-3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input_576101!A$2</f>
        <v>576101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IFERROR(VLOOKUP(B187,input_576101!L:R,7,FALSE),VLOOKUP(tables_576101!C187,input_576101!A:H,8,FALSE))</f>
        <v>573662.25</v>
      </c>
      <c r="P187" s="46">
        <f t="shared" ca="1" si="7"/>
        <v>4.2082031250148047E-3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input_576101!A$2</f>
        <v>576101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IFERROR(VLOOKUP(B188,input_576101!L:R,7,FALSE),VLOOKUP(tables_576101!C188,input_576101!A:H,8,FALSE))</f>
        <v>26829.807690000001</v>
      </c>
      <c r="P188" s="46">
        <f t="shared" ca="1" si="7"/>
        <v>1.9681490382991777E-4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input_576101!A$2</f>
        <v>576101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IFERROR(VLOOKUP(B189,input_576101!L:R,7,FALSE),VLOOKUP(tables_576101!C189,input_576101!A:H,8,FALSE))</f>
        <v>121714.28571</v>
      </c>
      <c r="P189" s="46">
        <f t="shared" ca="1" si="7"/>
        <v>8.9285714282884526E-4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input_576101!A$2</f>
        <v>576101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IFERROR(VLOOKUP(B190,input_576101!L:R,7,FALSE),VLOOKUP(tables_576101!C190,input_576101!A:H,8,FALSE))</f>
        <v>47333.333330000001</v>
      </c>
      <c r="P190" s="46">
        <f t="shared" ca="1" si="7"/>
        <v>3.4722222219899152E-4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input_576101!A$2</f>
        <v>576101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IFERROR(VLOOKUP(B191,input_576101!L:R,7,FALSE),VLOOKUP(tables_576101!C191,input_576101!A:H,8,FALSE))</f>
        <v>121714.28571</v>
      </c>
      <c r="P191" s="46">
        <f t="shared" ca="1" si="7"/>
        <v>8.9285714282884526E-4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input_576101!A$2</f>
        <v>576101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IFERROR(VLOOKUP(B192,input_576101!L:R,7,FALSE),VLOOKUP(tables_576101!C192,input_576101!A:H,8,FALSE))</f>
        <v>47333.333330000001</v>
      </c>
      <c r="P192" s="46">
        <f t="shared" ca="1" si="7"/>
        <v>3.4722222219899152E-4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input_576101!A$2</f>
        <v>576101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IFERROR(VLOOKUP(B193,input_576101!L:R,7,FALSE),VLOOKUP(tables_576101!C193,input_576101!A:H,8,FALSE))</f>
        <v>670950</v>
      </c>
      <c r="P193" s="46">
        <f t="shared" ca="1" si="7"/>
        <v>4.9218750000173152E-3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input_576101!A$2</f>
        <v>576101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IFERROR(VLOOKUP(B194,input_576101!L:R,7,FALSE),VLOOKUP(tables_576101!C194,input_576101!A:H,8,FALSE))</f>
        <v>573662.25</v>
      </c>
      <c r="P194" s="46">
        <f t="shared" ref="P194:P257" ca="1" si="10">O194/SUM(O:O)</f>
        <v>4.2082031250148047E-3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input_576101!A$2</f>
        <v>576101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IFERROR(VLOOKUP(B195,input_576101!L:R,7,FALSE),VLOOKUP(tables_576101!C195,input_576101!A:H,8,FALSE))</f>
        <v>26829.807690000001</v>
      </c>
      <c r="P195" s="46">
        <f t="shared" ca="1" si="10"/>
        <v>1.9681490382991777E-4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input_576101!A$2</f>
        <v>576101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IFERROR(VLOOKUP(B196,input_576101!L:R,7,FALSE),VLOOKUP(tables_576101!C196,input_576101!A:H,8,FALSE))</f>
        <v>121714.28571</v>
      </c>
      <c r="P196" s="46">
        <f t="shared" ca="1" si="10"/>
        <v>8.9285714282884526E-4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input_576101!A$2</f>
        <v>576101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IFERROR(VLOOKUP(B197,input_576101!L:R,7,FALSE),VLOOKUP(tables_576101!C197,input_576101!A:H,8,FALSE))</f>
        <v>47333.333330000001</v>
      </c>
      <c r="P197" s="46">
        <f t="shared" ca="1" si="10"/>
        <v>3.4722222219899152E-4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input_576101!A$2</f>
        <v>576101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IFERROR(VLOOKUP(B198,input_576101!L:R,7,FALSE),VLOOKUP(tables_576101!C198,input_576101!A:H,8,FALSE))</f>
        <v>670950</v>
      </c>
      <c r="P198" s="46">
        <f t="shared" ca="1" si="10"/>
        <v>4.9218750000173152E-3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input_576101!A$2</f>
        <v>576101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IFERROR(VLOOKUP(B199,input_576101!L:R,7,FALSE),VLOOKUP(tables_576101!C199,input_576101!A:H,8,FALSE))</f>
        <v>573662.25</v>
      </c>
      <c r="P199" s="46">
        <f t="shared" ca="1" si="10"/>
        <v>4.2082031250148047E-3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input_576101!A$2</f>
        <v>576101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IFERROR(VLOOKUP(B200,input_576101!L:R,7,FALSE),VLOOKUP(tables_576101!C200,input_576101!A:H,8,FALSE))</f>
        <v>26829.807690000001</v>
      </c>
      <c r="P200" s="46">
        <f t="shared" ca="1" si="10"/>
        <v>1.9681490382991777E-4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input_576101!A$2</f>
        <v>576101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IFERROR(VLOOKUP(B201,input_576101!L:R,7,FALSE),VLOOKUP(tables_576101!C201,input_576101!A:H,8,FALSE))</f>
        <v>121714.28571</v>
      </c>
      <c r="P201" s="46">
        <f t="shared" ca="1" si="10"/>
        <v>8.9285714282884526E-4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input_576101!A$2</f>
        <v>576101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IFERROR(VLOOKUP(B202,input_576101!L:R,7,FALSE),VLOOKUP(tables_576101!C202,input_576101!A:H,8,FALSE))</f>
        <v>47333.333330000001</v>
      </c>
      <c r="P202" s="46">
        <f t="shared" ca="1" si="10"/>
        <v>3.4722222219899152E-4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input_576101!A$2</f>
        <v>576101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IFERROR(VLOOKUP(B203,input_576101!L:R,7,FALSE),VLOOKUP(tables_576101!C203,input_576101!A:H,8,FALSE))</f>
        <v>670950</v>
      </c>
      <c r="P203" s="46">
        <f t="shared" ca="1" si="10"/>
        <v>4.9218750000173152E-3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input_576101!A$2</f>
        <v>576101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IFERROR(VLOOKUP(B204,input_576101!L:R,7,FALSE),VLOOKUP(tables_576101!C204,input_576101!A:H,8,FALSE))</f>
        <v>573662.25</v>
      </c>
      <c r="P204" s="46">
        <f t="shared" ca="1" si="10"/>
        <v>4.2082031250148047E-3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input_576101!A$2</f>
        <v>576101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IFERROR(VLOOKUP(B205,input_576101!L:R,7,FALSE),VLOOKUP(tables_576101!C205,input_576101!A:H,8,FALSE))</f>
        <v>26829.807690000001</v>
      </c>
      <c r="P205" s="46">
        <f t="shared" ca="1" si="10"/>
        <v>1.9681490382991777E-4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input_576101!A$2</f>
        <v>576101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IFERROR(VLOOKUP(B206,input_576101!L:R,7,FALSE),VLOOKUP(tables_576101!C206,input_576101!A:H,8,FALSE))</f>
        <v>121714.28571</v>
      </c>
      <c r="P206" s="46">
        <f t="shared" ca="1" si="10"/>
        <v>8.9285714282884526E-4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input_576101!A$2</f>
        <v>576101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IFERROR(VLOOKUP(B207,input_576101!L:R,7,FALSE),VLOOKUP(tables_576101!C207,input_576101!A:H,8,FALSE))</f>
        <v>47333.333330000001</v>
      </c>
      <c r="P207" s="46">
        <f t="shared" ca="1" si="10"/>
        <v>3.4722222219899152E-4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input_576101!A$2</f>
        <v>576101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IFERROR(VLOOKUP(B208,input_576101!L:R,7,FALSE),VLOOKUP(tables_576101!C208,input_576101!A:H,8,FALSE))</f>
        <v>121714.28571</v>
      </c>
      <c r="P208" s="46">
        <f t="shared" ca="1" si="10"/>
        <v>8.9285714282884526E-4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input_576101!A$2</f>
        <v>576101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IFERROR(VLOOKUP(B209,input_576101!L:R,7,FALSE),VLOOKUP(tables_576101!C209,input_576101!A:H,8,FALSE))</f>
        <v>47333.333330000001</v>
      </c>
      <c r="P209" s="46">
        <f t="shared" ca="1" si="10"/>
        <v>3.4722222219899152E-4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input_576101!A$2</f>
        <v>576101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IFERROR(VLOOKUP(B210,input_576101!L:R,7,FALSE),VLOOKUP(tables_576101!C210,input_576101!A:H,8,FALSE))</f>
        <v>670950</v>
      </c>
      <c r="P210" s="46">
        <f t="shared" ca="1" si="10"/>
        <v>4.9218750000173152E-3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input_576101!A$2</f>
        <v>576101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IFERROR(VLOOKUP(B211,input_576101!L:R,7,FALSE),VLOOKUP(tables_576101!C211,input_576101!A:H,8,FALSE))</f>
        <v>573662.25</v>
      </c>
      <c r="P211" s="46">
        <f t="shared" ca="1" si="10"/>
        <v>4.2082031250148047E-3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input_576101!A$2</f>
        <v>576101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IFERROR(VLOOKUP(B212,input_576101!L:R,7,FALSE),VLOOKUP(tables_576101!C212,input_576101!A:H,8,FALSE))</f>
        <v>26829.807690000001</v>
      </c>
      <c r="P212" s="46">
        <f t="shared" ca="1" si="10"/>
        <v>1.9681490382991777E-4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input_576101!A$2</f>
        <v>576101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IFERROR(VLOOKUP(B213,input_576101!L:R,7,FALSE),VLOOKUP(tables_576101!C213,input_576101!A:H,8,FALSE))</f>
        <v>121714.28571</v>
      </c>
      <c r="P213" s="46">
        <f t="shared" ca="1" si="10"/>
        <v>8.9285714282884526E-4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input_576101!A$2</f>
        <v>576101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IFERROR(VLOOKUP(B214,input_576101!L:R,7,FALSE),VLOOKUP(tables_576101!C214,input_576101!A:H,8,FALSE))</f>
        <v>47333.333330000001</v>
      </c>
      <c r="P214" s="46">
        <f t="shared" ca="1" si="10"/>
        <v>3.4722222219899152E-4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input_576101!A$2</f>
        <v>576101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IFERROR(VLOOKUP(B215,input_576101!L:R,7,FALSE),VLOOKUP(tables_576101!C215,input_576101!A:H,8,FALSE))</f>
        <v>67095</v>
      </c>
      <c r="P215" s="46">
        <f t="shared" ca="1" si="10"/>
        <v>4.9218750000173158E-4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input_576101!A$2</f>
        <v>576101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IFERROR(VLOOKUP(B216,input_576101!L:R,7,FALSE),VLOOKUP(tables_576101!C216,input_576101!A:H,8,FALSE))</f>
        <v>67095</v>
      </c>
      <c r="P216" s="46">
        <f t="shared" ca="1" si="10"/>
        <v>4.9218750000173158E-4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input_576101!A$2</f>
        <v>576101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IFERROR(VLOOKUP(B217,input_576101!L:R,7,FALSE),VLOOKUP(tables_576101!C217,input_576101!A:H,8,FALSE))</f>
        <v>67095</v>
      </c>
      <c r="P217" s="46">
        <f t="shared" ca="1" si="10"/>
        <v>4.9218750000173158E-4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input_576101!A$2</f>
        <v>576101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IFERROR(VLOOKUP(B218,input_576101!L:R,7,FALSE),VLOOKUP(tables_576101!C218,input_576101!A:H,8,FALSE))</f>
        <v>67095</v>
      </c>
      <c r="P218" s="46">
        <f t="shared" ca="1" si="10"/>
        <v>4.9218750000173158E-4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input_576101!A$2</f>
        <v>576101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IFERROR(VLOOKUP(B219,input_576101!L:R,7,FALSE),VLOOKUP(tables_576101!C219,input_576101!A:H,8,FALSE))</f>
        <v>67095</v>
      </c>
      <c r="P219" s="46">
        <f t="shared" ca="1" si="10"/>
        <v>4.9218750000173158E-4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input_576101!A$2</f>
        <v>576101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IFERROR(VLOOKUP(B220,input_576101!L:R,7,FALSE),VLOOKUP(tables_576101!C220,input_576101!A:H,8,FALSE))</f>
        <v>67095</v>
      </c>
      <c r="P220" s="46">
        <f t="shared" ca="1" si="10"/>
        <v>4.9218750000173158E-4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input_576101!A$2</f>
        <v>576101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IFERROR(VLOOKUP(B221,input_576101!L:R,7,FALSE),VLOOKUP(tables_576101!C221,input_576101!A:H,8,FALSE))</f>
        <v>121714.28571</v>
      </c>
      <c r="P221" s="46">
        <f t="shared" ca="1" si="10"/>
        <v>8.9285714282884526E-4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input_576101!A$2</f>
        <v>576101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IFERROR(VLOOKUP(B222,input_576101!L:R,7,FALSE),VLOOKUP(tables_576101!C222,input_576101!A:H,8,FALSE))</f>
        <v>47333.333330000001</v>
      </c>
      <c r="P222" s="46">
        <f t="shared" ca="1" si="10"/>
        <v>3.4722222219899152E-4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input_576101!A$2</f>
        <v>576101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IFERROR(VLOOKUP(B223,input_576101!L:R,7,FALSE),VLOOKUP(tables_576101!C223,input_576101!A:H,8,FALSE))</f>
        <v>670950</v>
      </c>
      <c r="P223" s="46">
        <f t="shared" ca="1" si="10"/>
        <v>4.9218750000173152E-3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input_576101!A$2</f>
        <v>576101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IFERROR(VLOOKUP(B224,input_576101!L:R,7,FALSE),VLOOKUP(tables_576101!C224,input_576101!A:H,8,FALSE))</f>
        <v>573662.25</v>
      </c>
      <c r="P224" s="46">
        <f t="shared" ca="1" si="10"/>
        <v>4.2082031250148047E-3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input_576101!A$2</f>
        <v>576101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IFERROR(VLOOKUP(B225,input_576101!L:R,7,FALSE),VLOOKUP(tables_576101!C225,input_576101!A:H,8,FALSE))</f>
        <v>26829.807690000001</v>
      </c>
      <c r="P225" s="46">
        <f t="shared" ca="1" si="10"/>
        <v>1.9681490382991777E-4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input_576101!A$2</f>
        <v>576101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IFERROR(VLOOKUP(B226,input_576101!L:R,7,FALSE),VLOOKUP(tables_576101!C226,input_576101!A:H,8,FALSE))</f>
        <v>670950</v>
      </c>
      <c r="P226" s="46">
        <f t="shared" ca="1" si="10"/>
        <v>4.9218750000173152E-3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input_576101!A$2</f>
        <v>576101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IFERROR(VLOOKUP(B227,input_576101!L:R,7,FALSE),VLOOKUP(tables_576101!C227,input_576101!A:H,8,FALSE))</f>
        <v>573662.25</v>
      </c>
      <c r="P227" s="46">
        <f t="shared" ca="1" si="10"/>
        <v>4.2082031250148047E-3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input_576101!A$2</f>
        <v>576101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IFERROR(VLOOKUP(B228,input_576101!L:R,7,FALSE),VLOOKUP(tables_576101!C228,input_576101!A:H,8,FALSE))</f>
        <v>26829.807690000001</v>
      </c>
      <c r="P228" s="46">
        <f t="shared" ca="1" si="10"/>
        <v>1.9681490382991777E-4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input_576101!A$2</f>
        <v>576101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IFERROR(VLOOKUP(B229,input_576101!L:R,7,FALSE),VLOOKUP(tables_576101!C229,input_576101!A:H,8,FALSE))</f>
        <v>121714.28571</v>
      </c>
      <c r="P229" s="46">
        <f t="shared" ca="1" si="10"/>
        <v>8.9285714282884526E-4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input_576101!A$2</f>
        <v>576101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IFERROR(VLOOKUP(B230,input_576101!L:R,7,FALSE),VLOOKUP(tables_576101!C230,input_576101!A:H,8,FALSE))</f>
        <v>47333.333330000001</v>
      </c>
      <c r="P230" s="46">
        <f t="shared" ca="1" si="10"/>
        <v>3.4722222219899152E-4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input_576101!A$2</f>
        <v>576101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IFERROR(VLOOKUP(B231,input_576101!L:R,7,FALSE),VLOOKUP(tables_576101!C231,input_576101!A:H,8,FALSE))</f>
        <v>670950</v>
      </c>
      <c r="P231" s="46">
        <f t="shared" ca="1" si="10"/>
        <v>4.9218750000173152E-3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input_576101!A$2</f>
        <v>576101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IFERROR(VLOOKUP(B232,input_576101!L:R,7,FALSE),VLOOKUP(tables_576101!C232,input_576101!A:H,8,FALSE))</f>
        <v>573662.25</v>
      </c>
      <c r="P232" s="46">
        <f t="shared" ca="1" si="10"/>
        <v>4.2082031250148047E-3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input_576101!A$2</f>
        <v>576101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IFERROR(VLOOKUP(B233,input_576101!L:R,7,FALSE),VLOOKUP(tables_576101!C233,input_576101!A:H,8,FALSE))</f>
        <v>26829.807690000001</v>
      </c>
      <c r="P233" s="46">
        <f t="shared" ca="1" si="10"/>
        <v>1.9681490382991777E-4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input_576101!A$2</f>
        <v>576101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IFERROR(VLOOKUP(B234,input_576101!L:R,7,FALSE),VLOOKUP(tables_576101!C234,input_576101!A:H,8,FALSE))</f>
        <v>670950</v>
      </c>
      <c r="P234" s="46">
        <f t="shared" ca="1" si="10"/>
        <v>4.9218750000173152E-3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input_576101!A$2</f>
        <v>576101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IFERROR(VLOOKUP(B235,input_576101!L:R,7,FALSE),VLOOKUP(tables_576101!C235,input_576101!A:H,8,FALSE))</f>
        <v>573662.25</v>
      </c>
      <c r="P235" s="46">
        <f t="shared" ca="1" si="10"/>
        <v>4.2082031250148047E-3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input_576101!A$2</f>
        <v>576101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IFERROR(VLOOKUP(B236,input_576101!L:R,7,FALSE),VLOOKUP(tables_576101!C236,input_576101!A:H,8,FALSE))</f>
        <v>26829.807690000001</v>
      </c>
      <c r="P236" s="46">
        <f t="shared" ca="1" si="10"/>
        <v>1.9681490382991777E-4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input_576101!A$2</f>
        <v>576101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IFERROR(VLOOKUP(B237,input_576101!L:R,7,FALSE),VLOOKUP(tables_576101!C237,input_576101!A:H,8,FALSE))</f>
        <v>121714.28571</v>
      </c>
      <c r="P237" s="46">
        <f t="shared" ca="1" si="10"/>
        <v>8.9285714282884526E-4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input_576101!A$2</f>
        <v>576101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IFERROR(VLOOKUP(B238,input_576101!L:R,7,FALSE),VLOOKUP(tables_576101!C238,input_576101!A:H,8,FALSE))</f>
        <v>47333.333330000001</v>
      </c>
      <c r="P238" s="46">
        <f t="shared" ca="1" si="10"/>
        <v>3.4722222219899152E-4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input_576101!A$2</f>
        <v>576101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IFERROR(VLOOKUP(B239,input_576101!L:R,7,FALSE),VLOOKUP(tables_576101!C239,input_576101!A:H,8,FALSE))</f>
        <v>670950</v>
      </c>
      <c r="P239" s="46">
        <f t="shared" ca="1" si="10"/>
        <v>4.9218750000173152E-3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input_576101!A$2</f>
        <v>576101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IFERROR(VLOOKUP(B240,input_576101!L:R,7,FALSE),VLOOKUP(tables_576101!C240,input_576101!A:H,8,FALSE))</f>
        <v>573662.25</v>
      </c>
      <c r="P240" s="46">
        <f t="shared" ca="1" si="10"/>
        <v>4.2082031250148047E-3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input_576101!A$2</f>
        <v>576101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IFERROR(VLOOKUP(B241,input_576101!L:R,7,FALSE),VLOOKUP(tables_576101!C241,input_576101!A:H,8,FALSE))</f>
        <v>26829.807690000001</v>
      </c>
      <c r="P241" s="46">
        <f t="shared" ca="1" si="10"/>
        <v>1.9681490382991777E-4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input_576101!A$2</f>
        <v>576101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IFERROR(VLOOKUP(B242,input_576101!L:R,7,FALSE),VLOOKUP(tables_576101!C242,input_576101!A:H,8,FALSE))</f>
        <v>121714.28571</v>
      </c>
      <c r="P242" s="46">
        <f t="shared" ca="1" si="10"/>
        <v>8.9285714282884526E-4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input_576101!A$2</f>
        <v>576101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IFERROR(VLOOKUP(B243,input_576101!L:R,7,FALSE),VLOOKUP(tables_576101!C243,input_576101!A:H,8,FALSE))</f>
        <v>47333.333330000001</v>
      </c>
      <c r="P243" s="46">
        <f t="shared" ca="1" si="10"/>
        <v>3.4722222219899152E-4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input_576101!A$2</f>
        <v>576101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IFERROR(VLOOKUP(B244,input_576101!L:R,7,FALSE),VLOOKUP(tables_576101!C244,input_576101!A:H,8,FALSE))</f>
        <v>121714.28571</v>
      </c>
      <c r="P244" s="46">
        <f t="shared" ca="1" si="10"/>
        <v>8.9285714282884526E-4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input_576101!A$2</f>
        <v>576101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IFERROR(VLOOKUP(B245,input_576101!L:R,7,FALSE),VLOOKUP(tables_576101!C245,input_576101!A:H,8,FALSE))</f>
        <v>47333.333330000001</v>
      </c>
      <c r="P245" s="46">
        <f t="shared" ca="1" si="10"/>
        <v>3.4722222219899152E-4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input_576101!A$2</f>
        <v>576101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IFERROR(VLOOKUP(B246,input_576101!L:R,7,FALSE),VLOOKUP(tables_576101!C246,input_576101!A:H,8,FALSE))</f>
        <v>670950</v>
      </c>
      <c r="P246" s="46">
        <f t="shared" ca="1" si="10"/>
        <v>4.9218750000173152E-3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input_576101!A$2</f>
        <v>576101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IFERROR(VLOOKUP(B247,input_576101!L:R,7,FALSE),VLOOKUP(tables_576101!C247,input_576101!A:H,8,FALSE))</f>
        <v>573662.25</v>
      </c>
      <c r="P247" s="46">
        <f t="shared" ca="1" si="10"/>
        <v>4.2082031250148047E-3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input_576101!A$2</f>
        <v>576101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IFERROR(VLOOKUP(B248,input_576101!L:R,7,FALSE),VLOOKUP(tables_576101!C248,input_576101!A:H,8,FALSE))</f>
        <v>26829.807690000001</v>
      </c>
      <c r="P248" s="46">
        <f t="shared" ca="1" si="10"/>
        <v>1.9681490382991777E-4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input_576101!A$2</f>
        <v>576101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IFERROR(VLOOKUP(B249,input_576101!L:R,7,FALSE),VLOOKUP(tables_576101!C249,input_576101!A:H,8,FALSE))</f>
        <v>670950</v>
      </c>
      <c r="P249" s="46">
        <f t="shared" ca="1" si="10"/>
        <v>4.9218750000173152E-3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input_576101!A$2</f>
        <v>576101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IFERROR(VLOOKUP(B250,input_576101!L:R,7,FALSE),VLOOKUP(tables_576101!C250,input_576101!A:H,8,FALSE))</f>
        <v>573662.25</v>
      </c>
      <c r="P250" s="46">
        <f t="shared" ca="1" si="10"/>
        <v>4.2082031250148047E-3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input_576101!A$2</f>
        <v>576101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IFERROR(VLOOKUP(B251,input_576101!L:R,7,FALSE),VLOOKUP(tables_576101!C251,input_576101!A:H,8,FALSE))</f>
        <v>26829.807690000001</v>
      </c>
      <c r="P251" s="46">
        <f t="shared" ca="1" si="10"/>
        <v>1.9681490382991777E-4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input_576101!A$2</f>
        <v>576101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IFERROR(VLOOKUP(B252,input_576101!L:R,7,FALSE),VLOOKUP(tables_576101!C252,input_576101!A:H,8,FALSE))</f>
        <v>670950</v>
      </c>
      <c r="P252" s="46">
        <f t="shared" ca="1" si="10"/>
        <v>4.9218750000173152E-3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input_576101!A$2</f>
        <v>576101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IFERROR(VLOOKUP(B253,input_576101!L:R,7,FALSE),VLOOKUP(tables_576101!C253,input_576101!A:H,8,FALSE))</f>
        <v>573662.25</v>
      </c>
      <c r="P253" s="46">
        <f t="shared" ca="1" si="10"/>
        <v>4.2082031250148047E-3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input_576101!A$2</f>
        <v>576101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IFERROR(VLOOKUP(B254,input_576101!L:R,7,FALSE),VLOOKUP(tables_576101!C254,input_576101!A:H,8,FALSE))</f>
        <v>26829.807690000001</v>
      </c>
      <c r="P254" s="46">
        <f t="shared" ca="1" si="10"/>
        <v>1.9681490382991777E-4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input_576101!A$2</f>
        <v>576101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IFERROR(VLOOKUP(B255,input_576101!L:R,7,FALSE),VLOOKUP(tables_576101!C255,input_576101!A:H,8,FALSE))</f>
        <v>670950</v>
      </c>
      <c r="P255" s="46">
        <f t="shared" ca="1" si="10"/>
        <v>4.9218750000173152E-3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input_576101!A$2</f>
        <v>576101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IFERROR(VLOOKUP(B256,input_576101!L:R,7,FALSE),VLOOKUP(tables_576101!C256,input_576101!A:H,8,FALSE))</f>
        <v>573662.25</v>
      </c>
      <c r="P256" s="46">
        <f t="shared" ca="1" si="10"/>
        <v>4.2082031250148047E-3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input_576101!A$2</f>
        <v>576101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IFERROR(VLOOKUP(B257,input_576101!L:R,7,FALSE),VLOOKUP(tables_576101!C257,input_576101!A:H,8,FALSE))</f>
        <v>26829.807690000001</v>
      </c>
      <c r="P257" s="46">
        <f t="shared" ca="1" si="10"/>
        <v>1.9681490382991777E-4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input_576101!A$2</f>
        <v>576101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IFERROR(VLOOKUP(B258,input_576101!L:R,7,FALSE),VLOOKUP(tables_576101!C258,input_576101!A:H,8,FALSE))</f>
        <v>121714.28571</v>
      </c>
      <c r="P258" s="46">
        <f t="shared" ref="P258:P321" ca="1" si="13">O258/SUM(O:O)</f>
        <v>8.9285714282884526E-4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input_576101!A$2</f>
        <v>576101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IFERROR(VLOOKUP(B259,input_576101!L:R,7,FALSE),VLOOKUP(tables_576101!C259,input_576101!A:H,8,FALSE))</f>
        <v>47333.333330000001</v>
      </c>
      <c r="P259" s="46">
        <f t="shared" ca="1" si="13"/>
        <v>3.4722222219899152E-4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input_576101!A$2</f>
        <v>576101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IFERROR(VLOOKUP(B260,input_576101!L:R,7,FALSE),VLOOKUP(tables_576101!C260,input_576101!A:H,8,FALSE))</f>
        <v>121714.28571</v>
      </c>
      <c r="P260" s="46">
        <f t="shared" ca="1" si="13"/>
        <v>8.9285714282884526E-4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input_576101!A$2</f>
        <v>576101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IFERROR(VLOOKUP(B261,input_576101!L:R,7,FALSE),VLOOKUP(tables_576101!C261,input_576101!A:H,8,FALSE))</f>
        <v>47333.333330000001</v>
      </c>
      <c r="P261" s="46">
        <f t="shared" ca="1" si="13"/>
        <v>3.4722222219899152E-4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input_576101!A$2</f>
        <v>576101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IFERROR(VLOOKUP(B262,input_576101!L:R,7,FALSE),VLOOKUP(tables_576101!C262,input_576101!A:H,8,FALSE))</f>
        <v>573662.25</v>
      </c>
      <c r="P262" s="46">
        <f t="shared" ca="1" si="13"/>
        <v>4.2082031250148047E-3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input_576101!A$2</f>
        <v>576101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IFERROR(VLOOKUP(B263,input_576101!L:R,7,FALSE),VLOOKUP(tables_576101!C263,input_576101!A:H,8,FALSE))</f>
        <v>67095</v>
      </c>
      <c r="P263" s="46">
        <f t="shared" ca="1" si="13"/>
        <v>4.9218750000173158E-4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input_576101!A$2</f>
        <v>576101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IFERROR(VLOOKUP(B264,input_576101!L:R,7,FALSE),VLOOKUP(tables_576101!C264,input_576101!A:H,8,FALSE))</f>
        <v>573662.25</v>
      </c>
      <c r="P264" s="46">
        <f t="shared" ca="1" si="13"/>
        <v>4.2082031250148047E-3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input_576101!A$2</f>
        <v>576101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IFERROR(VLOOKUP(B265,input_576101!L:R,7,FALSE),VLOOKUP(tables_576101!C265,input_576101!A:H,8,FALSE))</f>
        <v>67095</v>
      </c>
      <c r="P265" s="46">
        <f t="shared" ca="1" si="13"/>
        <v>4.9218750000173158E-4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input_576101!A$2</f>
        <v>576101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IFERROR(VLOOKUP(B266,input_576101!L:R,7,FALSE),VLOOKUP(tables_576101!C266,input_576101!A:H,8,FALSE))</f>
        <v>47333.333330000001</v>
      </c>
      <c r="P266" s="46">
        <f t="shared" ca="1" si="13"/>
        <v>3.4722222219899152E-4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input_576101!A$2</f>
        <v>576101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IFERROR(VLOOKUP(B267,input_576101!L:R,7,FALSE),VLOOKUP(tables_576101!C267,input_576101!A:H,8,FALSE))</f>
        <v>47333.333330000001</v>
      </c>
      <c r="P267" s="46">
        <f t="shared" ca="1" si="13"/>
        <v>3.4722222219899152E-4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input_576101!A$2</f>
        <v>576101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IFERROR(VLOOKUP(B268,input_576101!L:R,7,FALSE),VLOOKUP(tables_576101!C268,input_576101!A:H,8,FALSE))</f>
        <v>47333.333330000001</v>
      </c>
      <c r="P268" s="46">
        <f t="shared" ca="1" si="13"/>
        <v>3.4722222219899152E-4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input_576101!A$2</f>
        <v>576101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IFERROR(VLOOKUP(B269,input_576101!L:R,7,FALSE),VLOOKUP(tables_576101!C269,input_576101!A:H,8,FALSE))</f>
        <v>47333.333330000001</v>
      </c>
      <c r="P269" s="46">
        <f t="shared" ca="1" si="13"/>
        <v>3.4722222219899152E-4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input_576101!A$2</f>
        <v>576101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IFERROR(VLOOKUP(B270,input_576101!L:R,7,FALSE),VLOOKUP(tables_576101!C270,input_576101!A:H,8,FALSE))</f>
        <v>573662.25</v>
      </c>
      <c r="P270" s="46">
        <f t="shared" ca="1" si="13"/>
        <v>4.2082031250148047E-3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input_576101!A$2</f>
        <v>576101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IFERROR(VLOOKUP(B271,input_576101!L:R,7,FALSE),VLOOKUP(tables_576101!C271,input_576101!A:H,8,FALSE))</f>
        <v>67095</v>
      </c>
      <c r="P271" s="46">
        <f t="shared" ca="1" si="13"/>
        <v>4.9218750000173158E-4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input_576101!A$2</f>
        <v>576101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IFERROR(VLOOKUP(B272,input_576101!L:R,7,FALSE),VLOOKUP(tables_576101!C272,input_576101!A:H,8,FALSE))</f>
        <v>573662.25</v>
      </c>
      <c r="P272" s="46">
        <f t="shared" ca="1" si="13"/>
        <v>4.2082031250148047E-3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input_576101!A$2</f>
        <v>576101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IFERROR(VLOOKUP(B273,input_576101!L:R,7,FALSE),VLOOKUP(tables_576101!C273,input_576101!A:H,8,FALSE))</f>
        <v>67095</v>
      </c>
      <c r="P273" s="46">
        <f t="shared" ca="1" si="13"/>
        <v>4.9218750000173158E-4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input_576101!A$2</f>
        <v>576101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IFERROR(VLOOKUP(B274,input_576101!L:R,7,FALSE),VLOOKUP(tables_576101!C274,input_576101!A:H,8,FALSE))</f>
        <v>121714.28571</v>
      </c>
      <c r="P274" s="46">
        <f t="shared" ca="1" si="13"/>
        <v>8.9285714282884526E-4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input_576101!A$2</f>
        <v>576101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IFERROR(VLOOKUP(B275,input_576101!L:R,7,FALSE),VLOOKUP(tables_576101!C275,input_576101!A:H,8,FALSE))</f>
        <v>47333.333330000001</v>
      </c>
      <c r="P275" s="46">
        <f t="shared" ca="1" si="13"/>
        <v>3.4722222219899152E-4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input_576101!A$2</f>
        <v>576101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IFERROR(VLOOKUP(B276,input_576101!L:R,7,FALSE),VLOOKUP(tables_576101!C276,input_576101!A:H,8,FALSE))</f>
        <v>121714.28571</v>
      </c>
      <c r="P276" s="46">
        <f t="shared" ca="1" si="13"/>
        <v>8.9285714282884526E-4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input_576101!A$2</f>
        <v>576101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IFERROR(VLOOKUP(B277,input_576101!L:R,7,FALSE),VLOOKUP(tables_576101!C277,input_576101!A:H,8,FALSE))</f>
        <v>47333.333330000001</v>
      </c>
      <c r="P277" s="46">
        <f t="shared" ca="1" si="13"/>
        <v>3.4722222219899152E-4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input_576101!A$2</f>
        <v>576101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IFERROR(VLOOKUP(B278,input_576101!L:R,7,FALSE),VLOOKUP(tables_576101!C278,input_576101!A:H,8,FALSE))</f>
        <v>670950</v>
      </c>
      <c r="P278" s="46">
        <f t="shared" ca="1" si="13"/>
        <v>4.9218750000173152E-3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input_576101!A$2</f>
        <v>576101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IFERROR(VLOOKUP(B279,input_576101!L:R,7,FALSE),VLOOKUP(tables_576101!C279,input_576101!A:H,8,FALSE))</f>
        <v>573662.25</v>
      </c>
      <c r="P279" s="46">
        <f t="shared" ca="1" si="13"/>
        <v>4.2082031250148047E-3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input_576101!A$2</f>
        <v>576101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IFERROR(VLOOKUP(B280,input_576101!L:R,7,FALSE),VLOOKUP(tables_576101!C280,input_576101!A:H,8,FALSE))</f>
        <v>26829.807690000001</v>
      </c>
      <c r="P280" s="46">
        <f t="shared" ca="1" si="13"/>
        <v>1.9681490382991777E-4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input_576101!A$2</f>
        <v>576101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IFERROR(VLOOKUP(B281,input_576101!L:R,7,FALSE),VLOOKUP(tables_576101!C281,input_576101!A:H,8,FALSE))</f>
        <v>670950</v>
      </c>
      <c r="P281" s="46">
        <f t="shared" ca="1" si="13"/>
        <v>4.9218750000173152E-3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input_576101!A$2</f>
        <v>576101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IFERROR(VLOOKUP(B282,input_576101!L:R,7,FALSE),VLOOKUP(tables_576101!C282,input_576101!A:H,8,FALSE))</f>
        <v>573662.25</v>
      </c>
      <c r="P282" s="46">
        <f t="shared" ca="1" si="13"/>
        <v>4.2082031250148047E-3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input_576101!A$2</f>
        <v>576101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IFERROR(VLOOKUP(B283,input_576101!L:R,7,FALSE),VLOOKUP(tables_576101!C283,input_576101!A:H,8,FALSE))</f>
        <v>26829.807690000001</v>
      </c>
      <c r="P283" s="46">
        <f t="shared" ca="1" si="13"/>
        <v>1.9681490382991777E-4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input_576101!A$2</f>
        <v>576101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IFERROR(VLOOKUP(B284,input_576101!L:R,7,FALSE),VLOOKUP(tables_576101!C284,input_576101!A:H,8,FALSE))</f>
        <v>47333.333330000001</v>
      </c>
      <c r="P284" s="46">
        <f t="shared" ca="1" si="13"/>
        <v>3.4722222219899152E-4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input_576101!A$2</f>
        <v>576101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IFERROR(VLOOKUP(B285,input_576101!L:R,7,FALSE),VLOOKUP(tables_576101!C285,input_576101!A:H,8,FALSE))</f>
        <v>47333.333330000001</v>
      </c>
      <c r="P285" s="46">
        <f t="shared" ca="1" si="13"/>
        <v>3.4722222219899152E-4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input_576101!A$2</f>
        <v>576101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IFERROR(VLOOKUP(B286,input_576101!L:R,7,FALSE),VLOOKUP(tables_576101!C286,input_576101!A:H,8,FALSE))</f>
        <v>573662.25</v>
      </c>
      <c r="P286" s="46">
        <f t="shared" ca="1" si="13"/>
        <v>4.2082031250148047E-3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input_576101!A$2</f>
        <v>576101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IFERROR(VLOOKUP(B287,input_576101!L:R,7,FALSE),VLOOKUP(tables_576101!C287,input_576101!A:H,8,FALSE))</f>
        <v>67095</v>
      </c>
      <c r="P287" s="46">
        <f t="shared" ca="1" si="13"/>
        <v>4.9218750000173158E-4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input_576101!A$2</f>
        <v>576101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IFERROR(VLOOKUP(B288,input_576101!L:R,7,FALSE),VLOOKUP(tables_576101!C288,input_576101!A:H,8,FALSE))</f>
        <v>573662.25</v>
      </c>
      <c r="P288" s="46">
        <f t="shared" ca="1" si="13"/>
        <v>4.2082031250148047E-3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input_576101!A$2</f>
        <v>576101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IFERROR(VLOOKUP(B289,input_576101!L:R,7,FALSE),VLOOKUP(tables_576101!C289,input_576101!A:H,8,FALSE))</f>
        <v>67095</v>
      </c>
      <c r="P289" s="46">
        <f t="shared" ca="1" si="13"/>
        <v>4.9218750000173158E-4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input_576101!A$2</f>
        <v>576101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IFERROR(VLOOKUP(B290,input_576101!L:R,7,FALSE),VLOOKUP(tables_576101!C290,input_576101!A:H,8,FALSE))</f>
        <v>573662.25</v>
      </c>
      <c r="P290" s="46">
        <f t="shared" ca="1" si="13"/>
        <v>4.2082031250148047E-3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input_576101!A$2</f>
        <v>576101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IFERROR(VLOOKUP(B291,input_576101!L:R,7,FALSE),VLOOKUP(tables_576101!C291,input_576101!A:H,8,FALSE))</f>
        <v>67095</v>
      </c>
      <c r="P291" s="46">
        <f t="shared" ca="1" si="13"/>
        <v>4.9218750000173158E-4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input_576101!A$2</f>
        <v>576101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IFERROR(VLOOKUP(B292,input_576101!L:R,7,FALSE),VLOOKUP(tables_576101!C292,input_576101!A:H,8,FALSE))</f>
        <v>573662.25</v>
      </c>
      <c r="P292" s="46">
        <f t="shared" ca="1" si="13"/>
        <v>4.2082031250148047E-3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input_576101!A$2</f>
        <v>576101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IFERROR(VLOOKUP(B293,input_576101!L:R,7,FALSE),VLOOKUP(tables_576101!C293,input_576101!A:H,8,FALSE))</f>
        <v>67095</v>
      </c>
      <c r="P293" s="46">
        <f t="shared" ca="1" si="13"/>
        <v>4.9218750000173158E-4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input_576101!A$2</f>
        <v>576101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IFERROR(VLOOKUP(B294,input_576101!L:R,7,FALSE),VLOOKUP(tables_576101!C294,input_576101!A:H,8,FALSE))</f>
        <v>47333.333330000001</v>
      </c>
      <c r="P294" s="46">
        <f t="shared" ca="1" si="13"/>
        <v>3.4722222219899152E-4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input_576101!A$2</f>
        <v>576101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IFERROR(VLOOKUP(B295,input_576101!L:R,7,FALSE),VLOOKUP(tables_576101!C295,input_576101!A:H,8,FALSE))</f>
        <v>47333.333330000001</v>
      </c>
      <c r="P295" s="46">
        <f t="shared" ca="1" si="13"/>
        <v>3.4722222219899152E-4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input_576101!A$2</f>
        <v>576101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IFERROR(VLOOKUP(B296,input_576101!L:R,7,FALSE),VLOOKUP(tables_576101!C296,input_576101!A:H,8,FALSE))</f>
        <v>47333.333330000001</v>
      </c>
      <c r="P296" s="46">
        <f t="shared" ca="1" si="13"/>
        <v>3.4722222219899152E-4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input_576101!A$2</f>
        <v>576101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IFERROR(VLOOKUP(B297,input_576101!L:R,7,FALSE),VLOOKUP(tables_576101!C297,input_576101!A:H,8,FALSE))</f>
        <v>573662.25</v>
      </c>
      <c r="P297" s="46">
        <f t="shared" ca="1" si="13"/>
        <v>4.2082031250148047E-3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input_576101!A$2</f>
        <v>576101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IFERROR(VLOOKUP(B298,input_576101!L:R,7,FALSE),VLOOKUP(tables_576101!C298,input_576101!A:H,8,FALSE))</f>
        <v>67095</v>
      </c>
      <c r="P298" s="46">
        <f t="shared" ca="1" si="13"/>
        <v>4.9218750000173158E-4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input_576101!A$2</f>
        <v>576101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IFERROR(VLOOKUP(B299,input_576101!L:R,7,FALSE),VLOOKUP(tables_576101!C299,input_576101!A:H,8,FALSE))</f>
        <v>47333.333330000001</v>
      </c>
      <c r="P299" s="46">
        <f t="shared" ca="1" si="13"/>
        <v>3.4722222219899152E-4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input_576101!A$2</f>
        <v>576101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IFERROR(VLOOKUP(B300,input_576101!L:R,7,FALSE),VLOOKUP(tables_576101!C300,input_576101!A:H,8,FALSE))</f>
        <v>47333.333330000001</v>
      </c>
      <c r="P300" s="46">
        <f t="shared" ca="1" si="13"/>
        <v>3.4722222219899152E-4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input_576101!A$2</f>
        <v>576101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IFERROR(VLOOKUP(B301,input_576101!L:R,7,FALSE),VLOOKUP(tables_576101!C301,input_576101!A:H,8,FALSE))</f>
        <v>47333.333330000001</v>
      </c>
      <c r="P301" s="46">
        <f t="shared" ca="1" si="13"/>
        <v>3.4722222219899152E-4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input_576101!A$2</f>
        <v>576101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IFERROR(VLOOKUP(B302,input_576101!L:R,7,FALSE),VLOOKUP(tables_576101!C302,input_576101!A:H,8,FALSE))</f>
        <v>47333.333330000001</v>
      </c>
      <c r="P302" s="46">
        <f t="shared" ca="1" si="13"/>
        <v>3.4722222219899152E-4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input_576101!A$2</f>
        <v>576101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IFERROR(VLOOKUP(B303,input_576101!L:R,7,FALSE),VLOOKUP(tables_576101!C303,input_576101!A:H,8,FALSE))</f>
        <v>573662.25</v>
      </c>
      <c r="P303" s="46">
        <f t="shared" ca="1" si="13"/>
        <v>4.2082031250148047E-3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input_576101!A$2</f>
        <v>576101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IFERROR(VLOOKUP(B304,input_576101!L:R,7,FALSE),VLOOKUP(tables_576101!C304,input_576101!A:H,8,FALSE))</f>
        <v>67095</v>
      </c>
      <c r="P304" s="46">
        <f t="shared" ca="1" si="13"/>
        <v>4.9218750000173158E-4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input_576101!A$2</f>
        <v>576101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IFERROR(VLOOKUP(B305,input_576101!L:R,7,FALSE),VLOOKUP(tables_576101!C305,input_576101!A:H,8,FALSE))</f>
        <v>47333.333330000001</v>
      </c>
      <c r="P305" s="46">
        <f t="shared" ca="1" si="13"/>
        <v>3.4722222219899152E-4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input_576101!A$2</f>
        <v>576101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IFERROR(VLOOKUP(B306,input_576101!L:R,7,FALSE),VLOOKUP(tables_576101!C306,input_576101!A:H,8,FALSE))</f>
        <v>573662.25</v>
      </c>
      <c r="P306" s="46">
        <f t="shared" ca="1" si="13"/>
        <v>4.2082031250148047E-3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input_576101!A$2</f>
        <v>576101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IFERROR(VLOOKUP(B307,input_576101!L:R,7,FALSE),VLOOKUP(tables_576101!C307,input_576101!A:H,8,FALSE))</f>
        <v>67095</v>
      </c>
      <c r="P307" s="46">
        <f t="shared" ca="1" si="13"/>
        <v>4.9218750000173158E-4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input_576101!A$2</f>
        <v>576101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IFERROR(VLOOKUP(B308,input_576101!L:R,7,FALSE),VLOOKUP(tables_576101!C308,input_576101!A:H,8,FALSE))</f>
        <v>47333.333330000001</v>
      </c>
      <c r="P308" s="46">
        <f t="shared" ca="1" si="13"/>
        <v>3.4722222219899152E-4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input_576101!A$2</f>
        <v>576101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IFERROR(VLOOKUP(B309,input_576101!L:R,7,FALSE),VLOOKUP(tables_576101!C309,input_576101!A:H,8,FALSE))</f>
        <v>47333.333330000001</v>
      </c>
      <c r="P309" s="46">
        <f t="shared" ca="1" si="13"/>
        <v>3.4722222219899152E-4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input_576101!A$2</f>
        <v>576101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IFERROR(VLOOKUP(B310,input_576101!L:R,7,FALSE),VLOOKUP(tables_576101!C310,input_576101!A:H,8,FALSE))</f>
        <v>47333.333330000001</v>
      </c>
      <c r="P310" s="46">
        <f t="shared" ca="1" si="13"/>
        <v>3.4722222219899152E-4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input_576101!A$2</f>
        <v>576101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IFERROR(VLOOKUP(B311,input_576101!L:R,7,FALSE),VLOOKUP(tables_576101!C311,input_576101!A:H,8,FALSE))</f>
        <v>573662.25</v>
      </c>
      <c r="P311" s="46">
        <f t="shared" ca="1" si="13"/>
        <v>4.2082031250148047E-3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input_576101!A$2</f>
        <v>576101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IFERROR(VLOOKUP(B312,input_576101!L:R,7,FALSE),VLOOKUP(tables_576101!C312,input_576101!A:H,8,FALSE))</f>
        <v>67095</v>
      </c>
      <c r="P312" s="46">
        <f t="shared" ca="1" si="13"/>
        <v>4.9218750000173158E-4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input_576101!A$2</f>
        <v>576101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IFERROR(VLOOKUP(B313,input_576101!L:R,7,FALSE),VLOOKUP(tables_576101!C313,input_576101!A:H,8,FALSE))</f>
        <v>47333.333330000001</v>
      </c>
      <c r="P313" s="46">
        <f t="shared" ca="1" si="13"/>
        <v>3.4722222219899152E-4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input_576101!A$2</f>
        <v>576101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IFERROR(VLOOKUP(B314,input_576101!L:R,7,FALSE),VLOOKUP(tables_576101!C314,input_576101!A:H,8,FALSE))</f>
        <v>47333.333330000001</v>
      </c>
      <c r="P314" s="46">
        <f t="shared" ca="1" si="13"/>
        <v>3.4722222219899152E-4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input_576101!A$2</f>
        <v>576101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IFERROR(VLOOKUP(B315,input_576101!L:R,7,FALSE),VLOOKUP(tables_576101!C315,input_576101!A:H,8,FALSE))</f>
        <v>47333.333330000001</v>
      </c>
      <c r="P315" s="46">
        <f t="shared" ca="1" si="13"/>
        <v>3.4722222219899152E-4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input_576101!A$2</f>
        <v>576101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IFERROR(VLOOKUP(B316,input_576101!L:R,7,FALSE),VLOOKUP(tables_576101!C316,input_576101!A:H,8,FALSE))</f>
        <v>47333.333330000001</v>
      </c>
      <c r="P316" s="46">
        <f t="shared" ca="1" si="13"/>
        <v>3.4722222219899152E-4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input_576101!A$2</f>
        <v>576101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IFERROR(VLOOKUP(B317,input_576101!L:R,7,FALSE),VLOOKUP(tables_576101!C317,input_576101!A:H,8,FALSE))</f>
        <v>47333.333330000001</v>
      </c>
      <c r="P317" s="46">
        <f t="shared" ca="1" si="13"/>
        <v>3.4722222219899152E-4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input_576101!A$2</f>
        <v>576101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IFERROR(VLOOKUP(B318,input_576101!L:R,7,FALSE),VLOOKUP(tables_576101!C318,input_576101!A:H,8,FALSE))</f>
        <v>573662.25</v>
      </c>
      <c r="P318" s="46">
        <f t="shared" ca="1" si="13"/>
        <v>4.2082031250148047E-3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input_576101!A$2</f>
        <v>576101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IFERROR(VLOOKUP(B319,input_576101!L:R,7,FALSE),VLOOKUP(tables_576101!C319,input_576101!A:H,8,FALSE))</f>
        <v>67095</v>
      </c>
      <c r="P319" s="46">
        <f t="shared" ca="1" si="13"/>
        <v>4.9218750000173158E-4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input_576101!A$2</f>
        <v>576101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IFERROR(VLOOKUP(B320,input_576101!L:R,7,FALSE),VLOOKUP(tables_576101!C320,input_576101!A:H,8,FALSE))</f>
        <v>47333.333330000001</v>
      </c>
      <c r="P320" s="46">
        <f t="shared" ca="1" si="13"/>
        <v>3.4722222219899152E-4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input_576101!A$2</f>
        <v>576101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IFERROR(VLOOKUP(B321,input_576101!L:R,7,FALSE),VLOOKUP(tables_576101!C321,input_576101!A:H,8,FALSE))</f>
        <v>47333.333330000001</v>
      </c>
      <c r="P321" s="46">
        <f t="shared" ca="1" si="13"/>
        <v>3.4722222219899152E-4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input_576101!A$2</f>
        <v>576101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IFERROR(VLOOKUP(B322,input_576101!L:R,7,FALSE),VLOOKUP(tables_576101!C322,input_576101!A:H,8,FALSE))</f>
        <v>47333.333330000001</v>
      </c>
      <c r="P322" s="46">
        <f t="shared" ref="P322:P340" ca="1" si="23">O322/SUM(O:O)</f>
        <v>3.4722222219899152E-4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input_576101!A$2</f>
        <v>576101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IFERROR(VLOOKUP(B323,input_576101!L:R,7,FALSE),VLOOKUP(tables_576101!C323,input_576101!A:H,8,FALSE))</f>
        <v>47333.333330000001</v>
      </c>
      <c r="P323" s="46">
        <f t="shared" ca="1" si="23"/>
        <v>3.4722222219899152E-4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input_576101!A$2</f>
        <v>576101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IFERROR(VLOOKUP(B324,input_576101!L:R,7,FALSE),VLOOKUP(tables_576101!C324,input_576101!A:H,8,FALSE))</f>
        <v>573662.25</v>
      </c>
      <c r="P324" s="46">
        <f t="shared" ca="1" si="23"/>
        <v>4.2082031250148047E-3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input_576101!A$2</f>
        <v>576101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IFERROR(VLOOKUP(B325,input_576101!L:R,7,FALSE),VLOOKUP(tables_576101!C325,input_576101!A:H,8,FALSE))</f>
        <v>67095</v>
      </c>
      <c r="P325" s="46">
        <f t="shared" ca="1" si="23"/>
        <v>4.9218750000173158E-4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input_576101!A$2</f>
        <v>576101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IFERROR(VLOOKUP(B326,input_576101!L:R,7,FALSE),VLOOKUP(tables_576101!C326,input_576101!A:H,8,FALSE))</f>
        <v>573662.25</v>
      </c>
      <c r="P326" s="46">
        <f t="shared" ca="1" si="23"/>
        <v>4.2082031250148047E-3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input_576101!A$2</f>
        <v>576101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IFERROR(VLOOKUP(B327,input_576101!L:R,7,FALSE),VLOOKUP(tables_576101!C327,input_576101!A:H,8,FALSE))</f>
        <v>67095</v>
      </c>
      <c r="P327" s="46">
        <f t="shared" ca="1" si="23"/>
        <v>4.9218750000173158E-4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input_576101!A$2</f>
        <v>576101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IFERROR(VLOOKUP(B328,input_576101!L:R,7,FALSE),VLOOKUP(tables_576101!C328,input_576101!A:H,8,FALSE))</f>
        <v>47333.333330000001</v>
      </c>
      <c r="P328" s="46">
        <f t="shared" ca="1" si="23"/>
        <v>3.4722222219899152E-4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input_576101!A$2</f>
        <v>576101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IFERROR(VLOOKUP(B329,input_576101!L:R,7,FALSE),VLOOKUP(tables_576101!C329,input_576101!A:H,8,FALSE))</f>
        <v>47333.333330000001</v>
      </c>
      <c r="P329" s="46">
        <f t="shared" ca="1" si="23"/>
        <v>3.4722222219899152E-4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input_576101!A$2</f>
        <v>576101</v>
      </c>
      <c r="B330" s="2">
        <v>1157</v>
      </c>
      <c r="C330" s="7" t="str">
        <f t="shared" si="25"/>
        <v>PremiumSS5R5only</v>
      </c>
      <c r="D330" s="91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IFERROR(VLOOKUP(B330,input_576101!L:R,7,FALSE),VLOOKUP(tables_576101!C330,input_576101!A:H,8,FALSE))</f>
        <v>47333.333330000001</v>
      </c>
      <c r="P330" s="46">
        <f t="shared" ca="1" si="23"/>
        <v>3.4722222219899152E-4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input_576101!A$2</f>
        <v>576101</v>
      </c>
      <c r="B331" s="60">
        <v>1214</v>
      </c>
      <c r="C331" s="7" t="str">
        <f t="shared" ref="C331:C335" si="26">D331&amp;J331&amp;E331&amp;F331&amp;G331</f>
        <v>PremiumSS5R5only</v>
      </c>
      <c r="D331" s="91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IFERROR(VLOOKUP(B331,input_576101!L:R,7,FALSE),VLOOKUP(tables_576101!C331,input_576101!A:H,8,FALSE))</f>
        <v>47333.333330000001</v>
      </c>
      <c r="P331" s="46">
        <f t="shared" ca="1" si="23"/>
        <v>3.4722222219899152E-4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input_576101!A$2</f>
        <v>576101</v>
      </c>
      <c r="B332" s="60">
        <v>1212</v>
      </c>
      <c r="C332" s="7" t="str">
        <f t="shared" si="26"/>
        <v>PremiumSS5R5only</v>
      </c>
      <c r="D332" s="91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IFERROR(VLOOKUP(B332,input_576101!L:R,7,FALSE),VLOOKUP(tables_576101!C332,input_576101!A:H,8,FALSE))</f>
        <v>47333.333330000001</v>
      </c>
      <c r="P332" s="46">
        <f t="shared" ca="1" si="23"/>
        <v>3.4722222219899152E-4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input_576101!A$2</f>
        <v>576101</v>
      </c>
      <c r="B333" s="60">
        <v>1208</v>
      </c>
      <c r="C333" s="7" t="str">
        <f t="shared" si="26"/>
        <v>PremiumSS5R5only</v>
      </c>
      <c r="D333" s="91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IFERROR(VLOOKUP(B333,input_576101!L:R,7,FALSE),VLOOKUP(tables_576101!C333,input_576101!A:H,8,FALSE))</f>
        <v>47333.333330000001</v>
      </c>
      <c r="P333" s="46">
        <f t="shared" ca="1" si="23"/>
        <v>3.4722222219899152E-4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input_576101!A$2</f>
        <v>576101</v>
      </c>
      <c r="B334" s="89">
        <v>1210</v>
      </c>
      <c r="C334" s="7" t="str">
        <f t="shared" si="26"/>
        <v>Premium4R3less</v>
      </c>
      <c r="D334" s="91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IFERROR(VLOOKUP(B334,input_576101!L:R,7,FALSE),VLOOKUP(tables_576101!C334,input_576101!A:H,8,FALSE))</f>
        <v>573662.25</v>
      </c>
      <c r="P334" s="46">
        <f t="shared" ca="1" si="23"/>
        <v>4.2082031250148047E-3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input_576101!A$2</f>
        <v>576101</v>
      </c>
      <c r="B335" s="60">
        <v>1211</v>
      </c>
      <c r="C335" s="7" t="str">
        <f t="shared" si="26"/>
        <v>Premium5R3less</v>
      </c>
      <c r="D335" s="91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IFERROR(VLOOKUP(B335,input_576101!L:R,7,FALSE),VLOOKUP(tables_576101!C335,input_576101!A:H,8,FALSE))</f>
        <v>67095</v>
      </c>
      <c r="P335" s="46">
        <f t="shared" ca="1" si="23"/>
        <v>4.9218750000173158E-4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input_576101!A$2</f>
        <v>576101</v>
      </c>
      <c r="B336" s="2">
        <v>1224</v>
      </c>
      <c r="C336" s="7" t="str">
        <f t="shared" ref="C336:C340" si="28">D336&amp;J336&amp;E336&amp;F336&amp;G336</f>
        <v>Premium4R3less</v>
      </c>
      <c r="D336" s="91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IFERROR(VLOOKUP(B336,input_576101!L:R,7,FALSE),VLOOKUP(tables_576101!C336,input_576101!A:H,8,FALSE))</f>
        <v>573662.25</v>
      </c>
      <c r="P336" s="46">
        <f t="shared" ca="1" si="23"/>
        <v>4.2082031250148047E-3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input_576101!A$2</f>
        <v>576101</v>
      </c>
      <c r="B337" s="2">
        <v>1225</v>
      </c>
      <c r="C337" s="7" t="str">
        <f t="shared" si="28"/>
        <v>Premium5R3less</v>
      </c>
      <c r="D337" s="91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IFERROR(VLOOKUP(B337,input_576101!L:R,7,FALSE),VLOOKUP(tables_576101!C337,input_576101!A:H,8,FALSE))</f>
        <v>67095</v>
      </c>
      <c r="P337" s="46">
        <f t="shared" ca="1" si="23"/>
        <v>4.9218750000173158E-4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input_576101!A$2</f>
        <v>576101</v>
      </c>
      <c r="B338" s="2">
        <v>1226</v>
      </c>
      <c r="C338" s="7" t="str">
        <f t="shared" si="28"/>
        <v>PremiumSS5R5only</v>
      </c>
      <c r="D338" s="91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IFERROR(VLOOKUP(B338,input_576101!L:R,7,FALSE),VLOOKUP(tables_576101!C338,input_576101!A:H,8,FALSE))</f>
        <v>47333.333330000001</v>
      </c>
      <c r="P338" s="46">
        <f t="shared" ca="1" si="23"/>
        <v>3.4722222219899152E-4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input_576101!A$2</f>
        <v>576101</v>
      </c>
      <c r="B339" s="2">
        <v>1228</v>
      </c>
      <c r="C339" s="7" t="str">
        <f t="shared" si="28"/>
        <v>PremiumSS5R5only</v>
      </c>
      <c r="D339" s="91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IFERROR(VLOOKUP(B339,input_576101!L:R,7,FALSE),VLOOKUP(tables_576101!C339,input_576101!A:H,8,FALSE))</f>
        <v>47333.333330000001</v>
      </c>
      <c r="P339" s="46">
        <f t="shared" ca="1" si="23"/>
        <v>3.4722222219899152E-4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input_576101!A$2</f>
        <v>576101</v>
      </c>
      <c r="B340" s="2">
        <v>1230</v>
      </c>
      <c r="C340" s="7" t="str">
        <f t="shared" si="28"/>
        <v>PremiumSS5R5only</v>
      </c>
      <c r="D340" s="91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IFERROR(VLOOKUP(B340,input_576101!L:R,7,FALSE),VLOOKUP(tables_576101!C340,input_576101!A:H,8,FALSE))</f>
        <v>47333.333330000001</v>
      </c>
      <c r="P340" s="46">
        <f t="shared" ca="1" si="23"/>
        <v>3.4722222219899152E-4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input_576101!A$2</f>
        <v>576101</v>
      </c>
      <c r="B341" s="1">
        <v>1250</v>
      </c>
      <c r="C341" s="7" t="str">
        <f t="shared" ref="C341:C355" si="30">D341&amp;J341&amp;E341&amp;F341&amp;G341</f>
        <v>PremiumSS5R5only</v>
      </c>
      <c r="D341" s="91" t="str">
        <f t="shared" ref="D341:D355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IFERROR(VLOOKUP(B341,input_576101!L:R,7,FALSE),VLOOKUP(tables_576101!C341,input_576101!A:H,8,FALSE))</f>
        <v>47333.333330000001</v>
      </c>
      <c r="P341" s="46">
        <f t="shared" ref="P341:P355" ca="1" si="32">O341/SUM(O:O)</f>
        <v>3.4722222219899152E-4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input_576101!A$2</f>
        <v>576101</v>
      </c>
      <c r="B342" s="1">
        <v>1248</v>
      </c>
      <c r="C342" s="7" t="str">
        <f t="shared" si="30"/>
        <v>Premium4R3less</v>
      </c>
      <c r="D342" s="91" t="str">
        <f t="shared" si="31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IFERROR(VLOOKUP(B342,input_576101!L:R,7,FALSE),VLOOKUP(tables_576101!C342,input_576101!A:H,8,FALSE))</f>
        <v>573662.25</v>
      </c>
      <c r="P342" s="46">
        <f t="shared" ca="1" si="32"/>
        <v>4.2082031250148047E-3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input_576101!A$2</f>
        <v>576101</v>
      </c>
      <c r="B343" s="1">
        <v>1249</v>
      </c>
      <c r="C343" s="7" t="str">
        <f t="shared" si="30"/>
        <v>Premium5R3less</v>
      </c>
      <c r="D343" s="91" t="str">
        <f t="shared" si="31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IFERROR(VLOOKUP(B343,input_576101!L:R,7,FALSE),VLOOKUP(tables_576101!C343,input_576101!A:H,8,FALSE))</f>
        <v>67095</v>
      </c>
      <c r="P343" s="46">
        <f t="shared" ca="1" si="32"/>
        <v>4.9218750000173158E-4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input_576101!A$2</f>
        <v>576101</v>
      </c>
      <c r="B344" s="1">
        <v>1246</v>
      </c>
      <c r="C344" s="7" t="str">
        <f t="shared" si="30"/>
        <v>PremiumSS5R5only</v>
      </c>
      <c r="D344" s="91" t="str">
        <f t="shared" si="31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IFERROR(VLOOKUP(B344,input_576101!L:R,7,FALSE),VLOOKUP(tables_576101!C344,input_576101!A:H,8,FALSE))</f>
        <v>47333.333330000001</v>
      </c>
      <c r="P344" s="46">
        <f t="shared" ca="1" si="32"/>
        <v>3.4722222219899152E-4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input_576101!A$2</f>
        <v>576101</v>
      </c>
      <c r="B345" s="1">
        <v>1244</v>
      </c>
      <c r="C345" s="7" t="str">
        <f t="shared" si="30"/>
        <v>PremiumSS5R5only</v>
      </c>
      <c r="D345" s="91" t="str">
        <f t="shared" si="31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IFERROR(VLOOKUP(B345,input_576101!L:R,7,FALSE),VLOOKUP(tables_576101!C345,input_576101!A:H,8,FALSE))</f>
        <v>47333.333330000001</v>
      </c>
      <c r="P345" s="46">
        <f t="shared" ca="1" si="32"/>
        <v>3.4722222219899152E-4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input_576101!A$2</f>
        <v>576101</v>
      </c>
      <c r="B346" s="1">
        <v>1260</v>
      </c>
      <c r="C346" s="7" t="str">
        <f t="shared" si="30"/>
        <v>PremiumSS5R5only</v>
      </c>
      <c r="D346" s="91" t="str">
        <f t="shared" si="31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IFERROR(VLOOKUP(B346,input_576101!L:R,7,FALSE),VLOOKUP(tables_576101!C346,input_576101!A:H,8,FALSE))</f>
        <v>47333.333330000001</v>
      </c>
      <c r="P346" s="46">
        <f t="shared" ca="1" si="32"/>
        <v>3.4722222219899152E-4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input_576101!A$2</f>
        <v>576101</v>
      </c>
      <c r="B347" s="1">
        <v>1262</v>
      </c>
      <c r="C347" s="7" t="str">
        <f t="shared" si="30"/>
        <v>PremiumSS5R5only</v>
      </c>
      <c r="D347" s="91" t="str">
        <f t="shared" si="31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IFERROR(VLOOKUP(B347,input_576101!L:R,7,FALSE),VLOOKUP(tables_576101!C347,input_576101!A:H,8,FALSE))</f>
        <v>47333.333330000001</v>
      </c>
      <c r="P347" s="46">
        <f t="shared" ca="1" si="32"/>
        <v>3.4722222219899152E-4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input_576101!A$2</f>
        <v>576101</v>
      </c>
      <c r="B348" s="1">
        <v>1264</v>
      </c>
      <c r="C348" s="7" t="str">
        <f t="shared" si="30"/>
        <v>PremiumSS5R5only</v>
      </c>
      <c r="D348" s="91" t="str">
        <f t="shared" si="31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IFERROR(VLOOKUP(B348,input_576101!L:R,7,FALSE),VLOOKUP(tables_576101!C348,input_576101!A:H,8,FALSE))</f>
        <v>47333.333330000001</v>
      </c>
      <c r="P348" s="46">
        <f t="shared" ca="1" si="32"/>
        <v>3.4722222219899152E-4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input_576101!A$2</f>
        <v>576101</v>
      </c>
      <c r="B349" s="1">
        <v>1266</v>
      </c>
      <c r="C349" s="7" t="str">
        <f t="shared" si="30"/>
        <v>Premium4R3less</v>
      </c>
      <c r="D349" s="91" t="str">
        <f t="shared" si="31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IFERROR(VLOOKUP(B349,input_576101!L:R,7,FALSE),VLOOKUP(tables_576101!C349,input_576101!A:H,8,FALSE))</f>
        <v>573662.25</v>
      </c>
      <c r="P349" s="46">
        <f t="shared" ca="1" si="32"/>
        <v>4.2082031250148047E-3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input_576101!A$2</f>
        <v>576101</v>
      </c>
      <c r="B350" s="1">
        <v>1267</v>
      </c>
      <c r="C350" s="7" t="str">
        <f t="shared" si="30"/>
        <v>Premium5R3less</v>
      </c>
      <c r="D350" s="91" t="str">
        <f t="shared" si="31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IFERROR(VLOOKUP(B350,input_576101!L:R,7,FALSE),VLOOKUP(tables_576101!C350,input_576101!A:H,8,FALSE))</f>
        <v>67095</v>
      </c>
      <c r="P350" s="46">
        <f t="shared" ca="1" si="32"/>
        <v>4.9218750000173158E-4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input_576101!A$2</f>
        <v>576101</v>
      </c>
      <c r="B351" s="94">
        <v>1332</v>
      </c>
      <c r="C351" s="7" t="str">
        <f t="shared" si="30"/>
        <v>PremiumSS5R5only</v>
      </c>
      <c r="D351" s="91" t="str">
        <f t="shared" si="31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IFERROR(VLOOKUP(B351,input_576101!L:R,7,FALSE),VLOOKUP(tables_576101!C351,input_576101!A:H,8,FALSE))</f>
        <v>47333.333330000001</v>
      </c>
      <c r="P351" s="46">
        <f t="shared" ca="1" si="32"/>
        <v>3.4722222219899152E-4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input_576101!A$2</f>
        <v>576101</v>
      </c>
      <c r="B352" s="94">
        <v>1336</v>
      </c>
      <c r="C352" s="7" t="str">
        <f t="shared" si="30"/>
        <v>PremiumSS5R5only</v>
      </c>
      <c r="D352" s="91" t="str">
        <f t="shared" si="31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IFERROR(VLOOKUP(B352,input_576101!L:R,7,FALSE),VLOOKUP(tables_576101!C352,input_576101!A:H,8,FALSE))</f>
        <v>47333.333330000001</v>
      </c>
      <c r="P352" s="46">
        <f t="shared" ca="1" si="32"/>
        <v>3.4722222219899152E-4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input_576101!A$2</f>
        <v>576101</v>
      </c>
      <c r="B353" s="94">
        <v>1338</v>
      </c>
      <c r="C353" s="7" t="str">
        <f t="shared" si="30"/>
        <v>PremiumSS5R5only</v>
      </c>
      <c r="D353" s="91" t="str">
        <f t="shared" si="31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IFERROR(VLOOKUP(B353,input_576101!L:R,7,FALSE),VLOOKUP(tables_576101!C353,input_576101!A:H,8,FALSE))</f>
        <v>47333.333330000001</v>
      </c>
      <c r="P353" s="46">
        <f t="shared" ca="1" si="32"/>
        <v>3.4722222219899152E-4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input_576101!A$2</f>
        <v>576101</v>
      </c>
      <c r="B354" s="94">
        <v>1334</v>
      </c>
      <c r="C354" s="7" t="str">
        <f t="shared" si="30"/>
        <v>Premium4R3less</v>
      </c>
      <c r="D354" s="91" t="str">
        <f t="shared" si="31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IFERROR(VLOOKUP(B354,input_576101!L:R,7,FALSE),VLOOKUP(tables_576101!C354,input_576101!A:H,8,FALSE))</f>
        <v>573662.25</v>
      </c>
      <c r="P354" s="46">
        <f t="shared" ca="1" si="32"/>
        <v>4.2082031250148047E-3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input_576101!A$2</f>
        <v>576101</v>
      </c>
      <c r="B355" s="94">
        <v>1335</v>
      </c>
      <c r="C355" s="7" t="str">
        <f t="shared" si="30"/>
        <v>Premium5R3less</v>
      </c>
      <c r="D355" s="91" t="str">
        <f t="shared" si="31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IFERROR(VLOOKUP(B355,input_576101!L:R,7,FALSE),VLOOKUP(tables_576101!C355,input_576101!A:H,8,FALSE))</f>
        <v>67095</v>
      </c>
      <c r="P355" s="46">
        <f t="shared" ca="1" si="32"/>
        <v>4.9218750000173158E-4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input_576101!A$2</f>
        <v>576101</v>
      </c>
      <c r="B356" s="60">
        <v>1076</v>
      </c>
      <c r="C356" s="7" t="str">
        <f t="shared" ref="C356" si="33">D356&amp;J356&amp;E356&amp;F356&amp;G356</f>
        <v>PremiumSSS5R3less</v>
      </c>
      <c r="D356" s="91" t="str">
        <f t="shared" ref="D356" si="34">IF(OR(I356="PremiumSS",I356="PremiumSSw"),"PremiumSS",IF(I356="PremiumSSS",I356,IF(I356="PremiumW",IF(J356=5,"premium",I356),"Premium")))</f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パレート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green</v>
      </c>
      <c r="L356" s="7" t="str">
        <f>VLOOKUP(B356,[1]characters!$A:$K,11,FALSE)</f>
        <v>balance</v>
      </c>
      <c r="M356" s="7" t="str">
        <f>VLOOKUP(B356,[1]characters!$A:$M,13,FALSE)</f>
        <v>academia</v>
      </c>
      <c r="N356" s="7" t="str">
        <f>VLOOKUP(B356,[1]characters!$A:$G,7,FALSE)</f>
        <v>男性</v>
      </c>
      <c r="O356" s="45">
        <f>IFERROR(VLOOKUP(B356,input_576101!L:R,7,FALSE),VLOOKUP(tables_576101!C356,input_576101!A:H,8,FALSE))</f>
        <v>681600</v>
      </c>
      <c r="P356" s="46">
        <f ca="1">O356/SUM(O:O)</f>
        <v>5.0000000000175902E-3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95">
        <v>10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50"/>
  <sheetViews>
    <sheetView workbookViewId="0">
      <selection activeCell="B28" sqref="B28:B29"/>
    </sheetView>
  </sheetViews>
  <sheetFormatPr baseColWidth="12" defaultRowHeight="14" x14ac:dyDescent="0.15"/>
  <cols>
    <col min="1" max="2" width="24.19921875" bestFit="1" customWidth="1"/>
    <col min="7" max="7" width="13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576103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1076</v>
      </c>
      <c r="M3" s="37" t="str">
        <f>VLOOKUP(L3,[1]characters!$A:$C,3,FALSE)</f>
        <v>パレート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VLOOKUP(L3,tables_576103!B:C,2,FALSE)</f>
        <v>PremiumSSS5R3less</v>
      </c>
      <c r="R3" s="62">
        <f t="shared" ref="R3:R20" si="1">N3*A$36</f>
        <v>681600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VLOOKUP(L4,tables_576103!B:C,2,FALSE)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6.3380281690140854E-4</v>
      </c>
      <c r="F5">
        <f>(COUNTIF(tables_576103!C:C,input_576103!A28)+COUNTIF(tables_576103!C:C,input_576103!A29))</f>
        <v>72</v>
      </c>
      <c r="H5" s="83">
        <v>5.0000000000000001E-3</v>
      </c>
      <c r="I5" s="31">
        <v>1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VLOOKUP(L5,tables_576103!B:C,2,FALSE)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5">
        <f>(B10-H6)/(F6-I6)</f>
        <v>9.8437500000000001E-3</v>
      </c>
      <c r="F6">
        <f>(COUNTIF(tables_576103!C:C,input_576103!A25)+COUNTIF(tables_576103!C:C,input_576103!A18)+COUNTIF(tables_576103!C:C,input_576103!A20)+COUNTIF(tables_576103!C:C,input_576103!A22))</f>
        <v>96</v>
      </c>
      <c r="H6" s="87">
        <v>0</v>
      </c>
      <c r="I6" s="31">
        <v>0</v>
      </c>
      <c r="L6" s="89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VLOOKUP(L6,tables_576103!B:C,2,FALSE)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VLOOKUP(L7,tables_576103!B:C,2,FALSE)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5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VLOOKUP(L8,tables_576103!B:C,2,FALSE)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VLOOKUP(L9,tables_576103!B:C,2,FALSE)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0.94499999999999995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VLOOKUP(L10,tables_576103!B:C,2,FALSE)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6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VLOOKUP(L11,tables_576103!B:C,2,FALSE)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5.0000000000000001E-3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VLOOKUP(L12,tables_576103!B:C,2,FALSE)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VLOOKUP(L13,tables_576103!B:C,2,FALSE)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VLOOKUP(L14,tables_576103!B:C,2,FALSE)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VLOOKUP(L15,tables_576103!B:C,2,FALSE)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VLOOKUP(L16,tables_576103!B:C,2,FALSE)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COUNTIF(tables_576103!C:C,input_576103!A17)-COUNTIF(Q:Q,A17)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VLOOKUP(L17,tables_576103!B:C,2,FALSE)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B6-SUM(B20,B22,B25,B27,C27,C31)</f>
        <v>0.24481718750000003</v>
      </c>
      <c r="C18" s="84">
        <f t="shared" si="2"/>
        <v>0</v>
      </c>
      <c r="D18" s="74">
        <f t="shared" si="3"/>
        <v>0.24481718750000003</v>
      </c>
      <c r="E18">
        <f>COUNTIF(tables_576103!C:C,input_576103!A18)-COUNTIF(Q:Q,A18)</f>
        <v>20</v>
      </c>
      <c r="F18" s="43">
        <f>IFERROR(B18/E18,0)</f>
        <v>1.2240859375000001E-2</v>
      </c>
      <c r="G18">
        <f t="shared" si="4"/>
        <v>33373479.000000004</v>
      </c>
      <c r="H18">
        <f t="shared" si="5"/>
        <v>1668673.95</v>
      </c>
      <c r="I18">
        <f t="shared" si="6"/>
        <v>0.94999999995343387</v>
      </c>
      <c r="J18">
        <f t="shared" si="7"/>
        <v>1.0526315789989653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VLOOKUP(L18,tables_576103!B:C,2,FALSE)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COUNTIF(tables_576103!C:C,input_576103!A19)-COUNTIF(Q:Q,A19)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VLOOKUP(L19,tables_576103!B:C,2,FALSE)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E$6*E20*B$6*0.95</f>
        <v>0.46196718749999993</v>
      </c>
      <c r="C20" s="84">
        <f t="shared" si="2"/>
        <v>0</v>
      </c>
      <c r="D20" s="74">
        <f t="shared" si="3"/>
        <v>0.46196718749999993</v>
      </c>
      <c r="E20">
        <f>COUNTIF(tables_576103!C:C,input_576103!A20)-COUNTIF(Q:Q,A20)</f>
        <v>52</v>
      </c>
      <c r="F20" s="43">
        <f t="shared" si="8"/>
        <v>8.8839843749999991E-3</v>
      </c>
      <c r="G20">
        <f t="shared" si="4"/>
        <v>62975366.999999993</v>
      </c>
      <c r="H20">
        <f t="shared" si="5"/>
        <v>1211064.75</v>
      </c>
      <c r="I20">
        <f t="shared" si="6"/>
        <v>0.75</v>
      </c>
      <c r="J20">
        <f t="shared" si="7"/>
        <v>1.3333333333333333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VLOOKUP(L20,tables_576103!B:C,2,FALSE)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B7-B23-B26-B28-B29-B31-C28</f>
        <v>1.0234375000000004E-2</v>
      </c>
      <c r="C21" s="84">
        <f t="shared" si="2"/>
        <v>0</v>
      </c>
      <c r="D21" s="74">
        <f t="shared" si="3"/>
        <v>1.0234375000000004E-2</v>
      </c>
      <c r="E21">
        <f>COUNTIF(tables_576103!C:C,input_576103!A21)-COUNTIF(Q:Q,A21)</f>
        <v>52</v>
      </c>
      <c r="F21" s="43">
        <f t="shared" si="8"/>
        <v>1.9681490384615392E-4</v>
      </c>
      <c r="G21">
        <f t="shared" si="4"/>
        <v>1395150.0000000005</v>
      </c>
      <c r="H21">
        <f t="shared" si="5"/>
        <v>26829.807690000001</v>
      </c>
      <c r="I21">
        <f t="shared" si="6"/>
        <v>0.80769000000145752</v>
      </c>
      <c r="J21">
        <f t="shared" si="7"/>
        <v>1.2380987755180768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90">
        <f>E$6*E22*B$6*0.95</f>
        <v>0.17767968749999999</v>
      </c>
      <c r="C22" s="84">
        <f t="shared" si="2"/>
        <v>0</v>
      </c>
      <c r="D22" s="74">
        <f t="shared" si="3"/>
        <v>0.17767968749999999</v>
      </c>
      <c r="E22">
        <f>COUNTIF(tables_576103!C:C,input_576103!A22)-COUNTIF(Q:Q,A22)</f>
        <v>20</v>
      </c>
      <c r="F22" s="43">
        <f t="shared" si="8"/>
        <v>8.8839843749999991E-3</v>
      </c>
      <c r="G22">
        <f t="shared" si="4"/>
        <v>24221295</v>
      </c>
      <c r="H22">
        <f t="shared" si="5"/>
        <v>1211064.75</v>
      </c>
      <c r="I22">
        <f t="shared" si="6"/>
        <v>0.75</v>
      </c>
      <c r="J22">
        <f t="shared" si="7"/>
        <v>1.3333333333333333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1.2796874999999999E-2</v>
      </c>
      <c r="C23" s="84">
        <f t="shared" si="2"/>
        <v>0</v>
      </c>
      <c r="D23" s="74">
        <f t="shared" si="3"/>
        <v>1.2796874999999999E-2</v>
      </c>
      <c r="E23">
        <f>COUNTIF(tables_576103!C:C,input_576103!A23)-COUNTIF(Q:Q,A23)</f>
        <v>26</v>
      </c>
      <c r="F23" s="43">
        <f t="shared" si="8"/>
        <v>4.921875E-4</v>
      </c>
      <c r="G23">
        <f t="shared" si="4"/>
        <v>1744470</v>
      </c>
      <c r="H23">
        <f t="shared" si="5"/>
        <v>67095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COUNTIF(tables_576103!C:C,input_576103!A24)-COUNTIF(Q:Q,A24)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90">
        <f>E$6*E25*B$6*0.95</f>
        <v>3.5535937499999996E-2</v>
      </c>
      <c r="C25" s="84">
        <f t="shared" si="2"/>
        <v>0</v>
      </c>
      <c r="D25" s="74">
        <f t="shared" si="3"/>
        <v>3.5535937499999996E-2</v>
      </c>
      <c r="E25">
        <f>COUNTIF(tables_576103!C:C,input_576103!A25)-COUNTIF(Q:Q,A25)</f>
        <v>4</v>
      </c>
      <c r="F25" s="43">
        <f t="shared" si="8"/>
        <v>8.8839843749999991E-3</v>
      </c>
      <c r="G25">
        <f t="shared" si="4"/>
        <v>4844258.9999999991</v>
      </c>
      <c r="H25">
        <f t="shared" si="5"/>
        <v>1211064.75</v>
      </c>
      <c r="I25">
        <f t="shared" si="6"/>
        <v>0.75</v>
      </c>
      <c r="J25">
        <f t="shared" si="7"/>
        <v>1.3333333333333333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1.96875E-3</v>
      </c>
      <c r="C26" s="84">
        <f t="shared" si="2"/>
        <v>0</v>
      </c>
      <c r="D26" s="74">
        <f t="shared" si="3"/>
        <v>1.96875E-3</v>
      </c>
      <c r="E26">
        <f>COUNTIF(tables_576103!C:C,input_576103!A26)-COUNTIF(Q:Q,A26)</f>
        <v>4</v>
      </c>
      <c r="F26" s="43">
        <f t="shared" si="8"/>
        <v>4.921875E-4</v>
      </c>
      <c r="G26">
        <f t="shared" si="4"/>
        <v>268380</v>
      </c>
      <c r="H26">
        <f t="shared" si="5"/>
        <v>67095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B11-B28-B29-C28-C27</f>
        <v>2.5000000000000001E-2</v>
      </c>
      <c r="C27" s="84">
        <f t="shared" si="2"/>
        <v>0</v>
      </c>
      <c r="D27" s="74">
        <f t="shared" si="3"/>
        <v>2.5000000000000001E-2</v>
      </c>
      <c r="E27">
        <f>COUNTIF(tables_576103!C:C,input_576103!A27)-COUNTIF(Q:Q,A27)</f>
        <v>28</v>
      </c>
      <c r="F27" s="43">
        <f>IFERROR(B27/E27,0)</f>
        <v>8.9285714285714294E-4</v>
      </c>
      <c r="G27">
        <f t="shared" si="4"/>
        <v>3408000</v>
      </c>
      <c r="H27">
        <f t="shared" si="5"/>
        <v>121714.28571</v>
      </c>
      <c r="I27">
        <f t="shared" si="6"/>
        <v>0.28570999999647029</v>
      </c>
      <c r="J27">
        <f t="shared" si="7"/>
        <v>3.5000525008307521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B11/2*E28/(SUM(E28:E29))</f>
        <v>9.7222222222222224E-3</v>
      </c>
      <c r="C28" s="84">
        <f t="shared" si="2"/>
        <v>0</v>
      </c>
      <c r="D28" s="74">
        <f t="shared" si="3"/>
        <v>9.7222222222222224E-3</v>
      </c>
      <c r="E28">
        <f>COUNTIF(tables_576103!C:C,input_576103!A28)-COUNTIF(Q:Q,A28)</f>
        <v>28</v>
      </c>
      <c r="F28" s="43">
        <f t="shared" si="8"/>
        <v>3.4722222222222224E-4</v>
      </c>
      <c r="G28">
        <f t="shared" si="4"/>
        <v>1325333.3333333333</v>
      </c>
      <c r="H28">
        <f t="shared" si="5"/>
        <v>47333.333330000001</v>
      </c>
      <c r="I28">
        <f t="shared" si="6"/>
        <v>0.33333000000129687</v>
      </c>
      <c r="J28">
        <f t="shared" si="7"/>
        <v>3.0000300002883309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B11/2*E29/(SUM(E28:E29))</f>
        <v>1.5277777777777779E-2</v>
      </c>
      <c r="C29" s="84">
        <f t="shared" si="2"/>
        <v>0</v>
      </c>
      <c r="D29" s="74">
        <f t="shared" si="3"/>
        <v>1.5277777777777779E-2</v>
      </c>
      <c r="E29">
        <f>COUNTIF(tables_576103!C:C,input_576103!A29)-COUNTIF(Q:Q,A29)</f>
        <v>44</v>
      </c>
      <c r="F29" s="43">
        <f t="shared" si="8"/>
        <v>3.4722222222222224E-4</v>
      </c>
      <c r="G29">
        <f t="shared" si="4"/>
        <v>2082666.6666666667</v>
      </c>
      <c r="H29">
        <f t="shared" si="5"/>
        <v>47333.333330000001</v>
      </c>
      <c r="I29">
        <f t="shared" si="6"/>
        <v>0.33333000000129687</v>
      </c>
      <c r="J29">
        <f t="shared" si="7"/>
        <v>3.0000300002883309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v>0</v>
      </c>
      <c r="C30" s="84">
        <f t="shared" si="2"/>
        <v>0</v>
      </c>
      <c r="D30" s="74">
        <f t="shared" si="3"/>
        <v>0</v>
      </c>
      <c r="E30">
        <f>COUNTIF(tables_576103!C:C,input_576103!A30)-COUNTIF(Q:Q,A30)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5.0000000000000001E-3</v>
      </c>
      <c r="D31" s="74">
        <f t="shared" si="3"/>
        <v>-5.0000000000000001E-3</v>
      </c>
      <c r="E31">
        <f>COUNTIF(tables_576103!C:C,input_576103!A31)-COUNTIF(Q:Q,A31)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0.99499999999999988</v>
      </c>
      <c r="C32" s="41">
        <f>SUM(C19:C31)</f>
        <v>5.0000000000000001E-3</v>
      </c>
      <c r="D32" s="42">
        <f t="shared" si="3"/>
        <v>0.98999999999999988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136320000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SUMIF(tables_576103!C:C,input_576103!A40,tables_576103!O:O)</f>
        <v>0</v>
      </c>
      <c r="C40" s="54">
        <f t="shared" ref="C40:C46" ca="1" si="9">B40/B$47</f>
        <v>0</v>
      </c>
      <c r="E40">
        <v>3</v>
      </c>
      <c r="F40">
        <f ca="1">SUMIF(tables_576103!J:J,input_576103!E40,tables_576103!O:O)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SUMIF(tables_576103!C:C,input_576103!A41,tables_576103!O:O)</f>
        <v>62975367</v>
      </c>
      <c r="C41" s="54">
        <f t="shared" ca="1" si="9"/>
        <v>0.91131487893268093</v>
      </c>
      <c r="E41">
        <v>4</v>
      </c>
      <c r="F41">
        <f ca="1">SUMIF(tables_576103!J:J,input_576103!E41,tables_576103!O:O)</f>
        <v>128822399.99988018</v>
      </c>
      <c r="G41" s="96">
        <f ca="1">F41/A36</f>
        <v>0.94499999999912099</v>
      </c>
    </row>
    <row r="42" spans="1:7" x14ac:dyDescent="0.15">
      <c r="A42" s="33" t="s">
        <v>106</v>
      </c>
      <c r="B42">
        <f ca="1">SUMIF(tables_576103!C:C,input_576103!A42,tables_576103!O:O)</f>
        <v>3407999.9998799996</v>
      </c>
      <c r="C42" s="54">
        <f t="shared" ca="1" si="9"/>
        <v>4.9317078331488219E-2</v>
      </c>
      <c r="E42">
        <v>5</v>
      </c>
      <c r="F42">
        <f ca="1">SUMIF(tables_576103!J:J,input_576103!E42,tables_576103!O:O)</f>
        <v>7497599.9996399926</v>
      </c>
      <c r="G42" s="96">
        <f ca="1">F42/A36</f>
        <v>5.4999999997359099E-2</v>
      </c>
    </row>
    <row r="43" spans="1:7" x14ac:dyDescent="0.15">
      <c r="A43" s="33" t="s">
        <v>109</v>
      </c>
      <c r="B43">
        <f>SUMIF(tables_576103!C:C,input_576103!A43,tables_576103!O:O)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SUMIF(tables_576103!C:C,input_576103!A44,tables_576103!O:O)</f>
        <v>1395149.9998799998</v>
      </c>
      <c r="C44" s="54">
        <f t="shared" ca="1" si="9"/>
        <v>2.0189178940927359E-2</v>
      </c>
      <c r="E44" t="s">
        <v>54</v>
      </c>
      <c r="F44" s="55"/>
    </row>
    <row r="45" spans="1:7" x14ac:dyDescent="0.15">
      <c r="A45" s="33" t="s">
        <v>107</v>
      </c>
      <c r="B45">
        <f ca="1">SUMIF(tables_576103!C:C,input_576103!A45,tables_576103!O:O)</f>
        <v>1325333.3332400008</v>
      </c>
      <c r="C45" s="54">
        <f t="shared" ca="1" si="9"/>
        <v>1.9178863794903453E-2</v>
      </c>
      <c r="E45" t="s">
        <v>204</v>
      </c>
      <c r="F45" s="55">
        <f ca="1">SUMIF(tables_576103!I:I,input_576103!E45,tables_576103!P:P)</f>
        <v>0.24777031250087175</v>
      </c>
    </row>
    <row r="46" spans="1:7" x14ac:dyDescent="0.15">
      <c r="A46" s="33" t="s">
        <v>108</v>
      </c>
      <c r="B46">
        <f>SUMIF(tables_576103!C:C,input_576103!A46,tables_576103!O:O)</f>
        <v>0</v>
      </c>
      <c r="C46" s="54">
        <f t="shared" ca="1" si="9"/>
        <v>0</v>
      </c>
      <c r="E46" t="s">
        <v>205</v>
      </c>
      <c r="F46" s="55">
        <f ca="1">SUMIF(tables_576103!I:I,input_576103!E46,tables_576103!P:P)</f>
        <v>0.18250210336573877</v>
      </c>
    </row>
    <row r="47" spans="1:7" x14ac:dyDescent="0.15">
      <c r="A47" s="39" t="s">
        <v>59</v>
      </c>
      <c r="B47">
        <f ca="1">SUM(B40:B46)</f>
        <v>69103850.333000004</v>
      </c>
      <c r="C47" s="55">
        <f ca="1">SUM(C40:C46)</f>
        <v>0.99999999999999989</v>
      </c>
      <c r="E47" t="s">
        <v>206</v>
      </c>
      <c r="F47" s="55">
        <f ca="1">SUMIF(tables_576103!I:I,input_576103!E47,tables_576103!P:P)</f>
        <v>0.51472758413583342</v>
      </c>
    </row>
    <row r="48" spans="1:7" x14ac:dyDescent="0.15">
      <c r="E48" t="s">
        <v>207</v>
      </c>
      <c r="F48" s="55">
        <f ca="1">SUMIF(tables_576103!I:I,input_576103!E48,tables_576103!P:P)</f>
        <v>4.6874999997744082E-2</v>
      </c>
      <c r="G48" s="55"/>
    </row>
    <row r="49" spans="5:6" x14ac:dyDescent="0.15">
      <c r="E49" t="s">
        <v>246</v>
      </c>
      <c r="F49" s="55">
        <f ca="1">SUMIF(tables_576103!I:I,input_576103!E49,tables_576103!P:P)</f>
        <v>3.1249999997909222E-3</v>
      </c>
    </row>
    <row r="50" spans="5:6" x14ac:dyDescent="0.15">
      <c r="E50" t="s">
        <v>251</v>
      </c>
      <c r="F50" s="55">
        <f ca="1">SUMIF(tables_576103!I:I,input_576103!E50,tables_576103!P:P)</f>
        <v>5.0000000000175893E-3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6"/>
  <sheetViews>
    <sheetView showGridLines="0" zoomScale="75" zoomScaleNormal="75" zoomScalePageLayoutView="75" workbookViewId="0">
      <pane ySplit="1" topLeftCell="A314" activePane="bottomLeft" state="frozen"/>
      <selection activeCell="D34" sqref="D34"/>
      <selection pane="bottomLeft" activeCell="B356" sqref="B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input_576103!A$2</f>
        <v>576103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IFERROR(VLOOKUP(B2,input_576103!L:R,7,FALSE),VLOOKUP(tables_576103!C2,input_576103!A:H,8,FALSE))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input_576103!A$2</f>
        <v>576103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IFERROR(VLOOKUP(B3,input_576103!L:R,7,FALSE),VLOOKUP(tables_576103!C3,input_576103!A:H,8,FALSE))</f>
        <v>1668673.95</v>
      </c>
      <c r="P3" s="46">
        <f t="shared" ca="1" si="1"/>
        <v>1.2240859375043061E-2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input_576103!A$2</f>
        <v>576103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IFERROR(VLOOKUP(B4,input_576103!L:R,7,FALSE),VLOOKUP(tables_576103!C4,input_576103!A:H,8,FALSE))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input_576103!A$2</f>
        <v>576103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IFERROR(VLOOKUP(B5,input_576103!L:R,7,FALSE),VLOOKUP(tables_576103!C5,input_576103!A:H,8,FALSE))</f>
        <v>1668673.95</v>
      </c>
      <c r="P5" s="46">
        <f t="shared" ca="1" si="1"/>
        <v>1.2240859375043061E-2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input_576103!A$2</f>
        <v>576103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IFERROR(VLOOKUP(B6,input_576103!L:R,7,FALSE),VLOOKUP(tables_576103!C6,input_576103!A:H,8,FALSE))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input_576103!A$2</f>
        <v>576103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IFERROR(VLOOKUP(B7,input_576103!L:R,7,FALSE),VLOOKUP(tables_576103!C7,input_576103!A:H,8,FALSE))</f>
        <v>1668673.95</v>
      </c>
      <c r="P7" s="46">
        <f t="shared" ca="1" si="1"/>
        <v>1.2240859375043061E-2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input_576103!A$2</f>
        <v>576103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IFERROR(VLOOKUP(B8,input_576103!L:R,7,FALSE),VLOOKUP(tables_576103!C8,input_576103!A:H,8,FALSE))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input_576103!A$2</f>
        <v>576103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IFERROR(VLOOKUP(B9,input_576103!L:R,7,FALSE),VLOOKUP(tables_576103!C9,input_576103!A:H,8,FALSE))</f>
        <v>1668673.95</v>
      </c>
      <c r="P9" s="46">
        <f t="shared" ca="1" si="1"/>
        <v>1.2240859375043061E-2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input_576103!A$2</f>
        <v>576103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IFERROR(VLOOKUP(B10,input_576103!L:R,7,FALSE),VLOOKUP(tables_576103!C10,input_576103!A:H,8,FALSE))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input_576103!A$2</f>
        <v>576103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IFERROR(VLOOKUP(B11,input_576103!L:R,7,FALSE),VLOOKUP(tables_576103!C11,input_576103!A:H,8,FALSE))</f>
        <v>1668673.95</v>
      </c>
      <c r="P11" s="46">
        <f t="shared" ca="1" si="1"/>
        <v>1.2240859375043061E-2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input_576103!A$2</f>
        <v>576103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IFERROR(VLOOKUP(B12,input_576103!L:R,7,FALSE),VLOOKUP(tables_576103!C12,input_576103!A:H,8,FALSE))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input_576103!A$2</f>
        <v>576103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IFERROR(VLOOKUP(B13,input_576103!L:R,7,FALSE),VLOOKUP(tables_576103!C13,input_576103!A:H,8,FALSE))</f>
        <v>1668673.95</v>
      </c>
      <c r="P13" s="46">
        <f t="shared" ca="1" si="1"/>
        <v>1.2240859375043061E-2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input_576103!A$2</f>
        <v>576103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IFERROR(VLOOKUP(B14,input_576103!L:R,7,FALSE),VLOOKUP(tables_576103!C14,input_576103!A:H,8,FALSE))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input_576103!A$2</f>
        <v>576103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IFERROR(VLOOKUP(B15,input_576103!L:R,7,FALSE),VLOOKUP(tables_576103!C15,input_576103!A:H,8,FALSE))</f>
        <v>1668673.95</v>
      </c>
      <c r="P15" s="46">
        <f t="shared" ca="1" si="1"/>
        <v>1.2240859375043061E-2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input_576103!A$2</f>
        <v>576103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IFERROR(VLOOKUP(B16,input_576103!L:R,7,FALSE),VLOOKUP(tables_576103!C16,input_576103!A:H,8,FALSE))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input_576103!A$2</f>
        <v>576103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IFERROR(VLOOKUP(B17,input_576103!L:R,7,FALSE),VLOOKUP(tables_576103!C17,input_576103!A:H,8,FALSE))</f>
        <v>1668673.95</v>
      </c>
      <c r="P17" s="46">
        <f t="shared" ca="1" si="1"/>
        <v>1.2240859375043061E-2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input_576103!A$2</f>
        <v>576103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IFERROR(VLOOKUP(B18,input_576103!L:R,7,FALSE),VLOOKUP(tables_576103!C18,input_576103!A:H,8,FALSE))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input_576103!A$2</f>
        <v>576103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IFERROR(VLOOKUP(B19,input_576103!L:R,7,FALSE),VLOOKUP(tables_576103!C19,input_576103!A:H,8,FALSE))</f>
        <v>1668673.95</v>
      </c>
      <c r="P19" s="46">
        <f t="shared" ca="1" si="1"/>
        <v>1.2240859375043061E-2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input_576103!A$2</f>
        <v>576103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IFERROR(VLOOKUP(B20,input_576103!L:R,7,FALSE),VLOOKUP(tables_576103!C20,input_576103!A:H,8,FALSE))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input_576103!A$2</f>
        <v>576103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IFERROR(VLOOKUP(B21,input_576103!L:R,7,FALSE),VLOOKUP(tables_576103!C21,input_576103!A:H,8,FALSE))</f>
        <v>1668673.95</v>
      </c>
      <c r="P21" s="46">
        <f t="shared" ca="1" si="1"/>
        <v>1.2240859375043061E-2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input_576103!A$2</f>
        <v>576103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IFERROR(VLOOKUP(B22,input_576103!L:R,7,FALSE),VLOOKUP(tables_576103!C22,input_576103!A:H,8,FALSE))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input_576103!A$2</f>
        <v>576103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IFERROR(VLOOKUP(B23,input_576103!L:R,7,FALSE),VLOOKUP(tables_576103!C23,input_576103!A:H,8,FALSE))</f>
        <v>1668673.95</v>
      </c>
      <c r="P23" s="46">
        <f t="shared" ca="1" si="1"/>
        <v>1.2240859375043061E-2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input_576103!A$2</f>
        <v>576103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IFERROR(VLOOKUP(B24,input_576103!L:R,7,FALSE),VLOOKUP(tables_576103!C24,input_576103!A:H,8,FALSE))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input_576103!A$2</f>
        <v>576103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IFERROR(VLOOKUP(B25,input_576103!L:R,7,FALSE),VLOOKUP(tables_576103!C25,input_576103!A:H,8,FALSE))</f>
        <v>1668673.95</v>
      </c>
      <c r="P25" s="46">
        <f t="shared" ca="1" si="1"/>
        <v>1.2240859375043061E-2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input_576103!A$2</f>
        <v>576103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IFERROR(VLOOKUP(B26,input_576103!L:R,7,FALSE),VLOOKUP(tables_576103!C26,input_576103!A:H,8,FALSE))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input_576103!A$2</f>
        <v>576103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IFERROR(VLOOKUP(B27,input_576103!L:R,7,FALSE),VLOOKUP(tables_576103!C27,input_576103!A:H,8,FALSE))</f>
        <v>1668673.95</v>
      </c>
      <c r="P27" s="46">
        <f t="shared" ca="1" si="1"/>
        <v>1.2240859375043061E-2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input_576103!A$2</f>
        <v>576103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IFERROR(VLOOKUP(B28,input_576103!L:R,7,FALSE),VLOOKUP(tables_576103!C28,input_576103!A:H,8,FALSE))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input_576103!A$2</f>
        <v>576103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IFERROR(VLOOKUP(B29,input_576103!L:R,7,FALSE),VLOOKUP(tables_576103!C29,input_576103!A:H,8,FALSE))</f>
        <v>1668673.95</v>
      </c>
      <c r="P29" s="46">
        <f t="shared" ca="1" si="1"/>
        <v>1.2240859375043061E-2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input_576103!A$2</f>
        <v>576103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IFERROR(VLOOKUP(B30,input_576103!L:R,7,FALSE),VLOOKUP(tables_576103!C30,input_576103!A:H,8,FALSE))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input_576103!A$2</f>
        <v>576103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IFERROR(VLOOKUP(B31,input_576103!L:R,7,FALSE),VLOOKUP(tables_576103!C31,input_576103!A:H,8,FALSE))</f>
        <v>1668673.95</v>
      </c>
      <c r="P31" s="46">
        <f t="shared" ca="1" si="1"/>
        <v>1.2240859375043061E-2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input_576103!A$2</f>
        <v>576103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IFERROR(VLOOKUP(B32,input_576103!L:R,7,FALSE),VLOOKUP(tables_576103!C32,input_576103!A:H,8,FALSE))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input_576103!A$2</f>
        <v>576103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IFERROR(VLOOKUP(B33,input_576103!L:R,7,FALSE),VLOOKUP(tables_576103!C33,input_576103!A:H,8,FALSE))</f>
        <v>1668673.95</v>
      </c>
      <c r="P33" s="46">
        <f t="shared" ca="1" si="1"/>
        <v>1.2240859375043061E-2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input_576103!A$2</f>
        <v>576103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IFERROR(VLOOKUP(B34,input_576103!L:R,7,FALSE),VLOOKUP(tables_576103!C34,input_576103!A:H,8,FALSE))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input_576103!A$2</f>
        <v>576103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IFERROR(VLOOKUP(B35,input_576103!L:R,7,FALSE),VLOOKUP(tables_576103!C35,input_576103!A:H,8,FALSE))</f>
        <v>1668673.95</v>
      </c>
      <c r="P35" s="46">
        <f t="shared" ca="1" si="1"/>
        <v>1.2240859375043061E-2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input_576103!A$2</f>
        <v>576103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IFERROR(VLOOKUP(B36,input_576103!L:R,7,FALSE),VLOOKUP(tables_576103!C36,input_576103!A:H,8,FALSE))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input_576103!A$2</f>
        <v>576103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IFERROR(VLOOKUP(B37,input_576103!L:R,7,FALSE),VLOOKUP(tables_576103!C37,input_576103!A:H,8,FALSE))</f>
        <v>1668673.95</v>
      </c>
      <c r="P37" s="46">
        <f t="shared" ca="1" si="1"/>
        <v>1.2240859375043061E-2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input_576103!A$2</f>
        <v>576103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IFERROR(VLOOKUP(B38,input_576103!L:R,7,FALSE),VLOOKUP(tables_576103!C38,input_576103!A:H,8,FALSE))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input_576103!A$2</f>
        <v>576103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IFERROR(VLOOKUP(B39,input_576103!L:R,7,FALSE),VLOOKUP(tables_576103!C39,input_576103!A:H,8,FALSE))</f>
        <v>1668673.95</v>
      </c>
      <c r="P39" s="46">
        <f t="shared" ca="1" si="1"/>
        <v>1.2240859375043061E-2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input_576103!A$2</f>
        <v>576103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IFERROR(VLOOKUP(B40,input_576103!L:R,7,FALSE),VLOOKUP(tables_576103!C40,input_576103!A:H,8,FALSE))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input_576103!A$2</f>
        <v>576103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IFERROR(VLOOKUP(B41,input_576103!L:R,7,FALSE),VLOOKUP(tables_576103!C41,input_576103!A:H,8,FALSE))</f>
        <v>1668673.95</v>
      </c>
      <c r="P41" s="46">
        <f t="shared" ca="1" si="1"/>
        <v>1.2240859375043061E-2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input_576103!A$2</f>
        <v>576103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IFERROR(VLOOKUP(B42,input_576103!L:R,7,FALSE),VLOOKUP(tables_576103!C42,input_576103!A:H,8,FALSE))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input_576103!A$2</f>
        <v>576103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IFERROR(VLOOKUP(B43,input_576103!L:R,7,FALSE),VLOOKUP(tables_576103!C43,input_576103!A:H,8,FALSE))</f>
        <v>1211064.75</v>
      </c>
      <c r="P43" s="46">
        <f t="shared" ca="1" si="1"/>
        <v>8.8839843750312519E-3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input_576103!A$2</f>
        <v>576103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IFERROR(VLOOKUP(B44,input_576103!L:R,7,FALSE),VLOOKUP(tables_576103!C44,input_576103!A:H,8,FALSE))</f>
        <v>67095</v>
      </c>
      <c r="P44" s="46">
        <f t="shared" ca="1" si="1"/>
        <v>4.9218750000173147E-4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input_576103!A$2</f>
        <v>576103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IFERROR(VLOOKUP(B45,input_576103!L:R,7,FALSE),VLOOKUP(tables_576103!C45,input_576103!A:H,8,FALSE))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input_576103!A$2</f>
        <v>576103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IFERROR(VLOOKUP(B46,input_576103!L:R,7,FALSE),VLOOKUP(tables_576103!C46,input_576103!A:H,8,FALSE))</f>
        <v>1211064.75</v>
      </c>
      <c r="P46" s="46">
        <f t="shared" ca="1" si="1"/>
        <v>8.8839843750312519E-3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input_576103!A$2</f>
        <v>576103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IFERROR(VLOOKUP(B47,input_576103!L:R,7,FALSE),VLOOKUP(tables_576103!C47,input_576103!A:H,8,FALSE))</f>
        <v>67095</v>
      </c>
      <c r="P47" s="46">
        <f t="shared" ca="1" si="1"/>
        <v>4.9218750000173147E-4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input_576103!A$2</f>
        <v>576103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IFERROR(VLOOKUP(B48,input_576103!L:R,7,FALSE),VLOOKUP(tables_576103!C48,input_576103!A:H,8,FALSE))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input_576103!A$2</f>
        <v>576103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IFERROR(VLOOKUP(B49,input_576103!L:R,7,FALSE),VLOOKUP(tables_576103!C49,input_576103!A:H,8,FALSE))</f>
        <v>1211064.75</v>
      </c>
      <c r="P49" s="46">
        <f t="shared" ca="1" si="1"/>
        <v>8.8839843750312519E-3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input_576103!A$2</f>
        <v>576103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IFERROR(VLOOKUP(B50,input_576103!L:R,7,FALSE),VLOOKUP(tables_576103!C50,input_576103!A:H,8,FALSE))</f>
        <v>67095</v>
      </c>
      <c r="P50" s="46">
        <f t="shared" ca="1" si="1"/>
        <v>4.9218750000173147E-4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input_576103!A$2</f>
        <v>576103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IFERROR(VLOOKUP(B51,input_576103!L:R,7,FALSE),VLOOKUP(tables_576103!C51,input_576103!A:H,8,FALSE))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input_576103!A$2</f>
        <v>576103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IFERROR(VLOOKUP(B52,input_576103!L:R,7,FALSE),VLOOKUP(tables_576103!C52,input_576103!A:H,8,FALSE))</f>
        <v>1211064.75</v>
      </c>
      <c r="P52" s="46">
        <f t="shared" ca="1" si="1"/>
        <v>8.8839843750312519E-3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input_576103!A$2</f>
        <v>576103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IFERROR(VLOOKUP(B53,input_576103!L:R,7,FALSE),VLOOKUP(tables_576103!C53,input_576103!A:H,8,FALSE))</f>
        <v>26829.807690000001</v>
      </c>
      <c r="P53" s="46">
        <f t="shared" ca="1" si="1"/>
        <v>1.9681490382991772E-4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input_576103!A$2</f>
        <v>576103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IFERROR(VLOOKUP(B54,input_576103!L:R,7,FALSE),VLOOKUP(tables_576103!C54,input_576103!A:H,8,FALSE))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input_576103!A$2</f>
        <v>576103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IFERROR(VLOOKUP(B55,input_576103!L:R,7,FALSE),VLOOKUP(tables_576103!C55,input_576103!A:H,8,FALSE))</f>
        <v>1211064.75</v>
      </c>
      <c r="P55" s="46">
        <f t="shared" ca="1" si="1"/>
        <v>8.8839843750312519E-3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input_576103!A$2</f>
        <v>576103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IFERROR(VLOOKUP(B56,input_576103!L:R,7,FALSE),VLOOKUP(tables_576103!C56,input_576103!A:H,8,FALSE))</f>
        <v>26829.807690000001</v>
      </c>
      <c r="P56" s="46">
        <f t="shared" ca="1" si="1"/>
        <v>1.9681490382991772E-4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input_576103!A$2</f>
        <v>576103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IFERROR(VLOOKUP(B57,input_576103!L:R,7,FALSE),VLOOKUP(tables_576103!C57,input_576103!A:H,8,FALSE))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input_576103!A$2</f>
        <v>576103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IFERROR(VLOOKUP(B58,input_576103!L:R,7,FALSE),VLOOKUP(tables_576103!C58,input_576103!A:H,8,FALSE))</f>
        <v>1211064.75</v>
      </c>
      <c r="P58" s="46">
        <f t="shared" ca="1" si="1"/>
        <v>8.8839843750312519E-3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input_576103!A$2</f>
        <v>576103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IFERROR(VLOOKUP(B59,input_576103!L:R,7,FALSE),VLOOKUP(tables_576103!C59,input_576103!A:H,8,FALSE))</f>
        <v>26829.807690000001</v>
      </c>
      <c r="P59" s="46">
        <f t="shared" ca="1" si="1"/>
        <v>1.9681490382991772E-4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input_576103!A$2</f>
        <v>576103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IFERROR(VLOOKUP(B60,input_576103!L:R,7,FALSE),VLOOKUP(tables_576103!C60,input_576103!A:H,8,FALSE))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input_576103!A$2</f>
        <v>576103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IFERROR(VLOOKUP(B61,input_576103!L:R,7,FALSE),VLOOKUP(tables_576103!C61,input_576103!A:H,8,FALSE))</f>
        <v>1211064.75</v>
      </c>
      <c r="P61" s="46">
        <f t="shared" ca="1" si="1"/>
        <v>8.8839843750312519E-3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input_576103!A$2</f>
        <v>576103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IFERROR(VLOOKUP(B62,input_576103!L:R,7,FALSE),VLOOKUP(tables_576103!C62,input_576103!A:H,8,FALSE))</f>
        <v>26829.807690000001</v>
      </c>
      <c r="P62" s="46">
        <f t="shared" ca="1" si="1"/>
        <v>1.9681490382991772E-4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input_576103!A$2</f>
        <v>576103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IFERROR(VLOOKUP(B63,input_576103!L:R,7,FALSE),VLOOKUP(tables_576103!C63,input_576103!A:H,8,FALSE))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input_576103!A$2</f>
        <v>576103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IFERROR(VLOOKUP(B64,input_576103!L:R,7,FALSE),VLOOKUP(tables_576103!C64,input_576103!A:H,8,FALSE))</f>
        <v>1211064.75</v>
      </c>
      <c r="P64" s="46">
        <f t="shared" ca="1" si="1"/>
        <v>8.8839843750312519E-3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input_576103!A$2</f>
        <v>576103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IFERROR(VLOOKUP(B65,input_576103!L:R,7,FALSE),VLOOKUP(tables_576103!C65,input_576103!A:H,8,FALSE))</f>
        <v>26829.807690000001</v>
      </c>
      <c r="P65" s="46">
        <f t="shared" ca="1" si="1"/>
        <v>1.9681490382991772E-4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input_576103!A$2</f>
        <v>576103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IFERROR(VLOOKUP(B66,input_576103!L:R,7,FALSE),VLOOKUP(tables_576103!C66,input_576103!A:H,8,FALSE))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input_576103!A$2</f>
        <v>576103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IFERROR(VLOOKUP(B67,input_576103!L:R,7,FALSE),VLOOKUP(tables_576103!C67,input_576103!A:H,8,FALSE))</f>
        <v>1211064.75</v>
      </c>
      <c r="P67" s="46">
        <f t="shared" ca="1" si="4"/>
        <v>8.8839843750312519E-3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input_576103!A$2</f>
        <v>576103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IFERROR(VLOOKUP(B68,input_576103!L:R,7,FALSE),VLOOKUP(tables_576103!C68,input_576103!A:H,8,FALSE))</f>
        <v>26829.807690000001</v>
      </c>
      <c r="P68" s="46">
        <f t="shared" ca="1" si="4"/>
        <v>1.9681490382991772E-4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input_576103!A$2</f>
        <v>576103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IFERROR(VLOOKUP(B69,input_576103!L:R,7,FALSE),VLOOKUP(tables_576103!C69,input_576103!A:H,8,FALSE))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input_576103!A$2</f>
        <v>576103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IFERROR(VLOOKUP(B70,input_576103!L:R,7,FALSE),VLOOKUP(tables_576103!C70,input_576103!A:H,8,FALSE))</f>
        <v>1211064.75</v>
      </c>
      <c r="P70" s="46">
        <f t="shared" ca="1" si="4"/>
        <v>8.8839843750312519E-3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input_576103!A$2</f>
        <v>576103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IFERROR(VLOOKUP(B71,input_576103!L:R,7,FALSE),VLOOKUP(tables_576103!C71,input_576103!A:H,8,FALSE))</f>
        <v>26829.807690000001</v>
      </c>
      <c r="P71" s="46">
        <f t="shared" ca="1" si="4"/>
        <v>1.9681490382991772E-4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input_576103!A$2</f>
        <v>576103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IFERROR(VLOOKUP(B72,input_576103!L:R,7,FALSE),VLOOKUP(tables_576103!C72,input_576103!A:H,8,FALSE))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input_576103!A$2</f>
        <v>576103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IFERROR(VLOOKUP(B73,input_576103!L:R,7,FALSE),VLOOKUP(tables_576103!C73,input_576103!A:H,8,FALSE))</f>
        <v>1211064.75</v>
      </c>
      <c r="P73" s="46">
        <f t="shared" ca="1" si="4"/>
        <v>8.8839843750312519E-3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input_576103!A$2</f>
        <v>576103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IFERROR(VLOOKUP(B74,input_576103!L:R,7,FALSE),VLOOKUP(tables_576103!C74,input_576103!A:H,8,FALSE))</f>
        <v>26829.807690000001</v>
      </c>
      <c r="P74" s="46">
        <f t="shared" ca="1" si="4"/>
        <v>1.9681490382991772E-4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input_576103!A$2</f>
        <v>576103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IFERROR(VLOOKUP(B75,input_576103!L:R,7,FALSE),VLOOKUP(tables_576103!C75,input_576103!A:H,8,FALSE))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input_576103!A$2</f>
        <v>576103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IFERROR(VLOOKUP(B76,input_576103!L:R,7,FALSE),VLOOKUP(tables_576103!C76,input_576103!A:H,8,FALSE))</f>
        <v>1211064.75</v>
      </c>
      <c r="P76" s="46">
        <f t="shared" ca="1" si="4"/>
        <v>8.8839843750312519E-3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input_576103!A$2</f>
        <v>576103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IFERROR(VLOOKUP(B77,input_576103!L:R,7,FALSE),VLOOKUP(tables_576103!C77,input_576103!A:H,8,FALSE))</f>
        <v>26829.807690000001</v>
      </c>
      <c r="P77" s="46">
        <f t="shared" ca="1" si="4"/>
        <v>1.9681490382991772E-4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input_576103!A$2</f>
        <v>576103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IFERROR(VLOOKUP(B78,input_576103!L:R,7,FALSE),VLOOKUP(tables_576103!C78,input_576103!A:H,8,FALSE))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input_576103!A$2</f>
        <v>576103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IFERROR(VLOOKUP(B79,input_576103!L:R,7,FALSE),VLOOKUP(tables_576103!C79,input_576103!A:H,8,FALSE))</f>
        <v>1211064.75</v>
      </c>
      <c r="P79" s="46">
        <f t="shared" ca="1" si="4"/>
        <v>8.8839843750312519E-3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input_576103!A$2</f>
        <v>576103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IFERROR(VLOOKUP(B80,input_576103!L:R,7,FALSE),VLOOKUP(tables_576103!C80,input_576103!A:H,8,FALSE))</f>
        <v>26829.807690000001</v>
      </c>
      <c r="P80" s="46">
        <f t="shared" ca="1" si="4"/>
        <v>1.9681490382991772E-4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input_576103!A$2</f>
        <v>576103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IFERROR(VLOOKUP(B81,input_576103!L:R,7,FALSE),VLOOKUP(tables_576103!C81,input_576103!A:H,8,FALSE))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input_576103!A$2</f>
        <v>576103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IFERROR(VLOOKUP(B82,input_576103!L:R,7,FALSE),VLOOKUP(tables_576103!C82,input_576103!A:H,8,FALSE))</f>
        <v>1211064.75</v>
      </c>
      <c r="P82" s="46">
        <f t="shared" ca="1" si="4"/>
        <v>8.8839843750312519E-3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input_576103!A$2</f>
        <v>576103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IFERROR(VLOOKUP(B83,input_576103!L:R,7,FALSE),VLOOKUP(tables_576103!C83,input_576103!A:H,8,FALSE))</f>
        <v>26829.807690000001</v>
      </c>
      <c r="P83" s="46">
        <f t="shared" ca="1" si="4"/>
        <v>1.9681490382991772E-4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input_576103!A$2</f>
        <v>576103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IFERROR(VLOOKUP(B84,input_576103!L:R,7,FALSE),VLOOKUP(tables_576103!C84,input_576103!A:H,8,FALSE))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input_576103!A$2</f>
        <v>576103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IFERROR(VLOOKUP(B85,input_576103!L:R,7,FALSE),VLOOKUP(tables_576103!C85,input_576103!A:H,8,FALSE))</f>
        <v>1211064.75</v>
      </c>
      <c r="P85" s="46">
        <f t="shared" ca="1" si="4"/>
        <v>8.8839843750312519E-3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input_576103!A$2</f>
        <v>576103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IFERROR(VLOOKUP(B86,input_576103!L:R,7,FALSE),VLOOKUP(tables_576103!C86,input_576103!A:H,8,FALSE))</f>
        <v>26829.807690000001</v>
      </c>
      <c r="P86" s="46">
        <f t="shared" ca="1" si="4"/>
        <v>1.9681490382991772E-4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input_576103!A$2</f>
        <v>576103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IFERROR(VLOOKUP(B87,input_576103!L:R,7,FALSE),VLOOKUP(tables_576103!C87,input_576103!A:H,8,FALSE))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input_576103!A$2</f>
        <v>576103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IFERROR(VLOOKUP(B88,input_576103!L:R,7,FALSE),VLOOKUP(tables_576103!C88,input_576103!A:H,8,FALSE))</f>
        <v>1211064.75</v>
      </c>
      <c r="P88" s="46">
        <f t="shared" ca="1" si="4"/>
        <v>8.8839843750312519E-3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input_576103!A$2</f>
        <v>576103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IFERROR(VLOOKUP(B89,input_576103!L:R,7,FALSE),VLOOKUP(tables_576103!C89,input_576103!A:H,8,FALSE))</f>
        <v>26829.807690000001</v>
      </c>
      <c r="P89" s="46">
        <f t="shared" ca="1" si="4"/>
        <v>1.9681490382991772E-4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input_576103!A$2</f>
        <v>576103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IFERROR(VLOOKUP(B90,input_576103!L:R,7,FALSE),VLOOKUP(tables_576103!C90,input_576103!A:H,8,FALSE))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input_576103!A$2</f>
        <v>576103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IFERROR(VLOOKUP(B91,input_576103!L:R,7,FALSE),VLOOKUP(tables_576103!C91,input_576103!A:H,8,FALSE))</f>
        <v>1211064.75</v>
      </c>
      <c r="P91" s="46">
        <f t="shared" ca="1" si="4"/>
        <v>8.8839843750312519E-3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input_576103!A$2</f>
        <v>576103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IFERROR(VLOOKUP(B92,input_576103!L:R,7,FALSE),VLOOKUP(tables_576103!C92,input_576103!A:H,8,FALSE))</f>
        <v>26829.807690000001</v>
      </c>
      <c r="P92" s="46">
        <f t="shared" ca="1" si="4"/>
        <v>1.9681490382991772E-4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input_576103!A$2</f>
        <v>576103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IFERROR(VLOOKUP(B93,input_576103!L:R,7,FALSE),VLOOKUP(tables_576103!C93,input_576103!A:H,8,FALSE))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input_576103!A$2</f>
        <v>576103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IFERROR(VLOOKUP(B94,input_576103!L:R,7,FALSE),VLOOKUP(tables_576103!C94,input_576103!A:H,8,FALSE))</f>
        <v>1211064.75</v>
      </c>
      <c r="P94" s="46">
        <f t="shared" ca="1" si="4"/>
        <v>8.8839843750312519E-3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input_576103!A$2</f>
        <v>576103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IFERROR(VLOOKUP(B95,input_576103!L:R,7,FALSE),VLOOKUP(tables_576103!C95,input_576103!A:H,8,FALSE))</f>
        <v>26829.807690000001</v>
      </c>
      <c r="P95" s="46">
        <f t="shared" ca="1" si="4"/>
        <v>1.9681490382991772E-4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input_576103!A$2</f>
        <v>576103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IFERROR(VLOOKUP(B96,input_576103!L:R,7,FALSE),VLOOKUP(tables_576103!C96,input_576103!A:H,8,FALSE))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input_576103!A$2</f>
        <v>576103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IFERROR(VLOOKUP(B97,input_576103!L:R,7,FALSE),VLOOKUP(tables_576103!C97,input_576103!A:H,8,FALSE))</f>
        <v>1211064.75</v>
      </c>
      <c r="P97" s="46">
        <f t="shared" ca="1" si="4"/>
        <v>8.8839843750312519E-3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input_576103!A$2</f>
        <v>576103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IFERROR(VLOOKUP(B98,input_576103!L:R,7,FALSE),VLOOKUP(tables_576103!C98,input_576103!A:H,8,FALSE))</f>
        <v>26829.807690000001</v>
      </c>
      <c r="P98" s="46">
        <f t="shared" ca="1" si="4"/>
        <v>1.9681490382991772E-4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input_576103!A$2</f>
        <v>576103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IFERROR(VLOOKUP(B99,input_576103!L:R,7,FALSE),VLOOKUP(tables_576103!C99,input_576103!A:H,8,FALSE))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input_576103!A$2</f>
        <v>576103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IFERROR(VLOOKUP(B100,input_576103!L:R,7,FALSE),VLOOKUP(tables_576103!C100,input_576103!A:H,8,FALSE))</f>
        <v>1211064.75</v>
      </c>
      <c r="P100" s="46">
        <f t="shared" ca="1" si="4"/>
        <v>8.8839843750312519E-3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input_576103!A$2</f>
        <v>576103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IFERROR(VLOOKUP(B101,input_576103!L:R,7,FALSE),VLOOKUP(tables_576103!C101,input_576103!A:H,8,FALSE))</f>
        <v>26829.807690000001</v>
      </c>
      <c r="P101" s="46">
        <f t="shared" ca="1" si="4"/>
        <v>1.9681490382991772E-4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input_576103!A$2</f>
        <v>576103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IFERROR(VLOOKUP(B102,input_576103!L:R,7,FALSE),VLOOKUP(tables_576103!C102,input_576103!A:H,8,FALSE))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input_576103!A$2</f>
        <v>576103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IFERROR(VLOOKUP(B103,input_576103!L:R,7,FALSE),VLOOKUP(tables_576103!C103,input_576103!A:H,8,FALSE))</f>
        <v>1211064.75</v>
      </c>
      <c r="P103" s="46">
        <f t="shared" ca="1" si="4"/>
        <v>8.8839843750312519E-3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input_576103!A$2</f>
        <v>576103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IFERROR(VLOOKUP(B104,input_576103!L:R,7,FALSE),VLOOKUP(tables_576103!C104,input_576103!A:H,8,FALSE))</f>
        <v>26829.807690000001</v>
      </c>
      <c r="P104" s="46">
        <f t="shared" ca="1" si="4"/>
        <v>1.9681490382991772E-4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input_576103!A$2</f>
        <v>576103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IFERROR(VLOOKUP(B105,input_576103!L:R,7,FALSE),VLOOKUP(tables_576103!C105,input_576103!A:H,8,FALSE))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input_576103!A$2</f>
        <v>576103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IFERROR(VLOOKUP(B106,input_576103!L:R,7,FALSE),VLOOKUP(tables_576103!C106,input_576103!A:H,8,FALSE))</f>
        <v>1211064.75</v>
      </c>
      <c r="P106" s="46">
        <f t="shared" ca="1" si="4"/>
        <v>8.8839843750312519E-3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input_576103!A$2</f>
        <v>576103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IFERROR(VLOOKUP(B107,input_576103!L:R,7,FALSE),VLOOKUP(tables_576103!C107,input_576103!A:H,8,FALSE))</f>
        <v>26829.807690000001</v>
      </c>
      <c r="P107" s="46">
        <f t="shared" ca="1" si="4"/>
        <v>1.9681490382991772E-4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input_576103!A$2</f>
        <v>576103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IFERROR(VLOOKUP(B108,input_576103!L:R,7,FALSE),VLOOKUP(tables_576103!C108,input_576103!A:H,8,FALSE))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input_576103!A$2</f>
        <v>576103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IFERROR(VLOOKUP(B109,input_576103!L:R,7,FALSE),VLOOKUP(tables_576103!C109,input_576103!A:H,8,FALSE))</f>
        <v>1211064.75</v>
      </c>
      <c r="P109" s="46">
        <f t="shared" ca="1" si="4"/>
        <v>8.8839843750312519E-3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input_576103!A$2</f>
        <v>576103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IFERROR(VLOOKUP(B110,input_576103!L:R,7,FALSE),VLOOKUP(tables_576103!C110,input_576103!A:H,8,FALSE))</f>
        <v>26829.807690000001</v>
      </c>
      <c r="P110" s="46">
        <f t="shared" ca="1" si="4"/>
        <v>1.9681490382991772E-4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input_576103!A$2</f>
        <v>576103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IFERROR(VLOOKUP(B111,input_576103!L:R,7,FALSE),VLOOKUP(tables_576103!C111,input_576103!A:H,8,FALSE))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input_576103!A$2</f>
        <v>576103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IFERROR(VLOOKUP(B112,input_576103!L:R,7,FALSE),VLOOKUP(tables_576103!C112,input_576103!A:H,8,FALSE))</f>
        <v>1211064.75</v>
      </c>
      <c r="P112" s="46">
        <f t="shared" ca="1" si="4"/>
        <v>8.8839843750312519E-3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input_576103!A$2</f>
        <v>576103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IFERROR(VLOOKUP(B113,input_576103!L:R,7,FALSE),VLOOKUP(tables_576103!C113,input_576103!A:H,8,FALSE))</f>
        <v>67095</v>
      </c>
      <c r="P113" s="46">
        <f t="shared" ca="1" si="4"/>
        <v>4.9218750000173147E-4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input_576103!A$2</f>
        <v>576103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IFERROR(VLOOKUP(B114,input_576103!L:R,7,FALSE),VLOOKUP(tables_576103!C114,input_576103!A:H,8,FALSE))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input_576103!A$2</f>
        <v>576103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IFERROR(VLOOKUP(B115,input_576103!L:R,7,FALSE),VLOOKUP(tables_576103!C115,input_576103!A:H,8,FALSE))</f>
        <v>1211064.75</v>
      </c>
      <c r="P115" s="46">
        <f t="shared" ca="1" si="4"/>
        <v>8.8839843750312519E-3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input_576103!A$2</f>
        <v>576103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IFERROR(VLOOKUP(B116,input_576103!L:R,7,FALSE),VLOOKUP(tables_576103!C116,input_576103!A:H,8,FALSE))</f>
        <v>26829.807690000001</v>
      </c>
      <c r="P116" s="46">
        <f t="shared" ca="1" si="4"/>
        <v>1.9681490382991772E-4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input_576103!A$2</f>
        <v>576103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IFERROR(VLOOKUP(B117,input_576103!L:R,7,FALSE),VLOOKUP(tables_576103!C117,input_576103!A:H,8,FALSE))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input_576103!A$2</f>
        <v>576103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IFERROR(VLOOKUP(B118,input_576103!L:R,7,FALSE),VLOOKUP(tables_576103!C118,input_576103!A:H,8,FALSE))</f>
        <v>1211064.75</v>
      </c>
      <c r="P118" s="46">
        <f t="shared" ca="1" si="4"/>
        <v>8.8839843750312519E-3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input_576103!A$2</f>
        <v>576103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IFERROR(VLOOKUP(B119,input_576103!L:R,7,FALSE),VLOOKUP(tables_576103!C119,input_576103!A:H,8,FALSE))</f>
        <v>26829.807690000001</v>
      </c>
      <c r="P119" s="46">
        <f t="shared" ca="1" si="4"/>
        <v>1.9681490382991772E-4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input_576103!A$2</f>
        <v>576103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IFERROR(VLOOKUP(B120,input_576103!L:R,7,FALSE),VLOOKUP(tables_576103!C120,input_576103!A:H,8,FALSE))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input_576103!A$2</f>
        <v>576103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IFERROR(VLOOKUP(B121,input_576103!L:R,7,FALSE),VLOOKUP(tables_576103!C121,input_576103!A:H,8,FALSE))</f>
        <v>1211064.75</v>
      </c>
      <c r="P121" s="46">
        <f t="shared" ca="1" si="4"/>
        <v>8.8839843750312519E-3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input_576103!A$2</f>
        <v>576103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IFERROR(VLOOKUP(B122,input_576103!L:R,7,FALSE),VLOOKUP(tables_576103!C122,input_576103!A:H,8,FALSE))</f>
        <v>26829.807690000001</v>
      </c>
      <c r="P122" s="46">
        <f t="shared" ca="1" si="4"/>
        <v>1.9681490382991772E-4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input_576103!A$2</f>
        <v>576103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IFERROR(VLOOKUP(B123,input_576103!L:R,7,FALSE),VLOOKUP(tables_576103!C123,input_576103!A:H,8,FALSE))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input_576103!A$2</f>
        <v>576103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IFERROR(VLOOKUP(B124,input_576103!L:R,7,FALSE),VLOOKUP(tables_576103!C124,input_576103!A:H,8,FALSE))</f>
        <v>1211064.75</v>
      </c>
      <c r="P124" s="46">
        <f t="shared" ca="1" si="4"/>
        <v>8.8839843750312519E-3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input_576103!A$2</f>
        <v>576103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IFERROR(VLOOKUP(B125,input_576103!L:R,7,FALSE),VLOOKUP(tables_576103!C125,input_576103!A:H,8,FALSE))</f>
        <v>26829.807690000001</v>
      </c>
      <c r="P125" s="46">
        <f t="shared" ca="1" si="4"/>
        <v>1.9681490382991772E-4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input_576103!A$2</f>
        <v>576103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IFERROR(VLOOKUP(B126,input_576103!L:R,7,FALSE),VLOOKUP(tables_576103!C126,input_576103!A:H,8,FALSE))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input_576103!A$2</f>
        <v>576103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IFERROR(VLOOKUP(B127,input_576103!L:R,7,FALSE),VLOOKUP(tables_576103!C127,input_576103!A:H,8,FALSE))</f>
        <v>1211064.75</v>
      </c>
      <c r="P127" s="46">
        <f t="shared" ca="1" si="4"/>
        <v>8.8839843750312519E-3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input_576103!A$2</f>
        <v>576103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IFERROR(VLOOKUP(B128,input_576103!L:R,7,FALSE),VLOOKUP(tables_576103!C128,input_576103!A:H,8,FALSE))</f>
        <v>26829.807690000001</v>
      </c>
      <c r="P128" s="46">
        <f t="shared" ca="1" si="4"/>
        <v>1.9681490382991772E-4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input_576103!A$2</f>
        <v>576103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IFERROR(VLOOKUP(B129,input_576103!L:R,7,FALSE),VLOOKUP(tables_576103!C129,input_576103!A:H,8,FALSE))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input_576103!A$2</f>
        <v>576103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IFERROR(VLOOKUP(B130,input_576103!L:R,7,FALSE),VLOOKUP(tables_576103!C130,input_576103!A:H,8,FALSE))</f>
        <v>1211064.75</v>
      </c>
      <c r="P130" s="46">
        <f t="shared" ref="P130:P193" ca="1" si="7">O130/SUM(O:O)</f>
        <v>8.8839843750312519E-3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input_576103!A$2</f>
        <v>576103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IFERROR(VLOOKUP(B131,input_576103!L:R,7,FALSE),VLOOKUP(tables_576103!C131,input_576103!A:H,8,FALSE))</f>
        <v>26829.807690000001</v>
      </c>
      <c r="P131" s="46">
        <f t="shared" ca="1" si="7"/>
        <v>1.9681490382991772E-4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input_576103!A$2</f>
        <v>576103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IFERROR(VLOOKUP(B132,input_576103!L:R,7,FALSE),VLOOKUP(tables_576103!C132,input_576103!A:H,8,FALSE))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input_576103!A$2</f>
        <v>576103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IFERROR(VLOOKUP(B133,input_576103!L:R,7,FALSE),VLOOKUP(tables_576103!C133,input_576103!A:H,8,FALSE))</f>
        <v>1211064.75</v>
      </c>
      <c r="P133" s="46">
        <f t="shared" ca="1" si="7"/>
        <v>8.8839843750312519E-3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input_576103!A$2</f>
        <v>576103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IFERROR(VLOOKUP(B134,input_576103!L:R,7,FALSE),VLOOKUP(tables_576103!C134,input_576103!A:H,8,FALSE))</f>
        <v>26829.807690000001</v>
      </c>
      <c r="P134" s="46">
        <f t="shared" ca="1" si="7"/>
        <v>1.9681490382991772E-4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input_576103!A$2</f>
        <v>576103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IFERROR(VLOOKUP(B135,input_576103!L:R,7,FALSE),VLOOKUP(tables_576103!C135,input_576103!A:H,8,FALSE))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input_576103!A$2</f>
        <v>576103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IFERROR(VLOOKUP(B136,input_576103!L:R,7,FALSE),VLOOKUP(tables_576103!C136,input_576103!A:H,8,FALSE))</f>
        <v>1211064.75</v>
      </c>
      <c r="P136" s="46">
        <f t="shared" ca="1" si="7"/>
        <v>8.8839843750312519E-3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input_576103!A$2</f>
        <v>576103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IFERROR(VLOOKUP(B137,input_576103!L:R,7,FALSE),VLOOKUP(tables_576103!C137,input_576103!A:H,8,FALSE))</f>
        <v>26829.807690000001</v>
      </c>
      <c r="P137" s="46">
        <f t="shared" ca="1" si="7"/>
        <v>1.9681490382991772E-4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input_576103!A$2</f>
        <v>576103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IFERROR(VLOOKUP(B138,input_576103!L:R,7,FALSE),VLOOKUP(tables_576103!C138,input_576103!A:H,8,FALSE))</f>
        <v>121714.28571</v>
      </c>
      <c r="P138" s="46">
        <f t="shared" ca="1" si="7"/>
        <v>8.9285714282884515E-4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input_576103!A$2</f>
        <v>576103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IFERROR(VLOOKUP(B139,input_576103!L:R,7,FALSE),VLOOKUP(tables_576103!C139,input_576103!A:H,8,FALSE))</f>
        <v>47333.333330000001</v>
      </c>
      <c r="P139" s="46">
        <f t="shared" ca="1" si="7"/>
        <v>3.4722222219899141E-4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input_576103!A$2</f>
        <v>576103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IFERROR(VLOOKUP(B140,input_576103!L:R,7,FALSE),VLOOKUP(tables_576103!C140,input_576103!A:H,8,FALSE))</f>
        <v>121714.28571</v>
      </c>
      <c r="P140" s="46">
        <f t="shared" ca="1" si="7"/>
        <v>8.9285714282884515E-4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input_576103!A$2</f>
        <v>576103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IFERROR(VLOOKUP(B141,input_576103!L:R,7,FALSE),VLOOKUP(tables_576103!C141,input_576103!A:H,8,FALSE))</f>
        <v>47333.333330000001</v>
      </c>
      <c r="P141" s="46">
        <f t="shared" ca="1" si="7"/>
        <v>3.4722222219899141E-4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input_576103!A$2</f>
        <v>576103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IFERROR(VLOOKUP(B142,input_576103!L:R,7,FALSE),VLOOKUP(tables_576103!C142,input_576103!A:H,8,FALSE))</f>
        <v>121714.28571</v>
      </c>
      <c r="P142" s="46">
        <f t="shared" ca="1" si="7"/>
        <v>8.9285714282884515E-4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input_576103!A$2</f>
        <v>576103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IFERROR(VLOOKUP(B143,input_576103!L:R,7,FALSE),VLOOKUP(tables_576103!C143,input_576103!A:H,8,FALSE))</f>
        <v>47333.333330000001</v>
      </c>
      <c r="P143" s="46">
        <f t="shared" ca="1" si="7"/>
        <v>3.4722222219899141E-4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input_576103!A$2</f>
        <v>576103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IFERROR(VLOOKUP(B144,input_576103!L:R,7,FALSE),VLOOKUP(tables_576103!C144,input_576103!A:H,8,FALSE))</f>
        <v>121714.28571</v>
      </c>
      <c r="P144" s="46">
        <f t="shared" ca="1" si="7"/>
        <v>8.9285714282884515E-4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input_576103!A$2</f>
        <v>576103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IFERROR(VLOOKUP(B145,input_576103!L:R,7,FALSE),VLOOKUP(tables_576103!C145,input_576103!A:H,8,FALSE))</f>
        <v>47333.333330000001</v>
      </c>
      <c r="P145" s="46">
        <f t="shared" ca="1" si="7"/>
        <v>3.4722222219899141E-4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input_576103!A$2</f>
        <v>576103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IFERROR(VLOOKUP(B146,input_576103!L:R,7,FALSE),VLOOKUP(tables_576103!C146,input_576103!A:H,8,FALSE))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input_576103!A$2</f>
        <v>576103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IFERROR(VLOOKUP(B147,input_576103!L:R,7,FALSE),VLOOKUP(tables_576103!C147,input_576103!A:H,8,FALSE))</f>
        <v>1211064.75</v>
      </c>
      <c r="P147" s="46">
        <f t="shared" ca="1" si="7"/>
        <v>8.8839843750312519E-3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input_576103!A$2</f>
        <v>576103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IFERROR(VLOOKUP(B148,input_576103!L:R,7,FALSE),VLOOKUP(tables_576103!C148,input_576103!A:H,8,FALSE))</f>
        <v>26829.807690000001</v>
      </c>
      <c r="P148" s="46">
        <f t="shared" ca="1" si="7"/>
        <v>1.9681490382991772E-4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input_576103!A$2</f>
        <v>576103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IFERROR(VLOOKUP(B149,input_576103!L:R,7,FALSE),VLOOKUP(tables_576103!C149,input_576103!A:H,8,FALSE))</f>
        <v>121714.28571</v>
      </c>
      <c r="P149" s="46">
        <f t="shared" ca="1" si="7"/>
        <v>8.9285714282884515E-4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input_576103!A$2</f>
        <v>576103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IFERROR(VLOOKUP(B150,input_576103!L:R,7,FALSE),VLOOKUP(tables_576103!C150,input_576103!A:H,8,FALSE))</f>
        <v>47333.333330000001</v>
      </c>
      <c r="P150" s="46">
        <f t="shared" ca="1" si="7"/>
        <v>3.4722222219899141E-4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input_576103!A$2</f>
        <v>576103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IFERROR(VLOOKUP(B151,input_576103!L:R,7,FALSE),VLOOKUP(tables_576103!C151,input_576103!A:H,8,FALSE))</f>
        <v>121714.28571</v>
      </c>
      <c r="P151" s="46">
        <f t="shared" ca="1" si="7"/>
        <v>8.9285714282884515E-4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input_576103!A$2</f>
        <v>576103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IFERROR(VLOOKUP(B152,input_576103!L:R,7,FALSE),VLOOKUP(tables_576103!C152,input_576103!A:H,8,FALSE))</f>
        <v>47333.333330000001</v>
      </c>
      <c r="P152" s="46">
        <f t="shared" ca="1" si="7"/>
        <v>3.4722222219899141E-4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input_576103!A$2</f>
        <v>576103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IFERROR(VLOOKUP(B153,input_576103!L:R,7,FALSE),VLOOKUP(tables_576103!C153,input_576103!A:H,8,FALSE))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input_576103!A$2</f>
        <v>576103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IFERROR(VLOOKUP(B154,input_576103!L:R,7,FALSE),VLOOKUP(tables_576103!C154,input_576103!A:H,8,FALSE))</f>
        <v>1211064.75</v>
      </c>
      <c r="P154" s="46">
        <f t="shared" ca="1" si="7"/>
        <v>8.8839843750312519E-3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input_576103!A$2</f>
        <v>576103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IFERROR(VLOOKUP(B155,input_576103!L:R,7,FALSE),VLOOKUP(tables_576103!C155,input_576103!A:H,8,FALSE))</f>
        <v>26829.807690000001</v>
      </c>
      <c r="P155" s="46">
        <f t="shared" ca="1" si="7"/>
        <v>1.9681490382991772E-4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input_576103!A$2</f>
        <v>576103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IFERROR(VLOOKUP(B156,input_576103!L:R,7,FALSE),VLOOKUP(tables_576103!C156,input_576103!A:H,8,FALSE))</f>
        <v>121714.28571</v>
      </c>
      <c r="P156" s="46">
        <f t="shared" ca="1" si="7"/>
        <v>8.9285714282884515E-4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input_576103!A$2</f>
        <v>576103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IFERROR(VLOOKUP(B157,input_576103!L:R,7,FALSE),VLOOKUP(tables_576103!C157,input_576103!A:H,8,FALSE))</f>
        <v>47333.333330000001</v>
      </c>
      <c r="P157" s="46">
        <f t="shared" ca="1" si="7"/>
        <v>3.4722222219899141E-4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input_576103!A$2</f>
        <v>576103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IFERROR(VLOOKUP(B158,input_576103!L:R,7,FALSE),VLOOKUP(tables_576103!C158,input_576103!A:H,8,FALSE))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input_576103!A$2</f>
        <v>576103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IFERROR(VLOOKUP(B159,input_576103!L:R,7,FALSE),VLOOKUP(tables_576103!C159,input_576103!A:H,8,FALSE))</f>
        <v>1211064.75</v>
      </c>
      <c r="P159" s="46">
        <f t="shared" ca="1" si="7"/>
        <v>8.8839843750312519E-3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input_576103!A$2</f>
        <v>576103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IFERROR(VLOOKUP(B160,input_576103!L:R,7,FALSE),VLOOKUP(tables_576103!C160,input_576103!A:H,8,FALSE))</f>
        <v>26829.807690000001</v>
      </c>
      <c r="P160" s="46">
        <f t="shared" ca="1" si="7"/>
        <v>1.9681490382991772E-4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input_576103!A$2</f>
        <v>576103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IFERROR(VLOOKUP(B161,input_576103!L:R,7,FALSE),VLOOKUP(tables_576103!C161,input_576103!A:H,8,FALSE))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input_576103!A$2</f>
        <v>576103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IFERROR(VLOOKUP(B162,input_576103!L:R,7,FALSE),VLOOKUP(tables_576103!C162,input_576103!A:H,8,FALSE))</f>
        <v>1211064.75</v>
      </c>
      <c r="P162" s="46">
        <f t="shared" ca="1" si="7"/>
        <v>8.8839843750312519E-3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input_576103!A$2</f>
        <v>576103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IFERROR(VLOOKUP(B163,input_576103!L:R,7,FALSE),VLOOKUP(tables_576103!C163,input_576103!A:H,8,FALSE))</f>
        <v>26829.807690000001</v>
      </c>
      <c r="P163" s="46">
        <f t="shared" ca="1" si="7"/>
        <v>1.9681490382991772E-4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input_576103!A$2</f>
        <v>576103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IFERROR(VLOOKUP(B164,input_576103!L:R,7,FALSE),VLOOKUP(tables_576103!C164,input_576103!A:H,8,FALSE))</f>
        <v>121714.28571</v>
      </c>
      <c r="P164" s="46">
        <f t="shared" ca="1" si="7"/>
        <v>8.9285714282884515E-4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input_576103!A$2</f>
        <v>576103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IFERROR(VLOOKUP(B165,input_576103!L:R,7,FALSE),VLOOKUP(tables_576103!C165,input_576103!A:H,8,FALSE))</f>
        <v>47333.333330000001</v>
      </c>
      <c r="P165" s="46">
        <f t="shared" ca="1" si="7"/>
        <v>3.4722222219899141E-4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input_576103!A$2</f>
        <v>576103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IFERROR(VLOOKUP(B166,input_576103!L:R,7,FALSE),VLOOKUP(tables_576103!C166,input_576103!A:H,8,FALSE))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input_576103!A$2</f>
        <v>576103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IFERROR(VLOOKUP(B167,input_576103!L:R,7,FALSE),VLOOKUP(tables_576103!C167,input_576103!A:H,8,FALSE))</f>
        <v>1211064.75</v>
      </c>
      <c r="P167" s="46">
        <f t="shared" ca="1" si="7"/>
        <v>8.8839843750312519E-3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input_576103!A$2</f>
        <v>576103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IFERROR(VLOOKUP(B168,input_576103!L:R,7,FALSE),VLOOKUP(tables_576103!C168,input_576103!A:H,8,FALSE))</f>
        <v>26829.807690000001</v>
      </c>
      <c r="P168" s="46">
        <f t="shared" ca="1" si="7"/>
        <v>1.9681490382991772E-4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input_576103!A$2</f>
        <v>576103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IFERROR(VLOOKUP(B169,input_576103!L:R,7,FALSE),VLOOKUP(tables_576103!C169,input_576103!A:H,8,FALSE))</f>
        <v>121714.28571</v>
      </c>
      <c r="P169" s="46">
        <f t="shared" ca="1" si="7"/>
        <v>8.9285714282884515E-4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input_576103!A$2</f>
        <v>576103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IFERROR(VLOOKUP(B170,input_576103!L:R,7,FALSE),VLOOKUP(tables_576103!C170,input_576103!A:H,8,FALSE))</f>
        <v>47333.333330000001</v>
      </c>
      <c r="P170" s="46">
        <f t="shared" ca="1" si="7"/>
        <v>3.4722222219899141E-4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input_576103!A$2</f>
        <v>576103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IFERROR(VLOOKUP(B171,input_576103!L:R,7,FALSE),VLOOKUP(tables_576103!C171,input_576103!A:H,8,FALSE))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input_576103!A$2</f>
        <v>576103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IFERROR(VLOOKUP(B172,input_576103!L:R,7,FALSE),VLOOKUP(tables_576103!C172,input_576103!A:H,8,FALSE))</f>
        <v>1211064.75</v>
      </c>
      <c r="P172" s="46">
        <f t="shared" ca="1" si="7"/>
        <v>8.8839843750312519E-3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input_576103!A$2</f>
        <v>576103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IFERROR(VLOOKUP(B173,input_576103!L:R,7,FALSE),VLOOKUP(tables_576103!C173,input_576103!A:H,8,FALSE))</f>
        <v>26829.807690000001</v>
      </c>
      <c r="P173" s="46">
        <f t="shared" ca="1" si="7"/>
        <v>1.9681490382991772E-4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input_576103!A$2</f>
        <v>576103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IFERROR(VLOOKUP(B174,input_576103!L:R,7,FALSE),VLOOKUP(tables_576103!C174,input_576103!A:H,8,FALSE))</f>
        <v>121714.28571</v>
      </c>
      <c r="P174" s="46">
        <f t="shared" ca="1" si="7"/>
        <v>8.9285714282884515E-4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input_576103!A$2</f>
        <v>576103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IFERROR(VLOOKUP(B175,input_576103!L:R,7,FALSE),VLOOKUP(tables_576103!C175,input_576103!A:H,8,FALSE))</f>
        <v>47333.333330000001</v>
      </c>
      <c r="P175" s="46">
        <f t="shared" ca="1" si="7"/>
        <v>3.4722222219899141E-4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input_576103!A$2</f>
        <v>576103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IFERROR(VLOOKUP(B176,input_576103!L:R,7,FALSE),VLOOKUP(tables_576103!C176,input_576103!A:H,8,FALSE))</f>
        <v>121714.28571</v>
      </c>
      <c r="P176" s="46">
        <f t="shared" ca="1" si="7"/>
        <v>8.9285714282884515E-4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input_576103!A$2</f>
        <v>576103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IFERROR(VLOOKUP(B177,input_576103!L:R,7,FALSE),VLOOKUP(tables_576103!C177,input_576103!A:H,8,FALSE))</f>
        <v>47333.333330000001</v>
      </c>
      <c r="P177" s="46">
        <f t="shared" ca="1" si="7"/>
        <v>3.4722222219899141E-4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input_576103!A$2</f>
        <v>576103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IFERROR(VLOOKUP(B178,input_576103!L:R,7,FALSE),VLOOKUP(tables_576103!C178,input_576103!A:H,8,FALSE))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input_576103!A$2</f>
        <v>576103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IFERROR(VLOOKUP(B179,input_576103!L:R,7,FALSE),VLOOKUP(tables_576103!C179,input_576103!A:H,8,FALSE))</f>
        <v>1211064.75</v>
      </c>
      <c r="P179" s="46">
        <f t="shared" ca="1" si="7"/>
        <v>8.8839843750312519E-3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input_576103!A$2</f>
        <v>576103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IFERROR(VLOOKUP(B180,input_576103!L:R,7,FALSE),VLOOKUP(tables_576103!C180,input_576103!A:H,8,FALSE))</f>
        <v>26829.807690000001</v>
      </c>
      <c r="P180" s="46">
        <f t="shared" ca="1" si="7"/>
        <v>1.9681490382991772E-4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input_576103!A$2</f>
        <v>576103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IFERROR(VLOOKUP(B181,input_576103!L:R,7,FALSE),VLOOKUP(tables_576103!C181,input_576103!A:H,8,FALSE))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input_576103!A$2</f>
        <v>576103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IFERROR(VLOOKUP(B182,input_576103!L:R,7,FALSE),VLOOKUP(tables_576103!C182,input_576103!A:H,8,FALSE))</f>
        <v>1211064.75</v>
      </c>
      <c r="P182" s="46">
        <f t="shared" ca="1" si="7"/>
        <v>8.8839843750312519E-3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input_576103!A$2</f>
        <v>576103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IFERROR(VLOOKUP(B183,input_576103!L:R,7,FALSE),VLOOKUP(tables_576103!C183,input_576103!A:H,8,FALSE))</f>
        <v>26829.807690000001</v>
      </c>
      <c r="P183" s="46">
        <f t="shared" ca="1" si="7"/>
        <v>1.9681490382991772E-4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input_576103!A$2</f>
        <v>576103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IFERROR(VLOOKUP(B184,input_576103!L:R,7,FALSE),VLOOKUP(tables_576103!C184,input_576103!A:H,8,FALSE))</f>
        <v>121714.28571</v>
      </c>
      <c r="P184" s="46">
        <f t="shared" ca="1" si="7"/>
        <v>8.9285714282884515E-4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input_576103!A$2</f>
        <v>576103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IFERROR(VLOOKUP(B185,input_576103!L:R,7,FALSE),VLOOKUP(tables_576103!C185,input_576103!A:H,8,FALSE))</f>
        <v>47333.333330000001</v>
      </c>
      <c r="P185" s="46">
        <f t="shared" ca="1" si="7"/>
        <v>3.4722222219899141E-4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input_576103!A$2</f>
        <v>576103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IFERROR(VLOOKUP(B186,input_576103!L:R,7,FALSE),VLOOKUP(tables_576103!C186,input_576103!A:H,8,FALSE))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input_576103!A$2</f>
        <v>576103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IFERROR(VLOOKUP(B187,input_576103!L:R,7,FALSE),VLOOKUP(tables_576103!C187,input_576103!A:H,8,FALSE))</f>
        <v>1211064.75</v>
      </c>
      <c r="P187" s="46">
        <f t="shared" ca="1" si="7"/>
        <v>8.8839843750312519E-3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input_576103!A$2</f>
        <v>576103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IFERROR(VLOOKUP(B188,input_576103!L:R,7,FALSE),VLOOKUP(tables_576103!C188,input_576103!A:H,8,FALSE))</f>
        <v>26829.807690000001</v>
      </c>
      <c r="P188" s="46">
        <f t="shared" ca="1" si="7"/>
        <v>1.9681490382991772E-4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input_576103!A$2</f>
        <v>576103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IFERROR(VLOOKUP(B189,input_576103!L:R,7,FALSE),VLOOKUP(tables_576103!C189,input_576103!A:H,8,FALSE))</f>
        <v>121714.28571</v>
      </c>
      <c r="P189" s="46">
        <f t="shared" ca="1" si="7"/>
        <v>8.9285714282884515E-4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input_576103!A$2</f>
        <v>576103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IFERROR(VLOOKUP(B190,input_576103!L:R,7,FALSE),VLOOKUP(tables_576103!C190,input_576103!A:H,8,FALSE))</f>
        <v>47333.333330000001</v>
      </c>
      <c r="P190" s="46">
        <f t="shared" ca="1" si="7"/>
        <v>3.4722222219899141E-4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input_576103!A$2</f>
        <v>576103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IFERROR(VLOOKUP(B191,input_576103!L:R,7,FALSE),VLOOKUP(tables_576103!C191,input_576103!A:H,8,FALSE))</f>
        <v>121714.28571</v>
      </c>
      <c r="P191" s="46">
        <f t="shared" ca="1" si="7"/>
        <v>8.9285714282884515E-4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input_576103!A$2</f>
        <v>576103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IFERROR(VLOOKUP(B192,input_576103!L:R,7,FALSE),VLOOKUP(tables_576103!C192,input_576103!A:H,8,FALSE))</f>
        <v>47333.333330000001</v>
      </c>
      <c r="P192" s="46">
        <f t="shared" ca="1" si="7"/>
        <v>3.4722222219899141E-4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input_576103!A$2</f>
        <v>576103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IFERROR(VLOOKUP(B193,input_576103!L:R,7,FALSE),VLOOKUP(tables_576103!C193,input_576103!A:H,8,FALSE))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input_576103!A$2</f>
        <v>576103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IFERROR(VLOOKUP(B194,input_576103!L:R,7,FALSE),VLOOKUP(tables_576103!C194,input_576103!A:H,8,FALSE))</f>
        <v>1211064.75</v>
      </c>
      <c r="P194" s="46">
        <f t="shared" ref="P194:P257" ca="1" si="10">O194/SUM(O:O)</f>
        <v>8.8839843750312519E-3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input_576103!A$2</f>
        <v>576103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IFERROR(VLOOKUP(B195,input_576103!L:R,7,FALSE),VLOOKUP(tables_576103!C195,input_576103!A:H,8,FALSE))</f>
        <v>26829.807690000001</v>
      </c>
      <c r="P195" s="46">
        <f t="shared" ca="1" si="10"/>
        <v>1.9681490382991772E-4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input_576103!A$2</f>
        <v>576103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IFERROR(VLOOKUP(B196,input_576103!L:R,7,FALSE),VLOOKUP(tables_576103!C196,input_576103!A:H,8,FALSE))</f>
        <v>121714.28571</v>
      </c>
      <c r="P196" s="46">
        <f t="shared" ca="1" si="10"/>
        <v>8.9285714282884515E-4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input_576103!A$2</f>
        <v>576103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IFERROR(VLOOKUP(B197,input_576103!L:R,7,FALSE),VLOOKUP(tables_576103!C197,input_576103!A:H,8,FALSE))</f>
        <v>47333.333330000001</v>
      </c>
      <c r="P197" s="46">
        <f t="shared" ca="1" si="10"/>
        <v>3.4722222219899141E-4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input_576103!A$2</f>
        <v>576103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IFERROR(VLOOKUP(B198,input_576103!L:R,7,FALSE),VLOOKUP(tables_576103!C198,input_576103!A:H,8,FALSE))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input_576103!A$2</f>
        <v>576103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IFERROR(VLOOKUP(B199,input_576103!L:R,7,FALSE),VLOOKUP(tables_576103!C199,input_576103!A:H,8,FALSE))</f>
        <v>1211064.75</v>
      </c>
      <c r="P199" s="46">
        <f t="shared" ca="1" si="10"/>
        <v>8.8839843750312519E-3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input_576103!A$2</f>
        <v>576103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IFERROR(VLOOKUP(B200,input_576103!L:R,7,FALSE),VLOOKUP(tables_576103!C200,input_576103!A:H,8,FALSE))</f>
        <v>26829.807690000001</v>
      </c>
      <c r="P200" s="46">
        <f t="shared" ca="1" si="10"/>
        <v>1.9681490382991772E-4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input_576103!A$2</f>
        <v>576103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IFERROR(VLOOKUP(B201,input_576103!L:R,7,FALSE),VLOOKUP(tables_576103!C201,input_576103!A:H,8,FALSE))</f>
        <v>121714.28571</v>
      </c>
      <c r="P201" s="46">
        <f t="shared" ca="1" si="10"/>
        <v>8.9285714282884515E-4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input_576103!A$2</f>
        <v>576103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IFERROR(VLOOKUP(B202,input_576103!L:R,7,FALSE),VLOOKUP(tables_576103!C202,input_576103!A:H,8,FALSE))</f>
        <v>47333.333330000001</v>
      </c>
      <c r="P202" s="46">
        <f t="shared" ca="1" si="10"/>
        <v>3.4722222219899141E-4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input_576103!A$2</f>
        <v>576103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IFERROR(VLOOKUP(B203,input_576103!L:R,7,FALSE),VLOOKUP(tables_576103!C203,input_576103!A:H,8,FALSE))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input_576103!A$2</f>
        <v>576103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IFERROR(VLOOKUP(B204,input_576103!L:R,7,FALSE),VLOOKUP(tables_576103!C204,input_576103!A:H,8,FALSE))</f>
        <v>1211064.75</v>
      </c>
      <c r="P204" s="46">
        <f t="shared" ca="1" si="10"/>
        <v>8.8839843750312519E-3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input_576103!A$2</f>
        <v>576103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IFERROR(VLOOKUP(B205,input_576103!L:R,7,FALSE),VLOOKUP(tables_576103!C205,input_576103!A:H,8,FALSE))</f>
        <v>26829.807690000001</v>
      </c>
      <c r="P205" s="46">
        <f t="shared" ca="1" si="10"/>
        <v>1.9681490382991772E-4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input_576103!A$2</f>
        <v>576103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IFERROR(VLOOKUP(B206,input_576103!L:R,7,FALSE),VLOOKUP(tables_576103!C206,input_576103!A:H,8,FALSE))</f>
        <v>121714.28571</v>
      </c>
      <c r="P206" s="46">
        <f t="shared" ca="1" si="10"/>
        <v>8.9285714282884515E-4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input_576103!A$2</f>
        <v>576103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IFERROR(VLOOKUP(B207,input_576103!L:R,7,FALSE),VLOOKUP(tables_576103!C207,input_576103!A:H,8,FALSE))</f>
        <v>47333.333330000001</v>
      </c>
      <c r="P207" s="46">
        <f t="shared" ca="1" si="10"/>
        <v>3.4722222219899141E-4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input_576103!A$2</f>
        <v>576103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IFERROR(VLOOKUP(B208,input_576103!L:R,7,FALSE),VLOOKUP(tables_576103!C208,input_576103!A:H,8,FALSE))</f>
        <v>121714.28571</v>
      </c>
      <c r="P208" s="46">
        <f t="shared" ca="1" si="10"/>
        <v>8.9285714282884515E-4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input_576103!A$2</f>
        <v>576103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IFERROR(VLOOKUP(B209,input_576103!L:R,7,FALSE),VLOOKUP(tables_576103!C209,input_576103!A:H,8,FALSE))</f>
        <v>47333.333330000001</v>
      </c>
      <c r="P209" s="46">
        <f t="shared" ca="1" si="10"/>
        <v>3.4722222219899141E-4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input_576103!A$2</f>
        <v>576103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IFERROR(VLOOKUP(B210,input_576103!L:R,7,FALSE),VLOOKUP(tables_576103!C210,input_576103!A:H,8,FALSE))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input_576103!A$2</f>
        <v>576103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IFERROR(VLOOKUP(B211,input_576103!L:R,7,FALSE),VLOOKUP(tables_576103!C211,input_576103!A:H,8,FALSE))</f>
        <v>1211064.75</v>
      </c>
      <c r="P211" s="46">
        <f t="shared" ca="1" si="10"/>
        <v>8.8839843750312519E-3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input_576103!A$2</f>
        <v>576103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IFERROR(VLOOKUP(B212,input_576103!L:R,7,FALSE),VLOOKUP(tables_576103!C212,input_576103!A:H,8,FALSE))</f>
        <v>26829.807690000001</v>
      </c>
      <c r="P212" s="46">
        <f t="shared" ca="1" si="10"/>
        <v>1.9681490382991772E-4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input_576103!A$2</f>
        <v>576103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IFERROR(VLOOKUP(B213,input_576103!L:R,7,FALSE),VLOOKUP(tables_576103!C213,input_576103!A:H,8,FALSE))</f>
        <v>121714.28571</v>
      </c>
      <c r="P213" s="46">
        <f t="shared" ca="1" si="10"/>
        <v>8.9285714282884515E-4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input_576103!A$2</f>
        <v>576103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IFERROR(VLOOKUP(B214,input_576103!L:R,7,FALSE),VLOOKUP(tables_576103!C214,input_576103!A:H,8,FALSE))</f>
        <v>47333.333330000001</v>
      </c>
      <c r="P214" s="46">
        <f t="shared" ca="1" si="10"/>
        <v>3.4722222219899141E-4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input_576103!A$2</f>
        <v>576103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IFERROR(VLOOKUP(B215,input_576103!L:R,7,FALSE),VLOOKUP(tables_576103!C215,input_576103!A:H,8,FALSE))</f>
        <v>67095</v>
      </c>
      <c r="P215" s="46">
        <f t="shared" ca="1" si="10"/>
        <v>4.9218750000173147E-4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input_576103!A$2</f>
        <v>576103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IFERROR(VLOOKUP(B216,input_576103!L:R,7,FALSE),VLOOKUP(tables_576103!C216,input_576103!A:H,8,FALSE))</f>
        <v>67095</v>
      </c>
      <c r="P216" s="46">
        <f t="shared" ca="1" si="10"/>
        <v>4.9218750000173147E-4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input_576103!A$2</f>
        <v>576103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IFERROR(VLOOKUP(B217,input_576103!L:R,7,FALSE),VLOOKUP(tables_576103!C217,input_576103!A:H,8,FALSE))</f>
        <v>67095</v>
      </c>
      <c r="P217" s="46">
        <f t="shared" ca="1" si="10"/>
        <v>4.9218750000173147E-4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input_576103!A$2</f>
        <v>576103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IFERROR(VLOOKUP(B218,input_576103!L:R,7,FALSE),VLOOKUP(tables_576103!C218,input_576103!A:H,8,FALSE))</f>
        <v>67095</v>
      </c>
      <c r="P218" s="46">
        <f t="shared" ca="1" si="10"/>
        <v>4.9218750000173147E-4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input_576103!A$2</f>
        <v>576103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IFERROR(VLOOKUP(B219,input_576103!L:R,7,FALSE),VLOOKUP(tables_576103!C219,input_576103!A:H,8,FALSE))</f>
        <v>67095</v>
      </c>
      <c r="P219" s="46">
        <f t="shared" ca="1" si="10"/>
        <v>4.9218750000173147E-4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input_576103!A$2</f>
        <v>576103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IFERROR(VLOOKUP(B220,input_576103!L:R,7,FALSE),VLOOKUP(tables_576103!C220,input_576103!A:H,8,FALSE))</f>
        <v>67095</v>
      </c>
      <c r="P220" s="46">
        <f t="shared" ca="1" si="10"/>
        <v>4.9218750000173147E-4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input_576103!A$2</f>
        <v>576103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IFERROR(VLOOKUP(B221,input_576103!L:R,7,FALSE),VLOOKUP(tables_576103!C221,input_576103!A:H,8,FALSE))</f>
        <v>121714.28571</v>
      </c>
      <c r="P221" s="46">
        <f t="shared" ca="1" si="10"/>
        <v>8.9285714282884515E-4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input_576103!A$2</f>
        <v>576103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IFERROR(VLOOKUP(B222,input_576103!L:R,7,FALSE),VLOOKUP(tables_576103!C222,input_576103!A:H,8,FALSE))</f>
        <v>47333.333330000001</v>
      </c>
      <c r="P222" s="46">
        <f t="shared" ca="1" si="10"/>
        <v>3.4722222219899141E-4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input_576103!A$2</f>
        <v>576103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IFERROR(VLOOKUP(B223,input_576103!L:R,7,FALSE),VLOOKUP(tables_576103!C223,input_576103!A:H,8,FALSE))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input_576103!A$2</f>
        <v>576103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IFERROR(VLOOKUP(B224,input_576103!L:R,7,FALSE),VLOOKUP(tables_576103!C224,input_576103!A:H,8,FALSE))</f>
        <v>1211064.75</v>
      </c>
      <c r="P224" s="46">
        <f t="shared" ca="1" si="10"/>
        <v>8.8839843750312519E-3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input_576103!A$2</f>
        <v>576103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IFERROR(VLOOKUP(B225,input_576103!L:R,7,FALSE),VLOOKUP(tables_576103!C225,input_576103!A:H,8,FALSE))</f>
        <v>26829.807690000001</v>
      </c>
      <c r="P225" s="46">
        <f t="shared" ca="1" si="10"/>
        <v>1.9681490382991772E-4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input_576103!A$2</f>
        <v>576103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IFERROR(VLOOKUP(B226,input_576103!L:R,7,FALSE),VLOOKUP(tables_576103!C226,input_576103!A:H,8,FALSE))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input_576103!A$2</f>
        <v>576103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IFERROR(VLOOKUP(B227,input_576103!L:R,7,FALSE),VLOOKUP(tables_576103!C227,input_576103!A:H,8,FALSE))</f>
        <v>1211064.75</v>
      </c>
      <c r="P227" s="46">
        <f t="shared" ca="1" si="10"/>
        <v>8.8839843750312519E-3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input_576103!A$2</f>
        <v>576103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IFERROR(VLOOKUP(B228,input_576103!L:R,7,FALSE),VLOOKUP(tables_576103!C228,input_576103!A:H,8,FALSE))</f>
        <v>26829.807690000001</v>
      </c>
      <c r="P228" s="46">
        <f t="shared" ca="1" si="10"/>
        <v>1.9681490382991772E-4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input_576103!A$2</f>
        <v>576103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IFERROR(VLOOKUP(B229,input_576103!L:R,7,FALSE),VLOOKUP(tables_576103!C229,input_576103!A:H,8,FALSE))</f>
        <v>121714.28571</v>
      </c>
      <c r="P229" s="46">
        <f t="shared" ca="1" si="10"/>
        <v>8.9285714282884515E-4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input_576103!A$2</f>
        <v>576103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IFERROR(VLOOKUP(B230,input_576103!L:R,7,FALSE),VLOOKUP(tables_576103!C230,input_576103!A:H,8,FALSE))</f>
        <v>47333.333330000001</v>
      </c>
      <c r="P230" s="46">
        <f t="shared" ca="1" si="10"/>
        <v>3.4722222219899141E-4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input_576103!A$2</f>
        <v>576103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IFERROR(VLOOKUP(B231,input_576103!L:R,7,FALSE),VLOOKUP(tables_576103!C231,input_576103!A:H,8,FALSE))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input_576103!A$2</f>
        <v>576103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IFERROR(VLOOKUP(B232,input_576103!L:R,7,FALSE),VLOOKUP(tables_576103!C232,input_576103!A:H,8,FALSE))</f>
        <v>1211064.75</v>
      </c>
      <c r="P232" s="46">
        <f t="shared" ca="1" si="10"/>
        <v>8.8839843750312519E-3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input_576103!A$2</f>
        <v>576103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IFERROR(VLOOKUP(B233,input_576103!L:R,7,FALSE),VLOOKUP(tables_576103!C233,input_576103!A:H,8,FALSE))</f>
        <v>26829.807690000001</v>
      </c>
      <c r="P233" s="46">
        <f t="shared" ca="1" si="10"/>
        <v>1.9681490382991772E-4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input_576103!A$2</f>
        <v>576103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IFERROR(VLOOKUP(B234,input_576103!L:R,7,FALSE),VLOOKUP(tables_576103!C234,input_576103!A:H,8,FALSE))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input_576103!A$2</f>
        <v>576103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IFERROR(VLOOKUP(B235,input_576103!L:R,7,FALSE),VLOOKUP(tables_576103!C235,input_576103!A:H,8,FALSE))</f>
        <v>1211064.75</v>
      </c>
      <c r="P235" s="46">
        <f t="shared" ca="1" si="10"/>
        <v>8.8839843750312519E-3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input_576103!A$2</f>
        <v>576103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IFERROR(VLOOKUP(B236,input_576103!L:R,7,FALSE),VLOOKUP(tables_576103!C236,input_576103!A:H,8,FALSE))</f>
        <v>26829.807690000001</v>
      </c>
      <c r="P236" s="46">
        <f t="shared" ca="1" si="10"/>
        <v>1.9681490382991772E-4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input_576103!A$2</f>
        <v>576103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IFERROR(VLOOKUP(B237,input_576103!L:R,7,FALSE),VLOOKUP(tables_576103!C237,input_576103!A:H,8,FALSE))</f>
        <v>121714.28571</v>
      </c>
      <c r="P237" s="46">
        <f t="shared" ca="1" si="10"/>
        <v>8.9285714282884515E-4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input_576103!A$2</f>
        <v>576103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IFERROR(VLOOKUP(B238,input_576103!L:R,7,FALSE),VLOOKUP(tables_576103!C238,input_576103!A:H,8,FALSE))</f>
        <v>47333.333330000001</v>
      </c>
      <c r="P238" s="46">
        <f t="shared" ca="1" si="10"/>
        <v>3.4722222219899141E-4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input_576103!A$2</f>
        <v>576103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IFERROR(VLOOKUP(B239,input_576103!L:R,7,FALSE),VLOOKUP(tables_576103!C239,input_576103!A:H,8,FALSE))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input_576103!A$2</f>
        <v>576103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IFERROR(VLOOKUP(B240,input_576103!L:R,7,FALSE),VLOOKUP(tables_576103!C240,input_576103!A:H,8,FALSE))</f>
        <v>1211064.75</v>
      </c>
      <c r="P240" s="46">
        <f t="shared" ca="1" si="10"/>
        <v>8.8839843750312519E-3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input_576103!A$2</f>
        <v>576103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IFERROR(VLOOKUP(B241,input_576103!L:R,7,FALSE),VLOOKUP(tables_576103!C241,input_576103!A:H,8,FALSE))</f>
        <v>26829.807690000001</v>
      </c>
      <c r="P241" s="46">
        <f t="shared" ca="1" si="10"/>
        <v>1.9681490382991772E-4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input_576103!A$2</f>
        <v>576103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IFERROR(VLOOKUP(B242,input_576103!L:R,7,FALSE),VLOOKUP(tables_576103!C242,input_576103!A:H,8,FALSE))</f>
        <v>121714.28571</v>
      </c>
      <c r="P242" s="46">
        <f t="shared" ca="1" si="10"/>
        <v>8.9285714282884515E-4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input_576103!A$2</f>
        <v>576103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IFERROR(VLOOKUP(B243,input_576103!L:R,7,FALSE),VLOOKUP(tables_576103!C243,input_576103!A:H,8,FALSE))</f>
        <v>47333.333330000001</v>
      </c>
      <c r="P243" s="46">
        <f t="shared" ca="1" si="10"/>
        <v>3.4722222219899141E-4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input_576103!A$2</f>
        <v>576103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IFERROR(VLOOKUP(B244,input_576103!L:R,7,FALSE),VLOOKUP(tables_576103!C244,input_576103!A:H,8,FALSE))</f>
        <v>121714.28571</v>
      </c>
      <c r="P244" s="46">
        <f t="shared" ca="1" si="10"/>
        <v>8.9285714282884515E-4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input_576103!A$2</f>
        <v>576103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IFERROR(VLOOKUP(B245,input_576103!L:R,7,FALSE),VLOOKUP(tables_576103!C245,input_576103!A:H,8,FALSE))</f>
        <v>47333.333330000001</v>
      </c>
      <c r="P245" s="46">
        <f t="shared" ca="1" si="10"/>
        <v>3.4722222219899141E-4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input_576103!A$2</f>
        <v>576103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IFERROR(VLOOKUP(B246,input_576103!L:R,7,FALSE),VLOOKUP(tables_576103!C246,input_576103!A:H,8,FALSE))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input_576103!A$2</f>
        <v>576103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IFERROR(VLOOKUP(B247,input_576103!L:R,7,FALSE),VLOOKUP(tables_576103!C247,input_576103!A:H,8,FALSE))</f>
        <v>1211064.75</v>
      </c>
      <c r="P247" s="46">
        <f t="shared" ca="1" si="10"/>
        <v>8.8839843750312519E-3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input_576103!A$2</f>
        <v>576103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IFERROR(VLOOKUP(B248,input_576103!L:R,7,FALSE),VLOOKUP(tables_576103!C248,input_576103!A:H,8,FALSE))</f>
        <v>26829.807690000001</v>
      </c>
      <c r="P248" s="46">
        <f t="shared" ca="1" si="10"/>
        <v>1.9681490382991772E-4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input_576103!A$2</f>
        <v>576103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IFERROR(VLOOKUP(B249,input_576103!L:R,7,FALSE),VLOOKUP(tables_576103!C249,input_576103!A:H,8,FALSE))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input_576103!A$2</f>
        <v>576103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IFERROR(VLOOKUP(B250,input_576103!L:R,7,FALSE),VLOOKUP(tables_576103!C250,input_576103!A:H,8,FALSE))</f>
        <v>1211064.75</v>
      </c>
      <c r="P250" s="46">
        <f t="shared" ca="1" si="10"/>
        <v>8.8839843750312519E-3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input_576103!A$2</f>
        <v>576103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IFERROR(VLOOKUP(B251,input_576103!L:R,7,FALSE),VLOOKUP(tables_576103!C251,input_576103!A:H,8,FALSE))</f>
        <v>26829.807690000001</v>
      </c>
      <c r="P251" s="46">
        <f t="shared" ca="1" si="10"/>
        <v>1.9681490382991772E-4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input_576103!A$2</f>
        <v>576103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IFERROR(VLOOKUP(B252,input_576103!L:R,7,FALSE),VLOOKUP(tables_576103!C252,input_576103!A:H,8,FALSE))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input_576103!A$2</f>
        <v>576103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IFERROR(VLOOKUP(B253,input_576103!L:R,7,FALSE),VLOOKUP(tables_576103!C253,input_576103!A:H,8,FALSE))</f>
        <v>1211064.75</v>
      </c>
      <c r="P253" s="46">
        <f t="shared" ca="1" si="10"/>
        <v>8.8839843750312519E-3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input_576103!A$2</f>
        <v>576103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IFERROR(VLOOKUP(B254,input_576103!L:R,7,FALSE),VLOOKUP(tables_576103!C254,input_576103!A:H,8,FALSE))</f>
        <v>26829.807690000001</v>
      </c>
      <c r="P254" s="46">
        <f t="shared" ca="1" si="10"/>
        <v>1.9681490382991772E-4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input_576103!A$2</f>
        <v>576103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IFERROR(VLOOKUP(B255,input_576103!L:R,7,FALSE),VLOOKUP(tables_576103!C255,input_576103!A:H,8,FALSE))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input_576103!A$2</f>
        <v>576103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IFERROR(VLOOKUP(B256,input_576103!L:R,7,FALSE),VLOOKUP(tables_576103!C256,input_576103!A:H,8,FALSE))</f>
        <v>1211064.75</v>
      </c>
      <c r="P256" s="46">
        <f t="shared" ca="1" si="10"/>
        <v>8.8839843750312519E-3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input_576103!A$2</f>
        <v>576103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IFERROR(VLOOKUP(B257,input_576103!L:R,7,FALSE),VLOOKUP(tables_576103!C257,input_576103!A:H,8,FALSE))</f>
        <v>26829.807690000001</v>
      </c>
      <c r="P257" s="46">
        <f t="shared" ca="1" si="10"/>
        <v>1.9681490382991772E-4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input_576103!A$2</f>
        <v>576103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IFERROR(VLOOKUP(B258,input_576103!L:R,7,FALSE),VLOOKUP(tables_576103!C258,input_576103!A:H,8,FALSE))</f>
        <v>121714.28571</v>
      </c>
      <c r="P258" s="46">
        <f t="shared" ref="P258:P294" ca="1" si="13">O258/SUM(O:O)</f>
        <v>8.9285714282884515E-4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input_576103!A$2</f>
        <v>576103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IFERROR(VLOOKUP(B259,input_576103!L:R,7,FALSE),VLOOKUP(tables_576103!C259,input_576103!A:H,8,FALSE))</f>
        <v>47333.333330000001</v>
      </c>
      <c r="P259" s="46">
        <f t="shared" ca="1" si="13"/>
        <v>3.4722222219899141E-4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input_576103!A$2</f>
        <v>576103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IFERROR(VLOOKUP(B260,input_576103!L:R,7,FALSE),VLOOKUP(tables_576103!C260,input_576103!A:H,8,FALSE))</f>
        <v>121714.28571</v>
      </c>
      <c r="P260" s="46">
        <f t="shared" ca="1" si="13"/>
        <v>8.9285714282884515E-4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input_576103!A$2</f>
        <v>576103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IFERROR(VLOOKUP(B261,input_576103!L:R,7,FALSE),VLOOKUP(tables_576103!C261,input_576103!A:H,8,FALSE))</f>
        <v>47333.333330000001</v>
      </c>
      <c r="P261" s="46">
        <f t="shared" ca="1" si="13"/>
        <v>3.4722222219899141E-4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input_576103!A$2</f>
        <v>576103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IFERROR(VLOOKUP(B262,input_576103!L:R,7,FALSE),VLOOKUP(tables_576103!C262,input_576103!A:H,8,FALSE))</f>
        <v>1211064.75</v>
      </c>
      <c r="P262" s="46">
        <f t="shared" ca="1" si="13"/>
        <v>8.8839843750312519E-3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input_576103!A$2</f>
        <v>576103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IFERROR(VLOOKUP(B263,input_576103!L:R,7,FALSE),VLOOKUP(tables_576103!C263,input_576103!A:H,8,FALSE))</f>
        <v>67095</v>
      </c>
      <c r="P263" s="46">
        <f t="shared" ca="1" si="13"/>
        <v>4.9218750000173147E-4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input_576103!A$2</f>
        <v>576103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IFERROR(VLOOKUP(B264,input_576103!L:R,7,FALSE),VLOOKUP(tables_576103!C264,input_576103!A:H,8,FALSE))</f>
        <v>1211064.75</v>
      </c>
      <c r="P264" s="46">
        <f t="shared" ca="1" si="13"/>
        <v>8.8839843750312519E-3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input_576103!A$2</f>
        <v>576103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IFERROR(VLOOKUP(B265,input_576103!L:R,7,FALSE),VLOOKUP(tables_576103!C265,input_576103!A:H,8,FALSE))</f>
        <v>67095</v>
      </c>
      <c r="P265" s="46">
        <f t="shared" ca="1" si="13"/>
        <v>4.9218750000173147E-4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input_576103!A$2</f>
        <v>576103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IFERROR(VLOOKUP(B266,input_576103!L:R,7,FALSE),VLOOKUP(tables_576103!C266,input_576103!A:H,8,FALSE))</f>
        <v>47333.333330000001</v>
      </c>
      <c r="P266" s="46">
        <f t="shared" ca="1" si="13"/>
        <v>3.4722222219899141E-4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input_576103!A$2</f>
        <v>576103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IFERROR(VLOOKUP(B267,input_576103!L:R,7,FALSE),VLOOKUP(tables_576103!C267,input_576103!A:H,8,FALSE))</f>
        <v>47333.333330000001</v>
      </c>
      <c r="P267" s="46">
        <f t="shared" ca="1" si="13"/>
        <v>3.4722222219899141E-4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input_576103!A$2</f>
        <v>576103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IFERROR(VLOOKUP(B268,input_576103!L:R,7,FALSE),VLOOKUP(tables_576103!C268,input_576103!A:H,8,FALSE))</f>
        <v>47333.333330000001</v>
      </c>
      <c r="P268" s="46">
        <f t="shared" ca="1" si="13"/>
        <v>3.4722222219899141E-4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input_576103!A$2</f>
        <v>576103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IFERROR(VLOOKUP(B269,input_576103!L:R,7,FALSE),VLOOKUP(tables_576103!C269,input_576103!A:H,8,FALSE))</f>
        <v>47333.333330000001</v>
      </c>
      <c r="P269" s="46">
        <f t="shared" ca="1" si="13"/>
        <v>3.4722222219899141E-4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input_576103!A$2</f>
        <v>576103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IFERROR(VLOOKUP(B270,input_576103!L:R,7,FALSE),VLOOKUP(tables_576103!C270,input_576103!A:H,8,FALSE))</f>
        <v>1211064.75</v>
      </c>
      <c r="P270" s="46">
        <f t="shared" ca="1" si="13"/>
        <v>8.8839843750312519E-3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input_576103!A$2</f>
        <v>576103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IFERROR(VLOOKUP(B271,input_576103!L:R,7,FALSE),VLOOKUP(tables_576103!C271,input_576103!A:H,8,FALSE))</f>
        <v>67095</v>
      </c>
      <c r="P271" s="46">
        <f t="shared" ca="1" si="13"/>
        <v>4.9218750000173147E-4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input_576103!A$2</f>
        <v>576103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IFERROR(VLOOKUP(B272,input_576103!L:R,7,FALSE),VLOOKUP(tables_576103!C272,input_576103!A:H,8,FALSE))</f>
        <v>1211064.75</v>
      </c>
      <c r="P272" s="46">
        <f t="shared" ca="1" si="13"/>
        <v>8.8839843750312519E-3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input_576103!A$2</f>
        <v>576103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IFERROR(VLOOKUP(B273,input_576103!L:R,7,FALSE),VLOOKUP(tables_576103!C273,input_576103!A:H,8,FALSE))</f>
        <v>67095</v>
      </c>
      <c r="P273" s="46">
        <f t="shared" ca="1" si="13"/>
        <v>4.9218750000173147E-4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input_576103!A$2</f>
        <v>576103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IFERROR(VLOOKUP(B274,input_576103!L:R,7,FALSE),VLOOKUP(tables_576103!C274,input_576103!A:H,8,FALSE))</f>
        <v>121714.28571</v>
      </c>
      <c r="P274" s="46">
        <f t="shared" ca="1" si="13"/>
        <v>8.9285714282884515E-4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input_576103!A$2</f>
        <v>576103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IFERROR(VLOOKUP(B275,input_576103!L:R,7,FALSE),VLOOKUP(tables_576103!C275,input_576103!A:H,8,FALSE))</f>
        <v>47333.333330000001</v>
      </c>
      <c r="P275" s="46">
        <f t="shared" ca="1" si="13"/>
        <v>3.4722222219899141E-4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input_576103!A$2</f>
        <v>576103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IFERROR(VLOOKUP(B276,input_576103!L:R,7,FALSE),VLOOKUP(tables_576103!C276,input_576103!A:H,8,FALSE))</f>
        <v>121714.28571</v>
      </c>
      <c r="P276" s="46">
        <f t="shared" ca="1" si="13"/>
        <v>8.9285714282884515E-4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input_576103!A$2</f>
        <v>576103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IFERROR(VLOOKUP(B277,input_576103!L:R,7,FALSE),VLOOKUP(tables_576103!C277,input_576103!A:H,8,FALSE))</f>
        <v>47333.333330000001</v>
      </c>
      <c r="P277" s="46">
        <f t="shared" ca="1" si="13"/>
        <v>3.4722222219899141E-4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input_576103!A$2</f>
        <v>576103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IFERROR(VLOOKUP(B278,input_576103!L:R,7,FALSE),VLOOKUP(tables_576103!C278,input_576103!A:H,8,FALSE))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input_576103!A$2</f>
        <v>576103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IFERROR(VLOOKUP(B279,input_576103!L:R,7,FALSE),VLOOKUP(tables_576103!C279,input_576103!A:H,8,FALSE))</f>
        <v>1211064.75</v>
      </c>
      <c r="P279" s="46">
        <f t="shared" ca="1" si="13"/>
        <v>8.8839843750312519E-3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input_576103!A$2</f>
        <v>576103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IFERROR(VLOOKUP(B280,input_576103!L:R,7,FALSE),VLOOKUP(tables_576103!C280,input_576103!A:H,8,FALSE))</f>
        <v>26829.807690000001</v>
      </c>
      <c r="P280" s="46">
        <f t="shared" ca="1" si="13"/>
        <v>1.9681490382991772E-4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input_576103!A$2</f>
        <v>576103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IFERROR(VLOOKUP(B281,input_576103!L:R,7,FALSE),VLOOKUP(tables_576103!C281,input_576103!A:H,8,FALSE))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input_576103!A$2</f>
        <v>576103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IFERROR(VLOOKUP(B282,input_576103!L:R,7,FALSE),VLOOKUP(tables_576103!C282,input_576103!A:H,8,FALSE))</f>
        <v>1211064.75</v>
      </c>
      <c r="P282" s="46">
        <f t="shared" ca="1" si="13"/>
        <v>8.8839843750312519E-3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input_576103!A$2</f>
        <v>576103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IFERROR(VLOOKUP(B283,input_576103!L:R,7,FALSE),VLOOKUP(tables_576103!C283,input_576103!A:H,8,FALSE))</f>
        <v>26829.807690000001</v>
      </c>
      <c r="P283" s="46">
        <f t="shared" ca="1" si="13"/>
        <v>1.9681490382991772E-4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input_576103!A$2</f>
        <v>576103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IFERROR(VLOOKUP(B284,input_576103!L:R,7,FALSE),VLOOKUP(tables_576103!C284,input_576103!A:H,8,FALSE))</f>
        <v>47333.333330000001</v>
      </c>
      <c r="P284" s="46">
        <f t="shared" ca="1" si="13"/>
        <v>3.4722222219899141E-4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input_576103!A$2</f>
        <v>576103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IFERROR(VLOOKUP(B285,input_576103!L:R,7,FALSE),VLOOKUP(tables_576103!C285,input_576103!A:H,8,FALSE))</f>
        <v>47333.333330000001</v>
      </c>
      <c r="P285" s="46">
        <f t="shared" ca="1" si="13"/>
        <v>3.4722222219899141E-4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input_576103!A$2</f>
        <v>576103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IFERROR(VLOOKUP(B286,input_576103!L:R,7,FALSE),VLOOKUP(tables_576103!C286,input_576103!A:H,8,FALSE))</f>
        <v>1211064.75</v>
      </c>
      <c r="P286" s="46">
        <f t="shared" ca="1" si="13"/>
        <v>8.8839843750312519E-3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input_576103!A$2</f>
        <v>576103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IFERROR(VLOOKUP(B287,input_576103!L:R,7,FALSE),VLOOKUP(tables_576103!C287,input_576103!A:H,8,FALSE))</f>
        <v>67095</v>
      </c>
      <c r="P287" s="46">
        <f t="shared" ca="1" si="13"/>
        <v>4.9218750000173147E-4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input_576103!A$2</f>
        <v>576103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IFERROR(VLOOKUP(B288,input_576103!L:R,7,FALSE),VLOOKUP(tables_576103!C288,input_576103!A:H,8,FALSE))</f>
        <v>1211064.75</v>
      </c>
      <c r="P288" s="46">
        <f t="shared" ca="1" si="13"/>
        <v>8.8839843750312519E-3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input_576103!A$2</f>
        <v>576103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IFERROR(VLOOKUP(B289,input_576103!L:R,7,FALSE),VLOOKUP(tables_576103!C289,input_576103!A:H,8,FALSE))</f>
        <v>67095</v>
      </c>
      <c r="P289" s="46">
        <f t="shared" ca="1" si="13"/>
        <v>4.9218750000173147E-4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input_576103!A$2</f>
        <v>576103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IFERROR(VLOOKUP(B290,input_576103!L:R,7,FALSE),VLOOKUP(tables_576103!C290,input_576103!A:H,8,FALSE))</f>
        <v>1211064.75</v>
      </c>
      <c r="P290" s="46">
        <f t="shared" ca="1" si="13"/>
        <v>8.8839843750312519E-3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input_576103!A$2</f>
        <v>576103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IFERROR(VLOOKUP(B291,input_576103!L:R,7,FALSE),VLOOKUP(tables_576103!C291,input_576103!A:H,8,FALSE))</f>
        <v>67095</v>
      </c>
      <c r="P291" s="46">
        <f t="shared" ca="1" si="13"/>
        <v>4.9218750000173147E-4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input_576103!A$2</f>
        <v>576103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IFERROR(VLOOKUP(B292,input_576103!L:R,7,FALSE),VLOOKUP(tables_576103!C292,input_576103!A:H,8,FALSE))</f>
        <v>1211064.75</v>
      </c>
      <c r="P292" s="46">
        <f t="shared" ca="1" si="13"/>
        <v>8.8839843750312519E-3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input_576103!A$2</f>
        <v>576103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IFERROR(VLOOKUP(B293,input_576103!L:R,7,FALSE),VLOOKUP(tables_576103!C293,input_576103!A:H,8,FALSE))</f>
        <v>67095</v>
      </c>
      <c r="P293" s="46">
        <f t="shared" ca="1" si="13"/>
        <v>4.9218750000173147E-4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input_576103!A$2</f>
        <v>576103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IFERROR(VLOOKUP(B294,input_576103!L:R,7,FALSE),VLOOKUP(tables_576103!C294,input_576103!A:H,8,FALSE))</f>
        <v>47333.333330000001</v>
      </c>
      <c r="P294" s="46">
        <f t="shared" ca="1" si="13"/>
        <v>3.4722222219899141E-4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input_576103!A$2</f>
        <v>576103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IFERROR(VLOOKUP(B295,input_576103!L:R,7,FALSE),VLOOKUP(tables_576103!C295,input_576103!A:H,8,FALSE))</f>
        <v>47333.333330000001</v>
      </c>
      <c r="P295" s="46">
        <f t="shared" ref="P295:P299" ca="1" si="20">O295/SUM(O:O)</f>
        <v>3.4722222219899141E-4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input_576103!A$2</f>
        <v>576103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IFERROR(VLOOKUP(B296,input_576103!L:R,7,FALSE),VLOOKUP(tables_576103!C296,input_576103!A:H,8,FALSE))</f>
        <v>47333.333330000001</v>
      </c>
      <c r="P296" s="46">
        <f t="shared" ca="1" si="20"/>
        <v>3.4722222219899141E-4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input_576103!A$2</f>
        <v>576103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IFERROR(VLOOKUP(B297,input_576103!L:R,7,FALSE),VLOOKUP(tables_576103!C297,input_576103!A:H,8,FALSE))</f>
        <v>1211064.75</v>
      </c>
      <c r="P297" s="46">
        <f t="shared" ca="1" si="20"/>
        <v>8.8839843750312519E-3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input_576103!A$2</f>
        <v>576103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IFERROR(VLOOKUP(B298,input_576103!L:R,7,FALSE),VLOOKUP(tables_576103!C298,input_576103!A:H,8,FALSE))</f>
        <v>67095</v>
      </c>
      <c r="P298" s="46">
        <f t="shared" ca="1" si="20"/>
        <v>4.9218750000173147E-4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input_576103!A$2</f>
        <v>576103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IFERROR(VLOOKUP(B299,input_576103!L:R,7,FALSE),VLOOKUP(tables_576103!C299,input_576103!A:H,8,FALSE))</f>
        <v>47333.333330000001</v>
      </c>
      <c r="P299" s="46">
        <f t="shared" ca="1" si="20"/>
        <v>3.4722222219899141E-4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input_576103!A$2</f>
        <v>576103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IFERROR(VLOOKUP(B300,input_576103!L:R,7,FALSE),VLOOKUP(tables_576103!C300,input_576103!A:H,8,FALSE))</f>
        <v>47333.333330000001</v>
      </c>
      <c r="P300" s="46">
        <f t="shared" ref="P300:P304" ca="1" si="22">O300/SUM(O:O)</f>
        <v>3.4722222219899141E-4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input_576103!A$2</f>
        <v>576103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IFERROR(VLOOKUP(B301,input_576103!L:R,7,FALSE),VLOOKUP(tables_576103!C301,input_576103!A:H,8,FALSE))</f>
        <v>47333.333330000001</v>
      </c>
      <c r="P301" s="46">
        <f t="shared" ca="1" si="22"/>
        <v>3.4722222219899141E-4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input_576103!A$2</f>
        <v>576103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IFERROR(VLOOKUP(B302,input_576103!L:R,7,FALSE),VLOOKUP(tables_576103!C302,input_576103!A:H,8,FALSE))</f>
        <v>47333.333330000001</v>
      </c>
      <c r="P302" s="46">
        <f t="shared" ca="1" si="22"/>
        <v>3.4722222219899141E-4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input_576103!A$2</f>
        <v>576103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IFERROR(VLOOKUP(B303,input_576103!L:R,7,FALSE),VLOOKUP(tables_576103!C303,input_576103!A:H,8,FALSE))</f>
        <v>1211064.75</v>
      </c>
      <c r="P303" s="46">
        <f t="shared" ca="1" si="22"/>
        <v>8.8839843750312519E-3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input_576103!A$2</f>
        <v>576103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IFERROR(VLOOKUP(B304,input_576103!L:R,7,FALSE),VLOOKUP(tables_576103!C304,input_576103!A:H,8,FALSE))</f>
        <v>67095</v>
      </c>
      <c r="P304" s="46">
        <f t="shared" ca="1" si="22"/>
        <v>4.9218750000173147E-4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input_576103!A$2</f>
        <v>576103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IFERROR(VLOOKUP(B305,input_576103!L:R,7,FALSE),VLOOKUP(tables_576103!C305,input_576103!A:H,8,FALSE))</f>
        <v>47333.333330000001</v>
      </c>
      <c r="P305" s="46">
        <f t="shared" ref="P305:P308" ca="1" si="24">O305/SUM(O:O)</f>
        <v>3.4722222219899141E-4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input_576103!A$2</f>
        <v>576103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IFERROR(VLOOKUP(B306,input_576103!L:R,7,FALSE),VLOOKUP(tables_576103!C306,input_576103!A:H,8,FALSE))</f>
        <v>1211064.75</v>
      </c>
      <c r="P306" s="46">
        <f t="shared" ca="1" si="24"/>
        <v>8.8839843750312519E-3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input_576103!A$2</f>
        <v>576103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IFERROR(VLOOKUP(B307,input_576103!L:R,7,FALSE),VLOOKUP(tables_576103!C307,input_576103!A:H,8,FALSE))</f>
        <v>67095</v>
      </c>
      <c r="P307" s="46">
        <f t="shared" ca="1" si="24"/>
        <v>4.9218750000173147E-4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input_576103!A$2</f>
        <v>576103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IFERROR(VLOOKUP(B308,input_576103!L:R,7,FALSE),VLOOKUP(tables_576103!C308,input_576103!A:H,8,FALSE))</f>
        <v>47333.333330000001</v>
      </c>
      <c r="P308" s="46">
        <f t="shared" ca="1" si="24"/>
        <v>3.4722222219899141E-4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input_576103!A$2</f>
        <v>576103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IFERROR(VLOOKUP(B309,input_576103!L:R,7,FALSE),VLOOKUP(tables_576103!C309,input_576103!A:H,8,FALSE))</f>
        <v>47333.333330000001</v>
      </c>
      <c r="P309" s="46">
        <f t="shared" ref="P309" ca="1" si="26">O309/SUM(O:O)</f>
        <v>3.4722222219899141E-4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input_576103!A$2</f>
        <v>576103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IFERROR(VLOOKUP(B310,input_576103!L:R,7,FALSE),VLOOKUP(tables_576103!C310,input_576103!A:H,8,FALSE))</f>
        <v>47333.333330000001</v>
      </c>
      <c r="P310" s="46">
        <f t="shared" ref="P310:P314" ca="1" si="28">O310/SUM(O:O)</f>
        <v>3.4722222219899141E-4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input_576103!A$2</f>
        <v>576103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IFERROR(VLOOKUP(B311,input_576103!L:R,7,FALSE),VLOOKUP(tables_576103!C311,input_576103!A:H,8,FALSE))</f>
        <v>1211064.75</v>
      </c>
      <c r="P311" s="46">
        <f t="shared" ca="1" si="28"/>
        <v>8.8839843750312519E-3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input_576103!A$2</f>
        <v>576103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IFERROR(VLOOKUP(B312,input_576103!L:R,7,FALSE),VLOOKUP(tables_576103!C312,input_576103!A:H,8,FALSE))</f>
        <v>67095</v>
      </c>
      <c r="P312" s="46">
        <f t="shared" ca="1" si="28"/>
        <v>4.9218750000173147E-4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input_576103!A$2</f>
        <v>576103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IFERROR(VLOOKUP(B313,input_576103!L:R,7,FALSE),VLOOKUP(tables_576103!C313,input_576103!A:H,8,FALSE))</f>
        <v>47333.333330000001</v>
      </c>
      <c r="P313" s="46">
        <f t="shared" ca="1" si="28"/>
        <v>3.4722222219899141E-4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input_576103!A$2</f>
        <v>576103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IFERROR(VLOOKUP(B314,input_576103!L:R,7,FALSE),VLOOKUP(tables_576103!C314,input_576103!A:H,8,FALSE))</f>
        <v>47333.333330000001</v>
      </c>
      <c r="P314" s="46">
        <f t="shared" ca="1" si="28"/>
        <v>3.4722222219899141E-4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input_576103!A$2</f>
        <v>576103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IFERROR(VLOOKUP(B315,input_576103!L:R,7,FALSE),VLOOKUP(tables_576103!C315,input_576103!A:H,8,FALSE))</f>
        <v>47333.333330000001</v>
      </c>
      <c r="P315" s="46">
        <f t="shared" ref="P315:P319" ca="1" si="30">O315/SUM(O:O)</f>
        <v>3.4722222219899141E-4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input_576103!A$2</f>
        <v>576103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IFERROR(VLOOKUP(B316,input_576103!L:R,7,FALSE),VLOOKUP(tables_576103!C316,input_576103!A:H,8,FALSE))</f>
        <v>47333.333330000001</v>
      </c>
      <c r="P316" s="46">
        <f t="shared" ca="1" si="30"/>
        <v>3.4722222219899141E-4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input_576103!A$2</f>
        <v>576103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IFERROR(VLOOKUP(B317,input_576103!L:R,7,FALSE),VLOOKUP(tables_576103!C317,input_576103!A:H,8,FALSE))</f>
        <v>47333.333330000001</v>
      </c>
      <c r="P317" s="46">
        <f t="shared" ca="1" si="30"/>
        <v>3.4722222219899141E-4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input_576103!A$2</f>
        <v>576103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IFERROR(VLOOKUP(B318,input_576103!L:R,7,FALSE),VLOOKUP(tables_576103!C318,input_576103!A:H,8,FALSE))</f>
        <v>1211064.75</v>
      </c>
      <c r="P318" s="46">
        <f t="shared" ca="1" si="30"/>
        <v>8.8839843750312519E-3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input_576103!A$2</f>
        <v>576103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IFERROR(VLOOKUP(B319,input_576103!L:R,7,FALSE),VLOOKUP(tables_576103!C319,input_576103!A:H,8,FALSE))</f>
        <v>67095</v>
      </c>
      <c r="P319" s="46">
        <f t="shared" ca="1" si="30"/>
        <v>4.9218750000173147E-4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input_576103!A$2</f>
        <v>576103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IFERROR(VLOOKUP(B320,input_576103!L:R,7,FALSE),VLOOKUP(tables_576103!C320,input_576103!A:H,8,FALSE))</f>
        <v>47333.333330000001</v>
      </c>
      <c r="P320" s="46">
        <f t="shared" ref="P320:P324" ca="1" si="32">O320/SUM(O:O)</f>
        <v>3.4722222219899141E-4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input_576103!A$2</f>
        <v>576103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IFERROR(VLOOKUP(B321,input_576103!L:R,7,FALSE),VLOOKUP(tables_576103!C321,input_576103!A:H,8,FALSE))</f>
        <v>47333.333330000001</v>
      </c>
      <c r="P321" s="46">
        <f t="shared" ca="1" si="32"/>
        <v>3.4722222219899141E-4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input_576103!A$2</f>
        <v>576103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IFERROR(VLOOKUP(B322,input_576103!L:R,7,FALSE),VLOOKUP(tables_576103!C322,input_576103!A:H,8,FALSE))</f>
        <v>47333.333330000001</v>
      </c>
      <c r="P322" s="46">
        <f t="shared" ca="1" si="32"/>
        <v>3.4722222219899141E-4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input_576103!A$2</f>
        <v>576103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IFERROR(VLOOKUP(B323,input_576103!L:R,7,FALSE),VLOOKUP(tables_576103!C323,input_576103!A:H,8,FALSE))</f>
        <v>47333.333330000001</v>
      </c>
      <c r="P323" s="46">
        <f t="shared" ca="1" si="32"/>
        <v>3.4722222219899141E-4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input_576103!A$2</f>
        <v>576103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IFERROR(VLOOKUP(B324,input_576103!L:R,7,FALSE),VLOOKUP(tables_576103!C324,input_576103!A:H,8,FALSE))</f>
        <v>1211064.75</v>
      </c>
      <c r="P324" s="46">
        <f t="shared" ca="1" si="32"/>
        <v>8.8839843750312519E-3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input_576103!A$2</f>
        <v>576103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IFERROR(VLOOKUP(B325,input_576103!L:R,7,FALSE),VLOOKUP(tables_576103!C325,input_576103!A:H,8,FALSE))</f>
        <v>67095</v>
      </c>
      <c r="P325" s="46">
        <f t="shared" ref="P325:P330" ca="1" si="35">O325/SUM(O:O)</f>
        <v>4.9218750000173147E-4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input_576103!A$2</f>
        <v>576103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IFERROR(VLOOKUP(B326,input_576103!L:R,7,FALSE),VLOOKUP(tables_576103!C326,input_576103!A:H,8,FALSE))</f>
        <v>1211064.75</v>
      </c>
      <c r="P326" s="46">
        <f t="shared" ca="1" si="35"/>
        <v>8.8839843750312519E-3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input_576103!A$2</f>
        <v>576103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IFERROR(VLOOKUP(B327,input_576103!L:R,7,FALSE),VLOOKUP(tables_576103!C327,input_576103!A:H,8,FALSE))</f>
        <v>67095</v>
      </c>
      <c r="P327" s="46">
        <f t="shared" ca="1" si="35"/>
        <v>4.9218750000173147E-4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input_576103!A$2</f>
        <v>576103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IFERROR(VLOOKUP(B328,input_576103!L:R,7,FALSE),VLOOKUP(tables_576103!C328,input_576103!A:H,8,FALSE))</f>
        <v>47333.333330000001</v>
      </c>
      <c r="P328" s="46">
        <f t="shared" ca="1" si="35"/>
        <v>3.4722222219899141E-4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input_576103!A$2</f>
        <v>576103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IFERROR(VLOOKUP(B329,input_576103!L:R,7,FALSE),VLOOKUP(tables_576103!C329,input_576103!A:H,8,FALSE))</f>
        <v>47333.333330000001</v>
      </c>
      <c r="P329" s="46">
        <f t="shared" ca="1" si="35"/>
        <v>3.4722222219899141E-4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input_576103!A$2</f>
        <v>576103</v>
      </c>
      <c r="B330" s="2">
        <v>1157</v>
      </c>
      <c r="C330" s="7" t="str">
        <f t="shared" si="34"/>
        <v>PremiumSS5R5only</v>
      </c>
      <c r="D330" s="91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IFERROR(VLOOKUP(B330,input_576103!L:R,7,FALSE),VLOOKUP(tables_576103!C330,input_576103!A:H,8,FALSE))</f>
        <v>47333.333330000001</v>
      </c>
      <c r="P330" s="46">
        <f t="shared" ca="1" si="35"/>
        <v>3.4722222219899141E-4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input_576103!A$2</f>
        <v>576103</v>
      </c>
      <c r="B331" s="60">
        <v>1214</v>
      </c>
      <c r="C331" s="7" t="str">
        <f t="shared" ref="C331:C335" si="36">D331&amp;J331&amp;E331&amp;F331&amp;G331</f>
        <v>PremiumSS5R5only</v>
      </c>
      <c r="D331" s="91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IFERROR(VLOOKUP(B331,input_576103!L:R,7,FALSE),VLOOKUP(tables_576103!C331,input_576103!A:H,8,FALSE))</f>
        <v>47333.333330000001</v>
      </c>
      <c r="P331" s="46">
        <f t="shared" ref="P331:P335" ca="1" si="38">O331/SUM(O:O)</f>
        <v>3.4722222219899141E-4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input_576103!A$2</f>
        <v>576103</v>
      </c>
      <c r="B332" s="60">
        <v>1212</v>
      </c>
      <c r="C332" s="7" t="str">
        <f t="shared" si="36"/>
        <v>PremiumSS5R5only</v>
      </c>
      <c r="D332" s="91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IFERROR(VLOOKUP(B332,input_576103!L:R,7,FALSE),VLOOKUP(tables_576103!C332,input_576103!A:H,8,FALSE))</f>
        <v>47333.333330000001</v>
      </c>
      <c r="P332" s="46">
        <f t="shared" ca="1" si="38"/>
        <v>3.4722222219899141E-4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input_576103!A$2</f>
        <v>576103</v>
      </c>
      <c r="B333" s="60">
        <v>1208</v>
      </c>
      <c r="C333" s="7" t="str">
        <f t="shared" si="36"/>
        <v>PremiumSS5R5only</v>
      </c>
      <c r="D333" s="91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IFERROR(VLOOKUP(B333,input_576103!L:R,7,FALSE),VLOOKUP(tables_576103!C333,input_576103!A:H,8,FALSE))</f>
        <v>47333.333330000001</v>
      </c>
      <c r="P333" s="46">
        <f t="shared" ca="1" si="38"/>
        <v>3.4722222219899141E-4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input_576103!A$2</f>
        <v>576103</v>
      </c>
      <c r="B334" s="89">
        <v>1210</v>
      </c>
      <c r="C334" s="7" t="str">
        <f t="shared" si="36"/>
        <v>Premium4R3less</v>
      </c>
      <c r="D334" s="91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IFERROR(VLOOKUP(B334,input_576103!L:R,7,FALSE),VLOOKUP(tables_576103!C334,input_576103!A:H,8,FALSE))</f>
        <v>1211064.75</v>
      </c>
      <c r="P334" s="46">
        <f t="shared" ca="1" si="38"/>
        <v>8.8839843750312519E-3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input_576103!A$2</f>
        <v>576103</v>
      </c>
      <c r="B335" s="60">
        <v>1211</v>
      </c>
      <c r="C335" s="7" t="str">
        <f t="shared" si="36"/>
        <v>Premium5R3less</v>
      </c>
      <c r="D335" s="91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IFERROR(VLOOKUP(B335,input_576103!L:R,7,FALSE),VLOOKUP(tables_576103!C335,input_576103!A:H,8,FALSE))</f>
        <v>67095</v>
      </c>
      <c r="P335" s="46">
        <f t="shared" ca="1" si="38"/>
        <v>4.9218750000173147E-4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input_576103!A$2</f>
        <v>576103</v>
      </c>
      <c r="B336" s="2">
        <v>1224</v>
      </c>
      <c r="C336" s="7" t="str">
        <f t="shared" ref="C336:C340" si="39">D336&amp;J336&amp;E336&amp;F336&amp;G336</f>
        <v>Premium4R3less</v>
      </c>
      <c r="D336" s="91" t="str">
        <f t="shared" ref="D336:D340" si="4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IFERROR(VLOOKUP(B336,input_576103!L:R,7,FALSE),VLOOKUP(tables_576103!C336,input_576103!A:H,8,FALSE))</f>
        <v>1211064.75</v>
      </c>
      <c r="P336" s="46">
        <f t="shared" ref="P336:P340" ca="1" si="41">O336/SUM(O:O)</f>
        <v>8.8839843750312519E-3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input_576103!A$2</f>
        <v>576103</v>
      </c>
      <c r="B337" s="2">
        <v>1225</v>
      </c>
      <c r="C337" s="7" t="str">
        <f t="shared" si="39"/>
        <v>Premium5R3less</v>
      </c>
      <c r="D337" s="91" t="str">
        <f t="shared" si="4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IFERROR(VLOOKUP(B337,input_576103!L:R,7,FALSE),VLOOKUP(tables_576103!C337,input_576103!A:H,8,FALSE))</f>
        <v>67095</v>
      </c>
      <c r="P337" s="46">
        <f t="shared" ca="1" si="41"/>
        <v>4.9218750000173147E-4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input_576103!A$2</f>
        <v>576103</v>
      </c>
      <c r="B338" s="2">
        <v>1226</v>
      </c>
      <c r="C338" s="7" t="str">
        <f t="shared" si="39"/>
        <v>PremiumSS5R5only</v>
      </c>
      <c r="D338" s="91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IFERROR(VLOOKUP(B338,input_576103!L:R,7,FALSE),VLOOKUP(tables_576103!C338,input_576103!A:H,8,FALSE))</f>
        <v>47333.333330000001</v>
      </c>
      <c r="P338" s="46">
        <f t="shared" ca="1" si="41"/>
        <v>3.4722222219899141E-4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input_576103!A$2</f>
        <v>576103</v>
      </c>
      <c r="B339" s="2">
        <v>1228</v>
      </c>
      <c r="C339" s="7" t="str">
        <f t="shared" si="39"/>
        <v>PremiumSS5R5only</v>
      </c>
      <c r="D339" s="91" t="str">
        <f t="shared" si="4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IFERROR(VLOOKUP(B339,input_576103!L:R,7,FALSE),VLOOKUP(tables_576103!C339,input_576103!A:H,8,FALSE))</f>
        <v>47333.333330000001</v>
      </c>
      <c r="P339" s="46">
        <f t="shared" ca="1" si="41"/>
        <v>3.4722222219899141E-4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input_576103!A$2</f>
        <v>576103</v>
      </c>
      <c r="B340" s="2">
        <v>1230</v>
      </c>
      <c r="C340" s="7" t="str">
        <f t="shared" si="39"/>
        <v>PremiumSS5R5only</v>
      </c>
      <c r="D340" s="91" t="str">
        <f t="shared" si="4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IFERROR(VLOOKUP(B340,input_576103!L:R,7,FALSE),VLOOKUP(tables_576103!C340,input_576103!A:H,8,FALSE))</f>
        <v>47333.333330000001</v>
      </c>
      <c r="P340" s="46">
        <f t="shared" ca="1" si="41"/>
        <v>3.4722222219899141E-4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input_576103!A$2</f>
        <v>576103</v>
      </c>
      <c r="B341" s="1">
        <v>1250</v>
      </c>
      <c r="C341" s="7" t="str">
        <f t="shared" ref="C341" si="42">D341&amp;J341&amp;E341&amp;F341&amp;G341</f>
        <v>PremiumSS5R5only</v>
      </c>
      <c r="D341" s="91" t="str">
        <f t="shared" ref="D341" si="4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IFERROR(VLOOKUP(B341,input_576103!L:R,7,FALSE),VLOOKUP(tables_576103!C341,input_576103!A:H,8,FALSE))</f>
        <v>47333.333330000001</v>
      </c>
      <c r="P341" s="46">
        <f t="shared" ref="P341" ca="1" si="44">O341/SUM(O:O)</f>
        <v>3.4722222219899141E-4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input_576103!A$2</f>
        <v>576103</v>
      </c>
      <c r="B342" s="1">
        <v>1248</v>
      </c>
      <c r="C342" s="7" t="str">
        <f t="shared" ref="C342:C356" si="45">D342&amp;J342&amp;E342&amp;F342&amp;G342</f>
        <v>Premium4R3less</v>
      </c>
      <c r="D342" s="91" t="str">
        <f t="shared" ref="D342:D356" si="46">IF(OR(I342="PremiumSS",I342="PremiumSSw"),"PremiumSS",IF(I342="PremiumSSS",I342,IF(I342="PremiumW",IF(J342=5,"premium",I342),"Premium")))</f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IFERROR(VLOOKUP(B342,input_576103!L:R,7,FALSE),VLOOKUP(tables_576103!C342,input_576103!A:H,8,FALSE))</f>
        <v>1211064.75</v>
      </c>
      <c r="P342" s="46">
        <f t="shared" ref="P342:P356" ca="1" si="47">O342/SUM(O:O)</f>
        <v>8.8839843750312519E-3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input_576103!A$2</f>
        <v>576103</v>
      </c>
      <c r="B343" s="1">
        <v>1249</v>
      </c>
      <c r="C343" s="7" t="str">
        <f t="shared" si="45"/>
        <v>Premium5R3less</v>
      </c>
      <c r="D343" s="91" t="str">
        <f t="shared" si="46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IFERROR(VLOOKUP(B343,input_576103!L:R,7,FALSE),VLOOKUP(tables_576103!C343,input_576103!A:H,8,FALSE))</f>
        <v>67095</v>
      </c>
      <c r="P343" s="46">
        <f t="shared" ca="1" si="47"/>
        <v>4.9218750000173147E-4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input_576103!A$2</f>
        <v>576103</v>
      </c>
      <c r="B344" s="1">
        <v>1246</v>
      </c>
      <c r="C344" s="7" t="str">
        <f t="shared" si="45"/>
        <v>PremiumSS5R5only</v>
      </c>
      <c r="D344" s="91" t="str">
        <f t="shared" si="46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IFERROR(VLOOKUP(B344,input_576103!L:R,7,FALSE),VLOOKUP(tables_576103!C344,input_576103!A:H,8,FALSE))</f>
        <v>47333.333330000001</v>
      </c>
      <c r="P344" s="46">
        <f t="shared" ca="1" si="47"/>
        <v>3.4722222219899141E-4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input_576103!A$2</f>
        <v>576103</v>
      </c>
      <c r="B345" s="1">
        <v>1244</v>
      </c>
      <c r="C345" s="7" t="str">
        <f t="shared" si="45"/>
        <v>PremiumSS5R5only</v>
      </c>
      <c r="D345" s="91" t="str">
        <f t="shared" si="46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IFERROR(VLOOKUP(B345,input_576103!L:R,7,FALSE),VLOOKUP(tables_576103!C345,input_576103!A:H,8,FALSE))</f>
        <v>47333.333330000001</v>
      </c>
      <c r="P345" s="46">
        <f t="shared" ca="1" si="47"/>
        <v>3.4722222219899141E-4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input_576103!A$2</f>
        <v>576103</v>
      </c>
      <c r="B346" s="1">
        <v>1260</v>
      </c>
      <c r="C346" s="7" t="str">
        <f t="shared" si="45"/>
        <v>PremiumSS5R5only</v>
      </c>
      <c r="D346" s="91" t="str">
        <f t="shared" si="46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IFERROR(VLOOKUP(B346,input_576103!L:R,7,FALSE),VLOOKUP(tables_576103!C346,input_576103!A:H,8,FALSE))</f>
        <v>47333.333330000001</v>
      </c>
      <c r="P346" s="46">
        <f t="shared" ca="1" si="47"/>
        <v>3.4722222219899141E-4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input_576103!A$2</f>
        <v>576103</v>
      </c>
      <c r="B347" s="1">
        <v>1262</v>
      </c>
      <c r="C347" s="7" t="str">
        <f t="shared" si="45"/>
        <v>PremiumSS5R5only</v>
      </c>
      <c r="D347" s="91" t="str">
        <f t="shared" si="4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IFERROR(VLOOKUP(B347,input_576103!L:R,7,FALSE),VLOOKUP(tables_576103!C347,input_576103!A:H,8,FALSE))</f>
        <v>47333.333330000001</v>
      </c>
      <c r="P347" s="46">
        <f t="shared" ca="1" si="47"/>
        <v>3.4722222219899141E-4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input_576103!A$2</f>
        <v>576103</v>
      </c>
      <c r="B348" s="1">
        <v>1264</v>
      </c>
      <c r="C348" s="7" t="str">
        <f t="shared" si="45"/>
        <v>PremiumSS5R5only</v>
      </c>
      <c r="D348" s="91" t="str">
        <f t="shared" si="46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IFERROR(VLOOKUP(B348,input_576103!L:R,7,FALSE),VLOOKUP(tables_576103!C348,input_576103!A:H,8,FALSE))</f>
        <v>47333.333330000001</v>
      </c>
      <c r="P348" s="46">
        <f t="shared" ca="1" si="47"/>
        <v>3.4722222219899141E-4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input_576103!A$2</f>
        <v>576103</v>
      </c>
      <c r="B349" s="1">
        <v>1266</v>
      </c>
      <c r="C349" s="7" t="str">
        <f t="shared" si="45"/>
        <v>Premium4R3less</v>
      </c>
      <c r="D349" s="91" t="str">
        <f t="shared" si="46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IFERROR(VLOOKUP(B349,input_576103!L:R,7,FALSE),VLOOKUP(tables_576103!C349,input_576103!A:H,8,FALSE))</f>
        <v>1211064.75</v>
      </c>
      <c r="P349" s="46">
        <f t="shared" ca="1" si="47"/>
        <v>8.8839843750312519E-3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input_576103!A$2</f>
        <v>576103</v>
      </c>
      <c r="B350" s="1">
        <v>1267</v>
      </c>
      <c r="C350" s="7" t="str">
        <f t="shared" si="45"/>
        <v>Premium5R3less</v>
      </c>
      <c r="D350" s="91" t="str">
        <f t="shared" si="46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IFERROR(VLOOKUP(B350,input_576103!L:R,7,FALSE),VLOOKUP(tables_576103!C350,input_576103!A:H,8,FALSE))</f>
        <v>67095</v>
      </c>
      <c r="P350" s="46">
        <f t="shared" ca="1" si="47"/>
        <v>4.9218750000173147E-4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input_576103!A$2</f>
        <v>576103</v>
      </c>
      <c r="B351" s="94">
        <v>1332</v>
      </c>
      <c r="C351" s="7" t="str">
        <f t="shared" si="45"/>
        <v>PremiumSS5R5only</v>
      </c>
      <c r="D351" s="91" t="str">
        <f t="shared" si="46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IFERROR(VLOOKUP(B351,input_576103!L:R,7,FALSE),VLOOKUP(tables_576103!C351,input_576103!A:H,8,FALSE))</f>
        <v>47333.333330000001</v>
      </c>
      <c r="P351" s="46">
        <f t="shared" ca="1" si="47"/>
        <v>3.4722222219899141E-4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input_576103!A$2</f>
        <v>576103</v>
      </c>
      <c r="B352" s="94">
        <v>1336</v>
      </c>
      <c r="C352" s="7" t="str">
        <f t="shared" si="45"/>
        <v>PremiumSS5R5only</v>
      </c>
      <c r="D352" s="91" t="str">
        <f t="shared" si="46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IFERROR(VLOOKUP(B352,input_576103!L:R,7,FALSE),VLOOKUP(tables_576103!C352,input_576103!A:H,8,FALSE))</f>
        <v>47333.333330000001</v>
      </c>
      <c r="P352" s="46">
        <f t="shared" ca="1" si="47"/>
        <v>3.4722222219899141E-4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input_576103!A$2</f>
        <v>576103</v>
      </c>
      <c r="B353" s="94">
        <v>1338</v>
      </c>
      <c r="C353" s="7" t="str">
        <f t="shared" si="45"/>
        <v>PremiumSS5R5only</v>
      </c>
      <c r="D353" s="91" t="str">
        <f t="shared" si="46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IFERROR(VLOOKUP(B353,input_576103!L:R,7,FALSE),VLOOKUP(tables_576103!C353,input_576103!A:H,8,FALSE))</f>
        <v>47333.333330000001</v>
      </c>
      <c r="P353" s="46">
        <f t="shared" ca="1" si="47"/>
        <v>3.4722222219899141E-4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input_576103!A$2</f>
        <v>576103</v>
      </c>
      <c r="B354" s="94">
        <v>1334</v>
      </c>
      <c r="C354" s="7" t="str">
        <f t="shared" si="45"/>
        <v>Premium4R3less</v>
      </c>
      <c r="D354" s="91" t="str">
        <f t="shared" si="46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IFERROR(VLOOKUP(B354,input_576103!L:R,7,FALSE),VLOOKUP(tables_576103!C354,input_576103!A:H,8,FALSE))</f>
        <v>1211064.75</v>
      </c>
      <c r="P354" s="46">
        <f t="shared" ca="1" si="47"/>
        <v>8.8839843750312519E-3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input_576103!A$2</f>
        <v>576103</v>
      </c>
      <c r="B355" s="94">
        <v>1335</v>
      </c>
      <c r="C355" s="7" t="str">
        <f t="shared" si="45"/>
        <v>Premium5R3less</v>
      </c>
      <c r="D355" s="91" t="str">
        <f t="shared" si="46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IFERROR(VLOOKUP(B355,input_576103!L:R,7,FALSE),VLOOKUP(tables_576103!C355,input_576103!A:H,8,FALSE))</f>
        <v>67095</v>
      </c>
      <c r="P355" s="46">
        <f t="shared" ca="1" si="47"/>
        <v>4.9218750000173147E-4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input_576103!A$2</f>
        <v>576103</v>
      </c>
      <c r="B356" s="60">
        <v>1076</v>
      </c>
      <c r="C356" s="7" t="str">
        <f t="shared" si="45"/>
        <v>PremiumSSS5R3less</v>
      </c>
      <c r="D356" s="91" t="str">
        <f t="shared" si="46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パレート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green</v>
      </c>
      <c r="L356" s="7" t="str">
        <f>VLOOKUP(B356,[1]characters!$A:$K,11,FALSE)</f>
        <v>balance</v>
      </c>
      <c r="M356" s="7" t="str">
        <f>VLOOKUP(B356,[1]characters!$A:$M,13,FALSE)</f>
        <v>academia</v>
      </c>
      <c r="N356" s="7" t="str">
        <f>VLOOKUP(B356,[1]characters!$A:$G,7,FALSE)</f>
        <v>男性</v>
      </c>
      <c r="O356" s="45">
        <f>IFERROR(VLOOKUP(B356,input_576103!L:R,7,FALSE),VLOOKUP(tables_576103!C356,input_576103!A:H,8,FALSE))</f>
        <v>681600</v>
      </c>
      <c r="P356" s="46">
        <f t="shared" ca="1" si="47"/>
        <v>5.0000000000175893E-3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95">
        <v>10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50"/>
  <sheetViews>
    <sheetView workbookViewId="0">
      <selection activeCell="B28" sqref="B28:B2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576104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1076</v>
      </c>
      <c r="M3" s="37" t="str">
        <f>VLOOKUP(L3,[1]characters!$A:$C,3,FALSE)</f>
        <v>パレート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VLOOKUP(L3,tables_576104!B:C,2,FALSE)</f>
        <v>PremiumSSS5R3less</v>
      </c>
      <c r="R3" s="62">
        <f t="shared" ref="R3:R20" si="1">N3*A$36</f>
        <v>1363200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VLOOKUP(L4,tables_576104!B:C,2,FALSE)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5.6338028169014088E-4</v>
      </c>
      <c r="F5">
        <f>(COUNTIF(tables_576104!C:C,input_576104!A28)+COUNTIF(tables_576104!C:C,input_576104!A29))</f>
        <v>72</v>
      </c>
      <c r="H5" s="83">
        <v>0.01</v>
      </c>
      <c r="I5" s="31">
        <v>1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VLOOKUP(L5,tables_576104!B:C,2,FALSE)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5">
        <f>(B10-H6)/(F6-I6)</f>
        <v>9.7916666666666655E-3</v>
      </c>
      <c r="F6">
        <f>(COUNTIF(tables_576104!C:C,input_576104!A25)+COUNTIF(tables_576104!C:C,input_576104!A18)+COUNTIF(tables_576104!C:C,input_576104!A20)+COUNTIF(tables_576104!C:C,input_576104!A22))</f>
        <v>96</v>
      </c>
      <c r="H6" s="87">
        <v>0</v>
      </c>
      <c r="I6" s="31">
        <v>0</v>
      </c>
      <c r="L6" s="89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VLOOKUP(L6,tables_576104!B:C,2,FALSE)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VLOOKUP(L7,tables_576104!B:C,2,FALSE)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5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VLOOKUP(L8,tables_576104!B:C,2,FALSE)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VLOOKUP(L9,tables_576104!B:C,2,FALSE)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VLOOKUP(L10,tables_576104!B:C,2,FALSE)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6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VLOOKUP(L11,tables_576104!B:C,2,FALSE)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VLOOKUP(L12,tables_576104!B:C,2,FALSE)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VLOOKUP(L13,tables_576104!B:C,2,FALSE)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VLOOKUP(L14,tables_576104!B:C,2,FALSE)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VLOOKUP(L15,tables_576104!B:C,2,FALSE)</f>
        <v>#N/A</v>
      </c>
      <c r="R15" s="62">
        <f t="shared" si="1"/>
        <v>0</v>
      </c>
      <c r="S15">
        <v>395</v>
      </c>
      <c r="U15" s="33" t="s">
        <v>109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VLOOKUP(L16,tables_576104!B:C,2,FALSE)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COUNTIF(tables_576104!C:C,input_576104!A17)-COUNTIF(Q:Q,A17)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VLOOKUP(L17,tables_576104!B:C,2,FALSE)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B6-SUM(B20,B22,B25,B27,C27,C31)</f>
        <v>0.24338958333333327</v>
      </c>
      <c r="C18" s="84">
        <f t="shared" si="2"/>
        <v>0</v>
      </c>
      <c r="D18" s="74">
        <f t="shared" si="3"/>
        <v>0.24338958333333327</v>
      </c>
      <c r="E18">
        <f>COUNTIF(tables_576104!C:C,input_576104!A18)-COUNTIF(Q:Q,A18)</f>
        <v>20</v>
      </c>
      <c r="F18" s="43">
        <f>IFERROR(B18/E18,0)</f>
        <v>1.2169479166666664E-2</v>
      </c>
      <c r="G18">
        <f t="shared" si="4"/>
        <v>33178867.999999993</v>
      </c>
      <c r="H18">
        <f t="shared" si="5"/>
        <v>1658943.4</v>
      </c>
      <c r="I18">
        <f t="shared" si="6"/>
        <v>0.39999999990686774</v>
      </c>
      <c r="J18">
        <f t="shared" si="7"/>
        <v>2.5000000005820766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VLOOKUP(L18,tables_576104!B:C,2,FALSE)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COUNTIF(tables_576104!C:C,input_576104!A19)-COUNTIF(Q:Q,A19)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VLOOKUP(L19,tables_576104!B:C,2,FALSE)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E$6*E20*B$6*0.95</f>
        <v>0.45952291666666661</v>
      </c>
      <c r="C20" s="84">
        <f t="shared" si="2"/>
        <v>0</v>
      </c>
      <c r="D20" s="74">
        <f t="shared" si="3"/>
        <v>0.45952291666666661</v>
      </c>
      <c r="E20">
        <f>COUNTIF(tables_576104!C:C,input_576104!A20)-COUNTIF(Q:Q,A20)</f>
        <v>52</v>
      </c>
      <c r="F20" s="43">
        <f t="shared" si="8"/>
        <v>8.8369791666666649E-3</v>
      </c>
      <c r="G20">
        <f t="shared" si="4"/>
        <v>62642163.999999993</v>
      </c>
      <c r="H20">
        <f t="shared" si="5"/>
        <v>1204657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VLOOKUP(L20,tables_576104!B:C,2,FALSE)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B7-B23-B26-B28-B29-B31-C28</f>
        <v>1.0312500000000002E-2</v>
      </c>
      <c r="C21" s="84">
        <f t="shared" si="2"/>
        <v>0</v>
      </c>
      <c r="D21" s="74">
        <f t="shared" si="3"/>
        <v>1.0312500000000002E-2</v>
      </c>
      <c r="E21">
        <f>COUNTIF(tables_576104!C:C,input_576104!A21)-COUNTIF(Q:Q,A21)</f>
        <v>52</v>
      </c>
      <c r="F21" s="43">
        <f t="shared" si="8"/>
        <v>1.9831730769230774E-4</v>
      </c>
      <c r="G21">
        <f t="shared" si="4"/>
        <v>1405800.0000000002</v>
      </c>
      <c r="H21">
        <f t="shared" si="5"/>
        <v>27034.615379999999</v>
      </c>
      <c r="I21">
        <f t="shared" si="6"/>
        <v>0.61537999999927706</v>
      </c>
      <c r="J21">
        <f t="shared" si="7"/>
        <v>1.6250121875933159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90">
        <f>E$6*E22*B$6*0.95</f>
        <v>0.17673958333333328</v>
      </c>
      <c r="C22" s="84">
        <f t="shared" si="2"/>
        <v>0</v>
      </c>
      <c r="D22" s="74">
        <f t="shared" si="3"/>
        <v>0.17673958333333328</v>
      </c>
      <c r="E22">
        <f>COUNTIF(tables_576104!C:C,input_576104!A22)-COUNTIF(Q:Q,A22)</f>
        <v>20</v>
      </c>
      <c r="F22" s="43">
        <f t="shared" si="8"/>
        <v>8.8369791666666649E-3</v>
      </c>
      <c r="G22">
        <f t="shared" si="4"/>
        <v>24093139.999999993</v>
      </c>
      <c r="H22">
        <f t="shared" si="5"/>
        <v>1204657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1.2729166666666666E-2</v>
      </c>
      <c r="C23" s="84">
        <f t="shared" si="2"/>
        <v>0</v>
      </c>
      <c r="D23" s="74">
        <f t="shared" si="3"/>
        <v>1.2729166666666666E-2</v>
      </c>
      <c r="E23">
        <f>COUNTIF(tables_576104!C:C,input_576104!A23)-COUNTIF(Q:Q,A23)</f>
        <v>26</v>
      </c>
      <c r="F23" s="43">
        <f t="shared" si="8"/>
        <v>4.895833333333333E-4</v>
      </c>
      <c r="G23">
        <f t="shared" si="4"/>
        <v>1735240</v>
      </c>
      <c r="H23">
        <f t="shared" si="5"/>
        <v>66740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COUNTIF(tables_576104!C:C,input_576104!A24)-COUNTIF(Q:Q,A24)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90">
        <f>E$6*E25*B$6*0.95</f>
        <v>3.5347916666666659E-2</v>
      </c>
      <c r="C25" s="84">
        <f t="shared" si="2"/>
        <v>0</v>
      </c>
      <c r="D25" s="74">
        <f t="shared" si="3"/>
        <v>3.5347916666666659E-2</v>
      </c>
      <c r="E25">
        <f>COUNTIF(tables_576104!C:C,input_576104!A25)-COUNTIF(Q:Q,A25)</f>
        <v>4</v>
      </c>
      <c r="F25" s="43">
        <f t="shared" si="8"/>
        <v>8.8369791666666649E-3</v>
      </c>
      <c r="G25">
        <f t="shared" si="4"/>
        <v>4818627.9999999991</v>
      </c>
      <c r="H25">
        <f t="shared" si="5"/>
        <v>1204657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1.9583333333333332E-3</v>
      </c>
      <c r="C26" s="84">
        <f t="shared" si="2"/>
        <v>0</v>
      </c>
      <c r="D26" s="74">
        <f t="shared" si="3"/>
        <v>1.9583333333333332E-3</v>
      </c>
      <c r="E26">
        <f>COUNTIF(tables_576104!C:C,input_576104!A26)-COUNTIF(Q:Q,A26)</f>
        <v>4</v>
      </c>
      <c r="F26" s="43">
        <f t="shared" si="8"/>
        <v>4.895833333333333E-4</v>
      </c>
      <c r="G26">
        <f t="shared" si="4"/>
        <v>266960</v>
      </c>
      <c r="H26">
        <f t="shared" si="5"/>
        <v>66740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B11-B28-B29-C28-C27</f>
        <v>2.5000000000000001E-2</v>
      </c>
      <c r="C27" s="84">
        <f t="shared" si="2"/>
        <v>0</v>
      </c>
      <c r="D27" s="74">
        <f t="shared" si="3"/>
        <v>2.5000000000000001E-2</v>
      </c>
      <c r="E27">
        <f>COUNTIF(tables_576104!C:C,input_576104!A27)-COUNTIF(Q:Q,A27)</f>
        <v>28</v>
      </c>
      <c r="F27" s="43">
        <f>IFERROR(B27/E27,0)</f>
        <v>8.9285714285714294E-4</v>
      </c>
      <c r="G27">
        <f t="shared" si="4"/>
        <v>3408000</v>
      </c>
      <c r="H27">
        <f t="shared" si="5"/>
        <v>121714.28571</v>
      </c>
      <c r="I27">
        <f t="shared" si="6"/>
        <v>0.28570999999647029</v>
      </c>
      <c r="J27">
        <f t="shared" si="7"/>
        <v>3.5000525008307521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B11/2*E28/(SUM(E28:E29))</f>
        <v>9.7222222222222224E-3</v>
      </c>
      <c r="C28" s="84">
        <f t="shared" si="2"/>
        <v>0</v>
      </c>
      <c r="D28" s="74">
        <f t="shared" si="3"/>
        <v>9.7222222222222224E-3</v>
      </c>
      <c r="E28">
        <f>COUNTIF(tables_576104!C:C,input_576104!A28)-COUNTIF(Q:Q,A28)</f>
        <v>28</v>
      </c>
      <c r="F28" s="43">
        <f t="shared" si="8"/>
        <v>3.4722222222222224E-4</v>
      </c>
      <c r="G28">
        <f t="shared" si="4"/>
        <v>1325333.3333333333</v>
      </c>
      <c r="H28">
        <f t="shared" si="5"/>
        <v>47333.333330000001</v>
      </c>
      <c r="I28">
        <f t="shared" si="6"/>
        <v>0.33333000000129687</v>
      </c>
      <c r="J28">
        <f t="shared" si="7"/>
        <v>3.0000300002883309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B11/2*E29/(SUM(E28:E29))</f>
        <v>1.5277777777777779E-2</v>
      </c>
      <c r="C29" s="84">
        <f t="shared" si="2"/>
        <v>0</v>
      </c>
      <c r="D29" s="74">
        <f t="shared" si="3"/>
        <v>1.5277777777777779E-2</v>
      </c>
      <c r="E29">
        <f>COUNTIF(tables_576104!C:C,input_576104!A29)-COUNTIF(Q:Q,A29)</f>
        <v>44</v>
      </c>
      <c r="F29" s="43">
        <f t="shared" si="8"/>
        <v>3.4722222222222224E-4</v>
      </c>
      <c r="G29">
        <f t="shared" si="4"/>
        <v>2082666.6666666667</v>
      </c>
      <c r="H29">
        <f t="shared" si="5"/>
        <v>47333.333330000001</v>
      </c>
      <c r="I29">
        <f t="shared" si="6"/>
        <v>0.33333000000129687</v>
      </c>
      <c r="J29">
        <f t="shared" si="7"/>
        <v>3.0000300002883309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v>0</v>
      </c>
      <c r="C30" s="84">
        <f t="shared" si="2"/>
        <v>0</v>
      </c>
      <c r="D30" s="74">
        <f t="shared" si="3"/>
        <v>0</v>
      </c>
      <c r="E30">
        <f>COUNTIF(tables_576104!C:C,input_576104!A30)-COUNTIF(Q:Q,A30)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0.01</v>
      </c>
      <c r="D31" s="74">
        <f t="shared" si="3"/>
        <v>-0.01</v>
      </c>
      <c r="E31">
        <f>COUNTIF(tables_576104!C:C,input_576104!A31)-COUNTIF(Q:Q,A31)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0.98999999999999977</v>
      </c>
      <c r="C32" s="41">
        <f>SUM(C19:C31)</f>
        <v>0.01</v>
      </c>
      <c r="D32" s="42">
        <f t="shared" si="3"/>
        <v>0.97999999999999976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136320000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SUMIF(tables_576104!C:C,input_576104!A40,tables_576104!O:O)</f>
        <v>0</v>
      </c>
      <c r="C40" s="54">
        <f t="shared" ref="C40:C46" ca="1" si="9">B40/B$47</f>
        <v>0</v>
      </c>
      <c r="E40">
        <v>3</v>
      </c>
      <c r="F40">
        <f ca="1">SUMIF(tables_576104!J:J,input_576104!E40,tables_576104!O:O)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SUMIF(tables_576104!C:C,input_576104!A41,tables_576104!O:O)</f>
        <v>62642164</v>
      </c>
      <c r="C41" s="54">
        <f t="shared" ca="1" si="9"/>
        <v>0.91074414745089038</v>
      </c>
      <c r="E41">
        <v>4</v>
      </c>
      <c r="F41">
        <f ca="1">SUMIF(tables_576104!J:J,input_576104!E41,tables_576104!O:O)</f>
        <v>128140799.99988018</v>
      </c>
      <c r="G41">
        <f ca="1">F41/A36</f>
        <v>0.93999999999912098</v>
      </c>
    </row>
    <row r="42" spans="1:7" x14ac:dyDescent="0.15">
      <c r="A42" s="33" t="s">
        <v>106</v>
      </c>
      <c r="B42">
        <f ca="1">SUMIF(tables_576104!C:C,input_576104!A42,tables_576104!O:O)</f>
        <v>3407999.9998799996</v>
      </c>
      <c r="C42" s="54">
        <f t="shared" ca="1" si="9"/>
        <v>4.9548352997564785E-2</v>
      </c>
      <c r="E42">
        <v>5</v>
      </c>
      <c r="F42">
        <f ca="1">SUMIF(tables_576104!J:J,input_576104!E42,tables_576104!O:O)</f>
        <v>8179199.9995199889</v>
      </c>
      <c r="G42">
        <f ca="1">F42/A36</f>
        <v>5.9999999996478794E-2</v>
      </c>
    </row>
    <row r="43" spans="1:7" x14ac:dyDescent="0.15">
      <c r="A43" s="33" t="s">
        <v>109</v>
      </c>
      <c r="B43">
        <f>SUMIF(tables_576104!C:C,input_576104!A43,tables_576104!O:O)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SUMIF(tables_576104!C:C,input_576104!A44,tables_576104!O:O)</f>
        <v>1405799.9997600005</v>
      </c>
      <c r="C44" s="54">
        <f t="shared" ca="1" si="9"/>
        <v>2.0438695608725833E-2</v>
      </c>
      <c r="E44" t="s">
        <v>54</v>
      </c>
      <c r="F44" s="55"/>
    </row>
    <row r="45" spans="1:7" x14ac:dyDescent="0.15">
      <c r="A45" s="33" t="s">
        <v>107</v>
      </c>
      <c r="B45">
        <f ca="1">SUMIF(tables_576104!C:C,input_576104!A45,tables_576104!O:O)</f>
        <v>1325333.3332400008</v>
      </c>
      <c r="C45" s="54">
        <f t="shared" ca="1" si="9"/>
        <v>1.9268803942818949E-2</v>
      </c>
      <c r="E45" t="s">
        <v>204</v>
      </c>
      <c r="F45" s="55">
        <f ca="1">SUMIF(tables_576104!I:I,input_576104!E45,tables_576104!P:P)</f>
        <v>0.24632708333441641</v>
      </c>
    </row>
    <row r="46" spans="1:7" x14ac:dyDescent="0.15">
      <c r="A46" s="33" t="s">
        <v>108</v>
      </c>
      <c r="B46">
        <f>SUMIF(tables_576104!C:C,input_576104!A46,tables_576104!O:O)</f>
        <v>0</v>
      </c>
      <c r="C46" s="54">
        <f t="shared" ca="1" si="9"/>
        <v>0</v>
      </c>
      <c r="E46" t="s">
        <v>205</v>
      </c>
      <c r="F46" s="55">
        <f ca="1">SUMIF(tables_576104!I:I,input_576104!E46,tables_576104!P:P)</f>
        <v>0.18157972756432539</v>
      </c>
    </row>
    <row r="47" spans="1:7" x14ac:dyDescent="0.15">
      <c r="A47" s="39" t="s">
        <v>59</v>
      </c>
      <c r="B47">
        <f ca="1">SUM(B40:B46)</f>
        <v>68781297.332880005</v>
      </c>
      <c r="C47" s="55">
        <f ca="1">SUM(C40:C46)</f>
        <v>0.99999999999999989</v>
      </c>
      <c r="E47" t="s">
        <v>206</v>
      </c>
      <c r="F47" s="55">
        <f ca="1">SUMIF(tables_576104!I:I,input_576104!E47,tables_576104!P:P)</f>
        <v>0.51209318910363055</v>
      </c>
    </row>
    <row r="48" spans="1:7" x14ac:dyDescent="0.15">
      <c r="E48" t="s">
        <v>207</v>
      </c>
      <c r="F48" s="55">
        <f ca="1">SUMIF(tables_576104!I:I,input_576104!E48,tables_576104!P:P)</f>
        <v>4.6874999997785285E-2</v>
      </c>
      <c r="G48" s="55"/>
    </row>
    <row r="49" spans="5:6" x14ac:dyDescent="0.15">
      <c r="E49" t="s">
        <v>246</v>
      </c>
      <c r="F49" s="55">
        <f ca="1">SUMIF(tables_576104!I:I,input_576104!E49,tables_576104!P:P)</f>
        <v>3.12499999979367E-3</v>
      </c>
    </row>
    <row r="50" spans="5:6" x14ac:dyDescent="0.15">
      <c r="E50" t="s">
        <v>251</v>
      </c>
      <c r="F50" s="55">
        <f ca="1">SUMIF(tables_576104!I:I,input_576104!E50,tables_576104!P:P)</f>
        <v>1.0000000000043969E-2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56"/>
  <sheetViews>
    <sheetView showGridLines="0" zoomScale="75" zoomScaleNormal="75" zoomScalePageLayoutView="75" workbookViewId="0">
      <pane ySplit="1" topLeftCell="A320" activePane="bottomLeft" state="frozen"/>
      <selection activeCell="D34" sqref="D34"/>
      <selection pane="bottomLeft" activeCell="B356" sqref="B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input_576104!A$2</f>
        <v>576104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IFERROR(VLOOKUP(B2,input_576104!L:R,7,FALSE),VLOOKUP(tables_576104!C2,input_576104!A:H,8,FALSE))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input_576104!A$2</f>
        <v>576104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IFERROR(VLOOKUP(B3,input_576104!L:R,7,FALSE),VLOOKUP(tables_576104!C3,input_576104!A:H,8,FALSE))</f>
        <v>1658943.4</v>
      </c>
      <c r="P3" s="46">
        <f t="shared" ca="1" si="1"/>
        <v>1.2169479166720175E-2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input_576104!A$2</f>
        <v>576104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IFERROR(VLOOKUP(B4,input_576104!L:R,7,FALSE),VLOOKUP(tables_576104!C4,input_576104!A:H,8,FALSE))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input_576104!A$2</f>
        <v>576104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IFERROR(VLOOKUP(B5,input_576104!L:R,7,FALSE),VLOOKUP(tables_576104!C5,input_576104!A:H,8,FALSE))</f>
        <v>1658943.4</v>
      </c>
      <c r="P5" s="46">
        <f t="shared" ca="1" si="1"/>
        <v>1.2169479166720175E-2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input_576104!A$2</f>
        <v>576104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IFERROR(VLOOKUP(B6,input_576104!L:R,7,FALSE),VLOOKUP(tables_576104!C6,input_576104!A:H,8,FALSE))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input_576104!A$2</f>
        <v>576104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IFERROR(VLOOKUP(B7,input_576104!L:R,7,FALSE),VLOOKUP(tables_576104!C7,input_576104!A:H,8,FALSE))</f>
        <v>1658943.4</v>
      </c>
      <c r="P7" s="46">
        <f t="shared" ca="1" si="1"/>
        <v>1.2169479166720175E-2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input_576104!A$2</f>
        <v>576104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IFERROR(VLOOKUP(B8,input_576104!L:R,7,FALSE),VLOOKUP(tables_576104!C8,input_576104!A:H,8,FALSE))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input_576104!A$2</f>
        <v>576104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IFERROR(VLOOKUP(B9,input_576104!L:R,7,FALSE),VLOOKUP(tables_576104!C9,input_576104!A:H,8,FALSE))</f>
        <v>1658943.4</v>
      </c>
      <c r="P9" s="46">
        <f t="shared" ca="1" si="1"/>
        <v>1.2169479166720175E-2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input_576104!A$2</f>
        <v>576104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IFERROR(VLOOKUP(B10,input_576104!L:R,7,FALSE),VLOOKUP(tables_576104!C10,input_576104!A:H,8,FALSE))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input_576104!A$2</f>
        <v>576104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IFERROR(VLOOKUP(B11,input_576104!L:R,7,FALSE),VLOOKUP(tables_576104!C11,input_576104!A:H,8,FALSE))</f>
        <v>1658943.4</v>
      </c>
      <c r="P11" s="46">
        <f t="shared" ca="1" si="1"/>
        <v>1.2169479166720175E-2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input_576104!A$2</f>
        <v>576104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IFERROR(VLOOKUP(B12,input_576104!L:R,7,FALSE),VLOOKUP(tables_576104!C12,input_576104!A:H,8,FALSE))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input_576104!A$2</f>
        <v>576104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IFERROR(VLOOKUP(B13,input_576104!L:R,7,FALSE),VLOOKUP(tables_576104!C13,input_576104!A:H,8,FALSE))</f>
        <v>1658943.4</v>
      </c>
      <c r="P13" s="46">
        <f t="shared" ca="1" si="1"/>
        <v>1.2169479166720175E-2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input_576104!A$2</f>
        <v>576104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IFERROR(VLOOKUP(B14,input_576104!L:R,7,FALSE),VLOOKUP(tables_576104!C14,input_576104!A:H,8,FALSE))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input_576104!A$2</f>
        <v>576104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IFERROR(VLOOKUP(B15,input_576104!L:R,7,FALSE),VLOOKUP(tables_576104!C15,input_576104!A:H,8,FALSE))</f>
        <v>1658943.4</v>
      </c>
      <c r="P15" s="46">
        <f t="shared" ca="1" si="1"/>
        <v>1.2169479166720175E-2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input_576104!A$2</f>
        <v>576104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IFERROR(VLOOKUP(B16,input_576104!L:R,7,FALSE),VLOOKUP(tables_576104!C16,input_576104!A:H,8,FALSE))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input_576104!A$2</f>
        <v>576104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IFERROR(VLOOKUP(B17,input_576104!L:R,7,FALSE),VLOOKUP(tables_576104!C17,input_576104!A:H,8,FALSE))</f>
        <v>1658943.4</v>
      </c>
      <c r="P17" s="46">
        <f t="shared" ca="1" si="1"/>
        <v>1.2169479166720175E-2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input_576104!A$2</f>
        <v>576104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IFERROR(VLOOKUP(B18,input_576104!L:R,7,FALSE),VLOOKUP(tables_576104!C18,input_576104!A:H,8,FALSE))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input_576104!A$2</f>
        <v>576104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IFERROR(VLOOKUP(B19,input_576104!L:R,7,FALSE),VLOOKUP(tables_576104!C19,input_576104!A:H,8,FALSE))</f>
        <v>1658943.4</v>
      </c>
      <c r="P19" s="46">
        <f t="shared" ca="1" si="1"/>
        <v>1.2169479166720175E-2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input_576104!A$2</f>
        <v>576104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IFERROR(VLOOKUP(B20,input_576104!L:R,7,FALSE),VLOOKUP(tables_576104!C20,input_576104!A:H,8,FALSE))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input_576104!A$2</f>
        <v>576104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IFERROR(VLOOKUP(B21,input_576104!L:R,7,FALSE),VLOOKUP(tables_576104!C21,input_576104!A:H,8,FALSE))</f>
        <v>1658943.4</v>
      </c>
      <c r="P21" s="46">
        <f t="shared" ca="1" si="1"/>
        <v>1.2169479166720175E-2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input_576104!A$2</f>
        <v>576104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IFERROR(VLOOKUP(B22,input_576104!L:R,7,FALSE),VLOOKUP(tables_576104!C22,input_576104!A:H,8,FALSE))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input_576104!A$2</f>
        <v>576104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IFERROR(VLOOKUP(B23,input_576104!L:R,7,FALSE),VLOOKUP(tables_576104!C23,input_576104!A:H,8,FALSE))</f>
        <v>1658943.4</v>
      </c>
      <c r="P23" s="46">
        <f t="shared" ca="1" si="1"/>
        <v>1.2169479166720175E-2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input_576104!A$2</f>
        <v>576104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IFERROR(VLOOKUP(B24,input_576104!L:R,7,FALSE),VLOOKUP(tables_576104!C24,input_576104!A:H,8,FALSE))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input_576104!A$2</f>
        <v>576104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IFERROR(VLOOKUP(B25,input_576104!L:R,7,FALSE),VLOOKUP(tables_576104!C25,input_576104!A:H,8,FALSE))</f>
        <v>1658943.4</v>
      </c>
      <c r="P25" s="46">
        <f t="shared" ca="1" si="1"/>
        <v>1.2169479166720175E-2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input_576104!A$2</f>
        <v>576104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IFERROR(VLOOKUP(B26,input_576104!L:R,7,FALSE),VLOOKUP(tables_576104!C26,input_576104!A:H,8,FALSE))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input_576104!A$2</f>
        <v>576104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IFERROR(VLOOKUP(B27,input_576104!L:R,7,FALSE),VLOOKUP(tables_576104!C27,input_576104!A:H,8,FALSE))</f>
        <v>1658943.4</v>
      </c>
      <c r="P27" s="46">
        <f t="shared" ca="1" si="1"/>
        <v>1.2169479166720175E-2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input_576104!A$2</f>
        <v>576104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IFERROR(VLOOKUP(B28,input_576104!L:R,7,FALSE),VLOOKUP(tables_576104!C28,input_576104!A:H,8,FALSE))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input_576104!A$2</f>
        <v>576104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IFERROR(VLOOKUP(B29,input_576104!L:R,7,FALSE),VLOOKUP(tables_576104!C29,input_576104!A:H,8,FALSE))</f>
        <v>1658943.4</v>
      </c>
      <c r="P29" s="46">
        <f t="shared" ca="1" si="1"/>
        <v>1.2169479166720175E-2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input_576104!A$2</f>
        <v>576104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IFERROR(VLOOKUP(B30,input_576104!L:R,7,FALSE),VLOOKUP(tables_576104!C30,input_576104!A:H,8,FALSE))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input_576104!A$2</f>
        <v>576104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IFERROR(VLOOKUP(B31,input_576104!L:R,7,FALSE),VLOOKUP(tables_576104!C31,input_576104!A:H,8,FALSE))</f>
        <v>1658943.4</v>
      </c>
      <c r="P31" s="46">
        <f t="shared" ca="1" si="1"/>
        <v>1.2169479166720175E-2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input_576104!A$2</f>
        <v>576104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IFERROR(VLOOKUP(B32,input_576104!L:R,7,FALSE),VLOOKUP(tables_576104!C32,input_576104!A:H,8,FALSE))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input_576104!A$2</f>
        <v>576104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IFERROR(VLOOKUP(B33,input_576104!L:R,7,FALSE),VLOOKUP(tables_576104!C33,input_576104!A:H,8,FALSE))</f>
        <v>1658943.4</v>
      </c>
      <c r="P33" s="46">
        <f t="shared" ca="1" si="1"/>
        <v>1.2169479166720175E-2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input_576104!A$2</f>
        <v>576104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IFERROR(VLOOKUP(B34,input_576104!L:R,7,FALSE),VLOOKUP(tables_576104!C34,input_576104!A:H,8,FALSE))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input_576104!A$2</f>
        <v>576104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IFERROR(VLOOKUP(B35,input_576104!L:R,7,FALSE),VLOOKUP(tables_576104!C35,input_576104!A:H,8,FALSE))</f>
        <v>1658943.4</v>
      </c>
      <c r="P35" s="46">
        <f t="shared" ca="1" si="1"/>
        <v>1.2169479166720175E-2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input_576104!A$2</f>
        <v>576104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IFERROR(VLOOKUP(B36,input_576104!L:R,7,FALSE),VLOOKUP(tables_576104!C36,input_576104!A:H,8,FALSE))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input_576104!A$2</f>
        <v>576104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IFERROR(VLOOKUP(B37,input_576104!L:R,7,FALSE),VLOOKUP(tables_576104!C37,input_576104!A:H,8,FALSE))</f>
        <v>1658943.4</v>
      </c>
      <c r="P37" s="46">
        <f t="shared" ca="1" si="1"/>
        <v>1.2169479166720175E-2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input_576104!A$2</f>
        <v>576104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IFERROR(VLOOKUP(B38,input_576104!L:R,7,FALSE),VLOOKUP(tables_576104!C38,input_576104!A:H,8,FALSE))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input_576104!A$2</f>
        <v>576104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IFERROR(VLOOKUP(B39,input_576104!L:R,7,FALSE),VLOOKUP(tables_576104!C39,input_576104!A:H,8,FALSE))</f>
        <v>1658943.4</v>
      </c>
      <c r="P39" s="46">
        <f t="shared" ca="1" si="1"/>
        <v>1.2169479166720175E-2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input_576104!A$2</f>
        <v>576104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IFERROR(VLOOKUP(B40,input_576104!L:R,7,FALSE),VLOOKUP(tables_576104!C40,input_576104!A:H,8,FALSE))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input_576104!A$2</f>
        <v>576104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IFERROR(VLOOKUP(B41,input_576104!L:R,7,FALSE),VLOOKUP(tables_576104!C41,input_576104!A:H,8,FALSE))</f>
        <v>1658943.4</v>
      </c>
      <c r="P41" s="46">
        <f t="shared" ca="1" si="1"/>
        <v>1.2169479166720175E-2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input_576104!A$2</f>
        <v>576104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IFERROR(VLOOKUP(B42,input_576104!L:R,7,FALSE),VLOOKUP(tables_576104!C42,input_576104!A:H,8,FALSE))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input_576104!A$2</f>
        <v>576104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IFERROR(VLOOKUP(B43,input_576104!L:R,7,FALSE),VLOOKUP(tables_576104!C43,input_576104!A:H,8,FALSE))</f>
        <v>1204657</v>
      </c>
      <c r="P43" s="46">
        <f t="shared" ca="1" si="1"/>
        <v>8.8369791667055227E-3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input_576104!A$2</f>
        <v>576104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IFERROR(VLOOKUP(B44,input_576104!L:R,7,FALSE),VLOOKUP(tables_576104!C44,input_576104!A:H,8,FALSE))</f>
        <v>66740</v>
      </c>
      <c r="P44" s="46">
        <f t="shared" ca="1" si="1"/>
        <v>4.8958333333548598E-4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input_576104!A$2</f>
        <v>576104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IFERROR(VLOOKUP(B45,input_576104!L:R,7,FALSE),VLOOKUP(tables_576104!C45,input_576104!A:H,8,FALSE))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input_576104!A$2</f>
        <v>576104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IFERROR(VLOOKUP(B46,input_576104!L:R,7,FALSE),VLOOKUP(tables_576104!C46,input_576104!A:H,8,FALSE))</f>
        <v>1204657</v>
      </c>
      <c r="P46" s="46">
        <f t="shared" ca="1" si="1"/>
        <v>8.8369791667055227E-3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input_576104!A$2</f>
        <v>576104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IFERROR(VLOOKUP(B47,input_576104!L:R,7,FALSE),VLOOKUP(tables_576104!C47,input_576104!A:H,8,FALSE))</f>
        <v>66740</v>
      </c>
      <c r="P47" s="46">
        <f t="shared" ca="1" si="1"/>
        <v>4.8958333333548598E-4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input_576104!A$2</f>
        <v>576104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IFERROR(VLOOKUP(B48,input_576104!L:R,7,FALSE),VLOOKUP(tables_576104!C48,input_576104!A:H,8,FALSE))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input_576104!A$2</f>
        <v>576104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IFERROR(VLOOKUP(B49,input_576104!L:R,7,FALSE),VLOOKUP(tables_576104!C49,input_576104!A:H,8,FALSE))</f>
        <v>1204657</v>
      </c>
      <c r="P49" s="46">
        <f t="shared" ca="1" si="1"/>
        <v>8.8369791667055227E-3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input_576104!A$2</f>
        <v>576104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IFERROR(VLOOKUP(B50,input_576104!L:R,7,FALSE),VLOOKUP(tables_576104!C50,input_576104!A:H,8,FALSE))</f>
        <v>66740</v>
      </c>
      <c r="P50" s="46">
        <f t="shared" ca="1" si="1"/>
        <v>4.8958333333548598E-4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input_576104!A$2</f>
        <v>576104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IFERROR(VLOOKUP(B51,input_576104!L:R,7,FALSE),VLOOKUP(tables_576104!C51,input_576104!A:H,8,FALSE))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input_576104!A$2</f>
        <v>576104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IFERROR(VLOOKUP(B52,input_576104!L:R,7,FALSE),VLOOKUP(tables_576104!C52,input_576104!A:H,8,FALSE))</f>
        <v>1204657</v>
      </c>
      <c r="P52" s="46">
        <f t="shared" ca="1" si="1"/>
        <v>8.8369791667055227E-3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input_576104!A$2</f>
        <v>576104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IFERROR(VLOOKUP(B53,input_576104!L:R,7,FALSE),VLOOKUP(tables_576104!C53,input_576104!A:H,8,FALSE))</f>
        <v>27034.615379999999</v>
      </c>
      <c r="P53" s="46">
        <f t="shared" ca="1" si="1"/>
        <v>1.9831730765932268E-4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input_576104!A$2</f>
        <v>576104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IFERROR(VLOOKUP(B54,input_576104!L:R,7,FALSE),VLOOKUP(tables_576104!C54,input_576104!A:H,8,FALSE))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input_576104!A$2</f>
        <v>576104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IFERROR(VLOOKUP(B55,input_576104!L:R,7,FALSE),VLOOKUP(tables_576104!C55,input_576104!A:H,8,FALSE))</f>
        <v>1204657</v>
      </c>
      <c r="P55" s="46">
        <f t="shared" ca="1" si="1"/>
        <v>8.8369791667055227E-3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input_576104!A$2</f>
        <v>576104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IFERROR(VLOOKUP(B56,input_576104!L:R,7,FALSE),VLOOKUP(tables_576104!C56,input_576104!A:H,8,FALSE))</f>
        <v>27034.615379999999</v>
      </c>
      <c r="P56" s="46">
        <f t="shared" ca="1" si="1"/>
        <v>1.9831730765932268E-4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input_576104!A$2</f>
        <v>576104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IFERROR(VLOOKUP(B57,input_576104!L:R,7,FALSE),VLOOKUP(tables_576104!C57,input_576104!A:H,8,FALSE))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input_576104!A$2</f>
        <v>576104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IFERROR(VLOOKUP(B58,input_576104!L:R,7,FALSE),VLOOKUP(tables_576104!C58,input_576104!A:H,8,FALSE))</f>
        <v>1204657</v>
      </c>
      <c r="P58" s="46">
        <f t="shared" ca="1" si="1"/>
        <v>8.8369791667055227E-3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input_576104!A$2</f>
        <v>576104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IFERROR(VLOOKUP(B59,input_576104!L:R,7,FALSE),VLOOKUP(tables_576104!C59,input_576104!A:H,8,FALSE))</f>
        <v>27034.615379999999</v>
      </c>
      <c r="P59" s="46">
        <f t="shared" ca="1" si="1"/>
        <v>1.9831730765932268E-4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input_576104!A$2</f>
        <v>576104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IFERROR(VLOOKUP(B60,input_576104!L:R,7,FALSE),VLOOKUP(tables_576104!C60,input_576104!A:H,8,FALSE))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input_576104!A$2</f>
        <v>576104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IFERROR(VLOOKUP(B61,input_576104!L:R,7,FALSE),VLOOKUP(tables_576104!C61,input_576104!A:H,8,FALSE))</f>
        <v>1204657</v>
      </c>
      <c r="P61" s="46">
        <f t="shared" ca="1" si="1"/>
        <v>8.8369791667055227E-3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input_576104!A$2</f>
        <v>576104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IFERROR(VLOOKUP(B62,input_576104!L:R,7,FALSE),VLOOKUP(tables_576104!C62,input_576104!A:H,8,FALSE))</f>
        <v>27034.615379999999</v>
      </c>
      <c r="P62" s="46">
        <f t="shared" ca="1" si="1"/>
        <v>1.9831730765932268E-4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input_576104!A$2</f>
        <v>576104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IFERROR(VLOOKUP(B63,input_576104!L:R,7,FALSE),VLOOKUP(tables_576104!C63,input_576104!A:H,8,FALSE))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input_576104!A$2</f>
        <v>576104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IFERROR(VLOOKUP(B64,input_576104!L:R,7,FALSE),VLOOKUP(tables_576104!C64,input_576104!A:H,8,FALSE))</f>
        <v>1204657</v>
      </c>
      <c r="P64" s="46">
        <f t="shared" ca="1" si="1"/>
        <v>8.8369791667055227E-3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input_576104!A$2</f>
        <v>576104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IFERROR(VLOOKUP(B65,input_576104!L:R,7,FALSE),VLOOKUP(tables_576104!C65,input_576104!A:H,8,FALSE))</f>
        <v>27034.615379999999</v>
      </c>
      <c r="P65" s="46">
        <f t="shared" ca="1" si="1"/>
        <v>1.9831730765932268E-4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input_576104!A$2</f>
        <v>576104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IFERROR(VLOOKUP(B66,input_576104!L:R,7,FALSE),VLOOKUP(tables_576104!C66,input_576104!A:H,8,FALSE))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input_576104!A$2</f>
        <v>576104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IFERROR(VLOOKUP(B67,input_576104!L:R,7,FALSE),VLOOKUP(tables_576104!C67,input_576104!A:H,8,FALSE))</f>
        <v>1204657</v>
      </c>
      <c r="P67" s="46">
        <f t="shared" ca="1" si="4"/>
        <v>8.8369791667055227E-3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input_576104!A$2</f>
        <v>576104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IFERROR(VLOOKUP(B68,input_576104!L:R,7,FALSE),VLOOKUP(tables_576104!C68,input_576104!A:H,8,FALSE))</f>
        <v>27034.615379999999</v>
      </c>
      <c r="P68" s="46">
        <f t="shared" ca="1" si="4"/>
        <v>1.9831730765932268E-4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input_576104!A$2</f>
        <v>576104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IFERROR(VLOOKUP(B69,input_576104!L:R,7,FALSE),VLOOKUP(tables_576104!C69,input_576104!A:H,8,FALSE))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input_576104!A$2</f>
        <v>576104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IFERROR(VLOOKUP(B70,input_576104!L:R,7,FALSE),VLOOKUP(tables_576104!C70,input_576104!A:H,8,FALSE))</f>
        <v>1204657</v>
      </c>
      <c r="P70" s="46">
        <f t="shared" ca="1" si="4"/>
        <v>8.8369791667055227E-3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input_576104!A$2</f>
        <v>576104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IFERROR(VLOOKUP(B71,input_576104!L:R,7,FALSE),VLOOKUP(tables_576104!C71,input_576104!A:H,8,FALSE))</f>
        <v>27034.615379999999</v>
      </c>
      <c r="P71" s="46">
        <f t="shared" ca="1" si="4"/>
        <v>1.9831730765932268E-4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input_576104!A$2</f>
        <v>576104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IFERROR(VLOOKUP(B72,input_576104!L:R,7,FALSE),VLOOKUP(tables_576104!C72,input_576104!A:H,8,FALSE))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input_576104!A$2</f>
        <v>576104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IFERROR(VLOOKUP(B73,input_576104!L:R,7,FALSE),VLOOKUP(tables_576104!C73,input_576104!A:H,8,FALSE))</f>
        <v>1204657</v>
      </c>
      <c r="P73" s="46">
        <f t="shared" ca="1" si="4"/>
        <v>8.8369791667055227E-3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input_576104!A$2</f>
        <v>576104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IFERROR(VLOOKUP(B74,input_576104!L:R,7,FALSE),VLOOKUP(tables_576104!C74,input_576104!A:H,8,FALSE))</f>
        <v>27034.615379999999</v>
      </c>
      <c r="P74" s="46">
        <f t="shared" ca="1" si="4"/>
        <v>1.9831730765932268E-4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input_576104!A$2</f>
        <v>576104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IFERROR(VLOOKUP(B75,input_576104!L:R,7,FALSE),VLOOKUP(tables_576104!C75,input_576104!A:H,8,FALSE))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input_576104!A$2</f>
        <v>576104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IFERROR(VLOOKUP(B76,input_576104!L:R,7,FALSE),VLOOKUP(tables_576104!C76,input_576104!A:H,8,FALSE))</f>
        <v>1204657</v>
      </c>
      <c r="P76" s="46">
        <f t="shared" ca="1" si="4"/>
        <v>8.8369791667055227E-3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input_576104!A$2</f>
        <v>576104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IFERROR(VLOOKUP(B77,input_576104!L:R,7,FALSE),VLOOKUP(tables_576104!C77,input_576104!A:H,8,FALSE))</f>
        <v>27034.615379999999</v>
      </c>
      <c r="P77" s="46">
        <f t="shared" ca="1" si="4"/>
        <v>1.9831730765932268E-4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input_576104!A$2</f>
        <v>576104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IFERROR(VLOOKUP(B78,input_576104!L:R,7,FALSE),VLOOKUP(tables_576104!C78,input_576104!A:H,8,FALSE))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input_576104!A$2</f>
        <v>576104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IFERROR(VLOOKUP(B79,input_576104!L:R,7,FALSE),VLOOKUP(tables_576104!C79,input_576104!A:H,8,FALSE))</f>
        <v>1204657</v>
      </c>
      <c r="P79" s="46">
        <f t="shared" ca="1" si="4"/>
        <v>8.8369791667055227E-3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input_576104!A$2</f>
        <v>576104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IFERROR(VLOOKUP(B80,input_576104!L:R,7,FALSE),VLOOKUP(tables_576104!C80,input_576104!A:H,8,FALSE))</f>
        <v>27034.615379999999</v>
      </c>
      <c r="P80" s="46">
        <f t="shared" ca="1" si="4"/>
        <v>1.9831730765932268E-4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input_576104!A$2</f>
        <v>576104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IFERROR(VLOOKUP(B81,input_576104!L:R,7,FALSE),VLOOKUP(tables_576104!C81,input_576104!A:H,8,FALSE))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input_576104!A$2</f>
        <v>576104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IFERROR(VLOOKUP(B82,input_576104!L:R,7,FALSE),VLOOKUP(tables_576104!C82,input_576104!A:H,8,FALSE))</f>
        <v>1204657</v>
      </c>
      <c r="P82" s="46">
        <f t="shared" ca="1" si="4"/>
        <v>8.8369791667055227E-3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input_576104!A$2</f>
        <v>576104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IFERROR(VLOOKUP(B83,input_576104!L:R,7,FALSE),VLOOKUP(tables_576104!C83,input_576104!A:H,8,FALSE))</f>
        <v>27034.615379999999</v>
      </c>
      <c r="P83" s="46">
        <f t="shared" ca="1" si="4"/>
        <v>1.9831730765932268E-4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input_576104!A$2</f>
        <v>576104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IFERROR(VLOOKUP(B84,input_576104!L:R,7,FALSE),VLOOKUP(tables_576104!C84,input_576104!A:H,8,FALSE))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input_576104!A$2</f>
        <v>576104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IFERROR(VLOOKUP(B85,input_576104!L:R,7,FALSE),VLOOKUP(tables_576104!C85,input_576104!A:H,8,FALSE))</f>
        <v>1204657</v>
      </c>
      <c r="P85" s="46">
        <f t="shared" ca="1" si="4"/>
        <v>8.8369791667055227E-3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input_576104!A$2</f>
        <v>576104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IFERROR(VLOOKUP(B86,input_576104!L:R,7,FALSE),VLOOKUP(tables_576104!C86,input_576104!A:H,8,FALSE))</f>
        <v>27034.615379999999</v>
      </c>
      <c r="P86" s="46">
        <f t="shared" ca="1" si="4"/>
        <v>1.9831730765932268E-4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input_576104!A$2</f>
        <v>576104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IFERROR(VLOOKUP(B87,input_576104!L:R,7,FALSE),VLOOKUP(tables_576104!C87,input_576104!A:H,8,FALSE))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input_576104!A$2</f>
        <v>576104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IFERROR(VLOOKUP(B88,input_576104!L:R,7,FALSE),VLOOKUP(tables_576104!C88,input_576104!A:H,8,FALSE))</f>
        <v>1204657</v>
      </c>
      <c r="P88" s="46">
        <f t="shared" ca="1" si="4"/>
        <v>8.8369791667055227E-3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input_576104!A$2</f>
        <v>576104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IFERROR(VLOOKUP(B89,input_576104!L:R,7,FALSE),VLOOKUP(tables_576104!C89,input_576104!A:H,8,FALSE))</f>
        <v>27034.615379999999</v>
      </c>
      <c r="P89" s="46">
        <f t="shared" ca="1" si="4"/>
        <v>1.9831730765932268E-4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input_576104!A$2</f>
        <v>576104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IFERROR(VLOOKUP(B90,input_576104!L:R,7,FALSE),VLOOKUP(tables_576104!C90,input_576104!A:H,8,FALSE))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input_576104!A$2</f>
        <v>576104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IFERROR(VLOOKUP(B91,input_576104!L:R,7,FALSE),VLOOKUP(tables_576104!C91,input_576104!A:H,8,FALSE))</f>
        <v>1204657</v>
      </c>
      <c r="P91" s="46">
        <f t="shared" ca="1" si="4"/>
        <v>8.8369791667055227E-3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input_576104!A$2</f>
        <v>576104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IFERROR(VLOOKUP(B92,input_576104!L:R,7,FALSE),VLOOKUP(tables_576104!C92,input_576104!A:H,8,FALSE))</f>
        <v>27034.615379999999</v>
      </c>
      <c r="P92" s="46">
        <f t="shared" ca="1" si="4"/>
        <v>1.9831730765932268E-4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input_576104!A$2</f>
        <v>576104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IFERROR(VLOOKUP(B93,input_576104!L:R,7,FALSE),VLOOKUP(tables_576104!C93,input_576104!A:H,8,FALSE))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input_576104!A$2</f>
        <v>576104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IFERROR(VLOOKUP(B94,input_576104!L:R,7,FALSE),VLOOKUP(tables_576104!C94,input_576104!A:H,8,FALSE))</f>
        <v>1204657</v>
      </c>
      <c r="P94" s="46">
        <f t="shared" ca="1" si="4"/>
        <v>8.8369791667055227E-3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input_576104!A$2</f>
        <v>576104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IFERROR(VLOOKUP(B95,input_576104!L:R,7,FALSE),VLOOKUP(tables_576104!C95,input_576104!A:H,8,FALSE))</f>
        <v>27034.615379999999</v>
      </c>
      <c r="P95" s="46">
        <f t="shared" ca="1" si="4"/>
        <v>1.9831730765932268E-4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input_576104!A$2</f>
        <v>576104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IFERROR(VLOOKUP(B96,input_576104!L:R,7,FALSE),VLOOKUP(tables_576104!C96,input_576104!A:H,8,FALSE))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input_576104!A$2</f>
        <v>576104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IFERROR(VLOOKUP(B97,input_576104!L:R,7,FALSE),VLOOKUP(tables_576104!C97,input_576104!A:H,8,FALSE))</f>
        <v>1204657</v>
      </c>
      <c r="P97" s="46">
        <f t="shared" ca="1" si="4"/>
        <v>8.8369791667055227E-3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input_576104!A$2</f>
        <v>576104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IFERROR(VLOOKUP(B98,input_576104!L:R,7,FALSE),VLOOKUP(tables_576104!C98,input_576104!A:H,8,FALSE))</f>
        <v>27034.615379999999</v>
      </c>
      <c r="P98" s="46">
        <f t="shared" ca="1" si="4"/>
        <v>1.9831730765932268E-4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input_576104!A$2</f>
        <v>576104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IFERROR(VLOOKUP(B99,input_576104!L:R,7,FALSE),VLOOKUP(tables_576104!C99,input_576104!A:H,8,FALSE))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input_576104!A$2</f>
        <v>576104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IFERROR(VLOOKUP(B100,input_576104!L:R,7,FALSE),VLOOKUP(tables_576104!C100,input_576104!A:H,8,FALSE))</f>
        <v>1204657</v>
      </c>
      <c r="P100" s="46">
        <f t="shared" ca="1" si="4"/>
        <v>8.8369791667055227E-3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input_576104!A$2</f>
        <v>576104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IFERROR(VLOOKUP(B101,input_576104!L:R,7,FALSE),VLOOKUP(tables_576104!C101,input_576104!A:H,8,FALSE))</f>
        <v>27034.615379999999</v>
      </c>
      <c r="P101" s="46">
        <f t="shared" ca="1" si="4"/>
        <v>1.9831730765932268E-4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input_576104!A$2</f>
        <v>576104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IFERROR(VLOOKUP(B102,input_576104!L:R,7,FALSE),VLOOKUP(tables_576104!C102,input_576104!A:H,8,FALSE))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input_576104!A$2</f>
        <v>576104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IFERROR(VLOOKUP(B103,input_576104!L:R,7,FALSE),VLOOKUP(tables_576104!C103,input_576104!A:H,8,FALSE))</f>
        <v>1204657</v>
      </c>
      <c r="P103" s="46">
        <f t="shared" ca="1" si="4"/>
        <v>8.8369791667055227E-3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input_576104!A$2</f>
        <v>576104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IFERROR(VLOOKUP(B104,input_576104!L:R,7,FALSE),VLOOKUP(tables_576104!C104,input_576104!A:H,8,FALSE))</f>
        <v>27034.615379999999</v>
      </c>
      <c r="P104" s="46">
        <f t="shared" ca="1" si="4"/>
        <v>1.9831730765932268E-4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input_576104!A$2</f>
        <v>576104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IFERROR(VLOOKUP(B105,input_576104!L:R,7,FALSE),VLOOKUP(tables_576104!C105,input_576104!A:H,8,FALSE))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input_576104!A$2</f>
        <v>576104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IFERROR(VLOOKUP(B106,input_576104!L:R,7,FALSE),VLOOKUP(tables_576104!C106,input_576104!A:H,8,FALSE))</f>
        <v>1204657</v>
      </c>
      <c r="P106" s="46">
        <f t="shared" ca="1" si="4"/>
        <v>8.8369791667055227E-3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input_576104!A$2</f>
        <v>576104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IFERROR(VLOOKUP(B107,input_576104!L:R,7,FALSE),VLOOKUP(tables_576104!C107,input_576104!A:H,8,FALSE))</f>
        <v>27034.615379999999</v>
      </c>
      <c r="P107" s="46">
        <f t="shared" ca="1" si="4"/>
        <v>1.9831730765932268E-4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input_576104!A$2</f>
        <v>576104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IFERROR(VLOOKUP(B108,input_576104!L:R,7,FALSE),VLOOKUP(tables_576104!C108,input_576104!A:H,8,FALSE))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input_576104!A$2</f>
        <v>576104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IFERROR(VLOOKUP(B109,input_576104!L:R,7,FALSE),VLOOKUP(tables_576104!C109,input_576104!A:H,8,FALSE))</f>
        <v>1204657</v>
      </c>
      <c r="P109" s="46">
        <f t="shared" ca="1" si="4"/>
        <v>8.8369791667055227E-3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input_576104!A$2</f>
        <v>576104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IFERROR(VLOOKUP(B110,input_576104!L:R,7,FALSE),VLOOKUP(tables_576104!C110,input_576104!A:H,8,FALSE))</f>
        <v>27034.615379999999</v>
      </c>
      <c r="P110" s="46">
        <f t="shared" ca="1" si="4"/>
        <v>1.9831730765932268E-4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input_576104!A$2</f>
        <v>576104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IFERROR(VLOOKUP(B111,input_576104!L:R,7,FALSE),VLOOKUP(tables_576104!C111,input_576104!A:H,8,FALSE))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input_576104!A$2</f>
        <v>576104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IFERROR(VLOOKUP(B112,input_576104!L:R,7,FALSE),VLOOKUP(tables_576104!C112,input_576104!A:H,8,FALSE))</f>
        <v>1204657</v>
      </c>
      <c r="P112" s="46">
        <f t="shared" ca="1" si="4"/>
        <v>8.8369791667055227E-3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input_576104!A$2</f>
        <v>576104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IFERROR(VLOOKUP(B113,input_576104!L:R,7,FALSE),VLOOKUP(tables_576104!C113,input_576104!A:H,8,FALSE))</f>
        <v>66740</v>
      </c>
      <c r="P113" s="46">
        <f t="shared" ca="1" si="4"/>
        <v>4.8958333333548598E-4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input_576104!A$2</f>
        <v>576104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IFERROR(VLOOKUP(B114,input_576104!L:R,7,FALSE),VLOOKUP(tables_576104!C114,input_576104!A:H,8,FALSE))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input_576104!A$2</f>
        <v>576104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IFERROR(VLOOKUP(B115,input_576104!L:R,7,FALSE),VLOOKUP(tables_576104!C115,input_576104!A:H,8,FALSE))</f>
        <v>1204657</v>
      </c>
      <c r="P115" s="46">
        <f t="shared" ca="1" si="4"/>
        <v>8.8369791667055227E-3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input_576104!A$2</f>
        <v>576104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IFERROR(VLOOKUP(B116,input_576104!L:R,7,FALSE),VLOOKUP(tables_576104!C116,input_576104!A:H,8,FALSE))</f>
        <v>27034.615379999999</v>
      </c>
      <c r="P116" s="46">
        <f t="shared" ca="1" si="4"/>
        <v>1.9831730765932268E-4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input_576104!A$2</f>
        <v>576104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IFERROR(VLOOKUP(B117,input_576104!L:R,7,FALSE),VLOOKUP(tables_576104!C117,input_576104!A:H,8,FALSE))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input_576104!A$2</f>
        <v>576104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IFERROR(VLOOKUP(B118,input_576104!L:R,7,FALSE),VLOOKUP(tables_576104!C118,input_576104!A:H,8,FALSE))</f>
        <v>1204657</v>
      </c>
      <c r="P118" s="46">
        <f t="shared" ca="1" si="4"/>
        <v>8.8369791667055227E-3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input_576104!A$2</f>
        <v>576104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IFERROR(VLOOKUP(B119,input_576104!L:R,7,FALSE),VLOOKUP(tables_576104!C119,input_576104!A:H,8,FALSE))</f>
        <v>27034.615379999999</v>
      </c>
      <c r="P119" s="46">
        <f t="shared" ca="1" si="4"/>
        <v>1.9831730765932268E-4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input_576104!A$2</f>
        <v>576104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IFERROR(VLOOKUP(B120,input_576104!L:R,7,FALSE),VLOOKUP(tables_576104!C120,input_576104!A:H,8,FALSE))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input_576104!A$2</f>
        <v>576104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IFERROR(VLOOKUP(B121,input_576104!L:R,7,FALSE),VLOOKUP(tables_576104!C121,input_576104!A:H,8,FALSE))</f>
        <v>1204657</v>
      </c>
      <c r="P121" s="46">
        <f t="shared" ca="1" si="4"/>
        <v>8.8369791667055227E-3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input_576104!A$2</f>
        <v>576104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IFERROR(VLOOKUP(B122,input_576104!L:R,7,FALSE),VLOOKUP(tables_576104!C122,input_576104!A:H,8,FALSE))</f>
        <v>27034.615379999999</v>
      </c>
      <c r="P122" s="46">
        <f t="shared" ca="1" si="4"/>
        <v>1.9831730765932268E-4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input_576104!A$2</f>
        <v>576104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IFERROR(VLOOKUP(B123,input_576104!L:R,7,FALSE),VLOOKUP(tables_576104!C123,input_576104!A:H,8,FALSE))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input_576104!A$2</f>
        <v>576104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IFERROR(VLOOKUP(B124,input_576104!L:R,7,FALSE),VLOOKUP(tables_576104!C124,input_576104!A:H,8,FALSE))</f>
        <v>1204657</v>
      </c>
      <c r="P124" s="46">
        <f t="shared" ca="1" si="4"/>
        <v>8.8369791667055227E-3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input_576104!A$2</f>
        <v>576104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IFERROR(VLOOKUP(B125,input_576104!L:R,7,FALSE),VLOOKUP(tables_576104!C125,input_576104!A:H,8,FALSE))</f>
        <v>27034.615379999999</v>
      </c>
      <c r="P125" s="46">
        <f t="shared" ca="1" si="4"/>
        <v>1.9831730765932268E-4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input_576104!A$2</f>
        <v>576104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IFERROR(VLOOKUP(B126,input_576104!L:R,7,FALSE),VLOOKUP(tables_576104!C126,input_576104!A:H,8,FALSE))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input_576104!A$2</f>
        <v>576104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IFERROR(VLOOKUP(B127,input_576104!L:R,7,FALSE),VLOOKUP(tables_576104!C127,input_576104!A:H,8,FALSE))</f>
        <v>1204657</v>
      </c>
      <c r="P127" s="46">
        <f t="shared" ca="1" si="4"/>
        <v>8.8369791667055227E-3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input_576104!A$2</f>
        <v>576104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IFERROR(VLOOKUP(B128,input_576104!L:R,7,FALSE),VLOOKUP(tables_576104!C128,input_576104!A:H,8,FALSE))</f>
        <v>27034.615379999999</v>
      </c>
      <c r="P128" s="46">
        <f t="shared" ca="1" si="4"/>
        <v>1.9831730765932268E-4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input_576104!A$2</f>
        <v>576104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IFERROR(VLOOKUP(B129,input_576104!L:R,7,FALSE),VLOOKUP(tables_576104!C129,input_576104!A:H,8,FALSE))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input_576104!A$2</f>
        <v>576104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IFERROR(VLOOKUP(B130,input_576104!L:R,7,FALSE),VLOOKUP(tables_576104!C130,input_576104!A:H,8,FALSE))</f>
        <v>1204657</v>
      </c>
      <c r="P130" s="46">
        <f t="shared" ref="P130:P193" ca="1" si="7">O130/SUM(O:O)</f>
        <v>8.8369791667055227E-3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input_576104!A$2</f>
        <v>576104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IFERROR(VLOOKUP(B131,input_576104!L:R,7,FALSE),VLOOKUP(tables_576104!C131,input_576104!A:H,8,FALSE))</f>
        <v>27034.615379999999</v>
      </c>
      <c r="P131" s="46">
        <f t="shared" ca="1" si="7"/>
        <v>1.9831730765932268E-4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input_576104!A$2</f>
        <v>576104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IFERROR(VLOOKUP(B132,input_576104!L:R,7,FALSE),VLOOKUP(tables_576104!C132,input_576104!A:H,8,FALSE))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input_576104!A$2</f>
        <v>576104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IFERROR(VLOOKUP(B133,input_576104!L:R,7,FALSE),VLOOKUP(tables_576104!C133,input_576104!A:H,8,FALSE))</f>
        <v>1204657</v>
      </c>
      <c r="P133" s="46">
        <f t="shared" ca="1" si="7"/>
        <v>8.8369791667055227E-3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input_576104!A$2</f>
        <v>576104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IFERROR(VLOOKUP(B134,input_576104!L:R,7,FALSE),VLOOKUP(tables_576104!C134,input_576104!A:H,8,FALSE))</f>
        <v>27034.615379999999</v>
      </c>
      <c r="P134" s="46">
        <f t="shared" ca="1" si="7"/>
        <v>1.9831730765932268E-4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input_576104!A$2</f>
        <v>576104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IFERROR(VLOOKUP(B135,input_576104!L:R,7,FALSE),VLOOKUP(tables_576104!C135,input_576104!A:H,8,FALSE))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input_576104!A$2</f>
        <v>576104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IFERROR(VLOOKUP(B136,input_576104!L:R,7,FALSE),VLOOKUP(tables_576104!C136,input_576104!A:H,8,FALSE))</f>
        <v>1204657</v>
      </c>
      <c r="P136" s="46">
        <f t="shared" ca="1" si="7"/>
        <v>8.8369791667055227E-3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input_576104!A$2</f>
        <v>576104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IFERROR(VLOOKUP(B137,input_576104!L:R,7,FALSE),VLOOKUP(tables_576104!C137,input_576104!A:H,8,FALSE))</f>
        <v>27034.615379999999</v>
      </c>
      <c r="P137" s="46">
        <f t="shared" ca="1" si="7"/>
        <v>1.9831730765932268E-4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input_576104!A$2</f>
        <v>576104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IFERROR(VLOOKUP(B138,input_576104!L:R,7,FALSE),VLOOKUP(tables_576104!C138,input_576104!A:H,8,FALSE))</f>
        <v>121714.28571</v>
      </c>
      <c r="P138" s="46">
        <f t="shared" ca="1" si="7"/>
        <v>8.9285714282963001E-4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input_576104!A$2</f>
        <v>576104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IFERROR(VLOOKUP(B139,input_576104!L:R,7,FALSE),VLOOKUP(tables_576104!C139,input_576104!A:H,8,FALSE))</f>
        <v>47333.333330000001</v>
      </c>
      <c r="P139" s="46">
        <f t="shared" ca="1" si="7"/>
        <v>3.4722222219929667E-4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input_576104!A$2</f>
        <v>576104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IFERROR(VLOOKUP(B140,input_576104!L:R,7,FALSE),VLOOKUP(tables_576104!C140,input_576104!A:H,8,FALSE))</f>
        <v>121714.28571</v>
      </c>
      <c r="P140" s="46">
        <f t="shared" ca="1" si="7"/>
        <v>8.9285714282963001E-4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input_576104!A$2</f>
        <v>576104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IFERROR(VLOOKUP(B141,input_576104!L:R,7,FALSE),VLOOKUP(tables_576104!C141,input_576104!A:H,8,FALSE))</f>
        <v>47333.333330000001</v>
      </c>
      <c r="P141" s="46">
        <f t="shared" ca="1" si="7"/>
        <v>3.4722222219929667E-4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input_576104!A$2</f>
        <v>576104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IFERROR(VLOOKUP(B142,input_576104!L:R,7,FALSE),VLOOKUP(tables_576104!C142,input_576104!A:H,8,FALSE))</f>
        <v>121714.28571</v>
      </c>
      <c r="P142" s="46">
        <f t="shared" ca="1" si="7"/>
        <v>8.9285714282963001E-4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input_576104!A$2</f>
        <v>576104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IFERROR(VLOOKUP(B143,input_576104!L:R,7,FALSE),VLOOKUP(tables_576104!C143,input_576104!A:H,8,FALSE))</f>
        <v>47333.333330000001</v>
      </c>
      <c r="P143" s="46">
        <f t="shared" ca="1" si="7"/>
        <v>3.4722222219929667E-4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input_576104!A$2</f>
        <v>576104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IFERROR(VLOOKUP(B144,input_576104!L:R,7,FALSE),VLOOKUP(tables_576104!C144,input_576104!A:H,8,FALSE))</f>
        <v>121714.28571</v>
      </c>
      <c r="P144" s="46">
        <f t="shared" ca="1" si="7"/>
        <v>8.9285714282963001E-4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input_576104!A$2</f>
        <v>576104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IFERROR(VLOOKUP(B145,input_576104!L:R,7,FALSE),VLOOKUP(tables_576104!C145,input_576104!A:H,8,FALSE))</f>
        <v>47333.333330000001</v>
      </c>
      <c r="P145" s="46">
        <f t="shared" ca="1" si="7"/>
        <v>3.4722222219929667E-4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input_576104!A$2</f>
        <v>576104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IFERROR(VLOOKUP(B146,input_576104!L:R,7,FALSE),VLOOKUP(tables_576104!C146,input_576104!A:H,8,FALSE))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input_576104!A$2</f>
        <v>576104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IFERROR(VLOOKUP(B147,input_576104!L:R,7,FALSE),VLOOKUP(tables_576104!C147,input_576104!A:H,8,FALSE))</f>
        <v>1204657</v>
      </c>
      <c r="P147" s="46">
        <f t="shared" ca="1" si="7"/>
        <v>8.8369791667055227E-3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input_576104!A$2</f>
        <v>576104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IFERROR(VLOOKUP(B148,input_576104!L:R,7,FALSE),VLOOKUP(tables_576104!C148,input_576104!A:H,8,FALSE))</f>
        <v>27034.615379999999</v>
      </c>
      <c r="P148" s="46">
        <f t="shared" ca="1" si="7"/>
        <v>1.9831730765932268E-4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input_576104!A$2</f>
        <v>576104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IFERROR(VLOOKUP(B149,input_576104!L:R,7,FALSE),VLOOKUP(tables_576104!C149,input_576104!A:H,8,FALSE))</f>
        <v>121714.28571</v>
      </c>
      <c r="P149" s="46">
        <f t="shared" ca="1" si="7"/>
        <v>8.9285714282963001E-4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input_576104!A$2</f>
        <v>576104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IFERROR(VLOOKUP(B150,input_576104!L:R,7,FALSE),VLOOKUP(tables_576104!C150,input_576104!A:H,8,FALSE))</f>
        <v>47333.333330000001</v>
      </c>
      <c r="P150" s="46">
        <f t="shared" ca="1" si="7"/>
        <v>3.4722222219929667E-4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input_576104!A$2</f>
        <v>576104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IFERROR(VLOOKUP(B151,input_576104!L:R,7,FALSE),VLOOKUP(tables_576104!C151,input_576104!A:H,8,FALSE))</f>
        <v>121714.28571</v>
      </c>
      <c r="P151" s="46">
        <f t="shared" ca="1" si="7"/>
        <v>8.9285714282963001E-4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input_576104!A$2</f>
        <v>576104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IFERROR(VLOOKUP(B152,input_576104!L:R,7,FALSE),VLOOKUP(tables_576104!C152,input_576104!A:H,8,FALSE))</f>
        <v>47333.333330000001</v>
      </c>
      <c r="P152" s="46">
        <f t="shared" ca="1" si="7"/>
        <v>3.4722222219929667E-4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input_576104!A$2</f>
        <v>576104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IFERROR(VLOOKUP(B153,input_576104!L:R,7,FALSE),VLOOKUP(tables_576104!C153,input_576104!A:H,8,FALSE))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input_576104!A$2</f>
        <v>576104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IFERROR(VLOOKUP(B154,input_576104!L:R,7,FALSE),VLOOKUP(tables_576104!C154,input_576104!A:H,8,FALSE))</f>
        <v>1204657</v>
      </c>
      <c r="P154" s="46">
        <f t="shared" ca="1" si="7"/>
        <v>8.8369791667055227E-3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input_576104!A$2</f>
        <v>576104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IFERROR(VLOOKUP(B155,input_576104!L:R,7,FALSE),VLOOKUP(tables_576104!C155,input_576104!A:H,8,FALSE))</f>
        <v>27034.615379999999</v>
      </c>
      <c r="P155" s="46">
        <f t="shared" ca="1" si="7"/>
        <v>1.9831730765932268E-4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input_576104!A$2</f>
        <v>576104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IFERROR(VLOOKUP(B156,input_576104!L:R,7,FALSE),VLOOKUP(tables_576104!C156,input_576104!A:H,8,FALSE))</f>
        <v>121714.28571</v>
      </c>
      <c r="P156" s="46">
        <f t="shared" ca="1" si="7"/>
        <v>8.9285714282963001E-4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input_576104!A$2</f>
        <v>576104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IFERROR(VLOOKUP(B157,input_576104!L:R,7,FALSE),VLOOKUP(tables_576104!C157,input_576104!A:H,8,FALSE))</f>
        <v>47333.333330000001</v>
      </c>
      <c r="P157" s="46">
        <f t="shared" ca="1" si="7"/>
        <v>3.4722222219929667E-4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input_576104!A$2</f>
        <v>576104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IFERROR(VLOOKUP(B158,input_576104!L:R,7,FALSE),VLOOKUP(tables_576104!C158,input_576104!A:H,8,FALSE))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input_576104!A$2</f>
        <v>576104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IFERROR(VLOOKUP(B159,input_576104!L:R,7,FALSE),VLOOKUP(tables_576104!C159,input_576104!A:H,8,FALSE))</f>
        <v>1204657</v>
      </c>
      <c r="P159" s="46">
        <f t="shared" ca="1" si="7"/>
        <v>8.8369791667055227E-3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input_576104!A$2</f>
        <v>576104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IFERROR(VLOOKUP(B160,input_576104!L:R,7,FALSE),VLOOKUP(tables_576104!C160,input_576104!A:H,8,FALSE))</f>
        <v>27034.615379999999</v>
      </c>
      <c r="P160" s="46">
        <f t="shared" ca="1" si="7"/>
        <v>1.9831730765932268E-4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input_576104!A$2</f>
        <v>576104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IFERROR(VLOOKUP(B161,input_576104!L:R,7,FALSE),VLOOKUP(tables_576104!C161,input_576104!A:H,8,FALSE))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input_576104!A$2</f>
        <v>576104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IFERROR(VLOOKUP(B162,input_576104!L:R,7,FALSE),VLOOKUP(tables_576104!C162,input_576104!A:H,8,FALSE))</f>
        <v>1204657</v>
      </c>
      <c r="P162" s="46">
        <f t="shared" ca="1" si="7"/>
        <v>8.8369791667055227E-3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input_576104!A$2</f>
        <v>576104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IFERROR(VLOOKUP(B163,input_576104!L:R,7,FALSE),VLOOKUP(tables_576104!C163,input_576104!A:H,8,FALSE))</f>
        <v>27034.615379999999</v>
      </c>
      <c r="P163" s="46">
        <f t="shared" ca="1" si="7"/>
        <v>1.9831730765932268E-4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input_576104!A$2</f>
        <v>576104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IFERROR(VLOOKUP(B164,input_576104!L:R,7,FALSE),VLOOKUP(tables_576104!C164,input_576104!A:H,8,FALSE))</f>
        <v>121714.28571</v>
      </c>
      <c r="P164" s="46">
        <f t="shared" ca="1" si="7"/>
        <v>8.9285714282963001E-4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input_576104!A$2</f>
        <v>576104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IFERROR(VLOOKUP(B165,input_576104!L:R,7,FALSE),VLOOKUP(tables_576104!C165,input_576104!A:H,8,FALSE))</f>
        <v>47333.333330000001</v>
      </c>
      <c r="P165" s="46">
        <f t="shared" ca="1" si="7"/>
        <v>3.4722222219929667E-4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input_576104!A$2</f>
        <v>576104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IFERROR(VLOOKUP(B166,input_576104!L:R,7,FALSE),VLOOKUP(tables_576104!C166,input_576104!A:H,8,FALSE))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input_576104!A$2</f>
        <v>576104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IFERROR(VLOOKUP(B167,input_576104!L:R,7,FALSE),VLOOKUP(tables_576104!C167,input_576104!A:H,8,FALSE))</f>
        <v>1204657</v>
      </c>
      <c r="P167" s="46">
        <f t="shared" ca="1" si="7"/>
        <v>8.8369791667055227E-3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input_576104!A$2</f>
        <v>576104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IFERROR(VLOOKUP(B168,input_576104!L:R,7,FALSE),VLOOKUP(tables_576104!C168,input_576104!A:H,8,FALSE))</f>
        <v>27034.615379999999</v>
      </c>
      <c r="P168" s="46">
        <f t="shared" ca="1" si="7"/>
        <v>1.9831730765932268E-4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input_576104!A$2</f>
        <v>576104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IFERROR(VLOOKUP(B169,input_576104!L:R,7,FALSE),VLOOKUP(tables_576104!C169,input_576104!A:H,8,FALSE))</f>
        <v>121714.28571</v>
      </c>
      <c r="P169" s="46">
        <f t="shared" ca="1" si="7"/>
        <v>8.9285714282963001E-4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input_576104!A$2</f>
        <v>576104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IFERROR(VLOOKUP(B170,input_576104!L:R,7,FALSE),VLOOKUP(tables_576104!C170,input_576104!A:H,8,FALSE))</f>
        <v>47333.333330000001</v>
      </c>
      <c r="P170" s="46">
        <f t="shared" ca="1" si="7"/>
        <v>3.4722222219929667E-4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input_576104!A$2</f>
        <v>576104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IFERROR(VLOOKUP(B171,input_576104!L:R,7,FALSE),VLOOKUP(tables_576104!C171,input_576104!A:H,8,FALSE))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input_576104!A$2</f>
        <v>576104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IFERROR(VLOOKUP(B172,input_576104!L:R,7,FALSE),VLOOKUP(tables_576104!C172,input_576104!A:H,8,FALSE))</f>
        <v>1204657</v>
      </c>
      <c r="P172" s="46">
        <f t="shared" ca="1" si="7"/>
        <v>8.8369791667055227E-3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input_576104!A$2</f>
        <v>576104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IFERROR(VLOOKUP(B173,input_576104!L:R,7,FALSE),VLOOKUP(tables_576104!C173,input_576104!A:H,8,FALSE))</f>
        <v>27034.615379999999</v>
      </c>
      <c r="P173" s="46">
        <f t="shared" ca="1" si="7"/>
        <v>1.9831730765932268E-4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input_576104!A$2</f>
        <v>576104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IFERROR(VLOOKUP(B174,input_576104!L:R,7,FALSE),VLOOKUP(tables_576104!C174,input_576104!A:H,8,FALSE))</f>
        <v>121714.28571</v>
      </c>
      <c r="P174" s="46">
        <f t="shared" ca="1" si="7"/>
        <v>8.9285714282963001E-4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input_576104!A$2</f>
        <v>576104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IFERROR(VLOOKUP(B175,input_576104!L:R,7,FALSE),VLOOKUP(tables_576104!C175,input_576104!A:H,8,FALSE))</f>
        <v>47333.333330000001</v>
      </c>
      <c r="P175" s="46">
        <f t="shared" ca="1" si="7"/>
        <v>3.4722222219929667E-4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input_576104!A$2</f>
        <v>576104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IFERROR(VLOOKUP(B176,input_576104!L:R,7,FALSE),VLOOKUP(tables_576104!C176,input_576104!A:H,8,FALSE))</f>
        <v>121714.28571</v>
      </c>
      <c r="P176" s="46">
        <f t="shared" ca="1" si="7"/>
        <v>8.9285714282963001E-4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input_576104!A$2</f>
        <v>576104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IFERROR(VLOOKUP(B177,input_576104!L:R,7,FALSE),VLOOKUP(tables_576104!C177,input_576104!A:H,8,FALSE))</f>
        <v>47333.333330000001</v>
      </c>
      <c r="P177" s="46">
        <f t="shared" ca="1" si="7"/>
        <v>3.4722222219929667E-4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input_576104!A$2</f>
        <v>576104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IFERROR(VLOOKUP(B178,input_576104!L:R,7,FALSE),VLOOKUP(tables_576104!C178,input_576104!A:H,8,FALSE))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input_576104!A$2</f>
        <v>576104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IFERROR(VLOOKUP(B179,input_576104!L:R,7,FALSE),VLOOKUP(tables_576104!C179,input_576104!A:H,8,FALSE))</f>
        <v>1204657</v>
      </c>
      <c r="P179" s="46">
        <f t="shared" ca="1" si="7"/>
        <v>8.8369791667055227E-3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input_576104!A$2</f>
        <v>576104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IFERROR(VLOOKUP(B180,input_576104!L:R,7,FALSE),VLOOKUP(tables_576104!C180,input_576104!A:H,8,FALSE))</f>
        <v>27034.615379999999</v>
      </c>
      <c r="P180" s="46">
        <f t="shared" ca="1" si="7"/>
        <v>1.9831730765932268E-4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input_576104!A$2</f>
        <v>576104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IFERROR(VLOOKUP(B181,input_576104!L:R,7,FALSE),VLOOKUP(tables_576104!C181,input_576104!A:H,8,FALSE))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input_576104!A$2</f>
        <v>576104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IFERROR(VLOOKUP(B182,input_576104!L:R,7,FALSE),VLOOKUP(tables_576104!C182,input_576104!A:H,8,FALSE))</f>
        <v>1204657</v>
      </c>
      <c r="P182" s="46">
        <f t="shared" ca="1" si="7"/>
        <v>8.8369791667055227E-3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input_576104!A$2</f>
        <v>576104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IFERROR(VLOOKUP(B183,input_576104!L:R,7,FALSE),VLOOKUP(tables_576104!C183,input_576104!A:H,8,FALSE))</f>
        <v>27034.615379999999</v>
      </c>
      <c r="P183" s="46">
        <f t="shared" ca="1" si="7"/>
        <v>1.9831730765932268E-4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input_576104!A$2</f>
        <v>576104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IFERROR(VLOOKUP(B184,input_576104!L:R,7,FALSE),VLOOKUP(tables_576104!C184,input_576104!A:H,8,FALSE))</f>
        <v>121714.28571</v>
      </c>
      <c r="P184" s="46">
        <f t="shared" ca="1" si="7"/>
        <v>8.9285714282963001E-4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input_576104!A$2</f>
        <v>576104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IFERROR(VLOOKUP(B185,input_576104!L:R,7,FALSE),VLOOKUP(tables_576104!C185,input_576104!A:H,8,FALSE))</f>
        <v>47333.333330000001</v>
      </c>
      <c r="P185" s="46">
        <f t="shared" ca="1" si="7"/>
        <v>3.4722222219929667E-4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input_576104!A$2</f>
        <v>576104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IFERROR(VLOOKUP(B186,input_576104!L:R,7,FALSE),VLOOKUP(tables_576104!C186,input_576104!A:H,8,FALSE))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input_576104!A$2</f>
        <v>576104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IFERROR(VLOOKUP(B187,input_576104!L:R,7,FALSE),VLOOKUP(tables_576104!C187,input_576104!A:H,8,FALSE))</f>
        <v>1204657</v>
      </c>
      <c r="P187" s="46">
        <f t="shared" ca="1" si="7"/>
        <v>8.8369791667055227E-3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input_576104!A$2</f>
        <v>576104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IFERROR(VLOOKUP(B188,input_576104!L:R,7,FALSE),VLOOKUP(tables_576104!C188,input_576104!A:H,8,FALSE))</f>
        <v>27034.615379999999</v>
      </c>
      <c r="P188" s="46">
        <f t="shared" ca="1" si="7"/>
        <v>1.9831730765932268E-4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input_576104!A$2</f>
        <v>576104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IFERROR(VLOOKUP(B189,input_576104!L:R,7,FALSE),VLOOKUP(tables_576104!C189,input_576104!A:H,8,FALSE))</f>
        <v>121714.28571</v>
      </c>
      <c r="P189" s="46">
        <f t="shared" ca="1" si="7"/>
        <v>8.9285714282963001E-4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input_576104!A$2</f>
        <v>576104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IFERROR(VLOOKUP(B190,input_576104!L:R,7,FALSE),VLOOKUP(tables_576104!C190,input_576104!A:H,8,FALSE))</f>
        <v>47333.333330000001</v>
      </c>
      <c r="P190" s="46">
        <f t="shared" ca="1" si="7"/>
        <v>3.4722222219929667E-4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input_576104!A$2</f>
        <v>576104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IFERROR(VLOOKUP(B191,input_576104!L:R,7,FALSE),VLOOKUP(tables_576104!C191,input_576104!A:H,8,FALSE))</f>
        <v>121714.28571</v>
      </c>
      <c r="P191" s="46">
        <f t="shared" ca="1" si="7"/>
        <v>8.9285714282963001E-4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input_576104!A$2</f>
        <v>576104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IFERROR(VLOOKUP(B192,input_576104!L:R,7,FALSE),VLOOKUP(tables_576104!C192,input_576104!A:H,8,FALSE))</f>
        <v>47333.333330000001</v>
      </c>
      <c r="P192" s="46">
        <f t="shared" ca="1" si="7"/>
        <v>3.4722222219929667E-4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input_576104!A$2</f>
        <v>576104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IFERROR(VLOOKUP(B193,input_576104!L:R,7,FALSE),VLOOKUP(tables_576104!C193,input_576104!A:H,8,FALSE))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input_576104!A$2</f>
        <v>576104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IFERROR(VLOOKUP(B194,input_576104!L:R,7,FALSE),VLOOKUP(tables_576104!C194,input_576104!A:H,8,FALSE))</f>
        <v>1204657</v>
      </c>
      <c r="P194" s="46">
        <f t="shared" ref="P194:P257" ca="1" si="10">O194/SUM(O:O)</f>
        <v>8.8369791667055227E-3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input_576104!A$2</f>
        <v>576104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IFERROR(VLOOKUP(B195,input_576104!L:R,7,FALSE),VLOOKUP(tables_576104!C195,input_576104!A:H,8,FALSE))</f>
        <v>27034.615379999999</v>
      </c>
      <c r="P195" s="46">
        <f t="shared" ca="1" si="10"/>
        <v>1.9831730765932268E-4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input_576104!A$2</f>
        <v>576104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IFERROR(VLOOKUP(B196,input_576104!L:R,7,FALSE),VLOOKUP(tables_576104!C196,input_576104!A:H,8,FALSE))</f>
        <v>121714.28571</v>
      </c>
      <c r="P196" s="46">
        <f t="shared" ca="1" si="10"/>
        <v>8.9285714282963001E-4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input_576104!A$2</f>
        <v>576104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IFERROR(VLOOKUP(B197,input_576104!L:R,7,FALSE),VLOOKUP(tables_576104!C197,input_576104!A:H,8,FALSE))</f>
        <v>47333.333330000001</v>
      </c>
      <c r="P197" s="46">
        <f t="shared" ca="1" si="10"/>
        <v>3.4722222219929667E-4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input_576104!A$2</f>
        <v>576104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IFERROR(VLOOKUP(B198,input_576104!L:R,7,FALSE),VLOOKUP(tables_576104!C198,input_576104!A:H,8,FALSE))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input_576104!A$2</f>
        <v>576104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IFERROR(VLOOKUP(B199,input_576104!L:R,7,FALSE),VLOOKUP(tables_576104!C199,input_576104!A:H,8,FALSE))</f>
        <v>1204657</v>
      </c>
      <c r="P199" s="46">
        <f t="shared" ca="1" si="10"/>
        <v>8.8369791667055227E-3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input_576104!A$2</f>
        <v>576104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IFERROR(VLOOKUP(B200,input_576104!L:R,7,FALSE),VLOOKUP(tables_576104!C200,input_576104!A:H,8,FALSE))</f>
        <v>27034.615379999999</v>
      </c>
      <c r="P200" s="46">
        <f t="shared" ca="1" si="10"/>
        <v>1.9831730765932268E-4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input_576104!A$2</f>
        <v>576104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IFERROR(VLOOKUP(B201,input_576104!L:R,7,FALSE),VLOOKUP(tables_576104!C201,input_576104!A:H,8,FALSE))</f>
        <v>121714.28571</v>
      </c>
      <c r="P201" s="46">
        <f t="shared" ca="1" si="10"/>
        <v>8.9285714282963001E-4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input_576104!A$2</f>
        <v>576104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IFERROR(VLOOKUP(B202,input_576104!L:R,7,FALSE),VLOOKUP(tables_576104!C202,input_576104!A:H,8,FALSE))</f>
        <v>47333.333330000001</v>
      </c>
      <c r="P202" s="46">
        <f t="shared" ca="1" si="10"/>
        <v>3.4722222219929667E-4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input_576104!A$2</f>
        <v>576104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IFERROR(VLOOKUP(B203,input_576104!L:R,7,FALSE),VLOOKUP(tables_576104!C203,input_576104!A:H,8,FALSE))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input_576104!A$2</f>
        <v>576104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IFERROR(VLOOKUP(B204,input_576104!L:R,7,FALSE),VLOOKUP(tables_576104!C204,input_576104!A:H,8,FALSE))</f>
        <v>1204657</v>
      </c>
      <c r="P204" s="46">
        <f t="shared" ca="1" si="10"/>
        <v>8.8369791667055227E-3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input_576104!A$2</f>
        <v>576104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IFERROR(VLOOKUP(B205,input_576104!L:R,7,FALSE),VLOOKUP(tables_576104!C205,input_576104!A:H,8,FALSE))</f>
        <v>27034.615379999999</v>
      </c>
      <c r="P205" s="46">
        <f t="shared" ca="1" si="10"/>
        <v>1.9831730765932268E-4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input_576104!A$2</f>
        <v>576104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IFERROR(VLOOKUP(B206,input_576104!L:R,7,FALSE),VLOOKUP(tables_576104!C206,input_576104!A:H,8,FALSE))</f>
        <v>121714.28571</v>
      </c>
      <c r="P206" s="46">
        <f t="shared" ca="1" si="10"/>
        <v>8.9285714282963001E-4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input_576104!A$2</f>
        <v>576104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IFERROR(VLOOKUP(B207,input_576104!L:R,7,FALSE),VLOOKUP(tables_576104!C207,input_576104!A:H,8,FALSE))</f>
        <v>47333.333330000001</v>
      </c>
      <c r="P207" s="46">
        <f t="shared" ca="1" si="10"/>
        <v>3.4722222219929667E-4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input_576104!A$2</f>
        <v>576104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IFERROR(VLOOKUP(B208,input_576104!L:R,7,FALSE),VLOOKUP(tables_576104!C208,input_576104!A:H,8,FALSE))</f>
        <v>121714.28571</v>
      </c>
      <c r="P208" s="46">
        <f t="shared" ca="1" si="10"/>
        <v>8.9285714282963001E-4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input_576104!A$2</f>
        <v>576104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IFERROR(VLOOKUP(B209,input_576104!L:R,7,FALSE),VLOOKUP(tables_576104!C209,input_576104!A:H,8,FALSE))</f>
        <v>47333.333330000001</v>
      </c>
      <c r="P209" s="46">
        <f t="shared" ca="1" si="10"/>
        <v>3.4722222219929667E-4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input_576104!A$2</f>
        <v>576104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IFERROR(VLOOKUP(B210,input_576104!L:R,7,FALSE),VLOOKUP(tables_576104!C210,input_576104!A:H,8,FALSE))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input_576104!A$2</f>
        <v>576104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IFERROR(VLOOKUP(B211,input_576104!L:R,7,FALSE),VLOOKUP(tables_576104!C211,input_576104!A:H,8,FALSE))</f>
        <v>1204657</v>
      </c>
      <c r="P211" s="46">
        <f t="shared" ca="1" si="10"/>
        <v>8.8369791667055227E-3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input_576104!A$2</f>
        <v>576104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IFERROR(VLOOKUP(B212,input_576104!L:R,7,FALSE),VLOOKUP(tables_576104!C212,input_576104!A:H,8,FALSE))</f>
        <v>27034.615379999999</v>
      </c>
      <c r="P212" s="46">
        <f t="shared" ca="1" si="10"/>
        <v>1.9831730765932268E-4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input_576104!A$2</f>
        <v>576104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IFERROR(VLOOKUP(B213,input_576104!L:R,7,FALSE),VLOOKUP(tables_576104!C213,input_576104!A:H,8,FALSE))</f>
        <v>121714.28571</v>
      </c>
      <c r="P213" s="46">
        <f t="shared" ca="1" si="10"/>
        <v>8.9285714282963001E-4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input_576104!A$2</f>
        <v>576104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IFERROR(VLOOKUP(B214,input_576104!L:R,7,FALSE),VLOOKUP(tables_576104!C214,input_576104!A:H,8,FALSE))</f>
        <v>47333.333330000001</v>
      </c>
      <c r="P214" s="46">
        <f t="shared" ca="1" si="10"/>
        <v>3.4722222219929667E-4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input_576104!A$2</f>
        <v>576104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IFERROR(VLOOKUP(B215,input_576104!L:R,7,FALSE),VLOOKUP(tables_576104!C215,input_576104!A:H,8,FALSE))</f>
        <v>66740</v>
      </c>
      <c r="P215" s="46">
        <f t="shared" ca="1" si="10"/>
        <v>4.8958333333548598E-4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input_576104!A$2</f>
        <v>576104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IFERROR(VLOOKUP(B216,input_576104!L:R,7,FALSE),VLOOKUP(tables_576104!C216,input_576104!A:H,8,FALSE))</f>
        <v>66740</v>
      </c>
      <c r="P216" s="46">
        <f t="shared" ca="1" si="10"/>
        <v>4.8958333333548598E-4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input_576104!A$2</f>
        <v>576104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IFERROR(VLOOKUP(B217,input_576104!L:R,7,FALSE),VLOOKUP(tables_576104!C217,input_576104!A:H,8,FALSE))</f>
        <v>66740</v>
      </c>
      <c r="P217" s="46">
        <f t="shared" ca="1" si="10"/>
        <v>4.8958333333548598E-4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input_576104!A$2</f>
        <v>576104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IFERROR(VLOOKUP(B218,input_576104!L:R,7,FALSE),VLOOKUP(tables_576104!C218,input_576104!A:H,8,FALSE))</f>
        <v>66740</v>
      </c>
      <c r="P218" s="46">
        <f t="shared" ca="1" si="10"/>
        <v>4.8958333333548598E-4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input_576104!A$2</f>
        <v>576104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IFERROR(VLOOKUP(B219,input_576104!L:R,7,FALSE),VLOOKUP(tables_576104!C219,input_576104!A:H,8,FALSE))</f>
        <v>66740</v>
      </c>
      <c r="P219" s="46">
        <f t="shared" ca="1" si="10"/>
        <v>4.8958333333548598E-4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input_576104!A$2</f>
        <v>576104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IFERROR(VLOOKUP(B220,input_576104!L:R,7,FALSE),VLOOKUP(tables_576104!C220,input_576104!A:H,8,FALSE))</f>
        <v>66740</v>
      </c>
      <c r="P220" s="46">
        <f t="shared" ca="1" si="10"/>
        <v>4.8958333333548598E-4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input_576104!A$2</f>
        <v>576104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IFERROR(VLOOKUP(B221,input_576104!L:R,7,FALSE),VLOOKUP(tables_576104!C221,input_576104!A:H,8,FALSE))</f>
        <v>121714.28571</v>
      </c>
      <c r="P221" s="46">
        <f t="shared" ca="1" si="10"/>
        <v>8.9285714282963001E-4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input_576104!A$2</f>
        <v>576104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IFERROR(VLOOKUP(B222,input_576104!L:R,7,FALSE),VLOOKUP(tables_576104!C222,input_576104!A:H,8,FALSE))</f>
        <v>47333.333330000001</v>
      </c>
      <c r="P222" s="46">
        <f t="shared" ca="1" si="10"/>
        <v>3.4722222219929667E-4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input_576104!A$2</f>
        <v>576104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IFERROR(VLOOKUP(B223,input_576104!L:R,7,FALSE),VLOOKUP(tables_576104!C223,input_576104!A:H,8,FALSE))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input_576104!A$2</f>
        <v>576104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IFERROR(VLOOKUP(B224,input_576104!L:R,7,FALSE),VLOOKUP(tables_576104!C224,input_576104!A:H,8,FALSE))</f>
        <v>1204657</v>
      </c>
      <c r="P224" s="46">
        <f t="shared" ca="1" si="10"/>
        <v>8.8369791667055227E-3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input_576104!A$2</f>
        <v>576104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IFERROR(VLOOKUP(B225,input_576104!L:R,7,FALSE),VLOOKUP(tables_576104!C225,input_576104!A:H,8,FALSE))</f>
        <v>27034.615379999999</v>
      </c>
      <c r="P225" s="46">
        <f t="shared" ca="1" si="10"/>
        <v>1.9831730765932268E-4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input_576104!A$2</f>
        <v>576104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IFERROR(VLOOKUP(B226,input_576104!L:R,7,FALSE),VLOOKUP(tables_576104!C226,input_576104!A:H,8,FALSE))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input_576104!A$2</f>
        <v>576104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IFERROR(VLOOKUP(B227,input_576104!L:R,7,FALSE),VLOOKUP(tables_576104!C227,input_576104!A:H,8,FALSE))</f>
        <v>1204657</v>
      </c>
      <c r="P227" s="46">
        <f t="shared" ca="1" si="10"/>
        <v>8.8369791667055227E-3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input_576104!A$2</f>
        <v>576104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IFERROR(VLOOKUP(B228,input_576104!L:R,7,FALSE),VLOOKUP(tables_576104!C228,input_576104!A:H,8,FALSE))</f>
        <v>27034.615379999999</v>
      </c>
      <c r="P228" s="46">
        <f t="shared" ca="1" si="10"/>
        <v>1.9831730765932268E-4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input_576104!A$2</f>
        <v>576104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IFERROR(VLOOKUP(B229,input_576104!L:R,7,FALSE),VLOOKUP(tables_576104!C229,input_576104!A:H,8,FALSE))</f>
        <v>121714.28571</v>
      </c>
      <c r="P229" s="46">
        <f t="shared" ca="1" si="10"/>
        <v>8.9285714282963001E-4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input_576104!A$2</f>
        <v>576104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IFERROR(VLOOKUP(B230,input_576104!L:R,7,FALSE),VLOOKUP(tables_576104!C230,input_576104!A:H,8,FALSE))</f>
        <v>47333.333330000001</v>
      </c>
      <c r="P230" s="46">
        <f t="shared" ca="1" si="10"/>
        <v>3.4722222219929667E-4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input_576104!A$2</f>
        <v>576104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IFERROR(VLOOKUP(B231,input_576104!L:R,7,FALSE),VLOOKUP(tables_576104!C231,input_576104!A:H,8,FALSE))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input_576104!A$2</f>
        <v>576104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IFERROR(VLOOKUP(B232,input_576104!L:R,7,FALSE),VLOOKUP(tables_576104!C232,input_576104!A:H,8,FALSE))</f>
        <v>1204657</v>
      </c>
      <c r="P232" s="46">
        <f t="shared" ca="1" si="10"/>
        <v>8.8369791667055227E-3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input_576104!A$2</f>
        <v>576104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IFERROR(VLOOKUP(B233,input_576104!L:R,7,FALSE),VLOOKUP(tables_576104!C233,input_576104!A:H,8,FALSE))</f>
        <v>27034.615379999999</v>
      </c>
      <c r="P233" s="46">
        <f t="shared" ca="1" si="10"/>
        <v>1.9831730765932268E-4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input_576104!A$2</f>
        <v>576104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IFERROR(VLOOKUP(B234,input_576104!L:R,7,FALSE),VLOOKUP(tables_576104!C234,input_576104!A:H,8,FALSE))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input_576104!A$2</f>
        <v>576104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IFERROR(VLOOKUP(B235,input_576104!L:R,7,FALSE),VLOOKUP(tables_576104!C235,input_576104!A:H,8,FALSE))</f>
        <v>1204657</v>
      </c>
      <c r="P235" s="46">
        <f t="shared" ca="1" si="10"/>
        <v>8.8369791667055227E-3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input_576104!A$2</f>
        <v>576104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IFERROR(VLOOKUP(B236,input_576104!L:R,7,FALSE),VLOOKUP(tables_576104!C236,input_576104!A:H,8,FALSE))</f>
        <v>27034.615379999999</v>
      </c>
      <c r="P236" s="46">
        <f t="shared" ca="1" si="10"/>
        <v>1.9831730765932268E-4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input_576104!A$2</f>
        <v>576104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IFERROR(VLOOKUP(B237,input_576104!L:R,7,FALSE),VLOOKUP(tables_576104!C237,input_576104!A:H,8,FALSE))</f>
        <v>121714.28571</v>
      </c>
      <c r="P237" s="46">
        <f t="shared" ca="1" si="10"/>
        <v>8.9285714282963001E-4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input_576104!A$2</f>
        <v>576104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IFERROR(VLOOKUP(B238,input_576104!L:R,7,FALSE),VLOOKUP(tables_576104!C238,input_576104!A:H,8,FALSE))</f>
        <v>47333.333330000001</v>
      </c>
      <c r="P238" s="46">
        <f t="shared" ca="1" si="10"/>
        <v>3.4722222219929667E-4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input_576104!A$2</f>
        <v>576104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IFERROR(VLOOKUP(B239,input_576104!L:R,7,FALSE),VLOOKUP(tables_576104!C239,input_576104!A:H,8,FALSE))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input_576104!A$2</f>
        <v>576104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IFERROR(VLOOKUP(B240,input_576104!L:R,7,FALSE),VLOOKUP(tables_576104!C240,input_576104!A:H,8,FALSE))</f>
        <v>1204657</v>
      </c>
      <c r="P240" s="46">
        <f t="shared" ca="1" si="10"/>
        <v>8.8369791667055227E-3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input_576104!A$2</f>
        <v>576104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IFERROR(VLOOKUP(B241,input_576104!L:R,7,FALSE),VLOOKUP(tables_576104!C241,input_576104!A:H,8,FALSE))</f>
        <v>27034.615379999999</v>
      </c>
      <c r="P241" s="46">
        <f t="shared" ca="1" si="10"/>
        <v>1.9831730765932268E-4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input_576104!A$2</f>
        <v>576104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IFERROR(VLOOKUP(B242,input_576104!L:R,7,FALSE),VLOOKUP(tables_576104!C242,input_576104!A:H,8,FALSE))</f>
        <v>121714.28571</v>
      </c>
      <c r="P242" s="46">
        <f t="shared" ca="1" si="10"/>
        <v>8.9285714282963001E-4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input_576104!A$2</f>
        <v>576104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IFERROR(VLOOKUP(B243,input_576104!L:R,7,FALSE),VLOOKUP(tables_576104!C243,input_576104!A:H,8,FALSE))</f>
        <v>47333.333330000001</v>
      </c>
      <c r="P243" s="46">
        <f t="shared" ca="1" si="10"/>
        <v>3.4722222219929667E-4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input_576104!A$2</f>
        <v>576104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IFERROR(VLOOKUP(B244,input_576104!L:R,7,FALSE),VLOOKUP(tables_576104!C244,input_576104!A:H,8,FALSE))</f>
        <v>121714.28571</v>
      </c>
      <c r="P244" s="46">
        <f t="shared" ca="1" si="10"/>
        <v>8.9285714282963001E-4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input_576104!A$2</f>
        <v>576104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IFERROR(VLOOKUP(B245,input_576104!L:R,7,FALSE),VLOOKUP(tables_576104!C245,input_576104!A:H,8,FALSE))</f>
        <v>47333.333330000001</v>
      </c>
      <c r="P245" s="46">
        <f t="shared" ca="1" si="10"/>
        <v>3.4722222219929667E-4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input_576104!A$2</f>
        <v>576104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IFERROR(VLOOKUP(B246,input_576104!L:R,7,FALSE),VLOOKUP(tables_576104!C246,input_576104!A:H,8,FALSE))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input_576104!A$2</f>
        <v>576104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IFERROR(VLOOKUP(B247,input_576104!L:R,7,FALSE),VLOOKUP(tables_576104!C247,input_576104!A:H,8,FALSE))</f>
        <v>1204657</v>
      </c>
      <c r="P247" s="46">
        <f t="shared" ca="1" si="10"/>
        <v>8.8369791667055227E-3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input_576104!A$2</f>
        <v>576104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IFERROR(VLOOKUP(B248,input_576104!L:R,7,FALSE),VLOOKUP(tables_576104!C248,input_576104!A:H,8,FALSE))</f>
        <v>27034.615379999999</v>
      </c>
      <c r="P248" s="46">
        <f t="shared" ca="1" si="10"/>
        <v>1.9831730765932268E-4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input_576104!A$2</f>
        <v>576104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IFERROR(VLOOKUP(B249,input_576104!L:R,7,FALSE),VLOOKUP(tables_576104!C249,input_576104!A:H,8,FALSE))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input_576104!A$2</f>
        <v>576104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IFERROR(VLOOKUP(B250,input_576104!L:R,7,FALSE),VLOOKUP(tables_576104!C250,input_576104!A:H,8,FALSE))</f>
        <v>1204657</v>
      </c>
      <c r="P250" s="46">
        <f t="shared" ca="1" si="10"/>
        <v>8.8369791667055227E-3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input_576104!A$2</f>
        <v>576104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IFERROR(VLOOKUP(B251,input_576104!L:R,7,FALSE),VLOOKUP(tables_576104!C251,input_576104!A:H,8,FALSE))</f>
        <v>27034.615379999999</v>
      </c>
      <c r="P251" s="46">
        <f t="shared" ca="1" si="10"/>
        <v>1.9831730765932268E-4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input_576104!A$2</f>
        <v>576104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IFERROR(VLOOKUP(B252,input_576104!L:R,7,FALSE),VLOOKUP(tables_576104!C252,input_576104!A:H,8,FALSE))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input_576104!A$2</f>
        <v>576104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IFERROR(VLOOKUP(B253,input_576104!L:R,7,FALSE),VLOOKUP(tables_576104!C253,input_576104!A:H,8,FALSE))</f>
        <v>1204657</v>
      </c>
      <c r="P253" s="46">
        <f t="shared" ca="1" si="10"/>
        <v>8.8369791667055227E-3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input_576104!A$2</f>
        <v>576104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IFERROR(VLOOKUP(B254,input_576104!L:R,7,FALSE),VLOOKUP(tables_576104!C254,input_576104!A:H,8,FALSE))</f>
        <v>27034.615379999999</v>
      </c>
      <c r="P254" s="46">
        <f t="shared" ca="1" si="10"/>
        <v>1.9831730765932268E-4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input_576104!A$2</f>
        <v>576104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IFERROR(VLOOKUP(B255,input_576104!L:R,7,FALSE),VLOOKUP(tables_576104!C255,input_576104!A:H,8,FALSE))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input_576104!A$2</f>
        <v>576104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IFERROR(VLOOKUP(B256,input_576104!L:R,7,FALSE),VLOOKUP(tables_576104!C256,input_576104!A:H,8,FALSE))</f>
        <v>1204657</v>
      </c>
      <c r="P256" s="46">
        <f t="shared" ca="1" si="10"/>
        <v>8.8369791667055227E-3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input_576104!A$2</f>
        <v>576104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IFERROR(VLOOKUP(B257,input_576104!L:R,7,FALSE),VLOOKUP(tables_576104!C257,input_576104!A:H,8,FALSE))</f>
        <v>27034.615379999999</v>
      </c>
      <c r="P257" s="46">
        <f t="shared" ca="1" si="10"/>
        <v>1.9831730765932268E-4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input_576104!A$2</f>
        <v>576104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IFERROR(VLOOKUP(B258,input_576104!L:R,7,FALSE),VLOOKUP(tables_576104!C258,input_576104!A:H,8,FALSE))</f>
        <v>121714.28571</v>
      </c>
      <c r="P258" s="46">
        <f t="shared" ref="P258:P321" ca="1" si="13">O258/SUM(O:O)</f>
        <v>8.9285714282963001E-4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input_576104!A$2</f>
        <v>576104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IFERROR(VLOOKUP(B259,input_576104!L:R,7,FALSE),VLOOKUP(tables_576104!C259,input_576104!A:H,8,FALSE))</f>
        <v>47333.333330000001</v>
      </c>
      <c r="P259" s="46">
        <f t="shared" ca="1" si="13"/>
        <v>3.4722222219929667E-4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input_576104!A$2</f>
        <v>576104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IFERROR(VLOOKUP(B260,input_576104!L:R,7,FALSE),VLOOKUP(tables_576104!C260,input_576104!A:H,8,FALSE))</f>
        <v>121714.28571</v>
      </c>
      <c r="P260" s="46">
        <f t="shared" ca="1" si="13"/>
        <v>8.9285714282963001E-4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input_576104!A$2</f>
        <v>576104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IFERROR(VLOOKUP(B261,input_576104!L:R,7,FALSE),VLOOKUP(tables_576104!C261,input_576104!A:H,8,FALSE))</f>
        <v>47333.333330000001</v>
      </c>
      <c r="P261" s="46">
        <f t="shared" ca="1" si="13"/>
        <v>3.4722222219929667E-4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input_576104!A$2</f>
        <v>576104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IFERROR(VLOOKUP(B262,input_576104!L:R,7,FALSE),VLOOKUP(tables_576104!C262,input_576104!A:H,8,FALSE))</f>
        <v>1204657</v>
      </c>
      <c r="P262" s="46">
        <f t="shared" ca="1" si="13"/>
        <v>8.8369791667055227E-3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input_576104!A$2</f>
        <v>576104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IFERROR(VLOOKUP(B263,input_576104!L:R,7,FALSE),VLOOKUP(tables_576104!C263,input_576104!A:H,8,FALSE))</f>
        <v>66740</v>
      </c>
      <c r="P263" s="46">
        <f t="shared" ca="1" si="13"/>
        <v>4.8958333333548598E-4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input_576104!A$2</f>
        <v>576104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IFERROR(VLOOKUP(B264,input_576104!L:R,7,FALSE),VLOOKUP(tables_576104!C264,input_576104!A:H,8,FALSE))</f>
        <v>1204657</v>
      </c>
      <c r="P264" s="46">
        <f t="shared" ca="1" si="13"/>
        <v>8.8369791667055227E-3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input_576104!A$2</f>
        <v>576104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IFERROR(VLOOKUP(B265,input_576104!L:R,7,FALSE),VLOOKUP(tables_576104!C265,input_576104!A:H,8,FALSE))</f>
        <v>66740</v>
      </c>
      <c r="P265" s="46">
        <f t="shared" ca="1" si="13"/>
        <v>4.8958333333548598E-4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input_576104!A$2</f>
        <v>576104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IFERROR(VLOOKUP(B266,input_576104!L:R,7,FALSE),VLOOKUP(tables_576104!C266,input_576104!A:H,8,FALSE))</f>
        <v>47333.333330000001</v>
      </c>
      <c r="P266" s="46">
        <f t="shared" ca="1" si="13"/>
        <v>3.4722222219929667E-4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input_576104!A$2</f>
        <v>576104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IFERROR(VLOOKUP(B267,input_576104!L:R,7,FALSE),VLOOKUP(tables_576104!C267,input_576104!A:H,8,FALSE))</f>
        <v>47333.333330000001</v>
      </c>
      <c r="P267" s="46">
        <f t="shared" ca="1" si="13"/>
        <v>3.4722222219929667E-4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input_576104!A$2</f>
        <v>576104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IFERROR(VLOOKUP(B268,input_576104!L:R,7,FALSE),VLOOKUP(tables_576104!C268,input_576104!A:H,8,FALSE))</f>
        <v>47333.333330000001</v>
      </c>
      <c r="P268" s="46">
        <f t="shared" ca="1" si="13"/>
        <v>3.4722222219929667E-4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input_576104!A$2</f>
        <v>576104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IFERROR(VLOOKUP(B269,input_576104!L:R,7,FALSE),VLOOKUP(tables_576104!C269,input_576104!A:H,8,FALSE))</f>
        <v>47333.333330000001</v>
      </c>
      <c r="P269" s="46">
        <f t="shared" ca="1" si="13"/>
        <v>3.4722222219929667E-4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input_576104!A$2</f>
        <v>576104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IFERROR(VLOOKUP(B270,input_576104!L:R,7,FALSE),VLOOKUP(tables_576104!C270,input_576104!A:H,8,FALSE))</f>
        <v>1204657</v>
      </c>
      <c r="P270" s="46">
        <f t="shared" ca="1" si="13"/>
        <v>8.8369791667055227E-3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input_576104!A$2</f>
        <v>576104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IFERROR(VLOOKUP(B271,input_576104!L:R,7,FALSE),VLOOKUP(tables_576104!C271,input_576104!A:H,8,FALSE))</f>
        <v>66740</v>
      </c>
      <c r="P271" s="46">
        <f t="shared" ca="1" si="13"/>
        <v>4.8958333333548598E-4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input_576104!A$2</f>
        <v>576104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IFERROR(VLOOKUP(B272,input_576104!L:R,7,FALSE),VLOOKUP(tables_576104!C272,input_576104!A:H,8,FALSE))</f>
        <v>1204657</v>
      </c>
      <c r="P272" s="46">
        <f t="shared" ca="1" si="13"/>
        <v>8.8369791667055227E-3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input_576104!A$2</f>
        <v>576104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IFERROR(VLOOKUP(B273,input_576104!L:R,7,FALSE),VLOOKUP(tables_576104!C273,input_576104!A:H,8,FALSE))</f>
        <v>66740</v>
      </c>
      <c r="P273" s="46">
        <f t="shared" ca="1" si="13"/>
        <v>4.8958333333548598E-4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input_576104!A$2</f>
        <v>576104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IFERROR(VLOOKUP(B274,input_576104!L:R,7,FALSE),VLOOKUP(tables_576104!C274,input_576104!A:H,8,FALSE))</f>
        <v>121714.28571</v>
      </c>
      <c r="P274" s="46">
        <f t="shared" ca="1" si="13"/>
        <v>8.9285714282963001E-4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input_576104!A$2</f>
        <v>576104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IFERROR(VLOOKUP(B275,input_576104!L:R,7,FALSE),VLOOKUP(tables_576104!C275,input_576104!A:H,8,FALSE))</f>
        <v>47333.333330000001</v>
      </c>
      <c r="P275" s="46">
        <f t="shared" ca="1" si="13"/>
        <v>3.4722222219929667E-4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input_576104!A$2</f>
        <v>576104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IFERROR(VLOOKUP(B276,input_576104!L:R,7,FALSE),VLOOKUP(tables_576104!C276,input_576104!A:H,8,FALSE))</f>
        <v>121714.28571</v>
      </c>
      <c r="P276" s="46">
        <f t="shared" ca="1" si="13"/>
        <v>8.9285714282963001E-4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input_576104!A$2</f>
        <v>576104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IFERROR(VLOOKUP(B277,input_576104!L:R,7,FALSE),VLOOKUP(tables_576104!C277,input_576104!A:H,8,FALSE))</f>
        <v>47333.333330000001</v>
      </c>
      <c r="P277" s="46">
        <f t="shared" ca="1" si="13"/>
        <v>3.4722222219929667E-4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input_576104!A$2</f>
        <v>576104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IFERROR(VLOOKUP(B278,input_576104!L:R,7,FALSE),VLOOKUP(tables_576104!C278,input_576104!A:H,8,FALSE))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input_576104!A$2</f>
        <v>576104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IFERROR(VLOOKUP(B279,input_576104!L:R,7,FALSE),VLOOKUP(tables_576104!C279,input_576104!A:H,8,FALSE))</f>
        <v>1204657</v>
      </c>
      <c r="P279" s="46">
        <f t="shared" ca="1" si="13"/>
        <v>8.8369791667055227E-3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input_576104!A$2</f>
        <v>576104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IFERROR(VLOOKUP(B280,input_576104!L:R,7,FALSE),VLOOKUP(tables_576104!C280,input_576104!A:H,8,FALSE))</f>
        <v>27034.615379999999</v>
      </c>
      <c r="P280" s="46">
        <f t="shared" ca="1" si="13"/>
        <v>1.9831730765932268E-4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input_576104!A$2</f>
        <v>576104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IFERROR(VLOOKUP(B281,input_576104!L:R,7,FALSE),VLOOKUP(tables_576104!C281,input_576104!A:H,8,FALSE))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input_576104!A$2</f>
        <v>576104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IFERROR(VLOOKUP(B282,input_576104!L:R,7,FALSE),VLOOKUP(tables_576104!C282,input_576104!A:H,8,FALSE))</f>
        <v>1204657</v>
      </c>
      <c r="P282" s="46">
        <f t="shared" ca="1" si="13"/>
        <v>8.8369791667055227E-3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input_576104!A$2</f>
        <v>576104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IFERROR(VLOOKUP(B283,input_576104!L:R,7,FALSE),VLOOKUP(tables_576104!C283,input_576104!A:H,8,FALSE))</f>
        <v>27034.615379999999</v>
      </c>
      <c r="P283" s="46">
        <f t="shared" ca="1" si="13"/>
        <v>1.9831730765932268E-4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input_576104!A$2</f>
        <v>576104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IFERROR(VLOOKUP(B284,input_576104!L:R,7,FALSE),VLOOKUP(tables_576104!C284,input_576104!A:H,8,FALSE))</f>
        <v>47333.333330000001</v>
      </c>
      <c r="P284" s="46">
        <f t="shared" ca="1" si="13"/>
        <v>3.4722222219929667E-4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input_576104!A$2</f>
        <v>576104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IFERROR(VLOOKUP(B285,input_576104!L:R,7,FALSE),VLOOKUP(tables_576104!C285,input_576104!A:H,8,FALSE))</f>
        <v>47333.333330000001</v>
      </c>
      <c r="P285" s="46">
        <f t="shared" ca="1" si="13"/>
        <v>3.4722222219929667E-4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input_576104!A$2</f>
        <v>576104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IFERROR(VLOOKUP(B286,input_576104!L:R,7,FALSE),VLOOKUP(tables_576104!C286,input_576104!A:H,8,FALSE))</f>
        <v>1204657</v>
      </c>
      <c r="P286" s="46">
        <f t="shared" ca="1" si="13"/>
        <v>8.8369791667055227E-3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input_576104!A$2</f>
        <v>576104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IFERROR(VLOOKUP(B287,input_576104!L:R,7,FALSE),VLOOKUP(tables_576104!C287,input_576104!A:H,8,FALSE))</f>
        <v>66740</v>
      </c>
      <c r="P287" s="46">
        <f t="shared" ca="1" si="13"/>
        <v>4.8958333333548598E-4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input_576104!A$2</f>
        <v>576104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IFERROR(VLOOKUP(B288,input_576104!L:R,7,FALSE),VLOOKUP(tables_576104!C288,input_576104!A:H,8,FALSE))</f>
        <v>1204657</v>
      </c>
      <c r="P288" s="46">
        <f t="shared" ca="1" si="13"/>
        <v>8.8369791667055227E-3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input_576104!A$2</f>
        <v>576104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IFERROR(VLOOKUP(B289,input_576104!L:R,7,FALSE),VLOOKUP(tables_576104!C289,input_576104!A:H,8,FALSE))</f>
        <v>66740</v>
      </c>
      <c r="P289" s="46">
        <f t="shared" ca="1" si="13"/>
        <v>4.8958333333548598E-4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input_576104!A$2</f>
        <v>576104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IFERROR(VLOOKUP(B290,input_576104!L:R,7,FALSE),VLOOKUP(tables_576104!C290,input_576104!A:H,8,FALSE))</f>
        <v>1204657</v>
      </c>
      <c r="P290" s="46">
        <f t="shared" ca="1" si="13"/>
        <v>8.8369791667055227E-3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input_576104!A$2</f>
        <v>576104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IFERROR(VLOOKUP(B291,input_576104!L:R,7,FALSE),VLOOKUP(tables_576104!C291,input_576104!A:H,8,FALSE))</f>
        <v>66740</v>
      </c>
      <c r="P291" s="46">
        <f t="shared" ca="1" si="13"/>
        <v>4.8958333333548598E-4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input_576104!A$2</f>
        <v>576104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IFERROR(VLOOKUP(B292,input_576104!L:R,7,FALSE),VLOOKUP(tables_576104!C292,input_576104!A:H,8,FALSE))</f>
        <v>1204657</v>
      </c>
      <c r="P292" s="46">
        <f t="shared" ca="1" si="13"/>
        <v>8.8369791667055227E-3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input_576104!A$2</f>
        <v>576104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IFERROR(VLOOKUP(B293,input_576104!L:R,7,FALSE),VLOOKUP(tables_576104!C293,input_576104!A:H,8,FALSE))</f>
        <v>66740</v>
      </c>
      <c r="P293" s="46">
        <f t="shared" ca="1" si="13"/>
        <v>4.8958333333548598E-4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input_576104!A$2</f>
        <v>576104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IFERROR(VLOOKUP(B294,input_576104!L:R,7,FALSE),VLOOKUP(tables_576104!C294,input_576104!A:H,8,FALSE))</f>
        <v>47333.333330000001</v>
      </c>
      <c r="P294" s="46">
        <f t="shared" ca="1" si="13"/>
        <v>3.4722222219929667E-4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input_576104!A$2</f>
        <v>576104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IFERROR(VLOOKUP(B295,input_576104!L:R,7,FALSE),VLOOKUP(tables_576104!C295,input_576104!A:H,8,FALSE))</f>
        <v>47333.333330000001</v>
      </c>
      <c r="P295" s="46">
        <f t="shared" ca="1" si="13"/>
        <v>3.4722222219929667E-4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input_576104!A$2</f>
        <v>576104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IFERROR(VLOOKUP(B296,input_576104!L:R,7,FALSE),VLOOKUP(tables_576104!C296,input_576104!A:H,8,FALSE))</f>
        <v>47333.333330000001</v>
      </c>
      <c r="P296" s="46">
        <f t="shared" ca="1" si="13"/>
        <v>3.4722222219929667E-4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input_576104!A$2</f>
        <v>576104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IFERROR(VLOOKUP(B297,input_576104!L:R,7,FALSE),VLOOKUP(tables_576104!C297,input_576104!A:H,8,FALSE))</f>
        <v>1204657</v>
      </c>
      <c r="P297" s="46">
        <f t="shared" ca="1" si="13"/>
        <v>8.8369791667055227E-3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input_576104!A$2</f>
        <v>576104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IFERROR(VLOOKUP(B298,input_576104!L:R,7,FALSE),VLOOKUP(tables_576104!C298,input_576104!A:H,8,FALSE))</f>
        <v>66740</v>
      </c>
      <c r="P298" s="46">
        <f t="shared" ca="1" si="13"/>
        <v>4.8958333333548598E-4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input_576104!A$2</f>
        <v>576104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IFERROR(VLOOKUP(B299,input_576104!L:R,7,FALSE),VLOOKUP(tables_576104!C299,input_576104!A:H,8,FALSE))</f>
        <v>47333.333330000001</v>
      </c>
      <c r="P299" s="46">
        <f t="shared" ca="1" si="13"/>
        <v>3.4722222219929667E-4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input_576104!A$2</f>
        <v>576104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IFERROR(VLOOKUP(B300,input_576104!L:R,7,FALSE),VLOOKUP(tables_576104!C300,input_576104!A:H,8,FALSE))</f>
        <v>47333.333330000001</v>
      </c>
      <c r="P300" s="46">
        <f t="shared" ca="1" si="13"/>
        <v>3.4722222219929667E-4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input_576104!A$2</f>
        <v>576104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IFERROR(VLOOKUP(B301,input_576104!L:R,7,FALSE),VLOOKUP(tables_576104!C301,input_576104!A:H,8,FALSE))</f>
        <v>47333.333330000001</v>
      </c>
      <c r="P301" s="46">
        <f t="shared" ca="1" si="13"/>
        <v>3.4722222219929667E-4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input_576104!A$2</f>
        <v>576104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IFERROR(VLOOKUP(B302,input_576104!L:R,7,FALSE),VLOOKUP(tables_576104!C302,input_576104!A:H,8,FALSE))</f>
        <v>47333.333330000001</v>
      </c>
      <c r="P302" s="46">
        <f t="shared" ca="1" si="13"/>
        <v>3.4722222219929667E-4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input_576104!A$2</f>
        <v>576104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IFERROR(VLOOKUP(B303,input_576104!L:R,7,FALSE),VLOOKUP(tables_576104!C303,input_576104!A:H,8,FALSE))</f>
        <v>1204657</v>
      </c>
      <c r="P303" s="46">
        <f t="shared" ca="1" si="13"/>
        <v>8.8369791667055227E-3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input_576104!A$2</f>
        <v>576104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IFERROR(VLOOKUP(B304,input_576104!L:R,7,FALSE),VLOOKUP(tables_576104!C304,input_576104!A:H,8,FALSE))</f>
        <v>66740</v>
      </c>
      <c r="P304" s="46">
        <f t="shared" ca="1" si="13"/>
        <v>4.8958333333548598E-4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input_576104!A$2</f>
        <v>576104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IFERROR(VLOOKUP(B305,input_576104!L:R,7,FALSE),VLOOKUP(tables_576104!C305,input_576104!A:H,8,FALSE))</f>
        <v>47333.333330000001</v>
      </c>
      <c r="P305" s="46">
        <f t="shared" ca="1" si="13"/>
        <v>3.4722222219929667E-4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input_576104!A$2</f>
        <v>576104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IFERROR(VLOOKUP(B306,input_576104!L:R,7,FALSE),VLOOKUP(tables_576104!C306,input_576104!A:H,8,FALSE))</f>
        <v>1204657</v>
      </c>
      <c r="P306" s="46">
        <f t="shared" ca="1" si="13"/>
        <v>8.8369791667055227E-3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input_576104!A$2</f>
        <v>576104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IFERROR(VLOOKUP(B307,input_576104!L:R,7,FALSE),VLOOKUP(tables_576104!C307,input_576104!A:H,8,FALSE))</f>
        <v>66740</v>
      </c>
      <c r="P307" s="46">
        <f t="shared" ca="1" si="13"/>
        <v>4.8958333333548598E-4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input_576104!A$2</f>
        <v>576104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IFERROR(VLOOKUP(B308,input_576104!L:R,7,FALSE),VLOOKUP(tables_576104!C308,input_576104!A:H,8,FALSE))</f>
        <v>47333.333330000001</v>
      </c>
      <c r="P308" s="46">
        <f t="shared" ca="1" si="13"/>
        <v>3.4722222219929667E-4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input_576104!A$2</f>
        <v>576104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IFERROR(VLOOKUP(B309,input_576104!L:R,7,FALSE),VLOOKUP(tables_576104!C309,input_576104!A:H,8,FALSE))</f>
        <v>47333.333330000001</v>
      </c>
      <c r="P309" s="46">
        <f t="shared" ca="1" si="13"/>
        <v>3.4722222219929667E-4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input_576104!A$2</f>
        <v>576104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IFERROR(VLOOKUP(B310,input_576104!L:R,7,FALSE),VLOOKUP(tables_576104!C310,input_576104!A:H,8,FALSE))</f>
        <v>47333.333330000001</v>
      </c>
      <c r="P310" s="46">
        <f t="shared" ca="1" si="13"/>
        <v>3.4722222219929667E-4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input_576104!A$2</f>
        <v>576104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IFERROR(VLOOKUP(B311,input_576104!L:R,7,FALSE),VLOOKUP(tables_576104!C311,input_576104!A:H,8,FALSE))</f>
        <v>1204657</v>
      </c>
      <c r="P311" s="46">
        <f t="shared" ca="1" si="13"/>
        <v>8.8369791667055227E-3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input_576104!A$2</f>
        <v>576104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IFERROR(VLOOKUP(B312,input_576104!L:R,7,FALSE),VLOOKUP(tables_576104!C312,input_576104!A:H,8,FALSE))</f>
        <v>66740</v>
      </c>
      <c r="P312" s="46">
        <f t="shared" ca="1" si="13"/>
        <v>4.8958333333548598E-4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input_576104!A$2</f>
        <v>576104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IFERROR(VLOOKUP(B313,input_576104!L:R,7,FALSE),VLOOKUP(tables_576104!C313,input_576104!A:H,8,FALSE))</f>
        <v>47333.333330000001</v>
      </c>
      <c r="P313" s="46">
        <f t="shared" ca="1" si="13"/>
        <v>3.4722222219929667E-4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input_576104!A$2</f>
        <v>576104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IFERROR(VLOOKUP(B314,input_576104!L:R,7,FALSE),VLOOKUP(tables_576104!C314,input_576104!A:H,8,FALSE))</f>
        <v>47333.333330000001</v>
      </c>
      <c r="P314" s="46">
        <f t="shared" ca="1" si="13"/>
        <v>3.4722222219929667E-4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input_576104!A$2</f>
        <v>576104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IFERROR(VLOOKUP(B315,input_576104!L:R,7,FALSE),VLOOKUP(tables_576104!C315,input_576104!A:H,8,FALSE))</f>
        <v>47333.333330000001</v>
      </c>
      <c r="P315" s="46">
        <f t="shared" ca="1" si="13"/>
        <v>3.4722222219929667E-4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input_576104!A$2</f>
        <v>576104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IFERROR(VLOOKUP(B316,input_576104!L:R,7,FALSE),VLOOKUP(tables_576104!C316,input_576104!A:H,8,FALSE))</f>
        <v>47333.333330000001</v>
      </c>
      <c r="P316" s="46">
        <f t="shared" ca="1" si="13"/>
        <v>3.4722222219929667E-4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input_576104!A$2</f>
        <v>576104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IFERROR(VLOOKUP(B317,input_576104!L:R,7,FALSE),VLOOKUP(tables_576104!C317,input_576104!A:H,8,FALSE))</f>
        <v>47333.333330000001</v>
      </c>
      <c r="P317" s="46">
        <f t="shared" ca="1" si="13"/>
        <v>3.4722222219929667E-4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input_576104!A$2</f>
        <v>576104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IFERROR(VLOOKUP(B318,input_576104!L:R,7,FALSE),VLOOKUP(tables_576104!C318,input_576104!A:H,8,FALSE))</f>
        <v>1204657</v>
      </c>
      <c r="P318" s="46">
        <f t="shared" ca="1" si="13"/>
        <v>8.8369791667055227E-3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input_576104!A$2</f>
        <v>576104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IFERROR(VLOOKUP(B319,input_576104!L:R,7,FALSE),VLOOKUP(tables_576104!C319,input_576104!A:H,8,FALSE))</f>
        <v>66740</v>
      </c>
      <c r="P319" s="46">
        <f t="shared" ca="1" si="13"/>
        <v>4.8958333333548598E-4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input_576104!A$2</f>
        <v>576104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IFERROR(VLOOKUP(B320,input_576104!L:R,7,FALSE),VLOOKUP(tables_576104!C320,input_576104!A:H,8,FALSE))</f>
        <v>47333.333330000001</v>
      </c>
      <c r="P320" s="46">
        <f t="shared" ca="1" si="13"/>
        <v>3.4722222219929667E-4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input_576104!A$2</f>
        <v>576104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IFERROR(VLOOKUP(B321,input_576104!L:R,7,FALSE),VLOOKUP(tables_576104!C321,input_576104!A:H,8,FALSE))</f>
        <v>47333.333330000001</v>
      </c>
      <c r="P321" s="46">
        <f t="shared" ca="1" si="13"/>
        <v>3.4722222219929667E-4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input_576104!A$2</f>
        <v>576104</v>
      </c>
      <c r="B322" s="5">
        <v>1139</v>
      </c>
      <c r="C322" s="7" t="str">
        <f t="shared" ref="C322:C340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IFERROR(VLOOKUP(B322,input_576104!L:R,7,FALSE),VLOOKUP(tables_576104!C322,input_576104!A:H,8,FALSE))</f>
        <v>47333.333330000001</v>
      </c>
      <c r="P322" s="46">
        <f t="shared" ref="P322:P340" ca="1" si="16">O322/SUM(O:O)</f>
        <v>3.4722222219929667E-4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input_576104!A$2</f>
        <v>576104</v>
      </c>
      <c r="B323" s="5">
        <v>1141</v>
      </c>
      <c r="C323" s="7" t="str">
        <f t="shared" si="15"/>
        <v>PremiumSS5R5only</v>
      </c>
      <c r="D323" s="7" t="str">
        <f t="shared" ref="D323:D340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IFERROR(VLOOKUP(B323,input_576104!L:R,7,FALSE),VLOOKUP(tables_576104!C323,input_576104!A:H,8,FALSE))</f>
        <v>47333.333330000001</v>
      </c>
      <c r="P323" s="46">
        <f t="shared" ca="1" si="16"/>
        <v>3.4722222219929667E-4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input_576104!A$2</f>
        <v>576104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IFERROR(VLOOKUP(B324,input_576104!L:R,7,FALSE),VLOOKUP(tables_576104!C324,input_576104!A:H,8,FALSE))</f>
        <v>1204657</v>
      </c>
      <c r="P324" s="46">
        <f t="shared" ca="1" si="16"/>
        <v>8.8369791667055227E-3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input_576104!A$2</f>
        <v>576104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IFERROR(VLOOKUP(B325,input_576104!L:R,7,FALSE),VLOOKUP(tables_576104!C325,input_576104!A:H,8,FALSE))</f>
        <v>66740</v>
      </c>
      <c r="P325" s="46">
        <f t="shared" ca="1" si="16"/>
        <v>4.8958333333548598E-4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input_576104!A$2</f>
        <v>576104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IFERROR(VLOOKUP(B326,input_576104!L:R,7,FALSE),VLOOKUP(tables_576104!C326,input_576104!A:H,8,FALSE))</f>
        <v>1204657</v>
      </c>
      <c r="P326" s="46">
        <f t="shared" ca="1" si="16"/>
        <v>8.8369791667055227E-3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input_576104!A$2</f>
        <v>576104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IFERROR(VLOOKUP(B327,input_576104!L:R,7,FALSE),VLOOKUP(tables_576104!C327,input_576104!A:H,8,FALSE))</f>
        <v>66740</v>
      </c>
      <c r="P327" s="46">
        <f t="shared" ca="1" si="16"/>
        <v>4.8958333333548598E-4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input_576104!A$2</f>
        <v>576104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IFERROR(VLOOKUP(B328,input_576104!L:R,7,FALSE),VLOOKUP(tables_576104!C328,input_576104!A:H,8,FALSE))</f>
        <v>47333.333330000001</v>
      </c>
      <c r="P328" s="46">
        <f t="shared" ca="1" si="16"/>
        <v>3.4722222219929667E-4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input_576104!A$2</f>
        <v>576104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IFERROR(VLOOKUP(B329,input_576104!L:R,7,FALSE),VLOOKUP(tables_576104!C329,input_576104!A:H,8,FALSE))</f>
        <v>47333.333330000001</v>
      </c>
      <c r="P329" s="46">
        <f t="shared" ca="1" si="16"/>
        <v>3.4722222219929667E-4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input_576104!A$2</f>
        <v>576104</v>
      </c>
      <c r="B330" s="2">
        <v>1157</v>
      </c>
      <c r="C330" s="7" t="str">
        <f t="shared" si="15"/>
        <v>PremiumSS5R5only</v>
      </c>
      <c r="D330" s="91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IFERROR(VLOOKUP(B330,input_576104!L:R,7,FALSE),VLOOKUP(tables_576104!C330,input_576104!A:H,8,FALSE))</f>
        <v>47333.333330000001</v>
      </c>
      <c r="P330" s="46">
        <f t="shared" ca="1" si="16"/>
        <v>3.4722222219929667E-4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input_576104!A$2</f>
        <v>576104</v>
      </c>
      <c r="B331" s="60">
        <v>1214</v>
      </c>
      <c r="C331" s="7" t="str">
        <f t="shared" si="15"/>
        <v>PremiumSS5R5only</v>
      </c>
      <c r="D331" s="91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IFERROR(VLOOKUP(B331,input_576104!L:R,7,FALSE),VLOOKUP(tables_576104!C331,input_576104!A:H,8,FALSE))</f>
        <v>47333.333330000001</v>
      </c>
      <c r="P331" s="46">
        <f t="shared" ca="1" si="16"/>
        <v>3.4722222219929667E-4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input_576104!A$2</f>
        <v>576104</v>
      </c>
      <c r="B332" s="60">
        <v>1212</v>
      </c>
      <c r="C332" s="7" t="str">
        <f t="shared" si="15"/>
        <v>PremiumSS5R5only</v>
      </c>
      <c r="D332" s="91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IFERROR(VLOOKUP(B332,input_576104!L:R,7,FALSE),VLOOKUP(tables_576104!C332,input_576104!A:H,8,FALSE))</f>
        <v>47333.333330000001</v>
      </c>
      <c r="P332" s="46">
        <f t="shared" ca="1" si="16"/>
        <v>3.4722222219929667E-4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input_576104!A$2</f>
        <v>576104</v>
      </c>
      <c r="B333" s="60">
        <v>1208</v>
      </c>
      <c r="C333" s="7" t="str">
        <f t="shared" si="15"/>
        <v>PremiumSS5R5only</v>
      </c>
      <c r="D333" s="91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IFERROR(VLOOKUP(B333,input_576104!L:R,7,FALSE),VLOOKUP(tables_576104!C333,input_576104!A:H,8,FALSE))</f>
        <v>47333.333330000001</v>
      </c>
      <c r="P333" s="46">
        <f t="shared" ca="1" si="16"/>
        <v>3.4722222219929667E-4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input_576104!A$2</f>
        <v>576104</v>
      </c>
      <c r="B334" s="89">
        <v>1210</v>
      </c>
      <c r="C334" s="7" t="str">
        <f t="shared" si="15"/>
        <v>Premium4R3less</v>
      </c>
      <c r="D334" s="91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IFERROR(VLOOKUP(B334,input_576104!L:R,7,FALSE),VLOOKUP(tables_576104!C334,input_576104!A:H,8,FALSE))</f>
        <v>1204657</v>
      </c>
      <c r="P334" s="46">
        <f t="shared" ca="1" si="16"/>
        <v>8.8369791667055227E-3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input_576104!A$2</f>
        <v>576104</v>
      </c>
      <c r="B335" s="60">
        <v>1211</v>
      </c>
      <c r="C335" s="7" t="str">
        <f t="shared" si="15"/>
        <v>Premium5R3less</v>
      </c>
      <c r="D335" s="91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IFERROR(VLOOKUP(B335,input_576104!L:R,7,FALSE),VLOOKUP(tables_576104!C335,input_576104!A:H,8,FALSE))</f>
        <v>66740</v>
      </c>
      <c r="P335" s="46">
        <f t="shared" ca="1" si="16"/>
        <v>4.8958333333548598E-4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input_576104!A$2</f>
        <v>576104</v>
      </c>
      <c r="B336" s="2">
        <v>1224</v>
      </c>
      <c r="C336" s="7" t="str">
        <f t="shared" si="15"/>
        <v>Premium4R3less</v>
      </c>
      <c r="D336" s="91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IFERROR(VLOOKUP(B336,input_576104!L:R,7,FALSE),VLOOKUP(tables_576104!C336,input_576104!A:H,8,FALSE))</f>
        <v>1204657</v>
      </c>
      <c r="P336" s="46">
        <f t="shared" ca="1" si="16"/>
        <v>8.8369791667055227E-3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input_576104!A$2</f>
        <v>576104</v>
      </c>
      <c r="B337" s="2">
        <v>1225</v>
      </c>
      <c r="C337" s="7" t="str">
        <f t="shared" si="15"/>
        <v>Premium5R3less</v>
      </c>
      <c r="D337" s="91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IFERROR(VLOOKUP(B337,input_576104!L:R,7,FALSE),VLOOKUP(tables_576104!C337,input_576104!A:H,8,FALSE))</f>
        <v>66740</v>
      </c>
      <c r="P337" s="46">
        <f t="shared" ca="1" si="16"/>
        <v>4.8958333333548598E-4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input_576104!A$2</f>
        <v>576104</v>
      </c>
      <c r="B338" s="2">
        <v>1226</v>
      </c>
      <c r="C338" s="7" t="str">
        <f t="shared" si="15"/>
        <v>PremiumSS5R5only</v>
      </c>
      <c r="D338" s="91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IFERROR(VLOOKUP(B338,input_576104!L:R,7,FALSE),VLOOKUP(tables_576104!C338,input_576104!A:H,8,FALSE))</f>
        <v>47333.333330000001</v>
      </c>
      <c r="P338" s="46">
        <f t="shared" ca="1" si="16"/>
        <v>3.4722222219929667E-4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input_576104!A$2</f>
        <v>576104</v>
      </c>
      <c r="B339" s="2">
        <v>1228</v>
      </c>
      <c r="C339" s="7" t="str">
        <f t="shared" si="15"/>
        <v>PremiumSS5R5only</v>
      </c>
      <c r="D339" s="91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IFERROR(VLOOKUP(B339,input_576104!L:R,7,FALSE),VLOOKUP(tables_576104!C339,input_576104!A:H,8,FALSE))</f>
        <v>47333.333330000001</v>
      </c>
      <c r="P339" s="46">
        <f t="shared" ca="1" si="16"/>
        <v>3.4722222219929667E-4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input_576104!A$2</f>
        <v>576104</v>
      </c>
      <c r="B340" s="2">
        <v>1230</v>
      </c>
      <c r="C340" s="7" t="str">
        <f t="shared" si="15"/>
        <v>PremiumSS5R5only</v>
      </c>
      <c r="D340" s="91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IFERROR(VLOOKUP(B340,input_576104!L:R,7,FALSE),VLOOKUP(tables_576104!C340,input_576104!A:H,8,FALSE))</f>
        <v>47333.333330000001</v>
      </c>
      <c r="P340" s="46">
        <f t="shared" ca="1" si="16"/>
        <v>3.4722222219929667E-4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input_576104!A$2</f>
        <v>576104</v>
      </c>
      <c r="B341" s="1">
        <v>1250</v>
      </c>
      <c r="C341" s="7" t="str">
        <f t="shared" ref="C341" si="18">D341&amp;J341&amp;E341&amp;F341&amp;G341</f>
        <v>PremiumSS5R5only</v>
      </c>
      <c r="D341" s="91" t="str">
        <f t="shared" ref="D341" si="19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IFERROR(VLOOKUP(B341,input_576104!L:R,7,FALSE),VLOOKUP(tables_576104!C341,input_576104!A:H,8,FALSE))</f>
        <v>47333.333330000001</v>
      </c>
      <c r="P341" s="46">
        <f t="shared" ref="P341" ca="1" si="20">O341/SUM(O:O)</f>
        <v>3.4722222219929667E-4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input_576104!A$2</f>
        <v>576104</v>
      </c>
      <c r="B342" s="1">
        <v>1248</v>
      </c>
      <c r="C342" s="7" t="str">
        <f t="shared" ref="C342:C356" si="21">D342&amp;J342&amp;E342&amp;F342&amp;G342</f>
        <v>Premium4R3less</v>
      </c>
      <c r="D342" s="91" t="str">
        <f t="shared" ref="D342:D356" si="22">IF(OR(I342="PremiumSS",I342="PremiumSSw"),"PremiumSS",IF(I342="PremiumSSS",I342,IF(I342="PremiumW",IF(J342=5,"premium",I342),"Premium")))</f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IFERROR(VLOOKUP(B342,input_576104!L:R,7,FALSE),VLOOKUP(tables_576104!C342,input_576104!A:H,8,FALSE))</f>
        <v>1204657</v>
      </c>
      <c r="P342" s="46">
        <f t="shared" ref="P342:P356" ca="1" si="23">O342/SUM(O:O)</f>
        <v>8.8369791667055227E-3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input_576104!A$2</f>
        <v>576104</v>
      </c>
      <c r="B343" s="1">
        <v>1249</v>
      </c>
      <c r="C343" s="7" t="str">
        <f t="shared" si="21"/>
        <v>Premium5R3less</v>
      </c>
      <c r="D343" s="91" t="str">
        <f t="shared" si="22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IFERROR(VLOOKUP(B343,input_576104!L:R,7,FALSE),VLOOKUP(tables_576104!C343,input_576104!A:H,8,FALSE))</f>
        <v>66740</v>
      </c>
      <c r="P343" s="46">
        <f t="shared" ca="1" si="23"/>
        <v>4.8958333333548598E-4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input_576104!A$2</f>
        <v>576104</v>
      </c>
      <c r="B344" s="1">
        <v>1246</v>
      </c>
      <c r="C344" s="7" t="str">
        <f t="shared" si="21"/>
        <v>PremiumSS5R5only</v>
      </c>
      <c r="D344" s="91" t="str">
        <f t="shared" si="22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IFERROR(VLOOKUP(B344,input_576104!L:R,7,FALSE),VLOOKUP(tables_576104!C344,input_576104!A:H,8,FALSE))</f>
        <v>47333.333330000001</v>
      </c>
      <c r="P344" s="46">
        <f t="shared" ca="1" si="23"/>
        <v>3.4722222219929667E-4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input_576104!A$2</f>
        <v>576104</v>
      </c>
      <c r="B345" s="1">
        <v>1244</v>
      </c>
      <c r="C345" s="7" t="str">
        <f t="shared" si="21"/>
        <v>PremiumSS5R5only</v>
      </c>
      <c r="D345" s="91" t="str">
        <f t="shared" si="22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IFERROR(VLOOKUP(B345,input_576104!L:R,7,FALSE),VLOOKUP(tables_576104!C345,input_576104!A:H,8,FALSE))</f>
        <v>47333.333330000001</v>
      </c>
      <c r="P345" s="46">
        <f t="shared" ca="1" si="23"/>
        <v>3.4722222219929667E-4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input_576104!A$2</f>
        <v>576104</v>
      </c>
      <c r="B346" s="1">
        <v>1260</v>
      </c>
      <c r="C346" s="7" t="str">
        <f t="shared" si="21"/>
        <v>PremiumSS5R5only</v>
      </c>
      <c r="D346" s="91" t="str">
        <f t="shared" si="22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IFERROR(VLOOKUP(B346,input_576104!L:R,7,FALSE),VLOOKUP(tables_576104!C346,input_576104!A:H,8,FALSE))</f>
        <v>47333.333330000001</v>
      </c>
      <c r="P346" s="46">
        <f t="shared" ca="1" si="23"/>
        <v>3.4722222219929667E-4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input_576104!A$2</f>
        <v>576104</v>
      </c>
      <c r="B347" s="1">
        <v>1262</v>
      </c>
      <c r="C347" s="7" t="str">
        <f t="shared" si="21"/>
        <v>PremiumSS5R5only</v>
      </c>
      <c r="D347" s="91" t="str">
        <f t="shared" si="22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IFERROR(VLOOKUP(B347,input_576104!L:R,7,FALSE),VLOOKUP(tables_576104!C347,input_576104!A:H,8,FALSE))</f>
        <v>47333.333330000001</v>
      </c>
      <c r="P347" s="46">
        <f t="shared" ca="1" si="23"/>
        <v>3.4722222219929667E-4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input_576104!A$2</f>
        <v>576104</v>
      </c>
      <c r="B348" s="1">
        <v>1264</v>
      </c>
      <c r="C348" s="7" t="str">
        <f t="shared" si="21"/>
        <v>PremiumSS5R5only</v>
      </c>
      <c r="D348" s="91" t="str">
        <f t="shared" si="22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IFERROR(VLOOKUP(B348,input_576104!L:R,7,FALSE),VLOOKUP(tables_576104!C348,input_576104!A:H,8,FALSE))</f>
        <v>47333.333330000001</v>
      </c>
      <c r="P348" s="46">
        <f t="shared" ca="1" si="23"/>
        <v>3.4722222219929667E-4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input_576104!A$2</f>
        <v>576104</v>
      </c>
      <c r="B349" s="1">
        <v>1266</v>
      </c>
      <c r="C349" s="7" t="str">
        <f t="shared" si="21"/>
        <v>Premium4R3less</v>
      </c>
      <c r="D349" s="91" t="str">
        <f t="shared" si="22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IFERROR(VLOOKUP(B349,input_576104!L:R,7,FALSE),VLOOKUP(tables_576104!C349,input_576104!A:H,8,FALSE))</f>
        <v>1204657</v>
      </c>
      <c r="P349" s="46">
        <f t="shared" ca="1" si="23"/>
        <v>8.8369791667055227E-3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input_576104!A$2</f>
        <v>576104</v>
      </c>
      <c r="B350" s="1">
        <v>1267</v>
      </c>
      <c r="C350" s="7" t="str">
        <f t="shared" si="21"/>
        <v>Premium5R3less</v>
      </c>
      <c r="D350" s="91" t="str">
        <f t="shared" si="22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IFERROR(VLOOKUP(B350,input_576104!L:R,7,FALSE),VLOOKUP(tables_576104!C350,input_576104!A:H,8,FALSE))</f>
        <v>66740</v>
      </c>
      <c r="P350" s="46">
        <f t="shared" ca="1" si="23"/>
        <v>4.8958333333548598E-4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input_576104!A$2</f>
        <v>576104</v>
      </c>
      <c r="B351" s="94">
        <v>1332</v>
      </c>
      <c r="C351" s="7" t="str">
        <f t="shared" si="21"/>
        <v>PremiumSS5R5only</v>
      </c>
      <c r="D351" s="91" t="str">
        <f t="shared" si="22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IFERROR(VLOOKUP(B351,input_576104!L:R,7,FALSE),VLOOKUP(tables_576104!C351,input_576104!A:H,8,FALSE))</f>
        <v>47333.333330000001</v>
      </c>
      <c r="P351" s="46">
        <f t="shared" ca="1" si="23"/>
        <v>3.4722222219929667E-4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input_576104!A$2</f>
        <v>576104</v>
      </c>
      <c r="B352" s="94">
        <v>1336</v>
      </c>
      <c r="C352" s="7" t="str">
        <f t="shared" si="21"/>
        <v>PremiumSS5R5only</v>
      </c>
      <c r="D352" s="91" t="str">
        <f t="shared" si="22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IFERROR(VLOOKUP(B352,input_576104!L:R,7,FALSE),VLOOKUP(tables_576104!C352,input_576104!A:H,8,FALSE))</f>
        <v>47333.333330000001</v>
      </c>
      <c r="P352" s="46">
        <f t="shared" ca="1" si="23"/>
        <v>3.4722222219929667E-4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input_576104!A$2</f>
        <v>576104</v>
      </c>
      <c r="B353" s="94">
        <v>1338</v>
      </c>
      <c r="C353" s="7" t="str">
        <f t="shared" si="21"/>
        <v>PremiumSS5R5only</v>
      </c>
      <c r="D353" s="91" t="str">
        <f t="shared" si="22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IFERROR(VLOOKUP(B353,input_576104!L:R,7,FALSE),VLOOKUP(tables_576104!C353,input_576104!A:H,8,FALSE))</f>
        <v>47333.333330000001</v>
      </c>
      <c r="P353" s="46">
        <f t="shared" ca="1" si="23"/>
        <v>3.4722222219929667E-4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input_576104!A$2</f>
        <v>576104</v>
      </c>
      <c r="B354" s="94">
        <v>1334</v>
      </c>
      <c r="C354" s="7" t="str">
        <f t="shared" si="21"/>
        <v>Premium4R3less</v>
      </c>
      <c r="D354" s="91" t="str">
        <f t="shared" si="22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IFERROR(VLOOKUP(B354,input_576104!L:R,7,FALSE),VLOOKUP(tables_576104!C354,input_576104!A:H,8,FALSE))</f>
        <v>1204657</v>
      </c>
      <c r="P354" s="46">
        <f t="shared" ca="1" si="23"/>
        <v>8.8369791667055227E-3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input_576104!A$2</f>
        <v>576104</v>
      </c>
      <c r="B355" s="94">
        <v>1335</v>
      </c>
      <c r="C355" s="7" t="str">
        <f t="shared" si="21"/>
        <v>Premium5R3less</v>
      </c>
      <c r="D355" s="91" t="str">
        <f t="shared" si="22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IFERROR(VLOOKUP(B355,input_576104!L:R,7,FALSE),VLOOKUP(tables_576104!C355,input_576104!A:H,8,FALSE))</f>
        <v>66740</v>
      </c>
      <c r="P355" s="46">
        <f t="shared" ca="1" si="23"/>
        <v>4.8958333333548598E-4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input_576104!A$2</f>
        <v>576104</v>
      </c>
      <c r="B356" s="60">
        <v>1076</v>
      </c>
      <c r="C356" s="7" t="str">
        <f t="shared" si="21"/>
        <v>PremiumSSS5R3less</v>
      </c>
      <c r="D356" s="91" t="str">
        <f t="shared" si="22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パレート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green</v>
      </c>
      <c r="L356" s="7" t="str">
        <f>VLOOKUP(B356,[1]characters!$A:$K,11,FALSE)</f>
        <v>balance</v>
      </c>
      <c r="M356" s="7" t="str">
        <f>VLOOKUP(B356,[1]characters!$A:$M,13,FALSE)</f>
        <v>academia</v>
      </c>
      <c r="N356" s="7" t="str">
        <f>VLOOKUP(B356,[1]characters!$A:$G,7,FALSE)</f>
        <v>男性</v>
      </c>
      <c r="O356" s="45">
        <f>IFERROR(VLOOKUP(B356,input_576104!L:R,7,FALSE),VLOOKUP(tables_576104!C356,input_576104!A:H,8,FALSE))</f>
        <v>1363200</v>
      </c>
      <c r="P356" s="46">
        <f t="shared" ca="1" si="23"/>
        <v>1.0000000000043969E-2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95">
        <v>10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theme="5"/>
  </sheetPr>
  <dimension ref="A1:V50"/>
  <sheetViews>
    <sheetView workbookViewId="0">
      <selection activeCell="B28" sqref="B28:B2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576105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1076</v>
      </c>
      <c r="M3" s="37" t="str">
        <f>VLOOKUP(L3,[1]characters!$A:$C,3,FALSE)</f>
        <v>パレート</v>
      </c>
      <c r="N3" s="63">
        <v>2.5000000000000001E-2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VLOOKUP(L3,tables_576105!B:C,2,FALSE)</f>
        <v>PremiumSSS5R3less</v>
      </c>
      <c r="R3" s="62">
        <f t="shared" ref="R3:R20" si="1">N3*A$36</f>
        <v>3408000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VLOOKUP(L4,tables_576105!B:C,2,FALSE)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3.5211267605633805E-4</v>
      </c>
      <c r="F5">
        <f>(COUNTIF(tables_576105!C:C,input_576105!A28)+COUNTIF(tables_576105!C:C,input_576105!A29))</f>
        <v>72</v>
      </c>
      <c r="H5" s="83">
        <v>2.5000000000000001E-2</v>
      </c>
      <c r="I5" s="31">
        <v>1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VLOOKUP(L5,tables_576105!B:C,2,FALSE)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5">
        <f>(B10-H6)/(F6-I6)</f>
        <v>9.6354166666666654E-3</v>
      </c>
      <c r="F6">
        <f>(COUNTIF(tables_576105!C:C,input_576105!A25)+COUNTIF(tables_576105!C:C,input_576105!A18)+COUNTIF(tables_576105!C:C,input_576105!A20)+COUNTIF(tables_576105!C:C,input_576105!A22))</f>
        <v>96</v>
      </c>
      <c r="H6" s="87">
        <v>0</v>
      </c>
      <c r="I6" s="31">
        <v>0</v>
      </c>
      <c r="L6" s="89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VLOOKUP(L6,tables_576105!B:C,2,FALSE)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VLOOKUP(L7,tables_576105!B:C,2,FALSE)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5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VLOOKUP(L8,tables_576105!B:C,2,FALSE)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VLOOKUP(L9,tables_576105!B:C,2,FALSE)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0.92499999999999993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VLOOKUP(L10,tables_576105!B:C,2,FALSE)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6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VLOOKUP(L11,tables_576105!B:C,2,FALSE)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2.5000000000000001E-2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VLOOKUP(L12,tables_576105!B:C,2,FALSE)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VLOOKUP(L13,tables_576105!B:C,2,FALSE)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VLOOKUP(L14,tables_576105!B:C,2,FALSE)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VLOOKUP(L15,tables_576105!B:C,2,FALSE)</f>
        <v>#N/A</v>
      </c>
      <c r="R15" s="62">
        <f t="shared" si="1"/>
        <v>0</v>
      </c>
      <c r="S15">
        <v>395</v>
      </c>
      <c r="U15" s="33" t="s">
        <v>109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VLOOKUP(L16,tables_576105!B:C,2,FALSE)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0" si="2">SUMIF(Q:Q,A17,N:N)</f>
        <v>0</v>
      </c>
      <c r="D17" s="74">
        <f t="shared" ref="D17:D32" si="3">B17-C17</f>
        <v>0</v>
      </c>
      <c r="E17">
        <f>COUNTIF(tables_576105!C:C,input_576105!A17)-COUNTIF(Q:Q,A17)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VLOOKUP(L17,tables_576105!B:C,2,FALSE)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B6-SUM(B20,B22,B25,B27,C27,C31)</f>
        <v>0.23910677083333343</v>
      </c>
      <c r="C18" s="84">
        <f t="shared" si="2"/>
        <v>0</v>
      </c>
      <c r="D18" s="74">
        <f t="shared" si="3"/>
        <v>0.23910677083333343</v>
      </c>
      <c r="E18">
        <f>COUNTIF(tables_576105!C:C,input_576105!A18)-COUNTIF(Q:Q,A18)</f>
        <v>20</v>
      </c>
      <c r="F18" s="43">
        <f>IFERROR(B18/E18,0)</f>
        <v>1.1955338541666671E-2</v>
      </c>
      <c r="G18">
        <f t="shared" si="4"/>
        <v>32595035.000000011</v>
      </c>
      <c r="H18">
        <f t="shared" si="5"/>
        <v>1629751.75</v>
      </c>
      <c r="I18">
        <f t="shared" si="6"/>
        <v>0.75</v>
      </c>
      <c r="J18">
        <f t="shared" si="7"/>
        <v>1.3333333333333333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VLOOKUP(L18,tables_576105!B:C,2,FALSE)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COUNTIF(tables_576105!C:C,input_576105!A19)-COUNTIF(Q:Q,A19)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VLOOKUP(L19,tables_576105!B:C,2,FALSE)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E$6*E20*B$6*0.95</f>
        <v>0.45219010416666655</v>
      </c>
      <c r="C20" s="84">
        <f t="shared" si="2"/>
        <v>0</v>
      </c>
      <c r="D20" s="74">
        <f t="shared" si="3"/>
        <v>0.45219010416666655</v>
      </c>
      <c r="E20">
        <f>COUNTIF(tables_576105!C:C,input_576105!A20)-COUNTIF(Q:Q,A20)</f>
        <v>52</v>
      </c>
      <c r="F20" s="43">
        <f t="shared" si="8"/>
        <v>8.6959635416666639E-3</v>
      </c>
      <c r="G20">
        <f t="shared" si="4"/>
        <v>61642554.999999985</v>
      </c>
      <c r="H20">
        <f t="shared" si="5"/>
        <v>1185433.75</v>
      </c>
      <c r="I20">
        <f t="shared" si="6"/>
        <v>0.75</v>
      </c>
      <c r="J20">
        <f t="shared" si="7"/>
        <v>1.3333333333333333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VLOOKUP(L20,tables_576105!B:C,2,FALSE)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B7-B23-B26-B28-B29-B31-C28</f>
        <v>1.0546874999999997E-2</v>
      </c>
      <c r="C21" s="84">
        <f t="shared" si="2"/>
        <v>0</v>
      </c>
      <c r="D21" s="74">
        <f t="shared" si="3"/>
        <v>1.0546874999999997E-2</v>
      </c>
      <c r="E21">
        <f>COUNTIF(tables_576105!C:C,input_576105!A21)-COUNTIF(Q:Q,A21)</f>
        <v>52</v>
      </c>
      <c r="F21" s="43">
        <f t="shared" si="8"/>
        <v>2.0282451923076919E-4</v>
      </c>
      <c r="G21">
        <f t="shared" si="4"/>
        <v>1437749.9999999995</v>
      </c>
      <c r="H21">
        <f t="shared" si="5"/>
        <v>27649.03846</v>
      </c>
      <c r="I21">
        <f t="shared" si="6"/>
        <v>3.845999999975902E-2</v>
      </c>
      <c r="J21">
        <f t="shared" si="7"/>
        <v>26.001040041764579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90">
        <f>E$6*E22*B$6*0.95</f>
        <v>0.17391927083333331</v>
      </c>
      <c r="C22" s="84">
        <f t="shared" si="2"/>
        <v>0</v>
      </c>
      <c r="D22" s="74">
        <f t="shared" si="3"/>
        <v>0.17391927083333331</v>
      </c>
      <c r="E22">
        <f>COUNTIF(tables_576105!C:C,input_576105!A22)-COUNTIF(Q:Q,A22)</f>
        <v>20</v>
      </c>
      <c r="F22" s="43">
        <f t="shared" si="8"/>
        <v>8.6959635416666656E-3</v>
      </c>
      <c r="G22">
        <f t="shared" si="4"/>
        <v>23708674.999999996</v>
      </c>
      <c r="H22">
        <f t="shared" si="5"/>
        <v>1185433.75</v>
      </c>
      <c r="I22">
        <f t="shared" si="6"/>
        <v>0.75</v>
      </c>
      <c r="J22">
        <f t="shared" si="7"/>
        <v>1.3333333333333333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1.2526041666666666E-2</v>
      </c>
      <c r="C23" s="84">
        <f t="shared" si="2"/>
        <v>0</v>
      </c>
      <c r="D23" s="74">
        <f t="shared" si="3"/>
        <v>1.2526041666666666E-2</v>
      </c>
      <c r="E23">
        <f>COUNTIF(tables_576105!C:C,input_576105!A23)-COUNTIF(Q:Q,A23)</f>
        <v>26</v>
      </c>
      <c r="F23" s="43">
        <f t="shared" si="8"/>
        <v>4.8177083333333329E-4</v>
      </c>
      <c r="G23">
        <f t="shared" si="4"/>
        <v>1707550</v>
      </c>
      <c r="H23">
        <f t="shared" si="5"/>
        <v>65675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COUNTIF(tables_576105!C:C,input_576105!A24)-COUNTIF(Q:Q,A24)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90">
        <f>E$6*E25*B$6*0.95</f>
        <v>3.4783854166666656E-2</v>
      </c>
      <c r="C25" s="84">
        <f t="shared" si="2"/>
        <v>0</v>
      </c>
      <c r="D25" s="74">
        <f t="shared" si="3"/>
        <v>3.4783854166666656E-2</v>
      </c>
      <c r="E25">
        <f>COUNTIF(tables_576105!C:C,input_576105!A25)-COUNTIF(Q:Q,A25)</f>
        <v>4</v>
      </c>
      <c r="F25" s="43">
        <f t="shared" si="8"/>
        <v>8.6959635416666639E-3</v>
      </c>
      <c r="G25">
        <f t="shared" si="4"/>
        <v>4741734.9999999981</v>
      </c>
      <c r="H25">
        <f t="shared" si="5"/>
        <v>1185433.75</v>
      </c>
      <c r="I25">
        <f t="shared" si="6"/>
        <v>0.75</v>
      </c>
      <c r="J25">
        <f t="shared" si="7"/>
        <v>1.3333333333333333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1.9270833333333332E-3</v>
      </c>
      <c r="C26" s="84">
        <f t="shared" si="2"/>
        <v>0</v>
      </c>
      <c r="D26" s="74">
        <f t="shared" si="3"/>
        <v>1.9270833333333332E-3</v>
      </c>
      <c r="E26">
        <f>COUNTIF(tables_576105!C:C,input_576105!A26)-COUNTIF(Q:Q,A26)</f>
        <v>4</v>
      </c>
      <c r="F26" s="43">
        <f t="shared" si="8"/>
        <v>4.8177083333333329E-4</v>
      </c>
      <c r="G26">
        <f t="shared" si="4"/>
        <v>262700</v>
      </c>
      <c r="H26">
        <f t="shared" si="5"/>
        <v>65675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B11-B28-B29-C28-C27</f>
        <v>2.5000000000000001E-2</v>
      </c>
      <c r="C27" s="84">
        <f t="shared" si="2"/>
        <v>0</v>
      </c>
      <c r="D27" s="74">
        <f t="shared" si="3"/>
        <v>2.5000000000000001E-2</v>
      </c>
      <c r="E27">
        <f>COUNTIF(tables_576105!C:C,input_576105!A27)-COUNTIF(Q:Q,A27)</f>
        <v>28</v>
      </c>
      <c r="F27" s="43">
        <f>IFERROR(B27/E27,0)</f>
        <v>8.9285714285714294E-4</v>
      </c>
      <c r="G27">
        <f t="shared" si="4"/>
        <v>3408000</v>
      </c>
      <c r="H27">
        <f t="shared" si="5"/>
        <v>121714.28571</v>
      </c>
      <c r="I27">
        <f t="shared" si="6"/>
        <v>0.28570999999647029</v>
      </c>
      <c r="J27">
        <f t="shared" si="7"/>
        <v>3.5000525008307521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B11/2*E28/(SUM(E28:E29))</f>
        <v>9.7222222222222224E-3</v>
      </c>
      <c r="C28" s="84">
        <f t="shared" si="2"/>
        <v>0</v>
      </c>
      <c r="D28" s="74">
        <f t="shared" si="3"/>
        <v>9.7222222222222224E-3</v>
      </c>
      <c r="E28">
        <f>COUNTIF(tables_576105!C:C,input_576105!A28)-COUNTIF(Q:Q,A28)</f>
        <v>28</v>
      </c>
      <c r="F28" s="43">
        <f t="shared" si="8"/>
        <v>3.4722222222222224E-4</v>
      </c>
      <c r="G28">
        <f t="shared" si="4"/>
        <v>1325333.3333333333</v>
      </c>
      <c r="H28">
        <f t="shared" si="5"/>
        <v>47333.333330000001</v>
      </c>
      <c r="I28">
        <f t="shared" si="6"/>
        <v>0.33333000000129687</v>
      </c>
      <c r="J28">
        <f t="shared" si="7"/>
        <v>3.0000300002883309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B11/2*E29/(SUM(E28:E29))</f>
        <v>1.5277777777777779E-2</v>
      </c>
      <c r="C29" s="84">
        <f t="shared" si="2"/>
        <v>0</v>
      </c>
      <c r="D29" s="74">
        <f t="shared" si="3"/>
        <v>1.5277777777777779E-2</v>
      </c>
      <c r="E29">
        <f>COUNTIF(tables_576105!C:C,input_576105!A29)-COUNTIF(Q:Q,A29)</f>
        <v>44</v>
      </c>
      <c r="F29" s="43">
        <f t="shared" si="8"/>
        <v>3.4722222222222224E-4</v>
      </c>
      <c r="G29">
        <f t="shared" si="4"/>
        <v>2082666.6666666667</v>
      </c>
      <c r="H29">
        <f t="shared" si="5"/>
        <v>47333.333330000001</v>
      </c>
      <c r="I29">
        <f t="shared" si="6"/>
        <v>0.33333000000129687</v>
      </c>
      <c r="J29">
        <f t="shared" si="7"/>
        <v>3.0000300002883309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v>0</v>
      </c>
      <c r="C30" s="84">
        <f t="shared" si="2"/>
        <v>0</v>
      </c>
      <c r="D30" s="74">
        <f t="shared" si="3"/>
        <v>0</v>
      </c>
      <c r="E30">
        <f>COUNTIF(tables_576105!C:C,input_576105!A30)-COUNTIF(Q:Q,A30)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>SUMIF(Q:Q,A31,N:N)</f>
        <v>2.5000000000000001E-2</v>
      </c>
      <c r="D31" s="74">
        <f t="shared" si="3"/>
        <v>-2.5000000000000001E-2</v>
      </c>
      <c r="E31">
        <f>COUNTIF(tables_576105!C:C,input_576105!A31)-COUNTIF(Q:Q,A31)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0.97499999999999987</v>
      </c>
      <c r="C32" s="41">
        <f>SUM(C19:C31)</f>
        <v>2.5000000000000001E-2</v>
      </c>
      <c r="D32" s="42">
        <f t="shared" si="3"/>
        <v>0.94999999999999984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136320000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SUMIF(tables_576105!C:C,input_576105!A40,tables_576105!O:O)</f>
        <v>0</v>
      </c>
      <c r="C40" s="54">
        <f t="shared" ref="C40:C46" ca="1" si="9">B40/B$47</f>
        <v>0</v>
      </c>
      <c r="E40">
        <v>3</v>
      </c>
      <c r="F40">
        <f ca="1">SUMIF(tables_576105!J:J,input_576105!E40,tables_576105!O:O)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SUMIF(tables_576105!C:C,input_576105!A41,tables_576105!O:O)</f>
        <v>61642555</v>
      </c>
      <c r="C41" s="54">
        <f t="shared" ca="1" si="9"/>
        <v>0.90899937704664724</v>
      </c>
      <c r="E41">
        <v>4</v>
      </c>
      <c r="F41">
        <f ca="1">SUMIF(tables_576105!J:J,input_576105!E41,tables_576105!O:O)</f>
        <v>126095999.99988019</v>
      </c>
      <c r="G41">
        <f ca="1">F41/A36</f>
        <v>0.92499999999912119</v>
      </c>
    </row>
    <row r="42" spans="1:7" x14ac:dyDescent="0.15">
      <c r="A42" s="33" t="s">
        <v>106</v>
      </c>
      <c r="B42">
        <f ca="1">SUMIF(tables_576105!C:C,input_576105!A42,tables_576105!O:O)</f>
        <v>3407999.9998799996</v>
      </c>
      <c r="C42" s="54">
        <f t="shared" ca="1" si="9"/>
        <v>5.0255377585596409E-2</v>
      </c>
      <c r="E42">
        <v>5</v>
      </c>
      <c r="F42">
        <f ca="1">SUMIF(tables_576105!J:J,input_576105!E42,tables_576105!O:O)</f>
        <v>10223999.999679988</v>
      </c>
      <c r="G42">
        <f ca="1">F42/A36</f>
        <v>7.49999999976525E-2</v>
      </c>
    </row>
    <row r="43" spans="1:7" x14ac:dyDescent="0.15">
      <c r="A43" s="33" t="s">
        <v>109</v>
      </c>
      <c r="B43">
        <f>SUMIF(tables_576105!C:C,input_576105!A43,tables_576105!O:O)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SUMIF(tables_576105!C:C,input_576105!A44,tables_576105!O:O)</f>
        <v>1437749.9999199987</v>
      </c>
      <c r="C44" s="54">
        <f t="shared" ca="1" si="9"/>
        <v>2.1201487418490296E-2</v>
      </c>
      <c r="E44" t="s">
        <v>54</v>
      </c>
      <c r="F44" s="55"/>
    </row>
    <row r="45" spans="1:7" x14ac:dyDescent="0.15">
      <c r="A45" s="33" t="s">
        <v>107</v>
      </c>
      <c r="B45">
        <f ca="1">SUMIF(tables_576105!C:C,input_576105!A45,tables_576105!O:O)</f>
        <v>1325333.3332400008</v>
      </c>
      <c r="C45" s="54">
        <f t="shared" ca="1" si="9"/>
        <v>1.9543757949266011E-2</v>
      </c>
      <c r="E45" t="s">
        <v>204</v>
      </c>
      <c r="F45" s="55">
        <f ca="1">SUMIF(tables_576105!I:I,input_576105!E45,tables_576105!P:P)</f>
        <v>0.24199739583411323</v>
      </c>
    </row>
    <row r="46" spans="1:7" x14ac:dyDescent="0.15">
      <c r="A46" s="33" t="s">
        <v>108</v>
      </c>
      <c r="B46">
        <f>SUMIF(tables_576105!C:C,input_576105!A46,tables_576105!O:O)</f>
        <v>0</v>
      </c>
      <c r="C46" s="54">
        <f t="shared" ca="1" si="9"/>
        <v>0</v>
      </c>
      <c r="E46" t="s">
        <v>205</v>
      </c>
      <c r="F46" s="55">
        <f ca="1">SUMIF(tables_576105!I:I,input_576105!E46,tables_576105!P:P)</f>
        <v>0.17881260016064082</v>
      </c>
    </row>
    <row r="47" spans="1:7" x14ac:dyDescent="0.15">
      <c r="A47" s="39" t="s">
        <v>59</v>
      </c>
      <c r="B47">
        <f ca="1">SUM(B40:B46)</f>
        <v>67813638.333039999</v>
      </c>
      <c r="C47" s="55">
        <f ca="1">SUM(C40:C46)</f>
        <v>0.99999999999999989</v>
      </c>
      <c r="E47" t="s">
        <v>206</v>
      </c>
      <c r="F47" s="55">
        <f ca="1">SUMIF(tables_576105!I:I,input_576105!E47,tables_576105!P:P)</f>
        <v>0.50419000400764102</v>
      </c>
    </row>
    <row r="48" spans="1:7" x14ac:dyDescent="0.15">
      <c r="E48" t="s">
        <v>207</v>
      </c>
      <c r="F48" s="55">
        <f ca="1">SUMIF(tables_576105!I:I,input_576105!E48,tables_576105!P:P)</f>
        <v>4.6874999997730434E-2</v>
      </c>
      <c r="G48" s="55"/>
    </row>
    <row r="49" spans="5:6" x14ac:dyDescent="0.15">
      <c r="E49" t="s">
        <v>246</v>
      </c>
      <c r="F49" s="55">
        <f ca="1">SUMIF(tables_576105!I:I,input_576105!E49,tables_576105!P:P)</f>
        <v>3.1249999997900011E-3</v>
      </c>
    </row>
    <row r="50" spans="5:6" x14ac:dyDescent="0.15">
      <c r="E50" t="s">
        <v>251</v>
      </c>
      <c r="F50" s="55">
        <f ca="1">SUMIF(tables_576105!I:I,input_576105!E50,tables_576105!P:P)</f>
        <v>2.5000000000080572E-2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56"/>
  <sheetViews>
    <sheetView showGridLines="0" zoomScale="75" zoomScaleNormal="75" zoomScalePageLayoutView="75" workbookViewId="0">
      <pane ySplit="1" topLeftCell="A319" activePane="bottomLeft" state="frozen"/>
      <selection activeCell="D34" sqref="D34"/>
      <selection pane="bottomLeft" activeCell="B356" sqref="B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input_576105!A$2</f>
        <v>576105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IFERROR(VLOOKUP(B2,input_576105!L:R,7,FALSE),VLOOKUP(tables_576105!C2,input_576105!A:H,8,FALSE))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input_576105!A$2</f>
        <v>576105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IFERROR(VLOOKUP(B3,input_576105!L:R,7,FALSE),VLOOKUP(tables_576105!C3,input_576105!A:H,8,FALSE))</f>
        <v>1629751.75</v>
      </c>
      <c r="P3" s="46">
        <f t="shared" ca="1" si="1"/>
        <v>1.1955338541705197E-2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input_576105!A$2</f>
        <v>576105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IFERROR(VLOOKUP(B4,input_576105!L:R,7,FALSE),VLOOKUP(tables_576105!C4,input_576105!A:H,8,FALSE))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input_576105!A$2</f>
        <v>576105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IFERROR(VLOOKUP(B5,input_576105!L:R,7,FALSE),VLOOKUP(tables_576105!C5,input_576105!A:H,8,FALSE))</f>
        <v>1629751.75</v>
      </c>
      <c r="P5" s="46">
        <f t="shared" ca="1" si="1"/>
        <v>1.1955338541705197E-2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input_576105!A$2</f>
        <v>576105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IFERROR(VLOOKUP(B6,input_576105!L:R,7,FALSE),VLOOKUP(tables_576105!C6,input_576105!A:H,8,FALSE))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input_576105!A$2</f>
        <v>576105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IFERROR(VLOOKUP(B7,input_576105!L:R,7,FALSE),VLOOKUP(tables_576105!C7,input_576105!A:H,8,FALSE))</f>
        <v>1629751.75</v>
      </c>
      <c r="P7" s="46">
        <f t="shared" ca="1" si="1"/>
        <v>1.1955338541705197E-2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input_576105!A$2</f>
        <v>576105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IFERROR(VLOOKUP(B8,input_576105!L:R,7,FALSE),VLOOKUP(tables_576105!C8,input_576105!A:H,8,FALSE))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input_576105!A$2</f>
        <v>576105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IFERROR(VLOOKUP(B9,input_576105!L:R,7,FALSE),VLOOKUP(tables_576105!C9,input_576105!A:H,8,FALSE))</f>
        <v>1629751.75</v>
      </c>
      <c r="P9" s="46">
        <f t="shared" ca="1" si="1"/>
        <v>1.1955338541705197E-2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input_576105!A$2</f>
        <v>576105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IFERROR(VLOOKUP(B10,input_576105!L:R,7,FALSE),VLOOKUP(tables_576105!C10,input_576105!A:H,8,FALSE))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input_576105!A$2</f>
        <v>576105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IFERROR(VLOOKUP(B11,input_576105!L:R,7,FALSE),VLOOKUP(tables_576105!C11,input_576105!A:H,8,FALSE))</f>
        <v>1629751.75</v>
      </c>
      <c r="P11" s="46">
        <f t="shared" ca="1" si="1"/>
        <v>1.1955338541705197E-2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input_576105!A$2</f>
        <v>576105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IFERROR(VLOOKUP(B12,input_576105!L:R,7,FALSE),VLOOKUP(tables_576105!C12,input_576105!A:H,8,FALSE))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input_576105!A$2</f>
        <v>576105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IFERROR(VLOOKUP(B13,input_576105!L:R,7,FALSE),VLOOKUP(tables_576105!C13,input_576105!A:H,8,FALSE))</f>
        <v>1629751.75</v>
      </c>
      <c r="P13" s="46">
        <f t="shared" ca="1" si="1"/>
        <v>1.1955338541705197E-2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input_576105!A$2</f>
        <v>576105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IFERROR(VLOOKUP(B14,input_576105!L:R,7,FALSE),VLOOKUP(tables_576105!C14,input_576105!A:H,8,FALSE))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input_576105!A$2</f>
        <v>576105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IFERROR(VLOOKUP(B15,input_576105!L:R,7,FALSE),VLOOKUP(tables_576105!C15,input_576105!A:H,8,FALSE))</f>
        <v>1629751.75</v>
      </c>
      <c r="P15" s="46">
        <f t="shared" ca="1" si="1"/>
        <v>1.1955338541705197E-2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input_576105!A$2</f>
        <v>576105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IFERROR(VLOOKUP(B16,input_576105!L:R,7,FALSE),VLOOKUP(tables_576105!C16,input_576105!A:H,8,FALSE))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input_576105!A$2</f>
        <v>576105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IFERROR(VLOOKUP(B17,input_576105!L:R,7,FALSE),VLOOKUP(tables_576105!C17,input_576105!A:H,8,FALSE))</f>
        <v>1629751.75</v>
      </c>
      <c r="P17" s="46">
        <f t="shared" ca="1" si="1"/>
        <v>1.1955338541705197E-2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input_576105!A$2</f>
        <v>576105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IFERROR(VLOOKUP(B18,input_576105!L:R,7,FALSE),VLOOKUP(tables_576105!C18,input_576105!A:H,8,FALSE))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input_576105!A$2</f>
        <v>576105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IFERROR(VLOOKUP(B19,input_576105!L:R,7,FALSE),VLOOKUP(tables_576105!C19,input_576105!A:H,8,FALSE))</f>
        <v>1629751.75</v>
      </c>
      <c r="P19" s="46">
        <f t="shared" ca="1" si="1"/>
        <v>1.1955338541705197E-2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input_576105!A$2</f>
        <v>576105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IFERROR(VLOOKUP(B20,input_576105!L:R,7,FALSE),VLOOKUP(tables_576105!C20,input_576105!A:H,8,FALSE))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input_576105!A$2</f>
        <v>576105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IFERROR(VLOOKUP(B21,input_576105!L:R,7,FALSE),VLOOKUP(tables_576105!C21,input_576105!A:H,8,FALSE))</f>
        <v>1629751.75</v>
      </c>
      <c r="P21" s="46">
        <f t="shared" ca="1" si="1"/>
        <v>1.1955338541705197E-2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input_576105!A$2</f>
        <v>576105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IFERROR(VLOOKUP(B22,input_576105!L:R,7,FALSE),VLOOKUP(tables_576105!C22,input_576105!A:H,8,FALSE))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input_576105!A$2</f>
        <v>576105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IFERROR(VLOOKUP(B23,input_576105!L:R,7,FALSE),VLOOKUP(tables_576105!C23,input_576105!A:H,8,FALSE))</f>
        <v>1629751.75</v>
      </c>
      <c r="P23" s="46">
        <f t="shared" ca="1" si="1"/>
        <v>1.1955338541705197E-2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input_576105!A$2</f>
        <v>576105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IFERROR(VLOOKUP(B24,input_576105!L:R,7,FALSE),VLOOKUP(tables_576105!C24,input_576105!A:H,8,FALSE))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input_576105!A$2</f>
        <v>576105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IFERROR(VLOOKUP(B25,input_576105!L:R,7,FALSE),VLOOKUP(tables_576105!C25,input_576105!A:H,8,FALSE))</f>
        <v>1629751.75</v>
      </c>
      <c r="P25" s="46">
        <f t="shared" ca="1" si="1"/>
        <v>1.1955338541705197E-2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input_576105!A$2</f>
        <v>576105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IFERROR(VLOOKUP(B26,input_576105!L:R,7,FALSE),VLOOKUP(tables_576105!C26,input_576105!A:H,8,FALSE))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input_576105!A$2</f>
        <v>576105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IFERROR(VLOOKUP(B27,input_576105!L:R,7,FALSE),VLOOKUP(tables_576105!C27,input_576105!A:H,8,FALSE))</f>
        <v>1629751.75</v>
      </c>
      <c r="P27" s="46">
        <f t="shared" ca="1" si="1"/>
        <v>1.1955338541705197E-2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input_576105!A$2</f>
        <v>576105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IFERROR(VLOOKUP(B28,input_576105!L:R,7,FALSE),VLOOKUP(tables_576105!C28,input_576105!A:H,8,FALSE))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input_576105!A$2</f>
        <v>576105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IFERROR(VLOOKUP(B29,input_576105!L:R,7,FALSE),VLOOKUP(tables_576105!C29,input_576105!A:H,8,FALSE))</f>
        <v>1629751.75</v>
      </c>
      <c r="P29" s="46">
        <f t="shared" ca="1" si="1"/>
        <v>1.1955338541705197E-2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input_576105!A$2</f>
        <v>576105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IFERROR(VLOOKUP(B30,input_576105!L:R,7,FALSE),VLOOKUP(tables_576105!C30,input_576105!A:H,8,FALSE))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input_576105!A$2</f>
        <v>576105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IFERROR(VLOOKUP(B31,input_576105!L:R,7,FALSE),VLOOKUP(tables_576105!C31,input_576105!A:H,8,FALSE))</f>
        <v>1629751.75</v>
      </c>
      <c r="P31" s="46">
        <f t="shared" ca="1" si="1"/>
        <v>1.1955338541705197E-2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input_576105!A$2</f>
        <v>576105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IFERROR(VLOOKUP(B32,input_576105!L:R,7,FALSE),VLOOKUP(tables_576105!C32,input_576105!A:H,8,FALSE))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input_576105!A$2</f>
        <v>576105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IFERROR(VLOOKUP(B33,input_576105!L:R,7,FALSE),VLOOKUP(tables_576105!C33,input_576105!A:H,8,FALSE))</f>
        <v>1629751.75</v>
      </c>
      <c r="P33" s="46">
        <f t="shared" ca="1" si="1"/>
        <v>1.1955338541705197E-2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input_576105!A$2</f>
        <v>576105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IFERROR(VLOOKUP(B34,input_576105!L:R,7,FALSE),VLOOKUP(tables_576105!C34,input_576105!A:H,8,FALSE))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input_576105!A$2</f>
        <v>576105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IFERROR(VLOOKUP(B35,input_576105!L:R,7,FALSE),VLOOKUP(tables_576105!C35,input_576105!A:H,8,FALSE))</f>
        <v>1629751.75</v>
      </c>
      <c r="P35" s="46">
        <f t="shared" ca="1" si="1"/>
        <v>1.1955338541705197E-2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input_576105!A$2</f>
        <v>576105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IFERROR(VLOOKUP(B36,input_576105!L:R,7,FALSE),VLOOKUP(tables_576105!C36,input_576105!A:H,8,FALSE))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input_576105!A$2</f>
        <v>576105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IFERROR(VLOOKUP(B37,input_576105!L:R,7,FALSE),VLOOKUP(tables_576105!C37,input_576105!A:H,8,FALSE))</f>
        <v>1629751.75</v>
      </c>
      <c r="P37" s="46">
        <f t="shared" ca="1" si="1"/>
        <v>1.1955338541705197E-2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input_576105!A$2</f>
        <v>576105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IFERROR(VLOOKUP(B38,input_576105!L:R,7,FALSE),VLOOKUP(tables_576105!C38,input_576105!A:H,8,FALSE))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input_576105!A$2</f>
        <v>576105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IFERROR(VLOOKUP(B39,input_576105!L:R,7,FALSE),VLOOKUP(tables_576105!C39,input_576105!A:H,8,FALSE))</f>
        <v>1629751.75</v>
      </c>
      <c r="P39" s="46">
        <f t="shared" ca="1" si="1"/>
        <v>1.1955338541705197E-2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input_576105!A$2</f>
        <v>576105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IFERROR(VLOOKUP(B40,input_576105!L:R,7,FALSE),VLOOKUP(tables_576105!C40,input_576105!A:H,8,FALSE))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input_576105!A$2</f>
        <v>576105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IFERROR(VLOOKUP(B41,input_576105!L:R,7,FALSE),VLOOKUP(tables_576105!C41,input_576105!A:H,8,FALSE))</f>
        <v>1629751.75</v>
      </c>
      <c r="P41" s="46">
        <f t="shared" ca="1" si="1"/>
        <v>1.1955338541705197E-2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input_576105!A$2</f>
        <v>576105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IFERROR(VLOOKUP(B42,input_576105!L:R,7,FALSE),VLOOKUP(tables_576105!C42,input_576105!A:H,8,FALSE))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input_576105!A$2</f>
        <v>576105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IFERROR(VLOOKUP(B43,input_576105!L:R,7,FALSE),VLOOKUP(tables_576105!C43,input_576105!A:H,8,FALSE))</f>
        <v>1185433.75</v>
      </c>
      <c r="P43" s="46">
        <f t="shared" ca="1" si="1"/>
        <v>8.6959635416946936E-3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input_576105!A$2</f>
        <v>576105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IFERROR(VLOOKUP(B44,input_576105!L:R,7,FALSE),VLOOKUP(tables_576105!C44,input_576105!A:H,8,FALSE))</f>
        <v>65675</v>
      </c>
      <c r="P44" s="46">
        <f t="shared" ca="1" si="1"/>
        <v>4.8177083333488603E-4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input_576105!A$2</f>
        <v>576105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IFERROR(VLOOKUP(B45,input_576105!L:R,7,FALSE),VLOOKUP(tables_576105!C45,input_576105!A:H,8,FALSE))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input_576105!A$2</f>
        <v>576105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IFERROR(VLOOKUP(B46,input_576105!L:R,7,FALSE),VLOOKUP(tables_576105!C46,input_576105!A:H,8,FALSE))</f>
        <v>1185433.75</v>
      </c>
      <c r="P46" s="46">
        <f t="shared" ca="1" si="1"/>
        <v>8.6959635416946936E-3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input_576105!A$2</f>
        <v>576105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IFERROR(VLOOKUP(B47,input_576105!L:R,7,FALSE),VLOOKUP(tables_576105!C47,input_576105!A:H,8,FALSE))</f>
        <v>65675</v>
      </c>
      <c r="P47" s="46">
        <f t="shared" ca="1" si="1"/>
        <v>4.8177083333488603E-4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input_576105!A$2</f>
        <v>576105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IFERROR(VLOOKUP(B48,input_576105!L:R,7,FALSE),VLOOKUP(tables_576105!C48,input_576105!A:H,8,FALSE))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input_576105!A$2</f>
        <v>576105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IFERROR(VLOOKUP(B49,input_576105!L:R,7,FALSE),VLOOKUP(tables_576105!C49,input_576105!A:H,8,FALSE))</f>
        <v>1185433.75</v>
      </c>
      <c r="P49" s="46">
        <f t="shared" ca="1" si="1"/>
        <v>8.6959635416946936E-3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input_576105!A$2</f>
        <v>576105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IFERROR(VLOOKUP(B50,input_576105!L:R,7,FALSE),VLOOKUP(tables_576105!C50,input_576105!A:H,8,FALSE))</f>
        <v>65675</v>
      </c>
      <c r="P50" s="46">
        <f t="shared" ca="1" si="1"/>
        <v>4.8177083333488603E-4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input_576105!A$2</f>
        <v>576105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IFERROR(VLOOKUP(B51,input_576105!L:R,7,FALSE),VLOOKUP(tables_576105!C51,input_576105!A:H,8,FALSE))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input_576105!A$2</f>
        <v>576105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IFERROR(VLOOKUP(B52,input_576105!L:R,7,FALSE),VLOOKUP(tables_576105!C52,input_576105!A:H,8,FALSE))</f>
        <v>1185433.75</v>
      </c>
      <c r="P52" s="46">
        <f t="shared" ca="1" si="1"/>
        <v>8.6959635416946936E-3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input_576105!A$2</f>
        <v>576105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IFERROR(VLOOKUP(B53,input_576105!L:R,7,FALSE),VLOOKUP(tables_576105!C53,input_576105!A:H,8,FALSE))</f>
        <v>27649.03846</v>
      </c>
      <c r="P53" s="46">
        <f t="shared" ca="1" si="1"/>
        <v>2.0282451922013726E-4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input_576105!A$2</f>
        <v>576105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IFERROR(VLOOKUP(B54,input_576105!L:R,7,FALSE),VLOOKUP(tables_576105!C54,input_576105!A:H,8,FALSE))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input_576105!A$2</f>
        <v>576105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IFERROR(VLOOKUP(B55,input_576105!L:R,7,FALSE),VLOOKUP(tables_576105!C55,input_576105!A:H,8,FALSE))</f>
        <v>1185433.75</v>
      </c>
      <c r="P55" s="46">
        <f t="shared" ca="1" si="1"/>
        <v>8.6959635416946936E-3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input_576105!A$2</f>
        <v>576105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IFERROR(VLOOKUP(B56,input_576105!L:R,7,FALSE),VLOOKUP(tables_576105!C56,input_576105!A:H,8,FALSE))</f>
        <v>27649.03846</v>
      </c>
      <c r="P56" s="46">
        <f t="shared" ca="1" si="1"/>
        <v>2.0282451922013726E-4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input_576105!A$2</f>
        <v>576105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IFERROR(VLOOKUP(B57,input_576105!L:R,7,FALSE),VLOOKUP(tables_576105!C57,input_576105!A:H,8,FALSE))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input_576105!A$2</f>
        <v>576105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IFERROR(VLOOKUP(B58,input_576105!L:R,7,FALSE),VLOOKUP(tables_576105!C58,input_576105!A:H,8,FALSE))</f>
        <v>1185433.75</v>
      </c>
      <c r="P58" s="46">
        <f t="shared" ca="1" si="1"/>
        <v>8.6959635416946936E-3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input_576105!A$2</f>
        <v>576105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IFERROR(VLOOKUP(B59,input_576105!L:R,7,FALSE),VLOOKUP(tables_576105!C59,input_576105!A:H,8,FALSE))</f>
        <v>27649.03846</v>
      </c>
      <c r="P59" s="46">
        <f t="shared" ca="1" si="1"/>
        <v>2.0282451922013726E-4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input_576105!A$2</f>
        <v>576105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IFERROR(VLOOKUP(B60,input_576105!L:R,7,FALSE),VLOOKUP(tables_576105!C60,input_576105!A:H,8,FALSE))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input_576105!A$2</f>
        <v>576105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IFERROR(VLOOKUP(B61,input_576105!L:R,7,FALSE),VLOOKUP(tables_576105!C61,input_576105!A:H,8,FALSE))</f>
        <v>1185433.75</v>
      </c>
      <c r="P61" s="46">
        <f t="shared" ca="1" si="1"/>
        <v>8.6959635416946936E-3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input_576105!A$2</f>
        <v>576105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IFERROR(VLOOKUP(B62,input_576105!L:R,7,FALSE),VLOOKUP(tables_576105!C62,input_576105!A:H,8,FALSE))</f>
        <v>27649.03846</v>
      </c>
      <c r="P62" s="46">
        <f t="shared" ca="1" si="1"/>
        <v>2.0282451922013726E-4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input_576105!A$2</f>
        <v>576105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IFERROR(VLOOKUP(B63,input_576105!L:R,7,FALSE),VLOOKUP(tables_576105!C63,input_576105!A:H,8,FALSE))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input_576105!A$2</f>
        <v>576105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IFERROR(VLOOKUP(B64,input_576105!L:R,7,FALSE),VLOOKUP(tables_576105!C64,input_576105!A:H,8,FALSE))</f>
        <v>1185433.75</v>
      </c>
      <c r="P64" s="46">
        <f t="shared" ca="1" si="1"/>
        <v>8.6959635416946936E-3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input_576105!A$2</f>
        <v>576105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IFERROR(VLOOKUP(B65,input_576105!L:R,7,FALSE),VLOOKUP(tables_576105!C65,input_576105!A:H,8,FALSE))</f>
        <v>27649.03846</v>
      </c>
      <c r="P65" s="46">
        <f t="shared" ca="1" si="1"/>
        <v>2.0282451922013726E-4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input_576105!A$2</f>
        <v>576105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IFERROR(VLOOKUP(B66,input_576105!L:R,7,FALSE),VLOOKUP(tables_576105!C66,input_576105!A:H,8,FALSE))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input_576105!A$2</f>
        <v>576105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IFERROR(VLOOKUP(B67,input_576105!L:R,7,FALSE),VLOOKUP(tables_576105!C67,input_576105!A:H,8,FALSE))</f>
        <v>1185433.75</v>
      </c>
      <c r="P67" s="46">
        <f t="shared" ca="1" si="4"/>
        <v>8.6959635416946936E-3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input_576105!A$2</f>
        <v>576105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IFERROR(VLOOKUP(B68,input_576105!L:R,7,FALSE),VLOOKUP(tables_576105!C68,input_576105!A:H,8,FALSE))</f>
        <v>27649.03846</v>
      </c>
      <c r="P68" s="46">
        <f t="shared" ca="1" si="4"/>
        <v>2.0282451922013726E-4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input_576105!A$2</f>
        <v>576105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IFERROR(VLOOKUP(B69,input_576105!L:R,7,FALSE),VLOOKUP(tables_576105!C69,input_576105!A:H,8,FALSE))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input_576105!A$2</f>
        <v>576105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IFERROR(VLOOKUP(B70,input_576105!L:R,7,FALSE),VLOOKUP(tables_576105!C70,input_576105!A:H,8,FALSE))</f>
        <v>1185433.75</v>
      </c>
      <c r="P70" s="46">
        <f t="shared" ca="1" si="4"/>
        <v>8.6959635416946936E-3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input_576105!A$2</f>
        <v>576105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IFERROR(VLOOKUP(B71,input_576105!L:R,7,FALSE),VLOOKUP(tables_576105!C71,input_576105!A:H,8,FALSE))</f>
        <v>27649.03846</v>
      </c>
      <c r="P71" s="46">
        <f t="shared" ca="1" si="4"/>
        <v>2.0282451922013726E-4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input_576105!A$2</f>
        <v>576105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IFERROR(VLOOKUP(B72,input_576105!L:R,7,FALSE),VLOOKUP(tables_576105!C72,input_576105!A:H,8,FALSE))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input_576105!A$2</f>
        <v>576105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IFERROR(VLOOKUP(B73,input_576105!L:R,7,FALSE),VLOOKUP(tables_576105!C73,input_576105!A:H,8,FALSE))</f>
        <v>1185433.75</v>
      </c>
      <c r="P73" s="46">
        <f t="shared" ca="1" si="4"/>
        <v>8.6959635416946936E-3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input_576105!A$2</f>
        <v>576105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IFERROR(VLOOKUP(B74,input_576105!L:R,7,FALSE),VLOOKUP(tables_576105!C74,input_576105!A:H,8,FALSE))</f>
        <v>27649.03846</v>
      </c>
      <c r="P74" s="46">
        <f t="shared" ca="1" si="4"/>
        <v>2.0282451922013726E-4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input_576105!A$2</f>
        <v>576105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IFERROR(VLOOKUP(B75,input_576105!L:R,7,FALSE),VLOOKUP(tables_576105!C75,input_576105!A:H,8,FALSE))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input_576105!A$2</f>
        <v>576105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IFERROR(VLOOKUP(B76,input_576105!L:R,7,FALSE),VLOOKUP(tables_576105!C76,input_576105!A:H,8,FALSE))</f>
        <v>1185433.75</v>
      </c>
      <c r="P76" s="46">
        <f t="shared" ca="1" si="4"/>
        <v>8.6959635416946936E-3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input_576105!A$2</f>
        <v>576105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IFERROR(VLOOKUP(B77,input_576105!L:R,7,FALSE),VLOOKUP(tables_576105!C77,input_576105!A:H,8,FALSE))</f>
        <v>27649.03846</v>
      </c>
      <c r="P77" s="46">
        <f t="shared" ca="1" si="4"/>
        <v>2.0282451922013726E-4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input_576105!A$2</f>
        <v>576105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IFERROR(VLOOKUP(B78,input_576105!L:R,7,FALSE),VLOOKUP(tables_576105!C78,input_576105!A:H,8,FALSE))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input_576105!A$2</f>
        <v>576105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IFERROR(VLOOKUP(B79,input_576105!L:R,7,FALSE),VLOOKUP(tables_576105!C79,input_576105!A:H,8,FALSE))</f>
        <v>1185433.75</v>
      </c>
      <c r="P79" s="46">
        <f t="shared" ca="1" si="4"/>
        <v>8.6959635416946936E-3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input_576105!A$2</f>
        <v>576105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IFERROR(VLOOKUP(B80,input_576105!L:R,7,FALSE),VLOOKUP(tables_576105!C80,input_576105!A:H,8,FALSE))</f>
        <v>27649.03846</v>
      </c>
      <c r="P80" s="46">
        <f t="shared" ca="1" si="4"/>
        <v>2.0282451922013726E-4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input_576105!A$2</f>
        <v>576105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IFERROR(VLOOKUP(B81,input_576105!L:R,7,FALSE),VLOOKUP(tables_576105!C81,input_576105!A:H,8,FALSE))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input_576105!A$2</f>
        <v>576105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IFERROR(VLOOKUP(B82,input_576105!L:R,7,FALSE),VLOOKUP(tables_576105!C82,input_576105!A:H,8,FALSE))</f>
        <v>1185433.75</v>
      </c>
      <c r="P82" s="46">
        <f t="shared" ca="1" si="4"/>
        <v>8.6959635416946936E-3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input_576105!A$2</f>
        <v>576105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IFERROR(VLOOKUP(B83,input_576105!L:R,7,FALSE),VLOOKUP(tables_576105!C83,input_576105!A:H,8,FALSE))</f>
        <v>27649.03846</v>
      </c>
      <c r="P83" s="46">
        <f t="shared" ca="1" si="4"/>
        <v>2.0282451922013726E-4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input_576105!A$2</f>
        <v>576105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IFERROR(VLOOKUP(B84,input_576105!L:R,7,FALSE),VLOOKUP(tables_576105!C84,input_576105!A:H,8,FALSE))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input_576105!A$2</f>
        <v>576105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IFERROR(VLOOKUP(B85,input_576105!L:R,7,FALSE),VLOOKUP(tables_576105!C85,input_576105!A:H,8,FALSE))</f>
        <v>1185433.75</v>
      </c>
      <c r="P85" s="46">
        <f t="shared" ca="1" si="4"/>
        <v>8.6959635416946936E-3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input_576105!A$2</f>
        <v>576105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IFERROR(VLOOKUP(B86,input_576105!L:R,7,FALSE),VLOOKUP(tables_576105!C86,input_576105!A:H,8,FALSE))</f>
        <v>27649.03846</v>
      </c>
      <c r="P86" s="46">
        <f t="shared" ca="1" si="4"/>
        <v>2.0282451922013726E-4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input_576105!A$2</f>
        <v>576105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IFERROR(VLOOKUP(B87,input_576105!L:R,7,FALSE),VLOOKUP(tables_576105!C87,input_576105!A:H,8,FALSE))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input_576105!A$2</f>
        <v>576105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IFERROR(VLOOKUP(B88,input_576105!L:R,7,FALSE),VLOOKUP(tables_576105!C88,input_576105!A:H,8,FALSE))</f>
        <v>1185433.75</v>
      </c>
      <c r="P88" s="46">
        <f t="shared" ca="1" si="4"/>
        <v>8.6959635416946936E-3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input_576105!A$2</f>
        <v>576105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IFERROR(VLOOKUP(B89,input_576105!L:R,7,FALSE),VLOOKUP(tables_576105!C89,input_576105!A:H,8,FALSE))</f>
        <v>27649.03846</v>
      </c>
      <c r="P89" s="46">
        <f t="shared" ca="1" si="4"/>
        <v>2.0282451922013726E-4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input_576105!A$2</f>
        <v>576105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IFERROR(VLOOKUP(B90,input_576105!L:R,7,FALSE),VLOOKUP(tables_576105!C90,input_576105!A:H,8,FALSE))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input_576105!A$2</f>
        <v>576105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IFERROR(VLOOKUP(B91,input_576105!L:R,7,FALSE),VLOOKUP(tables_576105!C91,input_576105!A:H,8,FALSE))</f>
        <v>1185433.75</v>
      </c>
      <c r="P91" s="46">
        <f t="shared" ca="1" si="4"/>
        <v>8.6959635416946936E-3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input_576105!A$2</f>
        <v>576105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IFERROR(VLOOKUP(B92,input_576105!L:R,7,FALSE),VLOOKUP(tables_576105!C92,input_576105!A:H,8,FALSE))</f>
        <v>27649.03846</v>
      </c>
      <c r="P92" s="46">
        <f t="shared" ca="1" si="4"/>
        <v>2.0282451922013726E-4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input_576105!A$2</f>
        <v>576105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IFERROR(VLOOKUP(B93,input_576105!L:R,7,FALSE),VLOOKUP(tables_576105!C93,input_576105!A:H,8,FALSE))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input_576105!A$2</f>
        <v>576105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IFERROR(VLOOKUP(B94,input_576105!L:R,7,FALSE),VLOOKUP(tables_576105!C94,input_576105!A:H,8,FALSE))</f>
        <v>1185433.75</v>
      </c>
      <c r="P94" s="46">
        <f t="shared" ca="1" si="4"/>
        <v>8.6959635416946936E-3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input_576105!A$2</f>
        <v>576105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IFERROR(VLOOKUP(B95,input_576105!L:R,7,FALSE),VLOOKUP(tables_576105!C95,input_576105!A:H,8,FALSE))</f>
        <v>27649.03846</v>
      </c>
      <c r="P95" s="46">
        <f t="shared" ca="1" si="4"/>
        <v>2.0282451922013726E-4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input_576105!A$2</f>
        <v>576105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IFERROR(VLOOKUP(B96,input_576105!L:R,7,FALSE),VLOOKUP(tables_576105!C96,input_576105!A:H,8,FALSE))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input_576105!A$2</f>
        <v>576105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IFERROR(VLOOKUP(B97,input_576105!L:R,7,FALSE),VLOOKUP(tables_576105!C97,input_576105!A:H,8,FALSE))</f>
        <v>1185433.75</v>
      </c>
      <c r="P97" s="46">
        <f t="shared" ca="1" si="4"/>
        <v>8.6959635416946936E-3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input_576105!A$2</f>
        <v>576105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IFERROR(VLOOKUP(B98,input_576105!L:R,7,FALSE),VLOOKUP(tables_576105!C98,input_576105!A:H,8,FALSE))</f>
        <v>27649.03846</v>
      </c>
      <c r="P98" s="46">
        <f t="shared" ca="1" si="4"/>
        <v>2.0282451922013726E-4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input_576105!A$2</f>
        <v>576105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IFERROR(VLOOKUP(B99,input_576105!L:R,7,FALSE),VLOOKUP(tables_576105!C99,input_576105!A:H,8,FALSE))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input_576105!A$2</f>
        <v>576105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IFERROR(VLOOKUP(B100,input_576105!L:R,7,FALSE),VLOOKUP(tables_576105!C100,input_576105!A:H,8,FALSE))</f>
        <v>1185433.75</v>
      </c>
      <c r="P100" s="46">
        <f t="shared" ca="1" si="4"/>
        <v>8.6959635416946936E-3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input_576105!A$2</f>
        <v>576105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IFERROR(VLOOKUP(B101,input_576105!L:R,7,FALSE),VLOOKUP(tables_576105!C101,input_576105!A:H,8,FALSE))</f>
        <v>27649.03846</v>
      </c>
      <c r="P101" s="46">
        <f t="shared" ca="1" si="4"/>
        <v>2.0282451922013726E-4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input_576105!A$2</f>
        <v>576105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IFERROR(VLOOKUP(B102,input_576105!L:R,7,FALSE),VLOOKUP(tables_576105!C102,input_576105!A:H,8,FALSE))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input_576105!A$2</f>
        <v>576105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IFERROR(VLOOKUP(B103,input_576105!L:R,7,FALSE),VLOOKUP(tables_576105!C103,input_576105!A:H,8,FALSE))</f>
        <v>1185433.75</v>
      </c>
      <c r="P103" s="46">
        <f t="shared" ca="1" si="4"/>
        <v>8.6959635416946936E-3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input_576105!A$2</f>
        <v>576105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IFERROR(VLOOKUP(B104,input_576105!L:R,7,FALSE),VLOOKUP(tables_576105!C104,input_576105!A:H,8,FALSE))</f>
        <v>27649.03846</v>
      </c>
      <c r="P104" s="46">
        <f t="shared" ca="1" si="4"/>
        <v>2.0282451922013726E-4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input_576105!A$2</f>
        <v>576105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IFERROR(VLOOKUP(B105,input_576105!L:R,7,FALSE),VLOOKUP(tables_576105!C105,input_576105!A:H,8,FALSE))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input_576105!A$2</f>
        <v>576105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IFERROR(VLOOKUP(B106,input_576105!L:R,7,FALSE),VLOOKUP(tables_576105!C106,input_576105!A:H,8,FALSE))</f>
        <v>1185433.75</v>
      </c>
      <c r="P106" s="46">
        <f t="shared" ca="1" si="4"/>
        <v>8.6959635416946936E-3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input_576105!A$2</f>
        <v>576105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IFERROR(VLOOKUP(B107,input_576105!L:R,7,FALSE),VLOOKUP(tables_576105!C107,input_576105!A:H,8,FALSE))</f>
        <v>27649.03846</v>
      </c>
      <c r="P107" s="46">
        <f t="shared" ca="1" si="4"/>
        <v>2.0282451922013726E-4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input_576105!A$2</f>
        <v>576105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IFERROR(VLOOKUP(B108,input_576105!L:R,7,FALSE),VLOOKUP(tables_576105!C108,input_576105!A:H,8,FALSE))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input_576105!A$2</f>
        <v>576105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IFERROR(VLOOKUP(B109,input_576105!L:R,7,FALSE),VLOOKUP(tables_576105!C109,input_576105!A:H,8,FALSE))</f>
        <v>1185433.75</v>
      </c>
      <c r="P109" s="46">
        <f t="shared" ca="1" si="4"/>
        <v>8.6959635416946936E-3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input_576105!A$2</f>
        <v>576105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IFERROR(VLOOKUP(B110,input_576105!L:R,7,FALSE),VLOOKUP(tables_576105!C110,input_576105!A:H,8,FALSE))</f>
        <v>27649.03846</v>
      </c>
      <c r="P110" s="46">
        <f t="shared" ca="1" si="4"/>
        <v>2.0282451922013726E-4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input_576105!A$2</f>
        <v>576105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IFERROR(VLOOKUP(B111,input_576105!L:R,7,FALSE),VLOOKUP(tables_576105!C111,input_576105!A:H,8,FALSE))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input_576105!A$2</f>
        <v>576105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IFERROR(VLOOKUP(B112,input_576105!L:R,7,FALSE),VLOOKUP(tables_576105!C112,input_576105!A:H,8,FALSE))</f>
        <v>1185433.75</v>
      </c>
      <c r="P112" s="46">
        <f t="shared" ca="1" si="4"/>
        <v>8.6959635416946936E-3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input_576105!A$2</f>
        <v>576105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IFERROR(VLOOKUP(B113,input_576105!L:R,7,FALSE),VLOOKUP(tables_576105!C113,input_576105!A:H,8,FALSE))</f>
        <v>65675</v>
      </c>
      <c r="P113" s="46">
        <f t="shared" ca="1" si="4"/>
        <v>4.8177083333488603E-4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input_576105!A$2</f>
        <v>576105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IFERROR(VLOOKUP(B114,input_576105!L:R,7,FALSE),VLOOKUP(tables_576105!C114,input_576105!A:H,8,FALSE))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input_576105!A$2</f>
        <v>576105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IFERROR(VLOOKUP(B115,input_576105!L:R,7,FALSE),VLOOKUP(tables_576105!C115,input_576105!A:H,8,FALSE))</f>
        <v>1185433.75</v>
      </c>
      <c r="P115" s="46">
        <f t="shared" ca="1" si="4"/>
        <v>8.6959635416946936E-3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input_576105!A$2</f>
        <v>576105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IFERROR(VLOOKUP(B116,input_576105!L:R,7,FALSE),VLOOKUP(tables_576105!C116,input_576105!A:H,8,FALSE))</f>
        <v>27649.03846</v>
      </c>
      <c r="P116" s="46">
        <f t="shared" ca="1" si="4"/>
        <v>2.0282451922013726E-4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input_576105!A$2</f>
        <v>576105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IFERROR(VLOOKUP(B117,input_576105!L:R,7,FALSE),VLOOKUP(tables_576105!C117,input_576105!A:H,8,FALSE))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input_576105!A$2</f>
        <v>576105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IFERROR(VLOOKUP(B118,input_576105!L:R,7,FALSE),VLOOKUP(tables_576105!C118,input_576105!A:H,8,FALSE))</f>
        <v>1185433.75</v>
      </c>
      <c r="P118" s="46">
        <f t="shared" ca="1" si="4"/>
        <v>8.6959635416946936E-3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input_576105!A$2</f>
        <v>576105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IFERROR(VLOOKUP(B119,input_576105!L:R,7,FALSE),VLOOKUP(tables_576105!C119,input_576105!A:H,8,FALSE))</f>
        <v>27649.03846</v>
      </c>
      <c r="P119" s="46">
        <f t="shared" ca="1" si="4"/>
        <v>2.0282451922013726E-4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input_576105!A$2</f>
        <v>576105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IFERROR(VLOOKUP(B120,input_576105!L:R,7,FALSE),VLOOKUP(tables_576105!C120,input_576105!A:H,8,FALSE))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input_576105!A$2</f>
        <v>576105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IFERROR(VLOOKUP(B121,input_576105!L:R,7,FALSE),VLOOKUP(tables_576105!C121,input_576105!A:H,8,FALSE))</f>
        <v>1185433.75</v>
      </c>
      <c r="P121" s="46">
        <f t="shared" ca="1" si="4"/>
        <v>8.6959635416946936E-3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input_576105!A$2</f>
        <v>576105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IFERROR(VLOOKUP(B122,input_576105!L:R,7,FALSE),VLOOKUP(tables_576105!C122,input_576105!A:H,8,FALSE))</f>
        <v>27649.03846</v>
      </c>
      <c r="P122" s="46">
        <f t="shared" ca="1" si="4"/>
        <v>2.0282451922013726E-4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input_576105!A$2</f>
        <v>576105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IFERROR(VLOOKUP(B123,input_576105!L:R,7,FALSE),VLOOKUP(tables_576105!C123,input_576105!A:H,8,FALSE))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input_576105!A$2</f>
        <v>576105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IFERROR(VLOOKUP(B124,input_576105!L:R,7,FALSE),VLOOKUP(tables_576105!C124,input_576105!A:H,8,FALSE))</f>
        <v>1185433.75</v>
      </c>
      <c r="P124" s="46">
        <f t="shared" ca="1" si="4"/>
        <v>8.6959635416946936E-3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input_576105!A$2</f>
        <v>576105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IFERROR(VLOOKUP(B125,input_576105!L:R,7,FALSE),VLOOKUP(tables_576105!C125,input_576105!A:H,8,FALSE))</f>
        <v>27649.03846</v>
      </c>
      <c r="P125" s="46">
        <f t="shared" ca="1" si="4"/>
        <v>2.0282451922013726E-4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input_576105!A$2</f>
        <v>576105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IFERROR(VLOOKUP(B126,input_576105!L:R,7,FALSE),VLOOKUP(tables_576105!C126,input_576105!A:H,8,FALSE))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input_576105!A$2</f>
        <v>576105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IFERROR(VLOOKUP(B127,input_576105!L:R,7,FALSE),VLOOKUP(tables_576105!C127,input_576105!A:H,8,FALSE))</f>
        <v>1185433.75</v>
      </c>
      <c r="P127" s="46">
        <f t="shared" ca="1" si="4"/>
        <v>8.6959635416946936E-3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input_576105!A$2</f>
        <v>576105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IFERROR(VLOOKUP(B128,input_576105!L:R,7,FALSE),VLOOKUP(tables_576105!C128,input_576105!A:H,8,FALSE))</f>
        <v>27649.03846</v>
      </c>
      <c r="P128" s="46">
        <f t="shared" ca="1" si="4"/>
        <v>2.0282451922013726E-4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input_576105!A$2</f>
        <v>576105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IFERROR(VLOOKUP(B129,input_576105!L:R,7,FALSE),VLOOKUP(tables_576105!C129,input_576105!A:H,8,FALSE))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input_576105!A$2</f>
        <v>576105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IFERROR(VLOOKUP(B130,input_576105!L:R,7,FALSE),VLOOKUP(tables_576105!C130,input_576105!A:H,8,FALSE))</f>
        <v>1185433.75</v>
      </c>
      <c r="P130" s="46">
        <f t="shared" ref="P130:P193" ca="1" si="7">O130/SUM(O:O)</f>
        <v>8.6959635416946936E-3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input_576105!A$2</f>
        <v>576105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IFERROR(VLOOKUP(B131,input_576105!L:R,7,FALSE),VLOOKUP(tables_576105!C131,input_576105!A:H,8,FALSE))</f>
        <v>27649.03846</v>
      </c>
      <c r="P131" s="46">
        <f t="shared" ca="1" si="7"/>
        <v>2.0282451922013726E-4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input_576105!A$2</f>
        <v>576105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IFERROR(VLOOKUP(B132,input_576105!L:R,7,FALSE),VLOOKUP(tables_576105!C132,input_576105!A:H,8,FALSE))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input_576105!A$2</f>
        <v>576105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IFERROR(VLOOKUP(B133,input_576105!L:R,7,FALSE),VLOOKUP(tables_576105!C133,input_576105!A:H,8,FALSE))</f>
        <v>1185433.75</v>
      </c>
      <c r="P133" s="46">
        <f t="shared" ca="1" si="7"/>
        <v>8.6959635416946936E-3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input_576105!A$2</f>
        <v>576105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IFERROR(VLOOKUP(B134,input_576105!L:R,7,FALSE),VLOOKUP(tables_576105!C134,input_576105!A:H,8,FALSE))</f>
        <v>27649.03846</v>
      </c>
      <c r="P134" s="46">
        <f t="shared" ca="1" si="7"/>
        <v>2.0282451922013726E-4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input_576105!A$2</f>
        <v>576105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IFERROR(VLOOKUP(B135,input_576105!L:R,7,FALSE),VLOOKUP(tables_576105!C135,input_576105!A:H,8,FALSE))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input_576105!A$2</f>
        <v>576105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IFERROR(VLOOKUP(B136,input_576105!L:R,7,FALSE),VLOOKUP(tables_576105!C136,input_576105!A:H,8,FALSE))</f>
        <v>1185433.75</v>
      </c>
      <c r="P136" s="46">
        <f t="shared" ca="1" si="7"/>
        <v>8.6959635416946936E-3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input_576105!A$2</f>
        <v>576105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IFERROR(VLOOKUP(B137,input_576105!L:R,7,FALSE),VLOOKUP(tables_576105!C137,input_576105!A:H,8,FALSE))</f>
        <v>27649.03846</v>
      </c>
      <c r="P137" s="46">
        <f t="shared" ca="1" si="7"/>
        <v>2.0282451922013726E-4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input_576105!A$2</f>
        <v>576105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IFERROR(VLOOKUP(B138,input_576105!L:R,7,FALSE),VLOOKUP(tables_576105!C138,input_576105!A:H,8,FALSE))</f>
        <v>121714.28571</v>
      </c>
      <c r="P138" s="46">
        <f t="shared" ca="1" si="7"/>
        <v>8.928571428285818E-4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input_576105!A$2</f>
        <v>576105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IFERROR(VLOOKUP(B139,input_576105!L:R,7,FALSE),VLOOKUP(tables_576105!C139,input_576105!A:H,8,FALSE))</f>
        <v>47333.333330000001</v>
      </c>
      <c r="P139" s="46">
        <f t="shared" ca="1" si="7"/>
        <v>3.4722222219888901E-4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input_576105!A$2</f>
        <v>576105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IFERROR(VLOOKUP(B140,input_576105!L:R,7,FALSE),VLOOKUP(tables_576105!C140,input_576105!A:H,8,FALSE))</f>
        <v>121714.28571</v>
      </c>
      <c r="P140" s="46">
        <f t="shared" ca="1" si="7"/>
        <v>8.928571428285818E-4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input_576105!A$2</f>
        <v>576105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IFERROR(VLOOKUP(B141,input_576105!L:R,7,FALSE),VLOOKUP(tables_576105!C141,input_576105!A:H,8,FALSE))</f>
        <v>47333.333330000001</v>
      </c>
      <c r="P141" s="46">
        <f t="shared" ca="1" si="7"/>
        <v>3.4722222219888901E-4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input_576105!A$2</f>
        <v>576105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IFERROR(VLOOKUP(B142,input_576105!L:R,7,FALSE),VLOOKUP(tables_576105!C142,input_576105!A:H,8,FALSE))</f>
        <v>121714.28571</v>
      </c>
      <c r="P142" s="46">
        <f t="shared" ca="1" si="7"/>
        <v>8.928571428285818E-4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input_576105!A$2</f>
        <v>576105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IFERROR(VLOOKUP(B143,input_576105!L:R,7,FALSE),VLOOKUP(tables_576105!C143,input_576105!A:H,8,FALSE))</f>
        <v>47333.333330000001</v>
      </c>
      <c r="P143" s="46">
        <f t="shared" ca="1" si="7"/>
        <v>3.4722222219888901E-4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input_576105!A$2</f>
        <v>576105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IFERROR(VLOOKUP(B144,input_576105!L:R,7,FALSE),VLOOKUP(tables_576105!C144,input_576105!A:H,8,FALSE))</f>
        <v>121714.28571</v>
      </c>
      <c r="P144" s="46">
        <f t="shared" ca="1" si="7"/>
        <v>8.928571428285818E-4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input_576105!A$2</f>
        <v>576105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IFERROR(VLOOKUP(B145,input_576105!L:R,7,FALSE),VLOOKUP(tables_576105!C145,input_576105!A:H,8,FALSE))</f>
        <v>47333.333330000001</v>
      </c>
      <c r="P145" s="46">
        <f t="shared" ca="1" si="7"/>
        <v>3.4722222219888901E-4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input_576105!A$2</f>
        <v>576105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IFERROR(VLOOKUP(B146,input_576105!L:R,7,FALSE),VLOOKUP(tables_576105!C146,input_576105!A:H,8,FALSE))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input_576105!A$2</f>
        <v>576105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IFERROR(VLOOKUP(B147,input_576105!L:R,7,FALSE),VLOOKUP(tables_576105!C147,input_576105!A:H,8,FALSE))</f>
        <v>1185433.75</v>
      </c>
      <c r="P147" s="46">
        <f t="shared" ca="1" si="7"/>
        <v>8.6959635416946936E-3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input_576105!A$2</f>
        <v>576105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IFERROR(VLOOKUP(B148,input_576105!L:R,7,FALSE),VLOOKUP(tables_576105!C148,input_576105!A:H,8,FALSE))</f>
        <v>27649.03846</v>
      </c>
      <c r="P148" s="46">
        <f t="shared" ca="1" si="7"/>
        <v>2.0282451922013726E-4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input_576105!A$2</f>
        <v>576105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IFERROR(VLOOKUP(B149,input_576105!L:R,7,FALSE),VLOOKUP(tables_576105!C149,input_576105!A:H,8,FALSE))</f>
        <v>121714.28571</v>
      </c>
      <c r="P149" s="46">
        <f t="shared" ca="1" si="7"/>
        <v>8.928571428285818E-4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input_576105!A$2</f>
        <v>576105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IFERROR(VLOOKUP(B150,input_576105!L:R,7,FALSE),VLOOKUP(tables_576105!C150,input_576105!A:H,8,FALSE))</f>
        <v>47333.333330000001</v>
      </c>
      <c r="P150" s="46">
        <f t="shared" ca="1" si="7"/>
        <v>3.4722222219888901E-4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input_576105!A$2</f>
        <v>576105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IFERROR(VLOOKUP(B151,input_576105!L:R,7,FALSE),VLOOKUP(tables_576105!C151,input_576105!A:H,8,FALSE))</f>
        <v>121714.28571</v>
      </c>
      <c r="P151" s="46">
        <f t="shared" ca="1" si="7"/>
        <v>8.928571428285818E-4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input_576105!A$2</f>
        <v>576105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IFERROR(VLOOKUP(B152,input_576105!L:R,7,FALSE),VLOOKUP(tables_576105!C152,input_576105!A:H,8,FALSE))</f>
        <v>47333.333330000001</v>
      </c>
      <c r="P152" s="46">
        <f t="shared" ca="1" si="7"/>
        <v>3.4722222219888901E-4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input_576105!A$2</f>
        <v>576105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IFERROR(VLOOKUP(B153,input_576105!L:R,7,FALSE),VLOOKUP(tables_576105!C153,input_576105!A:H,8,FALSE))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input_576105!A$2</f>
        <v>576105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IFERROR(VLOOKUP(B154,input_576105!L:R,7,FALSE),VLOOKUP(tables_576105!C154,input_576105!A:H,8,FALSE))</f>
        <v>1185433.75</v>
      </c>
      <c r="P154" s="46">
        <f t="shared" ca="1" si="7"/>
        <v>8.6959635416946936E-3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input_576105!A$2</f>
        <v>576105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IFERROR(VLOOKUP(B155,input_576105!L:R,7,FALSE),VLOOKUP(tables_576105!C155,input_576105!A:H,8,FALSE))</f>
        <v>27649.03846</v>
      </c>
      <c r="P155" s="46">
        <f t="shared" ca="1" si="7"/>
        <v>2.0282451922013726E-4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input_576105!A$2</f>
        <v>576105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IFERROR(VLOOKUP(B156,input_576105!L:R,7,FALSE),VLOOKUP(tables_576105!C156,input_576105!A:H,8,FALSE))</f>
        <v>121714.28571</v>
      </c>
      <c r="P156" s="46">
        <f t="shared" ca="1" si="7"/>
        <v>8.928571428285818E-4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input_576105!A$2</f>
        <v>576105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IFERROR(VLOOKUP(B157,input_576105!L:R,7,FALSE),VLOOKUP(tables_576105!C157,input_576105!A:H,8,FALSE))</f>
        <v>47333.333330000001</v>
      </c>
      <c r="P157" s="46">
        <f t="shared" ca="1" si="7"/>
        <v>3.4722222219888901E-4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input_576105!A$2</f>
        <v>576105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IFERROR(VLOOKUP(B158,input_576105!L:R,7,FALSE),VLOOKUP(tables_576105!C158,input_576105!A:H,8,FALSE))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input_576105!A$2</f>
        <v>576105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IFERROR(VLOOKUP(B159,input_576105!L:R,7,FALSE),VLOOKUP(tables_576105!C159,input_576105!A:H,8,FALSE))</f>
        <v>1185433.75</v>
      </c>
      <c r="P159" s="46">
        <f t="shared" ca="1" si="7"/>
        <v>8.6959635416946936E-3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input_576105!A$2</f>
        <v>576105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IFERROR(VLOOKUP(B160,input_576105!L:R,7,FALSE),VLOOKUP(tables_576105!C160,input_576105!A:H,8,FALSE))</f>
        <v>27649.03846</v>
      </c>
      <c r="P160" s="46">
        <f t="shared" ca="1" si="7"/>
        <v>2.0282451922013726E-4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input_576105!A$2</f>
        <v>576105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IFERROR(VLOOKUP(B161,input_576105!L:R,7,FALSE),VLOOKUP(tables_576105!C161,input_576105!A:H,8,FALSE))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input_576105!A$2</f>
        <v>576105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IFERROR(VLOOKUP(B162,input_576105!L:R,7,FALSE),VLOOKUP(tables_576105!C162,input_576105!A:H,8,FALSE))</f>
        <v>1185433.75</v>
      </c>
      <c r="P162" s="46">
        <f t="shared" ca="1" si="7"/>
        <v>8.6959635416946936E-3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input_576105!A$2</f>
        <v>576105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IFERROR(VLOOKUP(B163,input_576105!L:R,7,FALSE),VLOOKUP(tables_576105!C163,input_576105!A:H,8,FALSE))</f>
        <v>27649.03846</v>
      </c>
      <c r="P163" s="46">
        <f t="shared" ca="1" si="7"/>
        <v>2.0282451922013726E-4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input_576105!A$2</f>
        <v>576105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IFERROR(VLOOKUP(B164,input_576105!L:R,7,FALSE),VLOOKUP(tables_576105!C164,input_576105!A:H,8,FALSE))</f>
        <v>121714.28571</v>
      </c>
      <c r="P164" s="46">
        <f t="shared" ca="1" si="7"/>
        <v>8.928571428285818E-4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input_576105!A$2</f>
        <v>576105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IFERROR(VLOOKUP(B165,input_576105!L:R,7,FALSE),VLOOKUP(tables_576105!C165,input_576105!A:H,8,FALSE))</f>
        <v>47333.333330000001</v>
      </c>
      <c r="P165" s="46">
        <f t="shared" ca="1" si="7"/>
        <v>3.4722222219888901E-4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input_576105!A$2</f>
        <v>576105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IFERROR(VLOOKUP(B166,input_576105!L:R,7,FALSE),VLOOKUP(tables_576105!C166,input_576105!A:H,8,FALSE))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input_576105!A$2</f>
        <v>576105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IFERROR(VLOOKUP(B167,input_576105!L:R,7,FALSE),VLOOKUP(tables_576105!C167,input_576105!A:H,8,FALSE))</f>
        <v>1185433.75</v>
      </c>
      <c r="P167" s="46">
        <f t="shared" ca="1" si="7"/>
        <v>8.6959635416946936E-3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input_576105!A$2</f>
        <v>576105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IFERROR(VLOOKUP(B168,input_576105!L:R,7,FALSE),VLOOKUP(tables_576105!C168,input_576105!A:H,8,FALSE))</f>
        <v>27649.03846</v>
      </c>
      <c r="P168" s="46">
        <f t="shared" ca="1" si="7"/>
        <v>2.0282451922013726E-4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input_576105!A$2</f>
        <v>576105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IFERROR(VLOOKUP(B169,input_576105!L:R,7,FALSE),VLOOKUP(tables_576105!C169,input_576105!A:H,8,FALSE))</f>
        <v>121714.28571</v>
      </c>
      <c r="P169" s="46">
        <f t="shared" ca="1" si="7"/>
        <v>8.928571428285818E-4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input_576105!A$2</f>
        <v>576105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IFERROR(VLOOKUP(B170,input_576105!L:R,7,FALSE),VLOOKUP(tables_576105!C170,input_576105!A:H,8,FALSE))</f>
        <v>47333.333330000001</v>
      </c>
      <c r="P170" s="46">
        <f t="shared" ca="1" si="7"/>
        <v>3.4722222219888901E-4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input_576105!A$2</f>
        <v>576105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IFERROR(VLOOKUP(B171,input_576105!L:R,7,FALSE),VLOOKUP(tables_576105!C171,input_576105!A:H,8,FALSE))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input_576105!A$2</f>
        <v>576105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IFERROR(VLOOKUP(B172,input_576105!L:R,7,FALSE),VLOOKUP(tables_576105!C172,input_576105!A:H,8,FALSE))</f>
        <v>1185433.75</v>
      </c>
      <c r="P172" s="46">
        <f t="shared" ca="1" si="7"/>
        <v>8.6959635416946936E-3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input_576105!A$2</f>
        <v>576105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IFERROR(VLOOKUP(B173,input_576105!L:R,7,FALSE),VLOOKUP(tables_576105!C173,input_576105!A:H,8,FALSE))</f>
        <v>27649.03846</v>
      </c>
      <c r="P173" s="46">
        <f t="shared" ca="1" si="7"/>
        <v>2.0282451922013726E-4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input_576105!A$2</f>
        <v>576105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IFERROR(VLOOKUP(B174,input_576105!L:R,7,FALSE),VLOOKUP(tables_576105!C174,input_576105!A:H,8,FALSE))</f>
        <v>121714.28571</v>
      </c>
      <c r="P174" s="46">
        <f t="shared" ca="1" si="7"/>
        <v>8.928571428285818E-4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input_576105!A$2</f>
        <v>576105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IFERROR(VLOOKUP(B175,input_576105!L:R,7,FALSE),VLOOKUP(tables_576105!C175,input_576105!A:H,8,FALSE))</f>
        <v>47333.333330000001</v>
      </c>
      <c r="P175" s="46">
        <f t="shared" ca="1" si="7"/>
        <v>3.4722222219888901E-4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input_576105!A$2</f>
        <v>576105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IFERROR(VLOOKUP(B176,input_576105!L:R,7,FALSE),VLOOKUP(tables_576105!C176,input_576105!A:H,8,FALSE))</f>
        <v>121714.28571</v>
      </c>
      <c r="P176" s="46">
        <f t="shared" ca="1" si="7"/>
        <v>8.928571428285818E-4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input_576105!A$2</f>
        <v>576105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IFERROR(VLOOKUP(B177,input_576105!L:R,7,FALSE),VLOOKUP(tables_576105!C177,input_576105!A:H,8,FALSE))</f>
        <v>47333.333330000001</v>
      </c>
      <c r="P177" s="46">
        <f t="shared" ca="1" si="7"/>
        <v>3.4722222219888901E-4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input_576105!A$2</f>
        <v>576105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IFERROR(VLOOKUP(B178,input_576105!L:R,7,FALSE),VLOOKUP(tables_576105!C178,input_576105!A:H,8,FALSE))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input_576105!A$2</f>
        <v>576105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IFERROR(VLOOKUP(B179,input_576105!L:R,7,FALSE),VLOOKUP(tables_576105!C179,input_576105!A:H,8,FALSE))</f>
        <v>1185433.75</v>
      </c>
      <c r="P179" s="46">
        <f t="shared" ca="1" si="7"/>
        <v>8.6959635416946936E-3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input_576105!A$2</f>
        <v>576105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IFERROR(VLOOKUP(B180,input_576105!L:R,7,FALSE),VLOOKUP(tables_576105!C180,input_576105!A:H,8,FALSE))</f>
        <v>27649.03846</v>
      </c>
      <c r="P180" s="46">
        <f t="shared" ca="1" si="7"/>
        <v>2.0282451922013726E-4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input_576105!A$2</f>
        <v>576105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IFERROR(VLOOKUP(B181,input_576105!L:R,7,FALSE),VLOOKUP(tables_576105!C181,input_576105!A:H,8,FALSE))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input_576105!A$2</f>
        <v>576105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IFERROR(VLOOKUP(B182,input_576105!L:R,7,FALSE),VLOOKUP(tables_576105!C182,input_576105!A:H,8,FALSE))</f>
        <v>1185433.75</v>
      </c>
      <c r="P182" s="46">
        <f t="shared" ca="1" si="7"/>
        <v>8.6959635416946936E-3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input_576105!A$2</f>
        <v>576105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IFERROR(VLOOKUP(B183,input_576105!L:R,7,FALSE),VLOOKUP(tables_576105!C183,input_576105!A:H,8,FALSE))</f>
        <v>27649.03846</v>
      </c>
      <c r="P183" s="46">
        <f t="shared" ca="1" si="7"/>
        <v>2.0282451922013726E-4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input_576105!A$2</f>
        <v>576105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IFERROR(VLOOKUP(B184,input_576105!L:R,7,FALSE),VLOOKUP(tables_576105!C184,input_576105!A:H,8,FALSE))</f>
        <v>121714.28571</v>
      </c>
      <c r="P184" s="46">
        <f t="shared" ca="1" si="7"/>
        <v>8.928571428285818E-4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input_576105!A$2</f>
        <v>576105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IFERROR(VLOOKUP(B185,input_576105!L:R,7,FALSE),VLOOKUP(tables_576105!C185,input_576105!A:H,8,FALSE))</f>
        <v>47333.333330000001</v>
      </c>
      <c r="P185" s="46">
        <f t="shared" ca="1" si="7"/>
        <v>3.4722222219888901E-4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input_576105!A$2</f>
        <v>576105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IFERROR(VLOOKUP(B186,input_576105!L:R,7,FALSE),VLOOKUP(tables_576105!C186,input_576105!A:H,8,FALSE))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input_576105!A$2</f>
        <v>576105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IFERROR(VLOOKUP(B187,input_576105!L:R,7,FALSE),VLOOKUP(tables_576105!C187,input_576105!A:H,8,FALSE))</f>
        <v>1185433.75</v>
      </c>
      <c r="P187" s="46">
        <f t="shared" ca="1" si="7"/>
        <v>8.6959635416946936E-3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input_576105!A$2</f>
        <v>576105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IFERROR(VLOOKUP(B188,input_576105!L:R,7,FALSE),VLOOKUP(tables_576105!C188,input_576105!A:H,8,FALSE))</f>
        <v>27649.03846</v>
      </c>
      <c r="P188" s="46">
        <f t="shared" ca="1" si="7"/>
        <v>2.0282451922013726E-4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input_576105!A$2</f>
        <v>576105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IFERROR(VLOOKUP(B189,input_576105!L:R,7,FALSE),VLOOKUP(tables_576105!C189,input_576105!A:H,8,FALSE))</f>
        <v>121714.28571</v>
      </c>
      <c r="P189" s="46">
        <f t="shared" ca="1" si="7"/>
        <v>8.928571428285818E-4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input_576105!A$2</f>
        <v>576105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IFERROR(VLOOKUP(B190,input_576105!L:R,7,FALSE),VLOOKUP(tables_576105!C190,input_576105!A:H,8,FALSE))</f>
        <v>47333.333330000001</v>
      </c>
      <c r="P190" s="46">
        <f t="shared" ca="1" si="7"/>
        <v>3.4722222219888901E-4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input_576105!A$2</f>
        <v>576105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IFERROR(VLOOKUP(B191,input_576105!L:R,7,FALSE),VLOOKUP(tables_576105!C191,input_576105!A:H,8,FALSE))</f>
        <v>121714.28571</v>
      </c>
      <c r="P191" s="46">
        <f t="shared" ca="1" si="7"/>
        <v>8.928571428285818E-4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input_576105!A$2</f>
        <v>576105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IFERROR(VLOOKUP(B192,input_576105!L:R,7,FALSE),VLOOKUP(tables_576105!C192,input_576105!A:H,8,FALSE))</f>
        <v>47333.333330000001</v>
      </c>
      <c r="P192" s="46">
        <f t="shared" ca="1" si="7"/>
        <v>3.4722222219888901E-4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input_576105!A$2</f>
        <v>576105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IFERROR(VLOOKUP(B193,input_576105!L:R,7,FALSE),VLOOKUP(tables_576105!C193,input_576105!A:H,8,FALSE))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input_576105!A$2</f>
        <v>576105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IFERROR(VLOOKUP(B194,input_576105!L:R,7,FALSE),VLOOKUP(tables_576105!C194,input_576105!A:H,8,FALSE))</f>
        <v>1185433.75</v>
      </c>
      <c r="P194" s="46">
        <f t="shared" ref="P194:P257" ca="1" si="10">O194/SUM(O:O)</f>
        <v>8.6959635416946936E-3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input_576105!A$2</f>
        <v>576105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IFERROR(VLOOKUP(B195,input_576105!L:R,7,FALSE),VLOOKUP(tables_576105!C195,input_576105!A:H,8,FALSE))</f>
        <v>27649.03846</v>
      </c>
      <c r="P195" s="46">
        <f t="shared" ca="1" si="10"/>
        <v>2.0282451922013726E-4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input_576105!A$2</f>
        <v>576105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IFERROR(VLOOKUP(B196,input_576105!L:R,7,FALSE),VLOOKUP(tables_576105!C196,input_576105!A:H,8,FALSE))</f>
        <v>121714.28571</v>
      </c>
      <c r="P196" s="46">
        <f t="shared" ca="1" si="10"/>
        <v>8.928571428285818E-4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input_576105!A$2</f>
        <v>576105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IFERROR(VLOOKUP(B197,input_576105!L:R,7,FALSE),VLOOKUP(tables_576105!C197,input_576105!A:H,8,FALSE))</f>
        <v>47333.333330000001</v>
      </c>
      <c r="P197" s="46">
        <f t="shared" ca="1" si="10"/>
        <v>3.4722222219888901E-4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input_576105!A$2</f>
        <v>576105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IFERROR(VLOOKUP(B198,input_576105!L:R,7,FALSE),VLOOKUP(tables_576105!C198,input_576105!A:H,8,FALSE))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input_576105!A$2</f>
        <v>576105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IFERROR(VLOOKUP(B199,input_576105!L:R,7,FALSE),VLOOKUP(tables_576105!C199,input_576105!A:H,8,FALSE))</f>
        <v>1185433.75</v>
      </c>
      <c r="P199" s="46">
        <f t="shared" ca="1" si="10"/>
        <v>8.6959635416946936E-3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input_576105!A$2</f>
        <v>576105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IFERROR(VLOOKUP(B200,input_576105!L:R,7,FALSE),VLOOKUP(tables_576105!C200,input_576105!A:H,8,FALSE))</f>
        <v>27649.03846</v>
      </c>
      <c r="P200" s="46">
        <f t="shared" ca="1" si="10"/>
        <v>2.0282451922013726E-4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input_576105!A$2</f>
        <v>576105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IFERROR(VLOOKUP(B201,input_576105!L:R,7,FALSE),VLOOKUP(tables_576105!C201,input_576105!A:H,8,FALSE))</f>
        <v>121714.28571</v>
      </c>
      <c r="P201" s="46">
        <f t="shared" ca="1" si="10"/>
        <v>8.928571428285818E-4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input_576105!A$2</f>
        <v>576105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IFERROR(VLOOKUP(B202,input_576105!L:R,7,FALSE),VLOOKUP(tables_576105!C202,input_576105!A:H,8,FALSE))</f>
        <v>47333.333330000001</v>
      </c>
      <c r="P202" s="46">
        <f t="shared" ca="1" si="10"/>
        <v>3.4722222219888901E-4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input_576105!A$2</f>
        <v>576105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IFERROR(VLOOKUP(B203,input_576105!L:R,7,FALSE),VLOOKUP(tables_576105!C203,input_576105!A:H,8,FALSE))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input_576105!A$2</f>
        <v>576105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IFERROR(VLOOKUP(B204,input_576105!L:R,7,FALSE),VLOOKUP(tables_576105!C204,input_576105!A:H,8,FALSE))</f>
        <v>1185433.75</v>
      </c>
      <c r="P204" s="46">
        <f t="shared" ca="1" si="10"/>
        <v>8.6959635416946936E-3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input_576105!A$2</f>
        <v>576105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IFERROR(VLOOKUP(B205,input_576105!L:R,7,FALSE),VLOOKUP(tables_576105!C205,input_576105!A:H,8,FALSE))</f>
        <v>27649.03846</v>
      </c>
      <c r="P205" s="46">
        <f t="shared" ca="1" si="10"/>
        <v>2.0282451922013726E-4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input_576105!A$2</f>
        <v>576105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IFERROR(VLOOKUP(B206,input_576105!L:R,7,FALSE),VLOOKUP(tables_576105!C206,input_576105!A:H,8,FALSE))</f>
        <v>121714.28571</v>
      </c>
      <c r="P206" s="46">
        <f t="shared" ca="1" si="10"/>
        <v>8.928571428285818E-4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input_576105!A$2</f>
        <v>576105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IFERROR(VLOOKUP(B207,input_576105!L:R,7,FALSE),VLOOKUP(tables_576105!C207,input_576105!A:H,8,FALSE))</f>
        <v>47333.333330000001</v>
      </c>
      <c r="P207" s="46">
        <f t="shared" ca="1" si="10"/>
        <v>3.4722222219888901E-4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input_576105!A$2</f>
        <v>576105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IFERROR(VLOOKUP(B208,input_576105!L:R,7,FALSE),VLOOKUP(tables_576105!C208,input_576105!A:H,8,FALSE))</f>
        <v>121714.28571</v>
      </c>
      <c r="P208" s="46">
        <f t="shared" ca="1" si="10"/>
        <v>8.928571428285818E-4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input_576105!A$2</f>
        <v>576105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IFERROR(VLOOKUP(B209,input_576105!L:R,7,FALSE),VLOOKUP(tables_576105!C209,input_576105!A:H,8,FALSE))</f>
        <v>47333.333330000001</v>
      </c>
      <c r="P209" s="46">
        <f t="shared" ca="1" si="10"/>
        <v>3.4722222219888901E-4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input_576105!A$2</f>
        <v>576105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IFERROR(VLOOKUP(B210,input_576105!L:R,7,FALSE),VLOOKUP(tables_576105!C210,input_576105!A:H,8,FALSE))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input_576105!A$2</f>
        <v>576105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IFERROR(VLOOKUP(B211,input_576105!L:R,7,FALSE),VLOOKUP(tables_576105!C211,input_576105!A:H,8,FALSE))</f>
        <v>1185433.75</v>
      </c>
      <c r="P211" s="46">
        <f t="shared" ca="1" si="10"/>
        <v>8.6959635416946936E-3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input_576105!A$2</f>
        <v>576105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IFERROR(VLOOKUP(B212,input_576105!L:R,7,FALSE),VLOOKUP(tables_576105!C212,input_576105!A:H,8,FALSE))</f>
        <v>27649.03846</v>
      </c>
      <c r="P212" s="46">
        <f t="shared" ca="1" si="10"/>
        <v>2.0282451922013726E-4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input_576105!A$2</f>
        <v>576105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IFERROR(VLOOKUP(B213,input_576105!L:R,7,FALSE),VLOOKUP(tables_576105!C213,input_576105!A:H,8,FALSE))</f>
        <v>121714.28571</v>
      </c>
      <c r="P213" s="46">
        <f t="shared" ca="1" si="10"/>
        <v>8.928571428285818E-4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input_576105!A$2</f>
        <v>576105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IFERROR(VLOOKUP(B214,input_576105!L:R,7,FALSE),VLOOKUP(tables_576105!C214,input_576105!A:H,8,FALSE))</f>
        <v>47333.333330000001</v>
      </c>
      <c r="P214" s="46">
        <f t="shared" ca="1" si="10"/>
        <v>3.4722222219888901E-4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input_576105!A$2</f>
        <v>576105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IFERROR(VLOOKUP(B215,input_576105!L:R,7,FALSE),VLOOKUP(tables_576105!C215,input_576105!A:H,8,FALSE))</f>
        <v>65675</v>
      </c>
      <c r="P215" s="46">
        <f t="shared" ca="1" si="10"/>
        <v>4.8177083333488603E-4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input_576105!A$2</f>
        <v>576105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IFERROR(VLOOKUP(B216,input_576105!L:R,7,FALSE),VLOOKUP(tables_576105!C216,input_576105!A:H,8,FALSE))</f>
        <v>65675</v>
      </c>
      <c r="P216" s="46">
        <f t="shared" ca="1" si="10"/>
        <v>4.8177083333488603E-4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input_576105!A$2</f>
        <v>576105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IFERROR(VLOOKUP(B217,input_576105!L:R,7,FALSE),VLOOKUP(tables_576105!C217,input_576105!A:H,8,FALSE))</f>
        <v>65675</v>
      </c>
      <c r="P217" s="46">
        <f t="shared" ca="1" si="10"/>
        <v>4.8177083333488603E-4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input_576105!A$2</f>
        <v>576105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IFERROR(VLOOKUP(B218,input_576105!L:R,7,FALSE),VLOOKUP(tables_576105!C218,input_576105!A:H,8,FALSE))</f>
        <v>65675</v>
      </c>
      <c r="P218" s="46">
        <f t="shared" ca="1" si="10"/>
        <v>4.8177083333488603E-4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input_576105!A$2</f>
        <v>576105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IFERROR(VLOOKUP(B219,input_576105!L:R,7,FALSE),VLOOKUP(tables_576105!C219,input_576105!A:H,8,FALSE))</f>
        <v>65675</v>
      </c>
      <c r="P219" s="46">
        <f t="shared" ca="1" si="10"/>
        <v>4.8177083333488603E-4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input_576105!A$2</f>
        <v>576105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IFERROR(VLOOKUP(B220,input_576105!L:R,7,FALSE),VLOOKUP(tables_576105!C220,input_576105!A:H,8,FALSE))</f>
        <v>65675</v>
      </c>
      <c r="P220" s="46">
        <f t="shared" ca="1" si="10"/>
        <v>4.8177083333488603E-4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input_576105!A$2</f>
        <v>576105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IFERROR(VLOOKUP(B221,input_576105!L:R,7,FALSE),VLOOKUP(tables_576105!C221,input_576105!A:H,8,FALSE))</f>
        <v>121714.28571</v>
      </c>
      <c r="P221" s="46">
        <f t="shared" ca="1" si="10"/>
        <v>8.928571428285818E-4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input_576105!A$2</f>
        <v>576105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IFERROR(VLOOKUP(B222,input_576105!L:R,7,FALSE),VLOOKUP(tables_576105!C222,input_576105!A:H,8,FALSE))</f>
        <v>47333.333330000001</v>
      </c>
      <c r="P222" s="46">
        <f t="shared" ca="1" si="10"/>
        <v>3.4722222219888901E-4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input_576105!A$2</f>
        <v>576105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IFERROR(VLOOKUP(B223,input_576105!L:R,7,FALSE),VLOOKUP(tables_576105!C223,input_576105!A:H,8,FALSE))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input_576105!A$2</f>
        <v>576105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IFERROR(VLOOKUP(B224,input_576105!L:R,7,FALSE),VLOOKUP(tables_576105!C224,input_576105!A:H,8,FALSE))</f>
        <v>1185433.75</v>
      </c>
      <c r="P224" s="46">
        <f t="shared" ca="1" si="10"/>
        <v>8.6959635416946936E-3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input_576105!A$2</f>
        <v>576105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IFERROR(VLOOKUP(B225,input_576105!L:R,7,FALSE),VLOOKUP(tables_576105!C225,input_576105!A:H,8,FALSE))</f>
        <v>27649.03846</v>
      </c>
      <c r="P225" s="46">
        <f t="shared" ca="1" si="10"/>
        <v>2.0282451922013726E-4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input_576105!A$2</f>
        <v>576105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IFERROR(VLOOKUP(B226,input_576105!L:R,7,FALSE),VLOOKUP(tables_576105!C226,input_576105!A:H,8,FALSE))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input_576105!A$2</f>
        <v>576105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IFERROR(VLOOKUP(B227,input_576105!L:R,7,FALSE),VLOOKUP(tables_576105!C227,input_576105!A:H,8,FALSE))</f>
        <v>1185433.75</v>
      </c>
      <c r="P227" s="46">
        <f t="shared" ca="1" si="10"/>
        <v>8.6959635416946936E-3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input_576105!A$2</f>
        <v>576105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IFERROR(VLOOKUP(B228,input_576105!L:R,7,FALSE),VLOOKUP(tables_576105!C228,input_576105!A:H,8,FALSE))</f>
        <v>27649.03846</v>
      </c>
      <c r="P228" s="46">
        <f t="shared" ca="1" si="10"/>
        <v>2.0282451922013726E-4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input_576105!A$2</f>
        <v>576105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IFERROR(VLOOKUP(B229,input_576105!L:R,7,FALSE),VLOOKUP(tables_576105!C229,input_576105!A:H,8,FALSE))</f>
        <v>121714.28571</v>
      </c>
      <c r="P229" s="46">
        <f t="shared" ca="1" si="10"/>
        <v>8.928571428285818E-4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input_576105!A$2</f>
        <v>576105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IFERROR(VLOOKUP(B230,input_576105!L:R,7,FALSE),VLOOKUP(tables_576105!C230,input_576105!A:H,8,FALSE))</f>
        <v>47333.333330000001</v>
      </c>
      <c r="P230" s="46">
        <f t="shared" ca="1" si="10"/>
        <v>3.4722222219888901E-4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input_576105!A$2</f>
        <v>576105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IFERROR(VLOOKUP(B231,input_576105!L:R,7,FALSE),VLOOKUP(tables_576105!C231,input_576105!A:H,8,FALSE))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input_576105!A$2</f>
        <v>576105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IFERROR(VLOOKUP(B232,input_576105!L:R,7,FALSE),VLOOKUP(tables_576105!C232,input_576105!A:H,8,FALSE))</f>
        <v>1185433.75</v>
      </c>
      <c r="P232" s="46">
        <f t="shared" ca="1" si="10"/>
        <v>8.6959635416946936E-3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input_576105!A$2</f>
        <v>576105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IFERROR(VLOOKUP(B233,input_576105!L:R,7,FALSE),VLOOKUP(tables_576105!C233,input_576105!A:H,8,FALSE))</f>
        <v>27649.03846</v>
      </c>
      <c r="P233" s="46">
        <f t="shared" ca="1" si="10"/>
        <v>2.0282451922013726E-4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input_576105!A$2</f>
        <v>576105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IFERROR(VLOOKUP(B234,input_576105!L:R,7,FALSE),VLOOKUP(tables_576105!C234,input_576105!A:H,8,FALSE))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input_576105!A$2</f>
        <v>576105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IFERROR(VLOOKUP(B235,input_576105!L:R,7,FALSE),VLOOKUP(tables_576105!C235,input_576105!A:H,8,FALSE))</f>
        <v>1185433.75</v>
      </c>
      <c r="P235" s="46">
        <f t="shared" ca="1" si="10"/>
        <v>8.6959635416946936E-3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input_576105!A$2</f>
        <v>576105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IFERROR(VLOOKUP(B236,input_576105!L:R,7,FALSE),VLOOKUP(tables_576105!C236,input_576105!A:H,8,FALSE))</f>
        <v>27649.03846</v>
      </c>
      <c r="P236" s="46">
        <f t="shared" ca="1" si="10"/>
        <v>2.0282451922013726E-4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input_576105!A$2</f>
        <v>576105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IFERROR(VLOOKUP(B237,input_576105!L:R,7,FALSE),VLOOKUP(tables_576105!C237,input_576105!A:H,8,FALSE))</f>
        <v>121714.28571</v>
      </c>
      <c r="P237" s="46">
        <f t="shared" ca="1" si="10"/>
        <v>8.928571428285818E-4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input_576105!A$2</f>
        <v>576105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IFERROR(VLOOKUP(B238,input_576105!L:R,7,FALSE),VLOOKUP(tables_576105!C238,input_576105!A:H,8,FALSE))</f>
        <v>47333.333330000001</v>
      </c>
      <c r="P238" s="46">
        <f t="shared" ca="1" si="10"/>
        <v>3.4722222219888901E-4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input_576105!A$2</f>
        <v>576105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IFERROR(VLOOKUP(B239,input_576105!L:R,7,FALSE),VLOOKUP(tables_576105!C239,input_576105!A:H,8,FALSE))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input_576105!A$2</f>
        <v>576105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IFERROR(VLOOKUP(B240,input_576105!L:R,7,FALSE),VLOOKUP(tables_576105!C240,input_576105!A:H,8,FALSE))</f>
        <v>1185433.75</v>
      </c>
      <c r="P240" s="46">
        <f t="shared" ca="1" si="10"/>
        <v>8.6959635416946936E-3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input_576105!A$2</f>
        <v>576105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IFERROR(VLOOKUP(B241,input_576105!L:R,7,FALSE),VLOOKUP(tables_576105!C241,input_576105!A:H,8,FALSE))</f>
        <v>27649.03846</v>
      </c>
      <c r="P241" s="46">
        <f t="shared" ca="1" si="10"/>
        <v>2.0282451922013726E-4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input_576105!A$2</f>
        <v>576105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IFERROR(VLOOKUP(B242,input_576105!L:R,7,FALSE),VLOOKUP(tables_576105!C242,input_576105!A:H,8,FALSE))</f>
        <v>121714.28571</v>
      </c>
      <c r="P242" s="46">
        <f t="shared" ca="1" si="10"/>
        <v>8.928571428285818E-4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input_576105!A$2</f>
        <v>576105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IFERROR(VLOOKUP(B243,input_576105!L:R,7,FALSE),VLOOKUP(tables_576105!C243,input_576105!A:H,8,FALSE))</f>
        <v>47333.333330000001</v>
      </c>
      <c r="P243" s="46">
        <f t="shared" ca="1" si="10"/>
        <v>3.4722222219888901E-4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input_576105!A$2</f>
        <v>576105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IFERROR(VLOOKUP(B244,input_576105!L:R,7,FALSE),VLOOKUP(tables_576105!C244,input_576105!A:H,8,FALSE))</f>
        <v>121714.28571</v>
      </c>
      <c r="P244" s="46">
        <f t="shared" ca="1" si="10"/>
        <v>8.928571428285818E-4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input_576105!A$2</f>
        <v>576105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IFERROR(VLOOKUP(B245,input_576105!L:R,7,FALSE),VLOOKUP(tables_576105!C245,input_576105!A:H,8,FALSE))</f>
        <v>47333.333330000001</v>
      </c>
      <c r="P245" s="46">
        <f t="shared" ca="1" si="10"/>
        <v>3.4722222219888901E-4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input_576105!A$2</f>
        <v>576105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IFERROR(VLOOKUP(B246,input_576105!L:R,7,FALSE),VLOOKUP(tables_576105!C246,input_576105!A:H,8,FALSE))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input_576105!A$2</f>
        <v>576105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IFERROR(VLOOKUP(B247,input_576105!L:R,7,FALSE),VLOOKUP(tables_576105!C247,input_576105!A:H,8,FALSE))</f>
        <v>1185433.75</v>
      </c>
      <c r="P247" s="46">
        <f t="shared" ca="1" si="10"/>
        <v>8.6959635416946936E-3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input_576105!A$2</f>
        <v>576105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IFERROR(VLOOKUP(B248,input_576105!L:R,7,FALSE),VLOOKUP(tables_576105!C248,input_576105!A:H,8,FALSE))</f>
        <v>27649.03846</v>
      </c>
      <c r="P248" s="46">
        <f t="shared" ca="1" si="10"/>
        <v>2.0282451922013726E-4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input_576105!A$2</f>
        <v>576105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IFERROR(VLOOKUP(B249,input_576105!L:R,7,FALSE),VLOOKUP(tables_576105!C249,input_576105!A:H,8,FALSE))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input_576105!A$2</f>
        <v>576105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IFERROR(VLOOKUP(B250,input_576105!L:R,7,FALSE),VLOOKUP(tables_576105!C250,input_576105!A:H,8,FALSE))</f>
        <v>1185433.75</v>
      </c>
      <c r="P250" s="46">
        <f t="shared" ca="1" si="10"/>
        <v>8.6959635416946936E-3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input_576105!A$2</f>
        <v>576105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IFERROR(VLOOKUP(B251,input_576105!L:R,7,FALSE),VLOOKUP(tables_576105!C251,input_576105!A:H,8,FALSE))</f>
        <v>27649.03846</v>
      </c>
      <c r="P251" s="46">
        <f t="shared" ca="1" si="10"/>
        <v>2.0282451922013726E-4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input_576105!A$2</f>
        <v>576105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IFERROR(VLOOKUP(B252,input_576105!L:R,7,FALSE),VLOOKUP(tables_576105!C252,input_576105!A:H,8,FALSE))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input_576105!A$2</f>
        <v>576105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IFERROR(VLOOKUP(B253,input_576105!L:R,7,FALSE),VLOOKUP(tables_576105!C253,input_576105!A:H,8,FALSE))</f>
        <v>1185433.75</v>
      </c>
      <c r="P253" s="46">
        <f t="shared" ca="1" si="10"/>
        <v>8.6959635416946936E-3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input_576105!A$2</f>
        <v>576105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IFERROR(VLOOKUP(B254,input_576105!L:R,7,FALSE),VLOOKUP(tables_576105!C254,input_576105!A:H,8,FALSE))</f>
        <v>27649.03846</v>
      </c>
      <c r="P254" s="46">
        <f t="shared" ca="1" si="10"/>
        <v>2.0282451922013726E-4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input_576105!A$2</f>
        <v>576105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IFERROR(VLOOKUP(B255,input_576105!L:R,7,FALSE),VLOOKUP(tables_576105!C255,input_576105!A:H,8,FALSE))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input_576105!A$2</f>
        <v>576105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IFERROR(VLOOKUP(B256,input_576105!L:R,7,FALSE),VLOOKUP(tables_576105!C256,input_576105!A:H,8,FALSE))</f>
        <v>1185433.75</v>
      </c>
      <c r="P256" s="46">
        <f t="shared" ca="1" si="10"/>
        <v>8.6959635416946936E-3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input_576105!A$2</f>
        <v>576105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IFERROR(VLOOKUP(B257,input_576105!L:R,7,FALSE),VLOOKUP(tables_576105!C257,input_576105!A:H,8,FALSE))</f>
        <v>27649.03846</v>
      </c>
      <c r="P257" s="46">
        <f t="shared" ca="1" si="10"/>
        <v>2.0282451922013726E-4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input_576105!A$2</f>
        <v>576105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IFERROR(VLOOKUP(B258,input_576105!L:R,7,FALSE),VLOOKUP(tables_576105!C258,input_576105!A:H,8,FALSE))</f>
        <v>121714.28571</v>
      </c>
      <c r="P258" s="46">
        <f t="shared" ref="P258:P321" ca="1" si="13">O258/SUM(O:O)</f>
        <v>8.928571428285818E-4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input_576105!A$2</f>
        <v>576105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IFERROR(VLOOKUP(B259,input_576105!L:R,7,FALSE),VLOOKUP(tables_576105!C259,input_576105!A:H,8,FALSE))</f>
        <v>47333.333330000001</v>
      </c>
      <c r="P259" s="46">
        <f t="shared" ca="1" si="13"/>
        <v>3.4722222219888901E-4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input_576105!A$2</f>
        <v>576105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IFERROR(VLOOKUP(B260,input_576105!L:R,7,FALSE),VLOOKUP(tables_576105!C260,input_576105!A:H,8,FALSE))</f>
        <v>121714.28571</v>
      </c>
      <c r="P260" s="46">
        <f t="shared" ca="1" si="13"/>
        <v>8.928571428285818E-4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input_576105!A$2</f>
        <v>576105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IFERROR(VLOOKUP(B261,input_576105!L:R,7,FALSE),VLOOKUP(tables_576105!C261,input_576105!A:H,8,FALSE))</f>
        <v>47333.333330000001</v>
      </c>
      <c r="P261" s="46">
        <f t="shared" ca="1" si="13"/>
        <v>3.4722222219888901E-4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input_576105!A$2</f>
        <v>576105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IFERROR(VLOOKUP(B262,input_576105!L:R,7,FALSE),VLOOKUP(tables_576105!C262,input_576105!A:H,8,FALSE))</f>
        <v>1185433.75</v>
      </c>
      <c r="P262" s="46">
        <f t="shared" ca="1" si="13"/>
        <v>8.6959635416946936E-3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input_576105!A$2</f>
        <v>576105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IFERROR(VLOOKUP(B263,input_576105!L:R,7,FALSE),VLOOKUP(tables_576105!C263,input_576105!A:H,8,FALSE))</f>
        <v>65675</v>
      </c>
      <c r="P263" s="46">
        <f t="shared" ca="1" si="13"/>
        <v>4.8177083333488603E-4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input_576105!A$2</f>
        <v>576105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IFERROR(VLOOKUP(B264,input_576105!L:R,7,FALSE),VLOOKUP(tables_576105!C264,input_576105!A:H,8,FALSE))</f>
        <v>1185433.75</v>
      </c>
      <c r="P264" s="46">
        <f t="shared" ca="1" si="13"/>
        <v>8.6959635416946936E-3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input_576105!A$2</f>
        <v>576105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IFERROR(VLOOKUP(B265,input_576105!L:R,7,FALSE),VLOOKUP(tables_576105!C265,input_576105!A:H,8,FALSE))</f>
        <v>65675</v>
      </c>
      <c r="P265" s="46">
        <f t="shared" ca="1" si="13"/>
        <v>4.8177083333488603E-4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input_576105!A$2</f>
        <v>576105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IFERROR(VLOOKUP(B266,input_576105!L:R,7,FALSE),VLOOKUP(tables_576105!C266,input_576105!A:H,8,FALSE))</f>
        <v>47333.333330000001</v>
      </c>
      <c r="P266" s="46">
        <f t="shared" ca="1" si="13"/>
        <v>3.4722222219888901E-4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input_576105!A$2</f>
        <v>576105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IFERROR(VLOOKUP(B267,input_576105!L:R,7,FALSE),VLOOKUP(tables_576105!C267,input_576105!A:H,8,FALSE))</f>
        <v>47333.333330000001</v>
      </c>
      <c r="P267" s="46">
        <f t="shared" ca="1" si="13"/>
        <v>3.4722222219888901E-4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input_576105!A$2</f>
        <v>576105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IFERROR(VLOOKUP(B268,input_576105!L:R,7,FALSE),VLOOKUP(tables_576105!C268,input_576105!A:H,8,FALSE))</f>
        <v>47333.333330000001</v>
      </c>
      <c r="P268" s="46">
        <f t="shared" ca="1" si="13"/>
        <v>3.4722222219888901E-4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input_576105!A$2</f>
        <v>576105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IFERROR(VLOOKUP(B269,input_576105!L:R,7,FALSE),VLOOKUP(tables_576105!C269,input_576105!A:H,8,FALSE))</f>
        <v>47333.333330000001</v>
      </c>
      <c r="P269" s="46">
        <f t="shared" ca="1" si="13"/>
        <v>3.4722222219888901E-4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input_576105!A$2</f>
        <v>576105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IFERROR(VLOOKUP(B270,input_576105!L:R,7,FALSE),VLOOKUP(tables_576105!C270,input_576105!A:H,8,FALSE))</f>
        <v>1185433.75</v>
      </c>
      <c r="P270" s="46">
        <f t="shared" ca="1" si="13"/>
        <v>8.6959635416946936E-3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input_576105!A$2</f>
        <v>576105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IFERROR(VLOOKUP(B271,input_576105!L:R,7,FALSE),VLOOKUP(tables_576105!C271,input_576105!A:H,8,FALSE))</f>
        <v>65675</v>
      </c>
      <c r="P271" s="46">
        <f t="shared" ca="1" si="13"/>
        <v>4.8177083333488603E-4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input_576105!A$2</f>
        <v>576105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IFERROR(VLOOKUP(B272,input_576105!L:R,7,FALSE),VLOOKUP(tables_576105!C272,input_576105!A:H,8,FALSE))</f>
        <v>1185433.75</v>
      </c>
      <c r="P272" s="46">
        <f t="shared" ca="1" si="13"/>
        <v>8.6959635416946936E-3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input_576105!A$2</f>
        <v>576105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IFERROR(VLOOKUP(B273,input_576105!L:R,7,FALSE),VLOOKUP(tables_576105!C273,input_576105!A:H,8,FALSE))</f>
        <v>65675</v>
      </c>
      <c r="P273" s="46">
        <f t="shared" ca="1" si="13"/>
        <v>4.8177083333488603E-4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input_576105!A$2</f>
        <v>576105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IFERROR(VLOOKUP(B274,input_576105!L:R,7,FALSE),VLOOKUP(tables_576105!C274,input_576105!A:H,8,FALSE))</f>
        <v>121714.28571</v>
      </c>
      <c r="P274" s="46">
        <f t="shared" ca="1" si="13"/>
        <v>8.928571428285818E-4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input_576105!A$2</f>
        <v>576105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IFERROR(VLOOKUP(B275,input_576105!L:R,7,FALSE),VLOOKUP(tables_576105!C275,input_576105!A:H,8,FALSE))</f>
        <v>47333.333330000001</v>
      </c>
      <c r="P275" s="46">
        <f t="shared" ca="1" si="13"/>
        <v>3.4722222219888901E-4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input_576105!A$2</f>
        <v>576105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IFERROR(VLOOKUP(B276,input_576105!L:R,7,FALSE),VLOOKUP(tables_576105!C276,input_576105!A:H,8,FALSE))</f>
        <v>121714.28571</v>
      </c>
      <c r="P276" s="46">
        <f t="shared" ca="1" si="13"/>
        <v>8.928571428285818E-4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input_576105!A$2</f>
        <v>576105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IFERROR(VLOOKUP(B277,input_576105!L:R,7,FALSE),VLOOKUP(tables_576105!C277,input_576105!A:H,8,FALSE))</f>
        <v>47333.333330000001</v>
      </c>
      <c r="P277" s="46">
        <f t="shared" ca="1" si="13"/>
        <v>3.4722222219888901E-4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input_576105!A$2</f>
        <v>576105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IFERROR(VLOOKUP(B278,input_576105!L:R,7,FALSE),VLOOKUP(tables_576105!C278,input_576105!A:H,8,FALSE))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input_576105!A$2</f>
        <v>576105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IFERROR(VLOOKUP(B279,input_576105!L:R,7,FALSE),VLOOKUP(tables_576105!C279,input_576105!A:H,8,FALSE))</f>
        <v>1185433.75</v>
      </c>
      <c r="P279" s="46">
        <f t="shared" ca="1" si="13"/>
        <v>8.6959635416946936E-3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input_576105!A$2</f>
        <v>576105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IFERROR(VLOOKUP(B280,input_576105!L:R,7,FALSE),VLOOKUP(tables_576105!C280,input_576105!A:H,8,FALSE))</f>
        <v>27649.03846</v>
      </c>
      <c r="P280" s="46">
        <f t="shared" ca="1" si="13"/>
        <v>2.0282451922013726E-4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input_576105!A$2</f>
        <v>576105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IFERROR(VLOOKUP(B281,input_576105!L:R,7,FALSE),VLOOKUP(tables_576105!C281,input_576105!A:H,8,FALSE))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input_576105!A$2</f>
        <v>576105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IFERROR(VLOOKUP(B282,input_576105!L:R,7,FALSE),VLOOKUP(tables_576105!C282,input_576105!A:H,8,FALSE))</f>
        <v>1185433.75</v>
      </c>
      <c r="P282" s="46">
        <f t="shared" ca="1" si="13"/>
        <v>8.6959635416946936E-3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input_576105!A$2</f>
        <v>576105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IFERROR(VLOOKUP(B283,input_576105!L:R,7,FALSE),VLOOKUP(tables_576105!C283,input_576105!A:H,8,FALSE))</f>
        <v>27649.03846</v>
      </c>
      <c r="P283" s="46">
        <f t="shared" ca="1" si="13"/>
        <v>2.0282451922013726E-4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input_576105!A$2</f>
        <v>576105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IFERROR(VLOOKUP(B284,input_576105!L:R,7,FALSE),VLOOKUP(tables_576105!C284,input_576105!A:H,8,FALSE))</f>
        <v>47333.333330000001</v>
      </c>
      <c r="P284" s="46">
        <f t="shared" ca="1" si="13"/>
        <v>3.4722222219888901E-4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input_576105!A$2</f>
        <v>576105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IFERROR(VLOOKUP(B285,input_576105!L:R,7,FALSE),VLOOKUP(tables_576105!C285,input_576105!A:H,8,FALSE))</f>
        <v>47333.333330000001</v>
      </c>
      <c r="P285" s="46">
        <f t="shared" ca="1" si="13"/>
        <v>3.4722222219888901E-4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input_576105!A$2</f>
        <v>576105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IFERROR(VLOOKUP(B286,input_576105!L:R,7,FALSE),VLOOKUP(tables_576105!C286,input_576105!A:H,8,FALSE))</f>
        <v>1185433.75</v>
      </c>
      <c r="P286" s="46">
        <f t="shared" ca="1" si="13"/>
        <v>8.6959635416946936E-3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input_576105!A$2</f>
        <v>576105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IFERROR(VLOOKUP(B287,input_576105!L:R,7,FALSE),VLOOKUP(tables_576105!C287,input_576105!A:H,8,FALSE))</f>
        <v>65675</v>
      </c>
      <c r="P287" s="46">
        <f t="shared" ca="1" si="13"/>
        <v>4.8177083333488603E-4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input_576105!A$2</f>
        <v>576105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IFERROR(VLOOKUP(B288,input_576105!L:R,7,FALSE),VLOOKUP(tables_576105!C288,input_576105!A:H,8,FALSE))</f>
        <v>1185433.75</v>
      </c>
      <c r="P288" s="46">
        <f t="shared" ca="1" si="13"/>
        <v>8.6959635416946936E-3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input_576105!A$2</f>
        <v>576105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IFERROR(VLOOKUP(B289,input_576105!L:R,7,FALSE),VLOOKUP(tables_576105!C289,input_576105!A:H,8,FALSE))</f>
        <v>65675</v>
      </c>
      <c r="P289" s="46">
        <f t="shared" ca="1" si="13"/>
        <v>4.8177083333488603E-4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input_576105!A$2</f>
        <v>576105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IFERROR(VLOOKUP(B290,input_576105!L:R,7,FALSE),VLOOKUP(tables_576105!C290,input_576105!A:H,8,FALSE))</f>
        <v>1185433.75</v>
      </c>
      <c r="P290" s="46">
        <f t="shared" ca="1" si="13"/>
        <v>8.6959635416946936E-3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input_576105!A$2</f>
        <v>576105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IFERROR(VLOOKUP(B291,input_576105!L:R,7,FALSE),VLOOKUP(tables_576105!C291,input_576105!A:H,8,FALSE))</f>
        <v>65675</v>
      </c>
      <c r="P291" s="46">
        <f t="shared" ca="1" si="13"/>
        <v>4.8177083333488603E-4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input_576105!A$2</f>
        <v>576105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IFERROR(VLOOKUP(B292,input_576105!L:R,7,FALSE),VLOOKUP(tables_576105!C292,input_576105!A:H,8,FALSE))</f>
        <v>1185433.75</v>
      </c>
      <c r="P292" s="46">
        <f t="shared" ca="1" si="13"/>
        <v>8.6959635416946936E-3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input_576105!A$2</f>
        <v>576105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IFERROR(VLOOKUP(B293,input_576105!L:R,7,FALSE),VLOOKUP(tables_576105!C293,input_576105!A:H,8,FALSE))</f>
        <v>65675</v>
      </c>
      <c r="P293" s="46">
        <f t="shared" ca="1" si="13"/>
        <v>4.8177083333488603E-4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input_576105!A$2</f>
        <v>576105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IFERROR(VLOOKUP(B294,input_576105!L:R,7,FALSE),VLOOKUP(tables_576105!C294,input_576105!A:H,8,FALSE))</f>
        <v>47333.333330000001</v>
      </c>
      <c r="P294" s="46">
        <f t="shared" ca="1" si="13"/>
        <v>3.4722222219888901E-4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input_576105!A$2</f>
        <v>576105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IFERROR(VLOOKUP(B295,input_576105!L:R,7,FALSE),VLOOKUP(tables_576105!C295,input_576105!A:H,8,FALSE))</f>
        <v>47333.333330000001</v>
      </c>
      <c r="P295" s="46">
        <f t="shared" ca="1" si="13"/>
        <v>3.4722222219888901E-4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input_576105!A$2</f>
        <v>576105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IFERROR(VLOOKUP(B296,input_576105!L:R,7,FALSE),VLOOKUP(tables_576105!C296,input_576105!A:H,8,FALSE))</f>
        <v>47333.333330000001</v>
      </c>
      <c r="P296" s="46">
        <f t="shared" ca="1" si="13"/>
        <v>3.4722222219888901E-4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input_576105!A$2</f>
        <v>576105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IFERROR(VLOOKUP(B297,input_576105!L:R,7,FALSE),VLOOKUP(tables_576105!C297,input_576105!A:H,8,FALSE))</f>
        <v>1185433.75</v>
      </c>
      <c r="P297" s="46">
        <f t="shared" ca="1" si="13"/>
        <v>8.6959635416946936E-3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input_576105!A$2</f>
        <v>576105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IFERROR(VLOOKUP(B298,input_576105!L:R,7,FALSE),VLOOKUP(tables_576105!C298,input_576105!A:H,8,FALSE))</f>
        <v>65675</v>
      </c>
      <c r="P298" s="46">
        <f t="shared" ca="1" si="13"/>
        <v>4.8177083333488603E-4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input_576105!A$2</f>
        <v>576105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IFERROR(VLOOKUP(B299,input_576105!L:R,7,FALSE),VLOOKUP(tables_576105!C299,input_576105!A:H,8,FALSE))</f>
        <v>47333.333330000001</v>
      </c>
      <c r="P299" s="46">
        <f t="shared" ca="1" si="13"/>
        <v>3.4722222219888901E-4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input_576105!A$2</f>
        <v>576105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IFERROR(VLOOKUP(B300,input_576105!L:R,7,FALSE),VLOOKUP(tables_576105!C300,input_576105!A:H,8,FALSE))</f>
        <v>47333.333330000001</v>
      </c>
      <c r="P300" s="46">
        <f t="shared" ca="1" si="13"/>
        <v>3.4722222219888901E-4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input_576105!A$2</f>
        <v>576105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IFERROR(VLOOKUP(B301,input_576105!L:R,7,FALSE),VLOOKUP(tables_576105!C301,input_576105!A:H,8,FALSE))</f>
        <v>47333.333330000001</v>
      </c>
      <c r="P301" s="46">
        <f t="shared" ca="1" si="13"/>
        <v>3.4722222219888901E-4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input_576105!A$2</f>
        <v>576105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IFERROR(VLOOKUP(B302,input_576105!L:R,7,FALSE),VLOOKUP(tables_576105!C302,input_576105!A:H,8,FALSE))</f>
        <v>47333.333330000001</v>
      </c>
      <c r="P302" s="46">
        <f t="shared" ca="1" si="13"/>
        <v>3.4722222219888901E-4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input_576105!A$2</f>
        <v>576105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IFERROR(VLOOKUP(B303,input_576105!L:R,7,FALSE),VLOOKUP(tables_576105!C303,input_576105!A:H,8,FALSE))</f>
        <v>1185433.75</v>
      </c>
      <c r="P303" s="46">
        <f t="shared" ca="1" si="13"/>
        <v>8.6959635416946936E-3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input_576105!A$2</f>
        <v>576105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IFERROR(VLOOKUP(B304,input_576105!L:R,7,FALSE),VLOOKUP(tables_576105!C304,input_576105!A:H,8,FALSE))</f>
        <v>65675</v>
      </c>
      <c r="P304" s="46">
        <f t="shared" ca="1" si="13"/>
        <v>4.8177083333488603E-4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input_576105!A$2</f>
        <v>576105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IFERROR(VLOOKUP(B305,input_576105!L:R,7,FALSE),VLOOKUP(tables_576105!C305,input_576105!A:H,8,FALSE))</f>
        <v>47333.333330000001</v>
      </c>
      <c r="P305" s="46">
        <f t="shared" ca="1" si="13"/>
        <v>3.4722222219888901E-4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input_576105!A$2</f>
        <v>576105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IFERROR(VLOOKUP(B306,input_576105!L:R,7,FALSE),VLOOKUP(tables_576105!C306,input_576105!A:H,8,FALSE))</f>
        <v>1185433.75</v>
      </c>
      <c r="P306" s="46">
        <f t="shared" ca="1" si="13"/>
        <v>8.6959635416946936E-3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input_576105!A$2</f>
        <v>576105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IFERROR(VLOOKUP(B307,input_576105!L:R,7,FALSE),VLOOKUP(tables_576105!C307,input_576105!A:H,8,FALSE))</f>
        <v>65675</v>
      </c>
      <c r="P307" s="46">
        <f t="shared" ca="1" si="13"/>
        <v>4.8177083333488603E-4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input_576105!A$2</f>
        <v>576105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IFERROR(VLOOKUP(B308,input_576105!L:R,7,FALSE),VLOOKUP(tables_576105!C308,input_576105!A:H,8,FALSE))</f>
        <v>47333.333330000001</v>
      </c>
      <c r="P308" s="46">
        <f t="shared" ca="1" si="13"/>
        <v>3.4722222219888901E-4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input_576105!A$2</f>
        <v>576105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IFERROR(VLOOKUP(B309,input_576105!L:R,7,FALSE),VLOOKUP(tables_576105!C309,input_576105!A:H,8,FALSE))</f>
        <v>47333.333330000001</v>
      </c>
      <c r="P309" s="46">
        <f t="shared" ca="1" si="13"/>
        <v>3.4722222219888901E-4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input_576105!A$2</f>
        <v>576105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IFERROR(VLOOKUP(B310,input_576105!L:R,7,FALSE),VLOOKUP(tables_576105!C310,input_576105!A:H,8,FALSE))</f>
        <v>47333.333330000001</v>
      </c>
      <c r="P310" s="46">
        <f t="shared" ca="1" si="13"/>
        <v>3.4722222219888901E-4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input_576105!A$2</f>
        <v>576105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IFERROR(VLOOKUP(B311,input_576105!L:R,7,FALSE),VLOOKUP(tables_576105!C311,input_576105!A:H,8,FALSE))</f>
        <v>1185433.75</v>
      </c>
      <c r="P311" s="46">
        <f t="shared" ca="1" si="13"/>
        <v>8.6959635416946936E-3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input_576105!A$2</f>
        <v>576105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IFERROR(VLOOKUP(B312,input_576105!L:R,7,FALSE),VLOOKUP(tables_576105!C312,input_576105!A:H,8,FALSE))</f>
        <v>65675</v>
      </c>
      <c r="P312" s="46">
        <f t="shared" ca="1" si="13"/>
        <v>4.8177083333488603E-4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input_576105!A$2</f>
        <v>576105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IFERROR(VLOOKUP(B313,input_576105!L:R,7,FALSE),VLOOKUP(tables_576105!C313,input_576105!A:H,8,FALSE))</f>
        <v>47333.333330000001</v>
      </c>
      <c r="P313" s="46">
        <f t="shared" ca="1" si="13"/>
        <v>3.4722222219888901E-4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input_576105!A$2</f>
        <v>576105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IFERROR(VLOOKUP(B314,input_576105!L:R,7,FALSE),VLOOKUP(tables_576105!C314,input_576105!A:H,8,FALSE))</f>
        <v>47333.333330000001</v>
      </c>
      <c r="P314" s="46">
        <f t="shared" ca="1" si="13"/>
        <v>3.4722222219888901E-4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input_576105!A$2</f>
        <v>576105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IFERROR(VLOOKUP(B315,input_576105!L:R,7,FALSE),VLOOKUP(tables_576105!C315,input_576105!A:H,8,FALSE))</f>
        <v>47333.333330000001</v>
      </c>
      <c r="P315" s="46">
        <f t="shared" ca="1" si="13"/>
        <v>3.4722222219888901E-4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input_576105!A$2</f>
        <v>576105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IFERROR(VLOOKUP(B316,input_576105!L:R,7,FALSE),VLOOKUP(tables_576105!C316,input_576105!A:H,8,FALSE))</f>
        <v>47333.333330000001</v>
      </c>
      <c r="P316" s="46">
        <f t="shared" ca="1" si="13"/>
        <v>3.4722222219888901E-4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input_576105!A$2</f>
        <v>576105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IFERROR(VLOOKUP(B317,input_576105!L:R,7,FALSE),VLOOKUP(tables_576105!C317,input_576105!A:H,8,FALSE))</f>
        <v>47333.333330000001</v>
      </c>
      <c r="P317" s="46">
        <f t="shared" ca="1" si="13"/>
        <v>3.4722222219888901E-4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input_576105!A$2</f>
        <v>576105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IFERROR(VLOOKUP(B318,input_576105!L:R,7,FALSE),VLOOKUP(tables_576105!C318,input_576105!A:H,8,FALSE))</f>
        <v>1185433.75</v>
      </c>
      <c r="P318" s="46">
        <f t="shared" ca="1" si="13"/>
        <v>8.6959635416946936E-3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input_576105!A$2</f>
        <v>576105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IFERROR(VLOOKUP(B319,input_576105!L:R,7,FALSE),VLOOKUP(tables_576105!C319,input_576105!A:H,8,FALSE))</f>
        <v>65675</v>
      </c>
      <c r="P319" s="46">
        <f t="shared" ca="1" si="13"/>
        <v>4.8177083333488603E-4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input_576105!A$2</f>
        <v>576105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IFERROR(VLOOKUP(B320,input_576105!L:R,7,FALSE),VLOOKUP(tables_576105!C320,input_576105!A:H,8,FALSE))</f>
        <v>47333.333330000001</v>
      </c>
      <c r="P320" s="46">
        <f t="shared" ca="1" si="13"/>
        <v>3.4722222219888901E-4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input_576105!A$2</f>
        <v>576105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IFERROR(VLOOKUP(B321,input_576105!L:R,7,FALSE),VLOOKUP(tables_576105!C321,input_576105!A:H,8,FALSE))</f>
        <v>47333.333330000001</v>
      </c>
      <c r="P321" s="46">
        <f t="shared" ca="1" si="13"/>
        <v>3.4722222219888901E-4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input_576105!A$2</f>
        <v>576105</v>
      </c>
      <c r="B322" s="5">
        <v>1139</v>
      </c>
      <c r="C322" s="7" t="str">
        <f t="shared" ref="C322:C340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IFERROR(VLOOKUP(B322,input_576105!L:R,7,FALSE),VLOOKUP(tables_576105!C322,input_576105!A:H,8,FALSE))</f>
        <v>47333.333330000001</v>
      </c>
      <c r="P322" s="46">
        <f t="shared" ref="P322:P340" ca="1" si="16">O322/SUM(O:O)</f>
        <v>3.4722222219888901E-4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input_576105!A$2</f>
        <v>576105</v>
      </c>
      <c r="B323" s="5">
        <v>1141</v>
      </c>
      <c r="C323" s="7" t="str">
        <f t="shared" si="15"/>
        <v>PremiumSS5R5only</v>
      </c>
      <c r="D323" s="7" t="str">
        <f t="shared" ref="D323:D340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IFERROR(VLOOKUP(B323,input_576105!L:R,7,FALSE),VLOOKUP(tables_576105!C323,input_576105!A:H,8,FALSE))</f>
        <v>47333.333330000001</v>
      </c>
      <c r="P323" s="46">
        <f t="shared" ca="1" si="16"/>
        <v>3.4722222219888901E-4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input_576105!A$2</f>
        <v>576105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IFERROR(VLOOKUP(B324,input_576105!L:R,7,FALSE),VLOOKUP(tables_576105!C324,input_576105!A:H,8,FALSE))</f>
        <v>1185433.75</v>
      </c>
      <c r="P324" s="46">
        <f t="shared" ca="1" si="16"/>
        <v>8.6959635416946936E-3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input_576105!A$2</f>
        <v>576105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IFERROR(VLOOKUP(B325,input_576105!L:R,7,FALSE),VLOOKUP(tables_576105!C325,input_576105!A:H,8,FALSE))</f>
        <v>65675</v>
      </c>
      <c r="P325" s="46">
        <f t="shared" ca="1" si="16"/>
        <v>4.8177083333488603E-4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input_576105!A$2</f>
        <v>576105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IFERROR(VLOOKUP(B326,input_576105!L:R,7,FALSE),VLOOKUP(tables_576105!C326,input_576105!A:H,8,FALSE))</f>
        <v>1185433.75</v>
      </c>
      <c r="P326" s="46">
        <f t="shared" ca="1" si="16"/>
        <v>8.6959635416946936E-3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input_576105!A$2</f>
        <v>576105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IFERROR(VLOOKUP(B327,input_576105!L:R,7,FALSE),VLOOKUP(tables_576105!C327,input_576105!A:H,8,FALSE))</f>
        <v>65675</v>
      </c>
      <c r="P327" s="46">
        <f t="shared" ca="1" si="16"/>
        <v>4.8177083333488603E-4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input_576105!A$2</f>
        <v>576105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IFERROR(VLOOKUP(B328,input_576105!L:R,7,FALSE),VLOOKUP(tables_576105!C328,input_576105!A:H,8,FALSE))</f>
        <v>47333.333330000001</v>
      </c>
      <c r="P328" s="46">
        <f t="shared" ca="1" si="16"/>
        <v>3.4722222219888901E-4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input_576105!A$2</f>
        <v>576105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IFERROR(VLOOKUP(B329,input_576105!L:R,7,FALSE),VLOOKUP(tables_576105!C329,input_576105!A:H,8,FALSE))</f>
        <v>47333.333330000001</v>
      </c>
      <c r="P329" s="46">
        <f t="shared" ca="1" si="16"/>
        <v>3.4722222219888901E-4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input_576105!A$2</f>
        <v>576105</v>
      </c>
      <c r="B330" s="2">
        <v>1157</v>
      </c>
      <c r="C330" s="7" t="str">
        <f t="shared" si="15"/>
        <v>PremiumSS5R5only</v>
      </c>
      <c r="D330" s="91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IFERROR(VLOOKUP(B330,input_576105!L:R,7,FALSE),VLOOKUP(tables_576105!C330,input_576105!A:H,8,FALSE))</f>
        <v>47333.333330000001</v>
      </c>
      <c r="P330" s="46">
        <f t="shared" ca="1" si="16"/>
        <v>3.4722222219888901E-4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input_576105!A$2</f>
        <v>576105</v>
      </c>
      <c r="B331" s="60">
        <v>1214</v>
      </c>
      <c r="C331" s="7" t="str">
        <f t="shared" si="15"/>
        <v>PremiumSS5R5only</v>
      </c>
      <c r="D331" s="91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IFERROR(VLOOKUP(B331,input_576105!L:R,7,FALSE),VLOOKUP(tables_576105!C331,input_576105!A:H,8,FALSE))</f>
        <v>47333.333330000001</v>
      </c>
      <c r="P331" s="46">
        <f t="shared" ca="1" si="16"/>
        <v>3.4722222219888901E-4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input_576105!A$2</f>
        <v>576105</v>
      </c>
      <c r="B332" s="60">
        <v>1212</v>
      </c>
      <c r="C332" s="7" t="str">
        <f t="shared" si="15"/>
        <v>PremiumSS5R5only</v>
      </c>
      <c r="D332" s="91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IFERROR(VLOOKUP(B332,input_576105!L:R,7,FALSE),VLOOKUP(tables_576105!C332,input_576105!A:H,8,FALSE))</f>
        <v>47333.333330000001</v>
      </c>
      <c r="P332" s="46">
        <f t="shared" ca="1" si="16"/>
        <v>3.4722222219888901E-4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input_576105!A$2</f>
        <v>576105</v>
      </c>
      <c r="B333" s="60">
        <v>1208</v>
      </c>
      <c r="C333" s="7" t="str">
        <f t="shared" si="15"/>
        <v>PremiumSS5R5only</v>
      </c>
      <c r="D333" s="91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IFERROR(VLOOKUP(B333,input_576105!L:R,7,FALSE),VLOOKUP(tables_576105!C333,input_576105!A:H,8,FALSE))</f>
        <v>47333.333330000001</v>
      </c>
      <c r="P333" s="46">
        <f t="shared" ca="1" si="16"/>
        <v>3.4722222219888901E-4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input_576105!A$2</f>
        <v>576105</v>
      </c>
      <c r="B334" s="89">
        <v>1210</v>
      </c>
      <c r="C334" s="7" t="str">
        <f t="shared" si="15"/>
        <v>Premium4R3less</v>
      </c>
      <c r="D334" s="91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IFERROR(VLOOKUP(B334,input_576105!L:R,7,FALSE),VLOOKUP(tables_576105!C334,input_576105!A:H,8,FALSE))</f>
        <v>1185433.75</v>
      </c>
      <c r="P334" s="46">
        <f t="shared" ca="1" si="16"/>
        <v>8.6959635416946936E-3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input_576105!A$2</f>
        <v>576105</v>
      </c>
      <c r="B335" s="60">
        <v>1211</v>
      </c>
      <c r="C335" s="7" t="str">
        <f t="shared" si="15"/>
        <v>Premium5R3less</v>
      </c>
      <c r="D335" s="91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IFERROR(VLOOKUP(B335,input_576105!L:R,7,FALSE),VLOOKUP(tables_576105!C335,input_576105!A:H,8,FALSE))</f>
        <v>65675</v>
      </c>
      <c r="P335" s="46">
        <f t="shared" ca="1" si="16"/>
        <v>4.8177083333488603E-4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input_576105!A$2</f>
        <v>576105</v>
      </c>
      <c r="B336" s="2">
        <v>1224</v>
      </c>
      <c r="C336" s="7" t="str">
        <f t="shared" si="15"/>
        <v>Premium4R3less</v>
      </c>
      <c r="D336" s="91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IFERROR(VLOOKUP(B336,input_576105!L:R,7,FALSE),VLOOKUP(tables_576105!C336,input_576105!A:H,8,FALSE))</f>
        <v>1185433.75</v>
      </c>
      <c r="P336" s="46">
        <f t="shared" ca="1" si="16"/>
        <v>8.6959635416946936E-3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input_576105!A$2</f>
        <v>576105</v>
      </c>
      <c r="B337" s="2">
        <v>1225</v>
      </c>
      <c r="C337" s="7" t="str">
        <f t="shared" si="15"/>
        <v>Premium5R3less</v>
      </c>
      <c r="D337" s="91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IFERROR(VLOOKUP(B337,input_576105!L:R,7,FALSE),VLOOKUP(tables_576105!C337,input_576105!A:H,8,FALSE))</f>
        <v>65675</v>
      </c>
      <c r="P337" s="46">
        <f t="shared" ca="1" si="16"/>
        <v>4.8177083333488603E-4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input_576105!A$2</f>
        <v>576105</v>
      </c>
      <c r="B338" s="2">
        <v>1226</v>
      </c>
      <c r="C338" s="7" t="str">
        <f t="shared" si="15"/>
        <v>PremiumSS5R5only</v>
      </c>
      <c r="D338" s="91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IFERROR(VLOOKUP(B338,input_576105!L:R,7,FALSE),VLOOKUP(tables_576105!C338,input_576105!A:H,8,FALSE))</f>
        <v>47333.333330000001</v>
      </c>
      <c r="P338" s="46">
        <f t="shared" ca="1" si="16"/>
        <v>3.4722222219888901E-4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input_576105!A$2</f>
        <v>576105</v>
      </c>
      <c r="B339" s="2">
        <v>1228</v>
      </c>
      <c r="C339" s="7" t="str">
        <f t="shared" si="15"/>
        <v>PremiumSS5R5only</v>
      </c>
      <c r="D339" s="91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IFERROR(VLOOKUP(B339,input_576105!L:R,7,FALSE),VLOOKUP(tables_576105!C339,input_576105!A:H,8,FALSE))</f>
        <v>47333.333330000001</v>
      </c>
      <c r="P339" s="46">
        <f t="shared" ca="1" si="16"/>
        <v>3.4722222219888901E-4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input_576105!A$2</f>
        <v>576105</v>
      </c>
      <c r="B340" s="2">
        <v>1230</v>
      </c>
      <c r="C340" s="7" t="str">
        <f t="shared" si="15"/>
        <v>PremiumSS5R5only</v>
      </c>
      <c r="D340" s="91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IFERROR(VLOOKUP(B340,input_576105!L:R,7,FALSE),VLOOKUP(tables_576105!C340,input_576105!A:H,8,FALSE))</f>
        <v>47333.333330000001</v>
      </c>
      <c r="P340" s="46">
        <f t="shared" ca="1" si="16"/>
        <v>3.4722222219888901E-4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input_576105!A$2</f>
        <v>576105</v>
      </c>
      <c r="B341" s="1">
        <v>1250</v>
      </c>
      <c r="C341" s="7" t="str">
        <f t="shared" ref="C341:C355" si="18">D341&amp;J341&amp;E341&amp;F341&amp;G341</f>
        <v>PremiumSS5R5only</v>
      </c>
      <c r="D341" s="91" t="str">
        <f t="shared" ref="D341:D355" si="19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IFERROR(VLOOKUP(B341,input_576105!L:R,7,FALSE),VLOOKUP(tables_576105!C341,input_576105!A:H,8,FALSE))</f>
        <v>47333.333330000001</v>
      </c>
      <c r="P341" s="46">
        <f t="shared" ref="P341:P355" ca="1" si="20">O341/SUM(O:O)</f>
        <v>3.4722222219888901E-4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input_576105!A$2</f>
        <v>576105</v>
      </c>
      <c r="B342" s="1">
        <v>1248</v>
      </c>
      <c r="C342" s="7" t="str">
        <f t="shared" si="18"/>
        <v>Premium4R3less</v>
      </c>
      <c r="D342" s="91" t="str">
        <f t="shared" si="19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IFERROR(VLOOKUP(B342,input_576105!L:R,7,FALSE),VLOOKUP(tables_576105!C342,input_576105!A:H,8,FALSE))</f>
        <v>1185433.75</v>
      </c>
      <c r="P342" s="46">
        <f t="shared" ca="1" si="20"/>
        <v>8.6959635416946936E-3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input_576105!A$2</f>
        <v>576105</v>
      </c>
      <c r="B343" s="1">
        <v>1249</v>
      </c>
      <c r="C343" s="7" t="str">
        <f t="shared" si="18"/>
        <v>Premium5R3less</v>
      </c>
      <c r="D343" s="91" t="str">
        <f t="shared" si="19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IFERROR(VLOOKUP(B343,input_576105!L:R,7,FALSE),VLOOKUP(tables_576105!C343,input_576105!A:H,8,FALSE))</f>
        <v>65675</v>
      </c>
      <c r="P343" s="46">
        <f t="shared" ca="1" si="20"/>
        <v>4.8177083333488603E-4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input_576105!A$2</f>
        <v>576105</v>
      </c>
      <c r="B344" s="1">
        <v>1246</v>
      </c>
      <c r="C344" s="7" t="str">
        <f t="shared" si="18"/>
        <v>PremiumSS5R5only</v>
      </c>
      <c r="D344" s="91" t="str">
        <f t="shared" si="19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IFERROR(VLOOKUP(B344,input_576105!L:R,7,FALSE),VLOOKUP(tables_576105!C344,input_576105!A:H,8,FALSE))</f>
        <v>47333.333330000001</v>
      </c>
      <c r="P344" s="46">
        <f t="shared" ca="1" si="20"/>
        <v>3.4722222219888901E-4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input_576105!A$2</f>
        <v>576105</v>
      </c>
      <c r="B345" s="1">
        <v>1244</v>
      </c>
      <c r="C345" s="7" t="str">
        <f t="shared" si="18"/>
        <v>PremiumSS5R5only</v>
      </c>
      <c r="D345" s="91" t="str">
        <f t="shared" si="19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IFERROR(VLOOKUP(B345,input_576105!L:R,7,FALSE),VLOOKUP(tables_576105!C345,input_576105!A:H,8,FALSE))</f>
        <v>47333.333330000001</v>
      </c>
      <c r="P345" s="46">
        <f t="shared" ca="1" si="20"/>
        <v>3.4722222219888901E-4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input_576105!A$2</f>
        <v>576105</v>
      </c>
      <c r="B346" s="1">
        <v>1260</v>
      </c>
      <c r="C346" s="7" t="str">
        <f t="shared" si="18"/>
        <v>PremiumSS5R5only</v>
      </c>
      <c r="D346" s="91" t="str">
        <f t="shared" si="19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IFERROR(VLOOKUP(B346,input_576105!L:R,7,FALSE),VLOOKUP(tables_576105!C346,input_576105!A:H,8,FALSE))</f>
        <v>47333.333330000001</v>
      </c>
      <c r="P346" s="46">
        <f t="shared" ca="1" si="20"/>
        <v>3.4722222219888901E-4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input_576105!A$2</f>
        <v>576105</v>
      </c>
      <c r="B347" s="1">
        <v>1262</v>
      </c>
      <c r="C347" s="7" t="str">
        <f t="shared" si="18"/>
        <v>PremiumSS5R5only</v>
      </c>
      <c r="D347" s="91" t="str">
        <f t="shared" si="19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IFERROR(VLOOKUP(B347,input_576105!L:R,7,FALSE),VLOOKUP(tables_576105!C347,input_576105!A:H,8,FALSE))</f>
        <v>47333.333330000001</v>
      </c>
      <c r="P347" s="46">
        <f t="shared" ca="1" si="20"/>
        <v>3.4722222219888901E-4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input_576105!A$2</f>
        <v>576105</v>
      </c>
      <c r="B348" s="1">
        <v>1264</v>
      </c>
      <c r="C348" s="7" t="str">
        <f t="shared" si="18"/>
        <v>PremiumSS5R5only</v>
      </c>
      <c r="D348" s="91" t="str">
        <f t="shared" si="19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IFERROR(VLOOKUP(B348,input_576105!L:R,7,FALSE),VLOOKUP(tables_576105!C348,input_576105!A:H,8,FALSE))</f>
        <v>47333.333330000001</v>
      </c>
      <c r="P348" s="46">
        <f t="shared" ca="1" si="20"/>
        <v>3.4722222219888901E-4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input_576105!A$2</f>
        <v>576105</v>
      </c>
      <c r="B349" s="1">
        <v>1266</v>
      </c>
      <c r="C349" s="7" t="str">
        <f t="shared" si="18"/>
        <v>Premium4R3less</v>
      </c>
      <c r="D349" s="91" t="str">
        <f t="shared" si="1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IFERROR(VLOOKUP(B349,input_576105!L:R,7,FALSE),VLOOKUP(tables_576105!C349,input_576105!A:H,8,FALSE))</f>
        <v>1185433.75</v>
      </c>
      <c r="P349" s="46">
        <f t="shared" ca="1" si="20"/>
        <v>8.6959635416946936E-3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input_576105!A$2</f>
        <v>576105</v>
      </c>
      <c r="B350" s="1">
        <v>1267</v>
      </c>
      <c r="C350" s="7" t="str">
        <f t="shared" si="18"/>
        <v>Premium5R3less</v>
      </c>
      <c r="D350" s="91" t="str">
        <f t="shared" si="1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IFERROR(VLOOKUP(B350,input_576105!L:R,7,FALSE),VLOOKUP(tables_576105!C350,input_576105!A:H,8,FALSE))</f>
        <v>65675</v>
      </c>
      <c r="P350" s="46">
        <f t="shared" ca="1" si="20"/>
        <v>4.8177083333488603E-4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input_576105!A$2</f>
        <v>576105</v>
      </c>
      <c r="B351" s="94">
        <v>1332</v>
      </c>
      <c r="C351" s="7" t="str">
        <f t="shared" si="18"/>
        <v>PremiumSS5R5only</v>
      </c>
      <c r="D351" s="91" t="str">
        <f t="shared" si="1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IFERROR(VLOOKUP(B351,input_576105!L:R,7,FALSE),VLOOKUP(tables_576105!C351,input_576105!A:H,8,FALSE))</f>
        <v>47333.333330000001</v>
      </c>
      <c r="P351" s="46">
        <f t="shared" ca="1" si="20"/>
        <v>3.4722222219888901E-4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input_576105!A$2</f>
        <v>576105</v>
      </c>
      <c r="B352" s="94">
        <v>1336</v>
      </c>
      <c r="C352" s="7" t="str">
        <f t="shared" si="18"/>
        <v>PremiumSS5R5only</v>
      </c>
      <c r="D352" s="91" t="str">
        <f t="shared" si="1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IFERROR(VLOOKUP(B352,input_576105!L:R,7,FALSE),VLOOKUP(tables_576105!C352,input_576105!A:H,8,FALSE))</f>
        <v>47333.333330000001</v>
      </c>
      <c r="P352" s="46">
        <f t="shared" ca="1" si="20"/>
        <v>3.4722222219888901E-4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input_576105!A$2</f>
        <v>576105</v>
      </c>
      <c r="B353" s="94">
        <v>1338</v>
      </c>
      <c r="C353" s="7" t="str">
        <f t="shared" si="18"/>
        <v>PremiumSS5R5only</v>
      </c>
      <c r="D353" s="91" t="str">
        <f t="shared" si="1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IFERROR(VLOOKUP(B353,input_576105!L:R,7,FALSE),VLOOKUP(tables_576105!C353,input_576105!A:H,8,FALSE))</f>
        <v>47333.333330000001</v>
      </c>
      <c r="P353" s="46">
        <f t="shared" ca="1" si="20"/>
        <v>3.4722222219888901E-4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input_576105!A$2</f>
        <v>576105</v>
      </c>
      <c r="B354" s="94">
        <v>1334</v>
      </c>
      <c r="C354" s="7" t="str">
        <f t="shared" si="18"/>
        <v>Premium4R3less</v>
      </c>
      <c r="D354" s="91" t="str">
        <f t="shared" si="1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IFERROR(VLOOKUP(B354,input_576105!L:R,7,FALSE),VLOOKUP(tables_576105!C354,input_576105!A:H,8,FALSE))</f>
        <v>1185433.75</v>
      </c>
      <c r="P354" s="46">
        <f t="shared" ca="1" si="20"/>
        <v>8.6959635416946936E-3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input_576105!A$2</f>
        <v>576105</v>
      </c>
      <c r="B355" s="94">
        <v>1335</v>
      </c>
      <c r="C355" s="7" t="str">
        <f t="shared" si="18"/>
        <v>Premium5R3less</v>
      </c>
      <c r="D355" s="91" t="str">
        <f t="shared" si="1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IFERROR(VLOOKUP(B355,input_576105!L:R,7,FALSE),VLOOKUP(tables_576105!C355,input_576105!A:H,8,FALSE))</f>
        <v>65675</v>
      </c>
      <c r="P355" s="46">
        <f t="shared" ca="1" si="20"/>
        <v>4.8177083333488603E-4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input_576105!A$2</f>
        <v>576105</v>
      </c>
      <c r="B356" s="60">
        <v>1076</v>
      </c>
      <c r="C356" s="7" t="str">
        <f t="shared" ref="C356" si="21">D356&amp;J356&amp;E356&amp;F356&amp;G356</f>
        <v>PremiumSSS5R3less</v>
      </c>
      <c r="D356" s="91" t="str">
        <f t="shared" ref="D356" si="22">IF(OR(I356="PremiumSS",I356="PremiumSSw"),"PremiumSS",IF(I356="PremiumSSS",I356,IF(I356="PremiumW",IF(J356=5,"premium",I356),"Premium")))</f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パレート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green</v>
      </c>
      <c r="L356" s="7" t="str">
        <f>VLOOKUP(B356,[1]characters!$A:$K,11,FALSE)</f>
        <v>balance</v>
      </c>
      <c r="M356" s="7" t="str">
        <f>VLOOKUP(B356,[1]characters!$A:$M,13,FALSE)</f>
        <v>academia</v>
      </c>
      <c r="N356" s="7" t="str">
        <f>VLOOKUP(B356,[1]characters!$A:$G,7,FALSE)</f>
        <v>男性</v>
      </c>
      <c r="O356" s="45">
        <f>IFERROR(VLOOKUP(B356,input_576105!L:R,7,FALSE),VLOOKUP(tables_576105!C356,input_576105!A:H,8,FALSE))</f>
        <v>3408000</v>
      </c>
      <c r="P356" s="46">
        <f t="shared" ref="P356" ca="1" si="23">O356/SUM(O:O)</f>
        <v>2.5000000000080572E-2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95">
        <v>10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theme="5"/>
  </sheetPr>
  <dimension ref="A1:V50"/>
  <sheetViews>
    <sheetView workbookViewId="0">
      <selection activeCell="B28" sqref="B28:B2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576100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1076</v>
      </c>
      <c r="M3" s="37" t="str">
        <f>VLOOKUP(L3,[1]characters!$A:$C,3,FALSE)</f>
        <v>パレート</v>
      </c>
      <c r="N3" s="63">
        <v>0.05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VLOOKUP(L3,tables_576100!B:C,2,FALSE)</f>
        <v>PremiumSSS5R3less</v>
      </c>
      <c r="R3" s="62">
        <f t="shared" ref="R3:R20" si="1">N3*A$36</f>
        <v>6816000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VLOOKUP(L4,tables_576100!B:C,2,FALSE)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0</v>
      </c>
      <c r="F5">
        <f>(COUNTIF(tables_576100!C:C,input_576100!A28)+COUNTIF(tables_576100!C:C,input_576100!A29))</f>
        <v>72</v>
      </c>
      <c r="H5" s="83">
        <v>0.05</v>
      </c>
      <c r="I5" s="31">
        <v>1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VLOOKUP(L5,tables_576100!B:C,2,FALSE)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5">
        <f>(B10-H6)/(F6-I6)</f>
        <v>9.3749999999999997E-3</v>
      </c>
      <c r="F6">
        <f>(COUNTIF(tables_576100!C:C,input_576100!A25)+COUNTIF(tables_576100!C:C,input_576100!A18)+COUNTIF(tables_576100!C:C,input_576100!A20)+COUNTIF(tables_576100!C:C,input_576100!A22))</f>
        <v>96</v>
      </c>
      <c r="H6" s="87">
        <v>0</v>
      </c>
      <c r="I6" s="31">
        <v>0</v>
      </c>
      <c r="L6" s="89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VLOOKUP(L6,tables_576100!B:C,2,FALSE)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VLOOKUP(L7,tables_576100!B:C,2,FALSE)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5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VLOOKUP(L8,tables_576100!B:C,2,FALSE)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VLOOKUP(L9,tables_576100!B:C,2,FALSE)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0.89999999999999991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VLOOKUP(L10,tables_576100!B:C,2,FALSE)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6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VLOOKUP(L11,tables_576100!B:C,2,FALSE)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0.05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VLOOKUP(L12,tables_576100!B:C,2,FALSE)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VLOOKUP(L13,tables_576100!B:C,2,FALSE)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VLOOKUP(L14,tables_576100!B:C,2,FALSE)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VLOOKUP(L15,tables_576100!B:C,2,FALSE)</f>
        <v>#N/A</v>
      </c>
      <c r="R15" s="62">
        <f t="shared" si="1"/>
        <v>0</v>
      </c>
      <c r="S15">
        <v>395</v>
      </c>
      <c r="U15" s="33" t="s">
        <v>109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VLOOKUP(L16,tables_576100!B:C,2,FALSE)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COUNTIF(tables_576100!C:C,input_576100!A17)-COUNTIF(Q:Q,A17)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VLOOKUP(L17,tables_576100!B:C,2,FALSE)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B6-SUM(B20,B22,B25,B27,C27,C31)</f>
        <v>0.23196875000000006</v>
      </c>
      <c r="C18" s="84">
        <f t="shared" si="2"/>
        <v>0</v>
      </c>
      <c r="D18" s="74">
        <f t="shared" si="3"/>
        <v>0.23196875000000006</v>
      </c>
      <c r="E18">
        <f>COUNTIF(tables_576100!C:C,input_576100!A18)-COUNTIF(Q:Q,A18)</f>
        <v>20</v>
      </c>
      <c r="F18" s="43">
        <f>IFERROR(B18/E18,0)</f>
        <v>1.1598437500000003E-2</v>
      </c>
      <c r="G18">
        <f t="shared" si="4"/>
        <v>31621980.000000007</v>
      </c>
      <c r="H18">
        <f t="shared" si="5"/>
        <v>1581099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VLOOKUP(L18,tables_576100!B:C,2,FALSE)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COUNTIF(tables_576100!C:C,input_576100!A19)-COUNTIF(Q:Q,A19)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VLOOKUP(L19,tables_576100!B:C,2,FALSE)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E$6*E20*B$6*0.95</f>
        <v>0.43996874999999991</v>
      </c>
      <c r="C20" s="84">
        <f t="shared" si="2"/>
        <v>0</v>
      </c>
      <c r="D20" s="74">
        <f t="shared" si="3"/>
        <v>0.43996874999999991</v>
      </c>
      <c r="E20">
        <f>COUNTIF(tables_576100!C:C,input_576100!A20)-COUNTIF(Q:Q,A20)</f>
        <v>52</v>
      </c>
      <c r="F20" s="43">
        <f t="shared" si="8"/>
        <v>8.460937499999998E-3</v>
      </c>
      <c r="G20">
        <f t="shared" si="4"/>
        <v>59976539.999999985</v>
      </c>
      <c r="H20">
        <f t="shared" si="5"/>
        <v>1153395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VLOOKUP(L20,tables_576100!B:C,2,FALSE)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B7-B23-B26-B28-B29-B31-C28</f>
        <v>1.0937499999999996E-2</v>
      </c>
      <c r="C21" s="84">
        <f t="shared" si="2"/>
        <v>0</v>
      </c>
      <c r="D21" s="74">
        <f t="shared" si="3"/>
        <v>1.0937499999999996E-2</v>
      </c>
      <c r="E21">
        <f>COUNTIF(tables_576100!C:C,input_576100!A21)-COUNTIF(Q:Q,A21)</f>
        <v>52</v>
      </c>
      <c r="F21" s="43">
        <f t="shared" si="8"/>
        <v>2.1033653846153839E-4</v>
      </c>
      <c r="G21">
        <f t="shared" si="4"/>
        <v>1490999.9999999995</v>
      </c>
      <c r="H21">
        <f t="shared" si="5"/>
        <v>28673.07692</v>
      </c>
      <c r="I21">
        <f t="shared" si="6"/>
        <v>7.6919999999518041E-2</v>
      </c>
      <c r="J21">
        <f t="shared" si="7"/>
        <v>13.00052002088229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90">
        <f>E$6*E22*B$6*0.95</f>
        <v>0.16921874999999997</v>
      </c>
      <c r="C22" s="84">
        <f t="shared" si="2"/>
        <v>0</v>
      </c>
      <c r="D22" s="74">
        <f t="shared" si="3"/>
        <v>0.16921874999999997</v>
      </c>
      <c r="E22">
        <f>COUNTIF(tables_576100!C:C,input_576100!A22)-COUNTIF(Q:Q,A22)</f>
        <v>20</v>
      </c>
      <c r="F22" s="43">
        <f t="shared" si="8"/>
        <v>8.460937499999998E-3</v>
      </c>
      <c r="G22">
        <f t="shared" si="4"/>
        <v>23067899.999999996</v>
      </c>
      <c r="H22">
        <f t="shared" si="5"/>
        <v>1153395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1.21875E-2</v>
      </c>
      <c r="C23" s="84">
        <f t="shared" si="2"/>
        <v>0</v>
      </c>
      <c r="D23" s="74">
        <f t="shared" si="3"/>
        <v>1.21875E-2</v>
      </c>
      <c r="E23">
        <f>COUNTIF(tables_576100!C:C,input_576100!A23)-COUNTIF(Q:Q,A23)</f>
        <v>26</v>
      </c>
      <c r="F23" s="43">
        <f t="shared" si="8"/>
        <v>4.6875000000000004E-4</v>
      </c>
      <c r="G23">
        <f t="shared" si="4"/>
        <v>1661400</v>
      </c>
      <c r="H23">
        <f t="shared" si="5"/>
        <v>63900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COUNTIF(tables_576100!C:C,input_576100!A24)-COUNTIF(Q:Q,A24)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90">
        <f>E$6*E25*B$6*0.95</f>
        <v>3.3843749999999999E-2</v>
      </c>
      <c r="C25" s="84">
        <f t="shared" si="2"/>
        <v>0</v>
      </c>
      <c r="D25" s="74">
        <f t="shared" si="3"/>
        <v>3.3843749999999999E-2</v>
      </c>
      <c r="E25">
        <f>COUNTIF(tables_576100!C:C,input_576100!A25)-COUNTIF(Q:Q,A25)</f>
        <v>4</v>
      </c>
      <c r="F25" s="43">
        <f t="shared" si="8"/>
        <v>8.4609374999999997E-3</v>
      </c>
      <c r="G25">
        <f t="shared" si="4"/>
        <v>4613580</v>
      </c>
      <c r="H25">
        <f t="shared" si="5"/>
        <v>1153395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1.8749999999999999E-3</v>
      </c>
      <c r="C26" s="84">
        <f t="shared" si="2"/>
        <v>0</v>
      </c>
      <c r="D26" s="74">
        <f t="shared" si="3"/>
        <v>1.8749999999999999E-3</v>
      </c>
      <c r="E26">
        <f>COUNTIF(tables_576100!C:C,input_576100!A26)-COUNTIF(Q:Q,A26)</f>
        <v>4</v>
      </c>
      <c r="F26" s="43">
        <f t="shared" si="8"/>
        <v>4.6874999999999998E-4</v>
      </c>
      <c r="G26">
        <f t="shared" si="4"/>
        <v>255600</v>
      </c>
      <c r="H26">
        <f t="shared" si="5"/>
        <v>63900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B11-B28-B29-C28-C27</f>
        <v>2.5000000000000001E-2</v>
      </c>
      <c r="C27" s="84">
        <f t="shared" si="2"/>
        <v>0</v>
      </c>
      <c r="D27" s="74">
        <f t="shared" si="3"/>
        <v>2.5000000000000001E-2</v>
      </c>
      <c r="E27">
        <f>COUNTIF(tables_576100!C:C,input_576100!A27)-COUNTIF(Q:Q,A27)</f>
        <v>28</v>
      </c>
      <c r="F27" s="43">
        <f>IFERROR(B27/E27,0)</f>
        <v>8.9285714285714294E-4</v>
      </c>
      <c r="G27">
        <f t="shared" si="4"/>
        <v>3408000</v>
      </c>
      <c r="H27">
        <f t="shared" si="5"/>
        <v>121714.28571</v>
      </c>
      <c r="I27">
        <f t="shared" si="6"/>
        <v>0.28570999999647029</v>
      </c>
      <c r="J27">
        <f t="shared" si="7"/>
        <v>3.5000525008307521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B11/2*E28/(SUM(E28:E29))</f>
        <v>9.7222222222222224E-3</v>
      </c>
      <c r="C28" s="84">
        <f t="shared" si="2"/>
        <v>0</v>
      </c>
      <c r="D28" s="74">
        <f t="shared" si="3"/>
        <v>9.7222222222222224E-3</v>
      </c>
      <c r="E28">
        <f>COUNTIF(tables_576100!C:C,input_576100!A28)-COUNTIF(Q:Q,A28)</f>
        <v>28</v>
      </c>
      <c r="F28" s="43">
        <f t="shared" si="8"/>
        <v>3.4722222222222224E-4</v>
      </c>
      <c r="G28">
        <f t="shared" si="4"/>
        <v>1325333.3333333333</v>
      </c>
      <c r="H28">
        <f t="shared" si="5"/>
        <v>47333.333330000001</v>
      </c>
      <c r="I28">
        <f t="shared" si="6"/>
        <v>0.33333000000129687</v>
      </c>
      <c r="J28">
        <f t="shared" si="7"/>
        <v>3.0000300002883309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B11/2*E29/(SUM(E28:E29))</f>
        <v>1.5277777777777779E-2</v>
      </c>
      <c r="C29" s="84">
        <f t="shared" si="2"/>
        <v>0</v>
      </c>
      <c r="D29" s="74">
        <f t="shared" si="3"/>
        <v>1.5277777777777779E-2</v>
      </c>
      <c r="E29">
        <f>COUNTIF(tables_576100!C:C,input_576100!A29)-COUNTIF(Q:Q,A29)</f>
        <v>44</v>
      </c>
      <c r="F29" s="43">
        <f t="shared" si="8"/>
        <v>3.4722222222222224E-4</v>
      </c>
      <c r="G29">
        <f t="shared" si="4"/>
        <v>2082666.6666666667</v>
      </c>
      <c r="H29">
        <f t="shared" si="5"/>
        <v>47333.333330000001</v>
      </c>
      <c r="I29">
        <f t="shared" si="6"/>
        <v>0.33333000000129687</v>
      </c>
      <c r="J29">
        <f t="shared" si="7"/>
        <v>3.0000300002883309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v>0</v>
      </c>
      <c r="C30" s="84">
        <f t="shared" si="2"/>
        <v>0</v>
      </c>
      <c r="D30" s="74">
        <f t="shared" si="3"/>
        <v>0</v>
      </c>
      <c r="E30">
        <f>COUNTIF(tables_576100!C:C,input_576100!A30)-COUNTIF(Q:Q,A30)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0.05</v>
      </c>
      <c r="D31" s="74">
        <f t="shared" si="3"/>
        <v>-0.05</v>
      </c>
      <c r="E31">
        <f>COUNTIF(tables_576100!C:C,input_576100!A31)-COUNTIF(Q:Q,A31)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</v>
      </c>
      <c r="C32" s="41">
        <f>SUM(C19:C31)</f>
        <v>0.05</v>
      </c>
      <c r="D32" s="42">
        <f t="shared" si="3"/>
        <v>0.89999999999999991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136320000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SUMIF(tables_576100!C:C,input_576100!A40,tables_576100!O:O)</f>
        <v>0</v>
      </c>
      <c r="C40" s="54">
        <f t="shared" ref="C40:C46" ca="1" si="9">B40/B$47</f>
        <v>0</v>
      </c>
      <c r="E40">
        <v>3</v>
      </c>
      <c r="F40">
        <f ca="1">SUMIF(tables_576100!J:J,input_576100!E40,tables_576100!O:O)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SUMIF(tables_576100!C:C,input_576100!A41,tables_576100!O:O)</f>
        <v>59976540</v>
      </c>
      <c r="C41" s="54">
        <f t="shared" ca="1" si="9"/>
        <v>0.90597807823992804</v>
      </c>
      <c r="E41">
        <v>4</v>
      </c>
      <c r="F41">
        <f ca="1">SUMIF(tables_576100!J:J,input_576100!E41,tables_576100!O:O)</f>
        <v>122687999.99988019</v>
      </c>
      <c r="G41">
        <f ca="1">F41/A36</f>
        <v>0.89999999999912117</v>
      </c>
    </row>
    <row r="42" spans="1:7" x14ac:dyDescent="0.15">
      <c r="A42" s="33" t="s">
        <v>106</v>
      </c>
      <c r="B42">
        <f ca="1">SUMIF(tables_576100!C:C,input_576100!A42,tables_576100!O:O)</f>
        <v>3407999.9998799996</v>
      </c>
      <c r="C42" s="54">
        <f t="shared" ca="1" si="9"/>
        <v>5.1479683398424729E-2</v>
      </c>
      <c r="E42">
        <v>5</v>
      </c>
      <c r="F42">
        <f ca="1">SUMIF(tables_576100!J:J,input_576100!E42,tables_576100!O:O)</f>
        <v>13631999.99959999</v>
      </c>
      <c r="G42">
        <f ca="1">F42/A36</f>
        <v>9.9999999997065644E-2</v>
      </c>
    </row>
    <row r="43" spans="1:7" x14ac:dyDescent="0.15">
      <c r="A43" s="33" t="s">
        <v>109</v>
      </c>
      <c r="B43">
        <f>SUMIF(tables_576100!C:C,input_576100!A43,tables_576100!O:O)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SUMIF(tables_576100!C:C,input_576100!A44,tables_576100!O:O)</f>
        <v>1490999.999839999</v>
      </c>
      <c r="C44" s="54">
        <f t="shared" ca="1" si="9"/>
        <v>2.2522361485186961E-2</v>
      </c>
      <c r="E44" t="s">
        <v>54</v>
      </c>
      <c r="F44" s="55"/>
    </row>
    <row r="45" spans="1:7" x14ac:dyDescent="0.15">
      <c r="A45" s="33" t="s">
        <v>107</v>
      </c>
      <c r="B45">
        <f ca="1">SUMIF(tables_576100!C:C,input_576100!A45,tables_576100!O:O)</f>
        <v>1325333.3332400008</v>
      </c>
      <c r="C45" s="54">
        <f t="shared" ca="1" si="9"/>
        <v>2.0019876876460261E-2</v>
      </c>
      <c r="E45" t="s">
        <v>204</v>
      </c>
      <c r="F45" s="55">
        <f ca="1">SUMIF(tables_576100!I:I,input_576100!E45,tables_576100!P:P)</f>
        <v>0.23478125000089445</v>
      </c>
    </row>
    <row r="46" spans="1:7" x14ac:dyDescent="0.15">
      <c r="A46" s="33" t="s">
        <v>108</v>
      </c>
      <c r="B46">
        <f>SUMIF(tables_576100!C:C,input_576100!A46,tables_576100!O:O)</f>
        <v>0</v>
      </c>
      <c r="C46" s="54">
        <f t="shared" ca="1" si="9"/>
        <v>0</v>
      </c>
      <c r="E46" t="s">
        <v>205</v>
      </c>
      <c r="F46" s="55">
        <f ca="1">SUMIF(tables_576100!I:I,input_576100!E46,tables_576100!P:P)</f>
        <v>0.17420072115412608</v>
      </c>
    </row>
    <row r="47" spans="1:7" x14ac:dyDescent="0.15">
      <c r="A47" s="39" t="s">
        <v>59</v>
      </c>
      <c r="B47">
        <f ca="1">SUM(B40:B46)</f>
        <v>66200873.332960002</v>
      </c>
      <c r="C47" s="55">
        <f ca="1">SUM(C40:C46)</f>
        <v>0.99999999999999989</v>
      </c>
      <c r="E47" t="s">
        <v>206</v>
      </c>
      <c r="F47" s="55">
        <f ca="1">SUMIF(tables_576100!I:I,input_576100!E47,tables_576100!P:P)</f>
        <v>0.49101802884723483</v>
      </c>
    </row>
    <row r="48" spans="1:7" x14ac:dyDescent="0.15">
      <c r="E48" t="s">
        <v>207</v>
      </c>
      <c r="F48" s="55">
        <f ca="1">SUMIF(tables_576100!I:I,input_576100!E48,tables_576100!P:P)</f>
        <v>4.6874999997757849E-2</v>
      </c>
    </row>
    <row r="49" spans="5:6" x14ac:dyDescent="0.15">
      <c r="E49" t="s">
        <v>245</v>
      </c>
      <c r="F49" s="55">
        <f ca="1">SUMIF(tables_576100!I:I,input_576100!E49,tables_576100!P:P)</f>
        <v>3.1249999997918342E-3</v>
      </c>
    </row>
    <row r="50" spans="5:6" x14ac:dyDescent="0.15">
      <c r="E50" t="s">
        <v>251</v>
      </c>
      <c r="F50" s="55">
        <f ca="1">SUMIF(tables_576100!I:I,input_576100!E50,tables_576100!P:P)</f>
        <v>5.0000000000190462E-2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V356"/>
  <sheetViews>
    <sheetView showGridLines="0" zoomScale="75" zoomScaleNormal="75" zoomScalePageLayoutView="75" workbookViewId="0">
      <pane ySplit="1" topLeftCell="A324" activePane="bottomLeft" state="frozen"/>
      <selection activeCell="D34" sqref="D34"/>
      <selection pane="bottomLeft" activeCell="B356" sqref="B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input_576100!A$2</f>
        <v>576100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IFERROR(VLOOKUP(B2,input_576100!L:R,7,FALSE),VLOOKUP(tables_576100!C2,input_576100!A:H,8,FALSE))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input_576100!A$2</f>
        <v>576100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IFERROR(VLOOKUP(B3,input_576100!L:R,7,FALSE),VLOOKUP(tables_576100!C3,input_576100!A:H,8,FALSE))</f>
        <v>1581099</v>
      </c>
      <c r="P3" s="46">
        <f t="shared" ca="1" si="1"/>
        <v>1.1598437500044181E-2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input_576100!A$2</f>
        <v>576100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IFERROR(VLOOKUP(B4,input_576100!L:R,7,FALSE),VLOOKUP(tables_576100!C4,input_576100!A:H,8,FALSE))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input_576100!A$2</f>
        <v>576100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IFERROR(VLOOKUP(B5,input_576100!L:R,7,FALSE),VLOOKUP(tables_576100!C5,input_576100!A:H,8,FALSE))</f>
        <v>1581099</v>
      </c>
      <c r="P5" s="46">
        <f t="shared" ca="1" si="1"/>
        <v>1.1598437500044181E-2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input_576100!A$2</f>
        <v>576100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IFERROR(VLOOKUP(B6,input_576100!L:R,7,FALSE),VLOOKUP(tables_576100!C6,input_576100!A:H,8,FALSE))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input_576100!A$2</f>
        <v>576100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IFERROR(VLOOKUP(B7,input_576100!L:R,7,FALSE),VLOOKUP(tables_576100!C7,input_576100!A:H,8,FALSE))</f>
        <v>1581099</v>
      </c>
      <c r="P7" s="46">
        <f t="shared" ca="1" si="1"/>
        <v>1.1598437500044181E-2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input_576100!A$2</f>
        <v>576100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IFERROR(VLOOKUP(B8,input_576100!L:R,7,FALSE),VLOOKUP(tables_576100!C8,input_576100!A:H,8,FALSE))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input_576100!A$2</f>
        <v>576100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IFERROR(VLOOKUP(B9,input_576100!L:R,7,FALSE),VLOOKUP(tables_576100!C9,input_576100!A:H,8,FALSE))</f>
        <v>1581099</v>
      </c>
      <c r="P9" s="46">
        <f t="shared" ca="1" si="1"/>
        <v>1.1598437500044181E-2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input_576100!A$2</f>
        <v>576100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IFERROR(VLOOKUP(B10,input_576100!L:R,7,FALSE),VLOOKUP(tables_576100!C10,input_576100!A:H,8,FALSE))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input_576100!A$2</f>
        <v>576100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IFERROR(VLOOKUP(B11,input_576100!L:R,7,FALSE),VLOOKUP(tables_576100!C11,input_576100!A:H,8,FALSE))</f>
        <v>1581099</v>
      </c>
      <c r="P11" s="46">
        <f t="shared" ca="1" si="1"/>
        <v>1.1598437500044181E-2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input_576100!A$2</f>
        <v>576100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IFERROR(VLOOKUP(B12,input_576100!L:R,7,FALSE),VLOOKUP(tables_576100!C12,input_576100!A:H,8,FALSE))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input_576100!A$2</f>
        <v>576100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IFERROR(VLOOKUP(B13,input_576100!L:R,7,FALSE),VLOOKUP(tables_576100!C13,input_576100!A:H,8,FALSE))</f>
        <v>1581099</v>
      </c>
      <c r="P13" s="46">
        <f t="shared" ca="1" si="1"/>
        <v>1.1598437500044181E-2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input_576100!A$2</f>
        <v>576100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IFERROR(VLOOKUP(B14,input_576100!L:R,7,FALSE),VLOOKUP(tables_576100!C14,input_576100!A:H,8,FALSE))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input_576100!A$2</f>
        <v>576100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IFERROR(VLOOKUP(B15,input_576100!L:R,7,FALSE),VLOOKUP(tables_576100!C15,input_576100!A:H,8,FALSE))</f>
        <v>1581099</v>
      </c>
      <c r="P15" s="46">
        <f t="shared" ca="1" si="1"/>
        <v>1.1598437500044181E-2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input_576100!A$2</f>
        <v>576100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IFERROR(VLOOKUP(B16,input_576100!L:R,7,FALSE),VLOOKUP(tables_576100!C16,input_576100!A:H,8,FALSE))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input_576100!A$2</f>
        <v>576100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IFERROR(VLOOKUP(B17,input_576100!L:R,7,FALSE),VLOOKUP(tables_576100!C17,input_576100!A:H,8,FALSE))</f>
        <v>1581099</v>
      </c>
      <c r="P17" s="46">
        <f t="shared" ca="1" si="1"/>
        <v>1.1598437500044181E-2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input_576100!A$2</f>
        <v>576100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IFERROR(VLOOKUP(B18,input_576100!L:R,7,FALSE),VLOOKUP(tables_576100!C18,input_576100!A:H,8,FALSE))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input_576100!A$2</f>
        <v>576100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IFERROR(VLOOKUP(B19,input_576100!L:R,7,FALSE),VLOOKUP(tables_576100!C19,input_576100!A:H,8,FALSE))</f>
        <v>1581099</v>
      </c>
      <c r="P19" s="46">
        <f t="shared" ca="1" si="1"/>
        <v>1.1598437500044181E-2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input_576100!A$2</f>
        <v>576100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IFERROR(VLOOKUP(B20,input_576100!L:R,7,FALSE),VLOOKUP(tables_576100!C20,input_576100!A:H,8,FALSE))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input_576100!A$2</f>
        <v>576100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IFERROR(VLOOKUP(B21,input_576100!L:R,7,FALSE),VLOOKUP(tables_576100!C21,input_576100!A:H,8,FALSE))</f>
        <v>1581099</v>
      </c>
      <c r="P21" s="46">
        <f t="shared" ca="1" si="1"/>
        <v>1.1598437500044181E-2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input_576100!A$2</f>
        <v>576100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IFERROR(VLOOKUP(B22,input_576100!L:R,7,FALSE),VLOOKUP(tables_576100!C22,input_576100!A:H,8,FALSE))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input_576100!A$2</f>
        <v>576100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IFERROR(VLOOKUP(B23,input_576100!L:R,7,FALSE),VLOOKUP(tables_576100!C23,input_576100!A:H,8,FALSE))</f>
        <v>1581099</v>
      </c>
      <c r="P23" s="46">
        <f t="shared" ca="1" si="1"/>
        <v>1.1598437500044181E-2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input_576100!A$2</f>
        <v>576100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IFERROR(VLOOKUP(B24,input_576100!L:R,7,FALSE),VLOOKUP(tables_576100!C24,input_576100!A:H,8,FALSE))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input_576100!A$2</f>
        <v>576100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IFERROR(VLOOKUP(B25,input_576100!L:R,7,FALSE),VLOOKUP(tables_576100!C25,input_576100!A:H,8,FALSE))</f>
        <v>1581099</v>
      </c>
      <c r="P25" s="46">
        <f t="shared" ca="1" si="1"/>
        <v>1.1598437500044181E-2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input_576100!A$2</f>
        <v>576100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IFERROR(VLOOKUP(B26,input_576100!L:R,7,FALSE),VLOOKUP(tables_576100!C26,input_576100!A:H,8,FALSE))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input_576100!A$2</f>
        <v>576100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IFERROR(VLOOKUP(B27,input_576100!L:R,7,FALSE),VLOOKUP(tables_576100!C27,input_576100!A:H,8,FALSE))</f>
        <v>1581099</v>
      </c>
      <c r="P27" s="46">
        <f t="shared" ca="1" si="1"/>
        <v>1.1598437500044181E-2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input_576100!A$2</f>
        <v>576100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IFERROR(VLOOKUP(B28,input_576100!L:R,7,FALSE),VLOOKUP(tables_576100!C28,input_576100!A:H,8,FALSE))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input_576100!A$2</f>
        <v>576100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IFERROR(VLOOKUP(B29,input_576100!L:R,7,FALSE),VLOOKUP(tables_576100!C29,input_576100!A:H,8,FALSE))</f>
        <v>1581099</v>
      </c>
      <c r="P29" s="46">
        <f t="shared" ca="1" si="1"/>
        <v>1.1598437500044181E-2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input_576100!A$2</f>
        <v>576100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IFERROR(VLOOKUP(B30,input_576100!L:R,7,FALSE),VLOOKUP(tables_576100!C30,input_576100!A:H,8,FALSE))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input_576100!A$2</f>
        <v>576100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IFERROR(VLOOKUP(B31,input_576100!L:R,7,FALSE),VLOOKUP(tables_576100!C31,input_576100!A:H,8,FALSE))</f>
        <v>1581099</v>
      </c>
      <c r="P31" s="46">
        <f t="shared" ca="1" si="1"/>
        <v>1.1598437500044181E-2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input_576100!A$2</f>
        <v>576100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IFERROR(VLOOKUP(B32,input_576100!L:R,7,FALSE),VLOOKUP(tables_576100!C32,input_576100!A:H,8,FALSE))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input_576100!A$2</f>
        <v>576100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IFERROR(VLOOKUP(B33,input_576100!L:R,7,FALSE),VLOOKUP(tables_576100!C33,input_576100!A:H,8,FALSE))</f>
        <v>1581099</v>
      </c>
      <c r="P33" s="46">
        <f t="shared" ca="1" si="1"/>
        <v>1.1598437500044181E-2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input_576100!A$2</f>
        <v>576100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IFERROR(VLOOKUP(B34,input_576100!L:R,7,FALSE),VLOOKUP(tables_576100!C34,input_576100!A:H,8,FALSE))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input_576100!A$2</f>
        <v>576100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IFERROR(VLOOKUP(B35,input_576100!L:R,7,FALSE),VLOOKUP(tables_576100!C35,input_576100!A:H,8,FALSE))</f>
        <v>1581099</v>
      </c>
      <c r="P35" s="46">
        <f t="shared" ca="1" si="1"/>
        <v>1.1598437500044181E-2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input_576100!A$2</f>
        <v>576100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IFERROR(VLOOKUP(B36,input_576100!L:R,7,FALSE),VLOOKUP(tables_576100!C36,input_576100!A:H,8,FALSE))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input_576100!A$2</f>
        <v>576100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IFERROR(VLOOKUP(B37,input_576100!L:R,7,FALSE),VLOOKUP(tables_576100!C37,input_576100!A:H,8,FALSE))</f>
        <v>1581099</v>
      </c>
      <c r="P37" s="46">
        <f t="shared" ca="1" si="1"/>
        <v>1.1598437500044181E-2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input_576100!A$2</f>
        <v>576100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IFERROR(VLOOKUP(B38,input_576100!L:R,7,FALSE),VLOOKUP(tables_576100!C38,input_576100!A:H,8,FALSE))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input_576100!A$2</f>
        <v>576100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IFERROR(VLOOKUP(B39,input_576100!L:R,7,FALSE),VLOOKUP(tables_576100!C39,input_576100!A:H,8,FALSE))</f>
        <v>1581099</v>
      </c>
      <c r="P39" s="46">
        <f t="shared" ca="1" si="1"/>
        <v>1.1598437500044181E-2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input_576100!A$2</f>
        <v>576100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IFERROR(VLOOKUP(B40,input_576100!L:R,7,FALSE),VLOOKUP(tables_576100!C40,input_576100!A:H,8,FALSE))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input_576100!A$2</f>
        <v>576100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IFERROR(VLOOKUP(B41,input_576100!L:R,7,FALSE),VLOOKUP(tables_576100!C41,input_576100!A:H,8,FALSE))</f>
        <v>1581099</v>
      </c>
      <c r="P41" s="46">
        <f t="shared" ca="1" si="1"/>
        <v>1.1598437500044181E-2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input_576100!A$2</f>
        <v>576100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IFERROR(VLOOKUP(B42,input_576100!L:R,7,FALSE),VLOOKUP(tables_576100!C42,input_576100!A:H,8,FALSE))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input_576100!A$2</f>
        <v>576100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IFERROR(VLOOKUP(B43,input_576100!L:R,7,FALSE),VLOOKUP(tables_576100!C43,input_576100!A:H,8,FALSE))</f>
        <v>1153395</v>
      </c>
      <c r="P43" s="46">
        <f t="shared" ca="1" si="1"/>
        <v>8.4609375000322291E-3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input_576100!A$2</f>
        <v>576100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IFERROR(VLOOKUP(B44,input_576100!L:R,7,FALSE),VLOOKUP(tables_576100!C44,input_576100!A:H,8,FALSE))</f>
        <v>63900</v>
      </c>
      <c r="P44" s="46">
        <f t="shared" ca="1" si="1"/>
        <v>4.6875000000178556E-4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input_576100!A$2</f>
        <v>576100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IFERROR(VLOOKUP(B45,input_576100!L:R,7,FALSE),VLOOKUP(tables_576100!C45,input_576100!A:H,8,FALSE))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input_576100!A$2</f>
        <v>576100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IFERROR(VLOOKUP(B46,input_576100!L:R,7,FALSE),VLOOKUP(tables_576100!C46,input_576100!A:H,8,FALSE))</f>
        <v>1153395</v>
      </c>
      <c r="P46" s="46">
        <f t="shared" ca="1" si="1"/>
        <v>8.4609375000322291E-3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input_576100!A$2</f>
        <v>576100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IFERROR(VLOOKUP(B47,input_576100!L:R,7,FALSE),VLOOKUP(tables_576100!C47,input_576100!A:H,8,FALSE))</f>
        <v>63900</v>
      </c>
      <c r="P47" s="46">
        <f t="shared" ca="1" si="1"/>
        <v>4.6875000000178556E-4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input_576100!A$2</f>
        <v>576100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IFERROR(VLOOKUP(B48,input_576100!L:R,7,FALSE),VLOOKUP(tables_576100!C48,input_576100!A:H,8,FALSE))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input_576100!A$2</f>
        <v>576100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IFERROR(VLOOKUP(B49,input_576100!L:R,7,FALSE),VLOOKUP(tables_576100!C49,input_576100!A:H,8,FALSE))</f>
        <v>1153395</v>
      </c>
      <c r="P49" s="46">
        <f t="shared" ca="1" si="1"/>
        <v>8.4609375000322291E-3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input_576100!A$2</f>
        <v>576100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IFERROR(VLOOKUP(B50,input_576100!L:R,7,FALSE),VLOOKUP(tables_576100!C50,input_576100!A:H,8,FALSE))</f>
        <v>63900</v>
      </c>
      <c r="P50" s="46">
        <f t="shared" ca="1" si="1"/>
        <v>4.6875000000178556E-4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input_576100!A$2</f>
        <v>576100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IFERROR(VLOOKUP(B51,input_576100!L:R,7,FALSE),VLOOKUP(tables_576100!C51,input_576100!A:H,8,FALSE))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input_576100!A$2</f>
        <v>576100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IFERROR(VLOOKUP(B52,input_576100!L:R,7,FALSE),VLOOKUP(tables_576100!C52,input_576100!A:H,8,FALSE))</f>
        <v>1153395</v>
      </c>
      <c r="P52" s="46">
        <f t="shared" ca="1" si="1"/>
        <v>8.4609375000322291E-3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input_576100!A$2</f>
        <v>576100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IFERROR(VLOOKUP(B53,input_576100!L:R,7,FALSE),VLOOKUP(tables_576100!C53,input_576100!A:H,8,FALSE))</f>
        <v>28673.07692</v>
      </c>
      <c r="P53" s="46">
        <f t="shared" ca="1" si="1"/>
        <v>2.1033653843976834E-4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input_576100!A$2</f>
        <v>576100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IFERROR(VLOOKUP(B54,input_576100!L:R,7,FALSE),VLOOKUP(tables_576100!C54,input_576100!A:H,8,FALSE))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input_576100!A$2</f>
        <v>576100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IFERROR(VLOOKUP(B55,input_576100!L:R,7,FALSE),VLOOKUP(tables_576100!C55,input_576100!A:H,8,FALSE))</f>
        <v>1153395</v>
      </c>
      <c r="P55" s="46">
        <f t="shared" ca="1" si="1"/>
        <v>8.4609375000322291E-3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input_576100!A$2</f>
        <v>576100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IFERROR(VLOOKUP(B56,input_576100!L:R,7,FALSE),VLOOKUP(tables_576100!C56,input_576100!A:H,8,FALSE))</f>
        <v>28673.07692</v>
      </c>
      <c r="P56" s="46">
        <f t="shared" ca="1" si="1"/>
        <v>2.1033653843976834E-4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input_576100!A$2</f>
        <v>576100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IFERROR(VLOOKUP(B57,input_576100!L:R,7,FALSE),VLOOKUP(tables_576100!C57,input_576100!A:H,8,FALSE))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input_576100!A$2</f>
        <v>576100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IFERROR(VLOOKUP(B58,input_576100!L:R,7,FALSE),VLOOKUP(tables_576100!C58,input_576100!A:H,8,FALSE))</f>
        <v>1153395</v>
      </c>
      <c r="P58" s="46">
        <f t="shared" ca="1" si="1"/>
        <v>8.4609375000322291E-3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input_576100!A$2</f>
        <v>576100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IFERROR(VLOOKUP(B59,input_576100!L:R,7,FALSE),VLOOKUP(tables_576100!C59,input_576100!A:H,8,FALSE))</f>
        <v>28673.07692</v>
      </c>
      <c r="P59" s="46">
        <f t="shared" ca="1" si="1"/>
        <v>2.1033653843976834E-4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input_576100!A$2</f>
        <v>576100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IFERROR(VLOOKUP(B60,input_576100!L:R,7,FALSE),VLOOKUP(tables_576100!C60,input_576100!A:H,8,FALSE))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input_576100!A$2</f>
        <v>576100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IFERROR(VLOOKUP(B61,input_576100!L:R,7,FALSE),VLOOKUP(tables_576100!C61,input_576100!A:H,8,FALSE))</f>
        <v>1153395</v>
      </c>
      <c r="P61" s="46">
        <f t="shared" ca="1" si="1"/>
        <v>8.4609375000322291E-3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input_576100!A$2</f>
        <v>576100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IFERROR(VLOOKUP(B62,input_576100!L:R,7,FALSE),VLOOKUP(tables_576100!C62,input_576100!A:H,8,FALSE))</f>
        <v>28673.07692</v>
      </c>
      <c r="P62" s="46">
        <f t="shared" ca="1" si="1"/>
        <v>2.1033653843976834E-4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input_576100!A$2</f>
        <v>576100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IFERROR(VLOOKUP(B63,input_576100!L:R,7,FALSE),VLOOKUP(tables_576100!C63,input_576100!A:H,8,FALSE))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input_576100!A$2</f>
        <v>576100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IFERROR(VLOOKUP(B64,input_576100!L:R,7,FALSE),VLOOKUP(tables_576100!C64,input_576100!A:H,8,FALSE))</f>
        <v>1153395</v>
      </c>
      <c r="P64" s="46">
        <f t="shared" ca="1" si="1"/>
        <v>8.4609375000322291E-3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input_576100!A$2</f>
        <v>576100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IFERROR(VLOOKUP(B65,input_576100!L:R,7,FALSE),VLOOKUP(tables_576100!C65,input_576100!A:H,8,FALSE))</f>
        <v>28673.07692</v>
      </c>
      <c r="P65" s="46">
        <f t="shared" ca="1" si="1"/>
        <v>2.1033653843976834E-4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input_576100!A$2</f>
        <v>576100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IFERROR(VLOOKUP(B66,input_576100!L:R,7,FALSE),VLOOKUP(tables_576100!C66,input_576100!A:H,8,FALSE))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input_576100!A$2</f>
        <v>576100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IFERROR(VLOOKUP(B67,input_576100!L:R,7,FALSE),VLOOKUP(tables_576100!C67,input_576100!A:H,8,FALSE))</f>
        <v>1153395</v>
      </c>
      <c r="P67" s="46">
        <f t="shared" ca="1" si="4"/>
        <v>8.4609375000322291E-3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input_576100!A$2</f>
        <v>576100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IFERROR(VLOOKUP(B68,input_576100!L:R,7,FALSE),VLOOKUP(tables_576100!C68,input_576100!A:H,8,FALSE))</f>
        <v>28673.07692</v>
      </c>
      <c r="P68" s="46">
        <f t="shared" ca="1" si="4"/>
        <v>2.1033653843976834E-4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input_576100!A$2</f>
        <v>576100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IFERROR(VLOOKUP(B69,input_576100!L:R,7,FALSE),VLOOKUP(tables_576100!C69,input_576100!A:H,8,FALSE))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input_576100!A$2</f>
        <v>576100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IFERROR(VLOOKUP(B70,input_576100!L:R,7,FALSE),VLOOKUP(tables_576100!C70,input_576100!A:H,8,FALSE))</f>
        <v>1153395</v>
      </c>
      <c r="P70" s="46">
        <f t="shared" ca="1" si="4"/>
        <v>8.4609375000322291E-3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input_576100!A$2</f>
        <v>576100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IFERROR(VLOOKUP(B71,input_576100!L:R,7,FALSE),VLOOKUP(tables_576100!C71,input_576100!A:H,8,FALSE))</f>
        <v>28673.07692</v>
      </c>
      <c r="P71" s="46">
        <f t="shared" ca="1" si="4"/>
        <v>2.1033653843976834E-4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input_576100!A$2</f>
        <v>576100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IFERROR(VLOOKUP(B72,input_576100!L:R,7,FALSE),VLOOKUP(tables_576100!C72,input_576100!A:H,8,FALSE))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input_576100!A$2</f>
        <v>576100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IFERROR(VLOOKUP(B73,input_576100!L:R,7,FALSE),VLOOKUP(tables_576100!C73,input_576100!A:H,8,FALSE))</f>
        <v>1153395</v>
      </c>
      <c r="P73" s="46">
        <f t="shared" ca="1" si="4"/>
        <v>8.4609375000322291E-3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input_576100!A$2</f>
        <v>576100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IFERROR(VLOOKUP(B74,input_576100!L:R,7,FALSE),VLOOKUP(tables_576100!C74,input_576100!A:H,8,FALSE))</f>
        <v>28673.07692</v>
      </c>
      <c r="P74" s="46">
        <f t="shared" ca="1" si="4"/>
        <v>2.1033653843976834E-4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input_576100!A$2</f>
        <v>576100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IFERROR(VLOOKUP(B75,input_576100!L:R,7,FALSE),VLOOKUP(tables_576100!C75,input_576100!A:H,8,FALSE))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input_576100!A$2</f>
        <v>576100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IFERROR(VLOOKUP(B76,input_576100!L:R,7,FALSE),VLOOKUP(tables_576100!C76,input_576100!A:H,8,FALSE))</f>
        <v>1153395</v>
      </c>
      <c r="P76" s="46">
        <f t="shared" ca="1" si="4"/>
        <v>8.4609375000322291E-3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input_576100!A$2</f>
        <v>576100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IFERROR(VLOOKUP(B77,input_576100!L:R,7,FALSE),VLOOKUP(tables_576100!C77,input_576100!A:H,8,FALSE))</f>
        <v>28673.07692</v>
      </c>
      <c r="P77" s="46">
        <f t="shared" ca="1" si="4"/>
        <v>2.1033653843976834E-4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input_576100!A$2</f>
        <v>576100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IFERROR(VLOOKUP(B78,input_576100!L:R,7,FALSE),VLOOKUP(tables_576100!C78,input_576100!A:H,8,FALSE))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input_576100!A$2</f>
        <v>576100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IFERROR(VLOOKUP(B79,input_576100!L:R,7,FALSE),VLOOKUP(tables_576100!C79,input_576100!A:H,8,FALSE))</f>
        <v>1153395</v>
      </c>
      <c r="P79" s="46">
        <f t="shared" ca="1" si="4"/>
        <v>8.4609375000322291E-3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input_576100!A$2</f>
        <v>576100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IFERROR(VLOOKUP(B80,input_576100!L:R,7,FALSE),VLOOKUP(tables_576100!C80,input_576100!A:H,8,FALSE))</f>
        <v>28673.07692</v>
      </c>
      <c r="P80" s="46">
        <f t="shared" ca="1" si="4"/>
        <v>2.1033653843976834E-4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input_576100!A$2</f>
        <v>576100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IFERROR(VLOOKUP(B81,input_576100!L:R,7,FALSE),VLOOKUP(tables_576100!C81,input_576100!A:H,8,FALSE))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input_576100!A$2</f>
        <v>576100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IFERROR(VLOOKUP(B82,input_576100!L:R,7,FALSE),VLOOKUP(tables_576100!C82,input_576100!A:H,8,FALSE))</f>
        <v>1153395</v>
      </c>
      <c r="P82" s="46">
        <f t="shared" ca="1" si="4"/>
        <v>8.4609375000322291E-3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input_576100!A$2</f>
        <v>576100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IFERROR(VLOOKUP(B83,input_576100!L:R,7,FALSE),VLOOKUP(tables_576100!C83,input_576100!A:H,8,FALSE))</f>
        <v>28673.07692</v>
      </c>
      <c r="P83" s="46">
        <f t="shared" ca="1" si="4"/>
        <v>2.1033653843976834E-4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input_576100!A$2</f>
        <v>576100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IFERROR(VLOOKUP(B84,input_576100!L:R,7,FALSE),VLOOKUP(tables_576100!C84,input_576100!A:H,8,FALSE))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input_576100!A$2</f>
        <v>576100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IFERROR(VLOOKUP(B85,input_576100!L:R,7,FALSE),VLOOKUP(tables_576100!C85,input_576100!A:H,8,FALSE))</f>
        <v>1153395</v>
      </c>
      <c r="P85" s="46">
        <f t="shared" ca="1" si="4"/>
        <v>8.4609375000322291E-3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input_576100!A$2</f>
        <v>576100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IFERROR(VLOOKUP(B86,input_576100!L:R,7,FALSE),VLOOKUP(tables_576100!C86,input_576100!A:H,8,FALSE))</f>
        <v>28673.07692</v>
      </c>
      <c r="P86" s="46">
        <f t="shared" ca="1" si="4"/>
        <v>2.1033653843976834E-4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input_576100!A$2</f>
        <v>576100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IFERROR(VLOOKUP(B87,input_576100!L:R,7,FALSE),VLOOKUP(tables_576100!C87,input_576100!A:H,8,FALSE))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input_576100!A$2</f>
        <v>576100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IFERROR(VLOOKUP(B88,input_576100!L:R,7,FALSE),VLOOKUP(tables_576100!C88,input_576100!A:H,8,FALSE))</f>
        <v>1153395</v>
      </c>
      <c r="P88" s="46">
        <f t="shared" ca="1" si="4"/>
        <v>8.4609375000322291E-3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input_576100!A$2</f>
        <v>576100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IFERROR(VLOOKUP(B89,input_576100!L:R,7,FALSE),VLOOKUP(tables_576100!C89,input_576100!A:H,8,FALSE))</f>
        <v>28673.07692</v>
      </c>
      <c r="P89" s="46">
        <f t="shared" ca="1" si="4"/>
        <v>2.1033653843976834E-4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input_576100!A$2</f>
        <v>576100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IFERROR(VLOOKUP(B90,input_576100!L:R,7,FALSE),VLOOKUP(tables_576100!C90,input_576100!A:H,8,FALSE))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input_576100!A$2</f>
        <v>576100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IFERROR(VLOOKUP(B91,input_576100!L:R,7,FALSE),VLOOKUP(tables_576100!C91,input_576100!A:H,8,FALSE))</f>
        <v>1153395</v>
      </c>
      <c r="P91" s="46">
        <f t="shared" ca="1" si="4"/>
        <v>8.4609375000322291E-3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input_576100!A$2</f>
        <v>576100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IFERROR(VLOOKUP(B92,input_576100!L:R,7,FALSE),VLOOKUP(tables_576100!C92,input_576100!A:H,8,FALSE))</f>
        <v>28673.07692</v>
      </c>
      <c r="P92" s="46">
        <f t="shared" ca="1" si="4"/>
        <v>2.1033653843976834E-4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input_576100!A$2</f>
        <v>576100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IFERROR(VLOOKUP(B93,input_576100!L:R,7,FALSE),VLOOKUP(tables_576100!C93,input_576100!A:H,8,FALSE))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input_576100!A$2</f>
        <v>576100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IFERROR(VLOOKUP(B94,input_576100!L:R,7,FALSE),VLOOKUP(tables_576100!C94,input_576100!A:H,8,FALSE))</f>
        <v>1153395</v>
      </c>
      <c r="P94" s="46">
        <f t="shared" ca="1" si="4"/>
        <v>8.4609375000322291E-3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input_576100!A$2</f>
        <v>576100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IFERROR(VLOOKUP(B95,input_576100!L:R,7,FALSE),VLOOKUP(tables_576100!C95,input_576100!A:H,8,FALSE))</f>
        <v>28673.07692</v>
      </c>
      <c r="P95" s="46">
        <f t="shared" ca="1" si="4"/>
        <v>2.1033653843976834E-4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input_576100!A$2</f>
        <v>576100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IFERROR(VLOOKUP(B96,input_576100!L:R,7,FALSE),VLOOKUP(tables_576100!C96,input_576100!A:H,8,FALSE))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input_576100!A$2</f>
        <v>576100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IFERROR(VLOOKUP(B97,input_576100!L:R,7,FALSE),VLOOKUP(tables_576100!C97,input_576100!A:H,8,FALSE))</f>
        <v>1153395</v>
      </c>
      <c r="P97" s="46">
        <f t="shared" ca="1" si="4"/>
        <v>8.4609375000322291E-3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input_576100!A$2</f>
        <v>576100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IFERROR(VLOOKUP(B98,input_576100!L:R,7,FALSE),VLOOKUP(tables_576100!C98,input_576100!A:H,8,FALSE))</f>
        <v>28673.07692</v>
      </c>
      <c r="P98" s="46">
        <f t="shared" ca="1" si="4"/>
        <v>2.1033653843976834E-4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input_576100!A$2</f>
        <v>576100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IFERROR(VLOOKUP(B99,input_576100!L:R,7,FALSE),VLOOKUP(tables_576100!C99,input_576100!A:H,8,FALSE))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input_576100!A$2</f>
        <v>576100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IFERROR(VLOOKUP(B100,input_576100!L:R,7,FALSE),VLOOKUP(tables_576100!C100,input_576100!A:H,8,FALSE))</f>
        <v>1153395</v>
      </c>
      <c r="P100" s="46">
        <f t="shared" ca="1" si="4"/>
        <v>8.4609375000322291E-3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input_576100!A$2</f>
        <v>576100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IFERROR(VLOOKUP(B101,input_576100!L:R,7,FALSE),VLOOKUP(tables_576100!C101,input_576100!A:H,8,FALSE))</f>
        <v>28673.07692</v>
      </c>
      <c r="P101" s="46">
        <f t="shared" ca="1" si="4"/>
        <v>2.1033653843976834E-4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input_576100!A$2</f>
        <v>576100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IFERROR(VLOOKUP(B102,input_576100!L:R,7,FALSE),VLOOKUP(tables_576100!C102,input_576100!A:H,8,FALSE))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input_576100!A$2</f>
        <v>576100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IFERROR(VLOOKUP(B103,input_576100!L:R,7,FALSE),VLOOKUP(tables_576100!C103,input_576100!A:H,8,FALSE))</f>
        <v>1153395</v>
      </c>
      <c r="P103" s="46">
        <f t="shared" ca="1" si="4"/>
        <v>8.4609375000322291E-3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input_576100!A$2</f>
        <v>576100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IFERROR(VLOOKUP(B104,input_576100!L:R,7,FALSE),VLOOKUP(tables_576100!C104,input_576100!A:H,8,FALSE))</f>
        <v>28673.07692</v>
      </c>
      <c r="P104" s="46">
        <f t="shared" ca="1" si="4"/>
        <v>2.1033653843976834E-4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input_576100!A$2</f>
        <v>576100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IFERROR(VLOOKUP(B105,input_576100!L:R,7,FALSE),VLOOKUP(tables_576100!C105,input_576100!A:H,8,FALSE))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input_576100!A$2</f>
        <v>576100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IFERROR(VLOOKUP(B106,input_576100!L:R,7,FALSE),VLOOKUP(tables_576100!C106,input_576100!A:H,8,FALSE))</f>
        <v>1153395</v>
      </c>
      <c r="P106" s="46">
        <f t="shared" ca="1" si="4"/>
        <v>8.4609375000322291E-3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input_576100!A$2</f>
        <v>576100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IFERROR(VLOOKUP(B107,input_576100!L:R,7,FALSE),VLOOKUP(tables_576100!C107,input_576100!A:H,8,FALSE))</f>
        <v>28673.07692</v>
      </c>
      <c r="P107" s="46">
        <f t="shared" ca="1" si="4"/>
        <v>2.1033653843976834E-4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input_576100!A$2</f>
        <v>576100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IFERROR(VLOOKUP(B108,input_576100!L:R,7,FALSE),VLOOKUP(tables_576100!C108,input_576100!A:H,8,FALSE))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input_576100!A$2</f>
        <v>576100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IFERROR(VLOOKUP(B109,input_576100!L:R,7,FALSE),VLOOKUP(tables_576100!C109,input_576100!A:H,8,FALSE))</f>
        <v>1153395</v>
      </c>
      <c r="P109" s="46">
        <f t="shared" ca="1" si="4"/>
        <v>8.4609375000322291E-3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input_576100!A$2</f>
        <v>576100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IFERROR(VLOOKUP(B110,input_576100!L:R,7,FALSE),VLOOKUP(tables_576100!C110,input_576100!A:H,8,FALSE))</f>
        <v>28673.07692</v>
      </c>
      <c r="P110" s="46">
        <f t="shared" ca="1" si="4"/>
        <v>2.1033653843976834E-4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input_576100!A$2</f>
        <v>576100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IFERROR(VLOOKUP(B111,input_576100!L:R,7,FALSE),VLOOKUP(tables_576100!C111,input_576100!A:H,8,FALSE))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input_576100!A$2</f>
        <v>576100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IFERROR(VLOOKUP(B112,input_576100!L:R,7,FALSE),VLOOKUP(tables_576100!C112,input_576100!A:H,8,FALSE))</f>
        <v>1153395</v>
      </c>
      <c r="P112" s="46">
        <f t="shared" ca="1" si="4"/>
        <v>8.4609375000322291E-3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input_576100!A$2</f>
        <v>576100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IFERROR(VLOOKUP(B113,input_576100!L:R,7,FALSE),VLOOKUP(tables_576100!C113,input_576100!A:H,8,FALSE))</f>
        <v>63900</v>
      </c>
      <c r="P113" s="46">
        <f t="shared" ca="1" si="4"/>
        <v>4.6875000000178556E-4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input_576100!A$2</f>
        <v>576100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IFERROR(VLOOKUP(B114,input_576100!L:R,7,FALSE),VLOOKUP(tables_576100!C114,input_576100!A:H,8,FALSE))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input_576100!A$2</f>
        <v>576100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IFERROR(VLOOKUP(B115,input_576100!L:R,7,FALSE),VLOOKUP(tables_576100!C115,input_576100!A:H,8,FALSE))</f>
        <v>1153395</v>
      </c>
      <c r="P115" s="46">
        <f t="shared" ca="1" si="4"/>
        <v>8.4609375000322291E-3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input_576100!A$2</f>
        <v>576100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IFERROR(VLOOKUP(B116,input_576100!L:R,7,FALSE),VLOOKUP(tables_576100!C116,input_576100!A:H,8,FALSE))</f>
        <v>28673.07692</v>
      </c>
      <c r="P116" s="46">
        <f t="shared" ca="1" si="4"/>
        <v>2.1033653843976834E-4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input_576100!A$2</f>
        <v>576100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IFERROR(VLOOKUP(B117,input_576100!L:R,7,FALSE),VLOOKUP(tables_576100!C117,input_576100!A:H,8,FALSE))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input_576100!A$2</f>
        <v>576100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IFERROR(VLOOKUP(B118,input_576100!L:R,7,FALSE),VLOOKUP(tables_576100!C118,input_576100!A:H,8,FALSE))</f>
        <v>1153395</v>
      </c>
      <c r="P118" s="46">
        <f t="shared" ca="1" si="4"/>
        <v>8.4609375000322291E-3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input_576100!A$2</f>
        <v>576100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IFERROR(VLOOKUP(B119,input_576100!L:R,7,FALSE),VLOOKUP(tables_576100!C119,input_576100!A:H,8,FALSE))</f>
        <v>28673.07692</v>
      </c>
      <c r="P119" s="46">
        <f t="shared" ca="1" si="4"/>
        <v>2.1033653843976834E-4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input_576100!A$2</f>
        <v>576100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IFERROR(VLOOKUP(B120,input_576100!L:R,7,FALSE),VLOOKUP(tables_576100!C120,input_576100!A:H,8,FALSE))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input_576100!A$2</f>
        <v>576100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IFERROR(VLOOKUP(B121,input_576100!L:R,7,FALSE),VLOOKUP(tables_576100!C121,input_576100!A:H,8,FALSE))</f>
        <v>1153395</v>
      </c>
      <c r="P121" s="46">
        <f t="shared" ca="1" si="4"/>
        <v>8.4609375000322291E-3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input_576100!A$2</f>
        <v>576100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IFERROR(VLOOKUP(B122,input_576100!L:R,7,FALSE),VLOOKUP(tables_576100!C122,input_576100!A:H,8,FALSE))</f>
        <v>28673.07692</v>
      </c>
      <c r="P122" s="46">
        <f t="shared" ca="1" si="4"/>
        <v>2.1033653843976834E-4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input_576100!A$2</f>
        <v>576100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IFERROR(VLOOKUP(B123,input_576100!L:R,7,FALSE),VLOOKUP(tables_576100!C123,input_576100!A:H,8,FALSE))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input_576100!A$2</f>
        <v>576100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IFERROR(VLOOKUP(B124,input_576100!L:R,7,FALSE),VLOOKUP(tables_576100!C124,input_576100!A:H,8,FALSE))</f>
        <v>1153395</v>
      </c>
      <c r="P124" s="46">
        <f t="shared" ca="1" si="4"/>
        <v>8.4609375000322291E-3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input_576100!A$2</f>
        <v>576100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IFERROR(VLOOKUP(B125,input_576100!L:R,7,FALSE),VLOOKUP(tables_576100!C125,input_576100!A:H,8,FALSE))</f>
        <v>28673.07692</v>
      </c>
      <c r="P125" s="46">
        <f t="shared" ca="1" si="4"/>
        <v>2.1033653843976834E-4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input_576100!A$2</f>
        <v>576100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IFERROR(VLOOKUP(B126,input_576100!L:R,7,FALSE),VLOOKUP(tables_576100!C126,input_576100!A:H,8,FALSE))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input_576100!A$2</f>
        <v>576100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IFERROR(VLOOKUP(B127,input_576100!L:R,7,FALSE),VLOOKUP(tables_576100!C127,input_576100!A:H,8,FALSE))</f>
        <v>1153395</v>
      </c>
      <c r="P127" s="46">
        <f t="shared" ca="1" si="4"/>
        <v>8.4609375000322291E-3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input_576100!A$2</f>
        <v>576100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IFERROR(VLOOKUP(B128,input_576100!L:R,7,FALSE),VLOOKUP(tables_576100!C128,input_576100!A:H,8,FALSE))</f>
        <v>28673.07692</v>
      </c>
      <c r="P128" s="46">
        <f t="shared" ca="1" si="4"/>
        <v>2.1033653843976834E-4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input_576100!A$2</f>
        <v>576100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IFERROR(VLOOKUP(B129,input_576100!L:R,7,FALSE),VLOOKUP(tables_576100!C129,input_576100!A:H,8,FALSE))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input_576100!A$2</f>
        <v>576100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IFERROR(VLOOKUP(B130,input_576100!L:R,7,FALSE),VLOOKUP(tables_576100!C130,input_576100!A:H,8,FALSE))</f>
        <v>1153395</v>
      </c>
      <c r="P130" s="46">
        <f t="shared" ref="P130:P193" ca="1" si="7">O130/SUM(O:O)</f>
        <v>8.4609375000322291E-3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input_576100!A$2</f>
        <v>576100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IFERROR(VLOOKUP(B131,input_576100!L:R,7,FALSE),VLOOKUP(tables_576100!C131,input_576100!A:H,8,FALSE))</f>
        <v>28673.07692</v>
      </c>
      <c r="P131" s="46">
        <f t="shared" ca="1" si="7"/>
        <v>2.1033653843976834E-4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input_576100!A$2</f>
        <v>576100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IFERROR(VLOOKUP(B132,input_576100!L:R,7,FALSE),VLOOKUP(tables_576100!C132,input_576100!A:H,8,FALSE))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input_576100!A$2</f>
        <v>576100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IFERROR(VLOOKUP(B133,input_576100!L:R,7,FALSE),VLOOKUP(tables_576100!C133,input_576100!A:H,8,FALSE))</f>
        <v>1153395</v>
      </c>
      <c r="P133" s="46">
        <f t="shared" ca="1" si="7"/>
        <v>8.4609375000322291E-3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input_576100!A$2</f>
        <v>576100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IFERROR(VLOOKUP(B134,input_576100!L:R,7,FALSE),VLOOKUP(tables_576100!C134,input_576100!A:H,8,FALSE))</f>
        <v>28673.07692</v>
      </c>
      <c r="P134" s="46">
        <f t="shared" ca="1" si="7"/>
        <v>2.1033653843976834E-4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input_576100!A$2</f>
        <v>576100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IFERROR(VLOOKUP(B135,input_576100!L:R,7,FALSE),VLOOKUP(tables_576100!C135,input_576100!A:H,8,FALSE))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input_576100!A$2</f>
        <v>576100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IFERROR(VLOOKUP(B136,input_576100!L:R,7,FALSE),VLOOKUP(tables_576100!C136,input_576100!A:H,8,FALSE))</f>
        <v>1153395</v>
      </c>
      <c r="P136" s="46">
        <f t="shared" ca="1" si="7"/>
        <v>8.4609375000322291E-3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input_576100!A$2</f>
        <v>576100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IFERROR(VLOOKUP(B137,input_576100!L:R,7,FALSE),VLOOKUP(tables_576100!C137,input_576100!A:H,8,FALSE))</f>
        <v>28673.07692</v>
      </c>
      <c r="P137" s="46">
        <f t="shared" ca="1" si="7"/>
        <v>2.1033653843976834E-4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input_576100!A$2</f>
        <v>576100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IFERROR(VLOOKUP(B138,input_576100!L:R,7,FALSE),VLOOKUP(tables_576100!C138,input_576100!A:H,8,FALSE))</f>
        <v>121714.28571</v>
      </c>
      <c r="P138" s="46">
        <f t="shared" ca="1" si="7"/>
        <v>8.9285714282910536E-4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input_576100!A$2</f>
        <v>576100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IFERROR(VLOOKUP(B139,input_576100!L:R,7,FALSE),VLOOKUP(tables_576100!C139,input_576100!A:H,8,FALSE))</f>
        <v>47333.333330000001</v>
      </c>
      <c r="P139" s="46">
        <f t="shared" ca="1" si="7"/>
        <v>3.4722222219909263E-4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input_576100!A$2</f>
        <v>576100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IFERROR(VLOOKUP(B140,input_576100!L:R,7,FALSE),VLOOKUP(tables_576100!C140,input_576100!A:H,8,FALSE))</f>
        <v>121714.28571</v>
      </c>
      <c r="P140" s="46">
        <f t="shared" ca="1" si="7"/>
        <v>8.9285714282910536E-4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input_576100!A$2</f>
        <v>576100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IFERROR(VLOOKUP(B141,input_576100!L:R,7,FALSE),VLOOKUP(tables_576100!C141,input_576100!A:H,8,FALSE))</f>
        <v>47333.333330000001</v>
      </c>
      <c r="P141" s="46">
        <f t="shared" ca="1" si="7"/>
        <v>3.4722222219909263E-4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input_576100!A$2</f>
        <v>576100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IFERROR(VLOOKUP(B142,input_576100!L:R,7,FALSE),VLOOKUP(tables_576100!C142,input_576100!A:H,8,FALSE))</f>
        <v>121714.28571</v>
      </c>
      <c r="P142" s="46">
        <f t="shared" ca="1" si="7"/>
        <v>8.9285714282910536E-4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input_576100!A$2</f>
        <v>576100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IFERROR(VLOOKUP(B143,input_576100!L:R,7,FALSE),VLOOKUP(tables_576100!C143,input_576100!A:H,8,FALSE))</f>
        <v>47333.333330000001</v>
      </c>
      <c r="P143" s="46">
        <f t="shared" ca="1" si="7"/>
        <v>3.4722222219909263E-4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input_576100!A$2</f>
        <v>576100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IFERROR(VLOOKUP(B144,input_576100!L:R,7,FALSE),VLOOKUP(tables_576100!C144,input_576100!A:H,8,FALSE))</f>
        <v>121714.28571</v>
      </c>
      <c r="P144" s="46">
        <f t="shared" ca="1" si="7"/>
        <v>8.9285714282910536E-4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input_576100!A$2</f>
        <v>576100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IFERROR(VLOOKUP(B145,input_576100!L:R,7,FALSE),VLOOKUP(tables_576100!C145,input_576100!A:H,8,FALSE))</f>
        <v>47333.333330000001</v>
      </c>
      <c r="P145" s="46">
        <f t="shared" ca="1" si="7"/>
        <v>3.4722222219909263E-4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input_576100!A$2</f>
        <v>576100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IFERROR(VLOOKUP(B146,input_576100!L:R,7,FALSE),VLOOKUP(tables_576100!C146,input_576100!A:H,8,FALSE))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input_576100!A$2</f>
        <v>576100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IFERROR(VLOOKUP(B147,input_576100!L:R,7,FALSE),VLOOKUP(tables_576100!C147,input_576100!A:H,8,FALSE))</f>
        <v>1153395</v>
      </c>
      <c r="P147" s="46">
        <f t="shared" ca="1" si="7"/>
        <v>8.4609375000322291E-3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input_576100!A$2</f>
        <v>576100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IFERROR(VLOOKUP(B148,input_576100!L:R,7,FALSE),VLOOKUP(tables_576100!C148,input_576100!A:H,8,FALSE))</f>
        <v>28673.07692</v>
      </c>
      <c r="P148" s="46">
        <f t="shared" ca="1" si="7"/>
        <v>2.1033653843976834E-4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input_576100!A$2</f>
        <v>576100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IFERROR(VLOOKUP(B149,input_576100!L:R,7,FALSE),VLOOKUP(tables_576100!C149,input_576100!A:H,8,FALSE))</f>
        <v>121714.28571</v>
      </c>
      <c r="P149" s="46">
        <f t="shared" ca="1" si="7"/>
        <v>8.9285714282910536E-4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input_576100!A$2</f>
        <v>576100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IFERROR(VLOOKUP(B150,input_576100!L:R,7,FALSE),VLOOKUP(tables_576100!C150,input_576100!A:H,8,FALSE))</f>
        <v>47333.333330000001</v>
      </c>
      <c r="P150" s="46">
        <f t="shared" ca="1" si="7"/>
        <v>3.4722222219909263E-4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input_576100!A$2</f>
        <v>576100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IFERROR(VLOOKUP(B151,input_576100!L:R,7,FALSE),VLOOKUP(tables_576100!C151,input_576100!A:H,8,FALSE))</f>
        <v>121714.28571</v>
      </c>
      <c r="P151" s="46">
        <f t="shared" ca="1" si="7"/>
        <v>8.9285714282910536E-4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input_576100!A$2</f>
        <v>576100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IFERROR(VLOOKUP(B152,input_576100!L:R,7,FALSE),VLOOKUP(tables_576100!C152,input_576100!A:H,8,FALSE))</f>
        <v>47333.333330000001</v>
      </c>
      <c r="P152" s="46">
        <f t="shared" ca="1" si="7"/>
        <v>3.4722222219909263E-4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input_576100!A$2</f>
        <v>576100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IFERROR(VLOOKUP(B153,input_576100!L:R,7,FALSE),VLOOKUP(tables_576100!C153,input_576100!A:H,8,FALSE))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input_576100!A$2</f>
        <v>576100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IFERROR(VLOOKUP(B154,input_576100!L:R,7,FALSE),VLOOKUP(tables_576100!C154,input_576100!A:H,8,FALSE))</f>
        <v>1153395</v>
      </c>
      <c r="P154" s="46">
        <f t="shared" ca="1" si="7"/>
        <v>8.4609375000322291E-3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input_576100!A$2</f>
        <v>576100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IFERROR(VLOOKUP(B155,input_576100!L:R,7,FALSE),VLOOKUP(tables_576100!C155,input_576100!A:H,8,FALSE))</f>
        <v>28673.07692</v>
      </c>
      <c r="P155" s="46">
        <f t="shared" ca="1" si="7"/>
        <v>2.1033653843976834E-4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input_576100!A$2</f>
        <v>576100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IFERROR(VLOOKUP(B156,input_576100!L:R,7,FALSE),VLOOKUP(tables_576100!C156,input_576100!A:H,8,FALSE))</f>
        <v>121714.28571</v>
      </c>
      <c r="P156" s="46">
        <f t="shared" ca="1" si="7"/>
        <v>8.9285714282910536E-4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input_576100!A$2</f>
        <v>576100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IFERROR(VLOOKUP(B157,input_576100!L:R,7,FALSE),VLOOKUP(tables_576100!C157,input_576100!A:H,8,FALSE))</f>
        <v>47333.333330000001</v>
      </c>
      <c r="P157" s="46">
        <f t="shared" ca="1" si="7"/>
        <v>3.4722222219909263E-4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input_576100!A$2</f>
        <v>576100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IFERROR(VLOOKUP(B158,input_576100!L:R,7,FALSE),VLOOKUP(tables_576100!C158,input_576100!A:H,8,FALSE))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input_576100!A$2</f>
        <v>576100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IFERROR(VLOOKUP(B159,input_576100!L:R,7,FALSE),VLOOKUP(tables_576100!C159,input_576100!A:H,8,FALSE))</f>
        <v>1153395</v>
      </c>
      <c r="P159" s="46">
        <f t="shared" ca="1" si="7"/>
        <v>8.4609375000322291E-3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input_576100!A$2</f>
        <v>576100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IFERROR(VLOOKUP(B160,input_576100!L:R,7,FALSE),VLOOKUP(tables_576100!C160,input_576100!A:H,8,FALSE))</f>
        <v>28673.07692</v>
      </c>
      <c r="P160" s="46">
        <f t="shared" ca="1" si="7"/>
        <v>2.1033653843976834E-4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input_576100!A$2</f>
        <v>576100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IFERROR(VLOOKUP(B161,input_576100!L:R,7,FALSE),VLOOKUP(tables_576100!C161,input_576100!A:H,8,FALSE))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input_576100!A$2</f>
        <v>576100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IFERROR(VLOOKUP(B162,input_576100!L:R,7,FALSE),VLOOKUP(tables_576100!C162,input_576100!A:H,8,FALSE))</f>
        <v>1153395</v>
      </c>
      <c r="P162" s="46">
        <f t="shared" ca="1" si="7"/>
        <v>8.4609375000322291E-3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input_576100!A$2</f>
        <v>576100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IFERROR(VLOOKUP(B163,input_576100!L:R,7,FALSE),VLOOKUP(tables_576100!C163,input_576100!A:H,8,FALSE))</f>
        <v>28673.07692</v>
      </c>
      <c r="P163" s="46">
        <f t="shared" ca="1" si="7"/>
        <v>2.1033653843976834E-4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input_576100!A$2</f>
        <v>576100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IFERROR(VLOOKUP(B164,input_576100!L:R,7,FALSE),VLOOKUP(tables_576100!C164,input_576100!A:H,8,FALSE))</f>
        <v>121714.28571</v>
      </c>
      <c r="P164" s="46">
        <f t="shared" ca="1" si="7"/>
        <v>8.9285714282910536E-4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input_576100!A$2</f>
        <v>576100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IFERROR(VLOOKUP(B165,input_576100!L:R,7,FALSE),VLOOKUP(tables_576100!C165,input_576100!A:H,8,FALSE))</f>
        <v>47333.333330000001</v>
      </c>
      <c r="P165" s="46">
        <f t="shared" ca="1" si="7"/>
        <v>3.4722222219909263E-4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input_576100!A$2</f>
        <v>576100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IFERROR(VLOOKUP(B166,input_576100!L:R,7,FALSE),VLOOKUP(tables_576100!C166,input_576100!A:H,8,FALSE))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input_576100!A$2</f>
        <v>576100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IFERROR(VLOOKUP(B167,input_576100!L:R,7,FALSE),VLOOKUP(tables_576100!C167,input_576100!A:H,8,FALSE))</f>
        <v>1153395</v>
      </c>
      <c r="P167" s="46">
        <f t="shared" ca="1" si="7"/>
        <v>8.4609375000322291E-3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input_576100!A$2</f>
        <v>576100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IFERROR(VLOOKUP(B168,input_576100!L:R,7,FALSE),VLOOKUP(tables_576100!C168,input_576100!A:H,8,FALSE))</f>
        <v>28673.07692</v>
      </c>
      <c r="P168" s="46">
        <f t="shared" ca="1" si="7"/>
        <v>2.1033653843976834E-4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input_576100!A$2</f>
        <v>576100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IFERROR(VLOOKUP(B169,input_576100!L:R,7,FALSE),VLOOKUP(tables_576100!C169,input_576100!A:H,8,FALSE))</f>
        <v>121714.28571</v>
      </c>
      <c r="P169" s="46">
        <f t="shared" ca="1" si="7"/>
        <v>8.9285714282910536E-4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input_576100!A$2</f>
        <v>576100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IFERROR(VLOOKUP(B170,input_576100!L:R,7,FALSE),VLOOKUP(tables_576100!C170,input_576100!A:H,8,FALSE))</f>
        <v>47333.333330000001</v>
      </c>
      <c r="P170" s="46">
        <f t="shared" ca="1" si="7"/>
        <v>3.4722222219909263E-4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input_576100!A$2</f>
        <v>576100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IFERROR(VLOOKUP(B171,input_576100!L:R,7,FALSE),VLOOKUP(tables_576100!C171,input_576100!A:H,8,FALSE))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input_576100!A$2</f>
        <v>576100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IFERROR(VLOOKUP(B172,input_576100!L:R,7,FALSE),VLOOKUP(tables_576100!C172,input_576100!A:H,8,FALSE))</f>
        <v>1153395</v>
      </c>
      <c r="P172" s="46">
        <f t="shared" ca="1" si="7"/>
        <v>8.4609375000322291E-3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input_576100!A$2</f>
        <v>576100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IFERROR(VLOOKUP(B173,input_576100!L:R,7,FALSE),VLOOKUP(tables_576100!C173,input_576100!A:H,8,FALSE))</f>
        <v>28673.07692</v>
      </c>
      <c r="P173" s="46">
        <f t="shared" ca="1" si="7"/>
        <v>2.1033653843976834E-4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input_576100!A$2</f>
        <v>576100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IFERROR(VLOOKUP(B174,input_576100!L:R,7,FALSE),VLOOKUP(tables_576100!C174,input_576100!A:H,8,FALSE))</f>
        <v>121714.28571</v>
      </c>
      <c r="P174" s="46">
        <f t="shared" ca="1" si="7"/>
        <v>8.9285714282910536E-4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input_576100!A$2</f>
        <v>576100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IFERROR(VLOOKUP(B175,input_576100!L:R,7,FALSE),VLOOKUP(tables_576100!C175,input_576100!A:H,8,FALSE))</f>
        <v>47333.333330000001</v>
      </c>
      <c r="P175" s="46">
        <f t="shared" ca="1" si="7"/>
        <v>3.4722222219909263E-4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input_576100!A$2</f>
        <v>576100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IFERROR(VLOOKUP(B176,input_576100!L:R,7,FALSE),VLOOKUP(tables_576100!C176,input_576100!A:H,8,FALSE))</f>
        <v>121714.28571</v>
      </c>
      <c r="P176" s="46">
        <f t="shared" ca="1" si="7"/>
        <v>8.9285714282910536E-4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input_576100!A$2</f>
        <v>576100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IFERROR(VLOOKUP(B177,input_576100!L:R,7,FALSE),VLOOKUP(tables_576100!C177,input_576100!A:H,8,FALSE))</f>
        <v>47333.333330000001</v>
      </c>
      <c r="P177" s="46">
        <f t="shared" ca="1" si="7"/>
        <v>3.4722222219909263E-4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input_576100!A$2</f>
        <v>576100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IFERROR(VLOOKUP(B178,input_576100!L:R,7,FALSE),VLOOKUP(tables_576100!C178,input_576100!A:H,8,FALSE))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input_576100!A$2</f>
        <v>576100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IFERROR(VLOOKUP(B179,input_576100!L:R,7,FALSE),VLOOKUP(tables_576100!C179,input_576100!A:H,8,FALSE))</f>
        <v>1153395</v>
      </c>
      <c r="P179" s="46">
        <f t="shared" ca="1" si="7"/>
        <v>8.4609375000322291E-3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input_576100!A$2</f>
        <v>576100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IFERROR(VLOOKUP(B180,input_576100!L:R,7,FALSE),VLOOKUP(tables_576100!C180,input_576100!A:H,8,FALSE))</f>
        <v>28673.07692</v>
      </c>
      <c r="P180" s="46">
        <f t="shared" ca="1" si="7"/>
        <v>2.1033653843976834E-4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input_576100!A$2</f>
        <v>576100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IFERROR(VLOOKUP(B181,input_576100!L:R,7,FALSE),VLOOKUP(tables_576100!C181,input_576100!A:H,8,FALSE))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input_576100!A$2</f>
        <v>576100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IFERROR(VLOOKUP(B182,input_576100!L:R,7,FALSE),VLOOKUP(tables_576100!C182,input_576100!A:H,8,FALSE))</f>
        <v>1153395</v>
      </c>
      <c r="P182" s="46">
        <f t="shared" ca="1" si="7"/>
        <v>8.4609375000322291E-3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input_576100!A$2</f>
        <v>576100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IFERROR(VLOOKUP(B183,input_576100!L:R,7,FALSE),VLOOKUP(tables_576100!C183,input_576100!A:H,8,FALSE))</f>
        <v>28673.07692</v>
      </c>
      <c r="P183" s="46">
        <f t="shared" ca="1" si="7"/>
        <v>2.1033653843976834E-4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input_576100!A$2</f>
        <v>576100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IFERROR(VLOOKUP(B184,input_576100!L:R,7,FALSE),VLOOKUP(tables_576100!C184,input_576100!A:H,8,FALSE))</f>
        <v>121714.28571</v>
      </c>
      <c r="P184" s="46">
        <f t="shared" ca="1" si="7"/>
        <v>8.9285714282910536E-4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input_576100!A$2</f>
        <v>576100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IFERROR(VLOOKUP(B185,input_576100!L:R,7,FALSE),VLOOKUP(tables_576100!C185,input_576100!A:H,8,FALSE))</f>
        <v>47333.333330000001</v>
      </c>
      <c r="P185" s="46">
        <f t="shared" ca="1" si="7"/>
        <v>3.4722222219909263E-4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input_576100!A$2</f>
        <v>576100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IFERROR(VLOOKUP(B186,input_576100!L:R,7,FALSE),VLOOKUP(tables_576100!C186,input_576100!A:H,8,FALSE))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input_576100!A$2</f>
        <v>576100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IFERROR(VLOOKUP(B187,input_576100!L:R,7,FALSE),VLOOKUP(tables_576100!C187,input_576100!A:H,8,FALSE))</f>
        <v>1153395</v>
      </c>
      <c r="P187" s="46">
        <f t="shared" ca="1" si="7"/>
        <v>8.4609375000322291E-3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input_576100!A$2</f>
        <v>576100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IFERROR(VLOOKUP(B188,input_576100!L:R,7,FALSE),VLOOKUP(tables_576100!C188,input_576100!A:H,8,FALSE))</f>
        <v>28673.07692</v>
      </c>
      <c r="P188" s="46">
        <f t="shared" ca="1" si="7"/>
        <v>2.1033653843976834E-4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input_576100!A$2</f>
        <v>576100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IFERROR(VLOOKUP(B189,input_576100!L:R,7,FALSE),VLOOKUP(tables_576100!C189,input_576100!A:H,8,FALSE))</f>
        <v>121714.28571</v>
      </c>
      <c r="P189" s="46">
        <f t="shared" ca="1" si="7"/>
        <v>8.9285714282910536E-4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input_576100!A$2</f>
        <v>576100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IFERROR(VLOOKUP(B190,input_576100!L:R,7,FALSE),VLOOKUP(tables_576100!C190,input_576100!A:H,8,FALSE))</f>
        <v>47333.333330000001</v>
      </c>
      <c r="P190" s="46">
        <f t="shared" ca="1" si="7"/>
        <v>3.4722222219909263E-4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input_576100!A$2</f>
        <v>576100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IFERROR(VLOOKUP(B191,input_576100!L:R,7,FALSE),VLOOKUP(tables_576100!C191,input_576100!A:H,8,FALSE))</f>
        <v>121714.28571</v>
      </c>
      <c r="P191" s="46">
        <f t="shared" ca="1" si="7"/>
        <v>8.9285714282910536E-4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input_576100!A$2</f>
        <v>576100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IFERROR(VLOOKUP(B192,input_576100!L:R,7,FALSE),VLOOKUP(tables_576100!C192,input_576100!A:H,8,FALSE))</f>
        <v>47333.333330000001</v>
      </c>
      <c r="P192" s="46">
        <f t="shared" ca="1" si="7"/>
        <v>3.4722222219909263E-4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input_576100!A$2</f>
        <v>576100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IFERROR(VLOOKUP(B193,input_576100!L:R,7,FALSE),VLOOKUP(tables_576100!C193,input_576100!A:H,8,FALSE))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input_576100!A$2</f>
        <v>576100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IFERROR(VLOOKUP(B194,input_576100!L:R,7,FALSE),VLOOKUP(tables_576100!C194,input_576100!A:H,8,FALSE))</f>
        <v>1153395</v>
      </c>
      <c r="P194" s="46">
        <f t="shared" ref="P194:P257" ca="1" si="10">O194/SUM(O:O)</f>
        <v>8.4609375000322291E-3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input_576100!A$2</f>
        <v>576100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IFERROR(VLOOKUP(B195,input_576100!L:R,7,FALSE),VLOOKUP(tables_576100!C195,input_576100!A:H,8,FALSE))</f>
        <v>28673.07692</v>
      </c>
      <c r="P195" s="46">
        <f t="shared" ca="1" si="10"/>
        <v>2.1033653843976834E-4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input_576100!A$2</f>
        <v>576100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IFERROR(VLOOKUP(B196,input_576100!L:R,7,FALSE),VLOOKUP(tables_576100!C196,input_576100!A:H,8,FALSE))</f>
        <v>121714.28571</v>
      </c>
      <c r="P196" s="46">
        <f t="shared" ca="1" si="10"/>
        <v>8.9285714282910536E-4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input_576100!A$2</f>
        <v>576100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IFERROR(VLOOKUP(B197,input_576100!L:R,7,FALSE),VLOOKUP(tables_576100!C197,input_576100!A:H,8,FALSE))</f>
        <v>47333.333330000001</v>
      </c>
      <c r="P197" s="46">
        <f t="shared" ca="1" si="10"/>
        <v>3.4722222219909263E-4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input_576100!A$2</f>
        <v>576100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IFERROR(VLOOKUP(B198,input_576100!L:R,7,FALSE),VLOOKUP(tables_576100!C198,input_576100!A:H,8,FALSE))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input_576100!A$2</f>
        <v>576100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IFERROR(VLOOKUP(B199,input_576100!L:R,7,FALSE),VLOOKUP(tables_576100!C199,input_576100!A:H,8,FALSE))</f>
        <v>1153395</v>
      </c>
      <c r="P199" s="46">
        <f t="shared" ca="1" si="10"/>
        <v>8.4609375000322291E-3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input_576100!A$2</f>
        <v>576100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IFERROR(VLOOKUP(B200,input_576100!L:R,7,FALSE),VLOOKUP(tables_576100!C200,input_576100!A:H,8,FALSE))</f>
        <v>28673.07692</v>
      </c>
      <c r="P200" s="46">
        <f t="shared" ca="1" si="10"/>
        <v>2.1033653843976834E-4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input_576100!A$2</f>
        <v>576100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IFERROR(VLOOKUP(B201,input_576100!L:R,7,FALSE),VLOOKUP(tables_576100!C201,input_576100!A:H,8,FALSE))</f>
        <v>121714.28571</v>
      </c>
      <c r="P201" s="46">
        <f t="shared" ca="1" si="10"/>
        <v>8.9285714282910536E-4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input_576100!A$2</f>
        <v>576100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IFERROR(VLOOKUP(B202,input_576100!L:R,7,FALSE),VLOOKUP(tables_576100!C202,input_576100!A:H,8,FALSE))</f>
        <v>47333.333330000001</v>
      </c>
      <c r="P202" s="46">
        <f t="shared" ca="1" si="10"/>
        <v>3.4722222219909263E-4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input_576100!A$2</f>
        <v>576100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IFERROR(VLOOKUP(B203,input_576100!L:R,7,FALSE),VLOOKUP(tables_576100!C203,input_576100!A:H,8,FALSE))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input_576100!A$2</f>
        <v>576100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IFERROR(VLOOKUP(B204,input_576100!L:R,7,FALSE),VLOOKUP(tables_576100!C204,input_576100!A:H,8,FALSE))</f>
        <v>1153395</v>
      </c>
      <c r="P204" s="46">
        <f t="shared" ca="1" si="10"/>
        <v>8.4609375000322291E-3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input_576100!A$2</f>
        <v>576100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IFERROR(VLOOKUP(B205,input_576100!L:R,7,FALSE),VLOOKUP(tables_576100!C205,input_576100!A:H,8,FALSE))</f>
        <v>28673.07692</v>
      </c>
      <c r="P205" s="46">
        <f t="shared" ca="1" si="10"/>
        <v>2.1033653843976834E-4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input_576100!A$2</f>
        <v>576100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IFERROR(VLOOKUP(B206,input_576100!L:R,7,FALSE),VLOOKUP(tables_576100!C206,input_576100!A:H,8,FALSE))</f>
        <v>121714.28571</v>
      </c>
      <c r="P206" s="46">
        <f t="shared" ca="1" si="10"/>
        <v>8.9285714282910536E-4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input_576100!A$2</f>
        <v>576100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IFERROR(VLOOKUP(B207,input_576100!L:R,7,FALSE),VLOOKUP(tables_576100!C207,input_576100!A:H,8,FALSE))</f>
        <v>47333.333330000001</v>
      </c>
      <c r="P207" s="46">
        <f t="shared" ca="1" si="10"/>
        <v>3.4722222219909263E-4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input_576100!A$2</f>
        <v>576100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IFERROR(VLOOKUP(B208,input_576100!L:R,7,FALSE),VLOOKUP(tables_576100!C208,input_576100!A:H,8,FALSE))</f>
        <v>121714.28571</v>
      </c>
      <c r="P208" s="46">
        <f t="shared" ca="1" si="10"/>
        <v>8.9285714282910536E-4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input_576100!A$2</f>
        <v>576100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IFERROR(VLOOKUP(B209,input_576100!L:R,7,FALSE),VLOOKUP(tables_576100!C209,input_576100!A:H,8,FALSE))</f>
        <v>47333.333330000001</v>
      </c>
      <c r="P209" s="46">
        <f t="shared" ca="1" si="10"/>
        <v>3.4722222219909263E-4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input_576100!A$2</f>
        <v>576100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IFERROR(VLOOKUP(B210,input_576100!L:R,7,FALSE),VLOOKUP(tables_576100!C210,input_576100!A:H,8,FALSE))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input_576100!A$2</f>
        <v>576100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IFERROR(VLOOKUP(B211,input_576100!L:R,7,FALSE),VLOOKUP(tables_576100!C211,input_576100!A:H,8,FALSE))</f>
        <v>1153395</v>
      </c>
      <c r="P211" s="46">
        <f t="shared" ca="1" si="10"/>
        <v>8.4609375000322291E-3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input_576100!A$2</f>
        <v>576100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IFERROR(VLOOKUP(B212,input_576100!L:R,7,FALSE),VLOOKUP(tables_576100!C212,input_576100!A:H,8,FALSE))</f>
        <v>28673.07692</v>
      </c>
      <c r="P212" s="46">
        <f t="shared" ca="1" si="10"/>
        <v>2.1033653843976834E-4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input_576100!A$2</f>
        <v>576100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IFERROR(VLOOKUP(B213,input_576100!L:R,7,FALSE),VLOOKUP(tables_576100!C213,input_576100!A:H,8,FALSE))</f>
        <v>121714.28571</v>
      </c>
      <c r="P213" s="46">
        <f t="shared" ca="1" si="10"/>
        <v>8.9285714282910536E-4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input_576100!A$2</f>
        <v>576100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IFERROR(VLOOKUP(B214,input_576100!L:R,7,FALSE),VLOOKUP(tables_576100!C214,input_576100!A:H,8,FALSE))</f>
        <v>47333.333330000001</v>
      </c>
      <c r="P214" s="46">
        <f t="shared" ca="1" si="10"/>
        <v>3.4722222219909263E-4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input_576100!A$2</f>
        <v>576100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IFERROR(VLOOKUP(B215,input_576100!L:R,7,FALSE),VLOOKUP(tables_576100!C215,input_576100!A:H,8,FALSE))</f>
        <v>63900</v>
      </c>
      <c r="P215" s="46">
        <f t="shared" ca="1" si="10"/>
        <v>4.6875000000178556E-4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input_576100!A$2</f>
        <v>576100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IFERROR(VLOOKUP(B216,input_576100!L:R,7,FALSE),VLOOKUP(tables_576100!C216,input_576100!A:H,8,FALSE))</f>
        <v>63900</v>
      </c>
      <c r="P216" s="46">
        <f t="shared" ca="1" si="10"/>
        <v>4.6875000000178556E-4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input_576100!A$2</f>
        <v>576100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IFERROR(VLOOKUP(B217,input_576100!L:R,7,FALSE),VLOOKUP(tables_576100!C217,input_576100!A:H,8,FALSE))</f>
        <v>63900</v>
      </c>
      <c r="P217" s="46">
        <f t="shared" ca="1" si="10"/>
        <v>4.6875000000178556E-4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input_576100!A$2</f>
        <v>576100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IFERROR(VLOOKUP(B218,input_576100!L:R,7,FALSE),VLOOKUP(tables_576100!C218,input_576100!A:H,8,FALSE))</f>
        <v>63900</v>
      </c>
      <c r="P218" s="46">
        <f t="shared" ca="1" si="10"/>
        <v>4.6875000000178556E-4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input_576100!A$2</f>
        <v>576100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IFERROR(VLOOKUP(B219,input_576100!L:R,7,FALSE),VLOOKUP(tables_576100!C219,input_576100!A:H,8,FALSE))</f>
        <v>63900</v>
      </c>
      <c r="P219" s="46">
        <f t="shared" ca="1" si="10"/>
        <v>4.6875000000178556E-4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input_576100!A$2</f>
        <v>576100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IFERROR(VLOOKUP(B220,input_576100!L:R,7,FALSE),VLOOKUP(tables_576100!C220,input_576100!A:H,8,FALSE))</f>
        <v>63900</v>
      </c>
      <c r="P220" s="46">
        <f t="shared" ca="1" si="10"/>
        <v>4.6875000000178556E-4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input_576100!A$2</f>
        <v>576100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IFERROR(VLOOKUP(B221,input_576100!L:R,7,FALSE),VLOOKUP(tables_576100!C221,input_576100!A:H,8,FALSE))</f>
        <v>121714.28571</v>
      </c>
      <c r="P221" s="46">
        <f t="shared" ca="1" si="10"/>
        <v>8.9285714282910536E-4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input_576100!A$2</f>
        <v>576100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IFERROR(VLOOKUP(B222,input_576100!L:R,7,FALSE),VLOOKUP(tables_576100!C222,input_576100!A:H,8,FALSE))</f>
        <v>47333.333330000001</v>
      </c>
      <c r="P222" s="46">
        <f t="shared" ca="1" si="10"/>
        <v>3.4722222219909263E-4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input_576100!A$2</f>
        <v>576100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IFERROR(VLOOKUP(B223,input_576100!L:R,7,FALSE),VLOOKUP(tables_576100!C223,input_576100!A:H,8,FALSE))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input_576100!A$2</f>
        <v>576100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IFERROR(VLOOKUP(B224,input_576100!L:R,7,FALSE),VLOOKUP(tables_576100!C224,input_576100!A:H,8,FALSE))</f>
        <v>1153395</v>
      </c>
      <c r="P224" s="46">
        <f t="shared" ca="1" si="10"/>
        <v>8.4609375000322291E-3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input_576100!A$2</f>
        <v>576100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IFERROR(VLOOKUP(B225,input_576100!L:R,7,FALSE),VLOOKUP(tables_576100!C225,input_576100!A:H,8,FALSE))</f>
        <v>28673.07692</v>
      </c>
      <c r="P225" s="46">
        <f t="shared" ca="1" si="10"/>
        <v>2.1033653843976834E-4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input_576100!A$2</f>
        <v>576100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IFERROR(VLOOKUP(B226,input_576100!L:R,7,FALSE),VLOOKUP(tables_576100!C226,input_576100!A:H,8,FALSE))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input_576100!A$2</f>
        <v>576100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IFERROR(VLOOKUP(B227,input_576100!L:R,7,FALSE),VLOOKUP(tables_576100!C227,input_576100!A:H,8,FALSE))</f>
        <v>1153395</v>
      </c>
      <c r="P227" s="46">
        <f t="shared" ca="1" si="10"/>
        <v>8.4609375000322291E-3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input_576100!A$2</f>
        <v>576100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IFERROR(VLOOKUP(B228,input_576100!L:R,7,FALSE),VLOOKUP(tables_576100!C228,input_576100!A:H,8,FALSE))</f>
        <v>28673.07692</v>
      </c>
      <c r="P228" s="46">
        <f t="shared" ca="1" si="10"/>
        <v>2.1033653843976834E-4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input_576100!A$2</f>
        <v>576100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IFERROR(VLOOKUP(B229,input_576100!L:R,7,FALSE),VLOOKUP(tables_576100!C229,input_576100!A:H,8,FALSE))</f>
        <v>121714.28571</v>
      </c>
      <c r="P229" s="46">
        <f t="shared" ca="1" si="10"/>
        <v>8.9285714282910536E-4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input_576100!A$2</f>
        <v>576100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IFERROR(VLOOKUP(B230,input_576100!L:R,7,FALSE),VLOOKUP(tables_576100!C230,input_576100!A:H,8,FALSE))</f>
        <v>47333.333330000001</v>
      </c>
      <c r="P230" s="46">
        <f t="shared" ca="1" si="10"/>
        <v>3.4722222219909263E-4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input_576100!A$2</f>
        <v>576100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IFERROR(VLOOKUP(B231,input_576100!L:R,7,FALSE),VLOOKUP(tables_576100!C231,input_576100!A:H,8,FALSE))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input_576100!A$2</f>
        <v>576100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IFERROR(VLOOKUP(B232,input_576100!L:R,7,FALSE),VLOOKUP(tables_576100!C232,input_576100!A:H,8,FALSE))</f>
        <v>1153395</v>
      </c>
      <c r="P232" s="46">
        <f t="shared" ca="1" si="10"/>
        <v>8.4609375000322291E-3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input_576100!A$2</f>
        <v>576100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IFERROR(VLOOKUP(B233,input_576100!L:R,7,FALSE),VLOOKUP(tables_576100!C233,input_576100!A:H,8,FALSE))</f>
        <v>28673.07692</v>
      </c>
      <c r="P233" s="46">
        <f t="shared" ca="1" si="10"/>
        <v>2.1033653843976834E-4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input_576100!A$2</f>
        <v>576100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IFERROR(VLOOKUP(B234,input_576100!L:R,7,FALSE),VLOOKUP(tables_576100!C234,input_576100!A:H,8,FALSE))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input_576100!A$2</f>
        <v>576100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IFERROR(VLOOKUP(B235,input_576100!L:R,7,FALSE),VLOOKUP(tables_576100!C235,input_576100!A:H,8,FALSE))</f>
        <v>1153395</v>
      </c>
      <c r="P235" s="46">
        <f t="shared" ca="1" si="10"/>
        <v>8.4609375000322291E-3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input_576100!A$2</f>
        <v>576100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IFERROR(VLOOKUP(B236,input_576100!L:R,7,FALSE),VLOOKUP(tables_576100!C236,input_576100!A:H,8,FALSE))</f>
        <v>28673.07692</v>
      </c>
      <c r="P236" s="46">
        <f t="shared" ca="1" si="10"/>
        <v>2.1033653843976834E-4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input_576100!A$2</f>
        <v>576100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IFERROR(VLOOKUP(B237,input_576100!L:R,7,FALSE),VLOOKUP(tables_576100!C237,input_576100!A:H,8,FALSE))</f>
        <v>121714.28571</v>
      </c>
      <c r="P237" s="46">
        <f t="shared" ca="1" si="10"/>
        <v>8.9285714282910536E-4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input_576100!A$2</f>
        <v>576100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IFERROR(VLOOKUP(B238,input_576100!L:R,7,FALSE),VLOOKUP(tables_576100!C238,input_576100!A:H,8,FALSE))</f>
        <v>47333.333330000001</v>
      </c>
      <c r="P238" s="46">
        <f t="shared" ca="1" si="10"/>
        <v>3.4722222219909263E-4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input_576100!A$2</f>
        <v>576100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IFERROR(VLOOKUP(B239,input_576100!L:R,7,FALSE),VLOOKUP(tables_576100!C239,input_576100!A:H,8,FALSE))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input_576100!A$2</f>
        <v>576100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IFERROR(VLOOKUP(B240,input_576100!L:R,7,FALSE),VLOOKUP(tables_576100!C240,input_576100!A:H,8,FALSE))</f>
        <v>1153395</v>
      </c>
      <c r="P240" s="46">
        <f t="shared" ca="1" si="10"/>
        <v>8.4609375000322291E-3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input_576100!A$2</f>
        <v>576100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IFERROR(VLOOKUP(B241,input_576100!L:R,7,FALSE),VLOOKUP(tables_576100!C241,input_576100!A:H,8,FALSE))</f>
        <v>28673.07692</v>
      </c>
      <c r="P241" s="46">
        <f t="shared" ca="1" si="10"/>
        <v>2.1033653843976834E-4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input_576100!A$2</f>
        <v>576100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IFERROR(VLOOKUP(B242,input_576100!L:R,7,FALSE),VLOOKUP(tables_576100!C242,input_576100!A:H,8,FALSE))</f>
        <v>121714.28571</v>
      </c>
      <c r="P242" s="46">
        <f t="shared" ca="1" si="10"/>
        <v>8.9285714282910536E-4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input_576100!A$2</f>
        <v>576100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IFERROR(VLOOKUP(B243,input_576100!L:R,7,FALSE),VLOOKUP(tables_576100!C243,input_576100!A:H,8,FALSE))</f>
        <v>47333.333330000001</v>
      </c>
      <c r="P243" s="46">
        <f t="shared" ca="1" si="10"/>
        <v>3.4722222219909263E-4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input_576100!A$2</f>
        <v>576100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IFERROR(VLOOKUP(B244,input_576100!L:R,7,FALSE),VLOOKUP(tables_576100!C244,input_576100!A:H,8,FALSE))</f>
        <v>121714.28571</v>
      </c>
      <c r="P244" s="46">
        <f t="shared" ca="1" si="10"/>
        <v>8.9285714282910536E-4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input_576100!A$2</f>
        <v>576100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IFERROR(VLOOKUP(B245,input_576100!L:R,7,FALSE),VLOOKUP(tables_576100!C245,input_576100!A:H,8,FALSE))</f>
        <v>47333.333330000001</v>
      </c>
      <c r="P245" s="46">
        <f t="shared" ca="1" si="10"/>
        <v>3.4722222219909263E-4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input_576100!A$2</f>
        <v>576100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IFERROR(VLOOKUP(B246,input_576100!L:R,7,FALSE),VLOOKUP(tables_576100!C246,input_576100!A:H,8,FALSE))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input_576100!A$2</f>
        <v>576100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IFERROR(VLOOKUP(B247,input_576100!L:R,7,FALSE),VLOOKUP(tables_576100!C247,input_576100!A:H,8,FALSE))</f>
        <v>1153395</v>
      </c>
      <c r="P247" s="46">
        <f t="shared" ca="1" si="10"/>
        <v>8.4609375000322291E-3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input_576100!A$2</f>
        <v>576100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IFERROR(VLOOKUP(B248,input_576100!L:R,7,FALSE),VLOOKUP(tables_576100!C248,input_576100!A:H,8,FALSE))</f>
        <v>28673.07692</v>
      </c>
      <c r="P248" s="46">
        <f t="shared" ca="1" si="10"/>
        <v>2.1033653843976834E-4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input_576100!A$2</f>
        <v>576100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IFERROR(VLOOKUP(B249,input_576100!L:R,7,FALSE),VLOOKUP(tables_576100!C249,input_576100!A:H,8,FALSE))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input_576100!A$2</f>
        <v>576100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IFERROR(VLOOKUP(B250,input_576100!L:R,7,FALSE),VLOOKUP(tables_576100!C250,input_576100!A:H,8,FALSE))</f>
        <v>1153395</v>
      </c>
      <c r="P250" s="46">
        <f t="shared" ca="1" si="10"/>
        <v>8.4609375000322291E-3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input_576100!A$2</f>
        <v>576100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IFERROR(VLOOKUP(B251,input_576100!L:R,7,FALSE),VLOOKUP(tables_576100!C251,input_576100!A:H,8,FALSE))</f>
        <v>28673.07692</v>
      </c>
      <c r="P251" s="46">
        <f t="shared" ca="1" si="10"/>
        <v>2.1033653843976834E-4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input_576100!A$2</f>
        <v>576100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IFERROR(VLOOKUP(B252,input_576100!L:R,7,FALSE),VLOOKUP(tables_576100!C252,input_576100!A:H,8,FALSE))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input_576100!A$2</f>
        <v>576100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IFERROR(VLOOKUP(B253,input_576100!L:R,7,FALSE),VLOOKUP(tables_576100!C253,input_576100!A:H,8,FALSE))</f>
        <v>1153395</v>
      </c>
      <c r="P253" s="46">
        <f t="shared" ca="1" si="10"/>
        <v>8.4609375000322291E-3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input_576100!A$2</f>
        <v>576100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IFERROR(VLOOKUP(B254,input_576100!L:R,7,FALSE),VLOOKUP(tables_576100!C254,input_576100!A:H,8,FALSE))</f>
        <v>28673.07692</v>
      </c>
      <c r="P254" s="46">
        <f t="shared" ca="1" si="10"/>
        <v>2.1033653843976834E-4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input_576100!A$2</f>
        <v>576100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IFERROR(VLOOKUP(B255,input_576100!L:R,7,FALSE),VLOOKUP(tables_576100!C255,input_576100!A:H,8,FALSE))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input_576100!A$2</f>
        <v>576100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IFERROR(VLOOKUP(B256,input_576100!L:R,7,FALSE),VLOOKUP(tables_576100!C256,input_576100!A:H,8,FALSE))</f>
        <v>1153395</v>
      </c>
      <c r="P256" s="46">
        <f t="shared" ca="1" si="10"/>
        <v>8.4609375000322291E-3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input_576100!A$2</f>
        <v>576100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IFERROR(VLOOKUP(B257,input_576100!L:R,7,FALSE),VLOOKUP(tables_576100!C257,input_576100!A:H,8,FALSE))</f>
        <v>28673.07692</v>
      </c>
      <c r="P257" s="46">
        <f t="shared" ca="1" si="10"/>
        <v>2.1033653843976834E-4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input_576100!A$2</f>
        <v>576100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IFERROR(VLOOKUP(B258,input_576100!L:R,7,FALSE),VLOOKUP(tables_576100!C258,input_576100!A:H,8,FALSE))</f>
        <v>121714.28571</v>
      </c>
      <c r="P258" s="46">
        <f t="shared" ref="P258:P321" ca="1" si="13">O258/SUM(O:O)</f>
        <v>8.9285714282910536E-4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input_576100!A$2</f>
        <v>576100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IFERROR(VLOOKUP(B259,input_576100!L:R,7,FALSE),VLOOKUP(tables_576100!C259,input_576100!A:H,8,FALSE))</f>
        <v>47333.333330000001</v>
      </c>
      <c r="P259" s="46">
        <f t="shared" ca="1" si="13"/>
        <v>3.4722222219909263E-4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input_576100!A$2</f>
        <v>576100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IFERROR(VLOOKUP(B260,input_576100!L:R,7,FALSE),VLOOKUP(tables_576100!C260,input_576100!A:H,8,FALSE))</f>
        <v>121714.28571</v>
      </c>
      <c r="P260" s="46">
        <f t="shared" ca="1" si="13"/>
        <v>8.9285714282910536E-4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input_576100!A$2</f>
        <v>576100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IFERROR(VLOOKUP(B261,input_576100!L:R,7,FALSE),VLOOKUP(tables_576100!C261,input_576100!A:H,8,FALSE))</f>
        <v>47333.333330000001</v>
      </c>
      <c r="P261" s="46">
        <f t="shared" ca="1" si="13"/>
        <v>3.4722222219909263E-4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input_576100!A$2</f>
        <v>576100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IFERROR(VLOOKUP(B262,input_576100!L:R,7,FALSE),VLOOKUP(tables_576100!C262,input_576100!A:H,8,FALSE))</f>
        <v>1153395</v>
      </c>
      <c r="P262" s="46">
        <f t="shared" ca="1" si="13"/>
        <v>8.4609375000322291E-3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input_576100!A$2</f>
        <v>576100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IFERROR(VLOOKUP(B263,input_576100!L:R,7,FALSE),VLOOKUP(tables_576100!C263,input_576100!A:H,8,FALSE))</f>
        <v>63900</v>
      </c>
      <c r="P263" s="46">
        <f t="shared" ca="1" si="13"/>
        <v>4.6875000000178556E-4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input_576100!A$2</f>
        <v>576100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IFERROR(VLOOKUP(B264,input_576100!L:R,7,FALSE),VLOOKUP(tables_576100!C264,input_576100!A:H,8,FALSE))</f>
        <v>1153395</v>
      </c>
      <c r="P264" s="46">
        <f t="shared" ca="1" si="13"/>
        <v>8.4609375000322291E-3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input_576100!A$2</f>
        <v>576100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IFERROR(VLOOKUP(B265,input_576100!L:R,7,FALSE),VLOOKUP(tables_576100!C265,input_576100!A:H,8,FALSE))</f>
        <v>63900</v>
      </c>
      <c r="P265" s="46">
        <f t="shared" ca="1" si="13"/>
        <v>4.6875000000178556E-4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input_576100!A$2</f>
        <v>576100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IFERROR(VLOOKUP(B266,input_576100!L:R,7,FALSE),VLOOKUP(tables_576100!C266,input_576100!A:H,8,FALSE))</f>
        <v>47333.333330000001</v>
      </c>
      <c r="P266" s="46">
        <f t="shared" ca="1" si="13"/>
        <v>3.4722222219909263E-4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input_576100!A$2</f>
        <v>576100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IFERROR(VLOOKUP(B267,input_576100!L:R,7,FALSE),VLOOKUP(tables_576100!C267,input_576100!A:H,8,FALSE))</f>
        <v>47333.333330000001</v>
      </c>
      <c r="P267" s="46">
        <f t="shared" ca="1" si="13"/>
        <v>3.4722222219909263E-4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input_576100!A$2</f>
        <v>576100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IFERROR(VLOOKUP(B268,input_576100!L:R,7,FALSE),VLOOKUP(tables_576100!C268,input_576100!A:H,8,FALSE))</f>
        <v>47333.333330000001</v>
      </c>
      <c r="P268" s="46">
        <f t="shared" ca="1" si="13"/>
        <v>3.4722222219909263E-4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input_576100!A$2</f>
        <v>576100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IFERROR(VLOOKUP(B269,input_576100!L:R,7,FALSE),VLOOKUP(tables_576100!C269,input_576100!A:H,8,FALSE))</f>
        <v>47333.333330000001</v>
      </c>
      <c r="P269" s="46">
        <f t="shared" ca="1" si="13"/>
        <v>3.4722222219909263E-4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input_576100!A$2</f>
        <v>576100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IFERROR(VLOOKUP(B270,input_576100!L:R,7,FALSE),VLOOKUP(tables_576100!C270,input_576100!A:H,8,FALSE))</f>
        <v>1153395</v>
      </c>
      <c r="P270" s="46">
        <f t="shared" ca="1" si="13"/>
        <v>8.4609375000322291E-3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input_576100!A$2</f>
        <v>576100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IFERROR(VLOOKUP(B271,input_576100!L:R,7,FALSE),VLOOKUP(tables_576100!C271,input_576100!A:H,8,FALSE))</f>
        <v>63900</v>
      </c>
      <c r="P271" s="46">
        <f t="shared" ca="1" si="13"/>
        <v>4.6875000000178556E-4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input_576100!A$2</f>
        <v>576100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IFERROR(VLOOKUP(B272,input_576100!L:R,7,FALSE),VLOOKUP(tables_576100!C272,input_576100!A:H,8,FALSE))</f>
        <v>1153395</v>
      </c>
      <c r="P272" s="46">
        <f t="shared" ca="1" si="13"/>
        <v>8.4609375000322291E-3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input_576100!A$2</f>
        <v>576100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IFERROR(VLOOKUP(B273,input_576100!L:R,7,FALSE),VLOOKUP(tables_576100!C273,input_576100!A:H,8,FALSE))</f>
        <v>63900</v>
      </c>
      <c r="P273" s="46">
        <f t="shared" ca="1" si="13"/>
        <v>4.6875000000178556E-4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input_576100!A$2</f>
        <v>576100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IFERROR(VLOOKUP(B274,input_576100!L:R,7,FALSE),VLOOKUP(tables_576100!C274,input_576100!A:H,8,FALSE))</f>
        <v>121714.28571</v>
      </c>
      <c r="P274" s="46">
        <f t="shared" ca="1" si="13"/>
        <v>8.9285714282910536E-4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input_576100!A$2</f>
        <v>576100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IFERROR(VLOOKUP(B275,input_576100!L:R,7,FALSE),VLOOKUP(tables_576100!C275,input_576100!A:H,8,FALSE))</f>
        <v>47333.333330000001</v>
      </c>
      <c r="P275" s="46">
        <f t="shared" ca="1" si="13"/>
        <v>3.4722222219909263E-4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input_576100!A$2</f>
        <v>576100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IFERROR(VLOOKUP(B276,input_576100!L:R,7,FALSE),VLOOKUP(tables_576100!C276,input_576100!A:H,8,FALSE))</f>
        <v>121714.28571</v>
      </c>
      <c r="P276" s="46">
        <f t="shared" ca="1" si="13"/>
        <v>8.9285714282910536E-4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input_576100!A$2</f>
        <v>576100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IFERROR(VLOOKUP(B277,input_576100!L:R,7,FALSE),VLOOKUP(tables_576100!C277,input_576100!A:H,8,FALSE))</f>
        <v>47333.333330000001</v>
      </c>
      <c r="P277" s="46">
        <f t="shared" ca="1" si="13"/>
        <v>3.4722222219909263E-4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input_576100!A$2</f>
        <v>576100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IFERROR(VLOOKUP(B278,input_576100!L:R,7,FALSE),VLOOKUP(tables_576100!C278,input_576100!A:H,8,FALSE))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input_576100!A$2</f>
        <v>576100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IFERROR(VLOOKUP(B279,input_576100!L:R,7,FALSE),VLOOKUP(tables_576100!C279,input_576100!A:H,8,FALSE))</f>
        <v>1153395</v>
      </c>
      <c r="P279" s="46">
        <f t="shared" ca="1" si="13"/>
        <v>8.4609375000322291E-3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input_576100!A$2</f>
        <v>576100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IFERROR(VLOOKUP(B280,input_576100!L:R,7,FALSE),VLOOKUP(tables_576100!C280,input_576100!A:H,8,FALSE))</f>
        <v>28673.07692</v>
      </c>
      <c r="P280" s="46">
        <f t="shared" ca="1" si="13"/>
        <v>2.1033653843976834E-4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input_576100!A$2</f>
        <v>576100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IFERROR(VLOOKUP(B281,input_576100!L:R,7,FALSE),VLOOKUP(tables_576100!C281,input_576100!A:H,8,FALSE))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input_576100!A$2</f>
        <v>576100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IFERROR(VLOOKUP(B282,input_576100!L:R,7,FALSE),VLOOKUP(tables_576100!C282,input_576100!A:H,8,FALSE))</f>
        <v>1153395</v>
      </c>
      <c r="P282" s="46">
        <f t="shared" ca="1" si="13"/>
        <v>8.4609375000322291E-3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input_576100!A$2</f>
        <v>576100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IFERROR(VLOOKUP(B283,input_576100!L:R,7,FALSE),VLOOKUP(tables_576100!C283,input_576100!A:H,8,FALSE))</f>
        <v>28673.07692</v>
      </c>
      <c r="P283" s="46">
        <f t="shared" ca="1" si="13"/>
        <v>2.1033653843976834E-4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input_576100!A$2</f>
        <v>576100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IFERROR(VLOOKUP(B284,input_576100!L:R,7,FALSE),VLOOKUP(tables_576100!C284,input_576100!A:H,8,FALSE))</f>
        <v>47333.333330000001</v>
      </c>
      <c r="P284" s="46">
        <f t="shared" ca="1" si="13"/>
        <v>3.4722222219909263E-4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input_576100!A$2</f>
        <v>576100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IFERROR(VLOOKUP(B285,input_576100!L:R,7,FALSE),VLOOKUP(tables_576100!C285,input_576100!A:H,8,FALSE))</f>
        <v>47333.333330000001</v>
      </c>
      <c r="P285" s="46">
        <f t="shared" ca="1" si="13"/>
        <v>3.4722222219909263E-4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input_576100!A$2</f>
        <v>576100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IFERROR(VLOOKUP(B286,input_576100!L:R,7,FALSE),VLOOKUP(tables_576100!C286,input_576100!A:H,8,FALSE))</f>
        <v>1153395</v>
      </c>
      <c r="P286" s="46">
        <f t="shared" ca="1" si="13"/>
        <v>8.4609375000322291E-3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input_576100!A$2</f>
        <v>576100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IFERROR(VLOOKUP(B287,input_576100!L:R,7,FALSE),VLOOKUP(tables_576100!C287,input_576100!A:H,8,FALSE))</f>
        <v>63900</v>
      </c>
      <c r="P287" s="46">
        <f t="shared" ca="1" si="13"/>
        <v>4.6875000000178556E-4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input_576100!A$2</f>
        <v>576100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IFERROR(VLOOKUP(B288,input_576100!L:R,7,FALSE),VLOOKUP(tables_576100!C288,input_576100!A:H,8,FALSE))</f>
        <v>1153395</v>
      </c>
      <c r="P288" s="46">
        <f t="shared" ca="1" si="13"/>
        <v>8.4609375000322291E-3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input_576100!A$2</f>
        <v>576100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IFERROR(VLOOKUP(B289,input_576100!L:R,7,FALSE),VLOOKUP(tables_576100!C289,input_576100!A:H,8,FALSE))</f>
        <v>63900</v>
      </c>
      <c r="P289" s="46">
        <f t="shared" ca="1" si="13"/>
        <v>4.6875000000178556E-4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input_576100!A$2</f>
        <v>576100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IFERROR(VLOOKUP(B290,input_576100!L:R,7,FALSE),VLOOKUP(tables_576100!C290,input_576100!A:H,8,FALSE))</f>
        <v>1153395</v>
      </c>
      <c r="P290" s="46">
        <f t="shared" ca="1" si="13"/>
        <v>8.4609375000322291E-3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input_576100!A$2</f>
        <v>576100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IFERROR(VLOOKUP(B291,input_576100!L:R,7,FALSE),VLOOKUP(tables_576100!C291,input_576100!A:H,8,FALSE))</f>
        <v>63900</v>
      </c>
      <c r="P291" s="46">
        <f t="shared" ca="1" si="13"/>
        <v>4.6875000000178556E-4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input_576100!A$2</f>
        <v>576100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IFERROR(VLOOKUP(B292,input_576100!L:R,7,FALSE),VLOOKUP(tables_576100!C292,input_576100!A:H,8,FALSE))</f>
        <v>1153395</v>
      </c>
      <c r="P292" s="46">
        <f t="shared" ca="1" si="13"/>
        <v>8.4609375000322291E-3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input_576100!A$2</f>
        <v>576100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IFERROR(VLOOKUP(B293,input_576100!L:R,7,FALSE),VLOOKUP(tables_576100!C293,input_576100!A:H,8,FALSE))</f>
        <v>63900</v>
      </c>
      <c r="P293" s="46">
        <f t="shared" ca="1" si="13"/>
        <v>4.6875000000178556E-4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input_576100!A$2</f>
        <v>576100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IFERROR(VLOOKUP(B294,input_576100!L:R,7,FALSE),VLOOKUP(tables_576100!C294,input_576100!A:H,8,FALSE))</f>
        <v>47333.333330000001</v>
      </c>
      <c r="P294" s="46">
        <f t="shared" ca="1" si="13"/>
        <v>3.4722222219909263E-4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input_576100!A$2</f>
        <v>576100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IFERROR(VLOOKUP(B295,input_576100!L:R,7,FALSE),VLOOKUP(tables_576100!C295,input_576100!A:H,8,FALSE))</f>
        <v>47333.333330000001</v>
      </c>
      <c r="P295" s="46">
        <f t="shared" ca="1" si="13"/>
        <v>3.4722222219909263E-4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input_576100!A$2</f>
        <v>576100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IFERROR(VLOOKUP(B296,input_576100!L:R,7,FALSE),VLOOKUP(tables_576100!C296,input_576100!A:H,8,FALSE))</f>
        <v>47333.333330000001</v>
      </c>
      <c r="P296" s="46">
        <f t="shared" ca="1" si="13"/>
        <v>3.4722222219909263E-4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input_576100!A$2</f>
        <v>576100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IFERROR(VLOOKUP(B297,input_576100!L:R,7,FALSE),VLOOKUP(tables_576100!C297,input_576100!A:H,8,FALSE))</f>
        <v>1153395</v>
      </c>
      <c r="P297" s="46">
        <f t="shared" ca="1" si="13"/>
        <v>8.4609375000322291E-3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input_576100!A$2</f>
        <v>576100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IFERROR(VLOOKUP(B298,input_576100!L:R,7,FALSE),VLOOKUP(tables_576100!C298,input_576100!A:H,8,FALSE))</f>
        <v>63900</v>
      </c>
      <c r="P298" s="46">
        <f t="shared" ca="1" si="13"/>
        <v>4.6875000000178556E-4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input_576100!A$2</f>
        <v>576100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IFERROR(VLOOKUP(B299,input_576100!L:R,7,FALSE),VLOOKUP(tables_576100!C299,input_576100!A:H,8,FALSE))</f>
        <v>47333.333330000001</v>
      </c>
      <c r="P299" s="46">
        <f t="shared" ca="1" si="13"/>
        <v>3.4722222219909263E-4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input_576100!A$2</f>
        <v>576100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IFERROR(VLOOKUP(B300,input_576100!L:R,7,FALSE),VLOOKUP(tables_576100!C300,input_576100!A:H,8,FALSE))</f>
        <v>47333.333330000001</v>
      </c>
      <c r="P300" s="46">
        <f t="shared" ca="1" si="13"/>
        <v>3.4722222219909263E-4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input_576100!A$2</f>
        <v>576100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IFERROR(VLOOKUP(B301,input_576100!L:R,7,FALSE),VLOOKUP(tables_576100!C301,input_576100!A:H,8,FALSE))</f>
        <v>47333.333330000001</v>
      </c>
      <c r="P301" s="46">
        <f t="shared" ca="1" si="13"/>
        <v>3.4722222219909263E-4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input_576100!A$2</f>
        <v>576100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IFERROR(VLOOKUP(B302,input_576100!L:R,7,FALSE),VLOOKUP(tables_576100!C302,input_576100!A:H,8,FALSE))</f>
        <v>47333.333330000001</v>
      </c>
      <c r="P302" s="46">
        <f t="shared" ca="1" si="13"/>
        <v>3.4722222219909263E-4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input_576100!A$2</f>
        <v>576100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IFERROR(VLOOKUP(B303,input_576100!L:R,7,FALSE),VLOOKUP(tables_576100!C303,input_576100!A:H,8,FALSE))</f>
        <v>1153395</v>
      </c>
      <c r="P303" s="46">
        <f t="shared" ca="1" si="13"/>
        <v>8.4609375000322291E-3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input_576100!A$2</f>
        <v>576100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IFERROR(VLOOKUP(B304,input_576100!L:R,7,FALSE),VLOOKUP(tables_576100!C304,input_576100!A:H,8,FALSE))</f>
        <v>63900</v>
      </c>
      <c r="P304" s="46">
        <f t="shared" ca="1" si="13"/>
        <v>4.6875000000178556E-4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input_576100!A$2</f>
        <v>576100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IFERROR(VLOOKUP(B305,input_576100!L:R,7,FALSE),VLOOKUP(tables_576100!C305,input_576100!A:H,8,FALSE))</f>
        <v>47333.333330000001</v>
      </c>
      <c r="P305" s="46">
        <f t="shared" ca="1" si="13"/>
        <v>3.4722222219909263E-4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input_576100!A$2</f>
        <v>576100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IFERROR(VLOOKUP(B306,input_576100!L:R,7,FALSE),VLOOKUP(tables_576100!C306,input_576100!A:H,8,FALSE))</f>
        <v>1153395</v>
      </c>
      <c r="P306" s="46">
        <f t="shared" ca="1" si="13"/>
        <v>8.4609375000322291E-3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input_576100!A$2</f>
        <v>576100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IFERROR(VLOOKUP(B307,input_576100!L:R,7,FALSE),VLOOKUP(tables_576100!C307,input_576100!A:H,8,FALSE))</f>
        <v>63900</v>
      </c>
      <c r="P307" s="46">
        <f t="shared" ca="1" si="13"/>
        <v>4.6875000000178556E-4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input_576100!A$2</f>
        <v>576100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IFERROR(VLOOKUP(B308,input_576100!L:R,7,FALSE),VLOOKUP(tables_576100!C308,input_576100!A:H,8,FALSE))</f>
        <v>47333.333330000001</v>
      </c>
      <c r="P308" s="46">
        <f t="shared" ca="1" si="13"/>
        <v>3.4722222219909263E-4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input_576100!A$2</f>
        <v>576100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IFERROR(VLOOKUP(B309,input_576100!L:R,7,FALSE),VLOOKUP(tables_576100!C309,input_576100!A:H,8,FALSE))</f>
        <v>47333.333330000001</v>
      </c>
      <c r="P309" s="46">
        <f t="shared" ca="1" si="13"/>
        <v>3.4722222219909263E-4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input_576100!A$2</f>
        <v>576100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IFERROR(VLOOKUP(B310,input_576100!L:R,7,FALSE),VLOOKUP(tables_576100!C310,input_576100!A:H,8,FALSE))</f>
        <v>47333.333330000001</v>
      </c>
      <c r="P310" s="46">
        <f t="shared" ca="1" si="13"/>
        <v>3.4722222219909263E-4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input_576100!A$2</f>
        <v>576100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IFERROR(VLOOKUP(B311,input_576100!L:R,7,FALSE),VLOOKUP(tables_576100!C311,input_576100!A:H,8,FALSE))</f>
        <v>1153395</v>
      </c>
      <c r="P311" s="46">
        <f t="shared" ca="1" si="13"/>
        <v>8.4609375000322291E-3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input_576100!A$2</f>
        <v>576100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IFERROR(VLOOKUP(B312,input_576100!L:R,7,FALSE),VLOOKUP(tables_576100!C312,input_576100!A:H,8,FALSE))</f>
        <v>63900</v>
      </c>
      <c r="P312" s="46">
        <f t="shared" ca="1" si="13"/>
        <v>4.6875000000178556E-4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input_576100!A$2</f>
        <v>576100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IFERROR(VLOOKUP(B313,input_576100!L:R,7,FALSE),VLOOKUP(tables_576100!C313,input_576100!A:H,8,FALSE))</f>
        <v>47333.333330000001</v>
      </c>
      <c r="P313" s="46">
        <f t="shared" ca="1" si="13"/>
        <v>3.4722222219909263E-4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input_576100!A$2</f>
        <v>576100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IFERROR(VLOOKUP(B314,input_576100!L:R,7,FALSE),VLOOKUP(tables_576100!C314,input_576100!A:H,8,FALSE))</f>
        <v>47333.333330000001</v>
      </c>
      <c r="P314" s="46">
        <f t="shared" ca="1" si="13"/>
        <v>3.4722222219909263E-4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input_576100!A$2</f>
        <v>576100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IFERROR(VLOOKUP(B315,input_576100!L:R,7,FALSE),VLOOKUP(tables_576100!C315,input_576100!A:H,8,FALSE))</f>
        <v>47333.333330000001</v>
      </c>
      <c r="P315" s="46">
        <f t="shared" ca="1" si="13"/>
        <v>3.4722222219909263E-4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input_576100!A$2</f>
        <v>576100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IFERROR(VLOOKUP(B316,input_576100!L:R,7,FALSE),VLOOKUP(tables_576100!C316,input_576100!A:H,8,FALSE))</f>
        <v>47333.333330000001</v>
      </c>
      <c r="P316" s="46">
        <f t="shared" ca="1" si="13"/>
        <v>3.4722222219909263E-4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input_576100!A$2</f>
        <v>576100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IFERROR(VLOOKUP(B317,input_576100!L:R,7,FALSE),VLOOKUP(tables_576100!C317,input_576100!A:H,8,FALSE))</f>
        <v>47333.333330000001</v>
      </c>
      <c r="P317" s="46">
        <f t="shared" ca="1" si="13"/>
        <v>3.4722222219909263E-4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input_576100!A$2</f>
        <v>576100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IFERROR(VLOOKUP(B318,input_576100!L:R,7,FALSE),VLOOKUP(tables_576100!C318,input_576100!A:H,8,FALSE))</f>
        <v>1153395</v>
      </c>
      <c r="P318" s="46">
        <f t="shared" ca="1" si="13"/>
        <v>8.4609375000322291E-3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input_576100!A$2</f>
        <v>576100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IFERROR(VLOOKUP(B319,input_576100!L:R,7,FALSE),VLOOKUP(tables_576100!C319,input_576100!A:H,8,FALSE))</f>
        <v>63900</v>
      </c>
      <c r="P319" s="46">
        <f t="shared" ca="1" si="13"/>
        <v>4.6875000000178556E-4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input_576100!A$2</f>
        <v>576100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IFERROR(VLOOKUP(B320,input_576100!L:R,7,FALSE),VLOOKUP(tables_576100!C320,input_576100!A:H,8,FALSE))</f>
        <v>47333.333330000001</v>
      </c>
      <c r="P320" s="46">
        <f t="shared" ca="1" si="13"/>
        <v>3.4722222219909263E-4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input_576100!A$2</f>
        <v>576100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IFERROR(VLOOKUP(B321,input_576100!L:R,7,FALSE),VLOOKUP(tables_576100!C321,input_576100!A:H,8,FALSE))</f>
        <v>47333.333330000001</v>
      </c>
      <c r="P321" s="46">
        <f t="shared" ca="1" si="13"/>
        <v>3.4722222219909263E-4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input_576100!A$2</f>
        <v>576100</v>
      </c>
      <c r="B322" s="5">
        <v>1139</v>
      </c>
      <c r="C322" s="7" t="str">
        <f t="shared" ref="C322:C340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IFERROR(VLOOKUP(B322,input_576100!L:R,7,FALSE),VLOOKUP(tables_576100!C322,input_576100!A:H,8,FALSE))</f>
        <v>47333.333330000001</v>
      </c>
      <c r="P322" s="46">
        <f t="shared" ref="P322:P340" ca="1" si="16">O322/SUM(O:O)</f>
        <v>3.4722222219909263E-4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input_576100!A$2</f>
        <v>576100</v>
      </c>
      <c r="B323" s="5">
        <v>1141</v>
      </c>
      <c r="C323" s="7" t="str">
        <f t="shared" si="15"/>
        <v>PremiumSS5R5only</v>
      </c>
      <c r="D323" s="7" t="str">
        <f t="shared" ref="D323:D340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IFERROR(VLOOKUP(B323,input_576100!L:R,7,FALSE),VLOOKUP(tables_576100!C323,input_576100!A:H,8,FALSE))</f>
        <v>47333.333330000001</v>
      </c>
      <c r="P323" s="46">
        <f t="shared" ca="1" si="16"/>
        <v>3.4722222219909263E-4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input_576100!A$2</f>
        <v>576100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IFERROR(VLOOKUP(B324,input_576100!L:R,7,FALSE),VLOOKUP(tables_576100!C324,input_576100!A:H,8,FALSE))</f>
        <v>1153395</v>
      </c>
      <c r="P324" s="46">
        <f t="shared" ca="1" si="16"/>
        <v>8.4609375000322291E-3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input_576100!A$2</f>
        <v>576100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IFERROR(VLOOKUP(B325,input_576100!L:R,7,FALSE),VLOOKUP(tables_576100!C325,input_576100!A:H,8,FALSE))</f>
        <v>63900</v>
      </c>
      <c r="P325" s="46">
        <f t="shared" ca="1" si="16"/>
        <v>4.6875000000178556E-4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input_576100!A$2</f>
        <v>576100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IFERROR(VLOOKUP(B326,input_576100!L:R,7,FALSE),VLOOKUP(tables_576100!C326,input_576100!A:H,8,FALSE))</f>
        <v>1153395</v>
      </c>
      <c r="P326" s="46">
        <f t="shared" ca="1" si="16"/>
        <v>8.4609375000322291E-3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input_576100!A$2</f>
        <v>576100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IFERROR(VLOOKUP(B327,input_576100!L:R,7,FALSE),VLOOKUP(tables_576100!C327,input_576100!A:H,8,FALSE))</f>
        <v>63900</v>
      </c>
      <c r="P327" s="46">
        <f t="shared" ca="1" si="16"/>
        <v>4.6875000000178556E-4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input_576100!A$2</f>
        <v>576100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IFERROR(VLOOKUP(B328,input_576100!L:R,7,FALSE),VLOOKUP(tables_576100!C328,input_576100!A:H,8,FALSE))</f>
        <v>47333.333330000001</v>
      </c>
      <c r="P328" s="46">
        <f t="shared" ca="1" si="16"/>
        <v>3.4722222219909263E-4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input_576100!A$2</f>
        <v>576100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IFERROR(VLOOKUP(B329,input_576100!L:R,7,FALSE),VLOOKUP(tables_576100!C329,input_576100!A:H,8,FALSE))</f>
        <v>47333.333330000001</v>
      </c>
      <c r="P329" s="46">
        <f t="shared" ca="1" si="16"/>
        <v>3.4722222219909263E-4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input_576100!A$2</f>
        <v>576100</v>
      </c>
      <c r="B330" s="2">
        <v>1157</v>
      </c>
      <c r="C330" s="7" t="str">
        <f t="shared" si="15"/>
        <v>PremiumSS5R5only</v>
      </c>
      <c r="D330" s="91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IFERROR(VLOOKUP(B330,input_576100!L:R,7,FALSE),VLOOKUP(tables_576100!C330,input_576100!A:H,8,FALSE))</f>
        <v>47333.333330000001</v>
      </c>
      <c r="P330" s="46">
        <f t="shared" ca="1" si="16"/>
        <v>3.4722222219909263E-4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input_576100!A$2</f>
        <v>576100</v>
      </c>
      <c r="B331" s="60">
        <v>1214</v>
      </c>
      <c r="C331" s="7" t="str">
        <f t="shared" si="15"/>
        <v>PremiumSS5R5only</v>
      </c>
      <c r="D331" s="91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IFERROR(VLOOKUP(B331,input_576100!L:R,7,FALSE),VLOOKUP(tables_576100!C331,input_576100!A:H,8,FALSE))</f>
        <v>47333.333330000001</v>
      </c>
      <c r="P331" s="46">
        <f t="shared" ca="1" si="16"/>
        <v>3.4722222219909263E-4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input_576100!A$2</f>
        <v>576100</v>
      </c>
      <c r="B332" s="60">
        <v>1212</v>
      </c>
      <c r="C332" s="7" t="str">
        <f t="shared" si="15"/>
        <v>PremiumSS5R5only</v>
      </c>
      <c r="D332" s="91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IFERROR(VLOOKUP(B332,input_576100!L:R,7,FALSE),VLOOKUP(tables_576100!C332,input_576100!A:H,8,FALSE))</f>
        <v>47333.333330000001</v>
      </c>
      <c r="P332" s="46">
        <f t="shared" ca="1" si="16"/>
        <v>3.4722222219909263E-4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input_576100!A$2</f>
        <v>576100</v>
      </c>
      <c r="B333" s="60">
        <v>1208</v>
      </c>
      <c r="C333" s="7" t="str">
        <f t="shared" si="15"/>
        <v>PremiumSS5R5only</v>
      </c>
      <c r="D333" s="91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IFERROR(VLOOKUP(B333,input_576100!L:R,7,FALSE),VLOOKUP(tables_576100!C333,input_576100!A:H,8,FALSE))</f>
        <v>47333.333330000001</v>
      </c>
      <c r="P333" s="46">
        <f t="shared" ca="1" si="16"/>
        <v>3.4722222219909263E-4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input_576100!A$2</f>
        <v>576100</v>
      </c>
      <c r="B334" s="89">
        <v>1210</v>
      </c>
      <c r="C334" s="7" t="str">
        <f t="shared" si="15"/>
        <v>Premium4R3less</v>
      </c>
      <c r="D334" s="91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IFERROR(VLOOKUP(B334,input_576100!L:R,7,FALSE),VLOOKUP(tables_576100!C334,input_576100!A:H,8,FALSE))</f>
        <v>1153395</v>
      </c>
      <c r="P334" s="46">
        <f t="shared" ca="1" si="16"/>
        <v>8.4609375000322291E-3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input_576100!A$2</f>
        <v>576100</v>
      </c>
      <c r="B335" s="60">
        <v>1211</v>
      </c>
      <c r="C335" s="7" t="str">
        <f t="shared" si="15"/>
        <v>Premium5R3less</v>
      </c>
      <c r="D335" s="91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IFERROR(VLOOKUP(B335,input_576100!L:R,7,FALSE),VLOOKUP(tables_576100!C335,input_576100!A:H,8,FALSE))</f>
        <v>63900</v>
      </c>
      <c r="P335" s="46">
        <f t="shared" ca="1" si="16"/>
        <v>4.6875000000178556E-4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input_576100!A$2</f>
        <v>576100</v>
      </c>
      <c r="B336" s="2">
        <v>1224</v>
      </c>
      <c r="C336" s="7" t="str">
        <f t="shared" si="15"/>
        <v>Premium4R3less</v>
      </c>
      <c r="D336" s="91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IFERROR(VLOOKUP(B336,input_576100!L:R,7,FALSE),VLOOKUP(tables_576100!C336,input_576100!A:H,8,FALSE))</f>
        <v>1153395</v>
      </c>
      <c r="P336" s="46">
        <f t="shared" ca="1" si="16"/>
        <v>8.4609375000322291E-3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input_576100!A$2</f>
        <v>576100</v>
      </c>
      <c r="B337" s="2">
        <v>1225</v>
      </c>
      <c r="C337" s="7" t="str">
        <f t="shared" si="15"/>
        <v>Premium5R3less</v>
      </c>
      <c r="D337" s="91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IFERROR(VLOOKUP(B337,input_576100!L:R,7,FALSE),VLOOKUP(tables_576100!C337,input_576100!A:H,8,FALSE))</f>
        <v>63900</v>
      </c>
      <c r="P337" s="46">
        <f t="shared" ca="1" si="16"/>
        <v>4.6875000000178556E-4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input_576100!A$2</f>
        <v>576100</v>
      </c>
      <c r="B338" s="2">
        <v>1226</v>
      </c>
      <c r="C338" s="7" t="str">
        <f t="shared" si="15"/>
        <v>PremiumSS5R5only</v>
      </c>
      <c r="D338" s="91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IFERROR(VLOOKUP(B338,input_576100!L:R,7,FALSE),VLOOKUP(tables_576100!C338,input_576100!A:H,8,FALSE))</f>
        <v>47333.333330000001</v>
      </c>
      <c r="P338" s="46">
        <f t="shared" ca="1" si="16"/>
        <v>3.4722222219909263E-4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input_576100!A$2</f>
        <v>576100</v>
      </c>
      <c r="B339" s="2">
        <v>1228</v>
      </c>
      <c r="C339" s="7" t="str">
        <f t="shared" si="15"/>
        <v>PremiumSS5R5only</v>
      </c>
      <c r="D339" s="91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IFERROR(VLOOKUP(B339,input_576100!L:R,7,FALSE),VLOOKUP(tables_576100!C339,input_576100!A:H,8,FALSE))</f>
        <v>47333.333330000001</v>
      </c>
      <c r="P339" s="46">
        <f t="shared" ca="1" si="16"/>
        <v>3.4722222219909263E-4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input_576100!A$2</f>
        <v>576100</v>
      </c>
      <c r="B340" s="2">
        <v>1230</v>
      </c>
      <c r="C340" s="7" t="str">
        <f t="shared" si="15"/>
        <v>PremiumSS5R5only</v>
      </c>
      <c r="D340" s="91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IFERROR(VLOOKUP(B340,input_576100!L:R,7,FALSE),VLOOKUP(tables_576100!C340,input_576100!A:H,8,FALSE))</f>
        <v>47333.333330000001</v>
      </c>
      <c r="P340" s="46">
        <f t="shared" ca="1" si="16"/>
        <v>3.4722222219909263E-4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input_576100!A$2</f>
        <v>576100</v>
      </c>
      <c r="B341" s="1">
        <v>1250</v>
      </c>
      <c r="C341" s="7" t="str">
        <f t="shared" ref="C341" si="18">D341&amp;J341&amp;E341&amp;F341&amp;G341</f>
        <v>PremiumSS5R5only</v>
      </c>
      <c r="D341" s="91" t="str">
        <f t="shared" ref="D341" si="19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IFERROR(VLOOKUP(B341,input_576100!L:R,7,FALSE),VLOOKUP(tables_576100!C341,input_576100!A:H,8,FALSE))</f>
        <v>47333.333330000001</v>
      </c>
      <c r="P341" s="46">
        <f t="shared" ref="P341" ca="1" si="20">O341/SUM(O:O)</f>
        <v>3.4722222219909263E-4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input_576100!A$2</f>
        <v>576100</v>
      </c>
      <c r="B342" s="1">
        <v>1248</v>
      </c>
      <c r="C342" s="7" t="str">
        <f t="shared" ref="C342:C356" si="21">D342&amp;J342&amp;E342&amp;F342&amp;G342</f>
        <v>Premium4R3less</v>
      </c>
      <c r="D342" s="91" t="str">
        <f t="shared" ref="D342:D356" si="22">IF(OR(I342="PremiumSS",I342="PremiumSSw"),"PremiumSS",IF(I342="PremiumSSS",I342,IF(I342="PremiumW",IF(J342=5,"premium",I342),"Premium")))</f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IFERROR(VLOOKUP(B342,input_576100!L:R,7,FALSE),VLOOKUP(tables_576100!C342,input_576100!A:H,8,FALSE))</f>
        <v>1153395</v>
      </c>
      <c r="P342" s="46">
        <f t="shared" ref="P342:P356" ca="1" si="23">O342/SUM(O:O)</f>
        <v>8.4609375000322291E-3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input_576100!A$2</f>
        <v>576100</v>
      </c>
      <c r="B343" s="1">
        <v>1249</v>
      </c>
      <c r="C343" s="7" t="str">
        <f t="shared" si="21"/>
        <v>Premium5R3less</v>
      </c>
      <c r="D343" s="91" t="str">
        <f t="shared" si="22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IFERROR(VLOOKUP(B343,input_576100!L:R,7,FALSE),VLOOKUP(tables_576100!C343,input_576100!A:H,8,FALSE))</f>
        <v>63900</v>
      </c>
      <c r="P343" s="46">
        <f t="shared" ca="1" si="23"/>
        <v>4.6875000000178556E-4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input_576100!A$2</f>
        <v>576100</v>
      </c>
      <c r="B344" s="1">
        <v>1246</v>
      </c>
      <c r="C344" s="7" t="str">
        <f t="shared" si="21"/>
        <v>PremiumSS5R5only</v>
      </c>
      <c r="D344" s="91" t="str">
        <f t="shared" si="22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IFERROR(VLOOKUP(B344,input_576100!L:R,7,FALSE),VLOOKUP(tables_576100!C344,input_576100!A:H,8,FALSE))</f>
        <v>47333.333330000001</v>
      </c>
      <c r="P344" s="46">
        <f t="shared" ca="1" si="23"/>
        <v>3.4722222219909263E-4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input_576100!A$2</f>
        <v>576100</v>
      </c>
      <c r="B345" s="1">
        <v>1244</v>
      </c>
      <c r="C345" s="7" t="str">
        <f t="shared" si="21"/>
        <v>PremiumSS5R5only</v>
      </c>
      <c r="D345" s="91" t="str">
        <f t="shared" si="22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IFERROR(VLOOKUP(B345,input_576100!L:R,7,FALSE),VLOOKUP(tables_576100!C345,input_576100!A:H,8,FALSE))</f>
        <v>47333.333330000001</v>
      </c>
      <c r="P345" s="46">
        <f t="shared" ca="1" si="23"/>
        <v>3.4722222219909263E-4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input_576100!A$2</f>
        <v>576100</v>
      </c>
      <c r="B346" s="1">
        <v>1260</v>
      </c>
      <c r="C346" s="7" t="str">
        <f t="shared" si="21"/>
        <v>PremiumSS5R5only</v>
      </c>
      <c r="D346" s="91" t="str">
        <f t="shared" si="22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IFERROR(VLOOKUP(B346,input_576100!L:R,7,FALSE),VLOOKUP(tables_576100!C346,input_576100!A:H,8,FALSE))</f>
        <v>47333.333330000001</v>
      </c>
      <c r="P346" s="46">
        <f t="shared" ca="1" si="23"/>
        <v>3.4722222219909263E-4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input_576100!A$2</f>
        <v>576100</v>
      </c>
      <c r="B347" s="1">
        <v>1262</v>
      </c>
      <c r="C347" s="7" t="str">
        <f t="shared" si="21"/>
        <v>PremiumSS5R5only</v>
      </c>
      <c r="D347" s="91" t="str">
        <f t="shared" si="22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IFERROR(VLOOKUP(B347,input_576100!L:R,7,FALSE),VLOOKUP(tables_576100!C347,input_576100!A:H,8,FALSE))</f>
        <v>47333.333330000001</v>
      </c>
      <c r="P347" s="46">
        <f t="shared" ca="1" si="23"/>
        <v>3.4722222219909263E-4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input_576100!A$2</f>
        <v>576100</v>
      </c>
      <c r="B348" s="1">
        <v>1264</v>
      </c>
      <c r="C348" s="7" t="str">
        <f t="shared" si="21"/>
        <v>PremiumSS5R5only</v>
      </c>
      <c r="D348" s="91" t="str">
        <f t="shared" si="22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IFERROR(VLOOKUP(B348,input_576100!L:R,7,FALSE),VLOOKUP(tables_576100!C348,input_576100!A:H,8,FALSE))</f>
        <v>47333.333330000001</v>
      </c>
      <c r="P348" s="46">
        <f t="shared" ca="1" si="23"/>
        <v>3.4722222219909263E-4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input_576100!A$2</f>
        <v>576100</v>
      </c>
      <c r="B349" s="1">
        <v>1266</v>
      </c>
      <c r="C349" s="7" t="str">
        <f t="shared" si="21"/>
        <v>Premium4R3less</v>
      </c>
      <c r="D349" s="91" t="str">
        <f t="shared" si="22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IFERROR(VLOOKUP(B349,input_576100!L:R,7,FALSE),VLOOKUP(tables_576100!C349,input_576100!A:H,8,FALSE))</f>
        <v>1153395</v>
      </c>
      <c r="P349" s="46">
        <f t="shared" ca="1" si="23"/>
        <v>8.4609375000322291E-3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input_576100!A$2</f>
        <v>576100</v>
      </c>
      <c r="B350" s="1">
        <v>1267</v>
      </c>
      <c r="C350" s="7" t="str">
        <f t="shared" si="21"/>
        <v>Premium5R3less</v>
      </c>
      <c r="D350" s="91" t="str">
        <f t="shared" si="22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IFERROR(VLOOKUP(B350,input_576100!L:R,7,FALSE),VLOOKUP(tables_576100!C350,input_576100!A:H,8,FALSE))</f>
        <v>63900</v>
      </c>
      <c r="P350" s="46">
        <f t="shared" ca="1" si="23"/>
        <v>4.6875000000178556E-4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input_576100!A$2</f>
        <v>576100</v>
      </c>
      <c r="B351" s="94">
        <v>1332</v>
      </c>
      <c r="C351" s="7" t="str">
        <f t="shared" si="21"/>
        <v>PremiumSS5R5only</v>
      </c>
      <c r="D351" s="91" t="str">
        <f t="shared" si="22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IFERROR(VLOOKUP(B351,input_576100!L:R,7,FALSE),VLOOKUP(tables_576100!C351,input_576100!A:H,8,FALSE))</f>
        <v>47333.333330000001</v>
      </c>
      <c r="P351" s="46">
        <f t="shared" ca="1" si="23"/>
        <v>3.4722222219909263E-4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input_576100!A$2</f>
        <v>576100</v>
      </c>
      <c r="B352" s="94">
        <v>1336</v>
      </c>
      <c r="C352" s="7" t="str">
        <f t="shared" si="21"/>
        <v>PremiumSS5R5only</v>
      </c>
      <c r="D352" s="91" t="str">
        <f t="shared" si="22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IFERROR(VLOOKUP(B352,input_576100!L:R,7,FALSE),VLOOKUP(tables_576100!C352,input_576100!A:H,8,FALSE))</f>
        <v>47333.333330000001</v>
      </c>
      <c r="P352" s="46">
        <f t="shared" ca="1" si="23"/>
        <v>3.4722222219909263E-4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input_576100!A$2</f>
        <v>576100</v>
      </c>
      <c r="B353" s="94">
        <v>1338</v>
      </c>
      <c r="C353" s="7" t="str">
        <f t="shared" si="21"/>
        <v>PremiumSS5R5only</v>
      </c>
      <c r="D353" s="91" t="str">
        <f t="shared" si="22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IFERROR(VLOOKUP(B353,input_576100!L:R,7,FALSE),VLOOKUP(tables_576100!C353,input_576100!A:H,8,FALSE))</f>
        <v>47333.333330000001</v>
      </c>
      <c r="P353" s="46">
        <f t="shared" ca="1" si="23"/>
        <v>3.4722222219909263E-4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input_576100!A$2</f>
        <v>576100</v>
      </c>
      <c r="B354" s="94">
        <v>1334</v>
      </c>
      <c r="C354" s="7" t="str">
        <f t="shared" si="21"/>
        <v>Premium4R3less</v>
      </c>
      <c r="D354" s="91" t="str">
        <f t="shared" si="22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IFERROR(VLOOKUP(B354,input_576100!L:R,7,FALSE),VLOOKUP(tables_576100!C354,input_576100!A:H,8,FALSE))</f>
        <v>1153395</v>
      </c>
      <c r="P354" s="46">
        <f t="shared" ca="1" si="23"/>
        <v>8.4609375000322291E-3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input_576100!A$2</f>
        <v>576100</v>
      </c>
      <c r="B355" s="94">
        <v>1335</v>
      </c>
      <c r="C355" s="7" t="str">
        <f t="shared" si="21"/>
        <v>Premium5R3less</v>
      </c>
      <c r="D355" s="91" t="str">
        <f t="shared" si="22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IFERROR(VLOOKUP(B355,input_576100!L:R,7,FALSE),VLOOKUP(tables_576100!C355,input_576100!A:H,8,FALSE))</f>
        <v>63900</v>
      </c>
      <c r="P355" s="46">
        <f t="shared" ca="1" si="23"/>
        <v>4.6875000000178556E-4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input_576100!A$2</f>
        <v>576100</v>
      </c>
      <c r="B356" s="60">
        <v>1076</v>
      </c>
      <c r="C356" s="7" t="str">
        <f t="shared" si="21"/>
        <v>PremiumSSS5R3less</v>
      </c>
      <c r="D356" s="91" t="str">
        <f t="shared" si="22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パレート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green</v>
      </c>
      <c r="L356" s="7" t="str">
        <f>VLOOKUP(B356,[1]characters!$A:$K,11,FALSE)</f>
        <v>balance</v>
      </c>
      <c r="M356" s="7" t="str">
        <f>VLOOKUP(B356,[1]characters!$A:$M,13,FALSE)</f>
        <v>academia</v>
      </c>
      <c r="N356" s="7" t="str">
        <f>VLOOKUP(B356,[1]characters!$A:$G,7,FALSE)</f>
        <v>男性</v>
      </c>
      <c r="O356" s="45">
        <f>IFERROR(VLOOKUP(B356,input_576100!L:R,7,FALSE),VLOOKUP(tables_576100!C356,input_576100!A:H,8,FALSE))</f>
        <v>6816000</v>
      </c>
      <c r="P356" s="46">
        <f t="shared" ca="1" si="23"/>
        <v>5.0000000000190462E-2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95">
        <v>10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4"/>
  <sheetViews>
    <sheetView showGridLines="0" workbookViewId="0">
      <pane ySplit="1" topLeftCell="A2" activePane="bottomLeft" state="frozen"/>
      <selection activeCell="M24" sqref="M24"/>
      <selection pane="bottomLeft" activeCell="P4" sqref="P4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5" width="18.59765625" style="1" bestFit="1" customWidth="1"/>
    <col min="16" max="16" width="28.3984375" style="1" bestFit="1" customWidth="1"/>
    <col min="17" max="17" width="30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8" x14ac:dyDescent="0.15">
      <c r="A2" s="77" t="s">
        <v>264</v>
      </c>
      <c r="B2" s="77" t="str">
        <f>A2&amp;1</f>
        <v>5761031</v>
      </c>
      <c r="C2" s="78" t="s">
        <v>248</v>
      </c>
      <c r="D2" s="78">
        <v>614</v>
      </c>
      <c r="E2" s="78">
        <v>1</v>
      </c>
      <c r="F2" s="78">
        <v>1</v>
      </c>
      <c r="G2" s="2">
        <v>0</v>
      </c>
      <c r="H2" s="2">
        <v>0</v>
      </c>
      <c r="I2" s="2">
        <v>0</v>
      </c>
      <c r="J2" s="2">
        <v>0</v>
      </c>
      <c r="K2" s="2">
        <v>1</v>
      </c>
      <c r="L2" s="2">
        <v>1</v>
      </c>
      <c r="M2" s="2">
        <v>1</v>
      </c>
      <c r="N2" s="78" t="s">
        <v>249</v>
      </c>
      <c r="O2" s="78" t="s">
        <v>252</v>
      </c>
      <c r="P2" s="78" t="s">
        <v>267</v>
      </c>
      <c r="Q2" s="79" t="s">
        <v>255</v>
      </c>
    </row>
    <row r="3" spans="1:17" ht="28" x14ac:dyDescent="0.15">
      <c r="A3" s="77" t="s">
        <v>265</v>
      </c>
      <c r="B3" s="77" t="str">
        <f>A3&amp;1</f>
        <v>5761041</v>
      </c>
      <c r="C3" s="2" t="s">
        <v>256</v>
      </c>
      <c r="D3" s="2">
        <v>4</v>
      </c>
      <c r="E3" s="2">
        <v>3</v>
      </c>
      <c r="F3" s="2">
        <v>1</v>
      </c>
      <c r="G3" s="98">
        <v>0</v>
      </c>
      <c r="H3" s="98">
        <v>0</v>
      </c>
      <c r="I3" s="98">
        <v>0</v>
      </c>
      <c r="J3" s="98">
        <v>0</v>
      </c>
      <c r="K3" s="98">
        <v>1</v>
      </c>
      <c r="L3" s="98">
        <v>1</v>
      </c>
      <c r="M3" s="98">
        <v>1</v>
      </c>
      <c r="N3" s="78" t="s">
        <v>249</v>
      </c>
      <c r="O3" s="78" t="s">
        <v>253</v>
      </c>
      <c r="P3" s="78" t="s">
        <v>267</v>
      </c>
      <c r="Q3" s="79" t="s">
        <v>257</v>
      </c>
    </row>
    <row r="4" spans="1:17" ht="28" x14ac:dyDescent="0.15">
      <c r="A4" s="77" t="s">
        <v>266</v>
      </c>
      <c r="B4" s="77" t="str">
        <f>A4&amp;1</f>
        <v>5761051</v>
      </c>
      <c r="C4" s="2" t="s">
        <v>256</v>
      </c>
      <c r="D4" s="2">
        <v>1</v>
      </c>
      <c r="E4" s="2">
        <v>3</v>
      </c>
      <c r="F4" s="2">
        <v>1</v>
      </c>
      <c r="G4" s="98">
        <v>0</v>
      </c>
      <c r="H4" s="98">
        <v>0</v>
      </c>
      <c r="I4" s="98">
        <v>0</v>
      </c>
      <c r="J4" s="98">
        <v>0</v>
      </c>
      <c r="K4" s="98">
        <v>1</v>
      </c>
      <c r="L4" s="98">
        <v>1</v>
      </c>
      <c r="M4" s="98">
        <v>1</v>
      </c>
      <c r="N4" s="78" t="s">
        <v>249</v>
      </c>
      <c r="O4" s="78" t="s">
        <v>254</v>
      </c>
      <c r="P4" s="78" t="s">
        <v>267</v>
      </c>
      <c r="Q4" s="79" t="s">
        <v>258</v>
      </c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Sheet1</vt:lpstr>
      <vt:lpstr>確率の考え方</vt:lpstr>
      <vt:lpstr>output</vt:lpstr>
      <vt:lpstr>input_576101</vt:lpstr>
      <vt:lpstr>tables_576101</vt:lpstr>
      <vt:lpstr>input_576103</vt:lpstr>
      <vt:lpstr>tables_576103</vt:lpstr>
      <vt:lpstr>input_576104</vt:lpstr>
      <vt:lpstr>tables_576104</vt:lpstr>
      <vt:lpstr>input_576105</vt:lpstr>
      <vt:lpstr>tables_576105</vt:lpstr>
      <vt:lpstr>input_576100</vt:lpstr>
      <vt:lpstr>tables_576100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2017-04-19T11:10:21Z</dcterms:modified>
</cp:coreProperties>
</file>