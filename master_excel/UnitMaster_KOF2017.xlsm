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tamura.r/BULL_data/master_excel/"/>
    </mc:Choice>
  </mc:AlternateContent>
  <bookViews>
    <workbookView xWindow="1060" yWindow="460" windowWidth="27740" windowHeight="17540" tabRatio="963" activeTab="2"/>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fork_awake_units!$A$1:$U$3</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34" i="52" l="1"/>
  <c r="F6" i="57"/>
  <c r="E6" i="57"/>
  <c r="F12" i="57"/>
  <c r="E12" i="57"/>
  <c r="B12" i="57"/>
  <c r="F3" i="57"/>
  <c r="E3" i="57"/>
  <c r="J74" i="3"/>
  <c r="H74" i="3"/>
  <c r="C74" i="3"/>
  <c r="F74" i="3"/>
  <c r="E74" i="3"/>
  <c r="D74" i="3"/>
  <c r="A74" i="3"/>
  <c r="J73" i="3"/>
  <c r="H73" i="3"/>
  <c r="C73" i="3"/>
  <c r="F73" i="3"/>
  <c r="E73" i="3"/>
  <c r="D73" i="3"/>
  <c r="A73" i="3"/>
  <c r="J72" i="3"/>
  <c r="H72" i="3"/>
  <c r="C72" i="3"/>
  <c r="F72" i="3"/>
  <c r="E72" i="3"/>
  <c r="D72" i="3"/>
  <c r="A72" i="3"/>
  <c r="J70" i="3"/>
  <c r="H70" i="3"/>
  <c r="C70" i="3"/>
  <c r="F70" i="3"/>
  <c r="E70" i="3"/>
  <c r="D70" i="3"/>
  <c r="A70" i="3"/>
  <c r="J69" i="3"/>
  <c r="H69" i="3"/>
  <c r="C69" i="3"/>
  <c r="F69" i="3"/>
  <c r="E69" i="3"/>
  <c r="D69" i="3"/>
  <c r="A69" i="3"/>
  <c r="J68" i="3"/>
  <c r="H68" i="3"/>
  <c r="C68" i="3"/>
  <c r="F68" i="3"/>
  <c r="E68" i="3"/>
  <c r="D68" i="3"/>
  <c r="A68" i="3"/>
  <c r="J66" i="3"/>
  <c r="H66" i="3"/>
  <c r="C66" i="3"/>
  <c r="F66" i="3"/>
  <c r="E66" i="3"/>
  <c r="D66" i="3"/>
  <c r="A66" i="3"/>
  <c r="J65" i="3"/>
  <c r="H65" i="3"/>
  <c r="C65" i="3"/>
  <c r="F65" i="3"/>
  <c r="E65" i="3"/>
  <c r="D65" i="3"/>
  <c r="A65" i="3"/>
  <c r="J63" i="3"/>
  <c r="H63" i="3"/>
  <c r="C63" i="3"/>
  <c r="F63" i="3"/>
  <c r="E63" i="3"/>
  <c r="D63" i="3"/>
  <c r="A63" i="3"/>
  <c r="J62" i="3"/>
  <c r="H62" i="3"/>
  <c r="C62" i="3"/>
  <c r="F62" i="3"/>
  <c r="E62" i="3"/>
  <c r="D62" i="3"/>
  <c r="A62" i="3"/>
  <c r="J60" i="3"/>
  <c r="H60" i="3"/>
  <c r="C60" i="3"/>
  <c r="F60" i="3"/>
  <c r="E60" i="3"/>
  <c r="D60" i="3"/>
  <c r="A60" i="3"/>
  <c r="J58" i="3"/>
  <c r="H58" i="3"/>
  <c r="C58" i="3"/>
  <c r="F58" i="3"/>
  <c r="E58" i="3"/>
  <c r="D58" i="3"/>
  <c r="A58" i="3"/>
  <c r="J57" i="3"/>
  <c r="H57" i="3"/>
  <c r="C57" i="3"/>
  <c r="F57" i="3"/>
  <c r="E57" i="3"/>
  <c r="D57" i="3"/>
  <c r="A57" i="3"/>
  <c r="J55" i="3"/>
  <c r="H55" i="3"/>
  <c r="C55" i="3"/>
  <c r="F55" i="3"/>
  <c r="E55" i="3"/>
  <c r="D55" i="3"/>
  <c r="A55" i="3"/>
  <c r="J54" i="3"/>
  <c r="H54" i="3"/>
  <c r="C54" i="3"/>
  <c r="F54" i="3"/>
  <c r="E54" i="3"/>
  <c r="D54" i="3"/>
  <c r="A54" i="3"/>
  <c r="J53" i="3"/>
  <c r="H53" i="3"/>
  <c r="C53" i="3"/>
  <c r="F53" i="3"/>
  <c r="E53" i="3"/>
  <c r="D53" i="3"/>
  <c r="A53" i="3"/>
  <c r="J51" i="3"/>
  <c r="H51" i="3"/>
  <c r="C51" i="3"/>
  <c r="F51" i="3"/>
  <c r="E51" i="3"/>
  <c r="D51" i="3"/>
  <c r="A51" i="3"/>
  <c r="J50" i="3"/>
  <c r="H50" i="3"/>
  <c r="C50" i="3"/>
  <c r="F50" i="3"/>
  <c r="E50" i="3"/>
  <c r="D50" i="3"/>
  <c r="A50" i="3"/>
  <c r="J49" i="3"/>
  <c r="H49" i="3"/>
  <c r="C49" i="3"/>
  <c r="F49" i="3"/>
  <c r="E49" i="3"/>
  <c r="D49" i="3"/>
  <c r="A49" i="3"/>
  <c r="J47" i="3"/>
  <c r="H47" i="3"/>
  <c r="C47" i="3"/>
  <c r="F47" i="3"/>
  <c r="E47" i="3"/>
  <c r="D47" i="3"/>
  <c r="A47" i="3"/>
  <c r="J46" i="3"/>
  <c r="H46" i="3"/>
  <c r="C46" i="3"/>
  <c r="F46" i="3"/>
  <c r="E46" i="3"/>
  <c r="D46" i="3"/>
  <c r="A46" i="3"/>
  <c r="J45" i="3"/>
  <c r="H45" i="3"/>
  <c r="C45" i="3"/>
  <c r="F45" i="3"/>
  <c r="E45" i="3"/>
  <c r="D45" i="3"/>
  <c r="A45" i="3"/>
  <c r="J43" i="3"/>
  <c r="H43" i="3"/>
  <c r="C43" i="3"/>
  <c r="F43" i="3"/>
  <c r="E43" i="3"/>
  <c r="D43" i="3"/>
  <c r="A43" i="3"/>
  <c r="J42" i="3"/>
  <c r="H42" i="3"/>
  <c r="C42" i="3"/>
  <c r="F42" i="3"/>
  <c r="E42" i="3"/>
  <c r="D42" i="3"/>
  <c r="A42" i="3"/>
  <c r="J41" i="3"/>
  <c r="H41" i="3"/>
  <c r="C41" i="3"/>
  <c r="F41" i="3"/>
  <c r="E41" i="3"/>
  <c r="D41" i="3"/>
  <c r="A41" i="3"/>
  <c r="J40" i="3"/>
  <c r="H40" i="3"/>
  <c r="C40" i="3"/>
  <c r="F40" i="3"/>
  <c r="E40" i="3"/>
  <c r="D40" i="3"/>
  <c r="A40" i="3"/>
  <c r="J38" i="3"/>
  <c r="H38" i="3"/>
  <c r="C38" i="3"/>
  <c r="F38" i="3"/>
  <c r="E38" i="3"/>
  <c r="D38" i="3"/>
  <c r="A38" i="3"/>
  <c r="J37" i="3"/>
  <c r="H37" i="3"/>
  <c r="C37" i="3"/>
  <c r="F37" i="3"/>
  <c r="E37" i="3"/>
  <c r="D37" i="3"/>
  <c r="A37" i="3"/>
  <c r="J36" i="3"/>
  <c r="H36" i="3"/>
  <c r="C36" i="3"/>
  <c r="F36" i="3"/>
  <c r="E36" i="3"/>
  <c r="D36" i="3"/>
  <c r="A36" i="3"/>
  <c r="A39" i="3"/>
  <c r="C39" i="3"/>
  <c r="D39" i="3"/>
  <c r="E39" i="3"/>
  <c r="F39" i="3"/>
  <c r="H39" i="3"/>
  <c r="J39" i="3"/>
  <c r="J35" i="3"/>
  <c r="H35" i="3"/>
  <c r="C35" i="3"/>
  <c r="F35" i="3"/>
  <c r="E35" i="3"/>
  <c r="D35" i="3"/>
  <c r="A35" i="3"/>
  <c r="J33" i="3"/>
  <c r="H33" i="3"/>
  <c r="C33" i="3"/>
  <c r="F33" i="3"/>
  <c r="E33" i="3"/>
  <c r="D33" i="3"/>
  <c r="A33" i="3"/>
  <c r="J32" i="3"/>
  <c r="H32" i="3"/>
  <c r="C32" i="3"/>
  <c r="F32" i="3"/>
  <c r="E32" i="3"/>
  <c r="D32" i="3"/>
  <c r="A32" i="3"/>
  <c r="J31" i="3"/>
  <c r="H31" i="3"/>
  <c r="C31" i="3"/>
  <c r="F31" i="3"/>
  <c r="E31" i="3"/>
  <c r="D31" i="3"/>
  <c r="A31" i="3"/>
  <c r="J29" i="3"/>
  <c r="H29" i="3"/>
  <c r="C29" i="3"/>
  <c r="F29" i="3"/>
  <c r="E29" i="3"/>
  <c r="D29" i="3"/>
  <c r="A29" i="3"/>
  <c r="J28" i="3"/>
  <c r="H28" i="3"/>
  <c r="C28" i="3"/>
  <c r="F28" i="3"/>
  <c r="E28" i="3"/>
  <c r="D28" i="3"/>
  <c r="A28" i="3"/>
  <c r="J27" i="3"/>
  <c r="H27" i="3"/>
  <c r="C27" i="3"/>
  <c r="F27" i="3"/>
  <c r="E27" i="3"/>
  <c r="D27" i="3"/>
  <c r="A27"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0" i="3"/>
  <c r="H10" i="3"/>
  <c r="C10" i="3"/>
  <c r="F10" i="3"/>
  <c r="E10" i="3"/>
  <c r="D10" i="3"/>
  <c r="A10" i="3"/>
  <c r="J9" i="3"/>
  <c r="H9" i="3"/>
  <c r="C9" i="3"/>
  <c r="F9" i="3"/>
  <c r="E9" i="3"/>
  <c r="D9" i="3"/>
  <c r="A9" i="3"/>
  <c r="J8" i="3"/>
  <c r="H8" i="3"/>
  <c r="C8" i="3"/>
  <c r="F8" i="3"/>
  <c r="E8" i="3"/>
  <c r="D8" i="3"/>
  <c r="A8" i="3"/>
  <c r="J7" i="3"/>
  <c r="H7" i="3"/>
  <c r="C7" i="3"/>
  <c r="F7" i="3"/>
  <c r="E7" i="3"/>
  <c r="D7" i="3"/>
  <c r="A7" i="3"/>
  <c r="J5" i="3"/>
  <c r="H5" i="3"/>
  <c r="C5" i="3"/>
  <c r="F5" i="3"/>
  <c r="E5" i="3"/>
  <c r="D5" i="3"/>
  <c r="A5" i="3"/>
  <c r="J4" i="3"/>
  <c r="H4" i="3"/>
  <c r="C4" i="3"/>
  <c r="F4" i="3"/>
  <c r="E4" i="3"/>
  <c r="D4" i="3"/>
  <c r="A4" i="3"/>
  <c r="J3" i="3"/>
  <c r="H3" i="3"/>
  <c r="C3" i="3"/>
  <c r="F3" i="3"/>
  <c r="E3" i="3"/>
  <c r="D3" i="3"/>
  <c r="A3" i="3"/>
  <c r="J71" i="3"/>
  <c r="H71" i="3"/>
  <c r="C71" i="3"/>
  <c r="F71" i="3"/>
  <c r="E71" i="3"/>
  <c r="D71" i="3"/>
  <c r="A71" i="3"/>
  <c r="J67" i="3"/>
  <c r="H67" i="3"/>
  <c r="C67" i="3"/>
  <c r="F67" i="3"/>
  <c r="E67" i="3"/>
  <c r="D67" i="3"/>
  <c r="A67" i="3"/>
  <c r="J64" i="3"/>
  <c r="H64" i="3"/>
  <c r="C64" i="3"/>
  <c r="F64" i="3"/>
  <c r="E64" i="3"/>
  <c r="D64" i="3"/>
  <c r="A64" i="3"/>
  <c r="J61" i="3"/>
  <c r="H61" i="3"/>
  <c r="C61" i="3"/>
  <c r="F61" i="3"/>
  <c r="E61" i="3"/>
  <c r="D61" i="3"/>
  <c r="A61" i="3"/>
  <c r="J59" i="3"/>
  <c r="H59" i="3"/>
  <c r="C59" i="3"/>
  <c r="F59" i="3"/>
  <c r="E59" i="3"/>
  <c r="D59" i="3"/>
  <c r="A59" i="3"/>
  <c r="J56" i="3"/>
  <c r="H56" i="3"/>
  <c r="C56" i="3"/>
  <c r="F56" i="3"/>
  <c r="E56" i="3"/>
  <c r="D56" i="3"/>
  <c r="A56" i="3"/>
  <c r="J52" i="3"/>
  <c r="H52" i="3"/>
  <c r="C52" i="3"/>
  <c r="F52" i="3"/>
  <c r="E52" i="3"/>
  <c r="D52" i="3"/>
  <c r="A52" i="3"/>
  <c r="G19" i="58"/>
  <c r="U19" i="58"/>
  <c r="S19" i="58"/>
  <c r="T19" i="58"/>
  <c r="R19" i="58"/>
  <c r="P19" i="58"/>
  <c r="O19" i="58"/>
  <c r="N19" i="58"/>
  <c r="M19" i="58"/>
  <c r="L19" i="58"/>
  <c r="J19" i="58"/>
  <c r="K19" i="58"/>
  <c r="I19" i="58"/>
  <c r="H19" i="58"/>
  <c r="F19" i="58"/>
  <c r="E19" i="58"/>
  <c r="D19" i="58"/>
  <c r="C19" i="58"/>
  <c r="B19" i="58"/>
  <c r="G18" i="58"/>
  <c r="U18" i="58"/>
  <c r="S17" i="58"/>
  <c r="S18" i="58"/>
  <c r="T18" i="58"/>
  <c r="R18" i="58"/>
  <c r="P18" i="58"/>
  <c r="O18" i="58"/>
  <c r="N18" i="58"/>
  <c r="M18" i="58"/>
  <c r="L18" i="58"/>
  <c r="J18" i="58"/>
  <c r="K18" i="58"/>
  <c r="I18" i="58"/>
  <c r="H18" i="58"/>
  <c r="F18" i="58"/>
  <c r="E18" i="58"/>
  <c r="D18" i="58"/>
  <c r="C18" i="58"/>
  <c r="B18" i="58"/>
  <c r="G17" i="58"/>
  <c r="U17" i="58"/>
  <c r="T17" i="58"/>
  <c r="R17" i="58"/>
  <c r="P17" i="58"/>
  <c r="O17" i="58"/>
  <c r="N17" i="58"/>
  <c r="M17" i="58"/>
  <c r="L17" i="58"/>
  <c r="J17" i="58"/>
  <c r="K17" i="58"/>
  <c r="I17" i="58"/>
  <c r="H17" i="58"/>
  <c r="F17" i="58"/>
  <c r="E17" i="58"/>
  <c r="D17" i="58"/>
  <c r="C17" i="58"/>
  <c r="B17" i="58"/>
  <c r="G16" i="58"/>
  <c r="U16" i="58"/>
  <c r="S14" i="58"/>
  <c r="S16" i="58"/>
  <c r="T16" i="58"/>
  <c r="R16" i="58"/>
  <c r="P16" i="58"/>
  <c r="O16" i="58"/>
  <c r="N16" i="58"/>
  <c r="M16" i="58"/>
  <c r="L16" i="58"/>
  <c r="J16" i="58"/>
  <c r="K16" i="58"/>
  <c r="I16" i="58"/>
  <c r="H16" i="58"/>
  <c r="F16" i="58"/>
  <c r="E16" i="58"/>
  <c r="D16" i="58"/>
  <c r="C16" i="58"/>
  <c r="B16" i="58"/>
  <c r="G15" i="58"/>
  <c r="U15" i="58"/>
  <c r="S13" i="58"/>
  <c r="S15" i="58"/>
  <c r="T15" i="58"/>
  <c r="R15" i="58"/>
  <c r="P15" i="58"/>
  <c r="O15" i="58"/>
  <c r="N15" i="58"/>
  <c r="M15" i="58"/>
  <c r="L15" i="58"/>
  <c r="J15" i="58"/>
  <c r="K15" i="58"/>
  <c r="I15" i="58"/>
  <c r="H15" i="58"/>
  <c r="F15" i="58"/>
  <c r="E15" i="58"/>
  <c r="D15" i="58"/>
  <c r="C15" i="58"/>
  <c r="B15" i="58"/>
  <c r="G14" i="58"/>
  <c r="U14" i="58"/>
  <c r="T14" i="58"/>
  <c r="R14" i="58"/>
  <c r="P14" i="58"/>
  <c r="O14" i="58"/>
  <c r="N14" i="58"/>
  <c r="M14" i="58"/>
  <c r="L14" i="58"/>
  <c r="J14" i="58"/>
  <c r="K14" i="58"/>
  <c r="I14" i="58"/>
  <c r="H14" i="58"/>
  <c r="F14" i="58"/>
  <c r="E14" i="58"/>
  <c r="D14" i="58"/>
  <c r="C14" i="58"/>
  <c r="B14" i="58"/>
  <c r="G13" i="58"/>
  <c r="U13" i="58"/>
  <c r="T13" i="58"/>
  <c r="R13" i="58"/>
  <c r="P13" i="58"/>
  <c r="O13" i="58"/>
  <c r="N13" i="58"/>
  <c r="M13" i="58"/>
  <c r="L13" i="58"/>
  <c r="J13" i="58"/>
  <c r="K13" i="58"/>
  <c r="I13" i="58"/>
  <c r="H13" i="58"/>
  <c r="F13" i="58"/>
  <c r="E13" i="58"/>
  <c r="D13" i="58"/>
  <c r="C13" i="58"/>
  <c r="B13" i="58"/>
  <c r="G12" i="58"/>
  <c r="U12" i="58"/>
  <c r="S12" i="58"/>
  <c r="T12" i="58"/>
  <c r="R12" i="58"/>
  <c r="P12" i="58"/>
  <c r="O12" i="58"/>
  <c r="N12" i="58"/>
  <c r="M12" i="58"/>
  <c r="L12" i="58"/>
  <c r="J12" i="58"/>
  <c r="K12" i="58"/>
  <c r="I12" i="58"/>
  <c r="H12" i="58"/>
  <c r="F12" i="58"/>
  <c r="E12" i="58"/>
  <c r="D12" i="58"/>
  <c r="C12" i="58"/>
  <c r="B12" i="58"/>
  <c r="G11" i="58"/>
  <c r="U11" i="58"/>
  <c r="S11" i="58"/>
  <c r="T11" i="58"/>
  <c r="R11" i="58"/>
  <c r="P11" i="58"/>
  <c r="O11" i="58"/>
  <c r="N11" i="58"/>
  <c r="M11" i="58"/>
  <c r="L11" i="58"/>
  <c r="J11" i="58"/>
  <c r="K11" i="58"/>
  <c r="I11" i="58"/>
  <c r="H11" i="58"/>
  <c r="F11" i="58"/>
  <c r="E11" i="58"/>
  <c r="D11" i="58"/>
  <c r="C11" i="58"/>
  <c r="B11" i="58"/>
  <c r="G10" i="58"/>
  <c r="U10" i="58"/>
  <c r="S10" i="58"/>
  <c r="T10" i="58"/>
  <c r="R10" i="58"/>
  <c r="P10" i="58"/>
  <c r="O10" i="58"/>
  <c r="N10" i="58"/>
  <c r="M10" i="58"/>
  <c r="L10" i="58"/>
  <c r="J10" i="58"/>
  <c r="K10" i="58"/>
  <c r="I10" i="58"/>
  <c r="H10" i="58"/>
  <c r="F10" i="58"/>
  <c r="E10" i="58"/>
  <c r="D10" i="58"/>
  <c r="C10" i="58"/>
  <c r="B10" i="58"/>
  <c r="G9" i="58"/>
  <c r="U9" i="58"/>
  <c r="S9" i="58"/>
  <c r="T9" i="58"/>
  <c r="R9" i="58"/>
  <c r="P9" i="58"/>
  <c r="O9" i="58"/>
  <c r="N9" i="58"/>
  <c r="M9" i="58"/>
  <c r="L9" i="58"/>
  <c r="J9" i="58"/>
  <c r="K9" i="58"/>
  <c r="I9" i="58"/>
  <c r="H9" i="58"/>
  <c r="F9" i="58"/>
  <c r="E9" i="58"/>
  <c r="D9" i="58"/>
  <c r="C9" i="58"/>
  <c r="B9" i="58"/>
  <c r="G8" i="58"/>
  <c r="U8" i="58"/>
  <c r="S8" i="58"/>
  <c r="T8" i="58"/>
  <c r="R8" i="58"/>
  <c r="P8" i="58"/>
  <c r="O8" i="58"/>
  <c r="N8" i="58"/>
  <c r="M8" i="58"/>
  <c r="L8" i="58"/>
  <c r="J8" i="58"/>
  <c r="K8" i="58"/>
  <c r="I8" i="58"/>
  <c r="H8" i="58"/>
  <c r="F8" i="58"/>
  <c r="E8" i="58"/>
  <c r="D8" i="58"/>
  <c r="C8" i="58"/>
  <c r="B8" i="58"/>
  <c r="G7" i="58"/>
  <c r="U7" i="58"/>
  <c r="S7" i="58"/>
  <c r="T7" i="58"/>
  <c r="R7" i="58"/>
  <c r="P7" i="58"/>
  <c r="O7" i="58"/>
  <c r="N7" i="58"/>
  <c r="M7" i="58"/>
  <c r="L7" i="58"/>
  <c r="J7" i="58"/>
  <c r="K7" i="58"/>
  <c r="I7" i="58"/>
  <c r="H7" i="58"/>
  <c r="F7" i="58"/>
  <c r="E7" i="58"/>
  <c r="D7" i="58"/>
  <c r="C7" i="58"/>
  <c r="B7" i="58"/>
  <c r="G6" i="58"/>
  <c r="U6" i="58"/>
  <c r="S6" i="58"/>
  <c r="T6" i="58"/>
  <c r="R6" i="58"/>
  <c r="P6" i="58"/>
  <c r="O6" i="58"/>
  <c r="N6" i="58"/>
  <c r="M6" i="58"/>
  <c r="L6" i="58"/>
  <c r="J6" i="58"/>
  <c r="K6" i="58"/>
  <c r="I6" i="58"/>
  <c r="H6" i="58"/>
  <c r="F6" i="58"/>
  <c r="E6" i="58"/>
  <c r="D6" i="58"/>
  <c r="C6" i="58"/>
  <c r="B6" i="58"/>
  <c r="F25" i="57"/>
  <c r="E25" i="57"/>
  <c r="B25" i="57"/>
  <c r="F24" i="57"/>
  <c r="E24" i="57"/>
  <c r="B24" i="57"/>
  <c r="F23" i="57"/>
  <c r="E23" i="57"/>
  <c r="B23" i="57"/>
  <c r="F22" i="57"/>
  <c r="E22" i="57"/>
  <c r="B22" i="57"/>
  <c r="F21" i="57"/>
  <c r="E21" i="57"/>
  <c r="B21" i="57"/>
  <c r="F20" i="57"/>
  <c r="E20" i="57"/>
  <c r="B20" i="57"/>
  <c r="F19" i="57"/>
  <c r="E19" i="57"/>
  <c r="B19" i="57"/>
  <c r="F18" i="57"/>
  <c r="E18" i="57"/>
  <c r="B18" i="57"/>
  <c r="F17" i="57"/>
  <c r="E17" i="57"/>
  <c r="B17" i="57"/>
  <c r="F16" i="57"/>
  <c r="E16" i="57"/>
  <c r="B16" i="57"/>
  <c r="F15" i="57"/>
  <c r="E15" i="57"/>
  <c r="B15" i="57"/>
  <c r="F14" i="57"/>
  <c r="E14" i="57"/>
  <c r="B14" i="57"/>
  <c r="F13" i="57"/>
  <c r="E13" i="57"/>
  <c r="B13" i="57"/>
  <c r="F11" i="57"/>
  <c r="E11" i="57"/>
  <c r="B11" i="57"/>
  <c r="F10" i="57"/>
  <c r="E10" i="57"/>
  <c r="B10" i="57"/>
  <c r="F9" i="57"/>
  <c r="E9" i="57"/>
  <c r="B9" i="57"/>
  <c r="F8" i="57"/>
  <c r="E8" i="57"/>
  <c r="B8" i="57"/>
  <c r="F7" i="57"/>
  <c r="E7" i="57"/>
  <c r="B7" i="57"/>
  <c r="B6" i="57"/>
  <c r="F5" i="57"/>
  <c r="E5" i="57"/>
  <c r="B5" i="57"/>
  <c r="H3" i="23"/>
  <c r="G3" i="52"/>
  <c r="H4" i="23"/>
  <c r="G4" i="52"/>
  <c r="H5" i="23"/>
  <c r="G5" i="52"/>
  <c r="H6" i="23"/>
  <c r="G6" i="52"/>
  <c r="H7" i="23"/>
  <c r="G7" i="52"/>
  <c r="H8" i="23"/>
  <c r="G8" i="52"/>
  <c r="H9" i="23"/>
  <c r="G9" i="52"/>
  <c r="H10" i="23"/>
  <c r="G10" i="52"/>
  <c r="H11" i="23"/>
  <c r="G11" i="52"/>
  <c r="H12" i="23"/>
  <c r="G12" i="52"/>
  <c r="H13" i="23"/>
  <c r="G13" i="52"/>
  <c r="H14" i="23"/>
  <c r="G14" i="52"/>
  <c r="H15" i="23"/>
  <c r="G15" i="52"/>
  <c r="H16" i="23"/>
  <c r="G16" i="52"/>
  <c r="H17" i="23"/>
  <c r="G17" i="52"/>
  <c r="H18" i="23"/>
  <c r="G18" i="52"/>
  <c r="H19" i="23"/>
  <c r="G19" i="52"/>
  <c r="H20" i="23"/>
  <c r="G20" i="52"/>
  <c r="H21" i="23"/>
  <c r="G21" i="52"/>
  <c r="H22" i="23"/>
  <c r="G22" i="52"/>
  <c r="H23" i="23"/>
  <c r="G23" i="52"/>
  <c r="H24" i="23"/>
  <c r="G24" i="52"/>
  <c r="H25" i="23"/>
  <c r="G25" i="52"/>
  <c r="H26" i="23"/>
  <c r="G26" i="52"/>
  <c r="H27" i="23"/>
  <c r="G27" i="52"/>
  <c r="H28" i="23"/>
  <c r="G28" i="52"/>
  <c r="H29" i="23"/>
  <c r="G29" i="52"/>
  <c r="H30" i="23"/>
  <c r="G30" i="52"/>
  <c r="H31" i="23"/>
  <c r="G31" i="52"/>
  <c r="H32" i="23"/>
  <c r="G32" i="52"/>
  <c r="H33" i="23"/>
  <c r="G33" i="52"/>
  <c r="H34" i="23"/>
  <c r="G34" i="52"/>
  <c r="H35" i="23"/>
  <c r="G35" i="52"/>
  <c r="H36" i="23"/>
  <c r="G36" i="52"/>
  <c r="H37" i="23"/>
  <c r="G37" i="52"/>
  <c r="H38" i="23"/>
  <c r="G38" i="52"/>
  <c r="H39" i="23"/>
  <c r="G39" i="52"/>
  <c r="H2" i="23"/>
  <c r="G2" i="52"/>
  <c r="G3" i="53"/>
  <c r="C3" i="53"/>
  <c r="G4" i="53"/>
  <c r="C4" i="53"/>
  <c r="G5" i="53"/>
  <c r="C5" i="53"/>
  <c r="G6" i="53"/>
  <c r="C6" i="53"/>
  <c r="G7" i="53"/>
  <c r="C7" i="53"/>
  <c r="G8" i="53"/>
  <c r="C8" i="53"/>
  <c r="G9" i="53"/>
  <c r="C9" i="53"/>
  <c r="G10" i="53"/>
  <c r="C10" i="53"/>
  <c r="G11" i="53"/>
  <c r="C11" i="53"/>
  <c r="G12" i="53"/>
  <c r="C12" i="53"/>
  <c r="G13" i="53"/>
  <c r="C13" i="53"/>
  <c r="G14" i="53"/>
  <c r="C14" i="53"/>
  <c r="G15" i="53"/>
  <c r="C15" i="53"/>
  <c r="G16" i="53"/>
  <c r="C16" i="53"/>
  <c r="G17" i="53"/>
  <c r="C17" i="53"/>
  <c r="G18" i="53"/>
  <c r="C18" i="53"/>
  <c r="G19" i="53"/>
  <c r="C19" i="53"/>
  <c r="G20" i="53"/>
  <c r="C20" i="53"/>
  <c r="G21" i="53"/>
  <c r="C21" i="53"/>
  <c r="G22" i="53"/>
  <c r="C22" i="53"/>
  <c r="G23" i="53"/>
  <c r="C23" i="53"/>
  <c r="G24" i="53"/>
  <c r="C24" i="53"/>
  <c r="G25" i="53"/>
  <c r="C25" i="53"/>
  <c r="G26" i="53"/>
  <c r="C26" i="53"/>
  <c r="G27" i="53"/>
  <c r="C27" i="53"/>
  <c r="G28" i="53"/>
  <c r="C28" i="53"/>
  <c r="G29" i="53"/>
  <c r="C29" i="53"/>
  <c r="G30" i="53"/>
  <c r="C30" i="53"/>
  <c r="G31" i="53"/>
  <c r="C31" i="53"/>
  <c r="G32" i="53"/>
  <c r="C32" i="53"/>
  <c r="G33" i="53"/>
  <c r="C33" i="53"/>
  <c r="G34" i="53"/>
  <c r="C34" i="53"/>
  <c r="G35" i="53"/>
  <c r="C35" i="53"/>
  <c r="G36" i="53"/>
  <c r="C36" i="53"/>
  <c r="G37" i="53"/>
  <c r="C37" i="53"/>
  <c r="G38" i="53"/>
  <c r="C38" i="53"/>
  <c r="G39" i="53"/>
  <c r="C39" i="53"/>
  <c r="G2" i="53"/>
  <c r="C2" i="53"/>
  <c r="J3" i="52"/>
  <c r="C3" i="52"/>
  <c r="J4" i="52"/>
  <c r="C4" i="52"/>
  <c r="J5" i="52"/>
  <c r="C5" i="52"/>
  <c r="J6" i="52"/>
  <c r="C6" i="52"/>
  <c r="J7" i="52"/>
  <c r="C7" i="52"/>
  <c r="J8" i="52"/>
  <c r="C8" i="52"/>
  <c r="J9" i="52"/>
  <c r="C9" i="52"/>
  <c r="J10" i="52"/>
  <c r="C10" i="52"/>
  <c r="J11" i="52"/>
  <c r="C11" i="52"/>
  <c r="J12" i="52"/>
  <c r="C12" i="52"/>
  <c r="J13" i="52"/>
  <c r="C13" i="52"/>
  <c r="J14" i="52"/>
  <c r="C14" i="52"/>
  <c r="J15" i="52"/>
  <c r="C15" i="52"/>
  <c r="J16" i="52"/>
  <c r="C16" i="52"/>
  <c r="J17" i="52"/>
  <c r="C17" i="52"/>
  <c r="J18" i="52"/>
  <c r="C18" i="52"/>
  <c r="J19" i="52"/>
  <c r="C19" i="52"/>
  <c r="J20" i="52"/>
  <c r="C20" i="52"/>
  <c r="J21" i="52"/>
  <c r="C21" i="52"/>
  <c r="J22" i="52"/>
  <c r="C22" i="52"/>
  <c r="J23" i="52"/>
  <c r="C23" i="52"/>
  <c r="J24" i="52"/>
  <c r="C24" i="52"/>
  <c r="J25" i="52"/>
  <c r="C25" i="52"/>
  <c r="J26" i="52"/>
  <c r="C26" i="52"/>
  <c r="J27" i="52"/>
  <c r="C27" i="52"/>
  <c r="J28" i="52"/>
  <c r="C28" i="52"/>
  <c r="J29" i="52"/>
  <c r="C29" i="52"/>
  <c r="J30" i="52"/>
  <c r="C30" i="52"/>
  <c r="J31" i="52"/>
  <c r="C31" i="52"/>
  <c r="J32" i="52"/>
  <c r="C32" i="52"/>
  <c r="J33" i="52"/>
  <c r="C33" i="52"/>
  <c r="J34" i="52"/>
  <c r="C34" i="52"/>
  <c r="J35" i="52"/>
  <c r="C35" i="52"/>
  <c r="J36" i="52"/>
  <c r="C36" i="52"/>
  <c r="J37" i="52"/>
  <c r="C37" i="52"/>
  <c r="J38" i="52"/>
  <c r="C38" i="52"/>
  <c r="J39" i="52"/>
  <c r="C39" i="52"/>
  <c r="J2" i="52"/>
  <c r="C2" i="52"/>
  <c r="A11" i="3"/>
  <c r="C11" i="3"/>
  <c r="D11" i="3"/>
  <c r="E11" i="3"/>
  <c r="F11" i="3"/>
  <c r="H11" i="3"/>
  <c r="J11" i="3"/>
  <c r="J16" i="3"/>
  <c r="H16" i="3"/>
  <c r="C16" i="3"/>
  <c r="F16" i="3"/>
  <c r="E16" i="3"/>
  <c r="D16" i="3"/>
  <c r="A16" i="3"/>
  <c r="J6" i="3"/>
  <c r="H6" i="3"/>
  <c r="C6" i="3"/>
  <c r="F6" i="3"/>
  <c r="E6" i="3"/>
  <c r="D6" i="3"/>
  <c r="A6" i="3"/>
  <c r="J2" i="3"/>
  <c r="H2" i="3"/>
  <c r="C2" i="3"/>
  <c r="F2" i="3"/>
  <c r="E2" i="3"/>
  <c r="D2" i="3"/>
  <c r="A2" i="3"/>
  <c r="G2" i="58"/>
  <c r="U2" i="58"/>
  <c r="R2" i="58"/>
  <c r="P2" i="58"/>
  <c r="O2" i="58"/>
  <c r="N2" i="58"/>
  <c r="M2" i="58"/>
  <c r="L2" i="58"/>
  <c r="J2" i="58"/>
  <c r="K2" i="58"/>
  <c r="I2" i="58"/>
  <c r="H2" i="58"/>
  <c r="F2" i="58"/>
  <c r="E2" i="58"/>
  <c r="D2" i="58"/>
  <c r="C2" i="58"/>
  <c r="B2" i="58"/>
  <c r="E165" i="54"/>
  <c r="E164" i="54"/>
  <c r="E163" i="54"/>
  <c r="E162" i="54"/>
  <c r="E161" i="54"/>
  <c r="E160" i="54"/>
  <c r="E159" i="54"/>
  <c r="E158" i="54"/>
  <c r="E157" i="54"/>
  <c r="E156" i="54"/>
  <c r="E155" i="54"/>
  <c r="E154" i="54"/>
  <c r="E153" i="54"/>
  <c r="E152" i="54"/>
  <c r="E151" i="54"/>
  <c r="E150" i="54"/>
  <c r="E149" i="54"/>
  <c r="E148" i="54"/>
  <c r="E147" i="54"/>
  <c r="E146" i="54"/>
  <c r="E145" i="54"/>
  <c r="E144" i="54"/>
  <c r="E143" i="54"/>
  <c r="E142" i="54"/>
  <c r="E141" i="54"/>
  <c r="E140" i="54"/>
  <c r="E139" i="54"/>
  <c r="E138" i="54"/>
  <c r="E137" i="54"/>
  <c r="E136" i="54"/>
  <c r="E135" i="54"/>
  <c r="E134" i="54"/>
  <c r="E133" i="54"/>
  <c r="E132" i="54"/>
  <c r="E131" i="54"/>
  <c r="E130" i="54"/>
  <c r="E129" i="54"/>
  <c r="E128" i="54"/>
  <c r="E127" i="54"/>
  <c r="E126" i="54"/>
  <c r="E125" i="54"/>
  <c r="E124" i="54"/>
  <c r="E123" i="54"/>
  <c r="E122" i="54"/>
  <c r="E121" i="54"/>
  <c r="E120" i="54"/>
  <c r="E119" i="54"/>
  <c r="E118" i="54"/>
  <c r="E117" i="54"/>
  <c r="E116" i="54"/>
  <c r="E115" i="54"/>
  <c r="E114" i="54"/>
  <c r="E113" i="54"/>
  <c r="E112" i="54"/>
  <c r="E111" i="54"/>
  <c r="E110" i="54"/>
  <c r="E109" i="54"/>
  <c r="E108" i="54"/>
  <c r="E107" i="54"/>
  <c r="E106" i="54"/>
  <c r="E105" i="54"/>
  <c r="E104" i="54"/>
  <c r="E103" i="54"/>
  <c r="E102" i="54"/>
  <c r="E101" i="54"/>
  <c r="E100" i="54"/>
  <c r="E99" i="54"/>
  <c r="E98" i="54"/>
  <c r="E97" i="54"/>
  <c r="E96" i="54"/>
  <c r="E95" i="54"/>
  <c r="E94" i="54"/>
  <c r="E93" i="54"/>
  <c r="E92" i="54"/>
  <c r="E91" i="54"/>
  <c r="E90" i="54"/>
  <c r="E89" i="54"/>
  <c r="E88" i="54"/>
  <c r="E87" i="54"/>
  <c r="E86" i="54"/>
  <c r="E85" i="54"/>
  <c r="E84" i="54"/>
  <c r="E83" i="54"/>
  <c r="E82" i="54"/>
  <c r="E81" i="54"/>
  <c r="E80" i="54"/>
  <c r="E79" i="54"/>
  <c r="E78" i="54"/>
  <c r="E77" i="54"/>
  <c r="E76" i="54"/>
  <c r="E75" i="54"/>
  <c r="E74" i="54"/>
  <c r="E73" i="54"/>
  <c r="E72" i="54"/>
  <c r="E71" i="54"/>
  <c r="E70" i="54"/>
  <c r="E69" i="54"/>
  <c r="E68" i="54"/>
  <c r="E67" i="54"/>
  <c r="E66" i="54"/>
  <c r="E65" i="54"/>
  <c r="E64" i="54"/>
  <c r="E63" i="54"/>
  <c r="E62" i="54"/>
  <c r="E61" i="54"/>
  <c r="E60" i="54"/>
  <c r="E59" i="54"/>
  <c r="E58" i="54"/>
  <c r="E57" i="54"/>
  <c r="E56" i="54"/>
  <c r="E55" i="54"/>
  <c r="E54" i="54"/>
  <c r="E53" i="54"/>
  <c r="E52" i="54"/>
  <c r="E51" i="54"/>
  <c r="E50" i="54"/>
  <c r="E49" i="54"/>
  <c r="E48" i="54"/>
  <c r="E47" i="54"/>
  <c r="E46" i="54"/>
  <c r="E45" i="54"/>
  <c r="E44" i="54"/>
  <c r="E43" i="54"/>
  <c r="E42" i="54"/>
  <c r="E41" i="54"/>
  <c r="E40" i="54"/>
  <c r="E39" i="54"/>
  <c r="E38" i="54"/>
  <c r="E37" i="54"/>
  <c r="E36" i="54"/>
  <c r="E35" i="54"/>
  <c r="E34" i="54"/>
  <c r="E33" i="54"/>
  <c r="E32" i="54"/>
  <c r="E31" i="54"/>
  <c r="E30" i="54"/>
  <c r="E29" i="54"/>
  <c r="E28" i="54"/>
  <c r="E27" i="54"/>
  <c r="E26" i="54"/>
  <c r="E25" i="54"/>
  <c r="E24" i="54"/>
  <c r="E23" i="54"/>
  <c r="E22" i="54"/>
  <c r="E21" i="54"/>
  <c r="E20" i="54"/>
  <c r="E19" i="54"/>
  <c r="E18" i="54"/>
  <c r="E17" i="54"/>
  <c r="E16" i="54"/>
  <c r="E15" i="54"/>
  <c r="E14" i="54"/>
  <c r="E13" i="54"/>
  <c r="E12" i="54"/>
  <c r="E11" i="54"/>
  <c r="E10" i="54"/>
  <c r="E9" i="54"/>
  <c r="E8" i="54"/>
  <c r="E7" i="54"/>
  <c r="E6" i="54"/>
  <c r="E5" i="54"/>
  <c r="E4" i="54"/>
  <c r="E3" i="54"/>
  <c r="E2" i="54"/>
  <c r="F4" i="57"/>
  <c r="E4" i="57"/>
  <c r="B4" i="57"/>
  <c r="J48" i="3"/>
  <c r="H48" i="3"/>
  <c r="C48" i="3"/>
  <c r="F48" i="3"/>
  <c r="E48" i="3"/>
  <c r="D48" i="3"/>
  <c r="A48" i="3"/>
  <c r="J44" i="3"/>
  <c r="H44" i="3"/>
  <c r="C44" i="3"/>
  <c r="F44" i="3"/>
  <c r="E44" i="3"/>
  <c r="D44" i="3"/>
  <c r="A44" i="3"/>
  <c r="G5" i="58"/>
  <c r="U5" i="58"/>
  <c r="S3" i="58"/>
  <c r="S5" i="58"/>
  <c r="T5" i="58"/>
  <c r="R5" i="58"/>
  <c r="P5" i="58"/>
  <c r="O5" i="58"/>
  <c r="N5" i="58"/>
  <c r="M5" i="58"/>
  <c r="L5" i="58"/>
  <c r="J5" i="58"/>
  <c r="K5" i="58"/>
  <c r="I5" i="58"/>
  <c r="H5" i="58"/>
  <c r="F5" i="58"/>
  <c r="E5" i="58"/>
  <c r="D5" i="58"/>
  <c r="C5" i="58"/>
  <c r="B5" i="58"/>
  <c r="B3" i="57"/>
  <c r="G4" i="58"/>
  <c r="U4" i="58"/>
  <c r="S4" i="58"/>
  <c r="T4" i="58"/>
  <c r="R4" i="58"/>
  <c r="P4" i="58"/>
  <c r="O4" i="58"/>
  <c r="N4" i="58"/>
  <c r="M4" i="58"/>
  <c r="L4" i="58"/>
  <c r="J4" i="58"/>
  <c r="K4" i="58"/>
  <c r="I4" i="58"/>
  <c r="H4" i="58"/>
  <c r="F4" i="58"/>
  <c r="E4" i="58"/>
  <c r="D4" i="58"/>
  <c r="C4" i="58"/>
  <c r="B4" i="58"/>
  <c r="D165" i="54"/>
  <c r="B165" i="54"/>
  <c r="D164" i="54"/>
  <c r="B164" i="54"/>
  <c r="D163" i="54"/>
  <c r="B163" i="54"/>
  <c r="D162" i="54"/>
  <c r="B162" i="54"/>
  <c r="D161" i="54"/>
  <c r="B161" i="54"/>
  <c r="D160" i="54"/>
  <c r="B160" i="54"/>
  <c r="D159" i="54"/>
  <c r="B159" i="54"/>
  <c r="D158" i="54"/>
  <c r="B158" i="54"/>
  <c r="D157" i="54"/>
  <c r="B157" i="54"/>
  <c r="D156" i="54"/>
  <c r="B156" i="54"/>
  <c r="D155" i="54"/>
  <c r="B155" i="54"/>
  <c r="D154" i="54"/>
  <c r="B154" i="54"/>
  <c r="D153" i="54"/>
  <c r="B153" i="54"/>
  <c r="D152" i="54"/>
  <c r="B152" i="54"/>
  <c r="D151" i="54"/>
  <c r="B151" i="54"/>
  <c r="D150" i="54"/>
  <c r="B150" i="54"/>
  <c r="D149" i="54"/>
  <c r="B149" i="54"/>
  <c r="D148" i="54"/>
  <c r="B148" i="54"/>
  <c r="D147" i="54"/>
  <c r="B147" i="54"/>
  <c r="D146" i="54"/>
  <c r="B146" i="54"/>
  <c r="D145" i="54"/>
  <c r="B145" i="54"/>
  <c r="D144" i="54"/>
  <c r="B144" i="54"/>
  <c r="D143" i="54"/>
  <c r="B143" i="54"/>
  <c r="D142" i="54"/>
  <c r="B142" i="54"/>
  <c r="D141" i="54"/>
  <c r="B141" i="54"/>
  <c r="D140" i="54"/>
  <c r="B140" i="54"/>
  <c r="D139" i="54"/>
  <c r="B139" i="54"/>
  <c r="D138" i="54"/>
  <c r="B138" i="54"/>
  <c r="D137" i="54"/>
  <c r="B137" i="54"/>
  <c r="D136" i="54"/>
  <c r="B136" i="54"/>
  <c r="D135" i="54"/>
  <c r="B135" i="54"/>
  <c r="D134" i="54"/>
  <c r="B134" i="54"/>
  <c r="D133" i="54"/>
  <c r="B133" i="54"/>
  <c r="D132" i="54"/>
  <c r="B132" i="54"/>
  <c r="D131" i="54"/>
  <c r="B131" i="54"/>
  <c r="D130" i="54"/>
  <c r="B130" i="54"/>
  <c r="D129" i="54"/>
  <c r="B129" i="54"/>
  <c r="D128" i="54"/>
  <c r="B128" i="54"/>
  <c r="D127" i="54"/>
  <c r="B127" i="54"/>
  <c r="D126" i="54"/>
  <c r="B126" i="54"/>
  <c r="D125" i="54"/>
  <c r="B125" i="54"/>
  <c r="D124" i="54"/>
  <c r="B124" i="54"/>
  <c r="D123" i="54"/>
  <c r="B123" i="54"/>
  <c r="D122" i="54"/>
  <c r="B122" i="54"/>
  <c r="D121" i="54"/>
  <c r="B121" i="54"/>
  <c r="D120" i="54"/>
  <c r="B120" i="54"/>
  <c r="D119" i="54"/>
  <c r="B119" i="54"/>
  <c r="D118" i="54"/>
  <c r="B118" i="54"/>
  <c r="D117" i="54"/>
  <c r="B117" i="54"/>
  <c r="D116" i="54"/>
  <c r="B116" i="54"/>
  <c r="D115" i="54"/>
  <c r="B115" i="54"/>
  <c r="D114" i="54"/>
  <c r="B114" i="54"/>
  <c r="D113" i="54"/>
  <c r="B113" i="54"/>
  <c r="D112" i="54"/>
  <c r="B112" i="54"/>
  <c r="D111" i="54"/>
  <c r="B111" i="54"/>
  <c r="D110" i="54"/>
  <c r="B110" i="54"/>
  <c r="D109" i="54"/>
  <c r="B109" i="54"/>
  <c r="D108" i="54"/>
  <c r="B108" i="54"/>
  <c r="D107" i="54"/>
  <c r="B107" i="54"/>
  <c r="D106" i="54"/>
  <c r="B106" i="54"/>
  <c r="D105" i="54"/>
  <c r="B105" i="54"/>
  <c r="D104" i="54"/>
  <c r="B104" i="54"/>
  <c r="D103" i="54"/>
  <c r="B103" i="54"/>
  <c r="D102" i="54"/>
  <c r="B102" i="54"/>
  <c r="D101" i="54"/>
  <c r="B101" i="54"/>
  <c r="D100" i="54"/>
  <c r="B100" i="54"/>
  <c r="D99" i="54"/>
  <c r="B99" i="54"/>
  <c r="D98" i="54"/>
  <c r="B98" i="54"/>
  <c r="D97" i="54"/>
  <c r="B97" i="54"/>
  <c r="D96" i="54"/>
  <c r="B96" i="54"/>
  <c r="D95" i="54"/>
  <c r="B95" i="54"/>
  <c r="D94" i="54"/>
  <c r="B94" i="54"/>
  <c r="D93" i="54"/>
  <c r="B93" i="54"/>
  <c r="D92" i="54"/>
  <c r="B92" i="54"/>
  <c r="D91" i="54"/>
  <c r="B91" i="54"/>
  <c r="D90" i="54"/>
  <c r="B90" i="54"/>
  <c r="D89" i="54"/>
  <c r="B89" i="54"/>
  <c r="D88" i="54"/>
  <c r="B88" i="54"/>
  <c r="D87" i="54"/>
  <c r="B87" i="54"/>
  <c r="D86" i="54"/>
  <c r="B86" i="54"/>
  <c r="D85" i="54"/>
  <c r="B85" i="54"/>
  <c r="D84" i="54"/>
  <c r="B84" i="54"/>
  <c r="D83" i="54"/>
  <c r="B83" i="54"/>
  <c r="D82" i="54"/>
  <c r="B82" i="54"/>
  <c r="D81" i="54"/>
  <c r="B81" i="54"/>
  <c r="D80" i="54"/>
  <c r="B80" i="54"/>
  <c r="D79" i="54"/>
  <c r="B79" i="54"/>
  <c r="D78" i="54"/>
  <c r="B78" i="54"/>
  <c r="D77" i="54"/>
  <c r="B77" i="54"/>
  <c r="D76" i="54"/>
  <c r="B76" i="54"/>
  <c r="D75" i="54"/>
  <c r="B75" i="54"/>
  <c r="D74" i="54"/>
  <c r="B74" i="54"/>
  <c r="D73" i="54"/>
  <c r="B73" i="54"/>
  <c r="D72" i="54"/>
  <c r="B72" i="54"/>
  <c r="D71" i="54"/>
  <c r="B71" i="54"/>
  <c r="D70" i="54"/>
  <c r="B70" i="54"/>
  <c r="D69" i="54"/>
  <c r="B69" i="54"/>
  <c r="D68" i="54"/>
  <c r="B68" i="54"/>
  <c r="D67" i="54"/>
  <c r="B67" i="54"/>
  <c r="D66" i="54"/>
  <c r="B66" i="54"/>
  <c r="D65" i="54"/>
  <c r="B65" i="54"/>
  <c r="D64" i="54"/>
  <c r="B64" i="54"/>
  <c r="D63" i="54"/>
  <c r="B63" i="54"/>
  <c r="D62" i="54"/>
  <c r="B62" i="54"/>
  <c r="D61" i="54"/>
  <c r="B61" i="54"/>
  <c r="D60" i="54"/>
  <c r="B60" i="54"/>
  <c r="D59" i="54"/>
  <c r="B59" i="54"/>
  <c r="D58" i="54"/>
  <c r="B58" i="54"/>
  <c r="D57" i="54"/>
  <c r="B57" i="54"/>
  <c r="D56" i="54"/>
  <c r="B56" i="54"/>
  <c r="D55" i="54"/>
  <c r="B55" i="54"/>
  <c r="D54" i="54"/>
  <c r="B54" i="54"/>
  <c r="D53" i="54"/>
  <c r="B53" i="54"/>
  <c r="D52" i="54"/>
  <c r="B52" i="54"/>
  <c r="D51" i="54"/>
  <c r="B51" i="54"/>
  <c r="D50" i="54"/>
  <c r="B50" i="54"/>
  <c r="D49" i="54"/>
  <c r="B49" i="54"/>
  <c r="D48" i="54"/>
  <c r="B48" i="54"/>
  <c r="D47" i="54"/>
  <c r="B47" i="54"/>
  <c r="D46" i="54"/>
  <c r="B46" i="54"/>
  <c r="D45" i="54"/>
  <c r="B45" i="54"/>
  <c r="D44" i="54"/>
  <c r="B44" i="54"/>
  <c r="D43" i="54"/>
  <c r="B43" i="54"/>
  <c r="D42" i="54"/>
  <c r="B42" i="54"/>
  <c r="D41" i="54"/>
  <c r="B41" i="54"/>
  <c r="D40" i="54"/>
  <c r="B40" i="54"/>
  <c r="D39" i="54"/>
  <c r="B39" i="54"/>
  <c r="D38" i="54"/>
  <c r="B38" i="54"/>
  <c r="D37" i="54"/>
  <c r="B37" i="54"/>
  <c r="D36" i="54"/>
  <c r="B36" i="54"/>
  <c r="D35" i="54"/>
  <c r="B35" i="54"/>
  <c r="D34" i="54"/>
  <c r="B34" i="54"/>
  <c r="D33" i="54"/>
  <c r="B33" i="54"/>
  <c r="D32" i="54"/>
  <c r="B32" i="54"/>
  <c r="D31" i="54"/>
  <c r="B31" i="54"/>
  <c r="D30" i="54"/>
  <c r="B30" i="54"/>
  <c r="D29" i="54"/>
  <c r="B29" i="54"/>
  <c r="D28" i="54"/>
  <c r="B28" i="54"/>
  <c r="D27" i="54"/>
  <c r="B27" i="54"/>
  <c r="D26" i="54"/>
  <c r="B26" i="54"/>
  <c r="D25" i="54"/>
  <c r="B25" i="54"/>
  <c r="D24" i="54"/>
  <c r="B24" i="54"/>
  <c r="D23" i="54"/>
  <c r="B23" i="54"/>
  <c r="D22" i="54"/>
  <c r="B22" i="54"/>
  <c r="D21" i="54"/>
  <c r="B21" i="54"/>
  <c r="D20" i="54"/>
  <c r="B20" i="54"/>
  <c r="D19" i="54"/>
  <c r="B19" i="54"/>
  <c r="D18" i="54"/>
  <c r="B18" i="54"/>
  <c r="D17" i="54"/>
  <c r="B17" i="54"/>
  <c r="D16" i="54"/>
  <c r="B16" i="54"/>
  <c r="D15" i="54"/>
  <c r="B15" i="54"/>
  <c r="D14" i="54"/>
  <c r="B14" i="54"/>
  <c r="D13" i="54"/>
  <c r="B13" i="54"/>
  <c r="D12" i="54"/>
  <c r="B12" i="54"/>
  <c r="D11" i="54"/>
  <c r="B11" i="54"/>
  <c r="H39" i="53"/>
  <c r="E39" i="53"/>
  <c r="H38" i="53"/>
  <c r="E38" i="53"/>
  <c r="H37" i="53"/>
  <c r="E37" i="53"/>
  <c r="H36" i="53"/>
  <c r="E36" i="53"/>
  <c r="H35" i="53"/>
  <c r="E35" i="53"/>
  <c r="H34" i="53"/>
  <c r="E34" i="53"/>
  <c r="H33" i="53"/>
  <c r="E33" i="53"/>
  <c r="H32" i="53"/>
  <c r="E32" i="53"/>
  <c r="H31" i="53"/>
  <c r="E31" i="53"/>
  <c r="H30" i="53"/>
  <c r="E30" i="53"/>
  <c r="H29" i="53"/>
  <c r="E29" i="53"/>
  <c r="H28" i="53"/>
  <c r="E28" i="53"/>
  <c r="H27" i="53"/>
  <c r="E27" i="53"/>
  <c r="H26" i="53"/>
  <c r="E26" i="53"/>
  <c r="H25" i="53"/>
  <c r="E25" i="53"/>
  <c r="H24" i="53"/>
  <c r="E24" i="53"/>
  <c r="H23" i="53"/>
  <c r="E23" i="53"/>
  <c r="H22" i="53"/>
  <c r="E22" i="53"/>
  <c r="H21" i="53"/>
  <c r="E21" i="53"/>
  <c r="H20" i="53"/>
  <c r="E20" i="53"/>
  <c r="H19" i="53"/>
  <c r="E19" i="53"/>
  <c r="H18" i="53"/>
  <c r="E18" i="53"/>
  <c r="H17" i="53"/>
  <c r="E17" i="53"/>
  <c r="H16" i="53"/>
  <c r="E16" i="53"/>
  <c r="H15" i="53"/>
  <c r="E15" i="53"/>
  <c r="H14" i="53"/>
  <c r="E14" i="53"/>
  <c r="H13" i="53"/>
  <c r="E13" i="53"/>
  <c r="H12" i="53"/>
  <c r="E12" i="53"/>
  <c r="H11" i="53"/>
  <c r="E11" i="53"/>
  <c r="H10" i="53"/>
  <c r="E10" i="53"/>
  <c r="H9" i="53"/>
  <c r="E9" i="53"/>
  <c r="H8" i="53"/>
  <c r="E8" i="53"/>
  <c r="H7" i="53"/>
  <c r="E7" i="53"/>
  <c r="H6" i="53"/>
  <c r="E6" i="53"/>
  <c r="H5" i="53"/>
  <c r="E5" i="53"/>
  <c r="H4" i="53"/>
  <c r="E4" i="53"/>
  <c r="K39" i="52"/>
  <c r="H39" i="52"/>
  <c r="E39" i="52"/>
  <c r="K38" i="52"/>
  <c r="H38" i="52"/>
  <c r="E38" i="52"/>
  <c r="K37" i="52"/>
  <c r="H37" i="52"/>
  <c r="E37" i="52"/>
  <c r="K36" i="52"/>
  <c r="H36" i="52"/>
  <c r="E36" i="52"/>
  <c r="K35" i="52"/>
  <c r="H35" i="52"/>
  <c r="E35" i="52"/>
  <c r="K34" i="52"/>
  <c r="H34" i="52"/>
  <c r="K33" i="52"/>
  <c r="H33" i="52"/>
  <c r="E33" i="52"/>
  <c r="K32" i="52"/>
  <c r="H32" i="52"/>
  <c r="E32" i="52"/>
  <c r="K31" i="52"/>
  <c r="H31" i="52"/>
  <c r="E31" i="52"/>
  <c r="K30" i="52"/>
  <c r="H30" i="52"/>
  <c r="E30" i="52"/>
  <c r="K29" i="52"/>
  <c r="H29" i="52"/>
  <c r="E29" i="52"/>
  <c r="K28" i="52"/>
  <c r="H28" i="52"/>
  <c r="E28" i="52"/>
  <c r="K27" i="52"/>
  <c r="H27" i="52"/>
  <c r="E27" i="52"/>
  <c r="K26" i="52"/>
  <c r="H26" i="52"/>
  <c r="E26" i="52"/>
  <c r="K25" i="52"/>
  <c r="H25" i="52"/>
  <c r="E25" i="52"/>
  <c r="K24" i="52"/>
  <c r="H24" i="52"/>
  <c r="E24" i="52"/>
  <c r="K23" i="52"/>
  <c r="H23" i="52"/>
  <c r="E23" i="52"/>
  <c r="K22" i="52"/>
  <c r="H22" i="52"/>
  <c r="E22" i="52"/>
  <c r="K21" i="52"/>
  <c r="H21" i="52"/>
  <c r="E21" i="52"/>
  <c r="K20" i="52"/>
  <c r="H20" i="52"/>
  <c r="E20" i="52"/>
  <c r="K19" i="52"/>
  <c r="H19" i="52"/>
  <c r="E19" i="52"/>
  <c r="K18" i="52"/>
  <c r="H18" i="52"/>
  <c r="E18" i="52"/>
  <c r="K17" i="52"/>
  <c r="H17" i="52"/>
  <c r="E17" i="52"/>
  <c r="K16" i="52"/>
  <c r="H16" i="52"/>
  <c r="E16" i="52"/>
  <c r="K15" i="52"/>
  <c r="H15" i="52"/>
  <c r="E15" i="52"/>
  <c r="K14" i="52"/>
  <c r="H14" i="52"/>
  <c r="E14" i="52"/>
  <c r="K13" i="52"/>
  <c r="H13" i="52"/>
  <c r="E13" i="52"/>
  <c r="K12" i="52"/>
  <c r="H12" i="52"/>
  <c r="E12" i="52"/>
  <c r="K11" i="52"/>
  <c r="H11" i="52"/>
  <c r="E11" i="52"/>
  <c r="K10" i="52"/>
  <c r="H10" i="52"/>
  <c r="E10" i="52"/>
  <c r="K9" i="52"/>
  <c r="H9" i="52"/>
  <c r="E9" i="52"/>
  <c r="K8" i="52"/>
  <c r="H8" i="52"/>
  <c r="E8" i="52"/>
  <c r="K7" i="52"/>
  <c r="H7" i="52"/>
  <c r="E7" i="52"/>
  <c r="K6" i="52"/>
  <c r="H6" i="52"/>
  <c r="E6" i="52"/>
  <c r="K5" i="52"/>
  <c r="H5" i="52"/>
  <c r="E5" i="52"/>
  <c r="K4" i="52"/>
  <c r="H4" i="52"/>
  <c r="E4" i="52"/>
  <c r="BR39" i="23"/>
  <c r="G39" i="23"/>
  <c r="BC39" i="23"/>
  <c r="BD39" i="23"/>
  <c r="Q39" i="23"/>
  <c r="V39" i="23"/>
  <c r="W39" i="23"/>
  <c r="AD39" i="23"/>
  <c r="I39" i="23"/>
  <c r="M39" i="23"/>
  <c r="BN39" i="23"/>
  <c r="U39" i="23"/>
  <c r="AC39" i="23"/>
  <c r="L39" i="23"/>
  <c r="BM39" i="23"/>
  <c r="T39" i="23"/>
  <c r="AB39" i="23"/>
  <c r="K39" i="23"/>
  <c r="BL39" i="23"/>
  <c r="S39" i="23"/>
  <c r="AA39" i="23"/>
  <c r="J39" i="23"/>
  <c r="BK39" i="23"/>
  <c r="G38" i="23"/>
  <c r="BC38" i="23"/>
  <c r="BE39" i="23"/>
  <c r="BJ39" i="23"/>
  <c r="BI39" i="23"/>
  <c r="BH39" i="23"/>
  <c r="BG39" i="23"/>
  <c r="I38" i="23"/>
  <c r="J38" i="23"/>
  <c r="BF39" i="23"/>
  <c r="AX39" i="23"/>
  <c r="AW39" i="23"/>
  <c r="AV39" i="23"/>
  <c r="AU39" i="23"/>
  <c r="AS39" i="23"/>
  <c r="AR39" i="23"/>
  <c r="AQ39" i="23"/>
  <c r="AN39" i="23"/>
  <c r="AM39" i="23"/>
  <c r="AL39" i="23"/>
  <c r="AK39" i="23"/>
  <c r="AI39" i="23"/>
  <c r="AH39" i="23"/>
  <c r="AF39" i="23"/>
  <c r="Y39" i="23"/>
  <c r="Z39" i="23"/>
  <c r="X39" i="23"/>
  <c r="R39" i="23"/>
  <c r="O39" i="23"/>
  <c r="G4" i="13"/>
  <c r="N39" i="23"/>
  <c r="F39" i="23"/>
  <c r="E39" i="23"/>
  <c r="D39" i="23"/>
  <c r="C39" i="23"/>
  <c r="B39" i="23"/>
  <c r="BR38" i="23"/>
  <c r="BD38" i="23"/>
  <c r="Q38" i="23"/>
  <c r="V38" i="23"/>
  <c r="W38" i="23"/>
  <c r="AD38" i="23"/>
  <c r="M38" i="23"/>
  <c r="BN38" i="23"/>
  <c r="U38" i="23"/>
  <c r="AC38" i="23"/>
  <c r="L38" i="23"/>
  <c r="BM38" i="23"/>
  <c r="T38" i="23"/>
  <c r="AB38" i="23"/>
  <c r="K38" i="23"/>
  <c r="BL38" i="23"/>
  <c r="S38" i="23"/>
  <c r="AA38" i="23"/>
  <c r="BK38" i="23"/>
  <c r="BE38" i="23"/>
  <c r="BJ38" i="23"/>
  <c r="BI38" i="23"/>
  <c r="BH38" i="23"/>
  <c r="BG38" i="23"/>
  <c r="BF38" i="23"/>
  <c r="AX38" i="23"/>
  <c r="AW38" i="23"/>
  <c r="AV38" i="23"/>
  <c r="AU38" i="23"/>
  <c r="AS38" i="23"/>
  <c r="AR38" i="23"/>
  <c r="AQ38" i="23"/>
  <c r="AN38" i="23"/>
  <c r="AM38" i="23"/>
  <c r="AL38" i="23"/>
  <c r="AK38" i="23"/>
  <c r="AI38" i="23"/>
  <c r="AH38" i="23"/>
  <c r="AF38" i="23"/>
  <c r="Y38" i="23"/>
  <c r="Z38" i="23"/>
  <c r="X38" i="23"/>
  <c r="R38" i="23"/>
  <c r="P38" i="23"/>
  <c r="O38" i="23"/>
  <c r="N38" i="23"/>
  <c r="F38" i="23"/>
  <c r="E38" i="23"/>
  <c r="D38" i="23"/>
  <c r="C38" i="23"/>
  <c r="B38" i="23"/>
  <c r="BR37" i="23"/>
  <c r="G37" i="23"/>
  <c r="BC37" i="23"/>
  <c r="BD37" i="23"/>
  <c r="Q37" i="23"/>
  <c r="V37" i="23"/>
  <c r="W37" i="23"/>
  <c r="AD37" i="23"/>
  <c r="I37" i="23"/>
  <c r="M37" i="23"/>
  <c r="BN37" i="23"/>
  <c r="U37" i="23"/>
  <c r="AC37" i="23"/>
  <c r="L37" i="23"/>
  <c r="BM37" i="23"/>
  <c r="T37" i="23"/>
  <c r="AB37" i="23"/>
  <c r="K37" i="23"/>
  <c r="BL37" i="23"/>
  <c r="S37" i="23"/>
  <c r="AA37" i="23"/>
  <c r="J37" i="23"/>
  <c r="BK37" i="23"/>
  <c r="G36" i="23"/>
  <c r="BC36" i="23"/>
  <c r="G35" i="23"/>
  <c r="BC35" i="23"/>
  <c r="BE37" i="23"/>
  <c r="BJ37" i="23"/>
  <c r="BI37" i="23"/>
  <c r="BH37" i="23"/>
  <c r="BG37" i="23"/>
  <c r="I36" i="23"/>
  <c r="J36" i="23"/>
  <c r="I35" i="23"/>
  <c r="J35" i="23"/>
  <c r="BF37" i="23"/>
  <c r="AX37" i="23"/>
  <c r="AW37" i="23"/>
  <c r="AV37" i="23"/>
  <c r="AU37" i="23"/>
  <c r="AS37" i="23"/>
  <c r="AR37" i="23"/>
  <c r="AQ37" i="23"/>
  <c r="AN37" i="23"/>
  <c r="AM37" i="23"/>
  <c r="AL37" i="23"/>
  <c r="AK37" i="23"/>
  <c r="AI37" i="23"/>
  <c r="AH37" i="23"/>
  <c r="AF37" i="23"/>
  <c r="Y37" i="23"/>
  <c r="Z37" i="23"/>
  <c r="X37" i="23"/>
  <c r="R37" i="23"/>
  <c r="P37" i="23"/>
  <c r="O37" i="23"/>
  <c r="N37" i="23"/>
  <c r="F37" i="23"/>
  <c r="E37" i="23"/>
  <c r="D37" i="23"/>
  <c r="C37" i="23"/>
  <c r="B37" i="23"/>
  <c r="BR36" i="23"/>
  <c r="BD36" i="23"/>
  <c r="Q36" i="23"/>
  <c r="V36" i="23"/>
  <c r="W36" i="23"/>
  <c r="AD36" i="23"/>
  <c r="M36" i="23"/>
  <c r="BN36" i="23"/>
  <c r="U36" i="23"/>
  <c r="AC36" i="23"/>
  <c r="L36" i="23"/>
  <c r="BM36" i="23"/>
  <c r="T36" i="23"/>
  <c r="AB36" i="23"/>
  <c r="K36" i="23"/>
  <c r="BL36" i="23"/>
  <c r="S36" i="23"/>
  <c r="AA36" i="23"/>
  <c r="BK36" i="23"/>
  <c r="BE36" i="23"/>
  <c r="BJ36" i="23"/>
  <c r="BI36" i="23"/>
  <c r="BH36" i="23"/>
  <c r="BG36" i="23"/>
  <c r="BF36" i="23"/>
  <c r="AX36" i="23"/>
  <c r="AW36" i="23"/>
  <c r="AV36" i="23"/>
  <c r="AU36" i="23"/>
  <c r="AS36" i="23"/>
  <c r="AR36" i="23"/>
  <c r="AQ36" i="23"/>
  <c r="AN36" i="23"/>
  <c r="AM36" i="23"/>
  <c r="AL36" i="23"/>
  <c r="AK36" i="23"/>
  <c r="AI36" i="23"/>
  <c r="AH36" i="23"/>
  <c r="AF36" i="23"/>
  <c r="Y36" i="23"/>
  <c r="Z36" i="23"/>
  <c r="X36" i="23"/>
  <c r="R36" i="23"/>
  <c r="P36" i="23"/>
  <c r="O36" i="23"/>
  <c r="N36" i="23"/>
  <c r="F36" i="23"/>
  <c r="E36" i="23"/>
  <c r="D36" i="23"/>
  <c r="C36" i="23"/>
  <c r="B36" i="23"/>
  <c r="BR35" i="23"/>
  <c r="BD35" i="23"/>
  <c r="Q35" i="23"/>
  <c r="V35" i="23"/>
  <c r="W35" i="23"/>
  <c r="AD35" i="23"/>
  <c r="M35" i="23"/>
  <c r="BN35" i="23"/>
  <c r="U35" i="23"/>
  <c r="AC35" i="23"/>
  <c r="L35" i="23"/>
  <c r="BM35" i="23"/>
  <c r="T35" i="23"/>
  <c r="AB35" i="23"/>
  <c r="K35" i="23"/>
  <c r="BL35" i="23"/>
  <c r="S35" i="23"/>
  <c r="AA35" i="23"/>
  <c r="BK35" i="23"/>
  <c r="BE35" i="23"/>
  <c r="BJ35" i="23"/>
  <c r="BI35" i="23"/>
  <c r="BH35" i="23"/>
  <c r="BG35" i="23"/>
  <c r="BF35" i="23"/>
  <c r="AX35" i="23"/>
  <c r="AW35" i="23"/>
  <c r="AV35" i="23"/>
  <c r="AU35" i="23"/>
  <c r="AS35" i="23"/>
  <c r="AR35" i="23"/>
  <c r="AQ35" i="23"/>
  <c r="AN35" i="23"/>
  <c r="AM35" i="23"/>
  <c r="AL35" i="23"/>
  <c r="AK35" i="23"/>
  <c r="AI35" i="23"/>
  <c r="AH35" i="23"/>
  <c r="AF35" i="23"/>
  <c r="Y35" i="23"/>
  <c r="Z35" i="23"/>
  <c r="X35" i="23"/>
  <c r="R35" i="23"/>
  <c r="P35" i="23"/>
  <c r="O35" i="23"/>
  <c r="N35" i="23"/>
  <c r="F35" i="23"/>
  <c r="E35" i="23"/>
  <c r="D35" i="23"/>
  <c r="C35" i="23"/>
  <c r="B35" i="23"/>
  <c r="BR34" i="23"/>
  <c r="G34" i="23"/>
  <c r="BC34" i="23"/>
  <c r="BD34" i="23"/>
  <c r="Q34" i="23"/>
  <c r="V34" i="23"/>
  <c r="W34" i="23"/>
  <c r="AD34" i="23"/>
  <c r="I34" i="23"/>
  <c r="M34" i="23"/>
  <c r="BN34" i="23"/>
  <c r="U34" i="23"/>
  <c r="AC34" i="23"/>
  <c r="L34" i="23"/>
  <c r="BM34" i="23"/>
  <c r="T34" i="23"/>
  <c r="AB34" i="23"/>
  <c r="K34" i="23"/>
  <c r="BL34" i="23"/>
  <c r="S34" i="23"/>
  <c r="AA34" i="23"/>
  <c r="J34" i="23"/>
  <c r="BK34" i="23"/>
  <c r="BE34" i="23"/>
  <c r="BJ34" i="23"/>
  <c r="BI34" i="23"/>
  <c r="BH34" i="23"/>
  <c r="BG34" i="23"/>
  <c r="BF34" i="23"/>
  <c r="AX34" i="23"/>
  <c r="AW34" i="23"/>
  <c r="AV34" i="23"/>
  <c r="AU34" i="23"/>
  <c r="AS34" i="23"/>
  <c r="AR34" i="23"/>
  <c r="AQ34" i="23"/>
  <c r="AN34" i="23"/>
  <c r="AM34" i="23"/>
  <c r="AL34" i="23"/>
  <c r="AK34" i="23"/>
  <c r="AI34" i="23"/>
  <c r="AH34" i="23"/>
  <c r="AF34" i="23"/>
  <c r="Y34" i="23"/>
  <c r="Z34" i="23"/>
  <c r="X34" i="23"/>
  <c r="R34" i="23"/>
  <c r="P34" i="23"/>
  <c r="O34" i="23"/>
  <c r="N34" i="23"/>
  <c r="F34" i="23"/>
  <c r="E34" i="23"/>
  <c r="D34" i="23"/>
  <c r="C34" i="23"/>
  <c r="B34" i="23"/>
  <c r="BR33" i="23"/>
  <c r="G33" i="23"/>
  <c r="BC33" i="23"/>
  <c r="BD33" i="23"/>
  <c r="Q33" i="23"/>
  <c r="V33" i="23"/>
  <c r="W33" i="23"/>
  <c r="AD33" i="23"/>
  <c r="I33" i="23"/>
  <c r="M33" i="23"/>
  <c r="BN33" i="23"/>
  <c r="U33" i="23"/>
  <c r="AC33" i="23"/>
  <c r="L33" i="23"/>
  <c r="BM33" i="23"/>
  <c r="T33" i="23"/>
  <c r="AB33" i="23"/>
  <c r="K33" i="23"/>
  <c r="BL33" i="23"/>
  <c r="S33" i="23"/>
  <c r="AA33" i="23"/>
  <c r="J33" i="23"/>
  <c r="BK33" i="23"/>
  <c r="G32" i="23"/>
  <c r="BC32" i="23"/>
  <c r="BE33" i="23"/>
  <c r="BJ33" i="23"/>
  <c r="BI33" i="23"/>
  <c r="BH33" i="23"/>
  <c r="BG33" i="23"/>
  <c r="I32" i="23"/>
  <c r="J32" i="23"/>
  <c r="BF33" i="23"/>
  <c r="AX33" i="23"/>
  <c r="AW33" i="23"/>
  <c r="AV33" i="23"/>
  <c r="AU33" i="23"/>
  <c r="AS33" i="23"/>
  <c r="AR33" i="23"/>
  <c r="AQ33" i="23"/>
  <c r="AN33" i="23"/>
  <c r="AM33" i="23"/>
  <c r="AL33" i="23"/>
  <c r="AK33" i="23"/>
  <c r="AI33" i="23"/>
  <c r="AH33" i="23"/>
  <c r="AF33" i="23"/>
  <c r="Y33" i="23"/>
  <c r="Z33" i="23"/>
  <c r="X33" i="23"/>
  <c r="R33" i="23"/>
  <c r="P33" i="23"/>
  <c r="O33" i="23"/>
  <c r="N33" i="23"/>
  <c r="F33" i="23"/>
  <c r="E33" i="23"/>
  <c r="D33" i="23"/>
  <c r="C33" i="23"/>
  <c r="B33" i="23"/>
  <c r="BR32" i="23"/>
  <c r="BD32" i="23"/>
  <c r="Q32" i="23"/>
  <c r="V32" i="23"/>
  <c r="W32" i="23"/>
  <c r="AD32" i="23"/>
  <c r="M32" i="23"/>
  <c r="BN32" i="23"/>
  <c r="U32" i="23"/>
  <c r="AC32" i="23"/>
  <c r="L32" i="23"/>
  <c r="BM32" i="23"/>
  <c r="T32" i="23"/>
  <c r="AB32" i="23"/>
  <c r="K32" i="23"/>
  <c r="BL32" i="23"/>
  <c r="S32" i="23"/>
  <c r="AA32" i="23"/>
  <c r="BK32" i="23"/>
  <c r="BE32" i="23"/>
  <c r="BJ32" i="23"/>
  <c r="BI32" i="23"/>
  <c r="BH32" i="23"/>
  <c r="BG32" i="23"/>
  <c r="BF32" i="23"/>
  <c r="AX32" i="23"/>
  <c r="AW32" i="23"/>
  <c r="AV32" i="23"/>
  <c r="AU32" i="23"/>
  <c r="AS32" i="23"/>
  <c r="AR32" i="23"/>
  <c r="AQ32" i="23"/>
  <c r="AN32" i="23"/>
  <c r="AM32" i="23"/>
  <c r="AL32" i="23"/>
  <c r="AK32" i="23"/>
  <c r="AI32" i="23"/>
  <c r="AH32" i="23"/>
  <c r="AF32" i="23"/>
  <c r="Y32" i="23"/>
  <c r="Z32" i="23"/>
  <c r="X32" i="23"/>
  <c r="R32" i="23"/>
  <c r="P32" i="23"/>
  <c r="O32" i="23"/>
  <c r="N32" i="23"/>
  <c r="F32" i="23"/>
  <c r="E32" i="23"/>
  <c r="D32" i="23"/>
  <c r="C32" i="23"/>
  <c r="B32" i="23"/>
  <c r="BR31" i="23"/>
  <c r="G31" i="23"/>
  <c r="BC31" i="23"/>
  <c r="BD31" i="23"/>
  <c r="Q31" i="23"/>
  <c r="V31" i="23"/>
  <c r="W31" i="23"/>
  <c r="AD31" i="23"/>
  <c r="I31" i="23"/>
  <c r="M31" i="23"/>
  <c r="BN31" i="23"/>
  <c r="U31" i="23"/>
  <c r="AC31" i="23"/>
  <c r="L31" i="23"/>
  <c r="BM31" i="23"/>
  <c r="T31" i="23"/>
  <c r="AB31" i="23"/>
  <c r="K31" i="23"/>
  <c r="BL31" i="23"/>
  <c r="S31" i="23"/>
  <c r="AA31" i="23"/>
  <c r="J31" i="23"/>
  <c r="BK31" i="23"/>
  <c r="G30" i="23"/>
  <c r="BC30" i="23"/>
  <c r="BE31" i="23"/>
  <c r="BJ31" i="23"/>
  <c r="BI31" i="23"/>
  <c r="BH31" i="23"/>
  <c r="BG31" i="23"/>
  <c r="I30" i="23"/>
  <c r="J30" i="23"/>
  <c r="BF31" i="23"/>
  <c r="AX31" i="23"/>
  <c r="AW31" i="23"/>
  <c r="AV31" i="23"/>
  <c r="AU31" i="23"/>
  <c r="AS31" i="23"/>
  <c r="AR31" i="23"/>
  <c r="AQ31" i="23"/>
  <c r="AN31" i="23"/>
  <c r="AM31" i="23"/>
  <c r="AL31" i="23"/>
  <c r="AK31" i="23"/>
  <c r="AI31" i="23"/>
  <c r="AH31" i="23"/>
  <c r="AF31" i="23"/>
  <c r="Y31" i="23"/>
  <c r="Z31" i="23"/>
  <c r="X31" i="23"/>
  <c r="R31" i="23"/>
  <c r="P31" i="23"/>
  <c r="O31" i="23"/>
  <c r="N31" i="23"/>
  <c r="F31" i="23"/>
  <c r="E31" i="23"/>
  <c r="D31" i="23"/>
  <c r="C31" i="23"/>
  <c r="B31" i="23"/>
  <c r="BR30" i="23"/>
  <c r="BD30" i="23"/>
  <c r="Q30" i="23"/>
  <c r="V30" i="23"/>
  <c r="W30" i="23"/>
  <c r="AD30" i="23"/>
  <c r="M30" i="23"/>
  <c r="BN30" i="23"/>
  <c r="U30" i="23"/>
  <c r="AC30" i="23"/>
  <c r="L30" i="23"/>
  <c r="BM30" i="23"/>
  <c r="T30" i="23"/>
  <c r="AB30" i="23"/>
  <c r="K30" i="23"/>
  <c r="BL30" i="23"/>
  <c r="S30" i="23"/>
  <c r="AA30" i="23"/>
  <c r="BK30" i="23"/>
  <c r="BE30" i="23"/>
  <c r="BJ30" i="23"/>
  <c r="BI30" i="23"/>
  <c r="BH30" i="23"/>
  <c r="BG30" i="23"/>
  <c r="BF30" i="23"/>
  <c r="AX30" i="23"/>
  <c r="AW30" i="23"/>
  <c r="AV30" i="23"/>
  <c r="AU30" i="23"/>
  <c r="AS30" i="23"/>
  <c r="AR30" i="23"/>
  <c r="AQ30" i="23"/>
  <c r="AN30" i="23"/>
  <c r="AM30" i="23"/>
  <c r="AL30" i="23"/>
  <c r="AK30" i="23"/>
  <c r="AI30" i="23"/>
  <c r="AH30" i="23"/>
  <c r="AF30" i="23"/>
  <c r="Y30" i="23"/>
  <c r="Z30" i="23"/>
  <c r="X30" i="23"/>
  <c r="R30" i="23"/>
  <c r="P30" i="23"/>
  <c r="O30" i="23"/>
  <c r="N30" i="23"/>
  <c r="F30" i="23"/>
  <c r="E30" i="23"/>
  <c r="D30" i="23"/>
  <c r="C30" i="23"/>
  <c r="B30" i="23"/>
  <c r="BR29" i="23"/>
  <c r="G29" i="23"/>
  <c r="BC29" i="23"/>
  <c r="BD29" i="23"/>
  <c r="Q29" i="23"/>
  <c r="V29" i="23"/>
  <c r="W29" i="23"/>
  <c r="AD29" i="23"/>
  <c r="I29" i="23"/>
  <c r="M29" i="23"/>
  <c r="BN29" i="23"/>
  <c r="U29" i="23"/>
  <c r="AC29" i="23"/>
  <c r="L29" i="23"/>
  <c r="BM29" i="23"/>
  <c r="T29" i="23"/>
  <c r="AB29" i="23"/>
  <c r="K29" i="23"/>
  <c r="BL29" i="23"/>
  <c r="S29" i="23"/>
  <c r="AA29" i="23"/>
  <c r="J29" i="23"/>
  <c r="BK29" i="23"/>
  <c r="BE29" i="23"/>
  <c r="BJ29" i="23"/>
  <c r="BI29" i="23"/>
  <c r="BH29" i="23"/>
  <c r="BG29" i="23"/>
  <c r="BF29" i="23"/>
  <c r="AX29" i="23"/>
  <c r="AW29" i="23"/>
  <c r="AV29" i="23"/>
  <c r="AU29" i="23"/>
  <c r="AS29" i="23"/>
  <c r="AR29" i="23"/>
  <c r="AQ29" i="23"/>
  <c r="AN29" i="23"/>
  <c r="AM29" i="23"/>
  <c r="AL29" i="23"/>
  <c r="AK29" i="23"/>
  <c r="AI29" i="23"/>
  <c r="AH29" i="23"/>
  <c r="AF29" i="23"/>
  <c r="Y29" i="23"/>
  <c r="Z29" i="23"/>
  <c r="X29" i="23"/>
  <c r="R29" i="23"/>
  <c r="P29" i="23"/>
  <c r="O29" i="23"/>
  <c r="N29" i="23"/>
  <c r="F29" i="23"/>
  <c r="E29" i="23"/>
  <c r="D29" i="23"/>
  <c r="C29" i="23"/>
  <c r="B29" i="23"/>
  <c r="BR28" i="23"/>
  <c r="G28" i="23"/>
  <c r="BC28" i="23"/>
  <c r="BD28" i="23"/>
  <c r="Q28" i="23"/>
  <c r="V28" i="23"/>
  <c r="W28" i="23"/>
  <c r="AD28" i="23"/>
  <c r="I28" i="23"/>
  <c r="M28" i="23"/>
  <c r="BN28" i="23"/>
  <c r="U28" i="23"/>
  <c r="AC28" i="23"/>
  <c r="L28" i="23"/>
  <c r="BM28" i="23"/>
  <c r="T28" i="23"/>
  <c r="AB28" i="23"/>
  <c r="K28" i="23"/>
  <c r="BL28" i="23"/>
  <c r="S28" i="23"/>
  <c r="AA28" i="23"/>
  <c r="J28" i="23"/>
  <c r="BK28" i="23"/>
  <c r="BE28" i="23"/>
  <c r="BJ28" i="23"/>
  <c r="BI28" i="23"/>
  <c r="BH28" i="23"/>
  <c r="BG28" i="23"/>
  <c r="BF28" i="23"/>
  <c r="AX28" i="23"/>
  <c r="AW28" i="23"/>
  <c r="AV28" i="23"/>
  <c r="AU28" i="23"/>
  <c r="AS28" i="23"/>
  <c r="AR28" i="23"/>
  <c r="AQ28" i="23"/>
  <c r="AN28" i="23"/>
  <c r="AM28" i="23"/>
  <c r="AL28" i="23"/>
  <c r="AK28" i="23"/>
  <c r="AI28" i="23"/>
  <c r="AH28" i="23"/>
  <c r="AF28" i="23"/>
  <c r="Y28" i="23"/>
  <c r="Z28" i="23"/>
  <c r="X28" i="23"/>
  <c r="R28" i="23"/>
  <c r="P28" i="23"/>
  <c r="O28" i="23"/>
  <c r="N28" i="23"/>
  <c r="F28" i="23"/>
  <c r="E28" i="23"/>
  <c r="D28" i="23"/>
  <c r="C28" i="23"/>
  <c r="B28" i="23"/>
  <c r="BR27" i="23"/>
  <c r="G27" i="23"/>
  <c r="BC27" i="23"/>
  <c r="BD27" i="23"/>
  <c r="Q27" i="23"/>
  <c r="V27" i="23"/>
  <c r="W27" i="23"/>
  <c r="AD27" i="23"/>
  <c r="I27" i="23"/>
  <c r="M27" i="23"/>
  <c r="BN27" i="23"/>
  <c r="U27" i="23"/>
  <c r="AC27" i="23"/>
  <c r="L27" i="23"/>
  <c r="BM27" i="23"/>
  <c r="T27" i="23"/>
  <c r="AB27" i="23"/>
  <c r="K27" i="23"/>
  <c r="BL27" i="23"/>
  <c r="S27" i="23"/>
  <c r="AA27" i="23"/>
  <c r="J27" i="23"/>
  <c r="BK27" i="23"/>
  <c r="G26" i="23"/>
  <c r="BC26" i="23"/>
  <c r="BE27" i="23"/>
  <c r="BJ27" i="23"/>
  <c r="BI27" i="23"/>
  <c r="BH27" i="23"/>
  <c r="BG27" i="23"/>
  <c r="I26" i="23"/>
  <c r="J26" i="23"/>
  <c r="BF27" i="23"/>
  <c r="AX27" i="23"/>
  <c r="AW27" i="23"/>
  <c r="AV27" i="23"/>
  <c r="AU27" i="23"/>
  <c r="AS27" i="23"/>
  <c r="AR27" i="23"/>
  <c r="AQ27" i="23"/>
  <c r="AN27" i="23"/>
  <c r="AM27" i="23"/>
  <c r="AL27" i="23"/>
  <c r="AK27" i="23"/>
  <c r="AI27" i="23"/>
  <c r="AH27" i="23"/>
  <c r="AF27" i="23"/>
  <c r="Y27" i="23"/>
  <c r="Z27" i="23"/>
  <c r="X27" i="23"/>
  <c r="R27" i="23"/>
  <c r="P27" i="23"/>
  <c r="O27" i="23"/>
  <c r="N27" i="23"/>
  <c r="F27" i="23"/>
  <c r="E27" i="23"/>
  <c r="D27" i="23"/>
  <c r="C27" i="23"/>
  <c r="B27" i="23"/>
  <c r="BR26" i="23"/>
  <c r="BD26" i="23"/>
  <c r="Q26" i="23"/>
  <c r="V26" i="23"/>
  <c r="W26" i="23"/>
  <c r="AD26" i="23"/>
  <c r="M26" i="23"/>
  <c r="BN26" i="23"/>
  <c r="U26" i="23"/>
  <c r="AC26" i="23"/>
  <c r="L26" i="23"/>
  <c r="BM26" i="23"/>
  <c r="T26" i="23"/>
  <c r="AB26" i="23"/>
  <c r="K26" i="23"/>
  <c r="BL26" i="23"/>
  <c r="S26" i="23"/>
  <c r="AA26" i="23"/>
  <c r="BK26" i="23"/>
  <c r="BE26" i="23"/>
  <c r="BJ26" i="23"/>
  <c r="BI26" i="23"/>
  <c r="BH26" i="23"/>
  <c r="BG26" i="23"/>
  <c r="BF26" i="23"/>
  <c r="AX26" i="23"/>
  <c r="AW26" i="23"/>
  <c r="AV26" i="23"/>
  <c r="AU26" i="23"/>
  <c r="AS26" i="23"/>
  <c r="AR26" i="23"/>
  <c r="AQ26" i="23"/>
  <c r="AN26" i="23"/>
  <c r="AM26" i="23"/>
  <c r="AL26" i="23"/>
  <c r="AK26" i="23"/>
  <c r="AI26" i="23"/>
  <c r="AH26" i="23"/>
  <c r="AF26" i="23"/>
  <c r="Y26" i="23"/>
  <c r="Z26" i="23"/>
  <c r="X26" i="23"/>
  <c r="R26" i="23"/>
  <c r="P26" i="23"/>
  <c r="O26" i="23"/>
  <c r="N26" i="23"/>
  <c r="F26" i="23"/>
  <c r="E26" i="23"/>
  <c r="D26" i="23"/>
  <c r="C26" i="23"/>
  <c r="B26" i="23"/>
  <c r="BR25" i="23"/>
  <c r="G25" i="23"/>
  <c r="BC25" i="23"/>
  <c r="BD25" i="23"/>
  <c r="Q25" i="23"/>
  <c r="V25" i="23"/>
  <c r="W25" i="23"/>
  <c r="AD25" i="23"/>
  <c r="I25" i="23"/>
  <c r="M25" i="23"/>
  <c r="BN25" i="23"/>
  <c r="U25" i="23"/>
  <c r="AC25" i="23"/>
  <c r="L25" i="23"/>
  <c r="BM25" i="23"/>
  <c r="T25" i="23"/>
  <c r="AB25" i="23"/>
  <c r="K25" i="23"/>
  <c r="BL25" i="23"/>
  <c r="S25" i="23"/>
  <c r="AA25" i="23"/>
  <c r="J25" i="23"/>
  <c r="BK25" i="23"/>
  <c r="BE25" i="23"/>
  <c r="BJ25" i="23"/>
  <c r="BI25" i="23"/>
  <c r="BH25" i="23"/>
  <c r="BG25" i="23"/>
  <c r="BF25" i="23"/>
  <c r="AX25" i="23"/>
  <c r="AW25" i="23"/>
  <c r="AV25" i="23"/>
  <c r="AU25" i="23"/>
  <c r="AS25" i="23"/>
  <c r="AR25" i="23"/>
  <c r="AQ25" i="23"/>
  <c r="AN25" i="23"/>
  <c r="AM25" i="23"/>
  <c r="AL25" i="23"/>
  <c r="AK25" i="23"/>
  <c r="AI25" i="23"/>
  <c r="AH25" i="23"/>
  <c r="AF25" i="23"/>
  <c r="Y25" i="23"/>
  <c r="Z25" i="23"/>
  <c r="X25" i="23"/>
  <c r="R25" i="23"/>
  <c r="P25" i="23"/>
  <c r="O25" i="23"/>
  <c r="N25" i="23"/>
  <c r="F25" i="23"/>
  <c r="E25" i="23"/>
  <c r="D25" i="23"/>
  <c r="C25" i="23"/>
  <c r="B25" i="23"/>
  <c r="BR24" i="23"/>
  <c r="G24" i="23"/>
  <c r="BC24" i="23"/>
  <c r="BD24" i="23"/>
  <c r="Q24" i="23"/>
  <c r="V24" i="23"/>
  <c r="W24" i="23"/>
  <c r="AD24" i="23"/>
  <c r="I24" i="23"/>
  <c r="M24" i="23"/>
  <c r="BN24" i="23"/>
  <c r="U24" i="23"/>
  <c r="AC24" i="23"/>
  <c r="L24" i="23"/>
  <c r="BM24" i="23"/>
  <c r="T24" i="23"/>
  <c r="AB24" i="23"/>
  <c r="K24" i="23"/>
  <c r="BL24" i="23"/>
  <c r="S24" i="23"/>
  <c r="AA24" i="23"/>
  <c r="J24" i="23"/>
  <c r="BK24" i="23"/>
  <c r="BE24" i="23"/>
  <c r="BJ24" i="23"/>
  <c r="BI24" i="23"/>
  <c r="BH24" i="23"/>
  <c r="BG24" i="23"/>
  <c r="BF24" i="23"/>
  <c r="AX24" i="23"/>
  <c r="AW24" i="23"/>
  <c r="AV24" i="23"/>
  <c r="AU24" i="23"/>
  <c r="AS24" i="23"/>
  <c r="AR24" i="23"/>
  <c r="AQ24" i="23"/>
  <c r="AN24" i="23"/>
  <c r="AM24" i="23"/>
  <c r="AL24" i="23"/>
  <c r="AK24" i="23"/>
  <c r="AI24" i="23"/>
  <c r="AH24" i="23"/>
  <c r="AF24" i="23"/>
  <c r="Y24" i="23"/>
  <c r="Z24" i="23"/>
  <c r="X24" i="23"/>
  <c r="R24" i="23"/>
  <c r="P24" i="23"/>
  <c r="O24" i="23"/>
  <c r="N24" i="23"/>
  <c r="F24" i="23"/>
  <c r="E24" i="23"/>
  <c r="D24" i="23"/>
  <c r="C24" i="23"/>
  <c r="B24" i="23"/>
  <c r="BR23" i="23"/>
  <c r="G23" i="23"/>
  <c r="BC23" i="23"/>
  <c r="BD23" i="23"/>
  <c r="Q23" i="23"/>
  <c r="V23" i="23"/>
  <c r="W23" i="23"/>
  <c r="AD23" i="23"/>
  <c r="I23" i="23"/>
  <c r="M23" i="23"/>
  <c r="BN23" i="23"/>
  <c r="U23" i="23"/>
  <c r="AC23" i="23"/>
  <c r="L23" i="23"/>
  <c r="BM23" i="23"/>
  <c r="T23" i="23"/>
  <c r="AB23" i="23"/>
  <c r="K23" i="23"/>
  <c r="BL23" i="23"/>
  <c r="S23" i="23"/>
  <c r="AA23" i="23"/>
  <c r="J23" i="23"/>
  <c r="BK23" i="23"/>
  <c r="G22" i="23"/>
  <c r="BC22" i="23"/>
  <c r="BE23" i="23"/>
  <c r="BJ23" i="23"/>
  <c r="BI23" i="23"/>
  <c r="BH23" i="23"/>
  <c r="BG23" i="23"/>
  <c r="I22" i="23"/>
  <c r="J22" i="23"/>
  <c r="BF23" i="23"/>
  <c r="AX23" i="23"/>
  <c r="AW23" i="23"/>
  <c r="AV23" i="23"/>
  <c r="AU23" i="23"/>
  <c r="AS23" i="23"/>
  <c r="AR23" i="23"/>
  <c r="AQ23" i="23"/>
  <c r="AN23" i="23"/>
  <c r="AM23" i="23"/>
  <c r="AL23" i="23"/>
  <c r="AK23" i="23"/>
  <c r="AI23" i="23"/>
  <c r="AH23" i="23"/>
  <c r="AF23" i="23"/>
  <c r="Y23" i="23"/>
  <c r="Z23" i="23"/>
  <c r="X23" i="23"/>
  <c r="R23" i="23"/>
  <c r="P23" i="23"/>
  <c r="O23" i="23"/>
  <c r="G3" i="13"/>
  <c r="N23" i="23"/>
  <c r="F23" i="23"/>
  <c r="E23" i="23"/>
  <c r="D23" i="23"/>
  <c r="C23" i="23"/>
  <c r="B23" i="23"/>
  <c r="BR22" i="23"/>
  <c r="BD22" i="23"/>
  <c r="Q22" i="23"/>
  <c r="V22" i="23"/>
  <c r="W22" i="23"/>
  <c r="AD22" i="23"/>
  <c r="M22" i="23"/>
  <c r="BN22" i="23"/>
  <c r="U22" i="23"/>
  <c r="AC22" i="23"/>
  <c r="L22" i="23"/>
  <c r="BM22" i="23"/>
  <c r="T22" i="23"/>
  <c r="AB22" i="23"/>
  <c r="K22" i="23"/>
  <c r="BL22" i="23"/>
  <c r="S22" i="23"/>
  <c r="AA22" i="23"/>
  <c r="BK22" i="23"/>
  <c r="BE22" i="23"/>
  <c r="BJ22" i="23"/>
  <c r="BI22" i="23"/>
  <c r="BH22" i="23"/>
  <c r="BG22" i="23"/>
  <c r="BF22" i="23"/>
  <c r="AX22" i="23"/>
  <c r="AW22" i="23"/>
  <c r="AV22" i="23"/>
  <c r="AU22" i="23"/>
  <c r="AS22" i="23"/>
  <c r="AR22" i="23"/>
  <c r="AQ22" i="23"/>
  <c r="AN22" i="23"/>
  <c r="AM22" i="23"/>
  <c r="AL22" i="23"/>
  <c r="AK22" i="23"/>
  <c r="AI22" i="23"/>
  <c r="AH22" i="23"/>
  <c r="AF22" i="23"/>
  <c r="Y22" i="23"/>
  <c r="Z22" i="23"/>
  <c r="X22" i="23"/>
  <c r="R22" i="23"/>
  <c r="P22" i="23"/>
  <c r="O22" i="23"/>
  <c r="N22" i="23"/>
  <c r="F22" i="23"/>
  <c r="E22" i="23"/>
  <c r="D22" i="23"/>
  <c r="C22" i="23"/>
  <c r="B22" i="23"/>
  <c r="BR21" i="23"/>
  <c r="G21" i="23"/>
  <c r="BC21" i="23"/>
  <c r="BD21" i="23"/>
  <c r="Q21" i="23"/>
  <c r="V21" i="23"/>
  <c r="W21" i="23"/>
  <c r="AD21" i="23"/>
  <c r="I21" i="23"/>
  <c r="M21" i="23"/>
  <c r="BN21" i="23"/>
  <c r="U21" i="23"/>
  <c r="AC21" i="23"/>
  <c r="L21" i="23"/>
  <c r="BM21" i="23"/>
  <c r="T21" i="23"/>
  <c r="AB21" i="23"/>
  <c r="K21" i="23"/>
  <c r="BL21" i="23"/>
  <c r="S21" i="23"/>
  <c r="AA21" i="23"/>
  <c r="J21" i="23"/>
  <c r="BK21" i="23"/>
  <c r="BE21" i="23"/>
  <c r="BJ21" i="23"/>
  <c r="BI21" i="23"/>
  <c r="BH21" i="23"/>
  <c r="BG21" i="23"/>
  <c r="BF21" i="23"/>
  <c r="AX21" i="23"/>
  <c r="AW21" i="23"/>
  <c r="AV21" i="23"/>
  <c r="AU21" i="23"/>
  <c r="AS21" i="23"/>
  <c r="AR21" i="23"/>
  <c r="AQ21" i="23"/>
  <c r="AN21" i="23"/>
  <c r="AM21" i="23"/>
  <c r="AL21" i="23"/>
  <c r="AK21" i="23"/>
  <c r="AI21" i="23"/>
  <c r="AH21" i="23"/>
  <c r="AF21" i="23"/>
  <c r="Y21" i="23"/>
  <c r="Z21" i="23"/>
  <c r="X21" i="23"/>
  <c r="R21" i="23"/>
  <c r="P21" i="23"/>
  <c r="O21" i="23"/>
  <c r="N21" i="23"/>
  <c r="F21" i="23"/>
  <c r="E21" i="23"/>
  <c r="D21" i="23"/>
  <c r="C21" i="23"/>
  <c r="B21" i="23"/>
  <c r="BR20" i="23"/>
  <c r="G20" i="23"/>
  <c r="BC20" i="23"/>
  <c r="BD20" i="23"/>
  <c r="Q20" i="23"/>
  <c r="V20" i="23"/>
  <c r="W20" i="23"/>
  <c r="AD20" i="23"/>
  <c r="I20" i="23"/>
  <c r="M20" i="23"/>
  <c r="BN20" i="23"/>
  <c r="U20" i="23"/>
  <c r="AC20" i="23"/>
  <c r="L20" i="23"/>
  <c r="BM20" i="23"/>
  <c r="T20" i="23"/>
  <c r="AB20" i="23"/>
  <c r="K20" i="23"/>
  <c r="BL20" i="23"/>
  <c r="S20" i="23"/>
  <c r="AA20" i="23"/>
  <c r="J20" i="23"/>
  <c r="BK20" i="23"/>
  <c r="G19" i="23"/>
  <c r="BC19" i="23"/>
  <c r="BE20" i="23"/>
  <c r="BJ20" i="23"/>
  <c r="BI20" i="23"/>
  <c r="BH20" i="23"/>
  <c r="BG20" i="23"/>
  <c r="I19" i="23"/>
  <c r="J19" i="23"/>
  <c r="BF20" i="23"/>
  <c r="AX20" i="23"/>
  <c r="AW20" i="23"/>
  <c r="AV20" i="23"/>
  <c r="AU20" i="23"/>
  <c r="AS20" i="23"/>
  <c r="AR20" i="23"/>
  <c r="AQ20" i="23"/>
  <c r="AN20" i="23"/>
  <c r="AM20" i="23"/>
  <c r="AL20" i="23"/>
  <c r="AK20" i="23"/>
  <c r="AI20" i="23"/>
  <c r="AH20" i="23"/>
  <c r="AF20" i="23"/>
  <c r="Y20" i="23"/>
  <c r="Z20" i="23"/>
  <c r="X20" i="23"/>
  <c r="R20" i="23"/>
  <c r="P20" i="23"/>
  <c r="O20" i="23"/>
  <c r="G10" i="13"/>
  <c r="N20" i="23"/>
  <c r="F20" i="23"/>
  <c r="E20" i="23"/>
  <c r="D20" i="23"/>
  <c r="C20" i="23"/>
  <c r="B20" i="23"/>
  <c r="BR19" i="23"/>
  <c r="BD19" i="23"/>
  <c r="Q19" i="23"/>
  <c r="V19" i="23"/>
  <c r="W19" i="23"/>
  <c r="AD19" i="23"/>
  <c r="M19" i="23"/>
  <c r="BN19" i="23"/>
  <c r="U19" i="23"/>
  <c r="AC19" i="23"/>
  <c r="L19" i="23"/>
  <c r="BM19" i="23"/>
  <c r="T19" i="23"/>
  <c r="AB19" i="23"/>
  <c r="K19" i="23"/>
  <c r="BL19" i="23"/>
  <c r="S19" i="23"/>
  <c r="AA19" i="23"/>
  <c r="BK19" i="23"/>
  <c r="BE19" i="23"/>
  <c r="BJ19" i="23"/>
  <c r="BI19" i="23"/>
  <c r="BH19" i="23"/>
  <c r="BG19" i="23"/>
  <c r="BF19" i="23"/>
  <c r="AX19" i="23"/>
  <c r="AW19" i="23"/>
  <c r="AV19" i="23"/>
  <c r="AU19" i="23"/>
  <c r="AS19" i="23"/>
  <c r="AR19" i="23"/>
  <c r="AQ19" i="23"/>
  <c r="AN19" i="23"/>
  <c r="AM19" i="23"/>
  <c r="AL19" i="23"/>
  <c r="AK19" i="23"/>
  <c r="AI19" i="23"/>
  <c r="AH19" i="23"/>
  <c r="AF19" i="23"/>
  <c r="Y19" i="23"/>
  <c r="Z19" i="23"/>
  <c r="X19" i="23"/>
  <c r="R19" i="23"/>
  <c r="P19" i="23"/>
  <c r="O19" i="23"/>
  <c r="N19" i="23"/>
  <c r="F19" i="23"/>
  <c r="E19" i="23"/>
  <c r="D19" i="23"/>
  <c r="C19" i="23"/>
  <c r="B19" i="23"/>
  <c r="BR18" i="23"/>
  <c r="G18" i="23"/>
  <c r="BC18" i="23"/>
  <c r="BD18" i="23"/>
  <c r="Q18" i="23"/>
  <c r="V18" i="23"/>
  <c r="W18" i="23"/>
  <c r="AD18" i="23"/>
  <c r="I18" i="23"/>
  <c r="M18" i="23"/>
  <c r="BN18" i="23"/>
  <c r="U18" i="23"/>
  <c r="AC18" i="23"/>
  <c r="L18" i="23"/>
  <c r="BM18" i="23"/>
  <c r="T18" i="23"/>
  <c r="AB18" i="23"/>
  <c r="K18" i="23"/>
  <c r="BL18" i="23"/>
  <c r="S18" i="23"/>
  <c r="AA18" i="23"/>
  <c r="J18" i="23"/>
  <c r="BK18" i="23"/>
  <c r="G17" i="23"/>
  <c r="BC17" i="23"/>
  <c r="BE18" i="23"/>
  <c r="BJ18" i="23"/>
  <c r="BI18" i="23"/>
  <c r="BH18" i="23"/>
  <c r="BG18" i="23"/>
  <c r="I17" i="23"/>
  <c r="J17" i="23"/>
  <c r="BF18" i="23"/>
  <c r="AX18" i="23"/>
  <c r="AW18" i="23"/>
  <c r="AV18" i="23"/>
  <c r="AU18" i="23"/>
  <c r="AS18" i="23"/>
  <c r="AR18" i="23"/>
  <c r="AQ18" i="23"/>
  <c r="AN18" i="23"/>
  <c r="AM18" i="23"/>
  <c r="AL18" i="23"/>
  <c r="AK18" i="23"/>
  <c r="AI18" i="23"/>
  <c r="AH18" i="23"/>
  <c r="AF18" i="23"/>
  <c r="Y18" i="23"/>
  <c r="Z18" i="23"/>
  <c r="X18" i="23"/>
  <c r="R18" i="23"/>
  <c r="P18" i="23"/>
  <c r="O18" i="23"/>
  <c r="G8" i="13"/>
  <c r="N18" i="23"/>
  <c r="F18" i="23"/>
  <c r="E18" i="23"/>
  <c r="D18" i="23"/>
  <c r="C18" i="23"/>
  <c r="B18" i="23"/>
  <c r="BR17" i="23"/>
  <c r="BD17" i="23"/>
  <c r="Q17" i="23"/>
  <c r="V17" i="23"/>
  <c r="W17" i="23"/>
  <c r="AD17" i="23"/>
  <c r="M17" i="23"/>
  <c r="BN17" i="23"/>
  <c r="U17" i="23"/>
  <c r="AC17" i="23"/>
  <c r="L17" i="23"/>
  <c r="BM17" i="23"/>
  <c r="T17" i="23"/>
  <c r="AB17" i="23"/>
  <c r="K17" i="23"/>
  <c r="BL17" i="23"/>
  <c r="S17" i="23"/>
  <c r="AA17" i="23"/>
  <c r="BK17" i="23"/>
  <c r="BE17" i="23"/>
  <c r="BJ17" i="23"/>
  <c r="BI17" i="23"/>
  <c r="BH17" i="23"/>
  <c r="BG17" i="23"/>
  <c r="BF17" i="23"/>
  <c r="AX17" i="23"/>
  <c r="AW17" i="23"/>
  <c r="AV17" i="23"/>
  <c r="AU17" i="23"/>
  <c r="AS17" i="23"/>
  <c r="AR17" i="23"/>
  <c r="AQ17" i="23"/>
  <c r="AN17" i="23"/>
  <c r="AM17" i="23"/>
  <c r="AL17" i="23"/>
  <c r="AK17" i="23"/>
  <c r="AI17" i="23"/>
  <c r="AH17" i="23"/>
  <c r="AF17" i="23"/>
  <c r="Y17" i="23"/>
  <c r="Z17" i="23"/>
  <c r="X17" i="23"/>
  <c r="R17" i="23"/>
  <c r="P17" i="23"/>
  <c r="O17" i="23"/>
  <c r="N17" i="23"/>
  <c r="F17" i="23"/>
  <c r="E17" i="23"/>
  <c r="D17" i="23"/>
  <c r="C17" i="23"/>
  <c r="B17" i="23"/>
  <c r="BR16" i="23"/>
  <c r="G16" i="23"/>
  <c r="BC16" i="23"/>
  <c r="BD16" i="23"/>
  <c r="Q16" i="23"/>
  <c r="V16" i="23"/>
  <c r="W16" i="23"/>
  <c r="AD16" i="23"/>
  <c r="I16" i="23"/>
  <c r="M16" i="23"/>
  <c r="BN16" i="23"/>
  <c r="U16" i="23"/>
  <c r="AC16" i="23"/>
  <c r="L16" i="23"/>
  <c r="BM16" i="23"/>
  <c r="T16" i="23"/>
  <c r="AB16" i="23"/>
  <c r="K16" i="23"/>
  <c r="BL16" i="23"/>
  <c r="S16" i="23"/>
  <c r="AA16" i="23"/>
  <c r="J16" i="23"/>
  <c r="BK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N16" i="23"/>
  <c r="F16" i="23"/>
  <c r="E16" i="23"/>
  <c r="D16" i="23"/>
  <c r="C16" i="23"/>
  <c r="B16" i="23"/>
  <c r="BR15" i="23"/>
  <c r="G15" i="23"/>
  <c r="BC15" i="23"/>
  <c r="BD15" i="23"/>
  <c r="Q15" i="23"/>
  <c r="V15" i="23"/>
  <c r="W15" i="23"/>
  <c r="AD15" i="23"/>
  <c r="I15" i="23"/>
  <c r="M15" i="23"/>
  <c r="BN15" i="23"/>
  <c r="U15" i="23"/>
  <c r="AC15" i="23"/>
  <c r="L15" i="23"/>
  <c r="BM15" i="23"/>
  <c r="T15" i="23"/>
  <c r="AB15" i="23"/>
  <c r="K15" i="23"/>
  <c r="BL15" i="23"/>
  <c r="S15" i="23"/>
  <c r="AA15" i="23"/>
  <c r="J15" i="23"/>
  <c r="BK15"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N15" i="23"/>
  <c r="F15" i="23"/>
  <c r="E15" i="23"/>
  <c r="D15" i="23"/>
  <c r="C15" i="23"/>
  <c r="B15" i="23"/>
  <c r="BR14"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BR13" i="23"/>
  <c r="G13" i="23"/>
  <c r="BC13" i="23"/>
  <c r="BD13" i="23"/>
  <c r="Q13" i="23"/>
  <c r="V13" i="23"/>
  <c r="W13" i="23"/>
  <c r="AD13" i="23"/>
  <c r="I13" i="23"/>
  <c r="M13" i="23"/>
  <c r="BN13" i="23"/>
  <c r="U13" i="23"/>
  <c r="AC13" i="23"/>
  <c r="L13" i="23"/>
  <c r="BM13" i="23"/>
  <c r="T13" i="23"/>
  <c r="AB13" i="23"/>
  <c r="K13" i="23"/>
  <c r="BL13" i="23"/>
  <c r="S13" i="23"/>
  <c r="AA13" i="23"/>
  <c r="J13" i="23"/>
  <c r="BK13" i="23"/>
  <c r="G12" i="23"/>
  <c r="BC12" i="23"/>
  <c r="BE13" i="23"/>
  <c r="BJ13" i="23"/>
  <c r="BI13" i="23"/>
  <c r="BH13" i="23"/>
  <c r="BG13" i="23"/>
  <c r="I12" i="23"/>
  <c r="J12"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BR12"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BR11" i="23"/>
  <c r="G11" i="23"/>
  <c r="BC11" i="23"/>
  <c r="BD11" i="23"/>
  <c r="Q11" i="23"/>
  <c r="V11" i="23"/>
  <c r="W11" i="23"/>
  <c r="AD11" i="23"/>
  <c r="I11" i="23"/>
  <c r="M11" i="23"/>
  <c r="BN11" i="23"/>
  <c r="U11" i="23"/>
  <c r="AC11" i="23"/>
  <c r="L11" i="23"/>
  <c r="BM11" i="23"/>
  <c r="T11" i="23"/>
  <c r="AB11" i="23"/>
  <c r="K11" i="23"/>
  <c r="BL11" i="23"/>
  <c r="S11" i="23"/>
  <c r="AA11" i="23"/>
  <c r="J11" i="23"/>
  <c r="BK11" i="23"/>
  <c r="BE11" i="23"/>
  <c r="BJ11" i="23"/>
  <c r="BI11" i="23"/>
  <c r="BH11" i="23"/>
  <c r="BG11"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BR10" i="23"/>
  <c r="G10" i="23"/>
  <c r="BC10" i="23"/>
  <c r="BD10" i="23"/>
  <c r="Q10" i="23"/>
  <c r="V10" i="23"/>
  <c r="W10" i="23"/>
  <c r="AD10" i="23"/>
  <c r="I10" i="23"/>
  <c r="M10" i="23"/>
  <c r="BN10" i="23"/>
  <c r="U10" i="23"/>
  <c r="AC10" i="23"/>
  <c r="L10" i="23"/>
  <c r="BM10" i="23"/>
  <c r="T10" i="23"/>
  <c r="AB10" i="23"/>
  <c r="K10" i="23"/>
  <c r="BL10" i="23"/>
  <c r="S10" i="23"/>
  <c r="AA10" i="23"/>
  <c r="J10" i="23"/>
  <c r="BK10" i="23"/>
  <c r="G9" i="23"/>
  <c r="BC9" i="23"/>
  <c r="BE10" i="23"/>
  <c r="BJ10" i="23"/>
  <c r="BI10" i="23"/>
  <c r="BH10" i="23"/>
  <c r="BG10" i="23"/>
  <c r="I9" i="23"/>
  <c r="J9"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BR9" i="23"/>
  <c r="BD9" i="23"/>
  <c r="Q9" i="23"/>
  <c r="V9" i="23"/>
  <c r="W9" i="23"/>
  <c r="AD9" i="23"/>
  <c r="M9" i="23"/>
  <c r="BN9" i="23"/>
  <c r="U9" i="23"/>
  <c r="AC9" i="23"/>
  <c r="L9" i="23"/>
  <c r="BM9" i="23"/>
  <c r="T9" i="23"/>
  <c r="AB9" i="23"/>
  <c r="K9" i="23"/>
  <c r="BL9" i="23"/>
  <c r="S9" i="23"/>
  <c r="AA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BR8" i="23"/>
  <c r="G8" i="23"/>
  <c r="BC8" i="23"/>
  <c r="BD8" i="23"/>
  <c r="Q8" i="23"/>
  <c r="V8" i="23"/>
  <c r="W8" i="23"/>
  <c r="AD8" i="23"/>
  <c r="I8" i="23"/>
  <c r="M8" i="23"/>
  <c r="BN8" i="23"/>
  <c r="U8" i="23"/>
  <c r="AC8" i="23"/>
  <c r="L8" i="23"/>
  <c r="BM8" i="23"/>
  <c r="T8" i="23"/>
  <c r="AB8" i="23"/>
  <c r="K8" i="23"/>
  <c r="BL8" i="23"/>
  <c r="S8" i="23"/>
  <c r="AA8" i="23"/>
  <c r="J8" i="23"/>
  <c r="BK8" i="23"/>
  <c r="G7" i="23"/>
  <c r="BC7" i="23"/>
  <c r="BE8" i="23"/>
  <c r="BJ8" i="23"/>
  <c r="BI8" i="23"/>
  <c r="BH8" i="23"/>
  <c r="BG8" i="23"/>
  <c r="I7" i="23"/>
  <c r="J7"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BR7" i="23"/>
  <c r="BD7" i="23"/>
  <c r="Q7" i="23"/>
  <c r="V7" i="23"/>
  <c r="W7" i="23"/>
  <c r="AD7" i="23"/>
  <c r="M7" i="23"/>
  <c r="BN7" i="23"/>
  <c r="U7" i="23"/>
  <c r="AC7" i="23"/>
  <c r="L7" i="23"/>
  <c r="BM7" i="23"/>
  <c r="T7" i="23"/>
  <c r="AB7" i="23"/>
  <c r="K7" i="23"/>
  <c r="BL7" i="23"/>
  <c r="S7" i="23"/>
  <c r="AA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BR5" i="23"/>
  <c r="G5" i="23"/>
  <c r="BC5" i="23"/>
  <c r="BD5" i="23"/>
  <c r="Q5" i="23"/>
  <c r="V5" i="23"/>
  <c r="W5" i="23"/>
  <c r="AD5" i="23"/>
  <c r="I5" i="23"/>
  <c r="M5" i="23"/>
  <c r="BN5" i="23"/>
  <c r="U5" i="23"/>
  <c r="AC5" i="23"/>
  <c r="L5" i="23"/>
  <c r="BM5" i="23"/>
  <c r="T5" i="23"/>
  <c r="AB5" i="23"/>
  <c r="K5" i="23"/>
  <c r="BL5" i="23"/>
  <c r="S5" i="23"/>
  <c r="AA5" i="23"/>
  <c r="J5" i="23"/>
  <c r="BK5"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R4"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BR3" i="23"/>
  <c r="BR2" i="23"/>
  <c r="D10" i="54"/>
  <c r="B10" i="54"/>
  <c r="B4" i="54"/>
  <c r="D9" i="54"/>
  <c r="B9" i="54"/>
  <c r="D8" i="54"/>
  <c r="B8" i="54"/>
  <c r="D7" i="54"/>
  <c r="B7" i="54"/>
  <c r="D6" i="54"/>
  <c r="B6" i="54"/>
  <c r="D5" i="54"/>
  <c r="D4" i="54"/>
  <c r="D3" i="54"/>
  <c r="B3" i="54"/>
  <c r="G3" i="58"/>
  <c r="U3" i="58"/>
  <c r="G2" i="23"/>
  <c r="BC2" i="23"/>
  <c r="BD2" i="23"/>
  <c r="Q2" i="23"/>
  <c r="S2" i="23"/>
  <c r="W2" i="23"/>
  <c r="AA2" i="23"/>
  <c r="I2" i="23"/>
  <c r="J2" i="23"/>
  <c r="BK2" i="23"/>
  <c r="G3" i="23"/>
  <c r="BC3" i="23"/>
  <c r="BD3" i="23"/>
  <c r="Q3" i="23"/>
  <c r="S3" i="23"/>
  <c r="W3" i="23"/>
  <c r="AA3" i="23"/>
  <c r="I3" i="23"/>
  <c r="J3" i="23"/>
  <c r="BK3" i="23"/>
  <c r="J30" i="3"/>
  <c r="J26" i="3"/>
  <c r="J34" i="3"/>
  <c r="J21" i="3"/>
  <c r="H34" i="3"/>
  <c r="C34" i="3"/>
  <c r="F34" i="3"/>
  <c r="E34" i="3"/>
  <c r="D34" i="3"/>
  <c r="A34" i="3"/>
  <c r="H30" i="3"/>
  <c r="C30" i="3"/>
  <c r="F30" i="3"/>
  <c r="E30" i="3"/>
  <c r="D30" i="3"/>
  <c r="A30" i="3"/>
  <c r="H26" i="3"/>
  <c r="C26" i="3"/>
  <c r="F26" i="3"/>
  <c r="E26" i="3"/>
  <c r="D26" i="3"/>
  <c r="A26" i="3"/>
  <c r="F2" i="57"/>
  <c r="E2" i="57"/>
  <c r="B2" i="57"/>
  <c r="C21" i="3"/>
  <c r="D21" i="3"/>
  <c r="T3" i="23"/>
  <c r="AB3" i="23"/>
  <c r="K3" i="23"/>
  <c r="BL3" i="23"/>
  <c r="T2" i="23"/>
  <c r="AB2" i="23"/>
  <c r="K2" i="23"/>
  <c r="BL2" i="23"/>
  <c r="V3" i="23"/>
  <c r="AD3" i="23"/>
  <c r="M3" i="23"/>
  <c r="BN3" i="23"/>
  <c r="V2" i="23"/>
  <c r="AD2" i="23"/>
  <c r="M2" i="23"/>
  <c r="BN2" i="23"/>
  <c r="AL3" i="23"/>
  <c r="H21" i="3"/>
  <c r="T3" i="58"/>
  <c r="R3" i="58"/>
  <c r="B3" i="58"/>
  <c r="D2" i="54"/>
  <c r="B2" i="54"/>
  <c r="AH3" i="23"/>
  <c r="AH2" i="23"/>
  <c r="G11" i="13"/>
  <c r="G9" i="13"/>
  <c r="B2" i="23"/>
  <c r="B3" i="23"/>
  <c r="R3" i="23"/>
  <c r="R2" i="23"/>
  <c r="AQ2" i="23"/>
  <c r="H2" i="53"/>
  <c r="H3" i="53"/>
  <c r="E3" i="53"/>
  <c r="AU3" i="23"/>
  <c r="K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3" i="58"/>
  <c r="K2" i="52"/>
  <c r="E3" i="49"/>
  <c r="E5" i="49"/>
  <c r="F21" i="3"/>
  <c r="E21" i="3"/>
  <c r="O3" i="58"/>
  <c r="N3" i="58"/>
  <c r="M3" i="58"/>
  <c r="L3" i="58"/>
  <c r="J3" i="58"/>
  <c r="K3" i="58"/>
  <c r="I3" i="58"/>
  <c r="H3" i="58"/>
  <c r="F3" i="58"/>
  <c r="E3" i="58"/>
  <c r="D3" i="58"/>
  <c r="C3"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1"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 r="S2" i="58"/>
  <c r="T2" i="58"/>
</calcChain>
</file>

<file path=xl/sharedStrings.xml><?xml version="1.0" encoding="utf-8"?>
<sst xmlns="http://schemas.openxmlformats.org/spreadsheetml/2006/main" count="1889" uniqueCount="485">
  <si>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</si>
  <si>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</si>
  <si>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</si>
  <si>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</si>
  <si>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</si>
  <si>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</si>
  <si>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</si>
  <si>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</si>
  <si>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</si>
  <si>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</si>
  <si>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</si>
  <si>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</si>
  <si>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</si>
  <si>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</si>
  <si>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</si>
  <si>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</si>
  <si>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</si>
  <si>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</si>
  <si>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</si>
  <si>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</si>
  <si>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</si>
  <si>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</si>
  <si>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</si>
  <si>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</si>
  <si>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</si>
  <si>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</si>
  <si>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</si>
  <si>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</si>
  <si>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</si>
  <si>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</si>
  <si>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</si>
  <si>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</si>
  <si>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</si>
  <si>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</si>
  <si>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</si>
  <si>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</si>
  <si>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</si>
  <si>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</si>
  <si>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</si>
  <si>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</si>
  <si>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</si>
  <si>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</si>
  <si>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</si>
  <si>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</si>
  <si>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</si>
  <si>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</si>
  <si>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</si>
  <si>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</si>
  <si>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</si>
  <si>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</si>
  <si>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</si>
  <si>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</si>
  <si>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</si>
  <si>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</si>
  <si>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</si>
  <si>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</si>
  <si>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</si>
  <si>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</si>
  <si>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</si>
  <si>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</si>
  <si>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</si>
  <si>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</si>
  <si>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</si>
  <si>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</si>
  <si>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</si>
  <si>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</si>
  <si>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</si>
  <si>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</si>
  <si>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</si>
  <si>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</si>
  <si>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</si>
  <si>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</si>
  <si>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</si>
  <si>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</si>
  <si>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</si>
  <si>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</si>
  <si>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</si>
  <si>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</si>
  <si>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</si>
  <si>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</si>
  <si>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</si>
  <si>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</si>
  <si>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</si>
  <si>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</si>
  <si>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</si>
  <si>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</si>
  <si>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</si>
  <si>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</si>
  <si>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</si>
  <si>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</si>
  <si>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</si>
  <si>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</si>
  <si>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</si>
  <si>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</si>
  <si>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</si>
  <si>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</si>
  <si>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</si>
  <si>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</si>
  <si>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</si>
  <si>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</si>
  <si>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</si>
  <si>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</si>
  <si>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</si>
  <si>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</si>
  <si>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</si>
  <si>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</si>
  <si>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</si>
  <si>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</si>
  <si>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</si>
  <si>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</si>
  <si>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</si>
  <si>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</si>
  <si>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</si>
  <si>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</si>
  <si>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</si>
  <si>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</si>
  <si>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</si>
  <si>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</si>
  <si>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</si>
  <si>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</si>
  <si>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</si>
  <si>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</si>
  <si>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</si>
  <si>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</si>
  <si>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</si>
  <si>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</si>
  <si>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</si>
  <si>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</si>
  <si>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</si>
  <si>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</si>
  <si>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</si>
  <si>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</si>
  <si>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</si>
  <si>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</si>
  <si>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</si>
  <si>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</si>
  <si>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</si>
  <si>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</si>
  <si>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</si>
  <si>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</si>
  <si>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</si>
  <si>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</si>
  <si>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</si>
  <si>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</si>
  <si>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</si>
  <si>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</si>
  <si>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</si>
  <si>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</si>
  <si>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</si>
  <si>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</si>
  <si>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</si>
  <si>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</si>
  <si>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</si>
  <si>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</si>
  <si>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</si>
  <si>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</si>
  <si>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</si>
  <si>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</si>
  <si>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</si>
  <si>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</si>
  <si>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</si>
  <si>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</si>
  <si>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</si>
  <si>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</si>
  <si>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</si>
  <si>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</si>
  <si>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</si>
  <si>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</si>
  <si>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</si>
  <si>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</si>
  <si>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</si>
  <si>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</si>
  <si>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</si>
  <si>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</si>
  <si>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</si>
  <si>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</si>
  <si>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</si>
  <si>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</si>
  <si>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</si>
  <si>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</si>
  <si>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</si>
  <si>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</si>
  <si>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</si>
  <si>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</si>
  <si>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</si>
  <si>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</si>
  <si>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</si>
  <si>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</si>
  <si>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</si>
  <si>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</si>
  <si>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</si>
  <si>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</si>
  <si>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</si>
  <si>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</si>
  <si>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</si>
  <si>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</si>
  <si>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</si>
  <si>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</si>
  <si>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</si>
  <si>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</si>
  <si>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</si>
  <si>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</si>
  <si>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</si>
  <si>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</si>
  <si>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</si>
  <si>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</si>
  <si>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</si>
  <si>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</si>
  <si>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</si>
  <si>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</si>
  <si>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</si>
  <si>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</si>
  <si>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</si>
  <si>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</si>
  <si>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</si>
  <si>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</si>
  <si>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</si>
  <si>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</si>
  <si>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</si>
  <si>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</si>
  <si>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</si>
  <si>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</si>
  <si>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</si>
  <si>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</si>
  <si>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</si>
  <si>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</si>
  <si>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</si>
  <si>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</si>
  <si>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</si>
  <si>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</si>
  <si>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</si>
  <si>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</si>
  <si>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</si>
  <si>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</si>
  <si>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</si>
  <si>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</si>
  <si>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</si>
  <si>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</si>
  <si>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</si>
  <si>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</si>
  <si>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</si>
  <si>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</si>
  <si>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</si>
  <si>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</si>
  <si>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</si>
  <si>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</si>
  <si>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</si>
  <si>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</si>
  <si>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</si>
  <si>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</si>
  <si>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</si>
  <si>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</si>
  <si>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</si>
  <si>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</si>
  <si>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</si>
  <si>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</si>
  <si>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</si>
  <si>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</si>
  <si>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</si>
  <si>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</si>
  <si>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</si>
  <si>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</si>
  <si>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</si>
  <si>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</si>
  <si>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</si>
  <si>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</si>
  <si>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</si>
  <si>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</si>
  <si>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</si>
  <si>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</si>
  <si>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</si>
  <si>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</si>
  <si>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</si>
  <si>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</si>
  <si>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</si>
  <si>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</si>
  <si>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</si>
  <si>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</si>
  <si>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</si>
  <si>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</si>
  <si>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</si>
  <si>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</si>
  <si>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</si>
  <si>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</si>
  <si>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</si>
  <si>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</si>
  <si>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</si>
  <si>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</si>
  <si>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</si>
  <si>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</si>
  <si>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</si>
  <si>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</si>
  <si>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</si>
  <si>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</si>
  <si>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</si>
  <si>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</si>
  <si>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</si>
  <si>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</si>
  <si>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</si>
  <si>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</si>
  <si>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</si>
  <si>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</si>
  <si>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</si>
  <si>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</si>
  <si>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</si>
  <si>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</si>
  <si>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</si>
  <si>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</si>
  <si>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</si>
  <si>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</si>
  <si>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</si>
  <si>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</si>
  <si>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</si>
  <si>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</si>
  <si>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</si>
  <si>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</si>
  <si>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Cスキル2</t>
  </si>
  <si>
    <t>Cスキル3</t>
  </si>
  <si>
    <t>Cスキル1</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</si>
  <si>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</si>
  <si>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</si>
  <si>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</si>
  <si>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</si>
  <si>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</si>
  <si>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</si>
  <si>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</si>
  <si>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</si>
  <si>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</si>
  <si>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</si>
  <si>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</si>
  <si>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</si>
  <si>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</si>
  <si>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</si>
  <si>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</si>
  <si>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</si>
  <si>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</si>
  <si>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</si>
  <si>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</si>
  <si>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</si>
  <si>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</si>
  <si>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</si>
  <si>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</si>
  <si>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</si>
  <si>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</si>
  <si>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category</t>
    <phoneticPr fontId="22"/>
  </si>
  <si>
    <t>KOF2017</t>
  </si>
  <si>
    <t>KOF2017</t>
    <phoneticPr fontId="22"/>
  </si>
  <si>
    <t>NULL</t>
    <phoneticPr fontId="10"/>
  </si>
  <si>
    <t>緑パネルを黄パネルに変換+1ターン特大カウンター</t>
    <phoneticPr fontId="22"/>
  </si>
  <si>
    <t>[effect:force_change_block, new_block:block_yellow, target:block_green, count:0, val:0, animation:change_block],[effect:force_change_block, new_block:crack_bomb, target:jammer, color:yellow, count:0, val:12, animation:change_block],[effect:crash_condition, target:unit_all, turn:3, val:-2, animation:crash_panel_reduce03],[effect:counter_new, target:unit_all, invoke_condition:enemy_all, counter_target:attacker, turn:3, val:3, animation:counter_buff03]</t>
    <phoneticPr fontId="22"/>
  </si>
  <si>
    <t>1体に大ダメージ
攻撃タイプに効果特大</t>
    <phoneticPr fontId="22"/>
  </si>
  <si>
    <t>[effect:damage_anti_type, target:enemy_one, type:attack, val1:3, val2:1, animation:damage_one_yellow03]</t>
    <phoneticPr fontId="22"/>
  </si>
  <si>
    <t>[effect:damage_anti_type, target:enemy_one, type:attack, val1:3.375, val2:1, animation:damage_one_yellow04]</t>
    <phoneticPr fontId="22"/>
  </si>
  <si>
    <t>[effect:damage_anti_type, target:enemy_one, type:attack, val1:3.375, val2:1.2, animation:damage_one_yellow04]</t>
    <phoneticPr fontId="22"/>
  </si>
  <si>
    <t>1</t>
    <phoneticPr fontId="22"/>
  </si>
  <si>
    <t>50</t>
    <phoneticPr fontId="22"/>
  </si>
  <si>
    <t>自身の回復力に比例して
1体に大ダメージ</t>
    <phoneticPr fontId="22"/>
  </si>
  <si>
    <t>[effect:damage_heal, target:enemy_one, color:green, val:2, animation:damage_one_green03]</t>
    <phoneticPr fontId="22"/>
  </si>
  <si>
    <t>old</t>
  </si>
  <si>
    <t>自身のHPの最大値に比例して
1体に超大ダメージ</t>
    <phoneticPr fontId="22"/>
  </si>
  <si>
    <t>[effect:damage_hp, target:enemy_one, color:red, val:1.25, animation:damage_one_red04]</t>
    <phoneticPr fontId="22"/>
  </si>
  <si>
    <t>1体に特大ダメージ+
全体に特大ダメージ</t>
    <phoneticPr fontId="22"/>
  </si>
  <si>
    <t>[effect:change_range_block, block_change:1, base_type:0, square_count:7, position01:9, position02:15, position03:22, value_h01:1.0, value_h02:1.0, value_h03:1.0, value_w01:3.0, value_w02:5.0, value_w03:3.0, new_block:crack_bomb, target:block_all, color:red, count:0, val:12, animation:change_block],[effect:change_range_block, block_change:1, base_type:0, square_count:7, position01:25, position02:29, position03:37, value_h01:1.0, value_h02:1.0, value_h03:1.0, value_w01:2.0, value_w02:5.0, value_w03:3.0, new_block:crack_bomb, target:block_all, color:blue, count:0, val:12, animation:change_block],[effect:enhance_unit, target:myself, turn:1, status:action, val:1, calc:add, animation:enhance_unit_one_action01]</t>
    <phoneticPr fontId="22"/>
  </si>
  <si>
    <t>[effect:damage_anti_type, target:enemy_one, type:attack, val1:3.75, val2:1.5, animation:damage_one_yellow04]</t>
    <phoneticPr fontId="22"/>
  </si>
  <si>
    <t>1体に大ダメージ+
攻撃タイプに効果特大</t>
    <phoneticPr fontId="22"/>
  </si>
  <si>
    <t>1体に特大ダメージ+
攻撃タイプに効果超大</t>
    <phoneticPr fontId="22"/>
  </si>
  <si>
    <t>自身のHPの最大値に比例して
1体に特大ダメージ</t>
    <phoneticPr fontId="22"/>
  </si>
  <si>
    <t>[effect:damage_heal, target:enemy_one, color:blue, val:2.25, animation:damage_one_blue04]</t>
    <phoneticPr fontId="22"/>
  </si>
  <si>
    <t>[effect:damage_heal, target:enemy_one, color:blue, val:2.5, animation:damage_one_blue04]</t>
    <phoneticPr fontId="22"/>
  </si>
  <si>
    <t>自身の回復力に比例して1体に特大ダメージ</t>
    <phoneticPr fontId="22"/>
  </si>
  <si>
    <t>自身の回復力に比例して1体に超大ダメージ</t>
    <phoneticPr fontId="22"/>
  </si>
  <si>
    <t>[effect:force_change_block, new_block:crack_bomb, target:block_red, color:red, count:0, val:12, animation:change_block],[effect:force_change_block, new_block:block_red, target:block_blue, count:0, val:0, animation:change_block],[effect:enhance_unit, target:unit_all, turn:2, status:attack, val:0.17, calc:mul, animation:enhance_unit_all_attack02]</t>
    <phoneticPr fontId="22"/>
  </si>
  <si>
    <t>ランダムで最大1つSCパネルに、赤・お邪魔パネルをCPに、ハートパネルを黄パネルに変換+1ターンタップ数を1増加</t>
    <phoneticPr fontId="22"/>
  </si>
  <si>
    <t>ランダムで最大1つSCP(大)に、赤・お邪魔パネルをCPに、ハートパネルを黄パネルに変換+1ターンタップ数を1増加</t>
    <phoneticPr fontId="22"/>
  </si>
  <si>
    <t>1体に大ダメージ+
1ターン黄属性ユニットの攻撃力小UP</t>
    <phoneticPr fontId="22"/>
  </si>
  <si>
    <t>1体に特大ダメージ+
1ターン黄属性ユニットの攻撃力小UP</t>
    <phoneticPr fontId="22"/>
  </si>
  <si>
    <t>[effect:damage_anti_type, target:enemy_one, type:technical, val1:3.375, val2:1.2, animation:damage_one_blue04]</t>
    <phoneticPr fontId="22"/>
  </si>
  <si>
    <t>[effect:damage_anti_type, target:enemy_one, type:technical, val1:3.75, val2:1.5, animation:damage_one_blue04]</t>
    <phoneticPr fontId="22"/>
  </si>
  <si>
    <t>1体に大ダメージ
テクニカルタイプに効果特大</t>
    <phoneticPr fontId="22"/>
  </si>
  <si>
    <t>1体に特大ダメージ
テクニカルタイプに効果超大</t>
    <phoneticPr fontId="22"/>
  </si>
  <si>
    <t>[effect:damage, target:enemy_one, color:red, val:0.9, animation:damage_one_red02],[effect:damage, target:enemy_one, color:red, val:0.9, animation:damage_one_red02],[effect:damage, target:enemy_one, color:red, val:0.9, animation:damage_one_red02]</t>
    <phoneticPr fontId="22"/>
  </si>
  <si>
    <t>[effect:damage, target:enemy_one, color:red, val:0.9, animation:damage_one_red02],[effect:damage, target:enemy_one, color:red, val:0.9, animation:damage_one_red02],[effect:damage, target:enemy_one, color:red, val:0.9, animation:damage_one_red02],[effect:heal_ratio, val:0.3, animation:heal03_unit01]</t>
    <phoneticPr fontId="22"/>
  </si>
  <si>
    <t>単体に3連続ダメージ</t>
    <phoneticPr fontId="22"/>
  </si>
  <si>
    <t>単体に3連続ダメージ+
HP大回復</t>
    <phoneticPr fontId="22"/>
  </si>
  <si>
    <t>[effect:damage, target:enemy_one, color:green, val:2.25, animation:damage_one_green04]</t>
    <phoneticPr fontId="22"/>
  </si>
  <si>
    <t>[effect:damage, target:enemy_one, color:green, val:2.5, animation:damage_one_green04]</t>
    <phoneticPr fontId="22"/>
  </si>
  <si>
    <t>1体に特大ダメージ</t>
    <phoneticPr fontId="22"/>
  </si>
  <si>
    <t>1体に超大ダメージ</t>
    <phoneticPr fontId="22"/>
  </si>
  <si>
    <t>種族マシンに効果特大の単体大ダメージ+
種族ヒーローに効果特大の単体大ダメージ</t>
    <phoneticPr fontId="22"/>
  </si>
  <si>
    <t>[effect:damage_anti_tribe, target:enemy_one, tribe:human, val1:3.375, val2:1.2, animation:damage_one_red04]</t>
    <phoneticPr fontId="22"/>
  </si>
  <si>
    <t>1体に大ダメージ
種族ヒューマンに効果特大</t>
    <phoneticPr fontId="22"/>
  </si>
  <si>
    <t>[effect:damage_anti_tribe, target:enemy_one, tribe:human, val1:3.75, val2:1.5, animation:damage_one_red04]</t>
    <phoneticPr fontId="22"/>
  </si>
  <si>
    <t>1体に特大ダメージ
種族ヒューマンに効果超大</t>
    <phoneticPr fontId="22"/>
  </si>
  <si>
    <t>[effect:change_range_block, block_change:1, base_type:0, square_count:7, position01:9, position02:15, position03:22, value_h01:1.0, value_h02:1.0, value_h03:1.0, value_w01:3.0, value_w02:5.0, value_w03:3.0, new_block:crack_bomb, target:block_all, color:red, count:0, val:12, animation:change_block],[effect:change_range_block, block_change:1, base_type:0, square_count:7, position01:25, position02:29, position03:37, value_h01:1.0, value_h02:1.0, value_h03:1.0, value_w01:2.0, value_w02:5.0, value_w03:3.0, new_block:crack_bomb, target:block_all, color:blue, count:0, val:12, animation:change_block],[effect:enhance_unit, target:myself, turn:1, status:attack, val:0.175, calc:mul, animation:enhance_unit_all_attack03],[effect:enhance_unit, target:myself, turn:1, status:action, val:1, calc:add, animation:enhance_unit_one_action01]</t>
    <phoneticPr fontId="22"/>
  </si>
  <si>
    <t>中心を赤・青ボムパネルに変換+1ターン自身のタップ回数を1増やす</t>
    <phoneticPr fontId="22"/>
  </si>
  <si>
    <t>中心を赤・青ボムパネルに変換+1ターン自身の攻撃力大UPし、タップ回数を1増やす</t>
    <phoneticPr fontId="22"/>
  </si>
  <si>
    <t>[effect:damage, target:enemy_one, color:blue, val:1.2, animation:damage_one_blue04],[effect:enhance_fever_status, val:20, animation:fevergauge_up03_next]</t>
    <phoneticPr fontId="22"/>
  </si>
  <si>
    <t>[effect:damage, target:enemy_one, color:blue, val:1.5, animation:damage_one_blue04],[effect:enhance_fever_status, val:20, animation:fevergauge_up03_next]</t>
    <phoneticPr fontId="22"/>
  </si>
  <si>
    <t>1体に大ダメージ+
フィーバーゲージ上昇</t>
    <phoneticPr fontId="22"/>
  </si>
  <si>
    <t>1体に特大ダメージ+
フィーバーゲージ上昇</t>
    <phoneticPr fontId="22"/>
  </si>
  <si>
    <t>[effect:force_change_block, new_block:crash, target:block_all, ignore01:block_positive, ignore02:block_red, count:7, val:10, animation:change_block],[effect:force_change_block, new_block:crack_bomb, target:block_all, ignore01:block_positive, ignore02:block_red, color:red, count:3, val:24, animation:change_block]</t>
    <phoneticPr fontId="22"/>
  </si>
  <si>
    <t>[effect:force_change_block, new_block:crash, target:block_all, ignore01:block_positive, ignore02:block_red, count:9, val:10, animation:change_block],[effect:force_change_block, new_block:crack_bomb, target:block_all, ignore01:block_positive, ignore02:block_red, color:red, count:5, val:24, animation:change_block]</t>
    <phoneticPr fontId="22"/>
  </si>
  <si>
    <t>C・CB・マグネット・ボム・赤パネル以外をランダムで最大7個Cパネル(大)と最大3個赤ボム(大)に変換</t>
    <phoneticPr fontId="22"/>
  </si>
  <si>
    <t>C・CB・マグネット・ボム・赤パネル以外をランダムで最大9個Cパネル(大)と最大5個赤ボム(大)に変換</t>
    <phoneticPr fontId="22"/>
  </si>
  <si>
    <t>[effect:damage_hp, target:enemy_one, color:red, val:1, animation:damage_one_red03]</t>
    <phoneticPr fontId="22"/>
  </si>
  <si>
    <t>[effect:damage_hp, target:enemy_one, color:red, val:1.125, animation:damage_one_red04]</t>
    <phoneticPr fontId="22"/>
  </si>
  <si>
    <t>自身のHPに比例して1体に大ダメージ</t>
    <phoneticPr fontId="22"/>
  </si>
  <si>
    <t>自身のHPに比例して1体に特大ダメージ</t>
    <phoneticPr fontId="22"/>
  </si>
  <si>
    <t>[effect:force_change_block, new_block:crash, target:crack_bomb, count:0, val:6, animation:change_block],[effect:break_attack_fix, target:enemy_one, val:0, lowest_val:99999, count:-1, color:red, block01:block_blue, block02:block_green, block03:damage, animation:damage_one_red06],[effect:enhance_unit, target:unit_all, turn:2, status:action, val:1, calc:add, animation:enhance_unit_one_action01]</t>
    <phoneticPr fontId="22"/>
  </si>
  <si>
    <t>ボムをCパネルに変換+青・緑・ダメージパネルを吸収して99999ダメージ+2ターン全ユニットのタップ回数を1増やす</t>
    <phoneticPr fontId="22"/>
  </si>
  <si>
    <t>[effect:damage, target:enemy_one, color:red, val:1, animation:damage_one_red02],[effect:damage, target:enemy_all, color:red, val:0.6, animation:damage_all_red02]</t>
    <phoneticPr fontId="22"/>
  </si>
  <si>
    <t>[effect:damage, target:enemy_one, color:red, val:1.2, animation:damage_one_red03],[effect:damage, target:enemy_all, color:red, val:1, animation:damage_all_red03]</t>
    <phoneticPr fontId="22"/>
  </si>
  <si>
    <t>1体にダメージ+全体にダメージ</t>
    <phoneticPr fontId="22"/>
  </si>
  <si>
    <t>1体に大ダメージ+全体に大ダメージ</t>
    <phoneticPr fontId="22"/>
  </si>
  <si>
    <t>[effect:force_change_block, new_block:block_yellow, target:block_green, count:0, val:0, animation:change_block],[effect:counter_new, target:unit_all, invoke_condition:enemy_all, counter_target:attacker, turn:1, val:3, animation:counter_buff03]</t>
    <phoneticPr fontId="22"/>
  </si>
  <si>
    <t>[effect:force_change_block, new_block:block_yellow, target:block_green, count:0, val:0, animation:change_block],[effect:counter_new, target:unit_all, invoke_condition:enemy_all, counter_target:attacker, turn:2, val:3, animation:counter_buff03]</t>
    <phoneticPr fontId="22"/>
  </si>
  <si>
    <t>緑パネルを黄パネルに変換+2ターン特大カウンター</t>
    <phoneticPr fontId="22"/>
  </si>
  <si>
    <t>緑パネルを黄パネルに、お邪魔パネルを黄ボムパネルに変換+3ターン生成短縮(大)、特大カウンター</t>
    <phoneticPr fontId="22"/>
  </si>
  <si>
    <t>[effect:damage, target:enemy_one, color:red, val:2.5, animation:damage_one_red04]</t>
    <phoneticPr fontId="22"/>
  </si>
  <si>
    <t>1体にダメージ
攻撃タイプに効果大</t>
    <phoneticPr fontId="22"/>
  </si>
  <si>
    <t>1体にダメージ
攻撃タイプに効果特大</t>
    <phoneticPr fontId="22"/>
  </si>
  <si>
    <t>[effect:damage_heal, target:enemy_one, color:green, val:1.75, animation:damage_one_green02]</t>
    <phoneticPr fontId="22"/>
  </si>
  <si>
    <t>自身の回復力に比例して
1体にダメージ</t>
    <phoneticPr fontId="22"/>
  </si>
  <si>
    <t>15</t>
    <phoneticPr fontId="22"/>
  </si>
  <si>
    <t>[effect:damage, target:enemy_one, color:green, val:0.7, animation:damage_one_green01],[effect:damage, target:enemy_one, color:green, val:0.7, animation:damage_one_green01],[effect:damage, target:enemy_one, color:green, val:0.7, animation:damage_one_green01]</t>
    <phoneticPr fontId="22"/>
  </si>
  <si>
    <t>[effect:damage, target:enemy_one, color:green, val:0.63, animation:damage_one_green02],[effect:damage, target:enemy_one, color:green, val:0.63, animation:damage_one_green02],[effect:damage, target:enemy_one, color:green, val:0.63, animation:damage_one_green02],[effect:damage, target:enemy_one, color:green, val:0.63, animation:damage_one_green02]</t>
    <phoneticPr fontId="22"/>
  </si>
  <si>
    <t>単体に3連続小ダメージ</t>
    <phoneticPr fontId="22"/>
  </si>
  <si>
    <t>単体に4連続ダメージ</t>
    <phoneticPr fontId="22"/>
  </si>
  <si>
    <t>[effect:force_change_block, new_block:crash, target:block_all, ignore01:block_positive, count:1, val:36, animation:change_block]</t>
    <phoneticPr fontId="22"/>
  </si>
  <si>
    <t>[effect:damage_hp, target:enemy_one, color:green, val:1.125, animation:damage_one_blue04]</t>
    <phoneticPr fontId="22"/>
  </si>
  <si>
    <t>ランダムで最大1個緑ボム(特大)に、ハートパネルを最大5個CPに変換+カウンター解除+2ターン緑･青･黄属性の攻撃力を大UP</t>
    <phoneticPr fontId="22"/>
  </si>
  <si>
    <t>[effect:damage_anti_tribe, target:enemy_one, tribe:animal, val1:3.75, val2:1.5, animation:damage_one_green04]</t>
    <phoneticPr fontId="22"/>
  </si>
  <si>
    <t>赤パネルを赤ボムパネルに、青パネルを赤パネルに変換+2ターン全ユニットの攻撃力をUP</t>
    <phoneticPr fontId="22"/>
  </si>
  <si>
    <t>1体に2回ダメージ+
全体にダメージ</t>
    <phoneticPr fontId="22"/>
  </si>
  <si>
    <t>[effect:damage, target:enemy_one, color:red, val:1.2, animation:damage_one_red02],[effect:damage, target:enemy_one, color:red, val:1.2, animation:damage_one_red02],[effect:damage, target:enemy_all, color:red, val:0.6, animation:damage_one_red01]</t>
    <phoneticPr fontId="22"/>
  </si>
  <si>
    <t>マグネット(黄→ハート)1個変換+カウンター解除+1ターン黄･赤･緑属性の回復力UP(青を吸収し効果UP)、ハートの出現率を大UP</t>
    <phoneticPr fontId="22"/>
  </si>
  <si>
    <t>[effect:damage_anti_tribe, target:enemy_one, tribe:machine, val1:2, val2:1.2, animation:damage_one_yellow04],[effect:damage_anti_tribe, target:enemy_one, tribe:hero, val1:2, val2:1.2, animation:damage_one_yellow04]</t>
    <phoneticPr fontId="22"/>
  </si>
  <si>
    <t>[effect:damage_hp, target:enemy_one, color:green, val:1.125, animation:damage_one_green04]</t>
    <phoneticPr fontId="22"/>
  </si>
  <si>
    <t>1体に3回ダメージ</t>
    <phoneticPr fontId="22"/>
  </si>
  <si>
    <t>[effect:damage, target:enemy_one, color:yellow, val:0.9, animation:damage_one_yellow02],[effect:damage, target:enemy_one, color:yellow, val:0.9, animation:damage_one_yellow02],[effect:damage, target:enemy_one, color:yellow, val:0.9, animation:damage_one_yellow02]</t>
    <phoneticPr fontId="22"/>
  </si>
  <si>
    <t>[effect:damage, target:enemy_one, color:yellow, val:1.5, animation:damage_one_yellow04],[effect:damage, target:enemy_all, color:yellow, val:0.85, animation:damage_all_yellow04]</t>
    <phoneticPr fontId="22"/>
  </si>
  <si>
    <t>1体に特大ダメージ
種族アニマルに効果超大</t>
    <phoneticPr fontId="22"/>
  </si>
  <si>
    <t xml:space="preserve">ランダムでパネルを最大1個SCパネル(特大)に変換   </t>
    <phoneticPr fontId="22"/>
  </si>
  <si>
    <t>[effect:force_change_block, new_block:crash, target:block_all, count:1, val:12, animation:change_block],[effect:force_change_block, new_block:crash, target:jammer, count:0, val:6, animation:change_block],[effect:force_change_block, new_block:crash, target:block_red, count:0, val:6, animation:change_block],[effect:force_change_block, new_block:block_yellow, target:block_heart, count:0, val:0, animation:change_block],[effect:enhance_unit, target:unit_all, turn:1, status:action, val:1, calc:add, animation:enhance_unit_one_action01],</t>
    <phoneticPr fontId="22"/>
  </si>
  <si>
    <t>[effect:force_change_block, new_block:crash, target:block_all, count:1, val:24, animation:change_block],[effect:force_change_block, new_block:crash, target:jammer, count:0, val:6, animation:change_block],[effect:force_change_block, new_block:crash, target:block_red, count:0, val:6, animation:change_block],[effect:force_change_block, new_block:block_yellow, target:block_heart, count:0, val:0, animation:change_block],[effect:enhance_unit, target:unit_all, turn:1, status:action, val:1, calc:add, animation:enhance_unit_one_action01]</t>
    <phoneticPr fontId="22"/>
  </si>
  <si>
    <t>1体に大ダメージ+中央横一列を赤ボム、SCP3個変換+ハートパネル無効解除+2ターン確率で黄･ハートがハートボムでドロップ、敵の防御力0</t>
    <phoneticPr fontId="22"/>
  </si>
  <si>
    <t>[effect:damage, target:enemy_one, color:red, val:3.6, animation:damage_one_red03],[effect:change_range_block, block_change:1, base_type:0, square_count:5, position01:10, value_h01:1, value_w01:1, new_block:crash, target:block_all, ignore01:crash, count:1, val:12, animation:change_range_block],[effect:change_range_block, block_change:1, base_type:0, square_count:5, position01:12, value_h01:1, value_w01:1, new_block:crash, target:block_all, ignore01:crash, count:1, val:36, animation:change_range_block],[effect:change_range_block, block_change:1, base_type:0, square_count:5, position01:14, value_h01:1, value_w01:1, new_block:crash, target:block_all, ignore01:crash, count:1, val:12, animation:change_range_block],[effect:change_range_block, block_change:1, base_type:0, square_count:5, position01:10, value_h01:1, value_w01:5, new_block:crack_bomb, target:block_all, ignore01:crash, color:red, count:0, val:12, animation:change_block],[effect:cure, bad_status:dis_heart, animation:cure01],[effect:drop_block, block_type:crack_bomb, block_color:block_heart, color:block_yellow, val:12, rate:0.85, turn:2],[effect:drop_block, block_type:crack_bomb, block_color:block_heart, color:block_heart, val:12, rate:0.7, turn:2, animation:bomb_influence04],[effect:guard_break, target:enemy_all, turn:2, val:1.0, calc:mul, animation:guard_break04]</t>
    <phoneticPr fontId="22"/>
  </si>
  <si>
    <t>[effect:force_change_block, new_block:crash, target:block_all, ignore01:block_positive, count:1, val:24, animation:change_block],[effect:force_change_block, new_block:block_green, target:block_yellow, count:0, val:0, animation:change_block],[effect:regenerate, turn:3, val:0.6, animation:heal_unit]</t>
    <phoneticPr fontId="22"/>
  </si>
  <si>
    <t>ランダムでパネルを最大1個SCP(大)に、黄パネルを緑パネルに変換+3ターンHPを回復する</t>
    <phoneticPr fontId="22"/>
  </si>
  <si>
    <t>[effect:force_change_block, new_block:crash, target:block_all, ignore01:block_positive, count:1, val:36, animation:change_block],[effect:force_change_block, new_block:crash, target:block_green, ignore01:block_positive, count:6, val:6, animation:change_block],[effect:force_change_block, new_block:crash, target:block_blue, ignore01:block_positive, count:6, val:6, animation:change_block],[effect:enhance_unit, target:unit_green, turn:2, status:attack, val:0.21, calc:mul, animation:enhance_unit_all_attack04],[effect:guard_break, target:enemy_all, turn:2, val:1.0, calc:mul, animation:guard_break04]</t>
    <phoneticPr fontId="22"/>
  </si>
  <si>
    <t>ランダムで最大1個SCP(特大)、緑・青パネルを最大6個ずつCPに変換+2ターン緑属性の攻撃力特大UP、敵の防御力を0にする</t>
    <phoneticPr fontId="22"/>
  </si>
  <si>
    <t>[effect:damage, target:enemy_one, color:yellow, val:1.5, animation:damage_one_yellow01],[effect:enhance_unit, target:unit_yellow, turn:1, status:attack, val:0.03, calc:mul, animation:enhance_unit_all_attack01]</t>
    <phoneticPr fontId="22"/>
  </si>
  <si>
    <t>[effect:damage, target:enemy_one, color:yellow, val:1.2, animation:damage_one_yellow01],[effect:enhance_unit, target:unit_yellow, turn:1, status:attack, val:0.03, calc:mul, animation:enhance_unit_all_attack01]</t>
    <phoneticPr fontId="22"/>
  </si>
  <si>
    <t>[effect:force_change_magnet, target:block_all, ignore01:block_positive, color:yellow, count:1, red:0, green:0, blue:0, yellow:1, heart:1, reverse:0, generate:0, turn:2, animation:change_block],[effect:remove_enhancement, target:enemy_all, target_effect:enemy_counter, animation:frozen_wave_unit],[effect:break_enchance_unit, target:unit_yellow/unit_red/unit_green/or, val:40, lowest_val:750, count :-1, status:heal, turn:1, block01:block_blue, calc:add, animation:enhance_unit_all_heal01],[effect:change_panel_ratio, turn:1, block_type:heal, val:0.4, animation:block_incidence04]</t>
    <phoneticPr fontId="22"/>
  </si>
  <si>
    <t>ウィルス解除+2ターン赤・黄・青属性ユニットの攻撃力をUP(緑パネルを吸収し効果UP)、
タップ回数を1増加</t>
    <phoneticPr fontId="22"/>
  </si>
  <si>
    <t>[effect:cure, bad_status:virus, animation:cure01],[effect:break_enchance_unit, target:unit_red/unit_yellow/unit_blue, val:0.005, lowest_val:0.2, count:-1, status:attack, turn:2, block01:block_green, calc:mul, animation:enhance_unit_all_attack01],[effect:enhance_unit, target:unit_red/unit_yellow/unit_blue/or, turn:2, status:action, val:1, calc:add, animation:enhance_unit_one_action01]</t>
    <phoneticPr fontId="22"/>
  </si>
  <si>
    <t>自身にバリア4000を展開+縦一列を3か所(C・青ボム・ハートパネル)に変換+3ターン自身の攻撃力1200UP</t>
    <phoneticPr fontId="22"/>
  </si>
  <si>
    <t>[effect:damage_barrier, target:myself, turn:-1, val:4000],[effect:change_range_block, block_change:1, base_type:0, square_count:5, position01:0, position02:20, value_h01:5.0, value_h02:5.0, value_w01:1.0, value_w02:1.0,  new_block:crash, target:block_all, count:0, val:0, animation:change_block],[effect:change_range_block, block_change:1, base_type:0, square_count:5, position01:2, position02:22, value_h01:5.0, value_h02:5.0, value_w01:1.0, value_w02:1.0, new_block:crack_bomb, target:block_all, color:blue, count:0, val:12, animation:change_block],[effect:change_range_block, block_change:1, base_type:0, square_count:5, position01:4, position02:24, value_h01:6.0, value_h02:6.0, value_w01:1.0, value_w02:1.0, new_block:block_heart, target:block_all, count:0, val:0, animation:change_block],[effect:enhance_unit, target:myself, turn:3, status:attack, val:1200, calc:add, animation:enhance_unit_all_attack01]</t>
    <phoneticPr fontId="22"/>
  </si>
  <si>
    <t>特定エリアを黄ボムに、青をボムパネルに変換+1ターン赤・黄・青属性の攻撃力と回復力を特大UPし、タップ回数を1増加</t>
    <phoneticPr fontId="22"/>
  </si>
  <si>
    <t>[effect:change_range_block, block_change:1, base_type:0, square_count:8, position01:0, position02:6, value_h01:8, value_h02:8, value_w01:2, value_w02:2, new_block:crack_bomb, target:block_all, ignore01:crash, ignore02:color_break, ignore03:magnet, color:yellow, count:0, val:12, animation:change_block],[effect:force_change_block, new_block:crack_bomb, target:block_blue, ignore01:block_positive, color:block_yellow, count:0, val:12, animation:change_block],[effect:enhance_unit, target:unit_red/unit_yellow/unit_blue/or, turn:1, status:attack, val:0.21, calc:mul, animation:enhance_unit_all_attack04],[effect:enhance_unit, target:unit_red/unit_yellow/unit_blue/or, turn:1, status:heal, val:0.45, calc:mul, animation:enhance_unit_all_heal04],[effect:enhance_unit, target:unit_red/unit_yellow/unit_blue/or, turn:1, status:action, val:1, calc:add, animation:enhance_unit_one_action01]</t>
    <phoneticPr fontId="22"/>
  </si>
  <si>
    <t>特定エリアを黄ボムに、青をボムパネルに変換+2ターン赤・黄・青属性の攻撃力と回復力を特大UPし、タップ回数を1増加</t>
    <phoneticPr fontId="22"/>
  </si>
  <si>
    <t>[effect:change_range_block, block_change:1, base_type:0, square_count:8, position01:0, position02:6, value_h01:8, value_h02:8, value_w01:2, value_w02:2, new_block:crack_bomb, target:block_all, ignore01:crash, ignore02:color_break, ignore03:magnet, color:yellow, count:0, val:12, animation:change_block],[effect:force_change_block, new_block:crack_bomb, target:block_blue, ignore01:block_positive, color:block_yellow, count:0, val:12, animation:change_block],[effect:enhance_unit, target:unit_red/unit_yellow/unit_blue/or, turn:2, status:attack, val:0.21, calc:mul, animation:enhance_unit_all_attack04],[effect:enhance_unit, target:unit_red/unit_yellow/unit_blue/or, turn:2, status:heal, val:0.45, calc:mul, animation:enhance_unit_all_heal04],[effect:enhance_unit, target:unit_red/unit_yellow/unit_blue/or, turn:2, status:action, val:1, calc:add, animation:enhance_unit_one_action01]</t>
    <phoneticPr fontId="22"/>
  </si>
  <si>
    <t>[effect:force_change_block, new_block:crack_bomb, target:block_all,　ignore01:block_positive, color:block_green, count:1, val:36, animation:change_block],[effect:force_change_block, new_block:crash, target:block_heart, count:5, val:6, animation:change_block],[effect:remove_enhancement, target:enemy_all, target_effect:enemy_counter, animation:frozen_wave_unit],[effect:enhance_unit, target:unit_green/unit_blue/unit_yellow, turn:2, status:attack, val:0.175, calc:mul, animation:enhance_unit_all_attack03]</t>
    <phoneticPr fontId="22"/>
  </si>
  <si>
    <t>[effect:change_range_block, block_change:1, base_type:0, square_count:11, position01:3, value_h01:11, value_w01:5, new_block:crack_bomb, target:block_all, ignore01:crash, color:red, count:0, val:12, animation:change_block],[effect:force_change_block, new_block:crash, target:block_all, ignore01:block_positive, count:2, val:10, animation:change_block],[effect:force_change_block, new_block:block_red, target:block_all, ignore01:block_positive, ignore02:block_red, count:2, val:0, animation:change_block],[effect:drop_block, block_type:crack_bomb, block_color:block_red, color:block_all, val:24, rate:0.08, turn:3, animation:bomb_influence04],[effect:drop_block, block_type:crack_bomb, block_color:block_red, color:block_red, val:12, rate:0.8, turn:1]</t>
    <phoneticPr fontId="22"/>
  </si>
  <si>
    <t>中央を赤ボム、赤以外を最大各2個CP(大)・赤に変換+3ターン確率で赤ボム(大)ドロップ+1ターン確率で赤を赤ボムでドロップ</t>
    <phoneticPr fontId="22"/>
  </si>
  <si>
    <t>[effect:damage_anti_type, target:enemy_one, type:attack, val1:2, val2:1.2, animation:damage_one_red04],[effect:enhance_unit, target:myself, turn:-1, status:attack, val:0.002, calc:mul,animation:enhance_unit_all_attack01_unit01]</t>
    <phoneticPr fontId="22"/>
  </si>
  <si>
    <t>[effect:damage_anti_type, target:enemy_one, type:attack, val1:2.375, val2:1.5, animation:damage_one_red04],[effect:enhance_unit, target:myself, turn:-1, status:attack, val:0.002, calc:mul,animation:enhance_unit_all_attack01_unit01]</t>
    <phoneticPr fontId="22"/>
  </si>
  <si>
    <t>1体に大ダメージ
攻撃タイプに効果特大+
解除されるまで自身の攻撃力を極小UP</t>
    <phoneticPr fontId="22"/>
  </si>
  <si>
    <t>1体に特大ダメージ
攻撃タイプに効果超大+
解除されるまで自身の攻撃力を極小UP</t>
    <phoneticPr fontId="22"/>
  </si>
  <si>
    <t>[effect:change_range_block, block_change:1, base_type:0, square_count:5, position01:5, value_h01:3, value_w01:5, new_block:block_blue, target:block_all, count:0, val:0, animation:change_block],[effect:change_range_block, block_change:1, base_type:0, square_count:5, position01:10, value_h01:1, value_w01:5, new_block:crash, target:block_blue, count:0, val:10, animation:change_block],[effect:damage, target:enemy_one, color:blue, val:16, animation:damage_one_blue06],[effect:change_panel_ratio, turn:1, block_type:yellow, val:0.05, animation:block_incidence04]</t>
    <phoneticPr fontId="22"/>
  </si>
  <si>
    <t>中央の横一列を青・Cパネル(大)に変換+1体に激烈ダメージ+1ターン黄パネルの出現率を大DOWN</t>
    <phoneticPr fontId="22"/>
  </si>
  <si>
    <t>[effect:change_range_block, block_change:1, base_type:0, square_count:5, position01:5, value_h01:3, value_w01:5, new_block:block_blue, target:block_all, count:0, val:0, animation:change_block],[effect:change_range_block, block_change:1, base_type:0, square_count:5, position01:10, value_h01:1, value_w01:5, new_block:crash, target:block_blue, count:0, val:10, animation:change_block],[effect:damage, target:enemy_one, color:blue, val:16, animation:damage_one_blue06],[effect:change_panel_ratio, turn:2, block_type:yellow, val:0.05],[effect:change_panel_ratio, turn:2, block_type:red, val:0.05, animation:block_incidence04]</t>
    <phoneticPr fontId="22"/>
  </si>
  <si>
    <t>中央の横一列を青・Cパネル(大)に変換+1体に激烈ダメージ+2ターン赤・黄パネルの出現率を大DOWN</t>
    <phoneticPr fontId="22"/>
  </si>
  <si>
    <t>[effect:force_change_block, new_block:block_blue, target:block_green, count:0, val:0, animation:change_block],[effect:remove_enhancement, target:enemy_all, target_effect:enemy_counter, animation:frozen_wave_unit],[effect:reduction, target:unit_all, turn:2, val:0.2, animation:reduction_one02],[effect:counter_new, target:unit_all, invoke_condition:enemy_all, counter_target:attacker, turn:2, val:4, animation:counter_buff04]</t>
    <phoneticPr fontId="22"/>
  </si>
  <si>
    <t>緑パネルを青パネルに変換+カウンター解除+2ターン敵からのダメージを20%軽減し、超大カウンター</t>
    <phoneticPr fontId="22"/>
  </si>
  <si>
    <t>[effect:force_change_block, new_block:crash, target:block_all, ignore01:block_positive, count:18, val:6, animation:change_block],[effect:degrade_unit, target:myself, turn:5, status:heal, val:1998, calc:add, animation:degrade_unit_all_heal],[effect:enhance_unit, target:myself, turn:5, status:attack, val:1998, calc:add, animation:enhance_unit_all_attack01],[effect:enhance_unit, target:myself, turn:5, status:defense, val:1998, calc:add, animation:enhance_unit_all_defense01],[effect:enhance_unit, target:myself, turn:5, status:action, val: 2, calc:add, animation:enhance_unit_one_action02]</t>
    <phoneticPr fontId="22"/>
  </si>
  <si>
    <t>ランダムでパネルを最大18個CPに変換+5ターン自身の回復力を1998DOWN、攻撃力と防御力を1998UP、タップ回数を2増加</t>
    <phoneticPr fontId="22"/>
  </si>
  <si>
    <t>[effect:force_change_block, new_block:block_yellow, target:block_red, count:4, val:0, animation:change_block],[effect:force_change_block, new_block:block_yellow, target:block_green, count:4, val:0, animation:change_block],[effect:force_change_block, new_block:block_yellow, target:block_blue, count:4, val:0, animation:change_block],[effect:enhance_unit, target:unit_red/unit_blue/unit_yellow/or, turn:1, status:action, val:1, calc:add, animation:enhance_unit_one_action01],[effect:crash_condition, target:unit_red/unit_green/unit_yellow/or, turn:1, val:-4, animation:crash_panel_reduce04]</t>
    <phoneticPr fontId="22"/>
  </si>
  <si>
    <t>赤・緑・青パネルを最大各4個ずつ黄パネルに変換+1ターン赤・緑・黄属性ユニットのタップ回数を1増加し、CP生成短縮(効果特大)</t>
    <phoneticPr fontId="22"/>
  </si>
  <si>
    <t>[effect:force_change_block, new_block:crack_bomb, target:block_red, ignore01:block_positive, color:heal, count:1, val:24, animation:change_block],[effect:force_change_block, new_block:crack_bomb, target:block_green, ignore01:block_positive, color:heal, count:1, val:24, animation:change_block],[effect:force_change_block, new_block:crack_bomb, target:block_blue, ignore01:block_positive, color:heal, count:1, val:24, animation:change_block],[effect:regenerate, turn:3, val:0.6, animation:heal02_unit01],[effect:change_panel_ratio, turn:3, block_type:blue, val:0.1],[effect:change_panel_ratio, turn:3, block_type:heart, val:0.1, animation:block_incidence04]</t>
    <phoneticPr fontId="22"/>
  </si>
  <si>
    <t>赤・緑・青パネルを最大1個ずつハートボムパネル(大)に変換+3ターンHPを回復し、青・ハートパネルの出現率をDOWN</t>
    <phoneticPr fontId="22"/>
  </si>
  <si>
    <t>[effect:force_change_block, new_block:crash, target:block_all, ignore01:block_positive, count:1, val:36, animation:change_block],[effect:force_change_magnet, target:block_all, ignore01:block_positive, color:green, count:1, red:0, green:1, blue:0, yellow:0, heart:1, reverse:0, generate:0, turn:2, animation:change_block],[effect:attack_command, turn:1, target:myself, val:1.0, animation:unit_all_attack_command05],[effect:drop_block, block_type:crack_bomb, block_color:block_green, color:block_all, val:24, rate:0.06, turn:1, animation:bomb_influence04]</t>
    <phoneticPr fontId="22"/>
  </si>
  <si>
    <t>最大1個SCP(特大)とマグネット(緑→ハート)に変換+1ターン自身が先頭意外でも通常攻撃に参加、低確率で緑ボム(大)ドロップ</t>
    <phoneticPr fontId="22"/>
  </si>
  <si>
    <t>[effect:force_change_block, new_block:crack_bomb, target:block_all, ignore01:block_red, ignore02:block_positive, color:red, count:12, val:12, animation:change_block],[effect:change_panel_ratio, turn:1, block_type:blue, val:0.1],[effect:change_panel_ratio, turn:1, block_type:yellow, val:0.1],[effect:change_panel_ratio, turn:1, block_type:heal, val:0.1, animation:block_incidence04]</t>
    <phoneticPr fontId="22"/>
  </si>
  <si>
    <t>赤パネル以外を最大12個赤ボムに変換+1ターン青・黄・ハート出現率DOWN</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</si>
</sst>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
      <patternFill patternType="solid">
        <fgColor theme="7"/>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0" fillId="25" borderId="4" xfId="0" applyFill="1" applyBorder="1" applyAlignment="1">
      <alignment horizontal="center"/>
    </xf>
    <xf numFmtId="0" fontId="16" fillId="29" borderId="1" xfId="0" applyFont="1" applyFill="1" applyBorder="1" applyAlignment="1">
      <alignment vertical="center"/>
    </xf>
    <xf numFmtId="0" fontId="16" fillId="14" borderId="8" xfId="0" applyFont="1" applyFill="1" applyBorder="1" applyAlignment="1">
      <alignment horizontal="right" vertical="center"/>
    </xf>
    <xf numFmtId="0" fontId="16" fillId="7" borderId="18" xfId="0" applyFont="1" applyFill="1" applyBorder="1" applyAlignment="1">
      <alignment horizontal="left" vertical="center"/>
    </xf>
    <xf numFmtId="0" fontId="13" fillId="29" borderId="4" xfId="0" applyFont="1" applyFill="1" applyBorder="1" applyAlignment="1">
      <alignment horizontal="left" vertical="center" wrapText="1"/>
    </xf>
    <xf numFmtId="0" fontId="13" fillId="30" borderId="4" xfId="0" applyFont="1" applyFill="1" applyBorder="1" applyAlignment="1">
      <alignment horizontal="left" vertical="center" wrapText="1"/>
    </xf>
    <xf numFmtId="0" fontId="14" fillId="30"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12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green</v>
          </cell>
          <cell r="I1859">
            <v>6</v>
          </cell>
          <cell r="J1859" t="str">
            <v>PremiumSSS</v>
          </cell>
          <cell r="K1859" t="str">
            <v>attack</v>
          </cell>
          <cell r="L1859" t="str">
            <v>攻撃タイプ</v>
          </cell>
          <cell r="M1859" t="str">
            <v>academia</v>
          </cell>
          <cell r="N1859" t="str">
            <v>アカデミア</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refreshError="1"/>
      <sheetData sheetId="1" refreshError="1"/>
      <sheetData sheetId="2" refreshError="1"/>
      <sheetData sheetId="3" refreshError="1"/>
      <sheetData sheetId="4" refreshError="1"/>
      <sheetData sheetId="5" refreshError="1"/>
      <sheetData sheetId="6" refreshError="1">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自身が先頭の時、1ターンの間に合計15個以上ボムパネルを破壊した場合にタップ回数を1回増加</v>
          </cell>
        </row>
        <row r="171">
          <cell r="A171">
            <v>837</v>
          </cell>
          <cell r="B171" t="str">
            <v>ja</v>
          </cell>
          <cell r="C171" t="str">
            <v>パネルブレイク40  攻撃力UP</v>
          </cell>
          <cell r="D171" t="str">
            <v>自身または、味方が1ターンの間に合計40個以上パネル破壊した場合に1ターン緑ユニットの攻撃力UP</v>
          </cell>
        </row>
        <row r="172">
          <cell r="A172">
            <v>900</v>
          </cell>
          <cell r="B172" t="str">
            <v>ja</v>
          </cell>
          <cell r="C172" t="str">
            <v>チェイン12 攻撃力UP</v>
          </cell>
          <cell r="D172" t="str">
            <v>自身が先頭の時、1タップで12個以上パネルを繋げた場合に攻撃力UP(1ターンに1度だけ発動)</v>
          </cell>
        </row>
        <row r="173">
          <cell r="A173">
            <v>901</v>
          </cell>
          <cell r="B173" t="str">
            <v>ja</v>
          </cell>
          <cell r="C173" t="str">
            <v>チェイン12 回復力UP</v>
          </cell>
          <cell r="D173" t="str">
            <v>自身が先頭の時、1タップで12個以上パネルを繋げた場合に回復力UP(1ターンに1度だけ発動)</v>
          </cell>
        </row>
        <row r="174">
          <cell r="A174">
            <v>902</v>
          </cell>
          <cell r="B174" t="str">
            <v>ja</v>
          </cell>
          <cell r="C174" t="str">
            <v>チェイン12 タップ回数UP</v>
          </cell>
          <cell r="D174" t="str">
            <v>自身が先頭の時、1タップで12個以上パネルを繋げた場合にタップ回数を1回増やす(1ターンに1度だけ発動)</v>
          </cell>
        </row>
        <row r="175">
          <cell r="A175">
            <v>903</v>
          </cell>
          <cell r="B175" t="str">
            <v>ja</v>
          </cell>
          <cell r="C175" t="str">
            <v>チェイン18 スキルターン短縮</v>
          </cell>
          <cell r="D175" t="str">
            <v>自身が先頭の時、1タップで18個以上パネルを繋げた場合に自身のスキルターンを1短縮(1ターンに1度だけ発動)</v>
          </cell>
        </row>
        <row r="176">
          <cell r="A176">
            <v>904</v>
          </cell>
          <cell r="B176" t="str">
            <v>ja</v>
          </cell>
          <cell r="C176" t="str">
            <v>チェイン17 回復力UP</v>
          </cell>
          <cell r="D176" t="str">
            <v>自身が先頭の時、1タップで17個以上パネルを繋げた場合に自身の回復力を2017UP(1ターンに1度だけ発動)</v>
          </cell>
        </row>
        <row r="177">
          <cell r="A177">
            <v>905</v>
          </cell>
          <cell r="B177" t="str">
            <v>ja</v>
          </cell>
          <cell r="C177" t="str">
            <v>チェイン12 攻撃力小UP</v>
          </cell>
          <cell r="D177" t="str">
            <v>自身が先頭の時、1タップで12個以上パネルを繋げた場合に攻撃力小UP(1ターンに1度だけ発動)</v>
          </cell>
        </row>
        <row r="178">
          <cell r="A178">
            <v>906</v>
          </cell>
          <cell r="B178" t="str">
            <v>ja</v>
          </cell>
          <cell r="C178" t="str">
            <v>チェイン14 回復力小UP</v>
          </cell>
          <cell r="D178" t="str">
            <v>自身が先頭の時、1タップで14個以上パネルを繋げた場合に回復力小UP(1ターンに1度だけ発動)</v>
          </cell>
        </row>
        <row r="179">
          <cell r="A179">
            <v>907</v>
          </cell>
          <cell r="B179" t="str">
            <v>ja</v>
          </cell>
          <cell r="C179" t="str">
            <v>チェイン14 攻撃力UP</v>
          </cell>
          <cell r="D179" t="str">
            <v>自身が先頭の時、1タップで14個以上パネルを繋げた場合に攻撃力UP(1ターンに1度だけ発動)</v>
          </cell>
        </row>
        <row r="180">
          <cell r="A180">
            <v>908</v>
          </cell>
          <cell r="B180" t="str">
            <v>ja</v>
          </cell>
          <cell r="C180" t="str">
            <v>チェイン16 黄属性防御力UP</v>
          </cell>
          <cell r="D180" t="str">
            <v>自身が先頭の時、1タップで16個以上パネルを繋げた場合に黄属性ユニットの防御力UP(1ターンに1度だけ発動)</v>
          </cell>
        </row>
        <row r="181">
          <cell r="A181">
            <v>909</v>
          </cell>
          <cell r="B181" t="str">
            <v>ja</v>
          </cell>
          <cell r="C181" t="str">
            <v>チェイン30 Cパネル生成短縮(激烈)</v>
          </cell>
          <cell r="D181" t="str">
            <v>自身が先頭の時、1タップで30個以上パネルを繋げた場合にCパネル生成短縮(効果激烈)(1ターンに1度だけ発動)</v>
          </cell>
        </row>
        <row r="182">
          <cell r="A182">
            <v>910</v>
          </cell>
          <cell r="B182" t="str">
            <v>ja</v>
          </cell>
          <cell r="C182" t="str">
            <v>チェイン18 HP回復</v>
          </cell>
          <cell r="D182" t="str">
            <v>自身が先頭の時、1タップで18個以上パネルを繋げた場合にHPを2500回復(1ターンに1度だけ発動)</v>
          </cell>
        </row>
        <row r="183">
          <cell r="A183">
            <v>911</v>
          </cell>
          <cell r="B183" t="str">
            <v>ja</v>
          </cell>
          <cell r="C183" t="str">
            <v>チェイン24 ダメージ軽減</v>
          </cell>
          <cell r="D183" t="str">
            <v>自身が先頭の時、1タップで24個以上パネルを繋げた場合に敵からのダメージを15％軽減(1ターンに1度だけ発動)</v>
          </cell>
        </row>
        <row r="184">
          <cell r="A184">
            <v>912</v>
          </cell>
          <cell r="B184" t="str">
            <v>ja</v>
          </cell>
          <cell r="C184" t="str">
            <v>チェイン22 スキルターン短縮</v>
          </cell>
          <cell r="D184" t="str">
            <v>自身が先頭の時、1タップで22個以上パネルを繋げた場合に自身のスキルターンを1短縮(1ターンに1度だけ発動)</v>
          </cell>
        </row>
        <row r="185">
          <cell r="A185">
            <v>913</v>
          </cell>
          <cell r="B185" t="str">
            <v>ja</v>
          </cell>
          <cell r="C185" t="str">
            <v>チェイン26 Cパネル生成短縮(特大)</v>
          </cell>
          <cell r="D185" t="str">
            <v>自身または、味方が1タップで26個以上パネルを繋げた場合に先頭ユニットのCパネル生成短縮(効果特大)(1ターンに1度だけ発動)</v>
          </cell>
        </row>
        <row r="186">
          <cell r="A186">
            <v>914</v>
          </cell>
          <cell r="B186" t="str">
            <v>ja</v>
          </cell>
          <cell r="C186" t="str">
            <v>チェイン14 スキルバインド解除</v>
          </cell>
          <cell r="D186" t="str">
            <v>自身が先頭の時、1タップで14個以上パネルを繋げた場合にスキルバインドを解除する</v>
          </cell>
        </row>
        <row r="187">
          <cell r="A187">
            <v>915</v>
          </cell>
          <cell r="B187" t="str">
            <v>ja</v>
          </cell>
          <cell r="C187" t="str">
            <v>チェイン16 スキルターン短縮</v>
          </cell>
          <cell r="D187" t="str">
            <v>自身が先頭の時、1タップで16個以上パネルを繋げた場合に自身のスキルターンを1短縮する(1ターンに1度だけ発動)</v>
          </cell>
        </row>
        <row r="188">
          <cell r="A188">
            <v>916</v>
          </cell>
          <cell r="B188" t="str">
            <v>ja</v>
          </cell>
          <cell r="C188" t="str">
            <v>チェイン14 黄属性防御力UP</v>
          </cell>
          <cell r="D188" t="str">
            <v>自身が先頭の時、1タップで14個以上パネルを繋げた場合に黄属性ユニットの防御力UP(1ターンに1度だけ発動)</v>
          </cell>
        </row>
        <row r="189">
          <cell r="A189">
            <v>917</v>
          </cell>
          <cell r="B189" t="str">
            <v>ja</v>
          </cell>
          <cell r="C189" t="str">
            <v>チェイン18 HP回復</v>
          </cell>
          <cell r="D189" t="str">
            <v>自身が先頭の時、1タップで18個以上パネルを繋げた場合にHPを1500回復(1ターンに1度だけ発動)</v>
          </cell>
        </row>
        <row r="190">
          <cell r="A190">
            <v>918</v>
          </cell>
          <cell r="B190" t="str">
            <v>ja</v>
          </cell>
          <cell r="C190" t="str">
            <v>チェイン18 HP回復</v>
          </cell>
          <cell r="D190" t="str">
            <v>自身が先頭の時、1タップで18個以上パネルを繋げた場合にHPを1500回復(1ターンに1度だけ発動)</v>
          </cell>
        </row>
        <row r="191">
          <cell r="A191">
            <v>919</v>
          </cell>
          <cell r="B191" t="str">
            <v>ja</v>
          </cell>
          <cell r="C191" t="str">
            <v>チェイン16 攻撃力特大UP</v>
          </cell>
          <cell r="D191" t="str">
            <v>自身が先頭の時、1タップで16個以上パネルを繋げた場合に攻撃力特大UP(1ターンに1度だけ発動)</v>
          </cell>
        </row>
        <row r="192">
          <cell r="A192">
            <v>1000</v>
          </cell>
          <cell r="B192" t="str">
            <v>ja</v>
          </cell>
          <cell r="C192" t="str">
            <v>2種族カウンター</v>
          </cell>
          <cell r="D192" t="str">
            <v>敵に種族ヒューマン・ゴッドがいる場合、自身に超大カウンター</v>
          </cell>
        </row>
        <row r="193">
          <cell r="A193">
            <v>1100</v>
          </cell>
          <cell r="B193" t="str">
            <v>ja</v>
          </cell>
          <cell r="C193" t="str">
            <v>Cパネル生成短縮</v>
          </cell>
          <cell r="D193" t="str">
            <v>自身が先頭の時、Cパネル生成に必要なチェイン数を1短縮する</v>
          </cell>
        </row>
        <row r="194">
          <cell r="A194">
            <v>1101</v>
          </cell>
          <cell r="B194" t="str">
            <v>ja</v>
          </cell>
          <cell r="C194" t="str">
            <v>Cパネル生成短縮(大)</v>
          </cell>
          <cell r="D194" t="str">
            <v>自身が先頭の時、Cパネル生成に必要なチェイン数を2短縮する</v>
          </cell>
        </row>
        <row r="195">
          <cell r="A195">
            <v>1200</v>
          </cell>
          <cell r="B195" t="str">
            <v>ja</v>
          </cell>
          <cell r="C195" t="str">
            <v>フィーバー攻撃UP</v>
          </cell>
          <cell r="D195" t="str">
            <v>自身が先頭の時、フィーバー発動時に緑属性の攻撃力と回復力UP</v>
          </cell>
        </row>
        <row r="196">
          <cell r="A196">
            <v>1300</v>
          </cell>
          <cell r="B196" t="str">
            <v>ja</v>
          </cell>
          <cell r="C196" t="str">
            <v>チェイン12 HP回復</v>
          </cell>
          <cell r="D196" t="str">
            <v>自身が先頭の時、1タップで12個以上パネルを繋げた場合にHPを2000回復(1ターンに1度だけ発動)</v>
          </cell>
        </row>
        <row r="197">
          <cell r="A197">
            <v>1400</v>
          </cell>
          <cell r="B197" t="str">
            <v>ja</v>
          </cell>
          <cell r="C197" t="str">
            <v>カウンター威力UP</v>
          </cell>
          <cell r="D197" t="str">
            <v>4ターン毎に自身のカウンタースキルの威力が1ターンの間UP</v>
          </cell>
        </row>
        <row r="198">
          <cell r="A198">
            <v>1500</v>
          </cell>
          <cell r="B198" t="str">
            <v>ja</v>
          </cell>
          <cell r="C198" t="str">
            <v>バリア15000</v>
          </cell>
          <cell r="D198" t="str">
            <v>戦闘開始時に、自身への直接ダメージを15000まで防ぐバリアを一度だけ展開(バリアは破壊されると復活しない)</v>
          </cell>
        </row>
        <row r="199">
          <cell r="A199">
            <v>1501</v>
          </cell>
          <cell r="B199" t="str">
            <v>ja</v>
          </cell>
          <cell r="C199" t="str">
            <v>バリア</v>
          </cell>
          <cell r="D199" t="str">
            <v>戦闘開始時に、ダメージを25000まで防ぐバリアを一度だけ展開</v>
          </cell>
        </row>
        <row r="200">
          <cell r="A200">
            <v>1502</v>
          </cell>
          <cell r="B200" t="str">
            <v>ja</v>
          </cell>
          <cell r="C200" t="str">
            <v>バリア</v>
          </cell>
          <cell r="D200" t="str">
            <v>戦闘開始時に、ダメージを50000まで防ぐバリアを一度だけ展開</v>
          </cell>
        </row>
        <row r="201">
          <cell r="A201">
            <v>1503</v>
          </cell>
          <cell r="B201" t="str">
            <v>ja</v>
          </cell>
          <cell r="C201" t="str">
            <v>バリア8000</v>
          </cell>
          <cell r="D201" t="str">
            <v>戦闘開始時に、自身への直接ダメージを8000まで防ぐバリアを一度だけ展開(バリアは破壊されると復活しない)</v>
          </cell>
        </row>
        <row r="202">
          <cell r="A202">
            <v>1504</v>
          </cell>
          <cell r="B202" t="str">
            <v>ja</v>
          </cell>
          <cell r="C202" t="str">
            <v>バリア10000</v>
          </cell>
          <cell r="D202" t="str">
            <v>戦闘開始時に、自身への直接ダメージを10000まで防ぐバリアを一度だけ展開(バリアは破壊されると復活しない)</v>
          </cell>
        </row>
        <row r="203">
          <cell r="A203">
            <v>1505</v>
          </cell>
          <cell r="B203" t="str">
            <v>ja</v>
          </cell>
          <cell r="C203" t="str">
            <v>バリア3939</v>
          </cell>
          <cell r="D203" t="str">
            <v>戦闘開始時に、自身への直接ダメージを3939まで防ぐバリアを一度だけ展開(バリアは破壊されると復活しない)</v>
          </cell>
        </row>
        <row r="204">
          <cell r="A204">
            <v>1506</v>
          </cell>
          <cell r="B204" t="str">
            <v>ja</v>
          </cell>
          <cell r="C204" t="str">
            <v>バリア5000</v>
          </cell>
          <cell r="D204" t="str">
            <v>戦闘開始時に、自身への直接ダメージを5000まで防ぐバリアを一度だけ展開(バリアは破壊されると復活しない)</v>
          </cell>
        </row>
        <row r="205">
          <cell r="A205">
            <v>1507</v>
          </cell>
          <cell r="B205" t="str">
            <v>ja</v>
          </cell>
          <cell r="C205" t="str">
            <v>バリア3500</v>
          </cell>
          <cell r="D205" t="str">
            <v>戦闘開始時に、自身への直接ダメージを3500まで防ぐバリアを一度だけ展開(バリアは破壊されると復活しない)</v>
          </cell>
        </row>
        <row r="206">
          <cell r="A206">
            <v>1508</v>
          </cell>
          <cell r="B206" t="str">
            <v>ja</v>
          </cell>
          <cell r="C206" t="str">
            <v>バリア6000</v>
          </cell>
          <cell r="D206" t="str">
            <v>戦闘開始時に、自身への直接ダメージを6000まで防ぐバリアを一度だけ展開(バリアは破壊されると復活しない)</v>
          </cell>
        </row>
        <row r="207">
          <cell r="A207">
            <v>1600</v>
          </cell>
          <cell r="B207" t="str">
            <v>ja</v>
          </cell>
          <cell r="C207" t="str">
            <v>攻撃力・回復力UP</v>
          </cell>
          <cell r="D207" t="str">
            <v>自身の攻撃力と回復力をUP</v>
          </cell>
        </row>
        <row r="208">
          <cell r="A208">
            <v>1601</v>
          </cell>
          <cell r="B208" t="str">
            <v>ja</v>
          </cell>
          <cell r="C208" t="str">
            <v>隣接ユニット 回復力UP</v>
          </cell>
          <cell r="D208" t="str">
            <v>右隣のユニットの回復力を1000UPする</v>
          </cell>
        </row>
        <row r="209">
          <cell r="A209">
            <v>1602</v>
          </cell>
          <cell r="B209" t="str">
            <v>ja</v>
          </cell>
          <cell r="C209" t="str">
            <v>テクニカルタイプ攻撃力UP</v>
          </cell>
          <cell r="D209" t="str">
            <v>テクニカルタイプの攻撃力を700UP</v>
          </cell>
        </row>
        <row r="210">
          <cell r="A210">
            <v>1603</v>
          </cell>
          <cell r="B210" t="str">
            <v>ja</v>
          </cell>
          <cell r="C210" t="str">
            <v>3種族 攻撃力UP</v>
          </cell>
          <cell r="D210" t="str">
            <v>種族アニマル・ファンタジー・ヒーローユニットの攻撃力を800UP</v>
          </cell>
        </row>
        <row r="211">
          <cell r="A211">
            <v>1604</v>
          </cell>
          <cell r="B211" t="str">
            <v>ja</v>
          </cell>
          <cell r="C211" t="str">
            <v>2種族 6ターン毎、タップ回数UP</v>
          </cell>
          <cell r="D211" t="str">
            <v>最初の1ターン目と、その後6ターン毎に種族ヒューマン・ファンタジーユニットのタップ回数1増加</v>
          </cell>
        </row>
        <row r="212">
          <cell r="A212">
            <v>1605</v>
          </cell>
          <cell r="B212" t="str">
            <v>ja</v>
          </cell>
          <cell r="C212" t="str">
            <v>タイプ編成 攻撃力UP</v>
          </cell>
          <cell r="D212" t="str">
            <v>体力かテクニカルタイプを編成している場合、全ユニットの攻撃力500UP</v>
          </cell>
        </row>
        <row r="213">
          <cell r="A213">
            <v>1606</v>
          </cell>
          <cell r="B213" t="str">
            <v>ja</v>
          </cell>
          <cell r="C213" t="str">
            <v>3種族 6ターン毎、攻撃力UP</v>
          </cell>
          <cell r="D213" t="str">
            <v>最初の1ターン目と、その後6ターン毎に種族ドラゴン・ファンタジー・アニマルユニットの攻撃力を1000UP</v>
          </cell>
        </row>
        <row r="214">
          <cell r="A214">
            <v>1607</v>
          </cell>
          <cell r="B214" t="str">
            <v>ja</v>
          </cell>
          <cell r="C214" t="str">
            <v>3種族 6ターン毎、タップ回数UP</v>
          </cell>
          <cell r="D214" t="str">
            <v>最初の1ターン目と、その後6ターン毎に種族ドラゴン・ファンタジー・アニマルユニットのタップ回数1増加</v>
          </cell>
        </row>
        <row r="215">
          <cell r="A215">
            <v>1700</v>
          </cell>
          <cell r="B215" t="str">
            <v>ja</v>
          </cell>
          <cell r="C215" t="str">
            <v>パネルブレイク30 ターンHP小回復</v>
          </cell>
          <cell r="D215" t="str">
            <v>自身が先頭の時、1ターンの間に合計30個以上パネルを破壊した場合に1ターン HP小回復</v>
          </cell>
        </row>
        <row r="216">
          <cell r="A216">
            <v>1701</v>
          </cell>
          <cell r="B216" t="str">
            <v>ja</v>
          </cell>
          <cell r="C216" t="str">
            <v>5ターン毎、HP回復</v>
          </cell>
          <cell r="D216" t="str">
            <v>最初の1ターン目と、その後5ターン毎のターン終了時、HPを2500回復する</v>
          </cell>
        </row>
        <row r="217">
          <cell r="A217">
            <v>1702</v>
          </cell>
          <cell r="B217" t="str">
            <v>ja</v>
          </cell>
          <cell r="C217" t="str">
            <v>ターン経過攻撃力UP</v>
          </cell>
          <cell r="D217" t="str">
            <v>最初の1ターン目と、その後6ターン毎に1ターン種族ドラゴン・ファンタジー・アニマルの攻撃力を1000UP</v>
          </cell>
        </row>
        <row r="218">
          <cell r="A218">
            <v>1703</v>
          </cell>
          <cell r="B218" t="str">
            <v>ja</v>
          </cell>
          <cell r="C218" t="str">
            <v>8ターン毎、右隣スキルターン1短縮</v>
          </cell>
          <cell r="D218" t="str">
            <v>最初の1ターン目と、その後8ターン毎に右隣のユニットのスキルターンを1短縮</v>
          </cell>
        </row>
        <row r="219">
          <cell r="A219">
            <v>1704</v>
          </cell>
          <cell r="B219" t="str">
            <v>ja</v>
          </cell>
          <cell r="C219" t="str">
            <v>ターン経過回復力UP</v>
          </cell>
          <cell r="D219" t="str">
            <v>最初の1ターン目と、その後6ターン毎に1ターン自身と右隣のユニットの回復力を1500UP</v>
          </cell>
        </row>
        <row r="220">
          <cell r="A220">
            <v>1705</v>
          </cell>
          <cell r="B220" t="str">
            <v>ja</v>
          </cell>
          <cell r="C220" t="str">
            <v>3ターン毎、ダメージ軽減</v>
          </cell>
          <cell r="D220" t="str">
            <v>最初の1ターン目と、その後3ターン毎に全ユニットが敵からの攻撃を15%軽減</v>
          </cell>
        </row>
        <row r="221">
          <cell r="A221">
            <v>1800</v>
          </cell>
          <cell r="B221" t="str">
            <v>ja</v>
          </cell>
          <cell r="C221" t="str">
            <v>フィーバー強化</v>
          </cell>
          <cell r="D221" t="str">
            <v>フィーバー時自身の攻撃力、回復力を特大UP</v>
          </cell>
        </row>
        <row r="222">
          <cell r="A222">
            <v>1900</v>
          </cell>
          <cell r="B222" t="str">
            <v>ja</v>
          </cell>
          <cell r="C222" t="str">
            <v>ハート出現率UP</v>
          </cell>
          <cell r="D222" t="str">
            <v>自身が先頭の時、ハートパネルの出現率UP</v>
          </cell>
        </row>
        <row r="223">
          <cell r="A223">
            <v>2000</v>
          </cell>
          <cell r="B223" t="str">
            <v>ja</v>
          </cell>
          <cell r="C223" t="str">
            <v>赤パネル出現率UP</v>
          </cell>
          <cell r="D223" t="str">
            <v>自身が先頭の時、赤パネルの出現率UP</v>
          </cell>
        </row>
        <row r="224">
          <cell r="A224">
            <v>2100</v>
          </cell>
          <cell r="B224" t="str">
            <v>ja</v>
          </cell>
          <cell r="C224" t="str">
            <v>緑パネル出現率UP</v>
          </cell>
          <cell r="D224" t="str">
            <v>自身が先頭の時、緑パネルの出現率UP</v>
          </cell>
        </row>
        <row r="225">
          <cell r="A225">
            <v>2101</v>
          </cell>
          <cell r="B225" t="str">
            <v>ja</v>
          </cell>
          <cell r="C225" t="str">
            <v>緑パネル出現率UP</v>
          </cell>
          <cell r="D225" t="str">
            <v>自身が先頭の時、緑パネルの出現率UP</v>
          </cell>
        </row>
        <row r="226">
          <cell r="A226">
            <v>2200</v>
          </cell>
          <cell r="B226" t="str">
            <v>ja</v>
          </cell>
          <cell r="C226" t="str">
            <v>青パネル出現率UP</v>
          </cell>
          <cell r="D226" t="str">
            <v>自身が先頭の時、青パネルの出現率UP</v>
          </cell>
        </row>
        <row r="227">
          <cell r="A227">
            <v>2201</v>
          </cell>
          <cell r="B227" t="str">
            <v>ja</v>
          </cell>
          <cell r="C227" t="str">
            <v>青パネル出現率UP</v>
          </cell>
          <cell r="D227" t="str">
            <v>自身が先頭の時、青パネルの出現率UP</v>
          </cell>
        </row>
        <row r="228">
          <cell r="A228">
            <v>2300</v>
          </cell>
          <cell r="B228" t="str">
            <v>ja</v>
          </cell>
          <cell r="C228" t="str">
            <v>黄パネル出現率UP</v>
          </cell>
          <cell r="D228" t="str">
            <v>自身が先頭の時、黄パネルの出現率UP</v>
          </cell>
        </row>
        <row r="229">
          <cell r="A229">
            <v>2400</v>
          </cell>
          <cell r="B229" t="str">
            <v>ja</v>
          </cell>
          <cell r="C229" t="str">
            <v>ハートボムパネルドロップ</v>
          </cell>
          <cell r="D229" t="str">
            <v>自身が先頭の時、ハートパネルを確率でハートボムパネルに変換しドロップ</v>
          </cell>
        </row>
        <row r="230">
          <cell r="A230">
            <v>2401</v>
          </cell>
          <cell r="B230" t="str">
            <v>ja</v>
          </cell>
          <cell r="C230" t="str">
            <v>赤ボムパネルドロップ</v>
          </cell>
          <cell r="D230" t="str">
            <v>自身が先頭の時、赤パネルを低確率で赤ボムパネルに変換しドロップ</v>
          </cell>
        </row>
        <row r="231">
          <cell r="A231">
            <v>2402</v>
          </cell>
          <cell r="B231" t="str">
            <v>ja</v>
          </cell>
          <cell r="C231" t="str">
            <v>緑ボムパネルドロップ</v>
          </cell>
          <cell r="D231" t="str">
            <v>自身が先頭の時、緑パネルを低確率で緑ボムパネルに変換しドロップ</v>
          </cell>
        </row>
        <row r="232">
          <cell r="A232">
            <v>2403</v>
          </cell>
          <cell r="B232" t="str">
            <v>ja</v>
          </cell>
          <cell r="C232" t="str">
            <v>青ボムパネルドロップ</v>
          </cell>
          <cell r="D232" t="str">
            <v>自身が先頭の時、青パネルを確率で青ボムパネルに変換しドロップ</v>
          </cell>
        </row>
        <row r="233">
          <cell r="A233">
            <v>2500</v>
          </cell>
          <cell r="B233" t="str">
            <v>ja</v>
          </cell>
          <cell r="C233" t="str">
            <v>青パネルドロップ</v>
          </cell>
          <cell r="D233" t="str">
            <v>自身が先頭の時、緑パネルを確率で青パネルに変換しドロップ</v>
          </cell>
        </row>
        <row r="234">
          <cell r="A234">
            <v>2501</v>
          </cell>
          <cell r="B234" t="str">
            <v>ja</v>
          </cell>
          <cell r="C234" t="str">
            <v>黄パネルドロップ</v>
          </cell>
          <cell r="D234" t="str">
            <v>自身が先頭の時、青パネルを確率で黄パネルに変換しドロップ</v>
          </cell>
        </row>
        <row r="235">
          <cell r="A235">
            <v>2502</v>
          </cell>
          <cell r="B235" t="str">
            <v>ja</v>
          </cell>
          <cell r="C235" t="str">
            <v>赤パネルドロップ</v>
          </cell>
          <cell r="D235" t="str">
            <v>自身が先頭の時、黄パネルを確率で赤パネルに変換しドロップ</v>
          </cell>
        </row>
        <row r="236">
          <cell r="A236">
            <v>2503</v>
          </cell>
          <cell r="B236" t="str">
            <v>ja</v>
          </cell>
          <cell r="C236" t="str">
            <v>黄パネルドロップ</v>
          </cell>
          <cell r="D236" t="str">
            <v>自身が先頭の時、赤パネルを確率で黄パネルに変換しドロップ</v>
          </cell>
        </row>
        <row r="237">
          <cell r="A237">
            <v>2504</v>
          </cell>
          <cell r="B237" t="str">
            <v>ja</v>
          </cell>
          <cell r="C237" t="str">
            <v>SCパネルドロップ</v>
          </cell>
          <cell r="D237" t="str">
            <v>自身が先頭の時、緑パネルを確率でSCパネルに変換しドロップ</v>
          </cell>
        </row>
        <row r="238">
          <cell r="A238">
            <v>2505</v>
          </cell>
          <cell r="B238" t="str">
            <v>ja</v>
          </cell>
          <cell r="C238" t="str">
            <v>緑ボムパネル(大)ドロップ</v>
          </cell>
          <cell r="D238" t="str">
            <v>自身が先頭の時、低確率で緑ボムパネル(大)をドロップ</v>
          </cell>
        </row>
        <row r="239">
          <cell r="A239">
            <v>2506</v>
          </cell>
          <cell r="B239" t="str">
            <v>ja</v>
          </cell>
          <cell r="C239" t="str">
            <v>ハートボムパネル(大)ドロップ</v>
          </cell>
          <cell r="D239" t="str">
            <v>自身が先頭の時、低確率でハートボムパネル(大)をドロップ</v>
          </cell>
        </row>
        <row r="240">
          <cell r="A240">
            <v>2507</v>
          </cell>
          <cell r="B240" t="str">
            <v>ja</v>
          </cell>
          <cell r="C240" t="str">
            <v>Cパネルドロップ</v>
          </cell>
          <cell r="D240" t="str">
            <v>自身が先頭の時、低確率でCパネルをドロップ</v>
          </cell>
        </row>
        <row r="241">
          <cell r="A241">
            <v>2508</v>
          </cell>
          <cell r="B241" t="str">
            <v>ja</v>
          </cell>
          <cell r="C241" t="str">
            <v>黄パネルドロップ</v>
          </cell>
          <cell r="D241" t="str">
            <v>自身が先頭の時、緑パネルを確率で黄パネルに変換しドロップ</v>
          </cell>
        </row>
        <row r="242">
          <cell r="A242">
            <v>2509</v>
          </cell>
          <cell r="B242" t="str">
            <v>ja</v>
          </cell>
          <cell r="C242" t="str">
            <v>赤ボムパネル(大)ドロップ</v>
          </cell>
          <cell r="D242" t="str">
            <v>自身が先頭の時、低確率で赤ボムパネル(大)をドロップ</v>
          </cell>
        </row>
        <row r="243">
          <cell r="A243">
            <v>2510</v>
          </cell>
          <cell r="B243" t="str">
            <v>ja</v>
          </cell>
          <cell r="C243" t="str">
            <v>青ボムパネル(大)ドロップ</v>
          </cell>
          <cell r="D243" t="str">
            <v>自身が先頭の時、低確率で青ボムパネル(大)をドロップ</v>
          </cell>
        </row>
        <row r="244">
          <cell r="A244">
            <v>2511</v>
          </cell>
          <cell r="B244" t="str">
            <v>ja</v>
          </cell>
          <cell r="C244" t="str">
            <v>緑ボムパネルドロップ</v>
          </cell>
          <cell r="D244" t="str">
            <v>自身が先頭の時、ハートパネルを確率で緑ボムパネルに変換しドロップ</v>
          </cell>
        </row>
        <row r="245">
          <cell r="A245">
            <v>2512</v>
          </cell>
          <cell r="B245" t="str">
            <v>ja</v>
          </cell>
          <cell r="C245" t="str">
            <v>ハートボムパネル(大)ドロップ</v>
          </cell>
          <cell r="D245" t="str">
            <v>自身が先頭の時、低確率でハートボムパネル(大)をドロップ</v>
          </cell>
        </row>
        <row r="246">
          <cell r="A246">
            <v>2513</v>
          </cell>
          <cell r="B246" t="str">
            <v>ja</v>
          </cell>
          <cell r="C246" t="str">
            <v>緑ボムパネル(大)ドロップ</v>
          </cell>
          <cell r="D246" t="str">
            <v>自身が先頭の時、低確率で緑ボムパネル(大)をドロップ</v>
          </cell>
        </row>
        <row r="247">
          <cell r="A247">
            <v>2514</v>
          </cell>
          <cell r="B247" t="str">
            <v>ja</v>
          </cell>
          <cell r="C247" t="str">
            <v>赤ボムパネルドロップ</v>
          </cell>
          <cell r="D247" t="str">
            <v>自身が先頭の時、青パネルを低確率で赤ボムパネルに変換しドロップ</v>
          </cell>
        </row>
        <row r="248">
          <cell r="A248">
            <v>2515</v>
          </cell>
          <cell r="B248" t="str">
            <v>ja</v>
          </cell>
          <cell r="C248" t="str">
            <v>テクニカルタイプ Cパネルドロップ</v>
          </cell>
          <cell r="D248" t="str">
            <v>テクニカルが先頭の時、低確率でCパネルをドロップ</v>
          </cell>
        </row>
        <row r="249">
          <cell r="A249">
            <v>2600</v>
          </cell>
          <cell r="B249" t="str">
            <v>ja</v>
          </cell>
          <cell r="C249" t="str">
            <v>回復力400UP</v>
          </cell>
          <cell r="D249" t="str">
            <v>自身の回復力を400UP</v>
          </cell>
        </row>
        <row r="250">
          <cell r="A250">
            <v>2601</v>
          </cell>
          <cell r="B250" t="str">
            <v>ja</v>
          </cell>
          <cell r="C250" t="str">
            <v>回復力300UP</v>
          </cell>
          <cell r="D250" t="str">
            <v>自身の回復力を300UP</v>
          </cell>
        </row>
        <row r="251">
          <cell r="A251">
            <v>2700</v>
          </cell>
          <cell r="B251" t="str">
            <v>ja</v>
          </cell>
          <cell r="C251" t="str">
            <v>攻撃力UP</v>
          </cell>
          <cell r="D251" t="str">
            <v>自身の攻撃力を300UP</v>
          </cell>
        </row>
        <row r="252">
          <cell r="A252">
            <v>2701</v>
          </cell>
          <cell r="B252" t="str">
            <v>ja</v>
          </cell>
          <cell r="C252" t="str">
            <v>攻撃力UP</v>
          </cell>
          <cell r="D252" t="str">
            <v>自身の攻撃力を500UP</v>
          </cell>
        </row>
        <row r="253">
          <cell r="A253">
            <v>2800</v>
          </cell>
          <cell r="B253" t="str">
            <v>ja</v>
          </cell>
          <cell r="C253" t="str">
            <v>防御力UP</v>
          </cell>
          <cell r="D253" t="str">
            <v>自身の防御力を250UP</v>
          </cell>
        </row>
        <row r="254">
          <cell r="A254">
            <v>2801</v>
          </cell>
          <cell r="B254" t="str">
            <v>ja</v>
          </cell>
          <cell r="C254" t="str">
            <v>防御力UP</v>
          </cell>
          <cell r="D254" t="str">
            <v>自身の防御力を350UP</v>
          </cell>
        </row>
        <row r="255">
          <cell r="A255">
            <v>2802</v>
          </cell>
          <cell r="B255" t="str">
            <v>ja</v>
          </cell>
          <cell r="C255" t="str">
            <v>防御力UP</v>
          </cell>
          <cell r="D255" t="str">
            <v>自身の防御力を300UP</v>
          </cell>
        </row>
        <row r="256">
          <cell r="A256">
            <v>2803</v>
          </cell>
          <cell r="B256" t="str">
            <v>ja</v>
          </cell>
          <cell r="C256" t="str">
            <v>防御力UP</v>
          </cell>
          <cell r="D256" t="str">
            <v>自身の防御力を400UP</v>
          </cell>
        </row>
        <row r="257">
          <cell r="A257">
            <v>2804</v>
          </cell>
          <cell r="B257" t="str">
            <v>ja</v>
          </cell>
          <cell r="C257" t="str">
            <v>防御力UP</v>
          </cell>
          <cell r="D257" t="str">
            <v>自身の防御力を280UP</v>
          </cell>
        </row>
        <row r="258">
          <cell r="A258">
            <v>2805</v>
          </cell>
          <cell r="B258" t="str">
            <v>ja</v>
          </cell>
          <cell r="C258" t="str">
            <v>3ターン毎、防御力UP</v>
          </cell>
          <cell r="D258" t="str">
            <v>最初の1ターン目と、その後3ターン毎に1ターン緑属性ユニットの防御力を500UP</v>
          </cell>
        </row>
        <row r="259">
          <cell r="A259">
            <v>2900</v>
          </cell>
          <cell r="B259" t="str">
            <v>ja</v>
          </cell>
          <cell r="C259" t="str">
            <v>フィーバー50 攻撃力小UP</v>
          </cell>
          <cell r="D259" t="str">
            <v>フィーバーゲージが50％以上の時、自身の攻撃力小UP</v>
          </cell>
        </row>
        <row r="260">
          <cell r="A260">
            <v>2901</v>
          </cell>
          <cell r="B260" t="str">
            <v>ja</v>
          </cell>
          <cell r="C260" t="str">
            <v>フィーバー40 攻撃力UP</v>
          </cell>
          <cell r="D260" t="str">
            <v>フィーバーゲージが40％以上の時、自身の攻撃力UP</v>
          </cell>
        </row>
        <row r="261">
          <cell r="A261">
            <v>2902</v>
          </cell>
          <cell r="B261" t="str">
            <v>ja</v>
          </cell>
          <cell r="C261" t="str">
            <v>フィーバー80 攻撃力大UP</v>
          </cell>
          <cell r="D261" t="str">
            <v>フィーバーゲージが80％以上の時、自身の攻撃力大UP</v>
          </cell>
        </row>
        <row r="262">
          <cell r="A262">
            <v>2903</v>
          </cell>
          <cell r="B262" t="str">
            <v>ja</v>
          </cell>
          <cell r="C262" t="str">
            <v>フィーバー100 攻撃参加</v>
          </cell>
          <cell r="D262" t="str">
            <v>フィーバーゲージが100％の時、自身が先頭以外でも通常攻撃に参加する</v>
          </cell>
        </row>
        <row r="263">
          <cell r="A263">
            <v>2904</v>
          </cell>
          <cell r="B263" t="str">
            <v>ja</v>
          </cell>
          <cell r="C263" t="str">
            <v>フィーバー70 HP回復</v>
          </cell>
          <cell r="D263" t="str">
            <v>フィーバーゲージが70%以上の時、毎ターン終了時、HPを1500回復する</v>
          </cell>
        </row>
        <row r="264">
          <cell r="A264">
            <v>2905</v>
          </cell>
          <cell r="B264" t="str">
            <v>ja</v>
          </cell>
          <cell r="C264" t="str">
            <v>フィーバー100 Cパネル生成短縮</v>
          </cell>
          <cell r="D264" t="str">
            <v>フィーバーゲージが100％以上の時、全ユニットのCパネル生成に必要なチェイン数を1短縮する</v>
          </cell>
        </row>
        <row r="265">
          <cell r="A265">
            <v>2906</v>
          </cell>
          <cell r="B265" t="str">
            <v>ja</v>
          </cell>
          <cell r="C265" t="str">
            <v>フィーバー100 HP1000回復</v>
          </cell>
          <cell r="D265" t="str">
            <v>フィーバーゲージが100%以上の時、毎ターン終了時、HPを1000回復する</v>
          </cell>
        </row>
        <row r="266">
          <cell r="A266">
            <v>2907</v>
          </cell>
          <cell r="B266" t="str">
            <v>ja</v>
          </cell>
          <cell r="C266" t="str">
            <v>フィーバー100 タップ回数UP</v>
          </cell>
          <cell r="D266" t="str">
            <v>フィーバーゲージが100％以上の時、自身のタップ回数を1増加</v>
          </cell>
        </row>
        <row r="267">
          <cell r="A267">
            <v>3000</v>
          </cell>
          <cell r="B267" t="str">
            <v>ja</v>
          </cell>
          <cell r="C267" t="str">
            <v>7ターン毎、攻撃参加</v>
          </cell>
          <cell r="D267" t="str">
            <v>最初の1ターン目と、その後7ターン毎に自身が先頭以外でも通常攻撃に参加する</v>
          </cell>
        </row>
        <row r="268">
          <cell r="A268">
            <v>3001</v>
          </cell>
          <cell r="B268" t="str">
            <v>ja</v>
          </cell>
          <cell r="C268" t="str">
            <v>6ターン毎、攻撃参加</v>
          </cell>
          <cell r="D268" t="str">
            <v>最初の1ターン目と、その後6ターン毎に自身が先頭以外でも通常攻撃に参加する</v>
          </cell>
        </row>
        <row r="269">
          <cell r="A269">
            <v>3002</v>
          </cell>
          <cell r="B269" t="str">
            <v>ja</v>
          </cell>
          <cell r="C269" t="str">
            <v>9ターン毎、攻撃参加</v>
          </cell>
          <cell r="D269" t="str">
            <v>最初の1ターン目と、その後9ターン毎に自身が先頭以外でも通常攻撃に参加する</v>
          </cell>
        </row>
        <row r="270">
          <cell r="A270">
            <v>3100</v>
          </cell>
          <cell r="B270" t="str">
            <v>ja</v>
          </cell>
          <cell r="C270" t="str">
            <v>最終フロア Cパネル生成短縮(特大)</v>
          </cell>
          <cell r="D270" t="str">
            <v>最終フロア内で自身が先頭の時、Cパネル生成に必要なチェイン数を4短縮する</v>
          </cell>
        </row>
        <row r="271">
          <cell r="A271">
            <v>3101</v>
          </cell>
          <cell r="B271" t="str">
            <v>ja</v>
          </cell>
          <cell r="C271" t="str">
            <v>最終フロア バリア3000</v>
          </cell>
          <cell r="D271" t="str">
            <v>最終フロア到達時に自身への直接ダメージを3000まで防ぐバリアを一度だけ展開(バリアは破壊されると復活しない)</v>
          </cell>
        </row>
        <row r="272">
          <cell r="A272">
            <v>3102</v>
          </cell>
          <cell r="B272" t="str">
            <v>ja</v>
          </cell>
          <cell r="C272" t="str">
            <v>最終フロア時 Cスキル威力UP</v>
          </cell>
          <cell r="D272" t="str">
            <v>最終フロアの1ターン目終了時に自身のCスキルの威力をUP</v>
          </cell>
        </row>
        <row r="273">
          <cell r="A273">
            <v>3103</v>
          </cell>
          <cell r="B273" t="str">
            <v>ja</v>
          </cell>
          <cell r="C273" t="str">
            <v>最終フロア 攻撃力UP</v>
          </cell>
          <cell r="D273" t="str">
            <v>最終フロア内で自身の攻撃力を700UP</v>
          </cell>
        </row>
        <row r="274">
          <cell r="A274">
            <v>3104</v>
          </cell>
          <cell r="B274" t="str">
            <v>ja</v>
          </cell>
          <cell r="C274" t="str">
            <v>最終フロア時 バリア5000</v>
          </cell>
          <cell r="D274" t="str">
            <v>最終フロア到達時に自身への直接ダメージを5000まで防ぐバリアを一度だけ展開(バリアは破壊されると復活しない)</v>
          </cell>
        </row>
        <row r="275">
          <cell r="A275">
            <v>3105</v>
          </cell>
          <cell r="B275" t="str">
            <v>ja</v>
          </cell>
          <cell r="C275" t="str">
            <v>最終フロア時 バリア7000</v>
          </cell>
          <cell r="D275" t="str">
            <v>最終フロア到達時に自身への直接ダメージを7000まで防ぐバリアを一度だけ展開(バリアは破壊されると復活しない)</v>
          </cell>
        </row>
        <row r="276">
          <cell r="A276">
            <v>3106</v>
          </cell>
          <cell r="B276" t="str">
            <v>ja</v>
          </cell>
          <cell r="C276" t="str">
            <v>最終フロア HP回復</v>
          </cell>
          <cell r="D276" t="str">
            <v>最終フロアの毎ターン終了時、パーティの合計HPの5%を回復</v>
          </cell>
        </row>
        <row r="277">
          <cell r="A277">
            <v>3107</v>
          </cell>
          <cell r="B277" t="str">
            <v>ja</v>
          </cell>
          <cell r="C277" t="str">
            <v>各フロア タップ回数UP</v>
          </cell>
          <cell r="D277" t="str">
            <v>各フロアの開始時、1ターン全ユニットのタップ回数1増加</v>
          </cell>
        </row>
        <row r="278">
          <cell r="A278">
            <v>3108</v>
          </cell>
          <cell r="B278" t="str">
            <v>ja</v>
          </cell>
          <cell r="C278" t="str">
            <v>最終フロア時 バリア10000</v>
          </cell>
          <cell r="D278" t="str">
            <v>最終フロア到達時に自身への直接ダメージを10000まで防ぐバリアを一度だけ展開(バリアは破壊されると復活しない)</v>
          </cell>
        </row>
        <row r="279">
          <cell r="A279">
            <v>3109</v>
          </cell>
          <cell r="B279" t="str">
            <v>ja</v>
          </cell>
          <cell r="C279" t="str">
            <v>最終フロア 赤ボムパネルドロップ</v>
          </cell>
          <cell r="D279" t="str">
            <v>最終フロア内で青パネルを低確率で赤ボムパネルに変換しドロップ</v>
          </cell>
        </row>
        <row r="280">
          <cell r="A280">
            <v>3200</v>
          </cell>
          <cell r="B280" t="str">
            <v>ja</v>
          </cell>
          <cell r="C280" t="str">
            <v>HP33%以下 攻撃力UP</v>
          </cell>
          <cell r="D280" t="str">
            <v>自身が先頭の時、残りHPが33%以下で攻撃力特大UP</v>
          </cell>
        </row>
        <row r="281">
          <cell r="A281">
            <v>3201</v>
          </cell>
          <cell r="B281" t="str">
            <v>ja</v>
          </cell>
          <cell r="C281" t="str">
            <v>HP35%以下 回復力UP</v>
          </cell>
          <cell r="D281" t="str">
            <v>自身が先頭の時、残りHPが35%以下で回復力40%UP</v>
          </cell>
        </row>
        <row r="282">
          <cell r="A282">
            <v>3202</v>
          </cell>
          <cell r="B282" t="str">
            <v>ja</v>
          </cell>
          <cell r="C282" t="str">
            <v>HP90%以上 全属性耐性15</v>
          </cell>
          <cell r="D282" t="str">
            <v>自身が先頭の時、残りHPが90%以上で全ユニットに対する全属性の敵からの攻撃を15％軽減</v>
          </cell>
        </row>
        <row r="283">
          <cell r="A283">
            <v>3203</v>
          </cell>
          <cell r="B283" t="str">
            <v>ja</v>
          </cell>
          <cell r="C283" t="str">
            <v>HP50%以下 防御力UP</v>
          </cell>
          <cell r="D283" t="str">
            <v>自身が先頭の時、残りHPが50%以下で防御力398UP</v>
          </cell>
        </row>
        <row r="284">
          <cell r="A284">
            <v>3204</v>
          </cell>
          <cell r="B284" t="str">
            <v>ja</v>
          </cell>
          <cell r="C284" t="str">
            <v>HP30%以下 攻撃力大UP</v>
          </cell>
          <cell r="D284" t="str">
            <v>自身が先頭の時、残りHPが30%以下で攻撃力大UP</v>
          </cell>
        </row>
        <row r="285">
          <cell r="A285">
            <v>3205</v>
          </cell>
          <cell r="B285" t="str">
            <v>ja</v>
          </cell>
          <cell r="C285" t="str">
            <v>HP90%以上 ダメージ軽減</v>
          </cell>
          <cell r="D285" t="str">
            <v>残りHPが90%以上の時、全ユニットが敵からの攻撃を15％軽減</v>
          </cell>
        </row>
        <row r="286">
          <cell r="A286">
            <v>3206</v>
          </cell>
          <cell r="B286" t="str">
            <v>ja</v>
          </cell>
          <cell r="C286" t="str">
            <v>HP30%以下 回復力UP</v>
          </cell>
          <cell r="D286" t="str">
            <v>残りHPが30%以下の時、全ユニットの回復力20%UP</v>
          </cell>
        </row>
        <row r="287">
          <cell r="A287">
            <v>3207</v>
          </cell>
          <cell r="B287" t="str">
            <v>ja</v>
          </cell>
          <cell r="C287" t="str">
            <v>HP50%以下 回復力UP</v>
          </cell>
          <cell r="D287" t="str">
            <v>残りHPが50%以下の時、全ユニットの回復力365UP</v>
          </cell>
        </row>
        <row r="288">
          <cell r="A288">
            <v>3208</v>
          </cell>
          <cell r="B288" t="str">
            <v>ja</v>
          </cell>
          <cell r="C288" t="str">
            <v>HP35%以下 防御力UP</v>
          </cell>
          <cell r="D288" t="str">
            <v>残りHPが35%以下の時、自身の防御力800UP</v>
          </cell>
        </row>
        <row r="289">
          <cell r="A289">
            <v>3209</v>
          </cell>
          <cell r="B289" t="str">
            <v>ja</v>
          </cell>
          <cell r="C289" t="str">
            <v>HP80%以下 攻撃力大UP</v>
          </cell>
          <cell r="D289" t="str">
            <v>残りHPが80%以下の時、自身の攻撃力大UP</v>
          </cell>
        </row>
        <row r="290">
          <cell r="A290">
            <v>3210</v>
          </cell>
          <cell r="B290" t="str">
            <v>ja</v>
          </cell>
          <cell r="C290" t="str">
            <v>HP75%以下 Cパネル生成短縮</v>
          </cell>
          <cell r="D290" t="str">
            <v>残りHPが75%以下の時、自身の攻撃力大UP</v>
          </cell>
        </row>
        <row r="291">
          <cell r="A291">
            <v>4000</v>
          </cell>
          <cell r="B291" t="str">
            <v>ja</v>
          </cell>
          <cell r="C291" t="str">
            <v>被ダメージ時 HP回復</v>
          </cell>
          <cell r="D291" t="str">
            <v>自身が攻撃を受けた場合、次のターンの開始時にHP500回復する</v>
          </cell>
        </row>
        <row r="292">
          <cell r="A292">
            <v>5000</v>
          </cell>
          <cell r="B292" t="str">
            <v>ja</v>
          </cell>
          <cell r="C292" t="str">
            <v>パーティー内ゴッド 攻撃力UP</v>
          </cell>
          <cell r="D292" t="str">
            <v>パーティー内に種族ゴッドがいる時、全ユニットの攻撃力を500UP</v>
          </cell>
        </row>
        <row r="293">
          <cell r="A293">
            <v>5001</v>
          </cell>
          <cell r="B293" t="str">
            <v>ja</v>
          </cell>
          <cell r="C293" t="str">
            <v>パーティー内バランス 回復力UP</v>
          </cell>
          <cell r="D293" t="str">
            <v>パーティー内にバランスタイプがいる時、全ユニットの回復力を500UP</v>
          </cell>
        </row>
        <row r="294">
          <cell r="A294">
            <v>5002</v>
          </cell>
          <cell r="B294" t="str">
            <v>ja</v>
          </cell>
          <cell r="C294" t="str">
            <v>パーティー内青属性 攻撃力UP</v>
          </cell>
          <cell r="D294" t="str">
            <v>パーティー内に青属性ユニットがいる時、全ユニットの攻撃力を700UP</v>
          </cell>
        </row>
        <row r="295">
          <cell r="A295">
            <v>5003</v>
          </cell>
          <cell r="B295" t="str">
            <v>ja</v>
          </cell>
          <cell r="C295" t="str">
            <v>パーティー内赤属性 自身攻撃力UP</v>
          </cell>
          <cell r="D295" t="str">
            <v>パーティー内に赤属性ユニットがいる時、自身の攻撃力を1500UP</v>
          </cell>
        </row>
        <row r="296">
          <cell r="A296">
            <v>8000</v>
          </cell>
          <cell r="B296" t="str">
            <v>ja</v>
          </cell>
          <cell r="C296" t="str">
            <v>ユニットが一番右にいるとき 攻撃力UP</v>
          </cell>
          <cell r="D296" t="str">
            <v>自身が一番右にいる場合、全ユニットの攻撃力UP</v>
          </cell>
        </row>
        <row r="297">
          <cell r="A297">
            <v>8001</v>
          </cell>
          <cell r="B297" t="str">
            <v>ja</v>
          </cell>
          <cell r="C297" t="str">
            <v>敵に青属性がいる場合 小カウンター</v>
          </cell>
          <cell r="D297" t="str">
            <v>敵に青属性がいる場合、小カウンター</v>
          </cell>
        </row>
        <row r="298">
          <cell r="A298">
            <v>8002</v>
          </cell>
          <cell r="B298" t="str">
            <v>ja</v>
          </cell>
          <cell r="C298" t="str">
            <v>テスト</v>
          </cell>
          <cell r="D298" t="str">
            <v>フロアスタート時、1ターン全ユニットの攻撃力UP</v>
          </cell>
        </row>
        <row r="299">
          <cell r="A299">
            <v>8003</v>
          </cell>
          <cell r="B299" t="str">
            <v>ja</v>
          </cell>
          <cell r="C299" t="str">
            <v>HP70%以上 ウィルス無効</v>
          </cell>
          <cell r="D299" t="str">
            <v>残りHPが70%以上で自身にかかるウィルスを無効化する</v>
          </cell>
        </row>
        <row r="300">
          <cell r="A300">
            <v>8004</v>
          </cell>
          <cell r="B300" t="str">
            <v>ja</v>
          </cell>
          <cell r="C300" t="str">
            <v>フロアスタート時 スキルブースト</v>
          </cell>
          <cell r="D300" t="str">
            <v>フロアスタート時、1ターンスキルブースト</v>
          </cell>
        </row>
        <row r="301">
          <cell r="A301">
            <v>8005</v>
          </cell>
          <cell r="B301" t="str">
            <v>ja</v>
          </cell>
          <cell r="C301" t="str">
            <v>ハートがハートボム大</v>
          </cell>
          <cell r="D301" t="str">
            <v>ハートがハートボム大</v>
          </cell>
        </row>
        <row r="302">
          <cell r="A302">
            <v>8006</v>
          </cell>
          <cell r="B302" t="str">
            <v>ja</v>
          </cell>
          <cell r="C302" t="str">
            <v>攻撃、回復、体力のCP短縮1</v>
          </cell>
          <cell r="D302" t="str">
            <v>攻撃、回復、体力のCP短縮1</v>
          </cell>
        </row>
        <row r="303">
          <cell r="A303">
            <v>8007</v>
          </cell>
          <cell r="B303" t="str">
            <v>ja</v>
          </cell>
          <cell r="C303" t="str">
            <v>自身の左ユニットが攻撃参加</v>
          </cell>
          <cell r="D303" t="str">
            <v>自身の左ユニットが攻撃参加</v>
          </cell>
        </row>
        <row r="304">
          <cell r="A304">
            <v>8008</v>
          </cell>
          <cell r="B304" t="str">
            <v>ja</v>
          </cell>
          <cell r="C304" t="str">
            <v>ターン経過回復力UP</v>
          </cell>
          <cell r="D304" t="str">
            <v>最初の1ターン目と、その後4ターン毎に2ターン全ユニットの回復力を1500UP</v>
          </cell>
        </row>
        <row r="305">
          <cell r="A305">
            <v>8009</v>
          </cell>
          <cell r="B305" t="str">
            <v>ja</v>
          </cell>
          <cell r="C305" t="str">
            <v>最終フロア Cパネル生成短縮(特大)</v>
          </cell>
          <cell r="D305" t="str">
            <v>最終フロア内で自身が先頭の時、Cパネル生成に必要なチェイン数を4短縮する</v>
          </cell>
        </row>
        <row r="306">
          <cell r="A306">
            <v>8010</v>
          </cell>
          <cell r="B306" t="str">
            <v>ja</v>
          </cell>
          <cell r="C306" t="str">
            <v>対Unknown&amp;青属性 ダメージUP</v>
          </cell>
          <cell r="D306" t="str">
            <v>自身の攻撃対象が種族Unknownで、青属性の場合全ての攻撃の威力をUP</v>
          </cell>
        </row>
        <row r="307">
          <cell r="A307">
            <v>8011</v>
          </cell>
          <cell r="B307" t="str">
            <v>ja</v>
          </cell>
          <cell r="C307" t="str">
            <v>対青属性 スリープ付与</v>
          </cell>
          <cell r="D307" t="str">
            <v>青属性を攻撃するとき、確率で1ターンスリープ付与</v>
          </cell>
        </row>
        <row r="308">
          <cell r="A308">
            <v>8012</v>
          </cell>
          <cell r="B308" t="str">
            <v>ja</v>
          </cell>
          <cell r="C308" t="str">
            <v>第1フロア スキルターン短縮</v>
          </cell>
          <cell r="D308" t="str">
            <v>第1フロアの1ターン目終了時にスキルターンを7ターン短縮</v>
          </cell>
        </row>
        <row r="309">
          <cell r="A309">
            <v>9000</v>
          </cell>
          <cell r="B309" t="str">
            <v>ja</v>
          </cell>
          <cell r="C309" t="str">
            <v>ハップルチャレンジ ダメージUP</v>
          </cell>
          <cell r="D309" t="str">
            <v>ハップルチャレンジ内で自身の全ての攻撃の威力をUP</v>
          </cell>
        </row>
        <row r="310">
          <cell r="A310">
            <v>9001</v>
          </cell>
          <cell r="B310" t="str">
            <v>ja</v>
          </cell>
          <cell r="C310" t="str">
            <v>クロネッカーチャレンジ ダメージUP</v>
          </cell>
          <cell r="D310" t="str">
            <v>クロネッカーチャレンジ内で自身の全ての攻撃の威力をUP</v>
          </cell>
        </row>
        <row r="311">
          <cell r="A311">
            <v>9002</v>
          </cell>
          <cell r="B311" t="str">
            <v>ja</v>
          </cell>
          <cell r="C311" t="str">
            <v>クロネッカーチャレンジ ダメージUP</v>
          </cell>
          <cell r="D311" t="str">
            <v>クロネッカーチャレンジ内で自身の全ての攻撃+カウンターの威力をUP</v>
          </cell>
        </row>
        <row r="312">
          <cell r="A312">
            <v>9003</v>
          </cell>
          <cell r="B312" t="str">
            <v>ja</v>
          </cell>
          <cell r="C312" t="str">
            <v>オイラーチャレンジ ダメージUP</v>
          </cell>
          <cell r="D312" t="str">
            <v>オイラーチャレンジ内で自身の全ての攻撃の威力をUP</v>
          </cell>
        </row>
        <row r="313">
          <cell r="A313">
            <v>9004</v>
          </cell>
          <cell r="B313" t="str">
            <v>ja</v>
          </cell>
          <cell r="C313" t="str">
            <v>オイラーチャレンジ ダメージ究極UP</v>
          </cell>
          <cell r="D313" t="str">
            <v>オイラーチャレンジ内で自身の全ての攻撃の威力を究極UP</v>
          </cell>
        </row>
        <row r="314">
          <cell r="A314">
            <v>9005</v>
          </cell>
          <cell r="B314" t="str">
            <v>ja</v>
          </cell>
          <cell r="C314" t="str">
            <v>ヘンペルチャレンジ ダメージUP</v>
          </cell>
          <cell r="D314" t="str">
            <v>ヘンペルチャレンジ内で自身の全ての攻撃の威力をUP</v>
          </cell>
        </row>
        <row r="315">
          <cell r="A315">
            <v>9006</v>
          </cell>
          <cell r="B315" t="str">
            <v>ja</v>
          </cell>
          <cell r="C315" t="str">
            <v>ヘンペルチャレンジ ダメージUP</v>
          </cell>
          <cell r="D315" t="str">
            <v>ヘンペルチャレンジ内で自身の全ての攻撃+カウンターの威力をUP</v>
          </cell>
        </row>
        <row r="316">
          <cell r="A316">
            <v>9007</v>
          </cell>
          <cell r="B316" t="str">
            <v>ja</v>
          </cell>
          <cell r="C316" t="str">
            <v>フロイトチャレンジ ダメージ究極UP</v>
          </cell>
          <cell r="D316" t="str">
            <v>フロイトチャレンジ内で自身の全ての攻撃の威力を究極UP</v>
          </cell>
        </row>
        <row r="317">
          <cell r="A317">
            <v>9008</v>
          </cell>
          <cell r="B317" t="str">
            <v>ja</v>
          </cell>
          <cell r="C317" t="str">
            <v>フロイトチャレンジ ダメージUP</v>
          </cell>
          <cell r="D317" t="str">
            <v>フロイトチャレンジ内で自身の全ての攻撃の威力をUP</v>
          </cell>
        </row>
        <row r="318">
          <cell r="A318">
            <v>9009</v>
          </cell>
          <cell r="B318" t="str">
            <v>ja</v>
          </cell>
          <cell r="C318" t="str">
            <v>フロイトチャレンジ ダメージUP</v>
          </cell>
          <cell r="D318" t="str">
            <v>フロイトチャレンジ内で自身の全ての攻撃+カウンターの威力をUP</v>
          </cell>
        </row>
        <row r="319">
          <cell r="A319">
            <v>9010</v>
          </cell>
          <cell r="B319" t="str">
            <v>ja</v>
          </cell>
          <cell r="C319" t="str">
            <v>ブライドクエスト ダメージUP</v>
          </cell>
          <cell r="D319" t="str">
            <v>ブライドクエスト内で自身の全ての攻撃の威力をUP</v>
          </cell>
        </row>
        <row r="320">
          <cell r="A320">
            <v>9011</v>
          </cell>
          <cell r="B320" t="str">
            <v>ja</v>
          </cell>
          <cell r="C320" t="str">
            <v>クリスマスクエストダメージ究極UP</v>
          </cell>
          <cell r="D320" t="str">
            <v>クリスマスクエスト内で自身の全ての攻撃の威力を究極UP</v>
          </cell>
        </row>
        <row r="321">
          <cell r="A321">
            <v>9012</v>
          </cell>
          <cell r="B321" t="str">
            <v>ja</v>
          </cell>
          <cell r="C321" t="str">
            <v>ブライドクエスト ダメージ大UP</v>
          </cell>
          <cell r="D321" t="str">
            <v>ブライドクエスト内で自身の全ての攻撃の威力を大UP</v>
          </cell>
        </row>
        <row r="322">
          <cell r="A322">
            <v>9013</v>
          </cell>
          <cell r="B322" t="str">
            <v>ja</v>
          </cell>
          <cell r="C322" t="str">
            <v>ラグランジュチャレンジ ダメージUP</v>
          </cell>
          <cell r="D322" t="str">
            <v>ラグランジュチャレンジ内で自身の全ての攻撃の威力をUP</v>
          </cell>
        </row>
        <row r="323">
          <cell r="A323">
            <v>9014</v>
          </cell>
          <cell r="B323" t="str">
            <v>ja</v>
          </cell>
          <cell r="C323" t="str">
            <v>ラグランジュチャレンジ ダメージUP</v>
          </cell>
          <cell r="D323" t="str">
            <v>ラグランジュチャレンジ内で自身の全ての攻撃の威力を究極UP</v>
          </cell>
        </row>
        <row r="324">
          <cell r="A324">
            <v>9015</v>
          </cell>
          <cell r="B324" t="str">
            <v>ja</v>
          </cell>
          <cell r="C324" t="str">
            <v>ラグランジュチャレンジ ダメージUP</v>
          </cell>
          <cell r="D324" t="str">
            <v>ラグランジュチャレンジ内で自身の全ての攻撃+カウンターの威力をUP</v>
          </cell>
        </row>
        <row r="325">
          <cell r="A325">
            <v>119402</v>
          </cell>
          <cell r="B325" t="str">
            <v>ja</v>
          </cell>
          <cell r="C325" t="str">
            <v>ハロウィンナイトパニック！ 威力UP</v>
          </cell>
          <cell r="D325" t="str">
            <v>ハロウィンナイトパニック！内で自身の全ての攻撃の威力を究極UP</v>
          </cell>
        </row>
        <row r="326">
          <cell r="A326">
            <v>500801</v>
          </cell>
          <cell r="B326" t="str">
            <v>ja</v>
          </cell>
          <cell r="C326" t="str">
            <v>パネルブレイク35 攻撃力小UP</v>
          </cell>
          <cell r="D326" t="str">
            <v>自身が先頭の時、1ターンの間に合計35個以上パネルを破壊した場合に攻撃力小UP</v>
          </cell>
        </row>
        <row r="327">
          <cell r="A327">
            <v>808082</v>
          </cell>
          <cell r="B327" t="str">
            <v>ja</v>
          </cell>
          <cell r="C327" t="str">
            <v>Cパネルドロップ</v>
          </cell>
          <cell r="D327" t="str">
            <v>自身が先頭の時、低確率でCパネルをドロップ</v>
          </cell>
        </row>
        <row r="328">
          <cell r="A328">
            <v>900000</v>
          </cell>
          <cell r="B328" t="str">
            <v>ja</v>
          </cell>
          <cell r="C328" t="str">
            <v>フィーバー100 プロテクトブレイク</v>
          </cell>
          <cell r="D328" t="str">
            <v>フィーバーゲージが100％以上の時、1ターンプロテクトブレイク</v>
          </cell>
        </row>
        <row r="329">
          <cell r="A329">
            <v>900001</v>
          </cell>
          <cell r="B329" t="str">
            <v>ja</v>
          </cell>
          <cell r="C329" t="str">
            <v>フィーバー100 お邪魔ブレイク</v>
          </cell>
          <cell r="D329" t="str">
            <v>フィーバーゲージが100％以上の時、1ターンお邪魔ブレイク</v>
          </cell>
        </row>
        <row r="330">
          <cell r="A330">
            <v>900402</v>
          </cell>
          <cell r="B330" t="str">
            <v>ja</v>
          </cell>
          <cell r="C330" t="str">
            <v>バリア3500</v>
          </cell>
          <cell r="D330" t="str">
            <v>戦闘開始時に、自身への直接ダメージを3500まで防ぐバリアを一度だけ展開(バリアは破壊されると復活しない)</v>
          </cell>
        </row>
        <row r="331">
          <cell r="A331">
            <v>810202</v>
          </cell>
          <cell r="B331" t="str">
            <v>ja</v>
          </cell>
          <cell r="C331" t="str">
            <v>パネルブレイク50 ダメージ軽減</v>
          </cell>
          <cell r="D331" t="str">
            <v>自身が先頭の時、1ターンの間に合計50個以上パネルを破壊した場合敵からのダメージを15%軽減（1ターンに1度だけ発動）</v>
          </cell>
        </row>
        <row r="332">
          <cell r="A332">
            <v>811802</v>
          </cell>
          <cell r="B332" t="str">
            <v>ja</v>
          </cell>
          <cell r="C332" t="str">
            <v>ターン攻撃力UP</v>
          </cell>
          <cell r="D332" t="str">
            <v>最初の1ターン目と、その後6ターン毎に1ターン種族ドラゴン・ファンタジー・アニマルの攻撃力1000UP</v>
          </cell>
        </row>
        <row r="333">
          <cell r="A333">
            <v>812002</v>
          </cell>
          <cell r="B333" t="str">
            <v>ja</v>
          </cell>
          <cell r="C333" t="str">
            <v>ターンタップ増加</v>
          </cell>
          <cell r="D333" t="str">
            <v>最初の1ターン目と、その後6ターン毎に1ターン種族ドラゴン・ファンタジー・アニマルのタップ数1増加</v>
          </cell>
        </row>
        <row r="334">
          <cell r="A334">
            <v>811803</v>
          </cell>
          <cell r="B334" t="str">
            <v>ja</v>
          </cell>
          <cell r="C334" t="str">
            <v>端午クエスト ダメージUP</v>
          </cell>
          <cell r="D334" t="str">
            <v>端午クエスト内で自身の全ての攻撃の威力をUP</v>
          </cell>
        </row>
        <row r="335">
          <cell r="A335">
            <v>900802</v>
          </cell>
          <cell r="B335" t="str">
            <v>ja</v>
          </cell>
          <cell r="C335" t="str">
            <v>ターン攻撃力UP</v>
          </cell>
          <cell r="D335"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3" sqref="B13"/>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358</v>
      </c>
      <c r="B2" s="105" t="s">
        <v>129</v>
      </c>
      <c r="C2" s="162" t="s">
        <v>346</v>
      </c>
      <c r="D2" s="105" t="s">
        <v>128</v>
      </c>
      <c r="E2" s="104" t="str">
        <f>B2&amp;C2&amp;D2</f>
        <v>units_KOF2017.tmp</v>
      </c>
      <c r="F2" s="105" t="s">
        <v>124</v>
      </c>
      <c r="G2" s="59" t="s">
        <v>17</v>
      </c>
      <c r="H2" s="60" t="s">
        <v>96</v>
      </c>
      <c r="I2" s="60" t="s">
        <v>1</v>
      </c>
      <c r="J2" s="60" t="s">
        <v>3</v>
      </c>
      <c r="K2" s="60" t="s">
        <v>2</v>
      </c>
      <c r="L2" s="60" t="s">
        <v>98</v>
      </c>
      <c r="M2" s="60" t="s">
        <v>20</v>
      </c>
      <c r="N2" s="60" t="s">
        <v>103</v>
      </c>
      <c r="O2" s="60" t="s">
        <v>101</v>
      </c>
      <c r="P2" s="60" t="s">
        <v>39</v>
      </c>
      <c r="Q2" s="60" t="s">
        <v>57</v>
      </c>
      <c r="R2" s="60" t="s">
        <v>322</v>
      </c>
      <c r="S2" s="105"/>
      <c r="T2" s="105"/>
      <c r="U2" s="105"/>
      <c r="V2" s="105"/>
      <c r="W2" s="105"/>
    </row>
    <row r="3" spans="1:29" x14ac:dyDescent="0.15">
      <c r="A3" s="105" t="s">
        <v>358</v>
      </c>
      <c r="B3" s="105" t="s">
        <v>293</v>
      </c>
      <c r="C3" s="162" t="s">
        <v>346</v>
      </c>
      <c r="D3" s="105" t="s">
        <v>128</v>
      </c>
      <c r="E3" s="104" t="str">
        <f>B3&amp;C3&amp;D3</f>
        <v>fork_awake_units_KOF2017.tmp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358</v>
      </c>
      <c r="B4" s="105" t="s">
        <v>130</v>
      </c>
      <c r="C4" s="162" t="s">
        <v>345</v>
      </c>
      <c r="D4" s="105" t="s">
        <v>128</v>
      </c>
      <c r="E4" s="104" t="str">
        <f>B4&amp;C4&amp;D4</f>
        <v>awake_materials_KOF2017.tmp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358</v>
      </c>
      <c r="B5" s="105" t="s">
        <v>292</v>
      </c>
      <c r="C5" s="162" t="s">
        <v>345</v>
      </c>
      <c r="D5" s="105" t="s">
        <v>128</v>
      </c>
      <c r="E5" s="104" t="str">
        <f>B5&amp;C5&amp;D5</f>
        <v>fork_awake_materials_KOF2017.tmp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358</v>
      </c>
      <c r="B6" s="105" t="s">
        <v>131</v>
      </c>
      <c r="C6" s="162" t="s">
        <v>345</v>
      </c>
      <c r="D6" s="105" t="s">
        <v>132</v>
      </c>
      <c r="E6" s="104" t="str">
        <f t="shared" ref="E6" si="0">B6&amp;C6&amp;D6</f>
        <v>unit_levels_calc_KOF2017.tmp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358</v>
      </c>
      <c r="B7" s="105" t="s">
        <v>143</v>
      </c>
      <c r="C7" s="162" t="s">
        <v>345</v>
      </c>
      <c r="D7" s="105" t="s">
        <v>144</v>
      </c>
      <c r="E7" s="104" t="str">
        <f>B7&amp;C7&amp;D7</f>
        <v>unit_skills_data_KOF2017.tmp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358</v>
      </c>
      <c r="B8" s="105" t="s">
        <v>149</v>
      </c>
      <c r="C8" s="162" t="s">
        <v>345</v>
      </c>
      <c r="D8" s="105" t="s">
        <v>128</v>
      </c>
      <c r="E8" s="104" t="str">
        <f>B8&amp;C8&amp;D8</f>
        <v>unit_skills_i18n_KOF2017.tmp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358</v>
      </c>
      <c r="B9" s="105" t="s">
        <v>153</v>
      </c>
      <c r="C9" s="162" t="s">
        <v>345</v>
      </c>
      <c r="D9" s="105" t="s">
        <v>154</v>
      </c>
      <c r="E9" s="104" t="str">
        <f>B9&amp;C9&amp;D9</f>
        <v>crash_skills_data_KOF2017.tmp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358</v>
      </c>
      <c r="B10" s="105" t="s">
        <v>157</v>
      </c>
      <c r="C10" s="162" t="s">
        <v>345</v>
      </c>
      <c r="D10" s="105" t="s">
        <v>158</v>
      </c>
      <c r="E10" s="104" t="str">
        <f t="shared" ref="E10" si="1">B10&amp;C10&amp;D10</f>
        <v>crash_skills_i18n_KOF2017.tmp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358</v>
      </c>
      <c r="B11" s="108" t="s">
        <v>135</v>
      </c>
      <c r="C11" s="162" t="s">
        <v>345</v>
      </c>
      <c r="D11" s="105" t="s">
        <v>158</v>
      </c>
      <c r="E11" s="104" t="str">
        <f t="shared" ref="E11:E12" si="2">B11&amp;C11&amp;D11</f>
        <v>unit_serifs_data_KOF2017.tmp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358</v>
      </c>
      <c r="B12" s="108" t="s">
        <v>136</v>
      </c>
      <c r="C12" s="162" t="s">
        <v>345</v>
      </c>
      <c r="D12" s="105" t="s">
        <v>158</v>
      </c>
      <c r="E12" s="104" t="str">
        <f t="shared" si="2"/>
        <v>unit_serifs_i18n_KOF2017.tmp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358</v>
      </c>
      <c r="B13" s="105" t="s">
        <v>319</v>
      </c>
      <c r="C13" s="162" t="s">
        <v>345</v>
      </c>
      <c r="D13" s="105" t="s">
        <v>253</v>
      </c>
      <c r="E13" s="104" t="str">
        <f>B13&amp;C13&amp;D13</f>
        <v>abilities_tmp_KOF2017.tmp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358</v>
      </c>
      <c r="B14" s="105" t="s">
        <v>258</v>
      </c>
      <c r="C14" s="162" t="s">
        <v>345</v>
      </c>
      <c r="D14" s="105" t="s">
        <v>128</v>
      </c>
      <c r="E14" s="104" t="str">
        <f>B14&amp;C14&amp;D14</f>
        <v>abilities_i18n_KOF2017.tmp</v>
      </c>
      <c r="F14" s="105" t="s">
        <v>259</v>
      </c>
      <c r="G14" s="163" t="s">
        <v>255</v>
      </c>
      <c r="H14" s="163" t="s">
        <v>141</v>
      </c>
      <c r="I14" s="163" t="s">
        <v>260</v>
      </c>
      <c r="J14" s="163" t="s">
        <v>152</v>
      </c>
      <c r="K14" s="197" t="s">
        <v>344</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358</v>
      </c>
      <c r="B15" s="105" t="s">
        <v>261</v>
      </c>
      <c r="C15" s="162" t="s">
        <v>345</v>
      </c>
      <c r="D15" s="105" t="s">
        <v>128</v>
      </c>
      <c r="E15" s="104" t="str">
        <f>B15&amp;C15&amp;D15</f>
        <v>unit_abilities_KOF2017.tmp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9"/>
  <sheetViews>
    <sheetView showGridLines="0" workbookViewId="0">
      <pane xSplit="9" ySplit="1" topLeftCell="AV15" activePane="bottomRight" state="frozen"/>
      <selection pane="topRight" activeCell="J1" sqref="J1"/>
      <selection pane="bottomLeft" activeCell="A3" sqref="A3"/>
      <selection pane="bottomRight" activeCell="AY27" sqref="AY27:AZ2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323</v>
      </c>
    </row>
    <row r="2" spans="1:70" ht="26" customHeight="1" x14ac:dyDescent="0.15">
      <c r="A2" s="186">
        <v>1551</v>
      </c>
      <c r="B2" s="53" t="str">
        <f ca="1">VLOOKUP($A2,OFFSET([1]characters!$A$1,0,0,COUNTA([1]characters!$A:$A),MATCH(B$1,[1]characters!$1:$1,0)-MATCH($A$1,[1]characters!$1:$1,0)+1),MATCH(B$1,[1]characters!$1:$1,0)-MATCH($A$1,[1]characters!$1:$1,0)+1,FALSE)</f>
        <v>Leo01</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hero</v>
      </c>
      <c r="Z2" s="5" t="str">
        <f ca="1">VLOOKUP(Y2,[1]character_tribe_i18n!$A:$H,3,FALSE)</f>
        <v>ヒーロー</v>
      </c>
      <c r="AA2" s="10">
        <f ca="1">VLOOKUP(W2,[1]character_tribe_i18n!$A:$H,4,FALSE)</f>
        <v>0.94</v>
      </c>
      <c r="AB2" s="10">
        <f ca="1">VLOOKUP(W2,[1]character_tribe_i18n!$A:$H,5,FALSE)</f>
        <v>0.99</v>
      </c>
      <c r="AC2" s="10">
        <f ca="1">VLOOKUP(W2,[1]character_tribe_i18n!$A:$H,6,FALSE)</f>
        <v>1</v>
      </c>
      <c r="AD2" s="10">
        <f ca="1">VLOOKUP(W2,[1]character_tribe_i18n!$A:$H,7,FALSE)</f>
        <v>1.07</v>
      </c>
      <c r="AE2" s="198" t="s">
        <v>183</v>
      </c>
      <c r="AF2" s="58" t="str">
        <f ca="1">IF(AE2="NULL","",VLOOKUP($AE2,OFFSET([1]characters!$A$1,0,0,COUNTA([1]characters!$A:$A),MATCH(AF$1,[1]characters!$1:$1,0)-MATCH($A$1,[1]characters!$1:$1,0)+1),MATCH(AF$1,[1]characters!$1:$1,0)-MATCH($A$1,[1]characters!$1:$1,0)+1,FALSE))</f>
        <v/>
      </c>
      <c r="AG2" s="198">
        <v>1551</v>
      </c>
      <c r="AH2" s="58" t="str">
        <f ca="1">VLOOKUP($AG2,OFFSET([1]characters!$A$1,0,0,COUNTA([1]characters!$A:$A),MATCH(AH$1,[1]characters!$1:$1,0)-MATCH($A$1,[1]characters!$1:$1,0)+1),MATCH(AH$1,[1]characters!$1:$1,0)-MATCH($A$1,[1]characters!$1:$1,0)+1,FALSE)</f>
        <v>Leo01</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1551</v>
      </c>
      <c r="AQ2" s="53" t="str">
        <f ca="1">VLOOKUP($AP2,OFFSET(unit_skills!$A$1,0,0,COUNTA(unit_skills!$A:$A),MATCH(AQ$1,unit_skills!$1:$1,0)-MATCH($AP$1,unit_skills!$1:$1,0)+1),MATCH(AQ$1,unit_skills!$1:$1,0)-MATCH($AP$1,unit_skills!$1:$1,0)+1,FALSE)</f>
        <v>Leo01スキル</v>
      </c>
      <c r="AR2" s="53" t="str">
        <f ca="1">VLOOKUP($AP2,OFFSET(unit_skills!$A$1,0,0,COUNTA(unit_skills!$A:$A),MATCH(AR$1,unit_skills!$1:$1,0)-MATCH($AP$1,unit_skills!$1:$1,0)+1),MATCH(AR$1,unit_skills!$1:$1,0)-MATCH($AP$1,unit_skills!$1:$1,0)+1,FALSE)</f>
        <v>中央を赤ボム、赤以外を最大各2個CP(大)・赤に変換+3ターン確率で赤ボム(大)ドロップ+1ターン確率で赤を赤ボムでドロップ</v>
      </c>
      <c r="AS2" s="53">
        <f ca="1">VLOOKUP($AP2,OFFSET(unit_skills!$A$1,0,0,COUNTA(unit_skills!$A:$A),MATCH(AS$1,unit_skills!$1:$1,0)-MATCH($AP$1,unit_skills!$1:$1,0)+1),MATCH(AS$1,unit_skills!$1:$1,0)-MATCH($AP$1,unit_skills!$1:$1,0)+1,FALSE)</f>
        <v>0</v>
      </c>
      <c r="AT2" s="63">
        <v>1551</v>
      </c>
      <c r="AU2" s="53" t="str">
        <f ca="1">VLOOKUP($AT2,OFFSET(crash_skills!$A$1,0,0,COUNTA(crash_skills!$A:$A),MATCH(AU$1,crash_skills!$1:$1,0)-MATCH($AT$1,crash_skills!$1:$1,0)+1),MATCH(AU$1,crash_skills!$1:$1,0)-MATCH($AT$1,crash_skills!$1:$1,0)+1,FALSE)</f>
        <v>Leo01スキル</v>
      </c>
      <c r="AV2" s="53" t="str">
        <f ca="1">VLOOKUP($AT2,OFFSET(crash_skills!$A$1,0,0,COUNTA(crash_skills!$A:$A),MATCH(AV$1,crash_skills!$1:$1,0)-MATCH($AT$1,crash_skills!$1:$1,0)+1),MATCH(AV$1,crash_skills!$1:$1,0)-MATCH($AT$1,crash_skills!$1:$1,0)+1,FALSE)</f>
        <v>1体に大ダメージ_x000D_攻撃タイプに効果特大+_x000D_解除されるまで自身の攻撃力を極小UP</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1</v>
      </c>
      <c r="AY2" s="64">
        <v>1.0838000000000001</v>
      </c>
      <c r="AZ2" s="64">
        <v>1.05</v>
      </c>
      <c r="BA2" s="64">
        <v>0</v>
      </c>
      <c r="BB2" s="64">
        <v>0.96499999999999997</v>
      </c>
      <c r="BC2" s="10">
        <f ca="1">INDEX('RC6SV'!$A$1:$G$21,MATCH(H2,'RC6SV'!$A$1:$A$21,FALSE),MATCH(G2,'RC6SV'!$A$1:$G$1,FALSE))</f>
        <v>10000</v>
      </c>
      <c r="BD2" s="44">
        <f t="shared" ref="BD2" ca="1" si="2">ROUND(BC2*IF(AJ2=1,0.95,IF(AJ2=2,1,IF(AJ2,1.05,0))),0)</f>
        <v>10000</v>
      </c>
      <c r="BE2" s="10">
        <f t="shared" ref="BE2:BE39" ca="1" si="3">ROUND(IFERROR(INDIRECT(ADDRESS(MATCH($A2,$AE:$AE,0),MATCH($BC$1,$1:$1,0))),0),0)</f>
        <v>0</v>
      </c>
      <c r="BF2" s="10">
        <f t="shared" ref="BF2:BF39" ca="1" si="4">ROUND(IFERROR(INDIRECT(ADDRESS(MATCH($A2,$AE:$AE,0),10)),INDIRECT(ADDRESS(MATCH($A2,$A:$A,0),10))),0)</f>
        <v>1</v>
      </c>
      <c r="BG2" s="15">
        <f ca="1">IF($BE2&lt;=0,ROUND(BK2*0.5,0), ROUND($BE2*S2*AA2*J2*AY2*0.8*[1]ステータス!$B$2,0))</f>
        <v>2547</v>
      </c>
      <c r="BH2" s="15">
        <f ca="1">IF($BE2&lt;=0,ROUND(BL2*0.5,0), ROUND($BE2*T2*AB2*K2*AZ2*0.8*[1]ステータス!$C$2,0))</f>
        <v>2116</v>
      </c>
      <c r="BI2" s="15">
        <f ca="1">IF($BE2&lt;=0,ROUND(BM2*0.5,0), ROUND($BE2*U2*AC2*L2*BA2*0.8*[1]ステータス!$D$2,0))</f>
        <v>0</v>
      </c>
      <c r="BJ2" s="15">
        <f ca="1">IF($BE2&lt;=0,ROUND(BN2*0.5,0), ROUND($BE2*V2*AD2*M2*BB2*0.8*[1]ステータス!$E$2,0))</f>
        <v>848</v>
      </c>
      <c r="BK2" s="10">
        <f ca="1">ROUND(BD2*S2*AA2*J2*AY2*[1]ステータス!$B$2,0)</f>
        <v>5094</v>
      </c>
      <c r="BL2" s="10">
        <f ca="1">ROUND(BD2*T2*AB2*K2*AZ2*[1]ステータス!$C$2,0)</f>
        <v>4231</v>
      </c>
      <c r="BM2" s="10">
        <f ca="1">ROUND(BD2*U2*AC2*L2*BA2*[1]ステータス!$D$2,0)</f>
        <v>0</v>
      </c>
      <c r="BN2" s="10">
        <f ca="1">ROUND(BD2*V2*AD2*M2*BB2*[1]ステータス!$E$2,0)</f>
        <v>1695</v>
      </c>
      <c r="BO2" s="9">
        <v>0</v>
      </c>
      <c r="BP2" s="9">
        <v>1</v>
      </c>
      <c r="BQ2" s="36" t="s">
        <v>47</v>
      </c>
      <c r="BR2" s="9">
        <f ca="1">VLOOKUP(H2,[2]ghosts_label!$A$2:$B$19,2,FALSE)</f>
        <v>30000</v>
      </c>
    </row>
    <row r="3" spans="1:70" ht="26" customHeight="1" x14ac:dyDescent="0.15">
      <c r="A3" s="186">
        <v>1552</v>
      </c>
      <c r="B3" s="53" t="str">
        <f ca="1">VLOOKUP($A3,OFFSET([1]characters!$A$1,0,0,COUNTA([1]characters!$A:$A),MATCH(B$1,[1]characters!$1:$1,0)-MATCH($A$1,[1]characters!$1:$1,0)+1),MATCH(B$1,[1]characters!$1:$1,0)-MATCH($A$1,[1]characters!$1:$1,0)+1,FALSE)</f>
        <v>Leo02</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hero</v>
      </c>
      <c r="Z3" s="5" t="str">
        <f ca="1">VLOOKUP(Y3,[1]character_tribe_i18n!$A:$H,3,FALSE)</f>
        <v>ヒーロー</v>
      </c>
      <c r="AA3" s="10">
        <f ca="1">VLOOKUP(W3,[1]character_tribe_i18n!$A:$H,4,FALSE)</f>
        <v>0.94</v>
      </c>
      <c r="AB3" s="10">
        <f ca="1">VLOOKUP(W3,[1]character_tribe_i18n!$A:$H,5,FALSE)</f>
        <v>0.99</v>
      </c>
      <c r="AC3" s="10">
        <f ca="1">VLOOKUP(W3,[1]character_tribe_i18n!$A:$H,6,FALSE)</f>
        <v>1</v>
      </c>
      <c r="AD3" s="10">
        <f ca="1">VLOOKUP(W3,[1]character_tribe_i18n!$A:$H,7,FALSE)</f>
        <v>1.07</v>
      </c>
      <c r="AE3" s="198">
        <v>1552</v>
      </c>
      <c r="AF3" s="58" t="str">
        <f ca="1">IF(AE3="NULL","",VLOOKUP($AE3,OFFSET([1]characters!$A$1,0,0,COUNTA([1]characters!$A:$A),MATCH(AF$1,[1]characters!$1:$1,0)-MATCH($A$1,[1]characters!$1:$1,0)+1),MATCH(AF$1,[1]characters!$1:$1,0)-MATCH($A$1,[1]characters!$1:$1,0)+1,FALSE))</f>
        <v>Leo02</v>
      </c>
      <c r="AG3" s="198">
        <v>1551</v>
      </c>
      <c r="AH3" s="58" t="str">
        <f ca="1">VLOOKUP($AG3,OFFSET([1]characters!$A$1,0,0,COUNTA([1]characters!$A:$A),MATCH(AH$1,[1]characters!$1:$1,0)-MATCH($A$1,[1]characters!$1:$1,0)+1),MATCH(AH$1,[1]characters!$1:$1,0)-MATCH($A$1,[1]characters!$1:$1,0)+1,FALSE)</f>
        <v>Leo01</v>
      </c>
      <c r="AI3" s="10">
        <f ca="1">IF(AE3="NULL","NULL",VLOOKUP(G3,ビット!$A$2:$B$7,2))</f>
        <v>200000</v>
      </c>
      <c r="AJ3" s="6">
        <v>2</v>
      </c>
      <c r="AK3" s="7" t="str">
        <f t="shared" ref="AK3:AK4" si="5">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1552</v>
      </c>
      <c r="AQ3" s="53" t="str">
        <f ca="1">VLOOKUP($AP3,OFFSET(unit_skills!$A$1,0,0,COUNTA(unit_skills!$A:$A),MATCH(AQ$1,unit_skills!$1:$1,0)-MATCH($AP$1,unit_skills!$1:$1,0)+1),MATCH(AQ$1,unit_skills!$1:$1,0)-MATCH($AP$1,unit_skills!$1:$1,0)+1,FALSE)</f>
        <v>Leo02スキル</v>
      </c>
      <c r="AR3" s="53" t="str">
        <f ca="1">VLOOKUP($AP3,OFFSET(unit_skills!$A$1,0,0,COUNTA(unit_skills!$A:$A),MATCH(AR$1,unit_skills!$1:$1,0)-MATCH($AP$1,unit_skills!$1:$1,0)+1),MATCH(AR$1,unit_skills!$1:$1,0)-MATCH($AP$1,unit_skills!$1:$1,0)+1,FALSE)</f>
        <v>中央を赤ボム、赤以外を最大各2個CP(大)・赤に変換+3ターン確率で赤ボム(大)ドロップ+1ターン確率で赤を赤ボムでドロップ</v>
      </c>
      <c r="AS3" s="53">
        <f ca="1">VLOOKUP($AP3,OFFSET(unit_skills!$A$1,0,0,COUNTA(unit_skills!$A:$A),MATCH(AS$1,unit_skills!$1:$1,0)-MATCH($AP$1,unit_skills!$1:$1,0)+1),MATCH(AS$1,unit_skills!$1:$1,0)-MATCH($AP$1,unit_skills!$1:$1,0)+1,FALSE)</f>
        <v>0</v>
      </c>
      <c r="AT3" s="63">
        <v>1552</v>
      </c>
      <c r="AU3" s="53" t="str">
        <f ca="1">VLOOKUP($AT3,OFFSET(crash_skills!$A$1,0,0,COUNTA(crash_skills!$A:$A),MATCH(AU$1,crash_skills!$1:$1,0)-MATCH($AT$1,crash_skills!$1:$1,0)+1),MATCH(AU$1,crash_skills!$1:$1,0)-MATCH($AT$1,crash_skills!$1:$1,0)+1,FALSE)</f>
        <v>Leo02スキル</v>
      </c>
      <c r="AV3" s="53" t="str">
        <f ca="1">VLOOKUP($AT3,OFFSET(crash_skills!$A$1,0,0,COUNTA(crash_skills!$A:$A),MATCH(AV$1,crash_skills!$1:$1,0)-MATCH($AT$1,crash_skills!$1:$1,0)+1),MATCH(AV$1,crash_skills!$1:$1,0)-MATCH($AT$1,crash_skills!$1:$1,0)+1,FALSE)</f>
        <v>1体に特大ダメージ_x000D_攻撃タイプに効果超大+_x000D_解除されるまで自身の攻撃力を極小UP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1</v>
      </c>
      <c r="AY3" s="64">
        <v>1.0838000000000001</v>
      </c>
      <c r="AZ3" s="64">
        <v>1.05</v>
      </c>
      <c r="BA3" s="64">
        <v>0</v>
      </c>
      <c r="BB3" s="64">
        <v>0.96499999999999997</v>
      </c>
      <c r="BC3" s="10">
        <f ca="1">INDEX('RC6SV'!$A$1:$G$21,MATCH(H3,'RC6SV'!$A$1:$A$21,FALSE),MATCH(G3,'RC6SV'!$A$1:$G$1,FALSE))</f>
        <v>14000</v>
      </c>
      <c r="BD3" s="44">
        <f t="shared" ref="BD3:BD4" ca="1" si="6">ROUND(BC3*IF(AJ3=1,0.95,IF(AJ3=2,1,IF(AJ3,1.05,0))),0)</f>
        <v>14000</v>
      </c>
      <c r="BE3" s="10">
        <f t="shared" ca="1" si="3"/>
        <v>14000</v>
      </c>
      <c r="BF3" s="10">
        <f t="shared" ca="1" si="4"/>
        <v>1</v>
      </c>
      <c r="BG3" s="15">
        <f ca="1">IF($BE3&lt;=0,ROUND(BK3*0.5,0), ROUND($BE3*S3*AA3*J3*AY3*0.8*[1]ステータス!$B$2,0))</f>
        <v>5705</v>
      </c>
      <c r="BH3" s="15">
        <f ca="1">IF($BE3&lt;=0,ROUND(BL3*0.5,0), ROUND($BE3*T3*AB3*K3*AZ3*0.8*[1]ステータス!$C$2,0))</f>
        <v>4738</v>
      </c>
      <c r="BI3" s="15">
        <f ca="1">IF($BE3&lt;=0,ROUND(BM3*0.5,0), ROUND($BE3*U3*AC3*L3*BA3*0.8*[1]ステータス!$D$2,0))</f>
        <v>0</v>
      </c>
      <c r="BJ3" s="15">
        <f ca="1">IF($BE3&lt;=0,ROUND(BN3*0.5,0), ROUND($BE3*V3*AD3*M3*BB3*0.8*[1]ステータス!$E$2,0))</f>
        <v>1898</v>
      </c>
      <c r="BK3" s="10">
        <f ca="1">ROUND(BD3*S3*AA3*J3*AY3*[1]ステータス!$B$2,0)</f>
        <v>7131</v>
      </c>
      <c r="BL3" s="10">
        <f ca="1">ROUND(BD3*T3*AB3*K3*AZ3*[1]ステータス!$C$2,0)</f>
        <v>5923</v>
      </c>
      <c r="BM3" s="10">
        <f ca="1">ROUND(BD3*U3*AC3*L3*BA3*[1]ステータス!$D$2,0)</f>
        <v>0</v>
      </c>
      <c r="BN3" s="10">
        <f ca="1">ROUND(BD3*V3*AD3*M3*BB3*[1]ステータス!$E$2,0)</f>
        <v>2373</v>
      </c>
      <c r="BO3" s="9">
        <v>0</v>
      </c>
      <c r="BP3" s="9">
        <v>1</v>
      </c>
      <c r="BQ3" s="9" t="s">
        <v>47</v>
      </c>
      <c r="BR3" s="9">
        <f ca="1">VLOOKUP(H3,[2]ghosts_label!$A$2:$B$19,2,FALSE)</f>
        <v>30000</v>
      </c>
    </row>
    <row r="4" spans="1:70" ht="26" customHeight="1" x14ac:dyDescent="0.15">
      <c r="A4" s="186">
        <v>1553</v>
      </c>
      <c r="B4" s="53" t="str">
        <f ca="1">VLOOKUP($A4,OFFSET([1]characters!$A$1,0,0,COUNTA([1]characters!$A:$A),MATCH(B$1,[1]characters!$1:$1,0)-MATCH($A$1,[1]characters!$1:$1,0)+1),MATCH(B$1,[1]characters!$1:$1,0)-MATCH($A$1,[1]characters!$1:$1,0)+1,FALSE)</f>
        <v>Andromeda01</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yellow</v>
      </c>
      <c r="J4" s="10">
        <f ca="1">VLOOKUP(I4,[1]属性!$A:$E,2,FALSE)</f>
        <v>0.98</v>
      </c>
      <c r="K4" s="10">
        <f ca="1">VLOOKUP(I4,[1]属性!$A:$E,3,FALSE)</f>
        <v>1.01</v>
      </c>
      <c r="L4" s="10">
        <f ca="1">VLOOKUP(I4,[1]属性!$A:$E,4,FALSE)</f>
        <v>1</v>
      </c>
      <c r="M4" s="10">
        <f ca="1">VLOOKUP(I4,[1]属性!$A:$E,5,FALSE)</f>
        <v>1.01</v>
      </c>
      <c r="N4" s="10">
        <f ca="1">INDEX(コスト!$A$1:$I$21,MATCH(H4,コスト!$A$1:$A$21,FALSE),MATCH(G4,コスト!$A$1:$I$1,FALSE))</f>
        <v>35</v>
      </c>
      <c r="O4" s="10">
        <f ca="1">INDEX(レベル!$A$1:$I$22,MATCH(H4,レベル!$A$1:$A$22,FALSE),MATCH(G4,レベル!$A$1:$I$1,FALSE))</f>
        <v>80</v>
      </c>
      <c r="P4" s="44">
        <f t="shared" ref="P4:P9" ca="1" si="7">IF(G4 &gt;= 6, 99,G4*15)</f>
        <v>75</v>
      </c>
      <c r="Q4" s="53" t="str">
        <f ca="1">VLOOKUP($A4,OFFSET([1]characters!$A$1,0,0,COUNTA([1]characters!$A:$A),MATCH(Q$1,[1]characters!$1:$1,0)-MATCH($A$1,[1]characters!$1:$1,0)+1),MATCH(Q$1,[1]characters!$1:$1,0)-MATCH($A$1,[1]characters!$1:$1,0)+1,FALSE)</f>
        <v>technical</v>
      </c>
      <c r="R4" s="5" t="str">
        <f ca="1">VLOOKUP(Q4,[1]character_type_i18n!$A:$H,3,FALSE)</f>
        <v>テクニカルタイプ</v>
      </c>
      <c r="S4" s="10">
        <f ca="1">VLOOKUP(Q4,[1]character_type_i18n!$A:$H,4,FALSE)</f>
        <v>0.9</v>
      </c>
      <c r="T4" s="10">
        <f ca="1">VLOOKUP(Q4,[1]character_type_i18n!$A:$H,5,FALSE)</f>
        <v>0.9</v>
      </c>
      <c r="U4" s="10">
        <f ca="1">VLOOKUP(Q4,[1]character_type_i18n!$A:$H,6,FALSE)</f>
        <v>1</v>
      </c>
      <c r="V4" s="10">
        <f ca="1">VLOOKUP(Q4,[1]character_type_i18n!$A:$H,7,FALSE)</f>
        <v>0.9</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0.94</v>
      </c>
      <c r="AB4" s="10">
        <f ca="1">VLOOKUP(W4,[1]character_tribe_i18n!$A:$H,5,FALSE)</f>
        <v>0.99</v>
      </c>
      <c r="AC4" s="10">
        <f ca="1">VLOOKUP(W4,[1]character_tribe_i18n!$A:$H,6,FALSE)</f>
        <v>1</v>
      </c>
      <c r="AD4" s="10">
        <f ca="1">VLOOKUP(W4,[1]character_tribe_i18n!$A:$H,7,FALSE)</f>
        <v>1.07</v>
      </c>
      <c r="AE4" s="198">
        <v>1554</v>
      </c>
      <c r="AF4" s="58" t="str">
        <f ca="1">IF(AE4="NULL","",VLOOKUP($AE4,OFFSET([1]characters!$A$1,0,0,COUNTA([1]characters!$A:$A),MATCH(AF$1,[1]characters!$1:$1,0)-MATCH($A$1,[1]characters!$1:$1,0)+1),MATCH(AF$1,[1]characters!$1:$1,0)-MATCH($A$1,[1]characters!$1:$1,0)+1,FALSE))</f>
        <v>Andromeda02</v>
      </c>
      <c r="AG4" s="198">
        <v>1553</v>
      </c>
      <c r="AH4" s="58" t="str">
        <f ca="1">VLOOKUP($AG4,OFFSET([1]characters!$A$1,0,0,COUNTA([1]characters!$A:$A),MATCH(AH$1,[1]characters!$1:$1,0)-MATCH($A$1,[1]characters!$1:$1,0)+1),MATCH(AH$1,[1]characters!$1:$1,0)-MATCH($A$1,[1]characters!$1:$1,0)+1,FALSE)</f>
        <v>Andromeda01</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1553</v>
      </c>
      <c r="AQ4" s="53" t="str">
        <f ca="1">VLOOKUP($AP4,OFFSET(unit_skills!$A$1,0,0,COUNTA(unit_skills!$A:$A),MATCH(AQ$1,unit_skills!$1:$1,0)-MATCH($AP$1,unit_skills!$1:$1,0)+1),MATCH(AQ$1,unit_skills!$1:$1,0)-MATCH($AP$1,unit_skills!$1:$1,0)+1,FALSE)</f>
        <v>Andromeda01スキル</v>
      </c>
      <c r="AR4" s="53" t="str">
        <f ca="1">VLOOKUP($AP4,OFFSET(unit_skills!$A$1,0,0,COUNTA(unit_skills!$A:$A),MATCH(AR$1,unit_skills!$1:$1,0)-MATCH($AP$1,unit_skills!$1:$1,0)+1),MATCH(AR$1,unit_skills!$1:$1,0)-MATCH($AP$1,unit_skills!$1:$1,0)+1,FALSE)</f>
        <v>特定エリアを黄ボムに、青をボムパネルに変換+1ターン赤・黄・青属性の攻撃力と回復力を特大UPし、タップ回数を1増加</v>
      </c>
      <c r="AS4" s="53">
        <f ca="1">VLOOKUP($AP4,OFFSET(unit_skills!$A$1,0,0,COUNTA(unit_skills!$A:$A),MATCH(AS$1,unit_skills!$1:$1,0)-MATCH($AP$1,unit_skills!$1:$1,0)+1),MATCH(AS$1,unit_skills!$1:$1,0)-MATCH($AP$1,unit_skills!$1:$1,0)+1,FALSE)</f>
        <v>0</v>
      </c>
      <c r="AT4" s="63">
        <v>1553</v>
      </c>
      <c r="AU4" s="53" t="str">
        <f ca="1">VLOOKUP($AT4,OFFSET(crash_skills!$A$1,0,0,COUNTA(crash_skills!$A:$A),MATCH(AU$1,crash_skills!$1:$1,0)-MATCH($AT$1,crash_skills!$1:$1,0)+1),MATCH(AU$1,crash_skills!$1:$1,0)-MATCH($AT$1,crash_skills!$1:$1,0)+1,FALSE)</f>
        <v>Andromeda01スキル</v>
      </c>
      <c r="AV4" s="53" t="str">
        <f ca="1">VLOOKUP($AT4,OFFSET(crash_skills!$A$1,0,0,COUNTA(crash_skills!$A:$A),MATCH(AV$1,crash_skills!$1:$1,0)-MATCH($AT$1,crash_skills!$1:$1,0)+1),MATCH(AV$1,crash_skills!$1:$1,0)-MATCH($AT$1,crash_skills!$1:$1,0)+1,FALSE)</f>
        <v>1体に大ダメージ+_x000D_攻撃タイプに効果特大</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1</v>
      </c>
      <c r="AY4" s="64">
        <v>1.2524999999999999</v>
      </c>
      <c r="AZ4" s="64">
        <v>1.3680000000000001</v>
      </c>
      <c r="BA4" s="64">
        <v>0</v>
      </c>
      <c r="BB4" s="64">
        <v>0.85929999999999995</v>
      </c>
      <c r="BC4" s="10">
        <f ca="1">INDEX('RC6SV'!$A$1:$G$21,MATCH(H4,'RC6SV'!$A$1:$A$21,FALSE),MATCH(G4,'RC6SV'!$A$1:$G$1,FALSE))</f>
        <v>9500</v>
      </c>
      <c r="BD4" s="44">
        <f t="shared" ca="1" si="6"/>
        <v>9500</v>
      </c>
      <c r="BE4" s="10">
        <f t="shared" ca="1" si="3"/>
        <v>0</v>
      </c>
      <c r="BF4" s="10">
        <f t="shared" ca="1" si="4"/>
        <v>1</v>
      </c>
      <c r="BG4" s="15">
        <f ca="1">IF($BE4&lt;=0,ROUND(BK4*0.5,0), ROUND($BE4*S4*AA4*J4*AY4*0.8*[1]ステータス!$B$2,0))</f>
        <v>2467</v>
      </c>
      <c r="BH4" s="15">
        <f ca="1">IF($BE4&lt;=0,ROUND(BL4*0.5,0), ROUND($BE4*T4*AB4*K4*AZ4*0.8*[1]ステータス!$C$2,0))</f>
        <v>1755</v>
      </c>
      <c r="BI4" s="15">
        <f ca="1">IF($BE4&lt;=0,ROUND(BM4*0.5,0), ROUND($BE4*U4*AC4*L4*BA4*0.8*[1]ステータス!$D$2,0))</f>
        <v>0</v>
      </c>
      <c r="BJ4" s="15">
        <f ca="1">IF($BE4&lt;=0,ROUND(BN4*0.5,0), ROUND($BE4*V4*AD4*M4*BB4*0.8*[1]ステータス!$E$2,0))</f>
        <v>993</v>
      </c>
      <c r="BK4" s="10">
        <f ca="1">ROUND(BD4*S4*AA4*J4*AY4*[1]ステータス!$B$2,0)</f>
        <v>4933</v>
      </c>
      <c r="BL4" s="10">
        <f ca="1">ROUND(BD4*T4*AB4*K4*AZ4*[1]ステータス!$C$2,0)</f>
        <v>3509</v>
      </c>
      <c r="BM4" s="10">
        <f ca="1">ROUND(BD4*U4*AC4*L4*BA4*[1]ステータス!$D$2,0)</f>
        <v>0</v>
      </c>
      <c r="BN4" s="10">
        <f ca="1">ROUND(BD4*V4*AD4*M4*BB4*[1]ステータス!$E$2,0)</f>
        <v>1985</v>
      </c>
      <c r="BO4" s="9">
        <v>0</v>
      </c>
      <c r="BP4" s="9">
        <v>1</v>
      </c>
      <c r="BQ4" s="36" t="s">
        <v>47</v>
      </c>
      <c r="BR4" s="9">
        <f ca="1">VLOOKUP(H4,[2]ghosts_label!$A$2:$B$19,2,FALSE)</f>
        <v>5500</v>
      </c>
    </row>
    <row r="5" spans="1:70" ht="26" customHeight="1" x14ac:dyDescent="0.15">
      <c r="A5" s="186">
        <v>1554</v>
      </c>
      <c r="B5" s="53" t="str">
        <f ca="1">VLOOKUP($A5,OFFSET([1]characters!$A$1,0,0,COUNTA([1]characters!$A:$A),MATCH(B$1,[1]characters!$1:$1,0)-MATCH($A$1,[1]characters!$1:$1,0)+1),MATCH(B$1,[1]characters!$1:$1,0)-MATCH($A$1,[1]characters!$1:$1,0)+1,FALSE)</f>
        <v>Andromeda02</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yellow</v>
      </c>
      <c r="J5" s="10">
        <f ca="1">VLOOKUP(I5,[1]属性!$A:$E,2,FALSE)</f>
        <v>0.98</v>
      </c>
      <c r="K5" s="10">
        <f ca="1">VLOOKUP(I5,[1]属性!$A:$E,3,FALSE)</f>
        <v>1.01</v>
      </c>
      <c r="L5" s="10">
        <f ca="1">VLOOKUP(I5,[1]属性!$A:$E,4,FALSE)</f>
        <v>1</v>
      </c>
      <c r="M5" s="10">
        <f ca="1">VLOOKUP(I5,[1]属性!$A:$E,5,FALSE)</f>
        <v>1.01</v>
      </c>
      <c r="N5" s="10">
        <f ca="1">INDEX(コスト!$A$1:$I$21,MATCH(H5,コスト!$A$1:$A$21,FALSE),MATCH(G5,コスト!$A$1:$I$1,FALSE))</f>
        <v>50</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technical</v>
      </c>
      <c r="R5" s="5" t="str">
        <f ca="1">VLOOKUP(Q5,[1]character_type_i18n!$A:$H,3,FALSE)</f>
        <v>テクニカルタイプ</v>
      </c>
      <c r="S5" s="10">
        <f ca="1">VLOOKUP(Q5,[1]character_type_i18n!$A:$H,4,FALSE)</f>
        <v>0.9</v>
      </c>
      <c r="T5" s="10">
        <f ca="1">VLOOKUP(Q5,[1]character_type_i18n!$A:$H,5,FALSE)</f>
        <v>0.9</v>
      </c>
      <c r="U5" s="10">
        <f ca="1">VLOOKUP(Q5,[1]character_type_i18n!$A:$H,6,FALSE)</f>
        <v>1</v>
      </c>
      <c r="V5" s="10">
        <f ca="1">VLOOKUP(Q5,[1]character_type_i18n!$A:$H,7,FALSE)</f>
        <v>0.9</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0.94</v>
      </c>
      <c r="AB5" s="10">
        <f ca="1">VLOOKUP(W5,[1]character_tribe_i18n!$A:$H,5,FALSE)</f>
        <v>0.99</v>
      </c>
      <c r="AC5" s="10">
        <f ca="1">VLOOKUP(W5,[1]character_tribe_i18n!$A:$H,6,FALSE)</f>
        <v>1</v>
      </c>
      <c r="AD5" s="10">
        <f ca="1">VLOOKUP(W5,[1]character_tribe_i18n!$A:$H,7,FALSE)</f>
        <v>1.07</v>
      </c>
      <c r="AE5" s="187" t="s">
        <v>183</v>
      </c>
      <c r="AF5" s="58" t="str">
        <f ca="1">IF(AE5="NULL","",VLOOKUP($AE5,OFFSET([1]characters!$A$1,0,0,COUNTA([1]characters!$A:$A),MATCH(AF$1,[1]characters!$1:$1,0)-MATCH($A$1,[1]characters!$1:$1,0)+1),MATCH(AF$1,[1]characters!$1:$1,0)-MATCH($A$1,[1]characters!$1:$1,0)+1,FALSE))</f>
        <v/>
      </c>
      <c r="AG5" s="187">
        <v>1553</v>
      </c>
      <c r="AH5" s="58" t="str">
        <f ca="1">VLOOKUP($AG5,OFFSET([1]characters!$A$1,0,0,COUNTA([1]characters!$A:$A),MATCH(AH$1,[1]characters!$1:$1,0)-MATCH($A$1,[1]characters!$1:$1,0)+1),MATCH(AH$1,[1]characters!$1:$1,0)-MATCH($A$1,[1]characters!$1:$1,0)+1,FALSE)</f>
        <v>Andromeda01</v>
      </c>
      <c r="AI5" s="10" t="str">
        <f>IF(AE5="NULL","NULL",VLOOKUP(G5,ビット!$A$2:$B$7,2))</f>
        <v>NULL</v>
      </c>
      <c r="AJ5" s="6">
        <v>2</v>
      </c>
      <c r="AK5" s="7" t="str">
        <f t="shared" ref="AK5:AK10"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1554</v>
      </c>
      <c r="AQ5" s="53" t="str">
        <f ca="1">VLOOKUP($AP5,OFFSET(unit_skills!$A$1,0,0,COUNTA(unit_skills!$A:$A),MATCH(AQ$1,unit_skills!$1:$1,0)-MATCH($AP$1,unit_skills!$1:$1,0)+1),MATCH(AQ$1,unit_skills!$1:$1,0)-MATCH($AP$1,unit_skills!$1:$1,0)+1,FALSE)</f>
        <v>Andromeda02スキル</v>
      </c>
      <c r="AR5" s="53" t="str">
        <f ca="1">VLOOKUP($AP5,OFFSET(unit_skills!$A$1,0,0,COUNTA(unit_skills!$A:$A),MATCH(AR$1,unit_skills!$1:$1,0)-MATCH($AP$1,unit_skills!$1:$1,0)+1),MATCH(AR$1,unit_skills!$1:$1,0)-MATCH($AP$1,unit_skills!$1:$1,0)+1,FALSE)</f>
        <v>特定エリアを黄ボムに、青をボムパネルに変換+2ターン赤・黄・青属性の攻撃力と回復力を特大UPし、タップ回数を1増加</v>
      </c>
      <c r="AS5" s="53">
        <f ca="1">VLOOKUP($AP5,OFFSET(unit_skills!$A$1,0,0,COUNTA(unit_skills!$A:$A),MATCH(AS$1,unit_skills!$1:$1,0)-MATCH($AP$1,unit_skills!$1:$1,0)+1),MATCH(AS$1,unit_skills!$1:$1,0)-MATCH($AP$1,unit_skills!$1:$1,0)+1,FALSE)</f>
        <v>0</v>
      </c>
      <c r="AT5" s="63">
        <v>1554</v>
      </c>
      <c r="AU5" s="53" t="str">
        <f ca="1">VLOOKUP($AT5,OFFSET(crash_skills!$A$1,0,0,COUNTA(crash_skills!$A:$A),MATCH(AU$1,crash_skills!$1:$1,0)-MATCH($AT$1,crash_skills!$1:$1,0)+1),MATCH(AU$1,crash_skills!$1:$1,0)-MATCH($AT$1,crash_skills!$1:$1,0)+1,FALSE)</f>
        <v>Andromeda02スキル</v>
      </c>
      <c r="AV5" s="53" t="str">
        <f ca="1">VLOOKUP($AT5,OFFSET(crash_skills!$A$1,0,0,COUNTA(crash_skills!$A:$A),MATCH(AV$1,crash_skills!$1:$1,0)-MATCH($AT$1,crash_skills!$1:$1,0)+1),MATCH(AV$1,crash_skills!$1:$1,0)-MATCH($AT$1,crash_skills!$1:$1,0)+1,FALSE)</f>
        <v>1体に特大ダメージ+_x000D_攻撃タイプに効果超大</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1</v>
      </c>
      <c r="AY5" s="64">
        <v>1.2524999999999999</v>
      </c>
      <c r="AZ5" s="64">
        <v>1.3680000000000001</v>
      </c>
      <c r="BA5" s="64">
        <v>0</v>
      </c>
      <c r="BB5" s="64">
        <v>0.85929999999999995</v>
      </c>
      <c r="BC5" s="10">
        <f ca="1">INDEX('RC6SV'!$A$1:$G$21,MATCH(H5,'RC6SV'!$A$1:$A$21,FALSE),MATCH(G5,'RC6SV'!$A$1:$G$1,FALSE))</f>
        <v>13000</v>
      </c>
      <c r="BD5" s="44">
        <f t="shared" ref="BD5:BD10" ca="1" si="9">ROUND(BC5*IF(AJ5=1,0.95,IF(AJ5=2,1,IF(AJ5,1.05,0))),0)</f>
        <v>13000</v>
      </c>
      <c r="BE5" s="10">
        <f t="shared" ca="1" si="3"/>
        <v>9500</v>
      </c>
      <c r="BF5" s="10">
        <f t="shared" ca="1" si="4"/>
        <v>1</v>
      </c>
      <c r="BG5" s="15">
        <f ca="1">IF($BE5&lt;=0,ROUND(BK5*0.5,0), ROUND($BE5*S5*AA5*J5*AY5*0.8*[1]ステータス!$B$2,0))</f>
        <v>3946</v>
      </c>
      <c r="BH5" s="15">
        <f ca="1">IF($BE5&lt;=0,ROUND(BL5*0.5,0), ROUND($BE5*T5*AB5*K5*AZ5*0.8*[1]ステータス!$C$2,0))</f>
        <v>2807</v>
      </c>
      <c r="BI5" s="15">
        <f ca="1">IF($BE5&lt;=0,ROUND(BM5*0.5,0), ROUND($BE5*U5*AC5*L5*BA5*0.8*[1]ステータス!$D$2,0))</f>
        <v>0</v>
      </c>
      <c r="BJ5" s="15">
        <f ca="1">IF($BE5&lt;=0,ROUND(BN5*0.5,0), ROUND($BE5*V5*AD5*M5*BB5*0.8*[1]ステータス!$E$2,0))</f>
        <v>1588</v>
      </c>
      <c r="BK5" s="10">
        <f ca="1">ROUND(BD5*S5*AA5*J5*AY5*[1]ステータス!$B$2,0)</f>
        <v>6750</v>
      </c>
      <c r="BL5" s="10">
        <f ca="1">ROUND(BD5*T5*AB5*K5*AZ5*[1]ステータス!$C$2,0)</f>
        <v>4801</v>
      </c>
      <c r="BM5" s="10">
        <f ca="1">ROUND(BD5*U5*AC5*L5*BA5*[1]ステータス!$D$2,0)</f>
        <v>0</v>
      </c>
      <c r="BN5" s="10">
        <f ca="1">ROUND(BD5*V5*AD5*M5*BB5*[1]ステータス!$E$2,0)</f>
        <v>2716</v>
      </c>
      <c r="BO5" s="9">
        <v>0</v>
      </c>
      <c r="BP5" s="9">
        <v>1</v>
      </c>
      <c r="BQ5" s="9" t="s">
        <v>47</v>
      </c>
      <c r="BR5" s="9">
        <f ca="1">VLOOKUP(H5,[2]ghosts_label!$A$2:$B$19,2,FALSE)</f>
        <v>5500</v>
      </c>
    </row>
    <row r="6" spans="1:70" ht="26" customHeight="1" x14ac:dyDescent="0.15">
      <c r="A6" s="186">
        <v>1555</v>
      </c>
      <c r="B6" s="53" t="str">
        <f ca="1">VLOOKUP($A6,OFFSET([1]characters!$A$1,0,0,COUNTA([1]characters!$A:$A),MATCH(B$1,[1]characters!$1:$1,0)-MATCH($A$1,[1]characters!$1:$1,0)+1),MATCH(B$1,[1]characters!$1:$1,0)-MATCH($A$1,[1]characters!$1:$1,0)+1,FALSE)</f>
        <v>Taurus01</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v>
      </c>
      <c r="I6" s="53" t="str">
        <f ca="1">VLOOKUP($A6,OFFSET([1]characters!$A$1,0,0,COUNTA([1]characters!$A:$A),MATCH(I$1,[1]characters!$1:$1,0)-MATCH($A$1,[1]characters!$1:$1,0)+1),MATCH(I$1,[1]characters!$1:$1,0)-MATCH($A$1,[1]characters!$1:$1,0)+1,FALSE)</f>
        <v>blue</v>
      </c>
      <c r="J6" s="10">
        <f ca="1">VLOOKUP(I6,[1]属性!$A:$E,2,FALSE)</f>
        <v>1</v>
      </c>
      <c r="K6" s="10">
        <f ca="1">VLOOKUP(I6,[1]属性!$A:$E,3,FALSE)</f>
        <v>0.98</v>
      </c>
      <c r="L6" s="10">
        <f ca="1">VLOOKUP(I6,[1]属性!$A:$E,4,FALSE)</f>
        <v>1</v>
      </c>
      <c r="M6" s="10">
        <f ca="1">VLOOKUP(I6,[1]属性!$A:$E,5,FALSE)</f>
        <v>1.02</v>
      </c>
      <c r="N6" s="10">
        <f ca="1">INDEX(コスト!$A$1:$I$21,MATCH(H6,コスト!$A$1:$A$21,FALSE),MATCH(G6,コスト!$A$1:$I$1,FALSE))</f>
        <v>30</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hp</v>
      </c>
      <c r="R6" s="5" t="str">
        <f ca="1">VLOOKUP(Q6,[1]character_type_i18n!$A:$H,3,FALSE)</f>
        <v>体力タイプ</v>
      </c>
      <c r="S6" s="10">
        <f ca="1">VLOOKUP(Q6,[1]character_type_i18n!$A:$H,4,FALSE)</f>
        <v>1.45</v>
      </c>
      <c r="T6" s="10">
        <f ca="1">VLOOKUP(Q6,[1]character_type_i18n!$A:$H,5,FALSE)</f>
        <v>0.85</v>
      </c>
      <c r="U6" s="10">
        <f ca="1">VLOOKUP(Q6,[1]character_type_i18n!$A:$H,6,FALSE)</f>
        <v>1</v>
      </c>
      <c r="V6" s="10">
        <f ca="1">VLOOKUP(Q6,[1]character_type_i18n!$A:$H,7,FALSE)</f>
        <v>0.7</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0.94</v>
      </c>
      <c r="AB6" s="10">
        <f ca="1">VLOOKUP(W6,[1]character_tribe_i18n!$A:$H,5,FALSE)</f>
        <v>0.99</v>
      </c>
      <c r="AC6" s="10">
        <f ca="1">VLOOKUP(W6,[1]character_tribe_i18n!$A:$H,6,FALSE)</f>
        <v>1</v>
      </c>
      <c r="AD6" s="10">
        <f ca="1">VLOOKUP(W6,[1]character_tribe_i18n!$A:$H,7,FALSE)</f>
        <v>1.07</v>
      </c>
      <c r="AE6" s="187" t="s">
        <v>47</v>
      </c>
      <c r="AF6" s="58" t="str">
        <f ca="1">IF(AE6="NULL","",VLOOKUP($AE6,OFFSET([1]characters!$A$1,0,0,COUNTA([1]characters!$A:$A),MATCH(AF$1,[1]characters!$1:$1,0)-MATCH($A$1,[1]characters!$1:$1,0)+1),MATCH(AF$1,[1]characters!$1:$1,0)-MATCH($A$1,[1]characters!$1:$1,0)+1,FALSE))</f>
        <v/>
      </c>
      <c r="AG6" s="187">
        <v>1555</v>
      </c>
      <c r="AH6" s="58" t="str">
        <f ca="1">VLOOKUP($AG6,OFFSET([1]characters!$A$1,0,0,COUNTA([1]characters!$A:$A),MATCH(AH$1,[1]characters!$1:$1,0)-MATCH($A$1,[1]characters!$1:$1,0)+1),MATCH(AH$1,[1]characters!$1:$1,0)-MATCH($A$1,[1]characters!$1:$1,0)+1,FALSE)</f>
        <v>Taurus01</v>
      </c>
      <c r="AI6" s="10" t="str">
        <f>IF(AE6="NULL","NULL",VLOOKUP(G6,ビット!$A$2:$B$7,2))</f>
        <v>NULL</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1555</v>
      </c>
      <c r="AQ6" s="53" t="str">
        <f ca="1">VLOOKUP($AP6,OFFSET(unit_skills!$A$1,0,0,COUNTA(unit_skills!$A:$A),MATCH(AQ$1,unit_skills!$1:$1,0)-MATCH($AP$1,unit_skills!$1:$1,0)+1),MATCH(AQ$1,unit_skills!$1:$1,0)-MATCH($AP$1,unit_skills!$1:$1,0)+1,FALSE)</f>
        <v>Taurus01スキル</v>
      </c>
      <c r="AR6" s="53" t="str">
        <f ca="1">VLOOKUP($AP6,OFFSET(unit_skills!$A$1,0,0,COUNTA(unit_skills!$A:$A),MATCH(AR$1,unit_skills!$1:$1,0)-MATCH($AP$1,unit_skills!$1:$1,0)+1),MATCH(AR$1,unit_skills!$1:$1,0)-MATCH($AP$1,unit_skills!$1:$1,0)+1,FALSE)</f>
        <v>緑パネルを青パネルに変換+カウンター解除+2ターン敵からのダメージを20%軽減し、超大カウンター</v>
      </c>
      <c r="AS6" s="53">
        <f ca="1">VLOOKUP($AP6,OFFSET(unit_skills!$A$1,0,0,COUNTA(unit_skills!$A:$A),MATCH(AS$1,unit_skills!$1:$1,0)-MATCH($AP$1,unit_skills!$1:$1,0)+1),MATCH(AS$1,unit_skills!$1:$1,0)-MATCH($AP$1,unit_skills!$1:$1,0)+1,FALSE)</f>
        <v>0</v>
      </c>
      <c r="AT6" s="63">
        <v>1555</v>
      </c>
      <c r="AU6" s="53" t="str">
        <f ca="1">VLOOKUP($AT6,OFFSET(crash_skills!$A$1,0,0,COUNTA(crash_skills!$A:$A),MATCH(AU$1,crash_skills!$1:$1,0)-MATCH($AT$1,crash_skills!$1:$1,0)+1),MATCH(AU$1,crash_skills!$1:$1,0)-MATCH($AT$1,crash_skills!$1:$1,0)+1,FALSE)</f>
        <v>Taurus01スキル</v>
      </c>
      <c r="AV6" s="53" t="str">
        <f ca="1">VLOOKUP($AT6,OFFSET(crash_skills!$A$1,0,0,COUNTA(crash_skills!$A:$A),MATCH(AV$1,crash_skills!$1:$1,0)-MATCH($AT$1,crash_skills!$1:$1,0)+1),MATCH(AV$1,crash_skills!$1:$1,0)-MATCH($AT$1,crash_skills!$1:$1,0)+1,FALSE)</f>
        <v>自身のHPの最大値に比例して_x000D_1体に特大ダメージ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1.1164000000000001</v>
      </c>
      <c r="AZ6" s="64">
        <v>1.5297000000000001</v>
      </c>
      <c r="BA6" s="64">
        <v>0</v>
      </c>
      <c r="BB6" s="64">
        <v>1.091</v>
      </c>
      <c r="BC6" s="10">
        <f ca="1">INDEX('RC6SV'!$A$1:$G$21,MATCH(H6,'RC6SV'!$A$1:$A$21,FALSE),MATCH(G6,'RC6SV'!$A$1:$G$1,FALSE))</f>
        <v>9000</v>
      </c>
      <c r="BD6" s="44">
        <f t="shared" ca="1" si="9"/>
        <v>9000</v>
      </c>
      <c r="BE6" s="10">
        <f t="shared" ca="1" si="3"/>
        <v>0</v>
      </c>
      <c r="BF6" s="10">
        <f t="shared" ca="1" si="4"/>
        <v>1</v>
      </c>
      <c r="BG6" s="15">
        <f ca="1">IF($BE6&lt;=0,ROUND(BK6*0.5,0), ROUND($BE6*S6*AA6*J6*AY6*0.8*[1]ステータス!$B$2,0))</f>
        <v>3424</v>
      </c>
      <c r="BH6" s="15">
        <f ca="1">IF($BE6&lt;=0,ROUND(BL6*0.5,0), ROUND($BE6*T6*AB6*K6*AZ6*0.8*[1]ステータス!$C$2,0))</f>
        <v>1703</v>
      </c>
      <c r="BI6" s="15">
        <f ca="1">IF($BE6&lt;=0,ROUND(BM6*0.5,0), ROUND($BE6*U6*AC6*L6*BA6*0.8*[1]ステータス!$D$2,0))</f>
        <v>0</v>
      </c>
      <c r="BJ6" s="15">
        <f ca="1">IF($BE6&lt;=0,ROUND(BN6*0.5,0), ROUND($BE6*V6*AD6*M6*BB6*0.8*[1]ステータス!$E$2,0))</f>
        <v>938</v>
      </c>
      <c r="BK6" s="10">
        <f ca="1">ROUND(BD6*S6*AA6*J6*AY6*[1]ステータス!$B$2,0)</f>
        <v>6847</v>
      </c>
      <c r="BL6" s="10">
        <f ca="1">ROUND(BD6*T6*AB6*K6*AZ6*[1]ステータス!$C$2,0)</f>
        <v>3406</v>
      </c>
      <c r="BM6" s="10">
        <f ca="1">ROUND(BD6*U6*AC6*L6*BA6*[1]ステータス!$D$2,0)</f>
        <v>0</v>
      </c>
      <c r="BN6" s="10">
        <f ca="1">ROUND(BD6*V6*AD6*M6*BB6*[1]ステータス!$E$2,0)</f>
        <v>1875</v>
      </c>
      <c r="BO6" s="9">
        <v>0</v>
      </c>
      <c r="BP6" s="9">
        <v>1</v>
      </c>
      <c r="BQ6" s="36" t="s">
        <v>47</v>
      </c>
      <c r="BR6" s="9">
        <f ca="1">VLOOKUP(H6,[2]ghosts_label!$A$2:$B$19,2,FALSE)</f>
        <v>700</v>
      </c>
    </row>
    <row r="7" spans="1:70" ht="26" customHeight="1" x14ac:dyDescent="0.15">
      <c r="A7" s="186">
        <v>1556</v>
      </c>
      <c r="B7" s="53" t="str">
        <f ca="1">VLOOKUP($A7,OFFSET([1]characters!$A$1,0,0,COUNTA([1]characters!$A:$A),MATCH(B$1,[1]characters!$1:$1,0)-MATCH($A$1,[1]characters!$1:$1,0)+1),MATCH(B$1,[1]characters!$1:$1,0)-MATCH($A$1,[1]characters!$1:$1,0)+1,FALSE)</f>
        <v>Capricornus01</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green</v>
      </c>
      <c r="J7" s="10">
        <f ca="1">VLOOKUP(I7,[1]属性!$A:$E,2,FALSE)</f>
        <v>1.02</v>
      </c>
      <c r="K7" s="10">
        <f ca="1">VLOOKUP(I7,[1]属性!$A:$E,3,FALSE)</f>
        <v>0.98</v>
      </c>
      <c r="L7" s="10">
        <f ca="1">VLOOKUP(I7,[1]属性!$A:$E,4,FALSE)</f>
        <v>1</v>
      </c>
      <c r="M7" s="10">
        <f ca="1">VLOOKUP(I7,[1]属性!$A:$E,5,FALSE)</f>
        <v>1</v>
      </c>
      <c r="N7" s="10">
        <f ca="1">INDEX(コスト!$A$1:$I$21,MATCH(H7,コスト!$A$1:$A$21,FALSE),MATCH(G7,コスト!$A$1:$I$1,FALSE))</f>
        <v>35</v>
      </c>
      <c r="O7" s="10">
        <f ca="1">INDEX(レベル!$A$1:$I$22,MATCH(H7,レベル!$A$1:$A$22,FALSE),MATCH(G7,レベル!$A$1:$I$1,FALSE))</f>
        <v>80</v>
      </c>
      <c r="P7" s="44">
        <f t="shared" ca="1" si="7"/>
        <v>75</v>
      </c>
      <c r="Q7" s="53" t="str">
        <f ca="1">VLOOKUP($A7,OFFSET([1]characters!$A$1,0,0,COUNTA([1]characters!$A:$A),MATCH(Q$1,[1]characters!$1:$1,0)-MATCH($A$1,[1]characters!$1:$1,0)+1),MATCH(Q$1,[1]characters!$1:$1,0)-MATCH($A$1,[1]characters!$1:$1,0)+1,FALSE)</f>
        <v>balance</v>
      </c>
      <c r="R7" s="5" t="str">
        <f ca="1">VLOOKUP(Q7,[1]character_type_i18n!$A:$H,3,FALSE)</f>
        <v>バランスタイプ</v>
      </c>
      <c r="S7" s="10">
        <f ca="1">VLOOKUP(Q7,[1]character_type_i18n!$A:$H,4,FALSE)</f>
        <v>1</v>
      </c>
      <c r="T7" s="10">
        <f ca="1">VLOOKUP(Q7,[1]character_type_i18n!$A:$H,5,FALSE)</f>
        <v>1</v>
      </c>
      <c r="U7" s="10">
        <f ca="1">VLOOKUP(Q7,[1]character_type_i18n!$A:$H,6,FALSE)</f>
        <v>1</v>
      </c>
      <c r="V7" s="10">
        <f ca="1">VLOOKUP(Q7,[1]character_type_i18n!$A:$H,7,FALSE)</f>
        <v>1</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hero</v>
      </c>
      <c r="Z7" s="5" t="str">
        <f ca="1">VLOOKUP(Y7,[1]character_tribe_i18n!$A:$H,3,FALSE)</f>
        <v>ヒーロー</v>
      </c>
      <c r="AA7" s="10">
        <f ca="1">VLOOKUP(W7,[1]character_tribe_i18n!$A:$H,4,FALSE)</f>
        <v>0.94</v>
      </c>
      <c r="AB7" s="10">
        <f ca="1">VLOOKUP(W7,[1]character_tribe_i18n!$A:$H,5,FALSE)</f>
        <v>0.99</v>
      </c>
      <c r="AC7" s="10">
        <f ca="1">VLOOKUP(W7,[1]character_tribe_i18n!$A:$H,6,FALSE)</f>
        <v>1</v>
      </c>
      <c r="AD7" s="10">
        <f ca="1">VLOOKUP(W7,[1]character_tribe_i18n!$A:$H,7,FALSE)</f>
        <v>1.07</v>
      </c>
      <c r="AE7" s="198">
        <v>1557</v>
      </c>
      <c r="AF7" s="58" t="str">
        <f ca="1">IF(AE7="NULL","",VLOOKUP($AE7,OFFSET([1]characters!$A$1,0,0,COUNTA([1]characters!$A:$A),MATCH(AF$1,[1]characters!$1:$1,0)-MATCH($A$1,[1]characters!$1:$1,0)+1),MATCH(AF$1,[1]characters!$1:$1,0)-MATCH($A$1,[1]characters!$1:$1,0)+1,FALSE))</f>
        <v>Capricornus02</v>
      </c>
      <c r="AG7" s="198">
        <v>1556</v>
      </c>
      <c r="AH7" s="58" t="str">
        <f ca="1">VLOOKUP($AG7,OFFSET([1]characters!$A$1,0,0,COUNTA([1]characters!$A:$A),MATCH(AH$1,[1]characters!$1:$1,0)-MATCH($A$1,[1]characters!$1:$1,0)+1),MATCH(AH$1,[1]characters!$1:$1,0)-MATCH($A$1,[1]characters!$1:$1,0)+1,FALSE)</f>
        <v>Capricornus01</v>
      </c>
      <c r="AI7" s="10">
        <f ca="1">IF(AE7="NULL","NULL",VLOOKUP(G7,ビット!$A$2:$B$7,2))</f>
        <v>200000</v>
      </c>
      <c r="AJ7" s="6">
        <v>2</v>
      </c>
      <c r="AK7" s="7" t="str">
        <f t="shared" si="8"/>
        <v>普通</v>
      </c>
      <c r="AL7" s="10" t="str">
        <f ca="1">INDEX(経験値!$A$1:$I$21,MATCH(H7,経験値!$A$1:$A$21,FALSE),MATCH(G7,経験値!$A$1:$I$1,FALSE))</f>
        <v>required_exp_200</v>
      </c>
      <c r="AM7" s="8">
        <f ca="1">VLOOKUP(G7,経験値!$A$28:$B$32,2)</f>
        <v>6400</v>
      </c>
      <c r="AN7" s="16">
        <f ca="1">VLOOKUP(G7,ビット!$G$2:$H$7,2)</f>
        <v>900</v>
      </c>
      <c r="AO7" s="41"/>
      <c r="AP7" s="63">
        <v>1556</v>
      </c>
      <c r="AQ7" s="53" t="str">
        <f ca="1">VLOOKUP($AP7,OFFSET(unit_skills!$A$1,0,0,COUNTA(unit_skills!$A:$A),MATCH(AQ$1,unit_skills!$1:$1,0)-MATCH($AP$1,unit_skills!$1:$1,0)+1),MATCH(AQ$1,unit_skills!$1:$1,0)-MATCH($AP$1,unit_skills!$1:$1,0)+1,FALSE)</f>
        <v>Capricornus01スキル</v>
      </c>
      <c r="AR7" s="53" t="str">
        <f ca="1">VLOOKUP($AP7,OFFSET(unit_skills!$A$1,0,0,COUNTA(unit_skills!$A:$A),MATCH(AR$1,unit_skills!$1:$1,0)-MATCH($AP$1,unit_skills!$1:$1,0)+1),MATCH(AR$1,unit_skills!$1:$1,0)-MATCH($AP$1,unit_skills!$1:$1,0)+1,FALSE)</f>
        <v>ランダムで最大1個SCP(特大)、緑・青パネルを最大6個ずつCPに変換+2ターン緑属性の攻撃力特大UP、敵の防御力を0にする</v>
      </c>
      <c r="AS7" s="53">
        <f ca="1">VLOOKUP($AP7,OFFSET(unit_skills!$A$1,0,0,COUNTA(unit_skills!$A:$A),MATCH(AS$1,unit_skills!$1:$1,0)-MATCH($AP$1,unit_skills!$1:$1,0)+1),MATCH(AS$1,unit_skills!$1:$1,0)-MATCH($AP$1,unit_skills!$1:$1,0)+1,FALSE)</f>
        <v>0</v>
      </c>
      <c r="AT7" s="63">
        <v>1556</v>
      </c>
      <c r="AU7" s="53" t="str">
        <f ca="1">VLOOKUP($AT7,OFFSET(crash_skills!$A$1,0,0,COUNTA(crash_skills!$A:$A),MATCH(AU$1,crash_skills!$1:$1,0)-MATCH($AT$1,crash_skills!$1:$1,0)+1),MATCH(AU$1,crash_skills!$1:$1,0)-MATCH($AT$1,crash_skills!$1:$1,0)+1,FALSE)</f>
        <v>Capricornus01スキル</v>
      </c>
      <c r="AV7" s="53" t="str">
        <f ca="1">VLOOKUP($AT7,OFFSET(crash_skills!$A$1,0,0,COUNTA(crash_skills!$A:$A),MATCH(AV$1,crash_skills!$1:$1,0)-MATCH($AT$1,crash_skills!$1:$1,0)+1),MATCH(AV$1,crash_skills!$1:$1,0)-MATCH($AT$1,crash_skills!$1:$1,0)+1,FALSE)</f>
        <v>単体に3連続小ダメージ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1.0443</v>
      </c>
      <c r="AZ7" s="64">
        <v>1.1435</v>
      </c>
      <c r="BA7" s="64">
        <v>0</v>
      </c>
      <c r="BB7" s="64">
        <v>0.98129999999999995</v>
      </c>
      <c r="BC7" s="10">
        <f ca="1">INDEX('RC6SV'!$A$1:$G$21,MATCH(H7,'RC6SV'!$A$1:$A$21,FALSE),MATCH(G7,'RC6SV'!$A$1:$G$1,FALSE))</f>
        <v>9500</v>
      </c>
      <c r="BD7" s="44">
        <f t="shared" ca="1" si="9"/>
        <v>9500</v>
      </c>
      <c r="BE7" s="10">
        <f t="shared" ca="1" si="3"/>
        <v>0</v>
      </c>
      <c r="BF7" s="10">
        <f t="shared" ca="1" si="4"/>
        <v>1</v>
      </c>
      <c r="BG7" s="15">
        <f ca="1">IF($BE7&lt;=0,ROUND(BK7*0.5,0), ROUND($BE7*S7*AA7*J7*AY7*0.8*[1]ステータス!$B$2,0))</f>
        <v>2378</v>
      </c>
      <c r="BH7" s="15">
        <f ca="1">IF($BE7&lt;=0,ROUND(BL7*0.5,0), ROUND($BE7*T7*AB7*K7*AZ7*0.8*[1]ステータス!$C$2,0))</f>
        <v>1581</v>
      </c>
      <c r="BI7" s="15">
        <f ca="1">IF($BE7&lt;=0,ROUND(BM7*0.5,0), ROUND($BE7*U7*AC7*L7*BA7*0.8*[1]ステータス!$D$2,0))</f>
        <v>0</v>
      </c>
      <c r="BJ7" s="15">
        <f ca="1">IF($BE7&lt;=0,ROUND(BN7*0.5,0), ROUND($BE7*V7*AD7*M7*BB7*0.8*[1]ステータス!$E$2,0))</f>
        <v>1247</v>
      </c>
      <c r="BK7" s="10">
        <f ca="1">ROUND(BD7*S7*AA7*J7*AY7*[1]ステータス!$B$2,0)</f>
        <v>4756</v>
      </c>
      <c r="BL7" s="10">
        <f ca="1">ROUND(BD7*T7*AB7*K7*AZ7*[1]ステータス!$C$2,0)</f>
        <v>3162</v>
      </c>
      <c r="BM7" s="10">
        <f ca="1">ROUND(BD7*U7*AC7*L7*BA7*[1]ステータス!$D$2,0)</f>
        <v>0</v>
      </c>
      <c r="BN7" s="10">
        <f ca="1">ROUND(BD7*V7*AD7*M7*BB7*[1]ステータス!$E$2,0)</f>
        <v>2494</v>
      </c>
      <c r="BO7" s="9">
        <v>0</v>
      </c>
      <c r="BP7" s="9">
        <v>1</v>
      </c>
      <c r="BQ7" s="9" t="s">
        <v>47</v>
      </c>
      <c r="BR7" s="9">
        <f ca="1">VLOOKUP(H7,[2]ghosts_label!$A$2:$B$19,2,FALSE)</f>
        <v>5500</v>
      </c>
    </row>
    <row r="8" spans="1:70" ht="26" customHeight="1" x14ac:dyDescent="0.15">
      <c r="A8" s="186">
        <v>1557</v>
      </c>
      <c r="B8" s="53" t="str">
        <f ca="1">VLOOKUP($A8,OFFSET([1]characters!$A$1,0,0,COUNTA([1]characters!$A:$A),MATCH(B$1,[1]characters!$1:$1,0)-MATCH($A$1,[1]characters!$1:$1,0)+1),MATCH(B$1,[1]characters!$1:$1,0)-MATCH($A$1,[1]characters!$1:$1,0)+1,FALSE)</f>
        <v>Capricornus02</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v>
      </c>
      <c r="I8" s="53" t="str">
        <f ca="1">VLOOKUP($A8,OFFSET([1]characters!$A$1,0,0,COUNTA([1]characters!$A:$A),MATCH(I$1,[1]characters!$1:$1,0)-MATCH($A$1,[1]characters!$1:$1,0)+1),MATCH(I$1,[1]characters!$1:$1,0)-MATCH($A$1,[1]characters!$1:$1,0)+1,FALSE)</f>
        <v>green</v>
      </c>
      <c r="J8" s="10">
        <f ca="1">VLOOKUP(I8,[1]属性!$A:$E,2,FALSE)</f>
        <v>1.02</v>
      </c>
      <c r="K8" s="10">
        <f ca="1">VLOOKUP(I8,[1]属性!$A:$E,3,FALSE)</f>
        <v>0.98</v>
      </c>
      <c r="L8" s="10">
        <f ca="1">VLOOKUP(I8,[1]属性!$A:$E,4,FALSE)</f>
        <v>1</v>
      </c>
      <c r="M8" s="10">
        <f ca="1">VLOOKUP(I8,[1]属性!$A:$E,5,FALSE)</f>
        <v>1</v>
      </c>
      <c r="N8" s="10">
        <f ca="1">INDEX(コスト!$A$1:$I$21,MATCH(H8,コスト!$A$1:$A$21,FALSE),MATCH(G8,コスト!$A$1:$I$1,FALSE))</f>
        <v>50</v>
      </c>
      <c r="O8" s="10">
        <f ca="1">INDEX(レベル!$A$1:$I$22,MATCH(H8,レベル!$A$1:$A$22,FALSE),MATCH(G8,レベル!$A$1:$I$1,FALSE))</f>
        <v>99</v>
      </c>
      <c r="P8" s="44">
        <f t="shared" ca="1" si="7"/>
        <v>99</v>
      </c>
      <c r="Q8" s="53" t="str">
        <f ca="1">VLOOKUP($A8,OFFSET([1]characters!$A$1,0,0,COUNTA([1]characters!$A:$A),MATCH(Q$1,[1]characters!$1:$1,0)-MATCH($A$1,[1]characters!$1:$1,0)+1),MATCH(Q$1,[1]characters!$1:$1,0)-MATCH($A$1,[1]characters!$1:$1,0)+1,FALSE)</f>
        <v>balance</v>
      </c>
      <c r="R8" s="5" t="str">
        <f ca="1">VLOOKUP(Q8,[1]character_type_i18n!$A:$H,3,FALSE)</f>
        <v>バランスタイプ</v>
      </c>
      <c r="S8" s="10">
        <f ca="1">VLOOKUP(Q8,[1]character_type_i18n!$A:$H,4,FALSE)</f>
        <v>1</v>
      </c>
      <c r="T8" s="10">
        <f ca="1">VLOOKUP(Q8,[1]character_type_i18n!$A:$H,5,FALSE)</f>
        <v>1</v>
      </c>
      <c r="U8" s="10">
        <f ca="1">VLOOKUP(Q8,[1]character_type_i18n!$A:$H,6,FALSE)</f>
        <v>1</v>
      </c>
      <c r="V8" s="10">
        <f ca="1">VLOOKUP(Q8,[1]character_type_i18n!$A:$H,7,FALSE)</f>
        <v>1</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hero</v>
      </c>
      <c r="Z8" s="5" t="str">
        <f ca="1">VLOOKUP(Y8,[1]character_tribe_i18n!$A:$H,3,FALSE)</f>
        <v>ヒーロー</v>
      </c>
      <c r="AA8" s="10">
        <f ca="1">VLOOKUP(W8,[1]character_tribe_i18n!$A:$H,4,FALSE)</f>
        <v>0.94</v>
      </c>
      <c r="AB8" s="10">
        <f ca="1">VLOOKUP(W8,[1]character_tribe_i18n!$A:$H,5,FALSE)</f>
        <v>0.99</v>
      </c>
      <c r="AC8" s="10">
        <f ca="1">VLOOKUP(W8,[1]character_tribe_i18n!$A:$H,6,FALSE)</f>
        <v>1</v>
      </c>
      <c r="AD8" s="10">
        <f ca="1">VLOOKUP(W8,[1]character_tribe_i18n!$A:$H,7,FALSE)</f>
        <v>1.07</v>
      </c>
      <c r="AE8" s="187" t="s">
        <v>47</v>
      </c>
      <c r="AF8" s="58" t="str">
        <f ca="1">IF(AE8="NULL","",VLOOKUP($AE8,OFFSET([1]characters!$A$1,0,0,COUNTA([1]characters!$A:$A),MATCH(AF$1,[1]characters!$1:$1,0)-MATCH($A$1,[1]characters!$1:$1,0)+1),MATCH(AF$1,[1]characters!$1:$1,0)-MATCH($A$1,[1]characters!$1:$1,0)+1,FALSE))</f>
        <v/>
      </c>
      <c r="AG8" s="187">
        <v>1556</v>
      </c>
      <c r="AH8" s="58" t="str">
        <f ca="1">VLOOKUP($AG8,OFFSET([1]characters!$A$1,0,0,COUNTA([1]characters!$A:$A),MATCH(AH$1,[1]characters!$1:$1,0)-MATCH($A$1,[1]characters!$1:$1,0)+1),MATCH(AH$1,[1]characters!$1:$1,0)-MATCH($A$1,[1]characters!$1:$1,0)+1,FALSE)</f>
        <v>Capricornus01</v>
      </c>
      <c r="AI8" s="10" t="str">
        <f>IF(AE8="NULL","NULL",VLOOKUP(G8,ビット!$A$2:$B$7,2))</f>
        <v>NULL</v>
      </c>
      <c r="AJ8" s="6">
        <v>2</v>
      </c>
      <c r="AK8" s="7" t="str">
        <f t="shared" si="8"/>
        <v>普通</v>
      </c>
      <c r="AL8" s="10" t="str">
        <f ca="1">INDEX(経験値!$A$1:$I$21,MATCH(H8,経験値!$A$1:$A$21,FALSE),MATCH(G8,経験値!$A$1:$I$1,FALSE))</f>
        <v>required_exp_250</v>
      </c>
      <c r="AM8" s="8">
        <f ca="1">VLOOKUP(G8,経験値!$A$28:$B$32,2)</f>
        <v>6400</v>
      </c>
      <c r="AN8" s="16">
        <f ca="1">VLOOKUP(G8,ビット!$G$2:$H$7,2)</f>
        <v>900</v>
      </c>
      <c r="AO8" s="41"/>
      <c r="AP8" s="63">
        <v>1557</v>
      </c>
      <c r="AQ8" s="53" t="str">
        <f ca="1">VLOOKUP($AP8,OFFSET(unit_skills!$A$1,0,0,COUNTA(unit_skills!$A:$A),MATCH(AQ$1,unit_skills!$1:$1,0)-MATCH($AP$1,unit_skills!$1:$1,0)+1),MATCH(AQ$1,unit_skills!$1:$1,0)-MATCH($AP$1,unit_skills!$1:$1,0)+1,FALSE)</f>
        <v>Capricornus02スキル</v>
      </c>
      <c r="AR8" s="53" t="str">
        <f ca="1">VLOOKUP($AP8,OFFSET(unit_skills!$A$1,0,0,COUNTA(unit_skills!$A:$A),MATCH(AR$1,unit_skills!$1:$1,0)-MATCH($AP$1,unit_skills!$1:$1,0)+1),MATCH(AR$1,unit_skills!$1:$1,0)-MATCH($AP$1,unit_skills!$1:$1,0)+1,FALSE)</f>
        <v>ランダムで最大1個SCP(特大)、緑・青パネルを最大6個ずつCPに変換+2ターン緑属性の攻撃力特大UP、敵の防御力を0にする</v>
      </c>
      <c r="AS8" s="53">
        <f ca="1">VLOOKUP($AP8,OFFSET(unit_skills!$A$1,0,0,COUNTA(unit_skills!$A:$A),MATCH(AS$1,unit_skills!$1:$1,0)-MATCH($AP$1,unit_skills!$1:$1,0)+1),MATCH(AS$1,unit_skills!$1:$1,0)-MATCH($AP$1,unit_skills!$1:$1,0)+1,FALSE)</f>
        <v>0</v>
      </c>
      <c r="AT8" s="63">
        <v>1557</v>
      </c>
      <c r="AU8" s="53" t="str">
        <f ca="1">VLOOKUP($AT8,OFFSET(crash_skills!$A$1,0,0,COUNTA(crash_skills!$A:$A),MATCH(AU$1,crash_skills!$1:$1,0)-MATCH($AT$1,crash_skills!$1:$1,0)+1),MATCH(AU$1,crash_skills!$1:$1,0)-MATCH($AT$1,crash_skills!$1:$1,0)+1,FALSE)</f>
        <v>Capricornus02スキル</v>
      </c>
      <c r="AV8" s="53" t="str">
        <f ca="1">VLOOKUP($AT8,OFFSET(crash_skills!$A$1,0,0,COUNTA(crash_skills!$A:$A),MATCH(AV$1,crash_skills!$1:$1,0)-MATCH($AT$1,crash_skills!$1:$1,0)+1),MATCH(AV$1,crash_skills!$1:$1,0)-MATCH($AT$1,crash_skills!$1:$1,0)+1,FALSE)</f>
        <v>単体に4連続ダメージ</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1</v>
      </c>
      <c r="AY8" s="64">
        <v>1.0443</v>
      </c>
      <c r="AZ8" s="64">
        <v>1.1435</v>
      </c>
      <c r="BA8" s="64">
        <v>0</v>
      </c>
      <c r="BB8" s="64">
        <v>0.98129999999999995</v>
      </c>
      <c r="BC8" s="10">
        <f ca="1">INDEX('RC6SV'!$A$1:$G$21,MATCH(H8,'RC6SV'!$A$1:$A$21,FALSE),MATCH(G8,'RC6SV'!$A$1:$G$1,FALSE))</f>
        <v>13000</v>
      </c>
      <c r="BD8" s="44">
        <f t="shared" ca="1" si="9"/>
        <v>13000</v>
      </c>
      <c r="BE8" s="10">
        <f t="shared" ca="1" si="3"/>
        <v>9500</v>
      </c>
      <c r="BF8" s="10">
        <f t="shared" ca="1" si="4"/>
        <v>1</v>
      </c>
      <c r="BG8" s="15">
        <f ca="1">IF($BE8&lt;=0,ROUND(BK8*0.5,0), ROUND($BE8*S8*AA8*J8*AY8*0.8*[1]ステータス!$B$2,0))</f>
        <v>3805</v>
      </c>
      <c r="BH8" s="15">
        <f ca="1">IF($BE8&lt;=0,ROUND(BL8*0.5,0), ROUND($BE8*T8*AB8*K8*AZ8*0.8*[1]ステータス!$C$2,0))</f>
        <v>2529</v>
      </c>
      <c r="BI8" s="15">
        <f ca="1">IF($BE8&lt;=0,ROUND(BM8*0.5,0), ROUND($BE8*U8*AC8*L8*BA8*0.8*[1]ステータス!$D$2,0))</f>
        <v>0</v>
      </c>
      <c r="BJ8" s="15">
        <f ca="1">IF($BE8&lt;=0,ROUND(BN8*0.5,0), ROUND($BE8*V8*AD8*M8*BB8*0.8*[1]ステータス!$E$2,0))</f>
        <v>1995</v>
      </c>
      <c r="BK8" s="10">
        <f ca="1">ROUND(BD8*S8*AA8*J8*AY8*[1]ステータス!$B$2,0)</f>
        <v>6508</v>
      </c>
      <c r="BL8" s="10">
        <f ca="1">ROUND(BD8*T8*AB8*K8*AZ8*[1]ステータス!$C$2,0)</f>
        <v>4327</v>
      </c>
      <c r="BM8" s="10">
        <f ca="1">ROUND(BD8*U8*AC8*L8*BA8*[1]ステータス!$D$2,0)</f>
        <v>0</v>
      </c>
      <c r="BN8" s="10">
        <f ca="1">ROUND(BD8*V8*AD8*M8*BB8*[1]ステータス!$E$2,0)</f>
        <v>3412</v>
      </c>
      <c r="BO8" s="9">
        <v>0</v>
      </c>
      <c r="BP8" s="9">
        <v>1</v>
      </c>
      <c r="BQ8" s="36" t="s">
        <v>47</v>
      </c>
      <c r="BR8" s="9">
        <f ca="1">VLOOKUP(H8,[2]ghosts_label!$A$2:$B$19,2,FALSE)</f>
        <v>5500</v>
      </c>
    </row>
    <row r="9" spans="1:70" ht="26" customHeight="1" x14ac:dyDescent="0.15">
      <c r="A9" s="186">
        <v>1558</v>
      </c>
      <c r="B9" s="53" t="str">
        <f ca="1">VLOOKUP($A9,OFFSET([1]characters!$A$1,0,0,COUNTA([1]characters!$A:$A),MATCH(B$1,[1]characters!$1:$1,0)-MATCH($A$1,[1]characters!$1:$1,0)+1),MATCH(B$1,[1]characters!$1:$1,0)-MATCH($A$1,[1]characters!$1:$1,0)+1,FALSE)</f>
        <v>Aries01</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blue</v>
      </c>
      <c r="J9" s="10">
        <f ca="1">VLOOKUP(I9,[1]属性!$A:$E,2,FALSE)</f>
        <v>1</v>
      </c>
      <c r="K9" s="10">
        <f ca="1">VLOOKUP(I9,[1]属性!$A:$E,3,FALSE)</f>
        <v>0.98</v>
      </c>
      <c r="L9" s="10">
        <f ca="1">VLOOKUP(I9,[1]属性!$A:$E,4,FALSE)</f>
        <v>1</v>
      </c>
      <c r="M9" s="10">
        <f ca="1">VLOOKUP(I9,[1]属性!$A:$E,5,FALSE)</f>
        <v>1.02</v>
      </c>
      <c r="N9" s="10">
        <f ca="1">INDEX(コスト!$A$1:$I$21,MATCH(H9,コスト!$A$1:$A$21,FALSE),MATCH(G9,コスト!$A$1:$I$1,FALSE))</f>
        <v>35</v>
      </c>
      <c r="O9" s="10">
        <f ca="1">INDEX(レベル!$A$1:$I$22,MATCH(H9,レベル!$A$1:$A$22,FALSE),MATCH(G9,レベル!$A$1:$I$1,FALSE))</f>
        <v>80</v>
      </c>
      <c r="P9" s="44">
        <f t="shared" ca="1" si="7"/>
        <v>75</v>
      </c>
      <c r="Q9" s="53" t="str">
        <f ca="1">VLOOKUP($A9,OFFSET([1]characters!$A$1,0,0,COUNTA([1]characters!$A:$A),MATCH(Q$1,[1]characters!$1:$1,0)-MATCH($A$1,[1]characters!$1:$1,0)+1),MATCH(Q$1,[1]characters!$1:$1,0)-MATCH($A$1,[1]characters!$1:$1,0)+1,FALSE)</f>
        <v>heal</v>
      </c>
      <c r="R9" s="5" t="str">
        <f ca="1">VLOOKUP(Q9,[1]character_type_i18n!$A:$H,3,FALSE)</f>
        <v>回復タイプ</v>
      </c>
      <c r="S9" s="10">
        <f ca="1">VLOOKUP(Q9,[1]character_type_i18n!$A:$H,4,FALSE)</f>
        <v>0.8</v>
      </c>
      <c r="T9" s="10">
        <f ca="1">VLOOKUP(Q9,[1]character_type_i18n!$A:$H,5,FALSE)</f>
        <v>0.78</v>
      </c>
      <c r="U9" s="10">
        <f ca="1">VLOOKUP(Q9,[1]character_type_i18n!$A:$H,6,FALSE)</f>
        <v>1</v>
      </c>
      <c r="V9" s="10">
        <f ca="1">VLOOKUP(Q9,[1]character_type_i18n!$A:$H,7,FALSE)</f>
        <v>1.42</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0.94</v>
      </c>
      <c r="AB9" s="10">
        <f ca="1">VLOOKUP(W9,[1]character_tribe_i18n!$A:$H,5,FALSE)</f>
        <v>0.99</v>
      </c>
      <c r="AC9" s="10">
        <f ca="1">VLOOKUP(W9,[1]character_tribe_i18n!$A:$H,6,FALSE)</f>
        <v>1</v>
      </c>
      <c r="AD9" s="10">
        <f ca="1">VLOOKUP(W9,[1]character_tribe_i18n!$A:$H,7,FALSE)</f>
        <v>1.07</v>
      </c>
      <c r="AE9" s="198">
        <v>1559</v>
      </c>
      <c r="AF9" s="58" t="str">
        <f ca="1">IF(AE9="NULL","",VLOOKUP($AE9,OFFSET([1]characters!$A$1,0,0,COUNTA([1]characters!$A:$A),MATCH(AF$1,[1]characters!$1:$1,0)-MATCH($A$1,[1]characters!$1:$1,0)+1),MATCH(AF$1,[1]characters!$1:$1,0)-MATCH($A$1,[1]characters!$1:$1,0)+1,FALSE))</f>
        <v>Aries02</v>
      </c>
      <c r="AG9" s="198">
        <v>1558</v>
      </c>
      <c r="AH9" s="58" t="str">
        <f ca="1">VLOOKUP($AG9,OFFSET([1]characters!$A$1,0,0,COUNTA([1]characters!$A:$A),MATCH(AH$1,[1]characters!$1:$1,0)-MATCH($A$1,[1]characters!$1:$1,0)+1),MATCH(AH$1,[1]characters!$1:$1,0)-MATCH($A$1,[1]characters!$1:$1,0)+1,FALSE)</f>
        <v>Aries01</v>
      </c>
      <c r="AI9" s="10">
        <f ca="1">IF(AE9="NULL","NULL",VLOOKUP(G9,ビット!$A$2:$B$7,2))</f>
        <v>200000</v>
      </c>
      <c r="AJ9" s="6">
        <v>2</v>
      </c>
      <c r="AK9" s="7" t="str">
        <f t="shared" si="8"/>
        <v>普通</v>
      </c>
      <c r="AL9" s="10" t="str">
        <f ca="1">INDEX(経験値!$A$1:$I$21,MATCH(H9,経験値!$A$1:$A$21,FALSE),MATCH(G9,経験値!$A$1:$I$1,FALSE))</f>
        <v>required_exp_200</v>
      </c>
      <c r="AM9" s="8">
        <f ca="1">VLOOKUP(G9,経験値!$A$28:$B$32,2)</f>
        <v>6400</v>
      </c>
      <c r="AN9" s="16">
        <f ca="1">VLOOKUP(G9,ビット!$G$2:$H$7,2)</f>
        <v>900</v>
      </c>
      <c r="AO9" s="41"/>
      <c r="AP9" s="63">
        <v>1558</v>
      </c>
      <c r="AQ9" s="53" t="str">
        <f ca="1">VLOOKUP($AP9,OFFSET(unit_skills!$A$1,0,0,COUNTA(unit_skills!$A:$A),MATCH(AQ$1,unit_skills!$1:$1,0)-MATCH($AP$1,unit_skills!$1:$1,0)+1),MATCH(AQ$1,unit_skills!$1:$1,0)-MATCH($AP$1,unit_skills!$1:$1,0)+1,FALSE)</f>
        <v>Aries01スキル</v>
      </c>
      <c r="AR9" s="53" t="str">
        <f ca="1">VLOOKUP($AP9,OFFSET(unit_skills!$A$1,0,0,COUNTA(unit_skills!$A:$A),MATCH(AR$1,unit_skills!$1:$1,0)-MATCH($AP$1,unit_skills!$1:$1,0)+1),MATCH(AR$1,unit_skills!$1:$1,0)-MATCH($AP$1,unit_skills!$1:$1,0)+1,FALSE)</f>
        <v>自身にバリア4000を展開+縦一列を3か所(C・青ボム・ハートパネル)に変換+3ターン自身の攻撃力1200UP</v>
      </c>
      <c r="AS9" s="53">
        <f ca="1">VLOOKUP($AP9,OFFSET(unit_skills!$A$1,0,0,COUNTA(unit_skills!$A:$A),MATCH(AS$1,unit_skills!$1:$1,0)-MATCH($AP$1,unit_skills!$1:$1,0)+1),MATCH(AS$1,unit_skills!$1:$1,0)-MATCH($AP$1,unit_skills!$1:$1,0)+1,FALSE)</f>
        <v>0</v>
      </c>
      <c r="AT9" s="63">
        <v>1558</v>
      </c>
      <c r="AU9" s="53" t="str">
        <f ca="1">VLOOKUP($AT9,OFFSET(crash_skills!$A$1,0,0,COUNTA(crash_skills!$A:$A),MATCH(AU$1,crash_skills!$1:$1,0)-MATCH($AT$1,crash_skills!$1:$1,0)+1),MATCH(AU$1,crash_skills!$1:$1,0)-MATCH($AT$1,crash_skills!$1:$1,0)+1,FALSE)</f>
        <v>Aries01スキル</v>
      </c>
      <c r="AV9" s="53" t="str">
        <f ca="1">VLOOKUP($AT9,OFFSET(crash_skills!$A$1,0,0,COUNTA(crash_skills!$A:$A),MATCH(AV$1,crash_skills!$1:$1,0)-MATCH($AT$1,crash_skills!$1:$1,0)+1),MATCH(AV$1,crash_skills!$1:$1,0)-MATCH($AT$1,crash_skills!$1:$1,0)+1,FALSE)</f>
        <v>自身の回復力に比例して1体に特大ダメージ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1</v>
      </c>
      <c r="AY9" s="64">
        <v>1.1477999999999999</v>
      </c>
      <c r="AZ9" s="64">
        <v>1.34</v>
      </c>
      <c r="BA9" s="64">
        <v>0</v>
      </c>
      <c r="BB9" s="64">
        <v>0.94879999999999998</v>
      </c>
      <c r="BC9" s="10">
        <f ca="1">INDEX('RC6SV'!$A$1:$G$21,MATCH(H9,'RC6SV'!$A$1:$A$21,FALSE),MATCH(G9,'RC6SV'!$A$1:$G$1,FALSE))</f>
        <v>9500</v>
      </c>
      <c r="BD9" s="44">
        <f t="shared" ca="1" si="9"/>
        <v>9500</v>
      </c>
      <c r="BE9" s="10">
        <f t="shared" ca="1" si="3"/>
        <v>0</v>
      </c>
      <c r="BF9" s="10">
        <f t="shared" ca="1" si="4"/>
        <v>1</v>
      </c>
      <c r="BG9" s="15">
        <f ca="1">IF($BE9&lt;=0,ROUND(BK9*0.5,0), ROUND($BE9*S9*AA9*J9*AY9*0.8*[1]ステータス!$B$2,0))</f>
        <v>2050</v>
      </c>
      <c r="BH9" s="15">
        <f ca="1">IF($BE9&lt;=0,ROUND(BL9*0.5,0), ROUND($BE9*T9*AB9*K9*AZ9*0.8*[1]ステータス!$C$2,0))</f>
        <v>1445</v>
      </c>
      <c r="BI9" s="15">
        <f ca="1">IF($BE9&lt;=0,ROUND(BM9*0.5,0), ROUND($BE9*U9*AC9*L9*BA9*0.8*[1]ステータス!$D$2,0))</f>
        <v>0</v>
      </c>
      <c r="BJ9" s="15">
        <f ca="1">IF($BE9&lt;=0,ROUND(BN9*0.5,0), ROUND($BE9*V9*AD9*M9*BB9*0.8*[1]ステータス!$E$2,0))</f>
        <v>1746</v>
      </c>
      <c r="BK9" s="10">
        <f ca="1">ROUND(BD9*S9*AA9*J9*AY9*[1]ステータス!$B$2,0)</f>
        <v>4100</v>
      </c>
      <c r="BL9" s="10">
        <f ca="1">ROUND(BD9*T9*AB9*K9*AZ9*[1]ステータス!$C$2,0)</f>
        <v>2890</v>
      </c>
      <c r="BM9" s="10">
        <f ca="1">ROUND(BD9*U9*AC9*L9*BA9*[1]ステータス!$D$2,0)</f>
        <v>0</v>
      </c>
      <c r="BN9" s="10">
        <f ca="1">ROUND(BD9*V9*AD9*M9*BB9*[1]ステータス!$E$2,0)</f>
        <v>3492</v>
      </c>
      <c r="BO9" s="9">
        <v>0</v>
      </c>
      <c r="BP9" s="9">
        <v>1</v>
      </c>
      <c r="BQ9" s="9" t="s">
        <v>47</v>
      </c>
      <c r="BR9" s="9">
        <f ca="1">VLOOKUP(H9,[2]ghosts_label!$A$2:$B$19,2,FALSE)</f>
        <v>5500</v>
      </c>
    </row>
    <row r="10" spans="1:70" ht="26" customHeight="1" x14ac:dyDescent="0.15">
      <c r="A10" s="186">
        <v>1559</v>
      </c>
      <c r="B10" s="53" t="str">
        <f ca="1">VLOOKUP($A10,OFFSET([1]characters!$A$1,0,0,COUNTA([1]characters!$A:$A),MATCH(B$1,[1]characters!$1:$1,0)-MATCH($A$1,[1]characters!$1:$1,0)+1),MATCH(B$1,[1]characters!$1:$1,0)-MATCH($A$1,[1]characters!$1:$1,0)+1,FALSE)</f>
        <v>Aries02</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blue</v>
      </c>
      <c r="J10" s="10">
        <f ca="1">VLOOKUP(I10,[1]属性!$A:$E,2,FALSE)</f>
        <v>1</v>
      </c>
      <c r="K10" s="10">
        <f ca="1">VLOOKUP(I10,[1]属性!$A:$E,3,FALSE)</f>
        <v>0.98</v>
      </c>
      <c r="L10" s="10">
        <f ca="1">VLOOKUP(I10,[1]属性!$A:$E,4,FALSE)</f>
        <v>1</v>
      </c>
      <c r="M10" s="10">
        <f ca="1">VLOOKUP(I10,[1]属性!$A:$E,5,FALSE)</f>
        <v>1.02</v>
      </c>
      <c r="N10" s="10">
        <f ca="1">INDEX(コスト!$A$1:$I$21,MATCH(H10,コスト!$A$1:$A$21,FALSE),MATCH(G10,コスト!$A$1:$I$1,FALSE))</f>
        <v>50</v>
      </c>
      <c r="O10" s="10">
        <f ca="1">INDEX(レベル!$A$1:$I$22,MATCH(H10,レベル!$A$1:$A$22,FALSE),MATCH(G10,レベル!$A$1:$I$1,FALSE))</f>
        <v>99</v>
      </c>
      <c r="P10" s="44">
        <f t="shared" ref="P10:P27" ca="1" si="10">IF(G10 &gt;= 6, 99,G10*15)</f>
        <v>99</v>
      </c>
      <c r="Q10" s="53" t="str">
        <f ca="1">VLOOKUP($A10,OFFSET([1]characters!$A$1,0,0,COUNTA([1]characters!$A:$A),MATCH(Q$1,[1]characters!$1:$1,0)-MATCH($A$1,[1]characters!$1:$1,0)+1),MATCH(Q$1,[1]characters!$1:$1,0)-MATCH($A$1,[1]characters!$1:$1,0)+1,FALSE)</f>
        <v>heal</v>
      </c>
      <c r="R10" s="5" t="str">
        <f ca="1">VLOOKUP(Q10,[1]character_type_i18n!$A:$H,3,FALSE)</f>
        <v>回復タイプ</v>
      </c>
      <c r="S10" s="10">
        <f ca="1">VLOOKUP(Q10,[1]character_type_i18n!$A:$H,4,FALSE)</f>
        <v>0.8</v>
      </c>
      <c r="T10" s="10">
        <f ca="1">VLOOKUP(Q10,[1]character_type_i18n!$A:$H,5,FALSE)</f>
        <v>0.78</v>
      </c>
      <c r="U10" s="10">
        <f ca="1">VLOOKUP(Q10,[1]character_type_i18n!$A:$H,6,FALSE)</f>
        <v>1</v>
      </c>
      <c r="V10" s="10">
        <f ca="1">VLOOKUP(Q10,[1]character_type_i18n!$A:$H,7,FALSE)</f>
        <v>1.42</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0.94</v>
      </c>
      <c r="AB10" s="10">
        <f ca="1">VLOOKUP(W10,[1]character_tribe_i18n!$A:$H,5,FALSE)</f>
        <v>0.99</v>
      </c>
      <c r="AC10" s="10">
        <f ca="1">VLOOKUP(W10,[1]character_tribe_i18n!$A:$H,6,FALSE)</f>
        <v>1</v>
      </c>
      <c r="AD10" s="10">
        <f ca="1">VLOOKUP(W10,[1]character_tribe_i18n!$A:$H,7,FALSE)</f>
        <v>1.07</v>
      </c>
      <c r="AE10" s="187" t="s">
        <v>47</v>
      </c>
      <c r="AF10" s="58" t="str">
        <f ca="1">IF(AE10="NULL","",VLOOKUP($AE10,OFFSET([1]characters!$A$1,0,0,COUNTA([1]characters!$A:$A),MATCH(AF$1,[1]characters!$1:$1,0)-MATCH($A$1,[1]characters!$1:$1,0)+1),MATCH(AF$1,[1]characters!$1:$1,0)-MATCH($A$1,[1]characters!$1:$1,0)+1,FALSE))</f>
        <v/>
      </c>
      <c r="AG10" s="187">
        <v>1558</v>
      </c>
      <c r="AH10" s="58" t="str">
        <f ca="1">VLOOKUP($AG10,OFFSET([1]characters!$A$1,0,0,COUNTA([1]characters!$A:$A),MATCH(AH$1,[1]characters!$1:$1,0)-MATCH($A$1,[1]characters!$1:$1,0)+1),MATCH(AH$1,[1]characters!$1:$1,0)-MATCH($A$1,[1]characters!$1:$1,0)+1,FALSE)</f>
        <v>Aries01</v>
      </c>
      <c r="AI10" s="10" t="str">
        <f>IF(AE10="NULL","NULL",VLOOKUP(G10,ビット!$A$2:$B$7,2))</f>
        <v>NULL</v>
      </c>
      <c r="AJ10" s="6">
        <v>2</v>
      </c>
      <c r="AK10" s="7" t="str">
        <f t="shared" si="8"/>
        <v>普通</v>
      </c>
      <c r="AL10" s="10" t="str">
        <f ca="1">INDEX(経験値!$A$1:$I$21,MATCH(H10,経験値!$A$1:$A$21,FALSE),MATCH(G10,経験値!$A$1:$I$1,FALSE))</f>
        <v>required_exp_250</v>
      </c>
      <c r="AM10" s="8">
        <f ca="1">VLOOKUP(G10,経験値!$A$28:$B$32,2)</f>
        <v>6400</v>
      </c>
      <c r="AN10" s="16">
        <f ca="1">VLOOKUP(G10,ビット!$G$2:$H$7,2)</f>
        <v>900</v>
      </c>
      <c r="AO10" s="41"/>
      <c r="AP10" s="63">
        <v>1559</v>
      </c>
      <c r="AQ10" s="53" t="str">
        <f ca="1">VLOOKUP($AP10,OFFSET(unit_skills!$A$1,0,0,COUNTA(unit_skills!$A:$A),MATCH(AQ$1,unit_skills!$1:$1,0)-MATCH($AP$1,unit_skills!$1:$1,0)+1),MATCH(AQ$1,unit_skills!$1:$1,0)-MATCH($AP$1,unit_skills!$1:$1,0)+1,FALSE)</f>
        <v>Aries02スキル</v>
      </c>
      <c r="AR10" s="53" t="str">
        <f ca="1">VLOOKUP($AP10,OFFSET(unit_skills!$A$1,0,0,COUNTA(unit_skills!$A:$A),MATCH(AR$1,unit_skills!$1:$1,0)-MATCH($AP$1,unit_skills!$1:$1,0)+1),MATCH(AR$1,unit_skills!$1:$1,0)-MATCH($AP$1,unit_skills!$1:$1,0)+1,FALSE)</f>
        <v>自身にバリア4000を展開+縦一列を3か所(C・青ボム・ハートパネル)に変換+3ターン自身の攻撃力1200UP</v>
      </c>
      <c r="AS10" s="53">
        <f ca="1">VLOOKUP($AP10,OFFSET(unit_skills!$A$1,0,0,COUNTA(unit_skills!$A:$A),MATCH(AS$1,unit_skills!$1:$1,0)-MATCH($AP$1,unit_skills!$1:$1,0)+1),MATCH(AS$1,unit_skills!$1:$1,0)-MATCH($AP$1,unit_skills!$1:$1,0)+1,FALSE)</f>
        <v>0</v>
      </c>
      <c r="AT10" s="63">
        <v>1559</v>
      </c>
      <c r="AU10" s="53" t="str">
        <f ca="1">VLOOKUP($AT10,OFFSET(crash_skills!$A$1,0,0,COUNTA(crash_skills!$A:$A),MATCH(AU$1,crash_skills!$1:$1,0)-MATCH($AT$1,crash_skills!$1:$1,0)+1),MATCH(AU$1,crash_skills!$1:$1,0)-MATCH($AT$1,crash_skills!$1:$1,0)+1,FALSE)</f>
        <v>Aries02スキル</v>
      </c>
      <c r="AV10" s="53" t="str">
        <f ca="1">VLOOKUP($AT10,OFFSET(crash_skills!$A$1,0,0,COUNTA(crash_skills!$A:$A),MATCH(AV$1,crash_skills!$1:$1,0)-MATCH($AT$1,crash_skills!$1:$1,0)+1),MATCH(AV$1,crash_skills!$1:$1,0)-MATCH($AT$1,crash_skills!$1:$1,0)+1,FALSE)</f>
        <v>自身の回復力に比例して1体に超大ダメージ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1</v>
      </c>
      <c r="AY10" s="64">
        <v>1.1477999999999999</v>
      </c>
      <c r="AZ10" s="64">
        <v>1.34</v>
      </c>
      <c r="BA10" s="64">
        <v>0</v>
      </c>
      <c r="BB10" s="64">
        <v>0.94879999999999998</v>
      </c>
      <c r="BC10" s="10">
        <f ca="1">INDEX('RC6SV'!$A$1:$G$21,MATCH(H10,'RC6SV'!$A$1:$A$21,FALSE),MATCH(G10,'RC6SV'!$A$1:$G$1,FALSE))</f>
        <v>13000</v>
      </c>
      <c r="BD10" s="44">
        <f t="shared" ca="1" si="9"/>
        <v>13000</v>
      </c>
      <c r="BE10" s="10">
        <f t="shared" ca="1" si="3"/>
        <v>9500</v>
      </c>
      <c r="BF10" s="10">
        <f t="shared" ca="1" si="4"/>
        <v>1</v>
      </c>
      <c r="BG10" s="15">
        <f ca="1">IF($BE10&lt;=0,ROUND(BK10*0.5,0), ROUND($BE10*S10*AA10*J10*AY10*0.8*[1]ステータス!$B$2,0))</f>
        <v>3280</v>
      </c>
      <c r="BH10" s="15">
        <f ca="1">IF($BE10&lt;=0,ROUND(BL10*0.5,0), ROUND($BE10*T10*AB10*K10*AZ10*0.8*[1]ステータス!$C$2,0))</f>
        <v>2312</v>
      </c>
      <c r="BI10" s="15">
        <f ca="1">IF($BE10&lt;=0,ROUND(BM10*0.5,0), ROUND($BE10*U10*AC10*L10*BA10*0.8*[1]ステータス!$D$2,0))</f>
        <v>0</v>
      </c>
      <c r="BJ10" s="15">
        <f ca="1">IF($BE10&lt;=0,ROUND(BN10*0.5,0), ROUND($BE10*V10*AD10*M10*BB10*0.8*[1]ステータス!$E$2,0))</f>
        <v>2794</v>
      </c>
      <c r="BK10" s="10">
        <f ca="1">ROUND(BD10*S10*AA10*J10*AY10*[1]ステータス!$B$2,0)</f>
        <v>5610</v>
      </c>
      <c r="BL10" s="10">
        <f ca="1">ROUND(BD10*T10*AB10*K10*AZ10*[1]ステータス!$C$2,0)</f>
        <v>3955</v>
      </c>
      <c r="BM10" s="10">
        <f ca="1">ROUND(BD10*U10*AC10*L10*BA10*[1]ステータス!$D$2,0)</f>
        <v>0</v>
      </c>
      <c r="BN10" s="10">
        <f ca="1">ROUND(BD10*V10*AD10*M10*BB10*[1]ステータス!$E$2,0)</f>
        <v>4779</v>
      </c>
      <c r="BO10" s="9">
        <v>0</v>
      </c>
      <c r="BP10" s="9">
        <v>1</v>
      </c>
      <c r="BQ10" s="36" t="s">
        <v>47</v>
      </c>
      <c r="BR10" s="9">
        <f ca="1">VLOOKUP(H10,[2]ghosts_label!$A$2:$B$19,2,FALSE)</f>
        <v>5500</v>
      </c>
    </row>
    <row r="11" spans="1:70" ht="26" customHeight="1" x14ac:dyDescent="0.15">
      <c r="A11" s="186">
        <v>1560</v>
      </c>
      <c r="B11" s="53" t="str">
        <f ca="1">VLOOKUP($A11,OFFSET([1]characters!$A$1,0,0,COUNTA([1]characters!$A:$A),MATCH(B$1,[1]characters!$1:$1,0)-MATCH($A$1,[1]characters!$1:$1,0)+1),MATCH(B$1,[1]characters!$1:$1,0)-MATCH($A$1,[1]characters!$1:$1,0)+1,FALSE)</f>
        <v>Pisces01</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30</v>
      </c>
      <c r="O11" s="10">
        <f ca="1">INDEX(レベル!$A$1:$I$22,MATCH(H11,レベル!$A$1:$A$22,FALSE),MATCH(G11,レベル!$A$1:$I$1,FALSE))</f>
        <v>80</v>
      </c>
      <c r="P11" s="44">
        <f t="shared" ca="1" si="10"/>
        <v>75</v>
      </c>
      <c r="Q11" s="53" t="str">
        <f ca="1">VLOOKUP($A11,OFFSET([1]characters!$A$1,0,0,COUNTA([1]characters!$A:$A),MATCH(Q$1,[1]characters!$1:$1,0)-MATCH($A$1,[1]characters!$1:$1,0)+1),MATCH(Q$1,[1]characters!$1:$1,0)-MATCH($A$1,[1]characters!$1:$1,0)+1,FALSE)</f>
        <v>technical</v>
      </c>
      <c r="R11" s="5" t="str">
        <f ca="1">VLOOKUP(Q11,[1]character_type_i18n!$A:$H,3,FALSE)</f>
        <v>テクニカルタイプ</v>
      </c>
      <c r="S11" s="10">
        <f ca="1">VLOOKUP(Q11,[1]character_type_i18n!$A:$H,4,FALSE)</f>
        <v>0.9</v>
      </c>
      <c r="T11" s="10">
        <f ca="1">VLOOKUP(Q11,[1]character_type_i18n!$A:$H,5,FALSE)</f>
        <v>0.9</v>
      </c>
      <c r="U11" s="10">
        <f ca="1">VLOOKUP(Q11,[1]character_type_i18n!$A:$H,6,FALSE)</f>
        <v>1</v>
      </c>
      <c r="V11" s="10">
        <f ca="1">VLOOKUP(Q11,[1]character_type_i18n!$A:$H,7,FALSE)</f>
        <v>0.9</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47</v>
      </c>
      <c r="AF11" s="58" t="str">
        <f ca="1">IF(AE11="NULL","",VLOOKUP($AE11,OFFSET([1]characters!$A$1,0,0,COUNTA([1]characters!$A:$A),MATCH(AF$1,[1]characters!$1:$1,0)-MATCH($A$1,[1]characters!$1:$1,0)+1),MATCH(AF$1,[1]characters!$1:$1,0)-MATCH($A$1,[1]characters!$1:$1,0)+1,FALSE))</f>
        <v/>
      </c>
      <c r="AG11" s="187">
        <v>1560</v>
      </c>
      <c r="AH11" s="58" t="str">
        <f ca="1">VLOOKUP($AG11,OFFSET([1]characters!$A$1,0,0,COUNTA([1]characters!$A:$A),MATCH(AH$1,[1]characters!$1:$1,0)-MATCH($A$1,[1]characters!$1:$1,0)+1),MATCH(AH$1,[1]characters!$1:$1,0)-MATCH($A$1,[1]characters!$1:$1,0)+1,FALSE)</f>
        <v>Pisces01</v>
      </c>
      <c r="AI11" s="10" t="str">
        <f>IF(AE11="NULL","NULL",VLOOKUP(G11,ビット!$A$2:$B$7,2))</f>
        <v>NULL</v>
      </c>
      <c r="AJ11" s="6">
        <v>2</v>
      </c>
      <c r="AK11" s="7" t="str">
        <f t="shared" ref="AK11:AK28" si="11">IF(AJ11=1,"早熟",IF(AJ11=2,"普通",IF(AJ11=3,"晩成","")))</f>
        <v>普通</v>
      </c>
      <c r="AL11" s="10" t="str">
        <f ca="1">INDEX(経験値!$A$1:$I$21,MATCH(H11,経験値!$A$1:$A$21,FALSE),MATCH(G11,経験値!$A$1:$I$1,FALSE))</f>
        <v>required_exp_200</v>
      </c>
      <c r="AM11" s="8">
        <f ca="1">VLOOKUP(G11,経験値!$A$28:$B$32,2)</f>
        <v>6400</v>
      </c>
      <c r="AN11" s="16">
        <f ca="1">VLOOKUP(G11,ビット!$G$2:$H$7,2)</f>
        <v>900</v>
      </c>
      <c r="AO11" s="41"/>
      <c r="AP11" s="63">
        <v>1560</v>
      </c>
      <c r="AQ11" s="53" t="str">
        <f ca="1">VLOOKUP($AP11,OFFSET(unit_skills!$A$1,0,0,COUNTA(unit_skills!$A:$A),MATCH(AQ$1,unit_skills!$1:$1,0)-MATCH($AP$1,unit_skills!$1:$1,0)+1),MATCH(AQ$1,unit_skills!$1:$1,0)-MATCH($AP$1,unit_skills!$1:$1,0)+1,FALSE)</f>
        <v>Pisces01スキル</v>
      </c>
      <c r="AR11" s="53" t="str">
        <f ca="1">VLOOKUP($AP11,OFFSET(unit_skills!$A$1,0,0,COUNTA(unit_skills!$A:$A),MATCH(AR$1,unit_skills!$1:$1,0)-MATCH($AP$1,unit_skills!$1:$1,0)+1),MATCH(AR$1,unit_skills!$1:$1,0)-MATCH($AP$1,unit_skills!$1:$1,0)+1,FALSE)</f>
        <v>赤パネルを赤ボムパネルに、青パネルを赤パネルに変換+2ターン全ユニットの攻撃力をUP</v>
      </c>
      <c r="AS11" s="53">
        <f ca="1">VLOOKUP($AP11,OFFSET(unit_skills!$A$1,0,0,COUNTA(unit_skills!$A:$A),MATCH(AS$1,unit_skills!$1:$1,0)-MATCH($AP$1,unit_skills!$1:$1,0)+1),MATCH(AS$1,unit_skills!$1:$1,0)-MATCH($AP$1,unit_skills!$1:$1,0)+1,FALSE)</f>
        <v>0</v>
      </c>
      <c r="AT11" s="63">
        <v>1560</v>
      </c>
      <c r="AU11" s="53" t="str">
        <f ca="1">VLOOKUP($AT11,OFFSET(crash_skills!$A$1,0,0,COUNTA(crash_skills!$A:$A),MATCH(AU$1,crash_skills!$1:$1,0)-MATCH($AT$1,crash_skills!$1:$1,0)+1),MATCH(AU$1,crash_skills!$1:$1,0)-MATCH($AT$1,crash_skills!$1:$1,0)+1,FALSE)</f>
        <v>Pisces01スキル</v>
      </c>
      <c r="AV11" s="53" t="str">
        <f ca="1">VLOOKUP($AT11,OFFSET(crash_skills!$A$1,0,0,COUNTA(crash_skills!$A:$A),MATCH(AV$1,crash_skills!$1:$1,0)-MATCH($AT$1,crash_skills!$1:$1,0)+1),MATCH(AV$1,crash_skills!$1:$1,0)-MATCH($AT$1,crash_skills!$1:$1,0)+1,FALSE)</f>
        <v>1体に2回ダメージ+_x000D_全体にダメージ</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1</v>
      </c>
      <c r="AY11" s="64">
        <v>1.4</v>
      </c>
      <c r="AZ11" s="64">
        <v>1.6575</v>
      </c>
      <c r="BA11" s="64">
        <v>0</v>
      </c>
      <c r="BB11" s="64">
        <v>0.87</v>
      </c>
      <c r="BC11" s="10">
        <f ca="1">INDEX('RC6SV'!$A$1:$G$21,MATCH(H11,'RC6SV'!$A$1:$A$21,FALSE),MATCH(G11,'RC6SV'!$A$1:$G$1,FALSE))</f>
        <v>9000</v>
      </c>
      <c r="BD11" s="44">
        <f t="shared" ref="BD11:BD28" ca="1" si="12">ROUND(BC11*IF(AJ11=1,0.95,IF(AJ11=2,1,IF(AJ11,1.05,0))),0)</f>
        <v>9000</v>
      </c>
      <c r="BE11" s="10">
        <f t="shared" ca="1" si="3"/>
        <v>0</v>
      </c>
      <c r="BF11" s="10">
        <f t="shared" ca="1" si="4"/>
        <v>1</v>
      </c>
      <c r="BG11" s="15">
        <f ca="1">IF($BE11&lt;=0,ROUND(BK11*0.5,0), ROUND($BE11*S11*AA11*J11*AY11*0.8*[1]ステータス!$B$2,0))</f>
        <v>2665</v>
      </c>
      <c r="BH11" s="15">
        <f ca="1">IF($BE11&lt;=0,ROUND(BL11*0.5,0), ROUND($BE11*T11*AB11*K11*AZ11*0.8*[1]ステータス!$C$2,0))</f>
        <v>2034</v>
      </c>
      <c r="BI11" s="15">
        <f ca="1">IF($BE11&lt;=0,ROUND(BM11*0.5,0), ROUND($BE11*U11*AC11*L11*BA11*0.8*[1]ステータス!$D$2,0))</f>
        <v>0</v>
      </c>
      <c r="BJ11" s="15">
        <f ca="1">IF($BE11&lt;=0,ROUND(BN11*0.5,0), ROUND($BE11*V11*AD11*M11*BB11*0.8*[1]ステータス!$E$2,0))</f>
        <v>924</v>
      </c>
      <c r="BK11" s="10">
        <f ca="1">ROUND(BD11*S11*AA11*J11*AY11*[1]ステータス!$B$2,0)</f>
        <v>5330</v>
      </c>
      <c r="BL11" s="10">
        <f ca="1">ROUND(BD11*T11*AB11*K11*AZ11*[1]ステータス!$C$2,0)</f>
        <v>4067</v>
      </c>
      <c r="BM11" s="10">
        <f ca="1">ROUND(BD11*U11*AC11*L11*BA11*[1]ステータス!$D$2,0)</f>
        <v>0</v>
      </c>
      <c r="BN11" s="10">
        <f ca="1">ROUND(BD11*V11*AD11*M11*BB11*[1]ステータス!$E$2,0)</f>
        <v>1847</v>
      </c>
      <c r="BO11" s="9">
        <v>0</v>
      </c>
      <c r="BP11" s="9">
        <v>1</v>
      </c>
      <c r="BQ11" s="9" t="s">
        <v>47</v>
      </c>
      <c r="BR11" s="9">
        <f ca="1">VLOOKUP(H11,[2]ghosts_label!$A$2:$B$19,2,FALSE)</f>
        <v>700</v>
      </c>
    </row>
    <row r="12" spans="1:70" ht="26" customHeight="1" x14ac:dyDescent="0.15">
      <c r="A12" s="186">
        <v>1561</v>
      </c>
      <c r="B12" s="53" t="str">
        <f ca="1">VLOOKUP($A12,OFFSET([1]characters!$A$1,0,0,COUNTA([1]characters!$A:$A),MATCH(B$1,[1]characters!$1:$1,0)-MATCH($A$1,[1]characters!$1:$1,0)+1),MATCH(B$1,[1]characters!$1:$1,0)-MATCH($A$1,[1]characters!$1:$1,0)+1,FALSE)</f>
        <v>Sagittarius01</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PremiumSS</v>
      </c>
      <c r="I12" s="53" t="str">
        <f ca="1">VLOOKUP($A12,OFFSET([1]characters!$A$1,0,0,COUNTA([1]characters!$A:$A),MATCH(I$1,[1]characters!$1:$1,0)-MATCH($A$1,[1]characters!$1:$1,0)+1),MATCH(I$1,[1]characters!$1:$1,0)-MATCH($A$1,[1]characters!$1:$1,0)+1,FALSE)</f>
        <v>yellow</v>
      </c>
      <c r="J12" s="10">
        <f ca="1">VLOOKUP(I12,[1]属性!$A:$E,2,FALSE)</f>
        <v>0.98</v>
      </c>
      <c r="K12" s="10">
        <f ca="1">VLOOKUP(I12,[1]属性!$A:$E,3,FALSE)</f>
        <v>1.01</v>
      </c>
      <c r="L12" s="10">
        <f ca="1">VLOOKUP(I12,[1]属性!$A:$E,4,FALSE)</f>
        <v>1</v>
      </c>
      <c r="M12" s="10">
        <f ca="1">VLOOKUP(I12,[1]属性!$A:$E,5,FALSE)</f>
        <v>1.01</v>
      </c>
      <c r="N12" s="10">
        <f ca="1">INDEX(コスト!$A$1:$I$21,MATCH(H12,コスト!$A$1:$A$21,FALSE),MATCH(G12,コスト!$A$1:$I$1,FALSE))</f>
        <v>35</v>
      </c>
      <c r="O12" s="10">
        <f ca="1">INDEX(レベル!$A$1:$I$22,MATCH(H12,レベル!$A$1:$A$22,FALSE),MATCH(G12,レベル!$A$1:$I$1,FALSE))</f>
        <v>80</v>
      </c>
      <c r="P12" s="44">
        <f t="shared" ca="1" si="10"/>
        <v>75</v>
      </c>
      <c r="Q12" s="53" t="str">
        <f ca="1">VLOOKUP($A12,OFFSET([1]characters!$A$1,0,0,COUNTA([1]characters!$A:$A),MATCH(Q$1,[1]characters!$1:$1,0)-MATCH($A$1,[1]characters!$1:$1,0)+1),MATCH(Q$1,[1]characters!$1:$1,0)-MATCH($A$1,[1]characters!$1:$1,0)+1,FALSE)</f>
        <v>balance</v>
      </c>
      <c r="R12" s="5" t="str">
        <f ca="1">VLOOKUP(Q12,[1]character_type_i18n!$A:$H,3,FALSE)</f>
        <v>バランスタイプ</v>
      </c>
      <c r="S12" s="10">
        <f ca="1">VLOOKUP(Q12,[1]character_type_i18n!$A:$H,4,FALSE)</f>
        <v>1</v>
      </c>
      <c r="T12" s="10">
        <f ca="1">VLOOKUP(Q12,[1]character_type_i18n!$A:$H,5,FALSE)</f>
        <v>1</v>
      </c>
      <c r="U12" s="10">
        <f ca="1">VLOOKUP(Q12,[1]character_type_i18n!$A:$H,6,FALSE)</f>
        <v>1</v>
      </c>
      <c r="V12" s="10">
        <f ca="1">VLOOKUP(Q12,[1]character_type_i18n!$A:$H,7,FALSE)</f>
        <v>1</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hero</v>
      </c>
      <c r="Z12" s="5" t="str">
        <f ca="1">VLOOKUP(Y12,[1]character_tribe_i18n!$A:$H,3,FALSE)</f>
        <v>ヒーロー</v>
      </c>
      <c r="AA12" s="10">
        <f ca="1">VLOOKUP(W12,[1]character_tribe_i18n!$A:$H,4,FALSE)</f>
        <v>0.94</v>
      </c>
      <c r="AB12" s="10">
        <f ca="1">VLOOKUP(W12,[1]character_tribe_i18n!$A:$H,5,FALSE)</f>
        <v>0.99</v>
      </c>
      <c r="AC12" s="10">
        <f ca="1">VLOOKUP(W12,[1]character_tribe_i18n!$A:$H,6,FALSE)</f>
        <v>1</v>
      </c>
      <c r="AD12" s="10">
        <f ca="1">VLOOKUP(W12,[1]character_tribe_i18n!$A:$H,7,FALSE)</f>
        <v>1.07</v>
      </c>
      <c r="AE12" s="198">
        <v>1562</v>
      </c>
      <c r="AF12" s="58" t="str">
        <f ca="1">IF(AE12="NULL","",VLOOKUP($AE12,OFFSET([1]characters!$A$1,0,0,COUNTA([1]characters!$A:$A),MATCH(AF$1,[1]characters!$1:$1,0)-MATCH($A$1,[1]characters!$1:$1,0)+1),MATCH(AF$1,[1]characters!$1:$1,0)-MATCH($A$1,[1]characters!$1:$1,0)+1,FALSE))</f>
        <v>Sagittarius02</v>
      </c>
      <c r="AG12" s="198">
        <v>1561</v>
      </c>
      <c r="AH12" s="58" t="str">
        <f ca="1">VLOOKUP($AG12,OFFSET([1]characters!$A$1,0,0,COUNTA([1]characters!$A:$A),MATCH(AH$1,[1]characters!$1:$1,0)-MATCH($A$1,[1]characters!$1:$1,0)+1),MATCH(AH$1,[1]characters!$1:$1,0)-MATCH($A$1,[1]characters!$1:$1,0)+1,FALSE)</f>
        <v>Sagittarius01</v>
      </c>
      <c r="AI12" s="10">
        <f ca="1">IF(AE12="NULL","NULL",VLOOKUP(G12,ビット!$A$2:$B$7,2))</f>
        <v>200000</v>
      </c>
      <c r="AJ12" s="6">
        <v>2</v>
      </c>
      <c r="AK12" s="7" t="str">
        <f t="shared" si="11"/>
        <v>普通</v>
      </c>
      <c r="AL12" s="10" t="str">
        <f ca="1">INDEX(経験値!$A$1:$I$21,MATCH(H12,経験値!$A$1:$A$21,FALSE),MATCH(G12,経験値!$A$1:$I$1,FALSE))</f>
        <v>required_exp_200</v>
      </c>
      <c r="AM12" s="8">
        <f ca="1">VLOOKUP(G12,経験値!$A$28:$B$32,2)</f>
        <v>6400</v>
      </c>
      <c r="AN12" s="16">
        <f ca="1">VLOOKUP(G12,ビット!$G$2:$H$7,2)</f>
        <v>900</v>
      </c>
      <c r="AO12" s="41"/>
      <c r="AP12" s="63">
        <v>1561</v>
      </c>
      <c r="AQ12" s="53" t="str">
        <f ca="1">VLOOKUP($AP12,OFFSET(unit_skills!$A$1,0,0,COUNTA(unit_skills!$A:$A),MATCH(AQ$1,unit_skills!$1:$1,0)-MATCH($AP$1,unit_skills!$1:$1,0)+1),MATCH(AQ$1,unit_skills!$1:$1,0)-MATCH($AP$1,unit_skills!$1:$1,0)+1,FALSE)</f>
        <v>Sagittarius01スキル</v>
      </c>
      <c r="AR12" s="53" t="str">
        <f ca="1">VLOOKUP($AP12,OFFSET(unit_skills!$A$1,0,0,COUNTA(unit_skills!$A:$A),MATCH(AR$1,unit_skills!$1:$1,0)-MATCH($AP$1,unit_skills!$1:$1,0)+1),MATCH(AR$1,unit_skills!$1:$1,0)-MATCH($AP$1,unit_skills!$1:$1,0)+1,FALSE)</f>
        <v>ランダムで最大1つSCパネルに、赤・お邪魔パネルをCPに、ハートパネルを黄パネルに変換+1ターンタップ数を1増加</v>
      </c>
      <c r="AS12" s="53">
        <f ca="1">VLOOKUP($AP12,OFFSET(unit_skills!$A$1,0,0,COUNTA(unit_skills!$A:$A),MATCH(AS$1,unit_skills!$1:$1,0)-MATCH($AP$1,unit_skills!$1:$1,0)+1),MATCH(AS$1,unit_skills!$1:$1,0)-MATCH($AP$1,unit_skills!$1:$1,0)+1,FALSE)</f>
        <v>0</v>
      </c>
      <c r="AT12" s="63">
        <v>1561</v>
      </c>
      <c r="AU12" s="53" t="str">
        <f ca="1">VLOOKUP($AT12,OFFSET(crash_skills!$A$1,0,0,COUNTA(crash_skills!$A:$A),MATCH(AU$1,crash_skills!$1:$1,0)-MATCH($AT$1,crash_skills!$1:$1,0)+1),MATCH(AU$1,crash_skills!$1:$1,0)-MATCH($AT$1,crash_skills!$1:$1,0)+1,FALSE)</f>
        <v>Sagittarius01スキル</v>
      </c>
      <c r="AV12" s="53" t="str">
        <f ca="1">VLOOKUP($AT12,OFFSET(crash_skills!$A$1,0,0,COUNTA(crash_skills!$A:$A),MATCH(AV$1,crash_skills!$1:$1,0)-MATCH($AT$1,crash_skills!$1:$1,0)+1),MATCH(AV$1,crash_skills!$1:$1,0)-MATCH($AT$1,crash_skills!$1:$1,0)+1,FALSE)</f>
        <v>1体に大ダメージ+_x000D_1ターン黄属性ユニットの攻撃力小UP</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1</v>
      </c>
      <c r="AY12" s="64">
        <v>1.0867</v>
      </c>
      <c r="AZ12" s="64">
        <v>1.1485000000000001</v>
      </c>
      <c r="BA12" s="64">
        <v>0</v>
      </c>
      <c r="BB12" s="64">
        <v>0.88419999999999999</v>
      </c>
      <c r="BC12" s="10">
        <f ca="1">INDEX('RC6SV'!$A$1:$G$21,MATCH(H12,'RC6SV'!$A$1:$A$21,FALSE),MATCH(G12,'RC6SV'!$A$1:$G$1,FALSE))</f>
        <v>9500</v>
      </c>
      <c r="BD12" s="44">
        <f t="shared" ca="1" si="12"/>
        <v>9500</v>
      </c>
      <c r="BE12" s="10">
        <f t="shared" ca="1" si="3"/>
        <v>0</v>
      </c>
      <c r="BF12" s="10">
        <f t="shared" ca="1" si="4"/>
        <v>1</v>
      </c>
      <c r="BG12" s="15">
        <f ca="1">IF($BE12&lt;=0,ROUND(BK12*0.5,0), ROUND($BE12*S12*AA12*J12*AY12*0.8*[1]ステータス!$B$2,0))</f>
        <v>2378</v>
      </c>
      <c r="BH12" s="15">
        <f ca="1">IF($BE12&lt;=0,ROUND(BL12*0.5,0), ROUND($BE12*T12*AB12*K12*AZ12*0.8*[1]ステータス!$C$2,0))</f>
        <v>1637</v>
      </c>
      <c r="BI12" s="15">
        <f ca="1">IF($BE12&lt;=0,ROUND(BM12*0.5,0), ROUND($BE12*U12*AC12*L12*BA12*0.8*[1]ステータス!$D$2,0))</f>
        <v>0</v>
      </c>
      <c r="BJ12" s="15">
        <f ca="1">IF($BE12&lt;=0,ROUND(BN12*0.5,0), ROUND($BE12*V12*AD12*M12*BB12*0.8*[1]ステータス!$E$2,0))</f>
        <v>1135</v>
      </c>
      <c r="BK12" s="10">
        <f ca="1">ROUND(BD12*S12*AA12*J12*AY12*[1]ステータス!$B$2,0)</f>
        <v>4755</v>
      </c>
      <c r="BL12" s="10">
        <f ca="1">ROUND(BD12*T12*AB12*K12*AZ12*[1]ステータス!$C$2,0)</f>
        <v>3273</v>
      </c>
      <c r="BM12" s="10">
        <f ca="1">ROUND(BD12*U12*AC12*L12*BA12*[1]ステータス!$D$2,0)</f>
        <v>0</v>
      </c>
      <c r="BN12" s="10">
        <f ca="1">ROUND(BD12*V12*AD12*M12*BB12*[1]ステータス!$E$2,0)</f>
        <v>2269</v>
      </c>
      <c r="BO12" s="9">
        <v>0</v>
      </c>
      <c r="BP12" s="9">
        <v>1</v>
      </c>
      <c r="BQ12" s="36" t="s">
        <v>47</v>
      </c>
      <c r="BR12" s="9">
        <f ca="1">VLOOKUP(H12,[2]ghosts_label!$A$2:$B$19,2,FALSE)</f>
        <v>5500</v>
      </c>
    </row>
    <row r="13" spans="1:70" ht="26" customHeight="1" x14ac:dyDescent="0.15">
      <c r="A13" s="186">
        <v>1562</v>
      </c>
      <c r="B13" s="53" t="str">
        <f ca="1">VLOOKUP($A13,OFFSET([1]characters!$A$1,0,0,COUNTA([1]characters!$A:$A),MATCH(B$1,[1]characters!$1:$1,0)-MATCH($A$1,[1]characters!$1:$1,0)+1),MATCH(B$1,[1]characters!$1:$1,0)-MATCH($A$1,[1]characters!$1:$1,0)+1,FALSE)</f>
        <v>Sagittarius02</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PremiumSS</v>
      </c>
      <c r="I13" s="53" t="str">
        <f ca="1">VLOOKUP($A13,OFFSET([1]characters!$A$1,0,0,COUNTA([1]characters!$A:$A),MATCH(I$1,[1]characters!$1:$1,0)-MATCH($A$1,[1]characters!$1:$1,0)+1),MATCH(I$1,[1]characters!$1:$1,0)-MATCH($A$1,[1]characters!$1:$1,0)+1,FALSE)</f>
        <v>yellow</v>
      </c>
      <c r="J13" s="10">
        <f ca="1">VLOOKUP(I13,[1]属性!$A:$E,2,FALSE)</f>
        <v>0.98</v>
      </c>
      <c r="K13" s="10">
        <f ca="1">VLOOKUP(I13,[1]属性!$A:$E,3,FALSE)</f>
        <v>1.01</v>
      </c>
      <c r="L13" s="10">
        <f ca="1">VLOOKUP(I13,[1]属性!$A:$E,4,FALSE)</f>
        <v>1</v>
      </c>
      <c r="M13" s="10">
        <f ca="1">VLOOKUP(I13,[1]属性!$A:$E,5,FALSE)</f>
        <v>1.01</v>
      </c>
      <c r="N13" s="10">
        <f ca="1">INDEX(コスト!$A$1:$I$21,MATCH(H13,コスト!$A$1:$A$21,FALSE),MATCH(G13,コスト!$A$1:$I$1,FALSE))</f>
        <v>50</v>
      </c>
      <c r="O13" s="10">
        <f ca="1">INDEX(レベル!$A$1:$I$22,MATCH(H13,レベル!$A$1:$A$22,FALSE),MATCH(G13,レベル!$A$1:$I$1,FALSE))</f>
        <v>99</v>
      </c>
      <c r="P13" s="44">
        <f t="shared" ca="1" si="10"/>
        <v>99</v>
      </c>
      <c r="Q13" s="53" t="str">
        <f ca="1">VLOOKUP($A13,OFFSET([1]characters!$A$1,0,0,COUNTA([1]characters!$A:$A),MATCH(Q$1,[1]characters!$1:$1,0)-MATCH($A$1,[1]characters!$1:$1,0)+1),MATCH(Q$1,[1]characters!$1:$1,0)-MATCH($A$1,[1]characters!$1:$1,0)+1,FALSE)</f>
        <v>balance</v>
      </c>
      <c r="R13" s="5" t="str">
        <f ca="1">VLOOKUP(Q13,[1]character_type_i18n!$A:$H,3,FALSE)</f>
        <v>バランスタイプ</v>
      </c>
      <c r="S13" s="10">
        <f ca="1">VLOOKUP(Q13,[1]character_type_i18n!$A:$H,4,FALSE)</f>
        <v>1</v>
      </c>
      <c r="T13" s="10">
        <f ca="1">VLOOKUP(Q13,[1]character_type_i18n!$A:$H,5,FALSE)</f>
        <v>1</v>
      </c>
      <c r="U13" s="10">
        <f ca="1">VLOOKUP(Q13,[1]character_type_i18n!$A:$H,6,FALSE)</f>
        <v>1</v>
      </c>
      <c r="V13" s="10">
        <f ca="1">VLOOKUP(Q13,[1]character_type_i18n!$A:$H,7,FALSE)</f>
        <v>1</v>
      </c>
      <c r="W13" s="53" t="str">
        <f ca="1">VLOOKUP($A13,OFFSET([1]characters!$A$1,0,0,COUNTA([1]characters!$A:$A),MATCH(W$1,[1]characters!$1:$1,0)-MATCH($A$1,[1]characters!$1:$1,0)+1),MATCH(W$1,[1]characters!$1:$1,0)-MATCH($A$1,[1]characters!$1:$1,0)+1,FALSE)</f>
        <v>human</v>
      </c>
      <c r="X13" s="5" t="str">
        <f ca="1">VLOOKUP(W13,[1]character_tribe_i18n!$A:$H,3,FALSE)</f>
        <v>ヒューマン</v>
      </c>
      <c r="Y13" s="53" t="str">
        <f ca="1">VLOOKUP($A13,OFFSET([1]characters!$A$1,0,0,COUNTA([1]characters!$A:$A),MATCH(Y$1,[1]characters!$1:$1,0)-MATCH($A$1,[1]characters!$1:$1,0)+1),MATCH(Y$1,[1]characters!$1:$1,0)-MATCH($A$1,[1]characters!$1:$1,0)+1,FALSE)</f>
        <v>hero</v>
      </c>
      <c r="Z13" s="5" t="str">
        <f ca="1">VLOOKUP(Y13,[1]character_tribe_i18n!$A:$H,3,FALSE)</f>
        <v>ヒーロー</v>
      </c>
      <c r="AA13" s="10">
        <f ca="1">VLOOKUP(W13,[1]character_tribe_i18n!$A:$H,4,FALSE)</f>
        <v>0.94</v>
      </c>
      <c r="AB13" s="10">
        <f ca="1">VLOOKUP(W13,[1]character_tribe_i18n!$A:$H,5,FALSE)</f>
        <v>0.99</v>
      </c>
      <c r="AC13" s="10">
        <f ca="1">VLOOKUP(W13,[1]character_tribe_i18n!$A:$H,6,FALSE)</f>
        <v>1</v>
      </c>
      <c r="AD13" s="10">
        <f ca="1">VLOOKUP(W13,[1]character_tribe_i18n!$A:$H,7,FALSE)</f>
        <v>1.07</v>
      </c>
      <c r="AE13" s="187" t="s">
        <v>47</v>
      </c>
      <c r="AF13" s="58" t="str">
        <f ca="1">IF(AE13="NULL","",VLOOKUP($AE13,OFFSET([1]characters!$A$1,0,0,COUNTA([1]characters!$A:$A),MATCH(AF$1,[1]characters!$1:$1,0)-MATCH($A$1,[1]characters!$1:$1,0)+1),MATCH(AF$1,[1]characters!$1:$1,0)-MATCH($A$1,[1]characters!$1:$1,0)+1,FALSE))</f>
        <v/>
      </c>
      <c r="AG13" s="187">
        <v>1561</v>
      </c>
      <c r="AH13" s="58" t="str">
        <f ca="1">VLOOKUP($AG13,OFFSET([1]characters!$A$1,0,0,COUNTA([1]characters!$A:$A),MATCH(AH$1,[1]characters!$1:$1,0)-MATCH($A$1,[1]characters!$1:$1,0)+1),MATCH(AH$1,[1]characters!$1:$1,0)-MATCH($A$1,[1]characters!$1:$1,0)+1,FALSE)</f>
        <v>Sagittarius01</v>
      </c>
      <c r="AI13" s="10" t="str">
        <f>IF(AE13="NULL","NULL",VLOOKUP(G13,ビット!$A$2:$B$7,2))</f>
        <v>NULL</v>
      </c>
      <c r="AJ13" s="6">
        <v>2</v>
      </c>
      <c r="AK13" s="7" t="str">
        <f t="shared" si="11"/>
        <v>普通</v>
      </c>
      <c r="AL13" s="10" t="str">
        <f ca="1">INDEX(経験値!$A$1:$I$21,MATCH(H13,経験値!$A$1:$A$21,FALSE),MATCH(G13,経験値!$A$1:$I$1,FALSE))</f>
        <v>required_exp_250</v>
      </c>
      <c r="AM13" s="8">
        <f ca="1">VLOOKUP(G13,経験値!$A$28:$B$32,2)</f>
        <v>6400</v>
      </c>
      <c r="AN13" s="16">
        <f ca="1">VLOOKUP(G13,ビット!$G$2:$H$7,2)</f>
        <v>900</v>
      </c>
      <c r="AO13" s="41"/>
      <c r="AP13" s="63">
        <v>1562</v>
      </c>
      <c r="AQ13" s="53" t="str">
        <f ca="1">VLOOKUP($AP13,OFFSET(unit_skills!$A$1,0,0,COUNTA(unit_skills!$A:$A),MATCH(AQ$1,unit_skills!$1:$1,0)-MATCH($AP$1,unit_skills!$1:$1,0)+1),MATCH(AQ$1,unit_skills!$1:$1,0)-MATCH($AP$1,unit_skills!$1:$1,0)+1,FALSE)</f>
        <v>Sagittarius02スキル</v>
      </c>
      <c r="AR13" s="53" t="str">
        <f ca="1">VLOOKUP($AP13,OFFSET(unit_skills!$A$1,0,0,COUNTA(unit_skills!$A:$A),MATCH(AR$1,unit_skills!$1:$1,0)-MATCH($AP$1,unit_skills!$1:$1,0)+1),MATCH(AR$1,unit_skills!$1:$1,0)-MATCH($AP$1,unit_skills!$1:$1,0)+1,FALSE)</f>
        <v>ランダムで最大1つSCP(大)に、赤・お邪魔パネルをCPに、ハートパネルを黄パネルに変換+1ターンタップ数を1増加</v>
      </c>
      <c r="AS13" s="53">
        <f ca="1">VLOOKUP($AP13,OFFSET(unit_skills!$A$1,0,0,COUNTA(unit_skills!$A:$A),MATCH(AS$1,unit_skills!$1:$1,0)-MATCH($AP$1,unit_skills!$1:$1,0)+1),MATCH(AS$1,unit_skills!$1:$1,0)-MATCH($AP$1,unit_skills!$1:$1,0)+1,FALSE)</f>
        <v>0</v>
      </c>
      <c r="AT13" s="63">
        <v>1562</v>
      </c>
      <c r="AU13" s="53" t="str">
        <f ca="1">VLOOKUP($AT13,OFFSET(crash_skills!$A$1,0,0,COUNTA(crash_skills!$A:$A),MATCH(AU$1,crash_skills!$1:$1,0)-MATCH($AT$1,crash_skills!$1:$1,0)+1),MATCH(AU$1,crash_skills!$1:$1,0)-MATCH($AT$1,crash_skills!$1:$1,0)+1,FALSE)</f>
        <v>Sagittarius02スキル</v>
      </c>
      <c r="AV13" s="53" t="str">
        <f ca="1">VLOOKUP($AT13,OFFSET(crash_skills!$A$1,0,0,COUNTA(crash_skills!$A:$A),MATCH(AV$1,crash_skills!$1:$1,0)-MATCH($AT$1,crash_skills!$1:$1,0)+1),MATCH(AV$1,crash_skills!$1:$1,0)-MATCH($AT$1,crash_skills!$1:$1,0)+1,FALSE)</f>
        <v>1体に特大ダメージ+_x000D_1ターン黄属性ユニットの攻撃力小UP</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1</v>
      </c>
      <c r="AY13" s="64">
        <v>1.0867</v>
      </c>
      <c r="AZ13" s="64">
        <v>1.1485000000000001</v>
      </c>
      <c r="BA13" s="64">
        <v>0</v>
      </c>
      <c r="BB13" s="64">
        <v>0.88419999999999999</v>
      </c>
      <c r="BC13" s="10">
        <f ca="1">INDEX('RC6SV'!$A$1:$G$21,MATCH(H13,'RC6SV'!$A$1:$A$21,FALSE),MATCH(G13,'RC6SV'!$A$1:$G$1,FALSE))</f>
        <v>13000</v>
      </c>
      <c r="BD13" s="44">
        <f t="shared" ca="1" si="12"/>
        <v>13000</v>
      </c>
      <c r="BE13" s="10">
        <f t="shared" ca="1" si="3"/>
        <v>9500</v>
      </c>
      <c r="BF13" s="10">
        <f t="shared" ca="1" si="4"/>
        <v>1</v>
      </c>
      <c r="BG13" s="15">
        <f ca="1">IF($BE13&lt;=0,ROUND(BK13*0.5,0), ROUND($BE13*S13*AA13*J13*AY13*0.8*[1]ステータス!$B$2,0))</f>
        <v>3804</v>
      </c>
      <c r="BH13" s="15">
        <f ca="1">IF($BE13&lt;=0,ROUND(BL13*0.5,0), ROUND($BE13*T13*AB13*K13*AZ13*0.8*[1]ステータス!$C$2,0))</f>
        <v>2618</v>
      </c>
      <c r="BI13" s="15">
        <f ca="1">IF($BE13&lt;=0,ROUND(BM13*0.5,0), ROUND($BE13*U13*AC13*L13*BA13*0.8*[1]ステータス!$D$2,0))</f>
        <v>0</v>
      </c>
      <c r="BJ13" s="15">
        <f ca="1">IF($BE13&lt;=0,ROUND(BN13*0.5,0), ROUND($BE13*V13*AD13*M13*BB13*0.8*[1]ステータス!$E$2,0))</f>
        <v>1816</v>
      </c>
      <c r="BK13" s="10">
        <f ca="1">ROUND(BD13*S13*AA13*J13*AY13*[1]ステータス!$B$2,0)</f>
        <v>6507</v>
      </c>
      <c r="BL13" s="10">
        <f ca="1">ROUND(BD13*T13*AB13*K13*AZ13*[1]ステータス!$C$2,0)</f>
        <v>4479</v>
      </c>
      <c r="BM13" s="10">
        <f ca="1">ROUND(BD13*U13*AC13*L13*BA13*[1]ステータス!$D$2,0)</f>
        <v>0</v>
      </c>
      <c r="BN13" s="10">
        <f ca="1">ROUND(BD13*V13*AD13*M13*BB13*[1]ステータス!$E$2,0)</f>
        <v>3106</v>
      </c>
      <c r="BO13" s="9">
        <v>0</v>
      </c>
      <c r="BP13" s="9">
        <v>1</v>
      </c>
      <c r="BQ13" s="9" t="s">
        <v>47</v>
      </c>
      <c r="BR13" s="9">
        <f ca="1">VLOOKUP(H13,[2]ghosts_label!$A$2:$B$19,2,FALSE)</f>
        <v>5500</v>
      </c>
    </row>
    <row r="14" spans="1:70" ht="26" customHeight="1" x14ac:dyDescent="0.15">
      <c r="A14" s="186">
        <v>1563</v>
      </c>
      <c r="B14" s="53" t="str">
        <f ca="1">VLOOKUP($A14,OFFSET([1]characters!$A$1,0,0,COUNTA([1]characters!$A:$A),MATCH(B$1,[1]characters!$1:$1,0)-MATCH($A$1,[1]characters!$1:$1,0)+1),MATCH(B$1,[1]characters!$1:$1,0)-MATCH($A$1,[1]characters!$1:$1,0)+1,FALSE)</f>
        <v>Cassiopeia01</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v>
      </c>
      <c r="I14" s="53" t="str">
        <f ca="1">VLOOKUP($A14,OFFSET([1]characters!$A$1,0,0,COUNTA([1]characters!$A:$A),MATCH(I$1,[1]characters!$1:$1,0)-MATCH($A$1,[1]characters!$1:$1,0)+1),MATCH(I$1,[1]characters!$1:$1,0)-MATCH($A$1,[1]characters!$1:$1,0)+1,FALSE)</f>
        <v>blue</v>
      </c>
      <c r="J14" s="10">
        <f ca="1">VLOOKUP(I14,[1]属性!$A:$E,2,FALSE)</f>
        <v>1</v>
      </c>
      <c r="K14" s="10">
        <f ca="1">VLOOKUP(I14,[1]属性!$A:$E,3,FALSE)</f>
        <v>0.98</v>
      </c>
      <c r="L14" s="10">
        <f ca="1">VLOOKUP(I14,[1]属性!$A:$E,4,FALSE)</f>
        <v>1</v>
      </c>
      <c r="M14" s="10">
        <f ca="1">VLOOKUP(I14,[1]属性!$A:$E,5,FALSE)</f>
        <v>1.02</v>
      </c>
      <c r="N14" s="10">
        <f ca="1">INDEX(コスト!$A$1:$I$21,MATCH(H14,コスト!$A$1:$A$21,FALSE),MATCH(G14,コスト!$A$1:$I$1,FALSE))</f>
        <v>35</v>
      </c>
      <c r="O14" s="10">
        <f ca="1">INDEX(レベル!$A$1:$I$22,MATCH(H14,レベル!$A$1:$A$22,FALSE),MATCH(G14,レベル!$A$1:$I$1,FALSE))</f>
        <v>80</v>
      </c>
      <c r="P14" s="44">
        <f t="shared" ca="1" si="10"/>
        <v>75</v>
      </c>
      <c r="Q14" s="53" t="str">
        <f ca="1">VLOOKUP($A14,OFFSET([1]characters!$A$1,0,0,COUNTA([1]characters!$A:$A),MATCH(Q$1,[1]characters!$1:$1,0)-MATCH($A$1,[1]characters!$1:$1,0)+1),MATCH(Q$1,[1]characters!$1:$1,0)-MATCH($A$1,[1]characters!$1:$1,0)+1,FALSE)</f>
        <v>technical</v>
      </c>
      <c r="R14" s="5" t="str">
        <f ca="1">VLOOKUP(Q14,[1]character_type_i18n!$A:$H,3,FALSE)</f>
        <v>テクニカルタイプ</v>
      </c>
      <c r="S14" s="10">
        <f ca="1">VLOOKUP(Q14,[1]character_type_i18n!$A:$H,4,FALSE)</f>
        <v>0.9</v>
      </c>
      <c r="T14" s="10">
        <f ca="1">VLOOKUP(Q14,[1]character_type_i18n!$A:$H,5,FALSE)</f>
        <v>0.9</v>
      </c>
      <c r="U14" s="10">
        <f ca="1">VLOOKUP(Q14,[1]character_type_i18n!$A:$H,6,FALSE)</f>
        <v>1</v>
      </c>
      <c r="V14" s="10">
        <f ca="1">VLOOKUP(Q14,[1]character_type_i18n!$A:$H,7,FALSE)</f>
        <v>0.9</v>
      </c>
      <c r="W14" s="53" t="str">
        <f ca="1">VLOOKUP($A14,OFFSET([1]characters!$A$1,0,0,COUNTA([1]characters!$A:$A),MATCH(W$1,[1]characters!$1:$1,0)-MATCH($A$1,[1]characters!$1:$1,0)+1),MATCH(W$1,[1]characters!$1:$1,0)-MATCH($A$1,[1]characters!$1:$1,0)+1,FALSE)</f>
        <v>human</v>
      </c>
      <c r="X14" s="5" t="str">
        <f ca="1">VLOOKUP(W14,[1]character_tribe_i18n!$A:$H,3,FALSE)</f>
        <v>ヒューマン</v>
      </c>
      <c r="Y14" s="53" t="str">
        <f ca="1">VLOOKUP($A14,OFFSET([1]characters!$A$1,0,0,COUNTA([1]characters!$A:$A),MATCH(Y$1,[1]characters!$1:$1,0)-MATCH($A$1,[1]characters!$1:$1,0)+1),MATCH(Y$1,[1]characters!$1:$1,0)-MATCH($A$1,[1]characters!$1:$1,0)+1,FALSE)</f>
        <v>none</v>
      </c>
      <c r="Z14" s="5" t="str">
        <f ca="1">VLOOKUP(Y14,[1]character_tribe_i18n!$A:$H,3,FALSE)</f>
        <v>種族なし</v>
      </c>
      <c r="AA14" s="10">
        <f ca="1">VLOOKUP(W14,[1]character_tribe_i18n!$A:$H,4,FALSE)</f>
        <v>0.94</v>
      </c>
      <c r="AB14" s="10">
        <f ca="1">VLOOKUP(W14,[1]character_tribe_i18n!$A:$H,5,FALSE)</f>
        <v>0.99</v>
      </c>
      <c r="AC14" s="10">
        <f ca="1">VLOOKUP(W14,[1]character_tribe_i18n!$A:$H,6,FALSE)</f>
        <v>1</v>
      </c>
      <c r="AD14" s="10">
        <f ca="1">VLOOKUP(W14,[1]character_tribe_i18n!$A:$H,7,FALSE)</f>
        <v>1.07</v>
      </c>
      <c r="AE14" s="198">
        <v>1564</v>
      </c>
      <c r="AF14" s="58" t="str">
        <f ca="1">IF(AE14="NULL","",VLOOKUP($AE14,OFFSET([1]characters!$A$1,0,0,COUNTA([1]characters!$A:$A),MATCH(AF$1,[1]characters!$1:$1,0)-MATCH($A$1,[1]characters!$1:$1,0)+1),MATCH(AF$1,[1]characters!$1:$1,0)-MATCH($A$1,[1]characters!$1:$1,0)+1,FALSE))</f>
        <v>Cassiopeia02</v>
      </c>
      <c r="AG14" s="198">
        <v>1563</v>
      </c>
      <c r="AH14" s="58" t="str">
        <f ca="1">VLOOKUP($AG14,OFFSET([1]characters!$A$1,0,0,COUNTA([1]characters!$A:$A),MATCH(AH$1,[1]characters!$1:$1,0)-MATCH($A$1,[1]characters!$1:$1,0)+1),MATCH(AH$1,[1]characters!$1:$1,0)-MATCH($A$1,[1]characters!$1:$1,0)+1,FALSE)</f>
        <v>Cassiopeia01</v>
      </c>
      <c r="AI14" s="10">
        <f ca="1">IF(AE14="NULL","NULL",VLOOKUP(G14,ビット!$A$2:$B$7,2))</f>
        <v>200000</v>
      </c>
      <c r="AJ14" s="6">
        <v>2</v>
      </c>
      <c r="AK14" s="7" t="str">
        <f t="shared" si="11"/>
        <v>普通</v>
      </c>
      <c r="AL14" s="10" t="str">
        <f ca="1">INDEX(経験値!$A$1:$I$21,MATCH(H14,経験値!$A$1:$A$21,FALSE),MATCH(G14,経験値!$A$1:$I$1,FALSE))</f>
        <v>required_exp_200</v>
      </c>
      <c r="AM14" s="8">
        <f ca="1">VLOOKUP(G14,経験値!$A$28:$B$32,2)</f>
        <v>6400</v>
      </c>
      <c r="AN14" s="16">
        <f ca="1">VLOOKUP(G14,ビット!$G$2:$H$7,2)</f>
        <v>900</v>
      </c>
      <c r="AO14" s="41"/>
      <c r="AP14" s="63">
        <v>1563</v>
      </c>
      <c r="AQ14" s="53" t="str">
        <f ca="1">VLOOKUP($AP14,OFFSET(unit_skills!$A$1,0,0,COUNTA(unit_skills!$A:$A),MATCH(AQ$1,unit_skills!$1:$1,0)-MATCH($AP$1,unit_skills!$1:$1,0)+1),MATCH(AQ$1,unit_skills!$1:$1,0)-MATCH($AP$1,unit_skills!$1:$1,0)+1,FALSE)</f>
        <v>Cassiopeia01スキル</v>
      </c>
      <c r="AR14" s="53" t="str">
        <f ca="1">VLOOKUP($AP14,OFFSET(unit_skills!$A$1,0,0,COUNTA(unit_skills!$A:$A),MATCH(AR$1,unit_skills!$1:$1,0)-MATCH($AP$1,unit_skills!$1:$1,0)+1),MATCH(AR$1,unit_skills!$1:$1,0)-MATCH($AP$1,unit_skills!$1:$1,0)+1,FALSE)</f>
        <v>中央の横一列を青・Cパネル(大)に変換+1体に激烈ダメージ+1ターン黄パネルの出現率を大DOWN</v>
      </c>
      <c r="AS14" s="53">
        <f ca="1">VLOOKUP($AP14,OFFSET(unit_skills!$A$1,0,0,COUNTA(unit_skills!$A:$A),MATCH(AS$1,unit_skills!$1:$1,0)-MATCH($AP$1,unit_skills!$1:$1,0)+1),MATCH(AS$1,unit_skills!$1:$1,0)-MATCH($AP$1,unit_skills!$1:$1,0)+1,FALSE)</f>
        <v>0</v>
      </c>
      <c r="AT14" s="63">
        <v>1563</v>
      </c>
      <c r="AU14" s="53" t="str">
        <f ca="1">VLOOKUP($AT14,OFFSET(crash_skills!$A$1,0,0,COUNTA(crash_skills!$A:$A),MATCH(AU$1,crash_skills!$1:$1,0)-MATCH($AT$1,crash_skills!$1:$1,0)+1),MATCH(AU$1,crash_skills!$1:$1,0)-MATCH($AT$1,crash_skills!$1:$1,0)+1,FALSE)</f>
        <v>Cassiopeia01スキル</v>
      </c>
      <c r="AV14" s="53" t="str">
        <f ca="1">VLOOKUP($AT14,OFFSET(crash_skills!$A$1,0,0,COUNTA(crash_skills!$A:$A),MATCH(AV$1,crash_skills!$1:$1,0)-MATCH($AT$1,crash_skills!$1:$1,0)+1),MATCH(AV$1,crash_skills!$1:$1,0)-MATCH($AT$1,crash_skills!$1:$1,0)+1,FALSE)</f>
        <v>1体に大ダメージ_x000D_テクニカルタイプに効果特大</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1</v>
      </c>
      <c r="AY14" s="64">
        <v>1.3347</v>
      </c>
      <c r="AZ14" s="64">
        <v>1.4006000000000001</v>
      </c>
      <c r="BA14" s="64">
        <v>0</v>
      </c>
      <c r="BB14" s="64">
        <v>0.93659999999999999</v>
      </c>
      <c r="BC14" s="10">
        <f ca="1">INDEX('RC6SV'!$A$1:$G$21,MATCH(H14,'RC6SV'!$A$1:$A$21,FALSE),MATCH(G14,'RC6SV'!$A$1:$G$1,FALSE))</f>
        <v>9500</v>
      </c>
      <c r="BD14" s="44">
        <f t="shared" ca="1" si="12"/>
        <v>9500</v>
      </c>
      <c r="BE14" s="10">
        <f t="shared" ca="1" si="3"/>
        <v>0</v>
      </c>
      <c r="BF14" s="10">
        <f t="shared" ca="1" si="4"/>
        <v>1</v>
      </c>
      <c r="BG14" s="15">
        <f ca="1">IF($BE14&lt;=0,ROUND(BK14*0.5,0), ROUND($BE14*S14*AA14*J14*AY14*0.8*[1]ステータス!$B$2,0))</f>
        <v>2682</v>
      </c>
      <c r="BH14" s="15">
        <f ca="1">IF($BE14&lt;=0,ROUND(BL14*0.5,0), ROUND($BE14*T14*AB14*K14*AZ14*0.8*[1]ステータス!$C$2,0))</f>
        <v>1743</v>
      </c>
      <c r="BI14" s="15">
        <f ca="1">IF($BE14&lt;=0,ROUND(BM14*0.5,0), ROUND($BE14*U14*AC14*L14*BA14*0.8*[1]ステータス!$D$2,0))</f>
        <v>0</v>
      </c>
      <c r="BJ14" s="15">
        <f ca="1">IF($BE14&lt;=0,ROUND(BN14*0.5,0), ROUND($BE14*V14*AD14*M14*BB14*0.8*[1]ステータス!$E$2,0))</f>
        <v>1093</v>
      </c>
      <c r="BK14" s="10">
        <f ca="1">ROUND(BD14*S14*AA14*J14*AY14*[1]ステータス!$B$2,0)</f>
        <v>5363</v>
      </c>
      <c r="BL14" s="10">
        <f ca="1">ROUND(BD14*T14*AB14*K14*AZ14*[1]ステータス!$C$2,0)</f>
        <v>3485</v>
      </c>
      <c r="BM14" s="10">
        <f ca="1">ROUND(BD14*U14*AC14*L14*BA14*[1]ステータス!$D$2,0)</f>
        <v>0</v>
      </c>
      <c r="BN14" s="10">
        <f ca="1">ROUND(BD14*V14*AD14*M14*BB14*[1]ステータス!$E$2,0)</f>
        <v>2185</v>
      </c>
      <c r="BO14" s="9">
        <v>0</v>
      </c>
      <c r="BP14" s="9">
        <v>1</v>
      </c>
      <c r="BQ14" s="36" t="s">
        <v>47</v>
      </c>
      <c r="BR14" s="9">
        <f ca="1">VLOOKUP(H14,[2]ghosts_label!$A$2:$B$19,2,FALSE)</f>
        <v>5500</v>
      </c>
    </row>
    <row r="15" spans="1:70" ht="26" customHeight="1" x14ac:dyDescent="0.15">
      <c r="A15" s="186">
        <v>1564</v>
      </c>
      <c r="B15" s="53" t="str">
        <f ca="1">VLOOKUP($A15,OFFSET([1]characters!$A$1,0,0,COUNTA([1]characters!$A:$A),MATCH(B$1,[1]characters!$1:$1,0)-MATCH($A$1,[1]characters!$1:$1,0)+1),MATCH(B$1,[1]characters!$1:$1,0)-MATCH($A$1,[1]characters!$1:$1,0)+1,FALSE)</f>
        <v>Cassiopeia02</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50</v>
      </c>
      <c r="O15" s="10">
        <f ca="1">INDEX(レベル!$A$1:$I$22,MATCH(H15,レベル!$A$1:$A$22,FALSE),MATCH(G15,レベル!$A$1:$I$1,FALSE))</f>
        <v>99</v>
      </c>
      <c r="P15" s="44">
        <f t="shared" ca="1" si="10"/>
        <v>99</v>
      </c>
      <c r="Q15" s="53" t="str">
        <f ca="1">VLOOKUP($A15,OFFSET([1]characters!$A$1,0,0,COUNTA([1]characters!$A:$A),MATCH(Q$1,[1]characters!$1:$1,0)-MATCH($A$1,[1]characters!$1:$1,0)+1),MATCH(Q$1,[1]characters!$1:$1,0)-MATCH($A$1,[1]characters!$1:$1,0)+1,FALSE)</f>
        <v>technical</v>
      </c>
      <c r="R15" s="5" t="str">
        <f ca="1">VLOOKUP(Q15,[1]character_type_i18n!$A:$H,3,FALSE)</f>
        <v>テクニカルタイプ</v>
      </c>
      <c r="S15" s="10">
        <f ca="1">VLOOKUP(Q15,[1]character_type_i18n!$A:$H,4,FALSE)</f>
        <v>0.9</v>
      </c>
      <c r="T15" s="10">
        <f ca="1">VLOOKUP(Q15,[1]character_type_i18n!$A:$H,5,FALSE)</f>
        <v>0.9</v>
      </c>
      <c r="U15" s="10">
        <f ca="1">VLOOKUP(Q15,[1]character_type_i18n!$A:$H,6,FALSE)</f>
        <v>1</v>
      </c>
      <c r="V15" s="10">
        <f ca="1">VLOOKUP(Q15,[1]character_type_i18n!$A:$H,7,FALSE)</f>
        <v>0.9</v>
      </c>
      <c r="W15" s="53" t="str">
        <f ca="1">VLOOKUP($A15,OFFSET([1]characters!$A$1,0,0,COUNTA([1]characters!$A:$A),MATCH(W$1,[1]characters!$1:$1,0)-MATCH($A$1,[1]characters!$1:$1,0)+1),MATCH(W$1,[1]characters!$1:$1,0)-MATCH($A$1,[1]characters!$1:$1,0)+1,FALSE)</f>
        <v>human</v>
      </c>
      <c r="X15" s="5" t="str">
        <f ca="1">VLOOKUP(W15,[1]character_tribe_i18n!$A:$H,3,FALSE)</f>
        <v>ヒューマン</v>
      </c>
      <c r="Y15" s="53" t="str">
        <f ca="1">VLOOKUP($A15,OFFSET([1]characters!$A$1,0,0,COUNTA([1]characters!$A:$A),MATCH(Y$1,[1]characters!$1:$1,0)-MATCH($A$1,[1]characters!$1:$1,0)+1),MATCH(Y$1,[1]characters!$1:$1,0)-MATCH($A$1,[1]characters!$1:$1,0)+1,FALSE)</f>
        <v>none</v>
      </c>
      <c r="Z15" s="5" t="str">
        <f ca="1">VLOOKUP(Y15,[1]character_tribe_i18n!$A:$H,3,FALSE)</f>
        <v>種族なし</v>
      </c>
      <c r="AA15" s="10">
        <f ca="1">VLOOKUP(W15,[1]character_tribe_i18n!$A:$H,4,FALSE)</f>
        <v>0.94</v>
      </c>
      <c r="AB15" s="10">
        <f ca="1">VLOOKUP(W15,[1]character_tribe_i18n!$A:$H,5,FALSE)</f>
        <v>0.99</v>
      </c>
      <c r="AC15" s="10">
        <f ca="1">VLOOKUP(W15,[1]character_tribe_i18n!$A:$H,6,FALSE)</f>
        <v>1</v>
      </c>
      <c r="AD15" s="10">
        <f ca="1">VLOOKUP(W15,[1]character_tribe_i18n!$A:$H,7,FALSE)</f>
        <v>1.07</v>
      </c>
      <c r="AE15" s="187" t="s">
        <v>47</v>
      </c>
      <c r="AF15" s="58" t="str">
        <f ca="1">IF(AE15="NULL","",VLOOKUP($AE15,OFFSET([1]characters!$A$1,0,0,COUNTA([1]characters!$A:$A),MATCH(AF$1,[1]characters!$1:$1,0)-MATCH($A$1,[1]characters!$1:$1,0)+1),MATCH(AF$1,[1]characters!$1:$1,0)-MATCH($A$1,[1]characters!$1:$1,0)+1,FALSE))</f>
        <v/>
      </c>
      <c r="AG15" s="187">
        <v>1563</v>
      </c>
      <c r="AH15" s="58" t="str">
        <f ca="1">VLOOKUP($AG15,OFFSET([1]characters!$A$1,0,0,COUNTA([1]characters!$A:$A),MATCH(AH$1,[1]characters!$1:$1,0)-MATCH($A$1,[1]characters!$1:$1,0)+1),MATCH(AH$1,[1]characters!$1:$1,0)-MATCH($A$1,[1]characters!$1:$1,0)+1,FALSE)</f>
        <v>Cassiopeia01</v>
      </c>
      <c r="AI15" s="10" t="str">
        <f>IF(AE15="NULL","NULL",VLOOKUP(G15,ビット!$A$2:$B$7,2))</f>
        <v>NULL</v>
      </c>
      <c r="AJ15" s="6">
        <v>2</v>
      </c>
      <c r="AK15" s="7" t="str">
        <f t="shared" si="11"/>
        <v>普通</v>
      </c>
      <c r="AL15" s="10" t="str">
        <f ca="1">INDEX(経験値!$A$1:$I$21,MATCH(H15,経験値!$A$1:$A$21,FALSE),MATCH(G15,経験値!$A$1:$I$1,FALSE))</f>
        <v>required_exp_250</v>
      </c>
      <c r="AM15" s="8">
        <f ca="1">VLOOKUP(G15,経験値!$A$28:$B$32,2)</f>
        <v>6400</v>
      </c>
      <c r="AN15" s="16">
        <f ca="1">VLOOKUP(G15,ビット!$G$2:$H$7,2)</f>
        <v>900</v>
      </c>
      <c r="AO15" s="41"/>
      <c r="AP15" s="63">
        <v>1564</v>
      </c>
      <c r="AQ15" s="53" t="str">
        <f ca="1">VLOOKUP($AP15,OFFSET(unit_skills!$A$1,0,0,COUNTA(unit_skills!$A:$A),MATCH(AQ$1,unit_skills!$1:$1,0)-MATCH($AP$1,unit_skills!$1:$1,0)+1),MATCH(AQ$1,unit_skills!$1:$1,0)-MATCH($AP$1,unit_skills!$1:$1,0)+1,FALSE)</f>
        <v>Cassiopeia02スキル</v>
      </c>
      <c r="AR15" s="53" t="str">
        <f ca="1">VLOOKUP($AP15,OFFSET(unit_skills!$A$1,0,0,COUNTA(unit_skills!$A:$A),MATCH(AR$1,unit_skills!$1:$1,0)-MATCH($AP$1,unit_skills!$1:$1,0)+1),MATCH(AR$1,unit_skills!$1:$1,0)-MATCH($AP$1,unit_skills!$1:$1,0)+1,FALSE)</f>
        <v>中央の横一列を青・Cパネル(大)に変換+1体に激烈ダメージ+2ターン赤・黄パネルの出現率を大DOWN</v>
      </c>
      <c r="AS15" s="53">
        <f ca="1">VLOOKUP($AP15,OFFSET(unit_skills!$A$1,0,0,COUNTA(unit_skills!$A:$A),MATCH(AS$1,unit_skills!$1:$1,0)-MATCH($AP$1,unit_skills!$1:$1,0)+1),MATCH(AS$1,unit_skills!$1:$1,0)-MATCH($AP$1,unit_skills!$1:$1,0)+1,FALSE)</f>
        <v>0</v>
      </c>
      <c r="AT15" s="63">
        <v>1564</v>
      </c>
      <c r="AU15" s="53" t="str">
        <f ca="1">VLOOKUP($AT15,OFFSET(crash_skills!$A$1,0,0,COUNTA(crash_skills!$A:$A),MATCH(AU$1,crash_skills!$1:$1,0)-MATCH($AT$1,crash_skills!$1:$1,0)+1),MATCH(AU$1,crash_skills!$1:$1,0)-MATCH($AT$1,crash_skills!$1:$1,0)+1,FALSE)</f>
        <v>Cassiopeia02スキル</v>
      </c>
      <c r="AV15" s="53" t="str">
        <f ca="1">VLOOKUP($AT15,OFFSET(crash_skills!$A$1,0,0,COUNTA(crash_skills!$A:$A),MATCH(AV$1,crash_skills!$1:$1,0)-MATCH($AT$1,crash_skills!$1:$1,0)+1),MATCH(AV$1,crash_skills!$1:$1,0)-MATCH($AT$1,crash_skills!$1:$1,0)+1,FALSE)</f>
        <v>1体に特大ダメージ_x000D_テクニカルタイプに効果超大</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1</v>
      </c>
      <c r="AY15" s="64">
        <v>1.3347</v>
      </c>
      <c r="AZ15" s="64">
        <v>1.4006000000000001</v>
      </c>
      <c r="BA15" s="64">
        <v>0</v>
      </c>
      <c r="BB15" s="64">
        <v>0.93659999999999999</v>
      </c>
      <c r="BC15" s="10">
        <f ca="1">INDEX('RC6SV'!$A$1:$G$21,MATCH(H15,'RC6SV'!$A$1:$A$21,FALSE),MATCH(G15,'RC6SV'!$A$1:$G$1,FALSE))</f>
        <v>13000</v>
      </c>
      <c r="BD15" s="44">
        <f t="shared" ca="1" si="12"/>
        <v>13000</v>
      </c>
      <c r="BE15" s="10">
        <f t="shared" ca="1" si="3"/>
        <v>9500</v>
      </c>
      <c r="BF15" s="10">
        <f t="shared" ca="1" si="4"/>
        <v>1</v>
      </c>
      <c r="BG15" s="15">
        <f ca="1">IF($BE15&lt;=0,ROUND(BK15*0.5,0), ROUND($BE15*S15*AA15*J15*AY15*0.8*[1]ステータス!$B$2,0))</f>
        <v>4291</v>
      </c>
      <c r="BH15" s="15">
        <f ca="1">IF($BE15&lt;=0,ROUND(BL15*0.5,0), ROUND($BE15*T15*AB15*K15*AZ15*0.8*[1]ステータス!$C$2,0))</f>
        <v>2788</v>
      </c>
      <c r="BI15" s="15">
        <f ca="1">IF($BE15&lt;=0,ROUND(BM15*0.5,0), ROUND($BE15*U15*AC15*L15*BA15*0.8*[1]ステータス!$D$2,0))</f>
        <v>0</v>
      </c>
      <c r="BJ15" s="15">
        <f ca="1">IF($BE15&lt;=0,ROUND(BN15*0.5,0), ROUND($BE15*V15*AD15*M15*BB15*0.8*[1]ステータス!$E$2,0))</f>
        <v>1748</v>
      </c>
      <c r="BK15" s="10">
        <f ca="1">ROUND(BD15*S15*AA15*J15*AY15*[1]ステータス!$B$2,0)</f>
        <v>7340</v>
      </c>
      <c r="BL15" s="10">
        <f ca="1">ROUND(BD15*T15*AB15*K15*AZ15*[1]ステータス!$C$2,0)</f>
        <v>4770</v>
      </c>
      <c r="BM15" s="10">
        <f ca="1">ROUND(BD15*U15*AC15*L15*BA15*[1]ステータス!$D$2,0)</f>
        <v>0</v>
      </c>
      <c r="BN15" s="10">
        <f ca="1">ROUND(BD15*V15*AD15*M15*BB15*[1]ステータス!$E$2,0)</f>
        <v>2990</v>
      </c>
      <c r="BO15" s="9">
        <v>0</v>
      </c>
      <c r="BP15" s="9">
        <v>1</v>
      </c>
      <c r="BQ15" s="9" t="s">
        <v>47</v>
      </c>
      <c r="BR15" s="9">
        <f ca="1">VLOOKUP(H15,[2]ghosts_label!$A$2:$B$19,2,FALSE)</f>
        <v>5500</v>
      </c>
    </row>
    <row r="16" spans="1:70" ht="26" customHeight="1" x14ac:dyDescent="0.15">
      <c r="A16" s="186">
        <v>1565</v>
      </c>
      <c r="B16" s="53" t="str">
        <f ca="1">VLOOKUP($A16,OFFSET([1]characters!$A$1,0,0,COUNTA([1]characters!$A:$A),MATCH(B$1,[1]characters!$1:$1,0)-MATCH($A$1,[1]characters!$1:$1,0)+1),MATCH(B$1,[1]characters!$1:$1,0)-MATCH($A$1,[1]characters!$1:$1,0)+1,FALSE)</f>
        <v>Aquila01</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5</v>
      </c>
      <c r="H16" s="53" t="str">
        <f ca="1">VLOOKUP($A16,OFFSET([1]characters!$A$1,0,0,COUNTA([1]characters!$A:$A),MATCH(H$1,[1]characters!$1:$1,0)-MATCH($A$1,[1]characters!$1:$1,0)+1),MATCH(H$1,[1]characters!$1:$1,0)-MATCH($A$1,[1]characters!$1:$1,0)+1,FALSE)</f>
        <v>PremiumS</v>
      </c>
      <c r="I16" s="53" t="str">
        <f ca="1">VLOOKUP($A16,OFFSET([1]characters!$A$1,0,0,COUNTA([1]characters!$A:$A),MATCH(I$1,[1]characters!$1:$1,0)-MATCH($A$1,[1]characters!$1:$1,0)+1),MATCH(I$1,[1]characters!$1:$1,0)-MATCH($A$1,[1]characters!$1:$1,0)+1,FALSE)</f>
        <v>green</v>
      </c>
      <c r="J16" s="10">
        <f ca="1">VLOOKUP(I16,[1]属性!$A:$E,2,FALSE)</f>
        <v>1.02</v>
      </c>
      <c r="K16" s="10">
        <f ca="1">VLOOKUP(I16,[1]属性!$A:$E,3,FALSE)</f>
        <v>0.98</v>
      </c>
      <c r="L16" s="10">
        <f ca="1">VLOOKUP(I16,[1]属性!$A:$E,4,FALSE)</f>
        <v>1</v>
      </c>
      <c r="M16" s="10">
        <f ca="1">VLOOKUP(I16,[1]属性!$A:$E,5,FALSE)</f>
        <v>1</v>
      </c>
      <c r="N16" s="10">
        <f ca="1">INDEX(コスト!$A$1:$I$21,MATCH(H16,コスト!$A$1:$A$21,FALSE),MATCH(G16,コスト!$A$1:$I$1,FALSE))</f>
        <v>30</v>
      </c>
      <c r="O16" s="10">
        <f ca="1">INDEX(レベル!$A$1:$I$22,MATCH(H16,レベル!$A$1:$A$22,FALSE),MATCH(G16,レベル!$A$1:$I$1,FALSE))</f>
        <v>80</v>
      </c>
      <c r="P16" s="44">
        <f t="shared" ca="1" si="10"/>
        <v>75</v>
      </c>
      <c r="Q16" s="53" t="str">
        <f ca="1">VLOOKUP($A16,OFFSET([1]characters!$A$1,0,0,COUNTA([1]characters!$A:$A),MATCH(Q$1,[1]characters!$1:$1,0)-MATCH($A$1,[1]characters!$1:$1,0)+1),MATCH(Q$1,[1]characters!$1:$1,0)-MATCH($A$1,[1]characters!$1:$1,0)+1,FALSE)</f>
        <v>attack</v>
      </c>
      <c r="R16" s="5" t="str">
        <f ca="1">VLOOKUP(Q16,[1]character_type_i18n!$A:$H,3,FALSE)</f>
        <v>攻撃タイプ</v>
      </c>
      <c r="S16" s="10">
        <f ca="1">VLOOKUP(Q16,[1]character_type_i18n!$A:$H,4,FALSE)</f>
        <v>1</v>
      </c>
      <c r="T16" s="10">
        <f ca="1">VLOOKUP(Q16,[1]character_type_i18n!$A:$H,5,FALSE)</f>
        <v>1.33</v>
      </c>
      <c r="U16" s="10">
        <f ca="1">VLOOKUP(Q16,[1]character_type_i18n!$A:$H,6,FALSE)</f>
        <v>1</v>
      </c>
      <c r="V16" s="10">
        <f ca="1">VLOOKUP(Q16,[1]character_type_i18n!$A:$H,7,FALSE)</f>
        <v>0.67</v>
      </c>
      <c r="W16" s="53" t="str">
        <f ca="1">VLOOKUP($A16,OFFSET([1]characters!$A$1,0,0,COUNTA([1]characters!$A:$A),MATCH(W$1,[1]characters!$1:$1,0)-MATCH($A$1,[1]characters!$1:$1,0)+1),MATCH(W$1,[1]characters!$1:$1,0)-MATCH($A$1,[1]characters!$1:$1,0)+1,FALSE)</f>
        <v>human</v>
      </c>
      <c r="X16" s="5" t="str">
        <f ca="1">VLOOKUP(W16,[1]character_tribe_i18n!$A:$H,3,FALSE)</f>
        <v>ヒューマン</v>
      </c>
      <c r="Y16" s="53" t="str">
        <f ca="1">VLOOKUP($A16,OFFSET([1]characters!$A$1,0,0,COUNTA([1]characters!$A:$A),MATCH(Y$1,[1]characters!$1:$1,0)-MATCH($A$1,[1]characters!$1:$1,0)+1),MATCH(Y$1,[1]characters!$1:$1,0)-MATCH($A$1,[1]characters!$1:$1,0)+1,FALSE)</f>
        <v>none</v>
      </c>
      <c r="Z16" s="5" t="str">
        <f ca="1">VLOOKUP(Y16,[1]character_tribe_i18n!$A:$H,3,FALSE)</f>
        <v>種族なし</v>
      </c>
      <c r="AA16" s="10">
        <f ca="1">VLOOKUP(W16,[1]character_tribe_i18n!$A:$H,4,FALSE)</f>
        <v>0.94</v>
      </c>
      <c r="AB16" s="10">
        <f ca="1">VLOOKUP(W16,[1]character_tribe_i18n!$A:$H,5,FALSE)</f>
        <v>0.99</v>
      </c>
      <c r="AC16" s="10">
        <f ca="1">VLOOKUP(W16,[1]character_tribe_i18n!$A:$H,6,FALSE)</f>
        <v>1</v>
      </c>
      <c r="AD16" s="10">
        <f ca="1">VLOOKUP(W16,[1]character_tribe_i18n!$A:$H,7,FALSE)</f>
        <v>1.07</v>
      </c>
      <c r="AE16" s="187" t="s">
        <v>47</v>
      </c>
      <c r="AF16" s="58" t="str">
        <f ca="1">IF(AE16="NULL","",VLOOKUP($AE16,OFFSET([1]characters!$A$1,0,0,COUNTA([1]characters!$A:$A),MATCH(AF$1,[1]characters!$1:$1,0)-MATCH($A$1,[1]characters!$1:$1,0)+1),MATCH(AF$1,[1]characters!$1:$1,0)-MATCH($A$1,[1]characters!$1:$1,0)+1,FALSE))</f>
        <v/>
      </c>
      <c r="AG16" s="187">
        <v>1565</v>
      </c>
      <c r="AH16" s="58" t="str">
        <f ca="1">VLOOKUP($AG16,OFFSET([1]characters!$A$1,0,0,COUNTA([1]characters!$A:$A),MATCH(AH$1,[1]characters!$1:$1,0)-MATCH($A$1,[1]characters!$1:$1,0)+1),MATCH(AH$1,[1]characters!$1:$1,0)-MATCH($A$1,[1]characters!$1:$1,0)+1,FALSE)</f>
        <v>Aquila01</v>
      </c>
      <c r="AI16" s="10" t="str">
        <f>IF(AE16="NULL","NULL",VLOOKUP(G16,ビット!$A$2:$B$7,2))</f>
        <v>NULL</v>
      </c>
      <c r="AJ16" s="6">
        <v>2</v>
      </c>
      <c r="AK16" s="7" t="str">
        <f t="shared" si="11"/>
        <v>普通</v>
      </c>
      <c r="AL16" s="10" t="str">
        <f ca="1">INDEX(経験値!$A$1:$I$21,MATCH(H16,経験値!$A$1:$A$21,FALSE),MATCH(G16,経験値!$A$1:$I$1,FALSE))</f>
        <v>required_exp_200</v>
      </c>
      <c r="AM16" s="8">
        <f ca="1">VLOOKUP(G16,経験値!$A$28:$B$32,2)</f>
        <v>6400</v>
      </c>
      <c r="AN16" s="16">
        <f ca="1">VLOOKUP(G16,ビット!$G$2:$H$7,2)</f>
        <v>900</v>
      </c>
      <c r="AO16" s="41"/>
      <c r="AP16" s="63">
        <v>1565</v>
      </c>
      <c r="AQ16" s="53" t="str">
        <f ca="1">VLOOKUP($AP16,OFFSET(unit_skills!$A$1,0,0,COUNTA(unit_skills!$A:$A),MATCH(AQ$1,unit_skills!$1:$1,0)-MATCH($AP$1,unit_skills!$1:$1,0)+1),MATCH(AQ$1,unit_skills!$1:$1,0)-MATCH($AP$1,unit_skills!$1:$1,0)+1,FALSE)</f>
        <v>Aquila01スキル</v>
      </c>
      <c r="AR16" s="53" t="str">
        <f ca="1">VLOOKUP($AP16,OFFSET(unit_skills!$A$1,0,0,COUNTA(unit_skills!$A:$A),MATCH(AR$1,unit_skills!$1:$1,0)-MATCH($AP$1,unit_skills!$1:$1,0)+1),MATCH(AR$1,unit_skills!$1:$1,0)-MATCH($AP$1,unit_skills!$1:$1,0)+1,FALSE)</f>
        <v>ランダムで最大1個緑ボム(特大)に、ハートパネルを最大5個CPに変換+カウンター解除+2ターン緑･青･黄属性の攻撃力を大UP</v>
      </c>
      <c r="AS16" s="53">
        <f ca="1">VLOOKUP($AP16,OFFSET(unit_skills!$A$1,0,0,COUNTA(unit_skills!$A:$A),MATCH(AS$1,unit_skills!$1:$1,0)-MATCH($AP$1,unit_skills!$1:$1,0)+1),MATCH(AS$1,unit_skills!$1:$1,0)-MATCH($AP$1,unit_skills!$1:$1,0)+1,FALSE)</f>
        <v>0</v>
      </c>
      <c r="AT16" s="63">
        <v>1565</v>
      </c>
      <c r="AU16" s="53" t="str">
        <f ca="1">VLOOKUP($AT16,OFFSET(crash_skills!$A$1,0,0,COUNTA(crash_skills!$A:$A),MATCH(AU$1,crash_skills!$1:$1,0)-MATCH($AT$1,crash_skills!$1:$1,0)+1),MATCH(AU$1,crash_skills!$1:$1,0)-MATCH($AT$1,crash_skills!$1:$1,0)+1,FALSE)</f>
        <v>Aquila01スキル</v>
      </c>
      <c r="AV16" s="53" t="str">
        <f ca="1">VLOOKUP($AT16,OFFSET(crash_skills!$A$1,0,0,COUNTA(crash_skills!$A:$A),MATCH(AV$1,crash_skills!$1:$1,0)-MATCH($AT$1,crash_skills!$1:$1,0)+1),MATCH(AV$1,crash_skills!$1:$1,0)-MATCH($AT$1,crash_skills!$1:$1,0)+1,FALSE)</f>
        <v>1体に特大ダメージ_x000D_種族アニマルに効果超大</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1</v>
      </c>
      <c r="AY16" s="64">
        <v>1.159</v>
      </c>
      <c r="AZ16" s="64">
        <v>1.1513</v>
      </c>
      <c r="BA16" s="64">
        <v>0</v>
      </c>
      <c r="BB16" s="64">
        <v>1.2955000000000001</v>
      </c>
      <c r="BC16" s="10">
        <f ca="1">INDEX('RC6SV'!$A$1:$G$21,MATCH(H16,'RC6SV'!$A$1:$A$21,FALSE),MATCH(G16,'RC6SV'!$A$1:$G$1,FALSE))</f>
        <v>9000</v>
      </c>
      <c r="BD16" s="44">
        <f t="shared" ca="1" si="12"/>
        <v>9000</v>
      </c>
      <c r="BE16" s="10">
        <f t="shared" ca="1" si="3"/>
        <v>0</v>
      </c>
      <c r="BF16" s="10">
        <f t="shared" ca="1" si="4"/>
        <v>1</v>
      </c>
      <c r="BG16" s="15">
        <f ca="1">IF($BE16&lt;=0,ROUND(BK16*0.5,0), ROUND($BE16*S16*AA16*J16*AY16*0.8*[1]ステータス!$B$2,0))</f>
        <v>2501</v>
      </c>
      <c r="BH16" s="15">
        <f ca="1">IF($BE16&lt;=0,ROUND(BL16*0.5,0), ROUND($BE16*T16*AB16*K16*AZ16*0.8*[1]ステータス!$C$2,0))</f>
        <v>2006</v>
      </c>
      <c r="BI16" s="15">
        <f ca="1">IF($BE16&lt;=0,ROUND(BM16*0.5,0), ROUND($BE16*U16*AC16*L16*BA16*0.8*[1]ステータス!$D$2,0))</f>
        <v>0</v>
      </c>
      <c r="BJ16" s="15">
        <f ca="1">IF($BE16&lt;=0,ROUND(BN16*0.5,0), ROUND($BE16*V16*AD16*M16*BB16*0.8*[1]ステータス!$E$2,0))</f>
        <v>1045</v>
      </c>
      <c r="BK16" s="10">
        <f ca="1">ROUND(BD16*S16*AA16*J16*AY16*[1]ステータス!$B$2,0)</f>
        <v>5001</v>
      </c>
      <c r="BL16" s="10">
        <f ca="1">ROUND(BD16*T16*AB16*K16*AZ16*[1]ステータス!$C$2,0)</f>
        <v>4011</v>
      </c>
      <c r="BM16" s="10">
        <f ca="1">ROUND(BD16*U16*AC16*L16*BA16*[1]ステータス!$D$2,0)</f>
        <v>0</v>
      </c>
      <c r="BN16" s="10">
        <f ca="1">ROUND(BD16*V16*AD16*M16*BB16*[1]ステータス!$E$2,0)</f>
        <v>2090</v>
      </c>
      <c r="BO16" s="9">
        <v>0</v>
      </c>
      <c r="BP16" s="9">
        <v>1</v>
      </c>
      <c r="BQ16" s="36" t="s">
        <v>47</v>
      </c>
      <c r="BR16" s="9">
        <f ca="1">VLOOKUP(H16,[2]ghosts_label!$A$2:$B$19,2,FALSE)</f>
        <v>700</v>
      </c>
    </row>
    <row r="17" spans="1:70" ht="26" customHeight="1" x14ac:dyDescent="0.15">
      <c r="A17" s="186">
        <v>1566</v>
      </c>
      <c r="B17" s="53" t="str">
        <f ca="1">VLOOKUP($A17,OFFSET([1]characters!$A$1,0,0,COUNTA([1]characters!$A:$A),MATCH(B$1,[1]characters!$1:$1,0)-MATCH($A$1,[1]characters!$1:$1,0)+1),MATCH(B$1,[1]characters!$1:$1,0)-MATCH($A$1,[1]characters!$1:$1,0)+1,FALSE)</f>
        <v>Phoenix01</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5</v>
      </c>
      <c r="H17" s="53" t="str">
        <f ca="1">VLOOKUP($A17,OFFSET([1]characters!$A$1,0,0,COUNTA([1]characters!$A:$A),MATCH(H$1,[1]characters!$1:$1,0)-MATCH($A$1,[1]characters!$1:$1,0)+1),MATCH(H$1,[1]characters!$1:$1,0)-MATCH($A$1,[1]characters!$1:$1,0)+1,FALSE)</f>
        <v>PremiumSSS</v>
      </c>
      <c r="I17" s="53" t="str">
        <f ca="1">VLOOKUP($A17,OFFSET([1]characters!$A$1,0,0,COUNTA([1]characters!$A:$A),MATCH(I$1,[1]characters!$1:$1,0)-MATCH($A$1,[1]characters!$1:$1,0)+1),MATCH(I$1,[1]characters!$1:$1,0)-MATCH($A$1,[1]characters!$1:$1,0)+1,FALSE)</f>
        <v>red</v>
      </c>
      <c r="J17" s="10">
        <f ca="1">VLOOKUP(I17,[1]属性!$A:$E,2,FALSE)</f>
        <v>1</v>
      </c>
      <c r="K17" s="10">
        <f ca="1">VLOOKUP(I17,[1]属性!$A:$E,3,FALSE)</f>
        <v>1.02</v>
      </c>
      <c r="L17" s="10">
        <f ca="1">VLOOKUP(I17,[1]属性!$A:$E,4,FALSE)</f>
        <v>1</v>
      </c>
      <c r="M17" s="10">
        <f ca="1">VLOOKUP(I17,[1]属性!$A:$E,5,FALSE)</f>
        <v>0.98</v>
      </c>
      <c r="N17" s="10">
        <f ca="1">INDEX(コスト!$A$1:$I$21,MATCH(H17,コスト!$A$1:$A$21,FALSE),MATCH(G17,コスト!$A$1:$I$1,FALSE))</f>
        <v>40</v>
      </c>
      <c r="O17" s="10">
        <f ca="1">INDEX(レベル!$A$1:$I$22,MATCH(H17,レベル!$A$1:$A$22,FALSE),MATCH(G17,レベル!$A$1:$I$1,FALSE))</f>
        <v>80</v>
      </c>
      <c r="P17" s="44">
        <f t="shared" ca="1" si="10"/>
        <v>75</v>
      </c>
      <c r="Q17" s="53" t="str">
        <f ca="1">VLOOKUP($A17,OFFSET([1]characters!$A$1,0,0,COUNTA([1]characters!$A:$A),MATCH(Q$1,[1]characters!$1:$1,0)-MATCH($A$1,[1]characters!$1:$1,0)+1),MATCH(Q$1,[1]characters!$1:$1,0)-MATCH($A$1,[1]characters!$1:$1,0)+1,FALSE)</f>
        <v>heal</v>
      </c>
      <c r="R17" s="5" t="str">
        <f ca="1">VLOOKUP(Q17,[1]character_type_i18n!$A:$H,3,FALSE)</f>
        <v>回復タイプ</v>
      </c>
      <c r="S17" s="10">
        <f ca="1">VLOOKUP(Q17,[1]character_type_i18n!$A:$H,4,FALSE)</f>
        <v>0.8</v>
      </c>
      <c r="T17" s="10">
        <f ca="1">VLOOKUP(Q17,[1]character_type_i18n!$A:$H,5,FALSE)</f>
        <v>0.78</v>
      </c>
      <c r="U17" s="10">
        <f ca="1">VLOOKUP(Q17,[1]character_type_i18n!$A:$H,6,FALSE)</f>
        <v>1</v>
      </c>
      <c r="V17" s="10">
        <f ca="1">VLOOKUP(Q17,[1]character_type_i18n!$A:$H,7,FALSE)</f>
        <v>1.42</v>
      </c>
      <c r="W17" s="53" t="str">
        <f ca="1">VLOOKUP($A17,OFFSET([1]characters!$A$1,0,0,COUNTA([1]characters!$A:$A),MATCH(W$1,[1]characters!$1:$1,0)-MATCH($A$1,[1]characters!$1:$1,0)+1),MATCH(W$1,[1]characters!$1:$1,0)-MATCH($A$1,[1]characters!$1:$1,0)+1,FALSE)</f>
        <v>human</v>
      </c>
      <c r="X17" s="5" t="str">
        <f ca="1">VLOOKUP(W17,[1]character_tribe_i18n!$A:$H,3,FALSE)</f>
        <v>ヒューマン</v>
      </c>
      <c r="Y17" s="53" t="str">
        <f ca="1">VLOOKUP($A17,OFFSET([1]characters!$A$1,0,0,COUNTA([1]characters!$A:$A),MATCH(Y$1,[1]characters!$1:$1,0)-MATCH($A$1,[1]characters!$1:$1,0)+1),MATCH(Y$1,[1]characters!$1:$1,0)-MATCH($A$1,[1]characters!$1:$1,0)+1,FALSE)</f>
        <v>none</v>
      </c>
      <c r="Z17" s="5" t="str">
        <f ca="1">VLOOKUP(Y17,[1]character_tribe_i18n!$A:$H,3,FALSE)</f>
        <v>種族なし</v>
      </c>
      <c r="AA17" s="10">
        <f ca="1">VLOOKUP(W17,[1]character_tribe_i18n!$A:$H,4,FALSE)</f>
        <v>0.94</v>
      </c>
      <c r="AB17" s="10">
        <f ca="1">VLOOKUP(W17,[1]character_tribe_i18n!$A:$H,5,FALSE)</f>
        <v>0.99</v>
      </c>
      <c r="AC17" s="10">
        <f ca="1">VLOOKUP(W17,[1]character_tribe_i18n!$A:$H,6,FALSE)</f>
        <v>1</v>
      </c>
      <c r="AD17" s="10">
        <f ca="1">VLOOKUP(W17,[1]character_tribe_i18n!$A:$H,7,FALSE)</f>
        <v>1.07</v>
      </c>
      <c r="AE17" s="198">
        <v>1567</v>
      </c>
      <c r="AF17" s="58" t="str">
        <f ca="1">IF(AE17="NULL","",VLOOKUP($AE17,OFFSET([1]characters!$A$1,0,0,COUNTA([1]characters!$A:$A),MATCH(AF$1,[1]characters!$1:$1,0)-MATCH($A$1,[1]characters!$1:$1,0)+1),MATCH(AF$1,[1]characters!$1:$1,0)-MATCH($A$1,[1]characters!$1:$1,0)+1,FALSE))</f>
        <v>Phoenix02</v>
      </c>
      <c r="AG17" s="198">
        <v>1566</v>
      </c>
      <c r="AH17" s="58" t="str">
        <f ca="1">VLOOKUP($AG17,OFFSET([1]characters!$A$1,0,0,COUNTA([1]characters!$A:$A),MATCH(AH$1,[1]characters!$1:$1,0)-MATCH($A$1,[1]characters!$1:$1,0)+1),MATCH(AH$1,[1]characters!$1:$1,0)-MATCH($A$1,[1]characters!$1:$1,0)+1,FALSE)</f>
        <v>Phoenix01</v>
      </c>
      <c r="AI17" s="10">
        <f ca="1">IF(AE17="NULL","NULL",VLOOKUP(G17,ビット!$A$2:$B$7,2))</f>
        <v>200000</v>
      </c>
      <c r="AJ17" s="6">
        <v>2</v>
      </c>
      <c r="AK17" s="7" t="str">
        <f t="shared" si="11"/>
        <v>普通</v>
      </c>
      <c r="AL17" s="10" t="str">
        <f ca="1">INDEX(経験値!$A$1:$I$21,MATCH(H17,経験値!$A$1:$A$21,FALSE),MATCH(G17,経験値!$A$1:$I$1,FALSE))</f>
        <v>required_exp_250</v>
      </c>
      <c r="AM17" s="8">
        <f ca="1">VLOOKUP(G17,経験値!$A$28:$B$32,2)</f>
        <v>6400</v>
      </c>
      <c r="AN17" s="16">
        <f ca="1">VLOOKUP(G17,ビット!$G$2:$H$7,2)</f>
        <v>900</v>
      </c>
      <c r="AO17" s="41"/>
      <c r="AP17" s="63">
        <v>1566</v>
      </c>
      <c r="AQ17" s="53" t="str">
        <f ca="1">VLOOKUP($AP17,OFFSET(unit_skills!$A$1,0,0,COUNTA(unit_skills!$A:$A),MATCH(AQ$1,unit_skills!$1:$1,0)-MATCH($AP$1,unit_skills!$1:$1,0)+1),MATCH(AQ$1,unit_skills!$1:$1,0)-MATCH($AP$1,unit_skills!$1:$1,0)+1,FALSE)</f>
        <v>Phoenix01スキル</v>
      </c>
      <c r="AR17" s="53" t="str">
        <f ca="1">VLOOKUP($AP17,OFFSET(unit_skills!$A$1,0,0,COUNTA(unit_skills!$A:$A),MATCH(AR$1,unit_skills!$1:$1,0)-MATCH($AP$1,unit_skills!$1:$1,0)+1),MATCH(AR$1,unit_skills!$1:$1,0)-MATCH($AP$1,unit_skills!$1:$1,0)+1,FALSE)</f>
        <v>1体に大ダメージ+中央横一列を赤ボム、SCP3個変換+ハートパネル無効解除+2ターン確率で黄･ハートがハートボムでドロップ、敵の防御力0</v>
      </c>
      <c r="AS17" s="53">
        <f ca="1">VLOOKUP($AP17,OFFSET(unit_skills!$A$1,0,0,COUNTA(unit_skills!$A:$A),MATCH(AS$1,unit_skills!$1:$1,0)-MATCH($AP$1,unit_skills!$1:$1,0)+1),MATCH(AS$1,unit_skills!$1:$1,0)-MATCH($AP$1,unit_skills!$1:$1,0)+1,FALSE)</f>
        <v>0</v>
      </c>
      <c r="AT17" s="63">
        <v>1566</v>
      </c>
      <c r="AU17" s="53" t="str">
        <f ca="1">VLOOKUP($AT17,OFFSET(crash_skills!$A$1,0,0,COUNTA(crash_skills!$A:$A),MATCH(AU$1,crash_skills!$1:$1,0)-MATCH($AT$1,crash_skills!$1:$1,0)+1),MATCH(AU$1,crash_skills!$1:$1,0)-MATCH($AT$1,crash_skills!$1:$1,0)+1,FALSE)</f>
        <v>Phoenix01スキル</v>
      </c>
      <c r="AV17" s="53" t="str">
        <f ca="1">VLOOKUP($AT17,OFFSET(crash_skills!$A$1,0,0,COUNTA(crash_skills!$A:$A),MATCH(AV$1,crash_skills!$1:$1,0)-MATCH($AT$1,crash_skills!$1:$1,0)+1),MATCH(AV$1,crash_skills!$1:$1,0)-MATCH($AT$1,crash_skills!$1:$1,0)+1,FALSE)</f>
        <v>単体に3連続ダメージ</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1</v>
      </c>
      <c r="AY17" s="64">
        <v>1.1238999999999999</v>
      </c>
      <c r="AZ17" s="64">
        <v>1.321</v>
      </c>
      <c r="BA17" s="64">
        <v>0</v>
      </c>
      <c r="BB17" s="64">
        <v>0.88449999999999995</v>
      </c>
      <c r="BC17" s="10">
        <f ca="1">INDEX('RC6SV'!$A$1:$G$21,MATCH(H17,'RC6SV'!$A$1:$A$21,FALSE),MATCH(G17,'RC6SV'!$A$1:$G$1,FALSE))</f>
        <v>10000</v>
      </c>
      <c r="BD17" s="44">
        <f t="shared" ca="1" si="12"/>
        <v>10000</v>
      </c>
      <c r="BE17" s="10">
        <f t="shared" ca="1" si="3"/>
        <v>0</v>
      </c>
      <c r="BF17" s="10">
        <f t="shared" ca="1" si="4"/>
        <v>1</v>
      </c>
      <c r="BG17" s="15">
        <f ca="1">IF($BE17&lt;=0,ROUND(BK17*0.5,0), ROUND($BE17*S17*AA17*J17*AY17*0.8*[1]ステータス!$B$2,0))</f>
        <v>2113</v>
      </c>
      <c r="BH17" s="15">
        <f ca="1">IF($BE17&lt;=0,ROUND(BL17*0.5,0), ROUND($BE17*T17*AB17*K17*AZ17*0.8*[1]ステータス!$C$2,0))</f>
        <v>1561</v>
      </c>
      <c r="BI17" s="15">
        <f ca="1">IF($BE17&lt;=0,ROUND(BM17*0.5,0), ROUND($BE17*U17*AC17*L17*BA17*0.8*[1]ステータス!$D$2,0))</f>
        <v>0</v>
      </c>
      <c r="BJ17" s="15">
        <f ca="1">IF($BE17&lt;=0,ROUND(BN17*0.5,0), ROUND($BE17*V17*AD17*M17*BB17*0.8*[1]ステータス!$E$2,0))</f>
        <v>1647</v>
      </c>
      <c r="BK17" s="10">
        <f ca="1">ROUND(BD17*S17*AA17*J17*AY17*[1]ステータス!$B$2,0)</f>
        <v>4226</v>
      </c>
      <c r="BL17" s="10">
        <f ca="1">ROUND(BD17*T17*AB17*K17*AZ17*[1]ステータス!$C$2,0)</f>
        <v>3121</v>
      </c>
      <c r="BM17" s="10">
        <f ca="1">ROUND(BD17*U17*AC17*L17*BA17*[1]ステータス!$D$2,0)</f>
        <v>0</v>
      </c>
      <c r="BN17" s="10">
        <f ca="1">ROUND(BD17*V17*AD17*M17*BB17*[1]ステータス!$E$2,0)</f>
        <v>3293</v>
      </c>
      <c r="BO17" s="9">
        <v>0</v>
      </c>
      <c r="BP17" s="9">
        <v>1</v>
      </c>
      <c r="BQ17" s="9" t="s">
        <v>47</v>
      </c>
      <c r="BR17" s="9">
        <f ca="1">VLOOKUP(H17,[2]ghosts_label!$A$2:$B$19,2,FALSE)</f>
        <v>30000</v>
      </c>
    </row>
    <row r="18" spans="1:70" ht="26" customHeight="1" x14ac:dyDescent="0.15">
      <c r="A18" s="186">
        <v>1567</v>
      </c>
      <c r="B18" s="53" t="str">
        <f ca="1">VLOOKUP($A18,OFFSET([1]characters!$A$1,0,0,COUNTA([1]characters!$A:$A),MATCH(B$1,[1]characters!$1:$1,0)-MATCH($A$1,[1]characters!$1:$1,0)+1),MATCH(B$1,[1]characters!$1:$1,0)-MATCH($A$1,[1]characters!$1:$1,0)+1,FALSE)</f>
        <v>Phoenix02</v>
      </c>
      <c r="C18" s="53">
        <f ca="1">VLOOKUP($A18,OFFSET([1]characters!$A$1,0,0,COUNTA([1]characters!$A:$A),MATCH(C$1,[1]characters!$1:$1,0)-MATCH($A$1,[1]characters!$1:$1,0)+1),MATCH(C$1,[1]characters!$1:$1,0)-MATCH($A$1,[1]characters!$1:$1,0)+1,FALSE)</f>
        <v>0</v>
      </c>
      <c r="D18" s="53">
        <f ca="1">VLOOKUP($A18,OFFSET([1]characters!$A$1,0,0,COUNTA([1]characters!$A:$A),MATCH(D$1,[1]characters!$1:$1,0)-MATCH($A$1,[1]characters!$1:$1,0)+1),MATCH(D$1,[1]characters!$1:$1,0)-MATCH($A$1,[1]characters!$1:$1,0)+1,FALSE)</f>
        <v>0</v>
      </c>
      <c r="E18" s="53">
        <f ca="1">VLOOKUP($A18,OFFSET([1]characters!$A$1,0,0,COUNTA([1]characters!$A:$A),MATCH(E$1,[1]characters!$1:$1,0)-MATCH($A$1,[1]characters!$1:$1,0)+1),MATCH(E$1,[1]characters!$1:$1,0)-MATCH($A$1,[1]characters!$1:$1,0)+1,FALSE)</f>
        <v>0</v>
      </c>
      <c r="F18" s="53">
        <f ca="1">VLOOKUP($A18,OFFSET([1]characters!$A$1,0,0,COUNTA([1]characters!$A:$A),MATCH(F$1,[1]characters!$1:$1,0)-MATCH($A$1,[1]characters!$1:$1,0)+1),MATCH(F$1,[1]characters!$1:$1,0)-MATCH($A$1,[1]characters!$1:$1,0)+1,FALSE)</f>
        <v>0</v>
      </c>
      <c r="G18" s="53">
        <f ca="1">VLOOKUP($A18,OFFSET([1]characters!$A$1,0,0,COUNTA([1]characters!$A:$A),MATCH(G$1,[1]characters!$1:$1,0)-MATCH($A$1,[1]characters!$1:$1,0)+1),MATCH(G$1,[1]characters!$1:$1,0)-MATCH($A$1,[1]characters!$1:$1,0)+1,FALSE)</f>
        <v>6</v>
      </c>
      <c r="H18" s="53" t="str">
        <f ca="1">VLOOKUP($A18,OFFSET([1]characters!$A$1,0,0,COUNTA([1]characters!$A:$A),MATCH(H$1,[1]characters!$1:$1,0)-MATCH($A$1,[1]characters!$1:$1,0)+1),MATCH(H$1,[1]characters!$1:$1,0)-MATCH($A$1,[1]characters!$1:$1,0)+1,FALSE)</f>
        <v>PremiumSSS</v>
      </c>
      <c r="I18" s="53" t="str">
        <f ca="1">VLOOKUP($A18,OFFSET([1]characters!$A$1,0,0,COUNTA([1]characters!$A:$A),MATCH(I$1,[1]characters!$1:$1,0)-MATCH($A$1,[1]characters!$1:$1,0)+1),MATCH(I$1,[1]characters!$1:$1,0)-MATCH($A$1,[1]characters!$1:$1,0)+1,FALSE)</f>
        <v>red</v>
      </c>
      <c r="J18" s="10">
        <f ca="1">VLOOKUP(I18,[1]属性!$A:$E,2,FALSE)</f>
        <v>1</v>
      </c>
      <c r="K18" s="10">
        <f ca="1">VLOOKUP(I18,[1]属性!$A:$E,3,FALSE)</f>
        <v>1.02</v>
      </c>
      <c r="L18" s="10">
        <f ca="1">VLOOKUP(I18,[1]属性!$A:$E,4,FALSE)</f>
        <v>1</v>
      </c>
      <c r="M18" s="10">
        <f ca="1">VLOOKUP(I18,[1]属性!$A:$E,5,FALSE)</f>
        <v>0.98</v>
      </c>
      <c r="N18" s="10">
        <f ca="1">INDEX(コスト!$A$1:$I$21,MATCH(H18,コスト!$A$1:$A$21,FALSE),MATCH(G18,コスト!$A$1:$I$1,FALSE))</f>
        <v>55</v>
      </c>
      <c r="O18" s="10">
        <f ca="1">INDEX(レベル!$A$1:$I$22,MATCH(H18,レベル!$A$1:$A$22,FALSE),MATCH(G18,レベル!$A$1:$I$1,FALSE))</f>
        <v>99</v>
      </c>
      <c r="P18" s="44">
        <f t="shared" ca="1" si="10"/>
        <v>99</v>
      </c>
      <c r="Q18" s="53" t="str">
        <f ca="1">VLOOKUP($A18,OFFSET([1]characters!$A$1,0,0,COUNTA([1]characters!$A:$A),MATCH(Q$1,[1]characters!$1:$1,0)-MATCH($A$1,[1]characters!$1:$1,0)+1),MATCH(Q$1,[1]characters!$1:$1,0)-MATCH($A$1,[1]characters!$1:$1,0)+1,FALSE)</f>
        <v>heal</v>
      </c>
      <c r="R18" s="5" t="str">
        <f ca="1">VLOOKUP(Q18,[1]character_type_i18n!$A:$H,3,FALSE)</f>
        <v>回復タイプ</v>
      </c>
      <c r="S18" s="10">
        <f ca="1">VLOOKUP(Q18,[1]character_type_i18n!$A:$H,4,FALSE)</f>
        <v>0.8</v>
      </c>
      <c r="T18" s="10">
        <f ca="1">VLOOKUP(Q18,[1]character_type_i18n!$A:$H,5,FALSE)</f>
        <v>0.78</v>
      </c>
      <c r="U18" s="10">
        <f ca="1">VLOOKUP(Q18,[1]character_type_i18n!$A:$H,6,FALSE)</f>
        <v>1</v>
      </c>
      <c r="V18" s="10">
        <f ca="1">VLOOKUP(Q18,[1]character_type_i18n!$A:$H,7,FALSE)</f>
        <v>1.42</v>
      </c>
      <c r="W18" s="53" t="str">
        <f ca="1">VLOOKUP($A18,OFFSET([1]characters!$A$1,0,0,COUNTA([1]characters!$A:$A),MATCH(W$1,[1]characters!$1:$1,0)-MATCH($A$1,[1]characters!$1:$1,0)+1),MATCH(W$1,[1]characters!$1:$1,0)-MATCH($A$1,[1]characters!$1:$1,0)+1,FALSE)</f>
        <v>human</v>
      </c>
      <c r="X18" s="5" t="str">
        <f ca="1">VLOOKUP(W18,[1]character_tribe_i18n!$A:$H,3,FALSE)</f>
        <v>ヒューマン</v>
      </c>
      <c r="Y18" s="53" t="str">
        <f ca="1">VLOOKUP($A18,OFFSET([1]characters!$A$1,0,0,COUNTA([1]characters!$A:$A),MATCH(Y$1,[1]characters!$1:$1,0)-MATCH($A$1,[1]characters!$1:$1,0)+1),MATCH(Y$1,[1]characters!$1:$1,0)-MATCH($A$1,[1]characters!$1:$1,0)+1,FALSE)</f>
        <v>none</v>
      </c>
      <c r="Z18" s="5" t="str">
        <f ca="1">VLOOKUP(Y18,[1]character_tribe_i18n!$A:$H,3,FALSE)</f>
        <v>種族なし</v>
      </c>
      <c r="AA18" s="10">
        <f ca="1">VLOOKUP(W18,[1]character_tribe_i18n!$A:$H,4,FALSE)</f>
        <v>0.94</v>
      </c>
      <c r="AB18" s="10">
        <f ca="1">VLOOKUP(W18,[1]character_tribe_i18n!$A:$H,5,FALSE)</f>
        <v>0.99</v>
      </c>
      <c r="AC18" s="10">
        <f ca="1">VLOOKUP(W18,[1]character_tribe_i18n!$A:$H,6,FALSE)</f>
        <v>1</v>
      </c>
      <c r="AD18" s="10">
        <f ca="1">VLOOKUP(W18,[1]character_tribe_i18n!$A:$H,7,FALSE)</f>
        <v>1.07</v>
      </c>
      <c r="AE18" s="187" t="s">
        <v>47</v>
      </c>
      <c r="AF18" s="58" t="str">
        <f ca="1">IF(AE18="NULL","",VLOOKUP($AE18,OFFSET([1]characters!$A$1,0,0,COUNTA([1]characters!$A:$A),MATCH(AF$1,[1]characters!$1:$1,0)-MATCH($A$1,[1]characters!$1:$1,0)+1),MATCH(AF$1,[1]characters!$1:$1,0)-MATCH($A$1,[1]characters!$1:$1,0)+1,FALSE))</f>
        <v/>
      </c>
      <c r="AG18" s="187">
        <v>1566</v>
      </c>
      <c r="AH18" s="58" t="str">
        <f ca="1">VLOOKUP($AG18,OFFSET([1]characters!$A$1,0,0,COUNTA([1]characters!$A:$A),MATCH(AH$1,[1]characters!$1:$1,0)-MATCH($A$1,[1]characters!$1:$1,0)+1),MATCH(AH$1,[1]characters!$1:$1,0)-MATCH($A$1,[1]characters!$1:$1,0)+1,FALSE)</f>
        <v>Phoenix01</v>
      </c>
      <c r="AI18" s="10" t="str">
        <f>IF(AE18="NULL","NULL",VLOOKUP(G18,ビット!$A$2:$B$7,2))</f>
        <v>NULL</v>
      </c>
      <c r="AJ18" s="6">
        <v>2</v>
      </c>
      <c r="AK18" s="7" t="str">
        <f t="shared" si="11"/>
        <v>普通</v>
      </c>
      <c r="AL18" s="10" t="str">
        <f ca="1">INDEX(経験値!$A$1:$I$21,MATCH(H18,経験値!$A$1:$A$21,FALSE),MATCH(G18,経験値!$A$1:$I$1,FALSE))</f>
        <v>required_exp_300</v>
      </c>
      <c r="AM18" s="8">
        <f ca="1">VLOOKUP(G18,経験値!$A$28:$B$32,2)</f>
        <v>6400</v>
      </c>
      <c r="AN18" s="16">
        <f ca="1">VLOOKUP(G18,ビット!$G$2:$H$7,2)</f>
        <v>900</v>
      </c>
      <c r="AO18" s="41"/>
      <c r="AP18" s="63">
        <v>1567</v>
      </c>
      <c r="AQ18" s="53" t="str">
        <f ca="1">VLOOKUP($AP18,OFFSET(unit_skills!$A$1,0,0,COUNTA(unit_skills!$A:$A),MATCH(AQ$1,unit_skills!$1:$1,0)-MATCH($AP$1,unit_skills!$1:$1,0)+1),MATCH(AQ$1,unit_skills!$1:$1,0)-MATCH($AP$1,unit_skills!$1:$1,0)+1,FALSE)</f>
        <v>Phoenix02スキル</v>
      </c>
      <c r="AR18" s="53" t="str">
        <f ca="1">VLOOKUP($AP18,OFFSET(unit_skills!$A$1,0,0,COUNTA(unit_skills!$A:$A),MATCH(AR$1,unit_skills!$1:$1,0)-MATCH($AP$1,unit_skills!$1:$1,0)+1),MATCH(AR$1,unit_skills!$1:$1,0)-MATCH($AP$1,unit_skills!$1:$1,0)+1,FALSE)</f>
        <v>1体に大ダメージ+中央横一列を赤ボム、SCP3個変換+ハートパネル無効解除+2ターン確率で黄･ハートがハートボムでドロップ、敵の防御力0</v>
      </c>
      <c r="AS18" s="53">
        <f ca="1">VLOOKUP($AP18,OFFSET(unit_skills!$A$1,0,0,COUNTA(unit_skills!$A:$A),MATCH(AS$1,unit_skills!$1:$1,0)-MATCH($AP$1,unit_skills!$1:$1,0)+1),MATCH(AS$1,unit_skills!$1:$1,0)-MATCH($AP$1,unit_skills!$1:$1,0)+1,FALSE)</f>
        <v>0</v>
      </c>
      <c r="AT18" s="63">
        <v>1567</v>
      </c>
      <c r="AU18" s="53" t="str">
        <f ca="1">VLOOKUP($AT18,OFFSET(crash_skills!$A$1,0,0,COUNTA(crash_skills!$A:$A),MATCH(AU$1,crash_skills!$1:$1,0)-MATCH($AT$1,crash_skills!$1:$1,0)+1),MATCH(AU$1,crash_skills!$1:$1,0)-MATCH($AT$1,crash_skills!$1:$1,0)+1,FALSE)</f>
        <v>Phoenix02スキル</v>
      </c>
      <c r="AV18" s="53" t="str">
        <f ca="1">VLOOKUP($AT18,OFFSET(crash_skills!$A$1,0,0,COUNTA(crash_skills!$A:$A),MATCH(AV$1,crash_skills!$1:$1,0)-MATCH($AT$1,crash_skills!$1:$1,0)+1),MATCH(AV$1,crash_skills!$1:$1,0)-MATCH($AT$1,crash_skills!$1:$1,0)+1,FALSE)</f>
        <v>単体に3連続ダメージ+_x000D_HP大回復</v>
      </c>
      <c r="AW18" s="53">
        <f ca="1">VLOOKUP($AT18,OFFSET(crash_skills!$A$1,0,0,COUNTA(crash_skills!$A:$A),MATCH(AW$1,crash_skills!$1:$1,0)-MATCH($AT$1,crash_skills!$1:$1,0)+1),MATCH(AW$1,crash_skills!$1:$1,0)-MATCH($AT$1,crash_skills!$1:$1,0)+1,FALSE)</f>
        <v>0</v>
      </c>
      <c r="AX18" s="54">
        <f ca="1">VLOOKUP($A18,OFFSET([1]characters!$A$1,0,0,COUNTA([1]characters!$A:$A),MATCH(AX$1,[1]characters!$1:$1,0)-MATCH($A$1,[1]characters!$1:$1,0)+1),MATCH(AX$1,[1]characters!$1:$1,0)-MATCH($A$1,[1]characters!$1:$1,0)+1,FALSE)</f>
        <v>1</v>
      </c>
      <c r="AY18" s="64">
        <v>1.1238999999999999</v>
      </c>
      <c r="AZ18" s="64">
        <v>1.321</v>
      </c>
      <c r="BA18" s="64">
        <v>0</v>
      </c>
      <c r="BB18" s="64">
        <v>0.88449999999999995</v>
      </c>
      <c r="BC18" s="10">
        <f ca="1">INDEX('RC6SV'!$A$1:$G$21,MATCH(H18,'RC6SV'!$A$1:$A$21,FALSE),MATCH(G18,'RC6SV'!$A$1:$G$1,FALSE))</f>
        <v>14000</v>
      </c>
      <c r="BD18" s="44">
        <f t="shared" ca="1" si="12"/>
        <v>14000</v>
      </c>
      <c r="BE18" s="10">
        <f t="shared" ca="1" si="3"/>
        <v>10000</v>
      </c>
      <c r="BF18" s="10">
        <f t="shared" ca="1" si="4"/>
        <v>1</v>
      </c>
      <c r="BG18" s="15">
        <f ca="1">IF($BE18&lt;=0,ROUND(BK18*0.5,0), ROUND($BE18*S18*AA18*J18*AY18*0.8*[1]ステータス!$B$2,0))</f>
        <v>3381</v>
      </c>
      <c r="BH18" s="15">
        <f ca="1">IF($BE18&lt;=0,ROUND(BL18*0.5,0), ROUND($BE18*T18*AB18*K18*AZ18*0.8*[1]ステータス!$C$2,0))</f>
        <v>2497</v>
      </c>
      <c r="BI18" s="15">
        <f ca="1">IF($BE18&lt;=0,ROUND(BM18*0.5,0), ROUND($BE18*U18*AC18*L18*BA18*0.8*[1]ステータス!$D$2,0))</f>
        <v>0</v>
      </c>
      <c r="BJ18" s="15">
        <f ca="1">IF($BE18&lt;=0,ROUND(BN18*0.5,0), ROUND($BE18*V18*AD18*M18*BB18*0.8*[1]ステータス!$E$2,0))</f>
        <v>2634</v>
      </c>
      <c r="BK18" s="10">
        <f ca="1">ROUND(BD18*S18*AA18*J18*AY18*[1]ステータス!$B$2,0)</f>
        <v>5916</v>
      </c>
      <c r="BL18" s="10">
        <f ca="1">ROUND(BD18*T18*AB18*K18*AZ18*[1]ステータス!$C$2,0)</f>
        <v>4370</v>
      </c>
      <c r="BM18" s="10">
        <f ca="1">ROUND(BD18*U18*AC18*L18*BA18*[1]ステータス!$D$2,0)</f>
        <v>0</v>
      </c>
      <c r="BN18" s="10">
        <f ca="1">ROUND(BD18*V18*AD18*M18*BB18*[1]ステータス!$E$2,0)</f>
        <v>4610</v>
      </c>
      <c r="BO18" s="9">
        <v>0</v>
      </c>
      <c r="BP18" s="9">
        <v>1</v>
      </c>
      <c r="BQ18" s="36" t="s">
        <v>47</v>
      </c>
      <c r="BR18" s="9">
        <f ca="1">VLOOKUP(H18,[2]ghosts_label!$A$2:$B$19,2,FALSE)</f>
        <v>30000</v>
      </c>
    </row>
    <row r="19" spans="1:70" ht="26" customHeight="1" x14ac:dyDescent="0.15">
      <c r="A19" s="186">
        <v>1568</v>
      </c>
      <c r="B19" s="53" t="str">
        <f ca="1">VLOOKUP($A19,OFFSET([1]characters!$A$1,0,0,COUNTA([1]characters!$A:$A),MATCH(B$1,[1]characters!$1:$1,0)-MATCH($A$1,[1]characters!$1:$1,0)+1),MATCH(B$1,[1]characters!$1:$1,0)-MATCH($A$1,[1]characters!$1:$1,0)+1,FALSE)</f>
        <v>Orion01</v>
      </c>
      <c r="C19" s="53">
        <f ca="1">VLOOKUP($A19,OFFSET([1]characters!$A$1,0,0,COUNTA([1]characters!$A:$A),MATCH(C$1,[1]characters!$1:$1,0)-MATCH($A$1,[1]characters!$1:$1,0)+1),MATCH(C$1,[1]characters!$1:$1,0)-MATCH($A$1,[1]characters!$1:$1,0)+1,FALSE)</f>
        <v>0</v>
      </c>
      <c r="D19" s="53">
        <f ca="1">VLOOKUP($A19,OFFSET([1]characters!$A$1,0,0,COUNTA([1]characters!$A:$A),MATCH(D$1,[1]characters!$1:$1,0)-MATCH($A$1,[1]characters!$1:$1,0)+1),MATCH(D$1,[1]characters!$1:$1,0)-MATCH($A$1,[1]characters!$1:$1,0)+1,FALSE)</f>
        <v>0</v>
      </c>
      <c r="E19" s="53">
        <f ca="1">VLOOKUP($A19,OFFSET([1]characters!$A$1,0,0,COUNTA([1]characters!$A:$A),MATCH(E$1,[1]characters!$1:$1,0)-MATCH($A$1,[1]characters!$1:$1,0)+1),MATCH(E$1,[1]characters!$1:$1,0)-MATCH($A$1,[1]characters!$1:$1,0)+1,FALSE)</f>
        <v>0</v>
      </c>
      <c r="F19" s="53">
        <f ca="1">VLOOKUP($A19,OFFSET([1]characters!$A$1,0,0,COUNTA([1]characters!$A:$A),MATCH(F$1,[1]characters!$1:$1,0)-MATCH($A$1,[1]characters!$1:$1,0)+1),MATCH(F$1,[1]characters!$1:$1,0)-MATCH($A$1,[1]characters!$1:$1,0)+1,FALSE)</f>
        <v>0</v>
      </c>
      <c r="G19" s="53">
        <f ca="1">VLOOKUP($A19,OFFSET([1]characters!$A$1,0,0,COUNTA([1]characters!$A:$A),MATCH(G$1,[1]characters!$1:$1,0)-MATCH($A$1,[1]characters!$1:$1,0)+1),MATCH(G$1,[1]characters!$1:$1,0)-MATCH($A$1,[1]characters!$1:$1,0)+1,FALSE)</f>
        <v>5</v>
      </c>
      <c r="H19" s="53" t="str">
        <f ca="1">VLOOKUP($A19,OFFSET([1]characters!$A$1,0,0,COUNTA([1]characters!$A:$A),MATCH(H$1,[1]characters!$1:$1,0)-MATCH($A$1,[1]characters!$1:$1,0)+1),MATCH(H$1,[1]characters!$1:$1,0)-MATCH($A$1,[1]characters!$1:$1,0)+1,FALSE)</f>
        <v>PremiumSS</v>
      </c>
      <c r="I19" s="53" t="str">
        <f ca="1">VLOOKUP($A19,OFFSET([1]characters!$A$1,0,0,COUNTA([1]characters!$A:$A),MATCH(I$1,[1]characters!$1:$1,0)-MATCH($A$1,[1]characters!$1:$1,0)+1),MATCH(I$1,[1]characters!$1:$1,0)-MATCH($A$1,[1]characters!$1:$1,0)+1,FALSE)</f>
        <v>green</v>
      </c>
      <c r="J19" s="10">
        <f ca="1">VLOOKUP(I19,[1]属性!$A:$E,2,FALSE)</f>
        <v>1.02</v>
      </c>
      <c r="K19" s="10">
        <f ca="1">VLOOKUP(I19,[1]属性!$A:$E,3,FALSE)</f>
        <v>0.98</v>
      </c>
      <c r="L19" s="10">
        <f ca="1">VLOOKUP(I19,[1]属性!$A:$E,4,FALSE)</f>
        <v>1</v>
      </c>
      <c r="M19" s="10">
        <f ca="1">VLOOKUP(I19,[1]属性!$A:$E,5,FALSE)</f>
        <v>1</v>
      </c>
      <c r="N19" s="10">
        <f ca="1">INDEX(コスト!$A$1:$I$21,MATCH(H19,コスト!$A$1:$A$21,FALSE),MATCH(G19,コスト!$A$1:$I$1,FALSE))</f>
        <v>35</v>
      </c>
      <c r="O19" s="10">
        <f ca="1">INDEX(レベル!$A$1:$I$22,MATCH(H19,レベル!$A$1:$A$22,FALSE),MATCH(G19,レベル!$A$1:$I$1,FALSE))</f>
        <v>80</v>
      </c>
      <c r="P19" s="44">
        <f t="shared" ca="1" si="10"/>
        <v>75</v>
      </c>
      <c r="Q19" s="53" t="str">
        <f ca="1">VLOOKUP($A19,OFFSET([1]characters!$A$1,0,0,COUNTA([1]characters!$A:$A),MATCH(Q$1,[1]characters!$1:$1,0)-MATCH($A$1,[1]characters!$1:$1,0)+1),MATCH(Q$1,[1]characters!$1:$1,0)-MATCH($A$1,[1]characters!$1:$1,0)+1,FALSE)</f>
        <v>technical</v>
      </c>
      <c r="R19" s="5" t="str">
        <f ca="1">VLOOKUP(Q19,[1]character_type_i18n!$A:$H,3,FALSE)</f>
        <v>テクニカルタイプ</v>
      </c>
      <c r="S19" s="10">
        <f ca="1">VLOOKUP(Q19,[1]character_type_i18n!$A:$H,4,FALSE)</f>
        <v>0.9</v>
      </c>
      <c r="T19" s="10">
        <f ca="1">VLOOKUP(Q19,[1]character_type_i18n!$A:$H,5,FALSE)</f>
        <v>0.9</v>
      </c>
      <c r="U19" s="10">
        <f ca="1">VLOOKUP(Q19,[1]character_type_i18n!$A:$H,6,FALSE)</f>
        <v>1</v>
      </c>
      <c r="V19" s="10">
        <f ca="1">VLOOKUP(Q19,[1]character_type_i18n!$A:$H,7,FALSE)</f>
        <v>0.9</v>
      </c>
      <c r="W19" s="53" t="str">
        <f ca="1">VLOOKUP($A19,OFFSET([1]characters!$A$1,0,0,COUNTA([1]characters!$A:$A),MATCH(W$1,[1]characters!$1:$1,0)-MATCH($A$1,[1]characters!$1:$1,0)+1),MATCH(W$1,[1]characters!$1:$1,0)-MATCH($A$1,[1]characters!$1:$1,0)+1,FALSE)</f>
        <v>human</v>
      </c>
      <c r="X19" s="5" t="str">
        <f ca="1">VLOOKUP(W19,[1]character_tribe_i18n!$A:$H,3,FALSE)</f>
        <v>ヒューマン</v>
      </c>
      <c r="Y19" s="53" t="str">
        <f ca="1">VLOOKUP($A19,OFFSET([1]characters!$A$1,0,0,COUNTA([1]characters!$A:$A),MATCH(Y$1,[1]characters!$1:$1,0)-MATCH($A$1,[1]characters!$1:$1,0)+1),MATCH(Y$1,[1]characters!$1:$1,0)-MATCH($A$1,[1]characters!$1:$1,0)+1,FALSE)</f>
        <v>none</v>
      </c>
      <c r="Z19" s="5" t="str">
        <f ca="1">VLOOKUP(Y19,[1]character_tribe_i18n!$A:$H,3,FALSE)</f>
        <v>種族なし</v>
      </c>
      <c r="AA19" s="10">
        <f ca="1">VLOOKUP(W19,[1]character_tribe_i18n!$A:$H,4,FALSE)</f>
        <v>0.94</v>
      </c>
      <c r="AB19" s="10">
        <f ca="1">VLOOKUP(W19,[1]character_tribe_i18n!$A:$H,5,FALSE)</f>
        <v>0.99</v>
      </c>
      <c r="AC19" s="10">
        <f ca="1">VLOOKUP(W19,[1]character_tribe_i18n!$A:$H,6,FALSE)</f>
        <v>1</v>
      </c>
      <c r="AD19" s="10">
        <f ca="1">VLOOKUP(W19,[1]character_tribe_i18n!$A:$H,7,FALSE)</f>
        <v>1.07</v>
      </c>
      <c r="AE19" s="198">
        <v>1569</v>
      </c>
      <c r="AF19" s="58" t="str">
        <f ca="1">IF(AE19="NULL","",VLOOKUP($AE19,OFFSET([1]characters!$A$1,0,0,COUNTA([1]characters!$A:$A),MATCH(AF$1,[1]characters!$1:$1,0)-MATCH($A$1,[1]characters!$1:$1,0)+1),MATCH(AF$1,[1]characters!$1:$1,0)-MATCH($A$1,[1]characters!$1:$1,0)+1,FALSE))</f>
        <v>Orion02</v>
      </c>
      <c r="AG19" s="198">
        <v>1568</v>
      </c>
      <c r="AH19" s="58" t="str">
        <f ca="1">VLOOKUP($AG19,OFFSET([1]characters!$A$1,0,0,COUNTA([1]characters!$A:$A),MATCH(AH$1,[1]characters!$1:$1,0)-MATCH($A$1,[1]characters!$1:$1,0)+1),MATCH(AH$1,[1]characters!$1:$1,0)-MATCH($A$1,[1]characters!$1:$1,0)+1,FALSE)</f>
        <v>Orion01</v>
      </c>
      <c r="AI19" s="10">
        <f ca="1">IF(AE19="NULL","NULL",VLOOKUP(G19,ビット!$A$2:$B$7,2))</f>
        <v>200000</v>
      </c>
      <c r="AJ19" s="6">
        <v>2</v>
      </c>
      <c r="AK19" s="7" t="str">
        <f t="shared" si="11"/>
        <v>普通</v>
      </c>
      <c r="AL19" s="10" t="str">
        <f ca="1">INDEX(経験値!$A$1:$I$21,MATCH(H19,経験値!$A$1:$A$21,FALSE),MATCH(G19,経験値!$A$1:$I$1,FALSE))</f>
        <v>required_exp_200</v>
      </c>
      <c r="AM19" s="8">
        <f ca="1">VLOOKUP(G19,経験値!$A$28:$B$32,2)</f>
        <v>6400</v>
      </c>
      <c r="AN19" s="16">
        <f ca="1">VLOOKUP(G19,ビット!$G$2:$H$7,2)</f>
        <v>900</v>
      </c>
      <c r="AO19" s="41"/>
      <c r="AP19" s="63">
        <v>1568</v>
      </c>
      <c r="AQ19" s="53" t="str">
        <f ca="1">VLOOKUP($AP19,OFFSET(unit_skills!$A$1,0,0,COUNTA(unit_skills!$A:$A),MATCH(AQ$1,unit_skills!$1:$1,0)-MATCH($AP$1,unit_skills!$1:$1,0)+1),MATCH(AQ$1,unit_skills!$1:$1,0)-MATCH($AP$1,unit_skills!$1:$1,0)+1,FALSE)</f>
        <v>Orion01スキル</v>
      </c>
      <c r="AR19" s="53" t="str">
        <f ca="1">VLOOKUP($AP19,OFFSET(unit_skills!$A$1,0,0,COUNTA(unit_skills!$A:$A),MATCH(AR$1,unit_skills!$1:$1,0)-MATCH($AP$1,unit_skills!$1:$1,0)+1),MATCH(AR$1,unit_skills!$1:$1,0)-MATCH($AP$1,unit_skills!$1:$1,0)+1,FALSE)</f>
        <v>最大1個SCP(特大)とマグネット(緑→ハート)に変換+1ターン自身が先頭意外でも通常攻撃に参加、低確率で緑ボム(大)ドロップ</v>
      </c>
      <c r="AS19" s="53">
        <f ca="1">VLOOKUP($AP19,OFFSET(unit_skills!$A$1,0,0,COUNTA(unit_skills!$A:$A),MATCH(AS$1,unit_skills!$1:$1,0)-MATCH($AP$1,unit_skills!$1:$1,0)+1),MATCH(AS$1,unit_skills!$1:$1,0)-MATCH($AP$1,unit_skills!$1:$1,0)+1,FALSE)</f>
        <v>0</v>
      </c>
      <c r="AT19" s="63">
        <v>1568</v>
      </c>
      <c r="AU19" s="53" t="str">
        <f ca="1">VLOOKUP($AT19,OFFSET(crash_skills!$A$1,0,0,COUNTA(crash_skills!$A:$A),MATCH(AU$1,crash_skills!$1:$1,0)-MATCH($AT$1,crash_skills!$1:$1,0)+1),MATCH(AU$1,crash_skills!$1:$1,0)-MATCH($AT$1,crash_skills!$1:$1,0)+1,FALSE)</f>
        <v>Orion01スキル</v>
      </c>
      <c r="AV19" s="53" t="str">
        <f ca="1">VLOOKUP($AT19,OFFSET(crash_skills!$A$1,0,0,COUNTA(crash_skills!$A:$A),MATCH(AV$1,crash_skills!$1:$1,0)-MATCH($AT$1,crash_skills!$1:$1,0)+1),MATCH(AV$1,crash_skills!$1:$1,0)-MATCH($AT$1,crash_skills!$1:$1,0)+1,FALSE)</f>
        <v>1体に特大ダメージ</v>
      </c>
      <c r="AW19" s="53">
        <f ca="1">VLOOKUP($AT19,OFFSET(crash_skills!$A$1,0,0,COUNTA(crash_skills!$A:$A),MATCH(AW$1,crash_skills!$1:$1,0)-MATCH($AT$1,crash_skills!$1:$1,0)+1),MATCH(AW$1,crash_skills!$1:$1,0)-MATCH($AT$1,crash_skills!$1:$1,0)+1,FALSE)</f>
        <v>0</v>
      </c>
      <c r="AX19" s="54">
        <f ca="1">VLOOKUP($A19,OFFSET([1]characters!$A$1,0,0,COUNTA([1]characters!$A:$A),MATCH(AX$1,[1]characters!$1:$1,0)-MATCH($A$1,[1]characters!$1:$1,0)+1),MATCH(AX$1,[1]characters!$1:$1,0)-MATCH($A$1,[1]characters!$1:$1,0)+1,FALSE)</f>
        <v>1</v>
      </c>
      <c r="AY19" s="64">
        <v>1.1424000000000001</v>
      </c>
      <c r="AZ19" s="64">
        <v>1.3302</v>
      </c>
      <c r="BA19" s="64">
        <v>0</v>
      </c>
      <c r="BB19" s="64">
        <v>0.98470000000000002</v>
      </c>
      <c r="BC19" s="10">
        <f ca="1">INDEX('RC6SV'!$A$1:$G$21,MATCH(H19,'RC6SV'!$A$1:$A$21,FALSE),MATCH(G19,'RC6SV'!$A$1:$G$1,FALSE))</f>
        <v>9500</v>
      </c>
      <c r="BD19" s="44">
        <f t="shared" ca="1" si="12"/>
        <v>9500</v>
      </c>
      <c r="BE19" s="10">
        <f t="shared" ca="1" si="3"/>
        <v>0</v>
      </c>
      <c r="BF19" s="10">
        <f t="shared" ca="1" si="4"/>
        <v>1</v>
      </c>
      <c r="BG19" s="15">
        <f ca="1">IF($BE19&lt;=0,ROUND(BK19*0.5,0), ROUND($BE19*S19*AA19*J19*AY19*0.8*[1]ステータス!$B$2,0))</f>
        <v>2342</v>
      </c>
      <c r="BH19" s="15">
        <f ca="1">IF($BE19&lt;=0,ROUND(BL19*0.5,0), ROUND($BE19*T19*AB19*K19*AZ19*0.8*[1]ステータス!$C$2,0))</f>
        <v>1655</v>
      </c>
      <c r="BI19" s="15">
        <f ca="1">IF($BE19&lt;=0,ROUND(BM19*0.5,0), ROUND($BE19*U19*AC19*L19*BA19*0.8*[1]ステータス!$D$2,0))</f>
        <v>0</v>
      </c>
      <c r="BJ19" s="15">
        <f ca="1">IF($BE19&lt;=0,ROUND(BN19*0.5,0), ROUND($BE19*V19*AD19*M19*BB19*0.8*[1]ステータス!$E$2,0))</f>
        <v>1126</v>
      </c>
      <c r="BK19" s="10">
        <f ca="1">ROUND(BD19*S19*AA19*J19*AY19*[1]ステータス!$B$2,0)</f>
        <v>4683</v>
      </c>
      <c r="BL19" s="10">
        <f ca="1">ROUND(BD19*T19*AB19*K19*AZ19*[1]ステータス!$C$2,0)</f>
        <v>3310</v>
      </c>
      <c r="BM19" s="10">
        <f ca="1">ROUND(BD19*U19*AC19*L19*BA19*[1]ステータス!$D$2,0)</f>
        <v>0</v>
      </c>
      <c r="BN19" s="10">
        <f ca="1">ROUND(BD19*V19*AD19*M19*BB19*[1]ステータス!$E$2,0)</f>
        <v>2252</v>
      </c>
      <c r="BO19" s="9">
        <v>0</v>
      </c>
      <c r="BP19" s="9">
        <v>1</v>
      </c>
      <c r="BQ19" s="9" t="s">
        <v>47</v>
      </c>
      <c r="BR19" s="9">
        <f ca="1">VLOOKUP(H19,[2]ghosts_label!$A$2:$B$19,2,FALSE)</f>
        <v>5500</v>
      </c>
    </row>
    <row r="20" spans="1:70" ht="26" customHeight="1" x14ac:dyDescent="0.15">
      <c r="A20" s="186">
        <v>1569</v>
      </c>
      <c r="B20" s="53" t="str">
        <f ca="1">VLOOKUP($A20,OFFSET([1]characters!$A$1,0,0,COUNTA([1]characters!$A:$A),MATCH(B$1,[1]characters!$1:$1,0)-MATCH($A$1,[1]characters!$1:$1,0)+1),MATCH(B$1,[1]characters!$1:$1,0)-MATCH($A$1,[1]characters!$1:$1,0)+1,FALSE)</f>
        <v>Orion02</v>
      </c>
      <c r="C20" s="53">
        <f ca="1">VLOOKUP($A20,OFFSET([1]characters!$A$1,0,0,COUNTA([1]characters!$A:$A),MATCH(C$1,[1]characters!$1:$1,0)-MATCH($A$1,[1]characters!$1:$1,0)+1),MATCH(C$1,[1]characters!$1:$1,0)-MATCH($A$1,[1]characters!$1:$1,0)+1,FALSE)</f>
        <v>0</v>
      </c>
      <c r="D20" s="53">
        <f ca="1">VLOOKUP($A20,OFFSET([1]characters!$A$1,0,0,COUNTA([1]characters!$A:$A),MATCH(D$1,[1]characters!$1:$1,0)-MATCH($A$1,[1]characters!$1:$1,0)+1),MATCH(D$1,[1]characters!$1:$1,0)-MATCH($A$1,[1]characters!$1:$1,0)+1,FALSE)</f>
        <v>0</v>
      </c>
      <c r="E20" s="53">
        <f ca="1">VLOOKUP($A20,OFFSET([1]characters!$A$1,0,0,COUNTA([1]characters!$A:$A),MATCH(E$1,[1]characters!$1:$1,0)-MATCH($A$1,[1]characters!$1:$1,0)+1),MATCH(E$1,[1]characters!$1:$1,0)-MATCH($A$1,[1]characters!$1:$1,0)+1,FALSE)</f>
        <v>0</v>
      </c>
      <c r="F20" s="53">
        <f ca="1">VLOOKUP($A20,OFFSET([1]characters!$A$1,0,0,COUNTA([1]characters!$A:$A),MATCH(F$1,[1]characters!$1:$1,0)-MATCH($A$1,[1]characters!$1:$1,0)+1),MATCH(F$1,[1]characters!$1:$1,0)-MATCH($A$1,[1]characters!$1:$1,0)+1,FALSE)</f>
        <v>0</v>
      </c>
      <c r="G20" s="53">
        <f ca="1">VLOOKUP($A20,OFFSET([1]characters!$A$1,0,0,COUNTA([1]characters!$A:$A),MATCH(G$1,[1]characters!$1:$1,0)-MATCH($A$1,[1]characters!$1:$1,0)+1),MATCH(G$1,[1]characters!$1:$1,0)-MATCH($A$1,[1]characters!$1:$1,0)+1,FALSE)</f>
        <v>6</v>
      </c>
      <c r="H20" s="53" t="str">
        <f ca="1">VLOOKUP($A20,OFFSET([1]characters!$A$1,0,0,COUNTA([1]characters!$A:$A),MATCH(H$1,[1]characters!$1:$1,0)-MATCH($A$1,[1]characters!$1:$1,0)+1),MATCH(H$1,[1]characters!$1:$1,0)-MATCH($A$1,[1]characters!$1:$1,0)+1,FALSE)</f>
        <v>PremiumSS</v>
      </c>
      <c r="I20" s="53" t="str">
        <f ca="1">VLOOKUP($A20,OFFSET([1]characters!$A$1,0,0,COUNTA([1]characters!$A:$A),MATCH(I$1,[1]characters!$1:$1,0)-MATCH($A$1,[1]characters!$1:$1,0)+1),MATCH(I$1,[1]characters!$1:$1,0)-MATCH($A$1,[1]characters!$1:$1,0)+1,FALSE)</f>
        <v>green</v>
      </c>
      <c r="J20" s="10">
        <f ca="1">VLOOKUP(I20,[1]属性!$A:$E,2,FALSE)</f>
        <v>1.02</v>
      </c>
      <c r="K20" s="10">
        <f ca="1">VLOOKUP(I20,[1]属性!$A:$E,3,FALSE)</f>
        <v>0.98</v>
      </c>
      <c r="L20" s="10">
        <f ca="1">VLOOKUP(I20,[1]属性!$A:$E,4,FALSE)</f>
        <v>1</v>
      </c>
      <c r="M20" s="10">
        <f ca="1">VLOOKUP(I20,[1]属性!$A:$E,5,FALSE)</f>
        <v>1</v>
      </c>
      <c r="N20" s="10">
        <f ca="1">INDEX(コスト!$A$1:$I$21,MATCH(H20,コスト!$A$1:$A$21,FALSE),MATCH(G20,コスト!$A$1:$I$1,FALSE))</f>
        <v>50</v>
      </c>
      <c r="O20" s="10">
        <f ca="1">INDEX(レベル!$A$1:$I$22,MATCH(H20,レベル!$A$1:$A$22,FALSE),MATCH(G20,レベル!$A$1:$I$1,FALSE))</f>
        <v>99</v>
      </c>
      <c r="P20" s="44">
        <f t="shared" ca="1" si="10"/>
        <v>99</v>
      </c>
      <c r="Q20" s="53" t="str">
        <f ca="1">VLOOKUP($A20,OFFSET([1]characters!$A$1,0,0,COUNTA([1]characters!$A:$A),MATCH(Q$1,[1]characters!$1:$1,0)-MATCH($A$1,[1]characters!$1:$1,0)+1),MATCH(Q$1,[1]characters!$1:$1,0)-MATCH($A$1,[1]characters!$1:$1,0)+1,FALSE)</f>
        <v>technical</v>
      </c>
      <c r="R20" s="5" t="str">
        <f ca="1">VLOOKUP(Q20,[1]character_type_i18n!$A:$H,3,FALSE)</f>
        <v>テクニカルタイプ</v>
      </c>
      <c r="S20" s="10">
        <f ca="1">VLOOKUP(Q20,[1]character_type_i18n!$A:$H,4,FALSE)</f>
        <v>0.9</v>
      </c>
      <c r="T20" s="10">
        <f ca="1">VLOOKUP(Q20,[1]character_type_i18n!$A:$H,5,FALSE)</f>
        <v>0.9</v>
      </c>
      <c r="U20" s="10">
        <f ca="1">VLOOKUP(Q20,[1]character_type_i18n!$A:$H,6,FALSE)</f>
        <v>1</v>
      </c>
      <c r="V20" s="10">
        <f ca="1">VLOOKUP(Q20,[1]character_type_i18n!$A:$H,7,FALSE)</f>
        <v>0.9</v>
      </c>
      <c r="W20" s="53" t="str">
        <f ca="1">VLOOKUP($A20,OFFSET([1]characters!$A$1,0,0,COUNTA([1]characters!$A:$A),MATCH(W$1,[1]characters!$1:$1,0)-MATCH($A$1,[1]characters!$1:$1,0)+1),MATCH(W$1,[1]characters!$1:$1,0)-MATCH($A$1,[1]characters!$1:$1,0)+1,FALSE)</f>
        <v>human</v>
      </c>
      <c r="X20" s="5" t="str">
        <f ca="1">VLOOKUP(W20,[1]character_tribe_i18n!$A:$H,3,FALSE)</f>
        <v>ヒューマン</v>
      </c>
      <c r="Y20" s="53" t="str">
        <f ca="1">VLOOKUP($A20,OFFSET([1]characters!$A$1,0,0,COUNTA([1]characters!$A:$A),MATCH(Y$1,[1]characters!$1:$1,0)-MATCH($A$1,[1]characters!$1:$1,0)+1),MATCH(Y$1,[1]characters!$1:$1,0)-MATCH($A$1,[1]characters!$1:$1,0)+1,FALSE)</f>
        <v>none</v>
      </c>
      <c r="Z20" s="5" t="str">
        <f ca="1">VLOOKUP(Y20,[1]character_tribe_i18n!$A:$H,3,FALSE)</f>
        <v>種族なし</v>
      </c>
      <c r="AA20" s="10">
        <f ca="1">VLOOKUP(W20,[1]character_tribe_i18n!$A:$H,4,FALSE)</f>
        <v>0.94</v>
      </c>
      <c r="AB20" s="10">
        <f ca="1">VLOOKUP(W20,[1]character_tribe_i18n!$A:$H,5,FALSE)</f>
        <v>0.99</v>
      </c>
      <c r="AC20" s="10">
        <f ca="1">VLOOKUP(W20,[1]character_tribe_i18n!$A:$H,6,FALSE)</f>
        <v>1</v>
      </c>
      <c r="AD20" s="10">
        <f ca="1">VLOOKUP(W20,[1]character_tribe_i18n!$A:$H,7,FALSE)</f>
        <v>1.07</v>
      </c>
      <c r="AE20" s="187" t="s">
        <v>47</v>
      </c>
      <c r="AF20" s="58" t="str">
        <f ca="1">IF(AE20="NULL","",VLOOKUP($AE20,OFFSET([1]characters!$A$1,0,0,COUNTA([1]characters!$A:$A),MATCH(AF$1,[1]characters!$1:$1,0)-MATCH($A$1,[1]characters!$1:$1,0)+1),MATCH(AF$1,[1]characters!$1:$1,0)-MATCH($A$1,[1]characters!$1:$1,0)+1,FALSE))</f>
        <v/>
      </c>
      <c r="AG20" s="187">
        <v>1568</v>
      </c>
      <c r="AH20" s="58" t="str">
        <f ca="1">VLOOKUP($AG20,OFFSET([1]characters!$A$1,0,0,COUNTA([1]characters!$A:$A),MATCH(AH$1,[1]characters!$1:$1,0)-MATCH($A$1,[1]characters!$1:$1,0)+1),MATCH(AH$1,[1]characters!$1:$1,0)-MATCH($A$1,[1]characters!$1:$1,0)+1,FALSE)</f>
        <v>Orion01</v>
      </c>
      <c r="AI20" s="10" t="str">
        <f>IF(AE20="NULL","NULL",VLOOKUP(G20,ビット!$A$2:$B$7,2))</f>
        <v>NULL</v>
      </c>
      <c r="AJ20" s="6">
        <v>2</v>
      </c>
      <c r="AK20" s="7" t="str">
        <f t="shared" si="11"/>
        <v>普通</v>
      </c>
      <c r="AL20" s="10" t="str">
        <f ca="1">INDEX(経験値!$A$1:$I$21,MATCH(H20,経験値!$A$1:$A$21,FALSE),MATCH(G20,経験値!$A$1:$I$1,FALSE))</f>
        <v>required_exp_250</v>
      </c>
      <c r="AM20" s="8">
        <f ca="1">VLOOKUP(G20,経験値!$A$28:$B$32,2)</f>
        <v>6400</v>
      </c>
      <c r="AN20" s="16">
        <f ca="1">VLOOKUP(G20,ビット!$G$2:$H$7,2)</f>
        <v>900</v>
      </c>
      <c r="AO20" s="41"/>
      <c r="AP20" s="63">
        <v>1569</v>
      </c>
      <c r="AQ20" s="53" t="str">
        <f ca="1">VLOOKUP($AP20,OFFSET(unit_skills!$A$1,0,0,COUNTA(unit_skills!$A:$A),MATCH(AQ$1,unit_skills!$1:$1,0)-MATCH($AP$1,unit_skills!$1:$1,0)+1),MATCH(AQ$1,unit_skills!$1:$1,0)-MATCH($AP$1,unit_skills!$1:$1,0)+1,FALSE)</f>
        <v>Orion02スキル</v>
      </c>
      <c r="AR20" s="53" t="str">
        <f ca="1">VLOOKUP($AP20,OFFSET(unit_skills!$A$1,0,0,COUNTA(unit_skills!$A:$A),MATCH(AR$1,unit_skills!$1:$1,0)-MATCH($AP$1,unit_skills!$1:$1,0)+1),MATCH(AR$1,unit_skills!$1:$1,0)-MATCH($AP$1,unit_skills!$1:$1,0)+1,FALSE)</f>
        <v>最大1個SCP(特大)とマグネット(緑→ハート)に変換+1ターン自身が先頭意外でも通常攻撃に参加、低確率で緑ボム(大)ドロップ</v>
      </c>
      <c r="AS20" s="53">
        <f ca="1">VLOOKUP($AP20,OFFSET(unit_skills!$A$1,0,0,COUNTA(unit_skills!$A:$A),MATCH(AS$1,unit_skills!$1:$1,0)-MATCH($AP$1,unit_skills!$1:$1,0)+1),MATCH(AS$1,unit_skills!$1:$1,0)-MATCH($AP$1,unit_skills!$1:$1,0)+1,FALSE)</f>
        <v>0</v>
      </c>
      <c r="AT20" s="63">
        <v>1569</v>
      </c>
      <c r="AU20" s="53" t="str">
        <f ca="1">VLOOKUP($AT20,OFFSET(crash_skills!$A$1,0,0,COUNTA(crash_skills!$A:$A),MATCH(AU$1,crash_skills!$1:$1,0)-MATCH($AT$1,crash_skills!$1:$1,0)+1),MATCH(AU$1,crash_skills!$1:$1,0)-MATCH($AT$1,crash_skills!$1:$1,0)+1,FALSE)</f>
        <v>Orion02スキル</v>
      </c>
      <c r="AV20" s="53" t="str">
        <f ca="1">VLOOKUP($AT20,OFFSET(crash_skills!$A$1,0,0,COUNTA(crash_skills!$A:$A),MATCH(AV$1,crash_skills!$1:$1,0)-MATCH($AT$1,crash_skills!$1:$1,0)+1),MATCH(AV$1,crash_skills!$1:$1,0)-MATCH($AT$1,crash_skills!$1:$1,0)+1,FALSE)</f>
        <v>1体に超大ダメージ</v>
      </c>
      <c r="AW20" s="53">
        <f ca="1">VLOOKUP($AT20,OFFSET(crash_skills!$A$1,0,0,COUNTA(crash_skills!$A:$A),MATCH(AW$1,crash_skills!$1:$1,0)-MATCH($AT$1,crash_skills!$1:$1,0)+1),MATCH(AW$1,crash_skills!$1:$1,0)-MATCH($AT$1,crash_skills!$1:$1,0)+1,FALSE)</f>
        <v>0</v>
      </c>
      <c r="AX20" s="54">
        <f ca="1">VLOOKUP($A20,OFFSET([1]characters!$A$1,0,0,COUNTA([1]characters!$A:$A),MATCH(AX$1,[1]characters!$1:$1,0)-MATCH($A$1,[1]characters!$1:$1,0)+1),MATCH(AX$1,[1]characters!$1:$1,0)-MATCH($A$1,[1]characters!$1:$1,0)+1,FALSE)</f>
        <v>1</v>
      </c>
      <c r="AY20" s="64">
        <v>1.1424000000000001</v>
      </c>
      <c r="AZ20" s="64">
        <v>1.3302</v>
      </c>
      <c r="BA20" s="64">
        <v>0</v>
      </c>
      <c r="BB20" s="64">
        <v>0.98470000000000002</v>
      </c>
      <c r="BC20" s="10">
        <f ca="1">INDEX('RC6SV'!$A$1:$G$21,MATCH(H20,'RC6SV'!$A$1:$A$21,FALSE),MATCH(G20,'RC6SV'!$A$1:$G$1,FALSE))</f>
        <v>13000</v>
      </c>
      <c r="BD20" s="44">
        <f t="shared" ca="1" si="12"/>
        <v>13000</v>
      </c>
      <c r="BE20" s="10">
        <f t="shared" ca="1" si="3"/>
        <v>9500</v>
      </c>
      <c r="BF20" s="10">
        <f t="shared" ca="1" si="4"/>
        <v>1</v>
      </c>
      <c r="BG20" s="15">
        <f ca="1">IF($BE20&lt;=0,ROUND(BK20*0.5,0), ROUND($BE20*S20*AA20*J20*AY20*0.8*[1]ステータス!$B$2,0))</f>
        <v>3746</v>
      </c>
      <c r="BH20" s="15">
        <f ca="1">IF($BE20&lt;=0,ROUND(BL20*0.5,0), ROUND($BE20*T20*AB20*K20*AZ20*0.8*[1]ステータス!$C$2,0))</f>
        <v>2648</v>
      </c>
      <c r="BI20" s="15">
        <f ca="1">IF($BE20&lt;=0,ROUND(BM20*0.5,0), ROUND($BE20*U20*AC20*L20*BA20*0.8*[1]ステータス!$D$2,0))</f>
        <v>0</v>
      </c>
      <c r="BJ20" s="15">
        <f ca="1">IF($BE20&lt;=0,ROUND(BN20*0.5,0), ROUND($BE20*V20*AD20*M20*BB20*0.8*[1]ステータス!$E$2,0))</f>
        <v>1802</v>
      </c>
      <c r="BK20" s="10">
        <f ca="1">ROUND(BD20*S20*AA20*J20*AY20*[1]ステータス!$B$2,0)</f>
        <v>6408</v>
      </c>
      <c r="BL20" s="10">
        <f ca="1">ROUND(BD20*T20*AB20*K20*AZ20*[1]ステータス!$C$2,0)</f>
        <v>4530</v>
      </c>
      <c r="BM20" s="10">
        <f ca="1">ROUND(BD20*U20*AC20*L20*BA20*[1]ステータス!$D$2,0)</f>
        <v>0</v>
      </c>
      <c r="BN20" s="10">
        <f ca="1">ROUND(BD20*V20*AD20*M20*BB20*[1]ステータス!$E$2,0)</f>
        <v>3082</v>
      </c>
      <c r="BO20" s="9">
        <v>0</v>
      </c>
      <c r="BP20" s="9">
        <v>1</v>
      </c>
      <c r="BQ20" s="36" t="s">
        <v>47</v>
      </c>
      <c r="BR20" s="9">
        <f ca="1">VLOOKUP(H20,[2]ghosts_label!$A$2:$B$19,2,FALSE)</f>
        <v>5500</v>
      </c>
    </row>
    <row r="21" spans="1:70" ht="26" customHeight="1" x14ac:dyDescent="0.15">
      <c r="A21" s="186">
        <v>1570</v>
      </c>
      <c r="B21" s="53" t="str">
        <f ca="1">VLOOKUP($A21,OFFSET([1]characters!$A$1,0,0,COUNTA([1]characters!$A:$A),MATCH(B$1,[1]characters!$1:$1,0)-MATCH($A$1,[1]characters!$1:$1,0)+1),MATCH(B$1,[1]characters!$1:$1,0)-MATCH($A$1,[1]characters!$1:$1,0)+1,FALSE)</f>
        <v>Centaurus01</v>
      </c>
      <c r="C21" s="53">
        <f ca="1">VLOOKUP($A21,OFFSET([1]characters!$A$1,0,0,COUNTA([1]characters!$A:$A),MATCH(C$1,[1]characters!$1:$1,0)-MATCH($A$1,[1]characters!$1:$1,0)+1),MATCH(C$1,[1]characters!$1:$1,0)-MATCH($A$1,[1]characters!$1:$1,0)+1,FALSE)</f>
        <v>0</v>
      </c>
      <c r="D21" s="53">
        <f ca="1">VLOOKUP($A21,OFFSET([1]characters!$A$1,0,0,COUNTA([1]characters!$A:$A),MATCH(D$1,[1]characters!$1:$1,0)-MATCH($A$1,[1]characters!$1:$1,0)+1),MATCH(D$1,[1]characters!$1:$1,0)-MATCH($A$1,[1]characters!$1:$1,0)+1,FALSE)</f>
        <v>0</v>
      </c>
      <c r="E21" s="53">
        <f ca="1">VLOOKUP($A21,OFFSET([1]characters!$A$1,0,0,COUNTA([1]characters!$A:$A),MATCH(E$1,[1]characters!$1:$1,0)-MATCH($A$1,[1]characters!$1:$1,0)+1),MATCH(E$1,[1]characters!$1:$1,0)-MATCH($A$1,[1]characters!$1:$1,0)+1,FALSE)</f>
        <v>0</v>
      </c>
      <c r="F21" s="53">
        <f ca="1">VLOOKUP($A21,OFFSET([1]characters!$A$1,0,0,COUNTA([1]characters!$A:$A),MATCH(F$1,[1]characters!$1:$1,0)-MATCH($A$1,[1]characters!$1:$1,0)+1),MATCH(F$1,[1]characters!$1:$1,0)-MATCH($A$1,[1]characters!$1:$1,0)+1,FALSE)</f>
        <v>0</v>
      </c>
      <c r="G21" s="53">
        <f ca="1">VLOOKUP($A21,OFFSET([1]characters!$A$1,0,0,COUNTA([1]characters!$A:$A),MATCH(G$1,[1]characters!$1:$1,0)-MATCH($A$1,[1]characters!$1:$1,0)+1),MATCH(G$1,[1]characters!$1:$1,0)-MATCH($A$1,[1]characters!$1:$1,0)+1,FALSE)</f>
        <v>5</v>
      </c>
      <c r="H21" s="53" t="str">
        <f ca="1">VLOOKUP($A21,OFFSET([1]characters!$A$1,0,0,COUNTA([1]characters!$A:$A),MATCH(H$1,[1]characters!$1:$1,0)-MATCH($A$1,[1]characters!$1:$1,0)+1),MATCH(H$1,[1]characters!$1:$1,0)-MATCH($A$1,[1]characters!$1:$1,0)+1,FALSE)</f>
        <v>PremiumS</v>
      </c>
      <c r="I21" s="53" t="str">
        <f ca="1">VLOOKUP($A21,OFFSET([1]characters!$A$1,0,0,COUNTA([1]characters!$A:$A),MATCH(I$1,[1]characters!$1:$1,0)-MATCH($A$1,[1]characters!$1:$1,0)+1),MATCH(I$1,[1]characters!$1:$1,0)-MATCH($A$1,[1]characters!$1:$1,0)+1,FALSE)</f>
        <v>yellow</v>
      </c>
      <c r="J21" s="10">
        <f ca="1">VLOOKUP(I21,[1]属性!$A:$E,2,FALSE)</f>
        <v>0.98</v>
      </c>
      <c r="K21" s="10">
        <f ca="1">VLOOKUP(I21,[1]属性!$A:$E,3,FALSE)</f>
        <v>1.01</v>
      </c>
      <c r="L21" s="10">
        <f ca="1">VLOOKUP(I21,[1]属性!$A:$E,4,FALSE)</f>
        <v>1</v>
      </c>
      <c r="M21" s="10">
        <f ca="1">VLOOKUP(I21,[1]属性!$A:$E,5,FALSE)</f>
        <v>1.01</v>
      </c>
      <c r="N21" s="10">
        <f ca="1">INDEX(コスト!$A$1:$I$21,MATCH(H21,コスト!$A$1:$A$21,FALSE),MATCH(G21,コスト!$A$1:$I$1,FALSE))</f>
        <v>30</v>
      </c>
      <c r="O21" s="10">
        <f ca="1">INDEX(レベル!$A$1:$I$22,MATCH(H21,レベル!$A$1:$A$22,FALSE),MATCH(G21,レベル!$A$1:$I$1,FALSE))</f>
        <v>80</v>
      </c>
      <c r="P21" s="44">
        <f t="shared" ca="1" si="10"/>
        <v>75</v>
      </c>
      <c r="Q21" s="53" t="str">
        <f ca="1">VLOOKUP($A21,OFFSET([1]characters!$A$1,0,0,COUNTA([1]characters!$A:$A),MATCH(Q$1,[1]characters!$1:$1,0)-MATCH($A$1,[1]characters!$1:$1,0)+1),MATCH(Q$1,[1]characters!$1:$1,0)-MATCH($A$1,[1]characters!$1:$1,0)+1,FALSE)</f>
        <v>balance</v>
      </c>
      <c r="R21" s="5" t="str">
        <f ca="1">VLOOKUP(Q21,[1]character_type_i18n!$A:$H,3,FALSE)</f>
        <v>バランスタイプ</v>
      </c>
      <c r="S21" s="10">
        <f ca="1">VLOOKUP(Q21,[1]character_type_i18n!$A:$H,4,FALSE)</f>
        <v>1</v>
      </c>
      <c r="T21" s="10">
        <f ca="1">VLOOKUP(Q21,[1]character_type_i18n!$A:$H,5,FALSE)</f>
        <v>1</v>
      </c>
      <c r="U21" s="10">
        <f ca="1">VLOOKUP(Q21,[1]character_type_i18n!$A:$H,6,FALSE)</f>
        <v>1</v>
      </c>
      <c r="V21" s="10">
        <f ca="1">VLOOKUP(Q21,[1]character_type_i18n!$A:$H,7,FALSE)</f>
        <v>1</v>
      </c>
      <c r="W21" s="53" t="str">
        <f ca="1">VLOOKUP($A21,OFFSET([1]characters!$A$1,0,0,COUNTA([1]characters!$A:$A),MATCH(W$1,[1]characters!$1:$1,0)-MATCH($A$1,[1]characters!$1:$1,0)+1),MATCH(W$1,[1]characters!$1:$1,0)-MATCH($A$1,[1]characters!$1:$1,0)+1,FALSE)</f>
        <v>human</v>
      </c>
      <c r="X21" s="5" t="str">
        <f ca="1">VLOOKUP(W21,[1]character_tribe_i18n!$A:$H,3,FALSE)</f>
        <v>ヒューマン</v>
      </c>
      <c r="Y21" s="53" t="str">
        <f ca="1">VLOOKUP($A21,OFFSET([1]characters!$A$1,0,0,COUNTA([1]characters!$A:$A),MATCH(Y$1,[1]characters!$1:$1,0)-MATCH($A$1,[1]characters!$1:$1,0)+1),MATCH(Y$1,[1]characters!$1:$1,0)-MATCH($A$1,[1]characters!$1:$1,0)+1,FALSE)</f>
        <v>none</v>
      </c>
      <c r="Z21" s="5" t="str">
        <f ca="1">VLOOKUP(Y21,[1]character_tribe_i18n!$A:$H,3,FALSE)</f>
        <v>種族なし</v>
      </c>
      <c r="AA21" s="10">
        <f ca="1">VLOOKUP(W21,[1]character_tribe_i18n!$A:$H,4,FALSE)</f>
        <v>0.94</v>
      </c>
      <c r="AB21" s="10">
        <f ca="1">VLOOKUP(W21,[1]character_tribe_i18n!$A:$H,5,FALSE)</f>
        <v>0.99</v>
      </c>
      <c r="AC21" s="10">
        <f ca="1">VLOOKUP(W21,[1]character_tribe_i18n!$A:$H,6,FALSE)</f>
        <v>1</v>
      </c>
      <c r="AD21" s="10">
        <f ca="1">VLOOKUP(W21,[1]character_tribe_i18n!$A:$H,7,FALSE)</f>
        <v>1.07</v>
      </c>
      <c r="AE21" s="187" t="s">
        <v>47</v>
      </c>
      <c r="AF21" s="58" t="str">
        <f ca="1">IF(AE21="NULL","",VLOOKUP($AE21,OFFSET([1]characters!$A$1,0,0,COUNTA([1]characters!$A:$A),MATCH(AF$1,[1]characters!$1:$1,0)-MATCH($A$1,[1]characters!$1:$1,0)+1),MATCH(AF$1,[1]characters!$1:$1,0)-MATCH($A$1,[1]characters!$1:$1,0)+1,FALSE))</f>
        <v/>
      </c>
      <c r="AG21" s="187">
        <v>1570</v>
      </c>
      <c r="AH21" s="58" t="str">
        <f ca="1">VLOOKUP($AG21,OFFSET([1]characters!$A$1,0,0,COUNTA([1]characters!$A:$A),MATCH(AH$1,[1]characters!$1:$1,0)-MATCH($A$1,[1]characters!$1:$1,0)+1),MATCH(AH$1,[1]characters!$1:$1,0)-MATCH($A$1,[1]characters!$1:$1,0)+1,FALSE)</f>
        <v>Centaurus01</v>
      </c>
      <c r="AI21" s="10" t="str">
        <f>IF(AE21="NULL","NULL",VLOOKUP(G21,ビット!$A$2:$B$7,2))</f>
        <v>NULL</v>
      </c>
      <c r="AJ21" s="6">
        <v>2</v>
      </c>
      <c r="AK21" s="7" t="str">
        <f t="shared" si="11"/>
        <v>普通</v>
      </c>
      <c r="AL21" s="10" t="str">
        <f ca="1">INDEX(経験値!$A$1:$I$21,MATCH(H21,経験値!$A$1:$A$21,FALSE),MATCH(G21,経験値!$A$1:$I$1,FALSE))</f>
        <v>required_exp_200</v>
      </c>
      <c r="AM21" s="8">
        <f ca="1">VLOOKUP(G21,経験値!$A$28:$B$32,2)</f>
        <v>6400</v>
      </c>
      <c r="AN21" s="16">
        <f ca="1">VLOOKUP(G21,ビット!$G$2:$H$7,2)</f>
        <v>900</v>
      </c>
      <c r="AO21" s="41"/>
      <c r="AP21" s="63">
        <v>1570</v>
      </c>
      <c r="AQ21" s="53" t="str">
        <f ca="1">VLOOKUP($AP21,OFFSET(unit_skills!$A$1,0,0,COUNTA(unit_skills!$A:$A),MATCH(AQ$1,unit_skills!$1:$1,0)-MATCH($AP$1,unit_skills!$1:$1,0)+1),MATCH(AQ$1,unit_skills!$1:$1,0)-MATCH($AP$1,unit_skills!$1:$1,0)+1,FALSE)</f>
        <v>Centaurus01スキル</v>
      </c>
      <c r="AR21" s="53" t="str">
        <f ca="1">VLOOKUP($AP21,OFFSET(unit_skills!$A$1,0,0,COUNTA(unit_skills!$A:$A),MATCH(AR$1,unit_skills!$1:$1,0)-MATCH($AP$1,unit_skills!$1:$1,0)+1),MATCH(AR$1,unit_skills!$1:$1,0)-MATCH($AP$1,unit_skills!$1:$1,0)+1,FALSE)</f>
        <v>マグネット(黄→ハート)1個変換+カウンター解除+1ターン黄･赤･緑属性の回復力UP(青を吸収し効果UP)、ハートの出現率を大UP</v>
      </c>
      <c r="AS21" s="53">
        <f ca="1">VLOOKUP($AP21,OFFSET(unit_skills!$A$1,0,0,COUNTA(unit_skills!$A:$A),MATCH(AS$1,unit_skills!$1:$1,0)-MATCH($AP$1,unit_skills!$1:$1,0)+1),MATCH(AS$1,unit_skills!$1:$1,0)-MATCH($AP$1,unit_skills!$1:$1,0)+1,FALSE)</f>
        <v>0</v>
      </c>
      <c r="AT21" s="63">
        <v>1570</v>
      </c>
      <c r="AU21" s="53" t="str">
        <f ca="1">VLOOKUP($AT21,OFFSET(crash_skills!$A$1,0,0,COUNTA(crash_skills!$A:$A),MATCH(AU$1,crash_skills!$1:$1,0)-MATCH($AT$1,crash_skills!$1:$1,0)+1),MATCH(AU$1,crash_skills!$1:$1,0)-MATCH($AT$1,crash_skills!$1:$1,0)+1,FALSE)</f>
        <v>Centaurus01スキル</v>
      </c>
      <c r="AV21" s="53" t="str">
        <f ca="1">VLOOKUP($AT21,OFFSET(crash_skills!$A$1,0,0,COUNTA(crash_skills!$A:$A),MATCH(AV$1,crash_skills!$1:$1,0)-MATCH($AT$1,crash_skills!$1:$1,0)+1),MATCH(AV$1,crash_skills!$1:$1,0)-MATCH($AT$1,crash_skills!$1:$1,0)+1,FALSE)</f>
        <v>種族マシンに効果特大の単体大ダメージ+_x000D_種族ヒーローに効果特大の単体大ダメージ</v>
      </c>
      <c r="AW21" s="53">
        <f ca="1">VLOOKUP($AT21,OFFSET(crash_skills!$A$1,0,0,COUNTA(crash_skills!$A:$A),MATCH(AW$1,crash_skills!$1:$1,0)-MATCH($AT$1,crash_skills!$1:$1,0)+1),MATCH(AW$1,crash_skills!$1:$1,0)-MATCH($AT$1,crash_skills!$1:$1,0)+1,FALSE)</f>
        <v>0</v>
      </c>
      <c r="AX21" s="54">
        <f ca="1">VLOOKUP($A21,OFFSET([1]characters!$A$1,0,0,COUNTA([1]characters!$A:$A),MATCH(AX$1,[1]characters!$1:$1,0)-MATCH($A$1,[1]characters!$1:$1,0)+1),MATCH(AX$1,[1]characters!$1:$1,0)-MATCH($A$1,[1]characters!$1:$1,0)+1,FALSE)</f>
        <v>1</v>
      </c>
      <c r="AY21" s="64">
        <v>1.097</v>
      </c>
      <c r="AZ21" s="64">
        <v>1.3583000000000001</v>
      </c>
      <c r="BA21" s="64">
        <v>0</v>
      </c>
      <c r="BB21" s="64">
        <v>0.90380000000000005</v>
      </c>
      <c r="BC21" s="10">
        <f ca="1">INDEX('RC6SV'!$A$1:$G$21,MATCH(H21,'RC6SV'!$A$1:$A$21,FALSE),MATCH(G21,'RC6SV'!$A$1:$G$1,FALSE))</f>
        <v>9000</v>
      </c>
      <c r="BD21" s="44">
        <f t="shared" ca="1" si="12"/>
        <v>9000</v>
      </c>
      <c r="BE21" s="10">
        <f t="shared" ca="1" si="3"/>
        <v>0</v>
      </c>
      <c r="BF21" s="10">
        <f t="shared" ca="1" si="4"/>
        <v>1</v>
      </c>
      <c r="BG21" s="15">
        <f ca="1">IF($BE21&lt;=0,ROUND(BK21*0.5,0), ROUND($BE21*S21*AA21*J21*AY21*0.8*[1]ステータス!$B$2,0))</f>
        <v>2274</v>
      </c>
      <c r="BH21" s="15">
        <f ca="1">IF($BE21&lt;=0,ROUND(BL21*0.5,0), ROUND($BE21*T21*AB21*K21*AZ21*0.8*[1]ステータス!$C$2,0))</f>
        <v>1834</v>
      </c>
      <c r="BI21" s="15">
        <f ca="1">IF($BE21&lt;=0,ROUND(BM21*0.5,0), ROUND($BE21*U21*AC21*L21*BA21*0.8*[1]ステータス!$D$2,0))</f>
        <v>0</v>
      </c>
      <c r="BJ21" s="15">
        <f ca="1">IF($BE21&lt;=0,ROUND(BN21*0.5,0), ROUND($BE21*V21*AD21*M21*BB21*0.8*[1]ステータス!$E$2,0))</f>
        <v>1099</v>
      </c>
      <c r="BK21" s="10">
        <f ca="1">ROUND(BD21*S21*AA21*J21*AY21*[1]ステータス!$B$2,0)</f>
        <v>4548</v>
      </c>
      <c r="BL21" s="10">
        <f ca="1">ROUND(BD21*T21*AB21*K21*AZ21*[1]ステータス!$C$2,0)</f>
        <v>3667</v>
      </c>
      <c r="BM21" s="10">
        <f ca="1">ROUND(BD21*U21*AC21*L21*BA21*[1]ステータス!$D$2,0)</f>
        <v>0</v>
      </c>
      <c r="BN21" s="10">
        <f ca="1">ROUND(BD21*V21*AD21*M21*BB21*[1]ステータス!$E$2,0)</f>
        <v>2198</v>
      </c>
      <c r="BO21" s="9">
        <v>0</v>
      </c>
      <c r="BP21" s="9">
        <v>1</v>
      </c>
      <c r="BQ21" s="9" t="s">
        <v>47</v>
      </c>
      <c r="BR21" s="9">
        <f ca="1">VLOOKUP(H21,[2]ghosts_label!$A$2:$B$19,2,FALSE)</f>
        <v>700</v>
      </c>
    </row>
    <row r="22" spans="1:70" ht="26" customHeight="1" x14ac:dyDescent="0.15">
      <c r="A22" s="186">
        <v>1571</v>
      </c>
      <c r="B22" s="53" t="str">
        <f ca="1">VLOOKUP($A22,OFFSET([1]characters!$A$1,0,0,COUNTA([1]characters!$A:$A),MATCH(B$1,[1]characters!$1:$1,0)-MATCH($A$1,[1]characters!$1:$1,0)+1),MATCH(B$1,[1]characters!$1:$1,0)-MATCH($A$1,[1]characters!$1:$1,0)+1,FALSE)</f>
        <v>Lupus01</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5</v>
      </c>
      <c r="H22" s="53" t="str">
        <f ca="1">VLOOKUP($A22,OFFSET([1]characters!$A$1,0,0,COUNTA([1]characters!$A:$A),MATCH(H$1,[1]characters!$1:$1,0)-MATCH($A$1,[1]characters!$1:$1,0)+1),MATCH(H$1,[1]characters!$1:$1,0)-MATCH($A$1,[1]characters!$1:$1,0)+1,FALSE)</f>
        <v>DropWizSS</v>
      </c>
      <c r="I22" s="53" t="str">
        <f ca="1">VLOOKUP($A22,OFFSET([1]characters!$A$1,0,0,COUNTA([1]characters!$A:$A),MATCH(I$1,[1]characters!$1:$1,0)-MATCH($A$1,[1]characters!$1:$1,0)+1),MATCH(I$1,[1]characters!$1:$1,0)-MATCH($A$1,[1]characters!$1:$1,0)+1,FALSE)</f>
        <v>red</v>
      </c>
      <c r="J22" s="10">
        <f ca="1">VLOOKUP(I22,[1]属性!$A:$E,2,FALSE)</f>
        <v>1</v>
      </c>
      <c r="K22" s="10">
        <f ca="1">VLOOKUP(I22,[1]属性!$A:$E,3,FALSE)</f>
        <v>1.02</v>
      </c>
      <c r="L22" s="10">
        <f ca="1">VLOOKUP(I22,[1]属性!$A:$E,4,FALSE)</f>
        <v>1</v>
      </c>
      <c r="M22" s="10">
        <f ca="1">VLOOKUP(I22,[1]属性!$A:$E,5,FALSE)</f>
        <v>0.98</v>
      </c>
      <c r="N22" s="10">
        <f ca="1">INDEX(コスト!$A$1:$I$21,MATCH(H22,コスト!$A$1:$A$21,FALSE),MATCH(G22,コスト!$A$1:$I$1,FALSE))</f>
        <v>35</v>
      </c>
      <c r="O22" s="10">
        <f ca="1">INDEX(レベル!$A$1:$I$22,MATCH(H22,レベル!$A$1:$A$22,FALSE),MATCH(G22,レベル!$A$1:$I$1,FALSE))</f>
        <v>80</v>
      </c>
      <c r="P22" s="44">
        <f t="shared" ca="1" si="10"/>
        <v>75</v>
      </c>
      <c r="Q22" s="53" t="str">
        <f ca="1">VLOOKUP($A22,OFFSET([1]characters!$A$1,0,0,COUNTA([1]characters!$A:$A),MATCH(Q$1,[1]characters!$1:$1,0)-MATCH($A$1,[1]characters!$1:$1,0)+1),MATCH(Q$1,[1]characters!$1:$1,0)-MATCH($A$1,[1]characters!$1:$1,0)+1,FALSE)</f>
        <v>attack</v>
      </c>
      <c r="R22" s="5" t="str">
        <f ca="1">VLOOKUP(Q22,[1]character_type_i18n!$A:$H,3,FALSE)</f>
        <v>攻撃タイプ</v>
      </c>
      <c r="S22" s="10">
        <f ca="1">VLOOKUP(Q22,[1]character_type_i18n!$A:$H,4,FALSE)</f>
        <v>1</v>
      </c>
      <c r="T22" s="10">
        <f ca="1">VLOOKUP(Q22,[1]character_type_i18n!$A:$H,5,FALSE)</f>
        <v>1.33</v>
      </c>
      <c r="U22" s="10">
        <f ca="1">VLOOKUP(Q22,[1]character_type_i18n!$A:$H,6,FALSE)</f>
        <v>1</v>
      </c>
      <c r="V22" s="10">
        <f ca="1">VLOOKUP(Q22,[1]character_type_i18n!$A:$H,7,FALSE)</f>
        <v>0.67</v>
      </c>
      <c r="W22" s="53" t="str">
        <f ca="1">VLOOKUP($A22,OFFSET([1]characters!$A$1,0,0,COUNTA([1]characters!$A:$A),MATCH(W$1,[1]characters!$1:$1,0)-MATCH($A$1,[1]characters!$1:$1,0)+1),MATCH(W$1,[1]characters!$1:$1,0)-MATCH($A$1,[1]characters!$1:$1,0)+1,FALSE)</f>
        <v>human</v>
      </c>
      <c r="X22" s="5" t="str">
        <f ca="1">VLOOKUP(W22,[1]character_tribe_i18n!$A:$H,3,FALSE)</f>
        <v>ヒューマン</v>
      </c>
      <c r="Y22" s="53" t="str">
        <f ca="1">VLOOKUP($A22,OFFSET([1]characters!$A$1,0,0,COUNTA([1]characters!$A:$A),MATCH(Y$1,[1]characters!$1:$1,0)-MATCH($A$1,[1]characters!$1:$1,0)+1),MATCH(Y$1,[1]characters!$1:$1,0)-MATCH($A$1,[1]characters!$1:$1,0)+1,FALSE)</f>
        <v>none</v>
      </c>
      <c r="Z22" s="5" t="str">
        <f ca="1">VLOOKUP(Y22,[1]character_tribe_i18n!$A:$H,3,FALSE)</f>
        <v>種族なし</v>
      </c>
      <c r="AA22" s="10">
        <f ca="1">VLOOKUP(W22,[1]character_tribe_i18n!$A:$H,4,FALSE)</f>
        <v>0.94</v>
      </c>
      <c r="AB22" s="10">
        <f ca="1">VLOOKUP(W22,[1]character_tribe_i18n!$A:$H,5,FALSE)</f>
        <v>0.99</v>
      </c>
      <c r="AC22" s="10">
        <f ca="1">VLOOKUP(W22,[1]character_tribe_i18n!$A:$H,6,FALSE)</f>
        <v>1</v>
      </c>
      <c r="AD22" s="10">
        <f ca="1">VLOOKUP(W22,[1]character_tribe_i18n!$A:$H,7,FALSE)</f>
        <v>1.07</v>
      </c>
      <c r="AE22" s="198">
        <v>1572</v>
      </c>
      <c r="AF22" s="58" t="str">
        <f ca="1">IF(AE22="NULL","",VLOOKUP($AE22,OFFSET([1]characters!$A$1,0,0,COUNTA([1]characters!$A:$A),MATCH(AF$1,[1]characters!$1:$1,0)-MATCH($A$1,[1]characters!$1:$1,0)+1),MATCH(AF$1,[1]characters!$1:$1,0)-MATCH($A$1,[1]characters!$1:$1,0)+1,FALSE))</f>
        <v>Lupus02</v>
      </c>
      <c r="AG22" s="198">
        <v>1571</v>
      </c>
      <c r="AH22" s="58" t="str">
        <f ca="1">VLOOKUP($AG22,OFFSET([1]characters!$A$1,0,0,COUNTA([1]characters!$A:$A),MATCH(AH$1,[1]characters!$1:$1,0)-MATCH($A$1,[1]characters!$1:$1,0)+1),MATCH(AH$1,[1]characters!$1:$1,0)-MATCH($A$1,[1]characters!$1:$1,0)+1,FALSE)</f>
        <v>Lupus01</v>
      </c>
      <c r="AI22" s="10">
        <f ca="1">IF(AE22="NULL","NULL",VLOOKUP(G22,ビット!$A$2:$B$7,2))</f>
        <v>200000</v>
      </c>
      <c r="AJ22" s="6">
        <v>2</v>
      </c>
      <c r="AK22" s="7" t="str">
        <f t="shared" si="11"/>
        <v>普通</v>
      </c>
      <c r="AL22" s="10" t="str">
        <f ca="1">INDEX(経験値!$A$1:$I$21,MATCH(H22,経験値!$A$1:$A$21,FALSE),MATCH(G22,経験値!$A$1:$I$1,FALSE))</f>
        <v>required_exp_200</v>
      </c>
      <c r="AM22" s="8">
        <f ca="1">VLOOKUP(G22,経験値!$A$28:$B$32,2)</f>
        <v>6400</v>
      </c>
      <c r="AN22" s="16">
        <f ca="1">VLOOKUP(G22,ビット!$G$2:$H$7,2)</f>
        <v>900</v>
      </c>
      <c r="AO22" s="41"/>
      <c r="AP22" s="63">
        <v>1571</v>
      </c>
      <c r="AQ22" s="53" t="str">
        <f ca="1">VLOOKUP($AP22,OFFSET(unit_skills!$A$1,0,0,COUNTA(unit_skills!$A:$A),MATCH(AQ$1,unit_skills!$1:$1,0)-MATCH($AP$1,unit_skills!$1:$1,0)+1),MATCH(AQ$1,unit_skills!$1:$1,0)-MATCH($AP$1,unit_skills!$1:$1,0)+1,FALSE)</f>
        <v>Lupus01スキル</v>
      </c>
      <c r="AR22" s="53" t="str">
        <f ca="1">VLOOKUP($AP22,OFFSET(unit_skills!$A$1,0,0,COUNTA(unit_skills!$A:$A),MATCH(AR$1,unit_skills!$1:$1,0)-MATCH($AP$1,unit_skills!$1:$1,0)+1),MATCH(AR$1,unit_skills!$1:$1,0)-MATCH($AP$1,unit_skills!$1:$1,0)+1,FALSE)</f>
        <v>ランダムでパネルを最大18個CPに変換+5ターン自身の回復力を1998DOWN、攻撃力と防御力を1998UP、タップ回数を2増加</v>
      </c>
      <c r="AS22" s="53">
        <f ca="1">VLOOKUP($AP22,OFFSET(unit_skills!$A$1,0,0,COUNTA(unit_skills!$A:$A),MATCH(AS$1,unit_skills!$1:$1,0)-MATCH($AP$1,unit_skills!$1:$1,0)+1),MATCH(AS$1,unit_skills!$1:$1,0)-MATCH($AP$1,unit_skills!$1:$1,0)+1,FALSE)</f>
        <v>0</v>
      </c>
      <c r="AT22" s="63">
        <v>1571</v>
      </c>
      <c r="AU22" s="53" t="str">
        <f ca="1">VLOOKUP($AT22,OFFSET(crash_skills!$A$1,0,0,COUNTA(crash_skills!$A:$A),MATCH(AU$1,crash_skills!$1:$1,0)-MATCH($AT$1,crash_skills!$1:$1,0)+1),MATCH(AU$1,crash_skills!$1:$1,0)-MATCH($AT$1,crash_skills!$1:$1,0)+1,FALSE)</f>
        <v>Lupus01スキル</v>
      </c>
      <c r="AV22" s="53" t="str">
        <f ca="1">VLOOKUP($AT22,OFFSET(crash_skills!$A$1,0,0,COUNTA(crash_skills!$A:$A),MATCH(AV$1,crash_skills!$1:$1,0)-MATCH($AT$1,crash_skills!$1:$1,0)+1),MATCH(AV$1,crash_skills!$1:$1,0)-MATCH($AT$1,crash_skills!$1:$1,0)+1,FALSE)</f>
        <v>1体に大ダメージ_x000D_種族ヒューマンに効果特大</v>
      </c>
      <c r="AW22" s="53">
        <f ca="1">VLOOKUP($AT22,OFFSET(crash_skills!$A$1,0,0,COUNTA(crash_skills!$A:$A),MATCH(AW$1,crash_skills!$1:$1,0)-MATCH($AT$1,crash_skills!$1:$1,0)+1),MATCH(AW$1,crash_skills!$1:$1,0)-MATCH($AT$1,crash_skills!$1:$1,0)+1,FALSE)</f>
        <v>0</v>
      </c>
      <c r="AX22" s="54">
        <f ca="1">VLOOKUP($A22,OFFSET([1]characters!$A$1,0,0,COUNTA([1]characters!$A:$A),MATCH(AX$1,[1]characters!$1:$1,0)-MATCH($A$1,[1]characters!$1:$1,0)+1),MATCH(AX$1,[1]characters!$1:$1,0)-MATCH($A$1,[1]characters!$1:$1,0)+1,FALSE)</f>
        <v>1</v>
      </c>
      <c r="AY22" s="64">
        <v>1.0027999999999999</v>
      </c>
      <c r="AZ22" s="64">
        <v>1.1200000000000001</v>
      </c>
      <c r="BA22" s="64">
        <v>0</v>
      </c>
      <c r="BB22" s="64">
        <v>0.87539999999999996</v>
      </c>
      <c r="BC22" s="10">
        <f ca="1">INDEX('RC6SV'!$A$1:$G$21,MATCH(H22,'RC6SV'!$A$1:$A$21,FALSE),MATCH(G22,'RC6SV'!$A$1:$G$1,FALSE))</f>
        <v>9500</v>
      </c>
      <c r="BD22" s="44">
        <f t="shared" ca="1" si="12"/>
        <v>9500</v>
      </c>
      <c r="BE22" s="10">
        <f t="shared" ca="1" si="3"/>
        <v>0</v>
      </c>
      <c r="BF22" s="10">
        <f t="shared" ca="1" si="4"/>
        <v>1</v>
      </c>
      <c r="BG22" s="15">
        <f ca="1">IF($BE22&lt;=0,ROUND(BK22*0.5,0), ROUND($BE22*S22*AA22*J22*AY22*0.8*[1]ステータス!$B$2,0))</f>
        <v>2239</v>
      </c>
      <c r="BH22" s="15">
        <f ca="1">IF($BE22&lt;=0,ROUND(BL22*0.5,0), ROUND($BE22*T22*AB22*K22*AZ22*0.8*[1]ステータス!$C$2,0))</f>
        <v>2144</v>
      </c>
      <c r="BI22" s="15">
        <f ca="1">IF($BE22&lt;=0,ROUND(BM22*0.5,0), ROUND($BE22*U22*AC22*L22*BA22*0.8*[1]ステータス!$D$2,0))</f>
        <v>0</v>
      </c>
      <c r="BJ22" s="15">
        <f ca="1">IF($BE22&lt;=0,ROUND(BN22*0.5,0), ROUND($BE22*V22*AD22*M22*BB22*0.8*[1]ステータス!$E$2,0))</f>
        <v>731</v>
      </c>
      <c r="BK22" s="10">
        <f ca="1">ROUND(BD22*S22*AA22*J22*AY22*[1]ステータス!$B$2,0)</f>
        <v>4478</v>
      </c>
      <c r="BL22" s="10">
        <f ca="1">ROUND(BD22*T22*AB22*K22*AZ22*[1]ステータス!$C$2,0)</f>
        <v>4287</v>
      </c>
      <c r="BM22" s="10">
        <f ca="1">ROUND(BD22*U22*AC22*L22*BA22*[1]ステータス!$D$2,0)</f>
        <v>0</v>
      </c>
      <c r="BN22" s="10">
        <f ca="1">ROUND(BD22*V22*AD22*M22*BB22*[1]ステータス!$E$2,0)</f>
        <v>1461</v>
      </c>
      <c r="BO22" s="9">
        <v>0</v>
      </c>
      <c r="BP22" s="9">
        <v>1</v>
      </c>
      <c r="BQ22" s="36" t="s">
        <v>47</v>
      </c>
      <c r="BR22" s="9">
        <f ca="1">VLOOKUP(H22,[2]ghosts_label!$A$2:$B$19,2,FALSE)</f>
        <v>1</v>
      </c>
    </row>
    <row r="23" spans="1:70" ht="26" customHeight="1" x14ac:dyDescent="0.15">
      <c r="A23" s="186">
        <v>1572</v>
      </c>
      <c r="B23" s="53" t="str">
        <f ca="1">VLOOKUP($A23,OFFSET([1]characters!$A$1,0,0,COUNTA([1]characters!$A:$A),MATCH(B$1,[1]characters!$1:$1,0)-MATCH($A$1,[1]characters!$1:$1,0)+1),MATCH(B$1,[1]characters!$1:$1,0)-MATCH($A$1,[1]characters!$1:$1,0)+1,FALSE)</f>
        <v>Lupus02</v>
      </c>
      <c r="C23" s="53">
        <f ca="1">VLOOKUP($A23,OFFSET([1]characters!$A$1,0,0,COUNTA([1]characters!$A:$A),MATCH(C$1,[1]characters!$1:$1,0)-MATCH($A$1,[1]characters!$1:$1,0)+1),MATCH(C$1,[1]characters!$1:$1,0)-MATCH($A$1,[1]characters!$1:$1,0)+1,FALSE)</f>
        <v>0</v>
      </c>
      <c r="D23" s="53">
        <f ca="1">VLOOKUP($A23,OFFSET([1]characters!$A$1,0,0,COUNTA([1]characters!$A:$A),MATCH(D$1,[1]characters!$1:$1,0)-MATCH($A$1,[1]characters!$1:$1,0)+1),MATCH(D$1,[1]characters!$1:$1,0)-MATCH($A$1,[1]characters!$1:$1,0)+1,FALSE)</f>
        <v>0</v>
      </c>
      <c r="E23" s="53">
        <f ca="1">VLOOKUP($A23,OFFSET([1]characters!$A$1,0,0,COUNTA([1]characters!$A:$A),MATCH(E$1,[1]characters!$1:$1,0)-MATCH($A$1,[1]characters!$1:$1,0)+1),MATCH(E$1,[1]characters!$1:$1,0)-MATCH($A$1,[1]characters!$1:$1,0)+1,FALSE)</f>
        <v>0</v>
      </c>
      <c r="F23" s="53">
        <f ca="1">VLOOKUP($A23,OFFSET([1]characters!$A$1,0,0,COUNTA([1]characters!$A:$A),MATCH(F$1,[1]characters!$1:$1,0)-MATCH($A$1,[1]characters!$1:$1,0)+1),MATCH(F$1,[1]characters!$1:$1,0)-MATCH($A$1,[1]characters!$1:$1,0)+1,FALSE)</f>
        <v>0</v>
      </c>
      <c r="G23" s="53">
        <f ca="1">VLOOKUP($A23,OFFSET([1]characters!$A$1,0,0,COUNTA([1]characters!$A:$A),MATCH(G$1,[1]characters!$1:$1,0)-MATCH($A$1,[1]characters!$1:$1,0)+1),MATCH(G$1,[1]characters!$1:$1,0)-MATCH($A$1,[1]characters!$1:$1,0)+1,FALSE)</f>
        <v>6</v>
      </c>
      <c r="H23" s="53" t="str">
        <f ca="1">VLOOKUP($A23,OFFSET([1]characters!$A$1,0,0,COUNTA([1]characters!$A:$A),MATCH(H$1,[1]characters!$1:$1,0)-MATCH($A$1,[1]characters!$1:$1,0)+1),MATCH(H$1,[1]characters!$1:$1,0)-MATCH($A$1,[1]characters!$1:$1,0)+1,FALSE)</f>
        <v>DropWizSS</v>
      </c>
      <c r="I23" s="53" t="str">
        <f ca="1">VLOOKUP($A23,OFFSET([1]characters!$A$1,0,0,COUNTA([1]characters!$A:$A),MATCH(I$1,[1]characters!$1:$1,0)-MATCH($A$1,[1]characters!$1:$1,0)+1),MATCH(I$1,[1]characters!$1:$1,0)-MATCH($A$1,[1]characters!$1:$1,0)+1,FALSE)</f>
        <v>red</v>
      </c>
      <c r="J23" s="10">
        <f ca="1">VLOOKUP(I23,[1]属性!$A:$E,2,FALSE)</f>
        <v>1</v>
      </c>
      <c r="K23" s="10">
        <f ca="1">VLOOKUP(I23,[1]属性!$A:$E,3,FALSE)</f>
        <v>1.02</v>
      </c>
      <c r="L23" s="10">
        <f ca="1">VLOOKUP(I23,[1]属性!$A:$E,4,FALSE)</f>
        <v>1</v>
      </c>
      <c r="M23" s="10">
        <f ca="1">VLOOKUP(I23,[1]属性!$A:$E,5,FALSE)</f>
        <v>0.98</v>
      </c>
      <c r="N23" s="10">
        <f ca="1">INDEX(コスト!$A$1:$I$21,MATCH(H23,コスト!$A$1:$A$21,FALSE),MATCH(G23,コスト!$A$1:$I$1,FALSE))</f>
        <v>50</v>
      </c>
      <c r="O23" s="10">
        <f ca="1">INDEX(レベル!$A$1:$I$22,MATCH(H23,レベル!$A$1:$A$22,FALSE),MATCH(G23,レベル!$A$1:$I$1,FALSE))</f>
        <v>99</v>
      </c>
      <c r="P23" s="44">
        <f t="shared" ca="1" si="10"/>
        <v>99</v>
      </c>
      <c r="Q23" s="53" t="str">
        <f ca="1">VLOOKUP($A23,OFFSET([1]characters!$A$1,0,0,COUNTA([1]characters!$A:$A),MATCH(Q$1,[1]characters!$1:$1,0)-MATCH($A$1,[1]characters!$1:$1,0)+1),MATCH(Q$1,[1]characters!$1:$1,0)-MATCH($A$1,[1]characters!$1:$1,0)+1,FALSE)</f>
        <v>attack</v>
      </c>
      <c r="R23" s="5" t="str">
        <f ca="1">VLOOKUP(Q23,[1]character_type_i18n!$A:$H,3,FALSE)</f>
        <v>攻撃タイプ</v>
      </c>
      <c r="S23" s="10">
        <f ca="1">VLOOKUP(Q23,[1]character_type_i18n!$A:$H,4,FALSE)</f>
        <v>1</v>
      </c>
      <c r="T23" s="10">
        <f ca="1">VLOOKUP(Q23,[1]character_type_i18n!$A:$H,5,FALSE)</f>
        <v>1.33</v>
      </c>
      <c r="U23" s="10">
        <f ca="1">VLOOKUP(Q23,[1]character_type_i18n!$A:$H,6,FALSE)</f>
        <v>1</v>
      </c>
      <c r="V23" s="10">
        <f ca="1">VLOOKUP(Q23,[1]character_type_i18n!$A:$H,7,FALSE)</f>
        <v>0.67</v>
      </c>
      <c r="W23" s="53" t="str">
        <f ca="1">VLOOKUP($A23,OFFSET([1]characters!$A$1,0,0,COUNTA([1]characters!$A:$A),MATCH(W$1,[1]characters!$1:$1,0)-MATCH($A$1,[1]characters!$1:$1,0)+1),MATCH(W$1,[1]characters!$1:$1,0)-MATCH($A$1,[1]characters!$1:$1,0)+1,FALSE)</f>
        <v>human</v>
      </c>
      <c r="X23" s="5" t="str">
        <f ca="1">VLOOKUP(W23,[1]character_tribe_i18n!$A:$H,3,FALSE)</f>
        <v>ヒューマン</v>
      </c>
      <c r="Y23" s="53" t="str">
        <f ca="1">VLOOKUP($A23,OFFSET([1]characters!$A$1,0,0,COUNTA([1]characters!$A:$A),MATCH(Y$1,[1]characters!$1:$1,0)-MATCH($A$1,[1]characters!$1:$1,0)+1),MATCH(Y$1,[1]characters!$1:$1,0)-MATCH($A$1,[1]characters!$1:$1,0)+1,FALSE)</f>
        <v>none</v>
      </c>
      <c r="Z23" s="5" t="str">
        <f ca="1">VLOOKUP(Y23,[1]character_tribe_i18n!$A:$H,3,FALSE)</f>
        <v>種族なし</v>
      </c>
      <c r="AA23" s="10">
        <f ca="1">VLOOKUP(W23,[1]character_tribe_i18n!$A:$H,4,FALSE)</f>
        <v>0.94</v>
      </c>
      <c r="AB23" s="10">
        <f ca="1">VLOOKUP(W23,[1]character_tribe_i18n!$A:$H,5,FALSE)</f>
        <v>0.99</v>
      </c>
      <c r="AC23" s="10">
        <f ca="1">VLOOKUP(W23,[1]character_tribe_i18n!$A:$H,6,FALSE)</f>
        <v>1</v>
      </c>
      <c r="AD23" s="10">
        <f ca="1">VLOOKUP(W23,[1]character_tribe_i18n!$A:$H,7,FALSE)</f>
        <v>1.07</v>
      </c>
      <c r="AE23" s="187" t="s">
        <v>47</v>
      </c>
      <c r="AF23" s="58" t="str">
        <f ca="1">IF(AE23="NULL","",VLOOKUP($AE23,OFFSET([1]characters!$A$1,0,0,COUNTA([1]characters!$A:$A),MATCH(AF$1,[1]characters!$1:$1,0)-MATCH($A$1,[1]characters!$1:$1,0)+1),MATCH(AF$1,[1]characters!$1:$1,0)-MATCH($A$1,[1]characters!$1:$1,0)+1,FALSE))</f>
        <v/>
      </c>
      <c r="AG23" s="187">
        <v>1571</v>
      </c>
      <c r="AH23" s="58" t="str">
        <f ca="1">VLOOKUP($AG23,OFFSET([1]characters!$A$1,0,0,COUNTA([1]characters!$A:$A),MATCH(AH$1,[1]characters!$1:$1,0)-MATCH($A$1,[1]characters!$1:$1,0)+1),MATCH(AH$1,[1]characters!$1:$1,0)-MATCH($A$1,[1]characters!$1:$1,0)+1,FALSE)</f>
        <v>Lupus01</v>
      </c>
      <c r="AI23" s="10" t="str">
        <f>IF(AE23="NULL","NULL",VLOOKUP(G23,ビット!$A$2:$B$7,2))</f>
        <v>NULL</v>
      </c>
      <c r="AJ23" s="6">
        <v>2</v>
      </c>
      <c r="AK23" s="7" t="str">
        <f t="shared" si="11"/>
        <v>普通</v>
      </c>
      <c r="AL23" s="10" t="str">
        <f ca="1">INDEX(経験値!$A$1:$I$21,MATCH(H23,経験値!$A$1:$A$21,FALSE),MATCH(G23,経験値!$A$1:$I$1,FALSE))</f>
        <v>required_exp_250</v>
      </c>
      <c r="AM23" s="8">
        <f ca="1">VLOOKUP(G23,経験値!$A$28:$B$32,2)</f>
        <v>6400</v>
      </c>
      <c r="AN23" s="16">
        <f ca="1">VLOOKUP(G23,ビット!$G$2:$H$7,2)</f>
        <v>900</v>
      </c>
      <c r="AO23" s="41"/>
      <c r="AP23" s="63">
        <v>1572</v>
      </c>
      <c r="AQ23" s="53" t="str">
        <f ca="1">VLOOKUP($AP23,OFFSET(unit_skills!$A$1,0,0,COUNTA(unit_skills!$A:$A),MATCH(AQ$1,unit_skills!$1:$1,0)-MATCH($AP$1,unit_skills!$1:$1,0)+1),MATCH(AQ$1,unit_skills!$1:$1,0)-MATCH($AP$1,unit_skills!$1:$1,0)+1,FALSE)</f>
        <v>Lupus02スキル</v>
      </c>
      <c r="AR23" s="53" t="str">
        <f ca="1">VLOOKUP($AP23,OFFSET(unit_skills!$A$1,0,0,COUNTA(unit_skills!$A:$A),MATCH(AR$1,unit_skills!$1:$1,0)-MATCH($AP$1,unit_skills!$1:$1,0)+1),MATCH(AR$1,unit_skills!$1:$1,0)-MATCH($AP$1,unit_skills!$1:$1,0)+1,FALSE)</f>
        <v>ランダムでパネルを最大18個CPに変換+5ターン自身の回復力を1998DOWN、攻撃力と防御力を1998UP、タップ回数を2増加</v>
      </c>
      <c r="AS23" s="53">
        <f ca="1">VLOOKUP($AP23,OFFSET(unit_skills!$A$1,0,0,COUNTA(unit_skills!$A:$A),MATCH(AS$1,unit_skills!$1:$1,0)-MATCH($AP$1,unit_skills!$1:$1,0)+1),MATCH(AS$1,unit_skills!$1:$1,0)-MATCH($AP$1,unit_skills!$1:$1,0)+1,FALSE)</f>
        <v>0</v>
      </c>
      <c r="AT23" s="63">
        <v>1572</v>
      </c>
      <c r="AU23" s="53" t="str">
        <f ca="1">VLOOKUP($AT23,OFFSET(crash_skills!$A$1,0,0,COUNTA(crash_skills!$A:$A),MATCH(AU$1,crash_skills!$1:$1,0)-MATCH($AT$1,crash_skills!$1:$1,0)+1),MATCH(AU$1,crash_skills!$1:$1,0)-MATCH($AT$1,crash_skills!$1:$1,0)+1,FALSE)</f>
        <v>Lupus02スキル</v>
      </c>
      <c r="AV23" s="53" t="str">
        <f ca="1">VLOOKUP($AT23,OFFSET(crash_skills!$A$1,0,0,COUNTA(crash_skills!$A:$A),MATCH(AV$1,crash_skills!$1:$1,0)-MATCH($AT$1,crash_skills!$1:$1,0)+1),MATCH(AV$1,crash_skills!$1:$1,0)-MATCH($AT$1,crash_skills!$1:$1,0)+1,FALSE)</f>
        <v>1体に特大ダメージ_x000D_種族ヒューマンに効果超大</v>
      </c>
      <c r="AW23" s="53">
        <f ca="1">VLOOKUP($AT23,OFFSET(crash_skills!$A$1,0,0,COUNTA(crash_skills!$A:$A),MATCH(AW$1,crash_skills!$1:$1,0)-MATCH($AT$1,crash_skills!$1:$1,0)+1),MATCH(AW$1,crash_skills!$1:$1,0)-MATCH($AT$1,crash_skills!$1:$1,0)+1,FALSE)</f>
        <v>0</v>
      </c>
      <c r="AX23" s="54">
        <f ca="1">VLOOKUP($A23,OFFSET([1]characters!$A$1,0,0,COUNTA([1]characters!$A:$A),MATCH(AX$1,[1]characters!$1:$1,0)-MATCH($A$1,[1]characters!$1:$1,0)+1),MATCH(AX$1,[1]characters!$1:$1,0)-MATCH($A$1,[1]characters!$1:$1,0)+1,FALSE)</f>
        <v>1</v>
      </c>
      <c r="AY23" s="64">
        <v>1.0027999999999999</v>
      </c>
      <c r="AZ23" s="64">
        <v>1.1200000000000001</v>
      </c>
      <c r="BA23" s="64">
        <v>0</v>
      </c>
      <c r="BB23" s="64">
        <v>0.87539999999999996</v>
      </c>
      <c r="BC23" s="10">
        <f ca="1">INDEX('RC6SV'!$A$1:$G$21,MATCH(H23,'RC6SV'!$A$1:$A$21,FALSE),MATCH(G23,'RC6SV'!$A$1:$G$1,FALSE))</f>
        <v>13000</v>
      </c>
      <c r="BD23" s="44">
        <f t="shared" ca="1" si="12"/>
        <v>13000</v>
      </c>
      <c r="BE23" s="10">
        <f t="shared" ca="1" si="3"/>
        <v>9500</v>
      </c>
      <c r="BF23" s="10">
        <f t="shared" ca="1" si="4"/>
        <v>1</v>
      </c>
      <c r="BG23" s="15">
        <f ca="1">IF($BE23&lt;=0,ROUND(BK23*0.5,0), ROUND($BE23*S23*AA23*J23*AY23*0.8*[1]ステータス!$B$2,0))</f>
        <v>3582</v>
      </c>
      <c r="BH23" s="15">
        <f ca="1">IF($BE23&lt;=0,ROUND(BL23*0.5,0), ROUND($BE23*T23*AB23*K23*AZ23*0.8*[1]ステータス!$C$2,0))</f>
        <v>3430</v>
      </c>
      <c r="BI23" s="15">
        <f ca="1">IF($BE23&lt;=0,ROUND(BM23*0.5,0), ROUND($BE23*U23*AC23*L23*BA23*0.8*[1]ステータス!$D$2,0))</f>
        <v>0</v>
      </c>
      <c r="BJ23" s="15">
        <f ca="1">IF($BE23&lt;=0,ROUND(BN23*0.5,0), ROUND($BE23*V23*AD23*M23*BB23*0.8*[1]ステータス!$E$2,0))</f>
        <v>1169</v>
      </c>
      <c r="BK23" s="10">
        <f ca="1">ROUND(BD23*S23*AA23*J23*AY23*[1]ステータス!$B$2,0)</f>
        <v>6127</v>
      </c>
      <c r="BL23" s="10">
        <f ca="1">ROUND(BD23*T23*AB23*K23*AZ23*[1]ステータス!$C$2,0)</f>
        <v>5866</v>
      </c>
      <c r="BM23" s="10">
        <f ca="1">ROUND(BD23*U23*AC23*L23*BA23*[1]ステータス!$D$2,0)</f>
        <v>0</v>
      </c>
      <c r="BN23" s="10">
        <f ca="1">ROUND(BD23*V23*AD23*M23*BB23*[1]ステータス!$E$2,0)</f>
        <v>1999</v>
      </c>
      <c r="BO23" s="9">
        <v>0</v>
      </c>
      <c r="BP23" s="9">
        <v>1</v>
      </c>
      <c r="BQ23" s="9" t="s">
        <v>47</v>
      </c>
      <c r="BR23" s="9">
        <f ca="1">VLOOKUP(H23,[2]ghosts_label!$A$2:$B$19,2,FALSE)</f>
        <v>1</v>
      </c>
    </row>
    <row r="24" spans="1:70" ht="26" customHeight="1" x14ac:dyDescent="0.15">
      <c r="A24" s="186">
        <v>1573</v>
      </c>
      <c r="B24" s="53" t="str">
        <f ca="1">VLOOKUP($A24,OFFSET([1]characters!$A$1,0,0,COUNTA([1]characters!$A:$A),MATCH(B$1,[1]characters!$1:$1,0)-MATCH($A$1,[1]characters!$1:$1,0)+1),MATCH(B$1,[1]characters!$1:$1,0)-MATCH($A$1,[1]characters!$1:$1,0)+1,FALSE)</f>
        <v>Scorpius01</v>
      </c>
      <c r="C24" s="53">
        <f ca="1">VLOOKUP($A24,OFFSET([1]characters!$A$1,0,0,COUNTA([1]characters!$A:$A),MATCH(C$1,[1]characters!$1:$1,0)-MATCH($A$1,[1]characters!$1:$1,0)+1),MATCH(C$1,[1]characters!$1:$1,0)-MATCH($A$1,[1]characters!$1:$1,0)+1,FALSE)</f>
        <v>0</v>
      </c>
      <c r="D24" s="53">
        <f ca="1">VLOOKUP($A24,OFFSET([1]characters!$A$1,0,0,COUNTA([1]characters!$A:$A),MATCH(D$1,[1]characters!$1:$1,0)-MATCH($A$1,[1]characters!$1:$1,0)+1),MATCH(D$1,[1]characters!$1:$1,0)-MATCH($A$1,[1]characters!$1:$1,0)+1,FALSE)</f>
        <v>0</v>
      </c>
      <c r="E24" s="53">
        <f ca="1">VLOOKUP($A24,OFFSET([1]characters!$A$1,0,0,COUNTA([1]characters!$A:$A),MATCH(E$1,[1]characters!$1:$1,0)-MATCH($A$1,[1]characters!$1:$1,0)+1),MATCH(E$1,[1]characters!$1:$1,0)-MATCH($A$1,[1]characters!$1:$1,0)+1,FALSE)</f>
        <v>0</v>
      </c>
      <c r="F24" s="53">
        <f ca="1">VLOOKUP($A24,OFFSET([1]characters!$A$1,0,0,COUNTA([1]characters!$A:$A),MATCH(F$1,[1]characters!$1:$1,0)-MATCH($A$1,[1]characters!$1:$1,0)+1),MATCH(F$1,[1]characters!$1:$1,0)-MATCH($A$1,[1]characters!$1:$1,0)+1,FALSE)</f>
        <v>0</v>
      </c>
      <c r="G24" s="53">
        <f ca="1">VLOOKUP($A24,OFFSET([1]characters!$A$1,0,0,COUNTA([1]characters!$A:$A),MATCH(G$1,[1]characters!$1:$1,0)-MATCH($A$1,[1]characters!$1:$1,0)+1),MATCH(G$1,[1]characters!$1:$1,0)-MATCH($A$1,[1]characters!$1:$1,0)+1,FALSE)</f>
        <v>5</v>
      </c>
      <c r="H24" s="53" t="str">
        <f ca="1">VLOOKUP($A24,OFFSET([1]characters!$A$1,0,0,COUNTA([1]characters!$A:$A),MATCH(H$1,[1]characters!$1:$1,0)-MATCH($A$1,[1]characters!$1:$1,0)+1),MATCH(H$1,[1]characters!$1:$1,0)-MATCH($A$1,[1]characters!$1:$1,0)+1,FALSE)</f>
        <v>PremiumS</v>
      </c>
      <c r="I24" s="53" t="str">
        <f ca="1">VLOOKUP($A24,OFFSET([1]characters!$A$1,0,0,COUNTA([1]characters!$A:$A),MATCH(I$1,[1]characters!$1:$1,0)-MATCH($A$1,[1]characters!$1:$1,0)+1),MATCH(I$1,[1]characters!$1:$1,0)-MATCH($A$1,[1]characters!$1:$1,0)+1,FALSE)</f>
        <v>green</v>
      </c>
      <c r="J24" s="10">
        <f ca="1">VLOOKUP(I24,[1]属性!$A:$E,2,FALSE)</f>
        <v>1.02</v>
      </c>
      <c r="K24" s="10">
        <f ca="1">VLOOKUP(I24,[1]属性!$A:$E,3,FALSE)</f>
        <v>0.98</v>
      </c>
      <c r="L24" s="10">
        <f ca="1">VLOOKUP(I24,[1]属性!$A:$E,4,FALSE)</f>
        <v>1</v>
      </c>
      <c r="M24" s="10">
        <f ca="1">VLOOKUP(I24,[1]属性!$A:$E,5,FALSE)</f>
        <v>1</v>
      </c>
      <c r="N24" s="10">
        <f ca="1">INDEX(コスト!$A$1:$I$21,MATCH(H24,コスト!$A$1:$A$21,FALSE),MATCH(G24,コスト!$A$1:$I$1,FALSE))</f>
        <v>30</v>
      </c>
      <c r="O24" s="10">
        <f ca="1">INDEX(レベル!$A$1:$I$22,MATCH(H24,レベル!$A$1:$A$22,FALSE),MATCH(G24,レベル!$A$1:$I$1,FALSE))</f>
        <v>80</v>
      </c>
      <c r="P24" s="44">
        <f t="shared" ca="1" si="10"/>
        <v>75</v>
      </c>
      <c r="Q24" s="53" t="str">
        <f ca="1">VLOOKUP($A24,OFFSET([1]characters!$A$1,0,0,COUNTA([1]characters!$A:$A),MATCH(Q$1,[1]characters!$1:$1,0)-MATCH($A$1,[1]characters!$1:$1,0)+1),MATCH(Q$1,[1]characters!$1:$1,0)-MATCH($A$1,[1]characters!$1:$1,0)+1,FALSE)</f>
        <v>hp</v>
      </c>
      <c r="R24" s="5" t="str">
        <f ca="1">VLOOKUP(Q24,[1]character_type_i18n!$A:$H,3,FALSE)</f>
        <v>体力タイプ</v>
      </c>
      <c r="S24" s="10">
        <f ca="1">VLOOKUP(Q24,[1]character_type_i18n!$A:$H,4,FALSE)</f>
        <v>1.45</v>
      </c>
      <c r="T24" s="10">
        <f ca="1">VLOOKUP(Q24,[1]character_type_i18n!$A:$H,5,FALSE)</f>
        <v>0.85</v>
      </c>
      <c r="U24" s="10">
        <f ca="1">VLOOKUP(Q24,[1]character_type_i18n!$A:$H,6,FALSE)</f>
        <v>1</v>
      </c>
      <c r="V24" s="10">
        <f ca="1">VLOOKUP(Q24,[1]character_type_i18n!$A:$H,7,FALSE)</f>
        <v>0.7</v>
      </c>
      <c r="W24" s="53" t="str">
        <f ca="1">VLOOKUP($A24,OFFSET([1]characters!$A$1,0,0,COUNTA([1]characters!$A:$A),MATCH(W$1,[1]characters!$1:$1,0)-MATCH($A$1,[1]characters!$1:$1,0)+1),MATCH(W$1,[1]characters!$1:$1,0)-MATCH($A$1,[1]characters!$1:$1,0)+1,FALSE)</f>
        <v>orochi</v>
      </c>
      <c r="X24" s="5" t="str">
        <f ca="1">VLOOKUP(W24,[1]character_tribe_i18n!$A:$H,3,FALSE)</f>
        <v>オロチ一族</v>
      </c>
      <c r="Y24" s="53" t="str">
        <f ca="1">VLOOKUP($A24,OFFSET([1]characters!$A$1,0,0,COUNTA([1]characters!$A:$A),MATCH(Y$1,[1]characters!$1:$1,0)-MATCH($A$1,[1]characters!$1:$1,0)+1),MATCH(Y$1,[1]characters!$1:$1,0)-MATCH($A$1,[1]characters!$1:$1,0)+1,FALSE)</f>
        <v>none</v>
      </c>
      <c r="Z24" s="5" t="str">
        <f ca="1">VLOOKUP(Y24,[1]character_tribe_i18n!$A:$H,3,FALSE)</f>
        <v>種族なし</v>
      </c>
      <c r="AA24" s="10">
        <f ca="1">VLOOKUP(W24,[1]character_tribe_i18n!$A:$H,4,FALSE)</f>
        <v>1</v>
      </c>
      <c r="AB24" s="10">
        <f ca="1">VLOOKUP(W24,[1]character_tribe_i18n!$A:$H,5,FALSE)</f>
        <v>1</v>
      </c>
      <c r="AC24" s="10">
        <f ca="1">VLOOKUP(W24,[1]character_tribe_i18n!$A:$H,6,FALSE)</f>
        <v>1</v>
      </c>
      <c r="AD24" s="10">
        <f ca="1">VLOOKUP(W24,[1]character_tribe_i18n!$A:$H,7,FALSE)</f>
        <v>1</v>
      </c>
      <c r="AE24" s="187" t="s">
        <v>347</v>
      </c>
      <c r="AF24" s="58" t="str">
        <f ca="1">IF(AE24="NULL","",VLOOKUP($AE24,OFFSET([1]characters!$A$1,0,0,COUNTA([1]characters!$A:$A),MATCH(AF$1,[1]characters!$1:$1,0)-MATCH($A$1,[1]characters!$1:$1,0)+1),MATCH(AF$1,[1]characters!$1:$1,0)-MATCH($A$1,[1]characters!$1:$1,0)+1,FALSE))</f>
        <v/>
      </c>
      <c r="AG24" s="187">
        <v>1573</v>
      </c>
      <c r="AH24" s="58" t="str">
        <f ca="1">VLOOKUP($AG24,OFFSET([1]characters!$A$1,0,0,COUNTA([1]characters!$A:$A),MATCH(AH$1,[1]characters!$1:$1,0)-MATCH($A$1,[1]characters!$1:$1,0)+1),MATCH(AH$1,[1]characters!$1:$1,0)-MATCH($A$1,[1]characters!$1:$1,0)+1,FALSE)</f>
        <v>Scorpius01</v>
      </c>
      <c r="AI24" s="10" t="str">
        <f>IF(AE24="NULL","NULL",VLOOKUP(G24,ビット!$A$2:$B$7,2))</f>
        <v>NULL</v>
      </c>
      <c r="AJ24" s="6">
        <v>2</v>
      </c>
      <c r="AK24" s="7" t="str">
        <f t="shared" si="11"/>
        <v>普通</v>
      </c>
      <c r="AL24" s="10" t="str">
        <f ca="1">INDEX(経験値!$A$1:$I$21,MATCH(H24,経験値!$A$1:$A$21,FALSE),MATCH(G24,経験値!$A$1:$I$1,FALSE))</f>
        <v>required_exp_200</v>
      </c>
      <c r="AM24" s="8">
        <f ca="1">VLOOKUP(G24,経験値!$A$28:$B$32,2)</f>
        <v>6400</v>
      </c>
      <c r="AN24" s="16">
        <f ca="1">VLOOKUP(G24,ビット!$G$2:$H$7,2)</f>
        <v>900</v>
      </c>
      <c r="AO24" s="41"/>
      <c r="AP24" s="63">
        <v>1573</v>
      </c>
      <c r="AQ24" s="53" t="str">
        <f ca="1">VLOOKUP($AP24,OFFSET(unit_skills!$A$1,0,0,COUNTA(unit_skills!$A:$A),MATCH(AQ$1,unit_skills!$1:$1,0)-MATCH($AP$1,unit_skills!$1:$1,0)+1),MATCH(AQ$1,unit_skills!$1:$1,0)-MATCH($AP$1,unit_skills!$1:$1,0)+1,FALSE)</f>
        <v>Scorpius01スキル</v>
      </c>
      <c r="AR24" s="53" t="str">
        <f ca="1">VLOOKUP($AP24,OFFSET(unit_skills!$A$1,0,0,COUNTA(unit_skills!$A:$A),MATCH(AR$1,unit_skills!$1:$1,0)-MATCH($AP$1,unit_skills!$1:$1,0)+1),MATCH(AR$1,unit_skills!$1:$1,0)-MATCH($AP$1,unit_skills!$1:$1,0)+1,FALSE)</f>
        <v>赤・緑・青パネルを最大各4個ずつ黄パネルに変換+1ターン赤・緑・黄属性ユニットのタップ回数を1増加し、CP生成短縮(効果特大)</v>
      </c>
      <c r="AS24" s="53">
        <f ca="1">VLOOKUP($AP24,OFFSET(unit_skills!$A$1,0,0,COUNTA(unit_skills!$A:$A),MATCH(AS$1,unit_skills!$1:$1,0)-MATCH($AP$1,unit_skills!$1:$1,0)+1),MATCH(AS$1,unit_skills!$1:$1,0)-MATCH($AP$1,unit_skills!$1:$1,0)+1,FALSE)</f>
        <v>0</v>
      </c>
      <c r="AT24" s="63">
        <v>1573</v>
      </c>
      <c r="AU24" s="53" t="str">
        <f ca="1">VLOOKUP($AT24,OFFSET(crash_skills!$A$1,0,0,COUNTA(crash_skills!$A:$A),MATCH(AU$1,crash_skills!$1:$1,0)-MATCH($AT$1,crash_skills!$1:$1,0)+1),MATCH(AU$1,crash_skills!$1:$1,0)-MATCH($AT$1,crash_skills!$1:$1,0)+1,FALSE)</f>
        <v>Scorpius01スキル</v>
      </c>
      <c r="AV24" s="53" t="str">
        <f ca="1">VLOOKUP($AT24,OFFSET(crash_skills!$A$1,0,0,COUNTA(crash_skills!$A:$A),MATCH(AV$1,crash_skills!$1:$1,0)-MATCH($AT$1,crash_skills!$1:$1,0)+1),MATCH(AV$1,crash_skills!$1:$1,0)-MATCH($AT$1,crash_skills!$1:$1,0)+1,FALSE)</f>
        <v>自身のHPの最大値に比例して_x000D_1体に特大ダメージ</v>
      </c>
      <c r="AW24" s="53">
        <f ca="1">VLOOKUP($AT24,OFFSET(crash_skills!$A$1,0,0,COUNTA(crash_skills!$A:$A),MATCH(AW$1,crash_skills!$1:$1,0)-MATCH($AT$1,crash_skills!$1:$1,0)+1),MATCH(AW$1,crash_skills!$1:$1,0)-MATCH($AT$1,crash_skills!$1:$1,0)+1,FALSE)</f>
        <v>0</v>
      </c>
      <c r="AX24" s="54">
        <f ca="1">VLOOKUP($A24,OFFSET([1]characters!$A$1,0,0,COUNTA([1]characters!$A:$A),MATCH(AX$1,[1]characters!$1:$1,0)-MATCH($A$1,[1]characters!$1:$1,0)+1),MATCH(AX$1,[1]characters!$1:$1,0)-MATCH($A$1,[1]characters!$1:$1,0)+1,FALSE)</f>
        <v>1</v>
      </c>
      <c r="AY24" s="64">
        <v>0.93799999999999994</v>
      </c>
      <c r="AZ24" s="64">
        <v>1.38</v>
      </c>
      <c r="BA24" s="64">
        <v>0</v>
      </c>
      <c r="BB24" s="64">
        <v>1.3</v>
      </c>
      <c r="BC24" s="10">
        <f ca="1">INDEX('RC6SV'!$A$1:$G$21,MATCH(H24,'RC6SV'!$A$1:$A$21,FALSE),MATCH(G24,'RC6SV'!$A$1:$G$1,FALSE))</f>
        <v>9000</v>
      </c>
      <c r="BD24" s="44">
        <f t="shared" ca="1" si="12"/>
        <v>9000</v>
      </c>
      <c r="BE24" s="10">
        <f t="shared" ca="1" si="3"/>
        <v>0</v>
      </c>
      <c r="BF24" s="10">
        <f t="shared" ca="1" si="4"/>
        <v>1</v>
      </c>
      <c r="BG24" s="15">
        <f ca="1">IF($BE24&lt;=0,ROUND(BK24*0.5,0), ROUND($BE24*S24*AA24*J24*AY24*0.8*[1]ステータス!$B$2,0))</f>
        <v>3122</v>
      </c>
      <c r="BH24" s="15">
        <f ca="1">IF($BE24&lt;=0,ROUND(BL24*0.5,0), ROUND($BE24*T24*AB24*K24*AZ24*0.8*[1]ステータス!$C$2,0))</f>
        <v>1552</v>
      </c>
      <c r="BI24" s="15">
        <f ca="1">IF($BE24&lt;=0,ROUND(BM24*0.5,0), ROUND($BE24*U24*AC24*L24*BA24*0.8*[1]ステータス!$D$2,0))</f>
        <v>0</v>
      </c>
      <c r="BJ24" s="15">
        <f ca="1">IF($BE24&lt;=0,ROUND(BN24*0.5,0), ROUND($BE24*V24*AD24*M24*BB24*0.8*[1]ステータス!$E$2,0))</f>
        <v>1024</v>
      </c>
      <c r="BK24" s="10">
        <f ca="1">ROUND(BD24*S24*AA24*J24*AY24*[1]ステータス!$B$2,0)</f>
        <v>6243</v>
      </c>
      <c r="BL24" s="10">
        <f ca="1">ROUND(BD24*T24*AB24*K24*AZ24*[1]ステータス!$C$2,0)</f>
        <v>3104</v>
      </c>
      <c r="BM24" s="10">
        <f ca="1">ROUND(BD24*U24*AC24*L24*BA24*[1]ステータス!$D$2,0)</f>
        <v>0</v>
      </c>
      <c r="BN24" s="10">
        <f ca="1">ROUND(BD24*V24*AD24*M24*BB24*[1]ステータス!$E$2,0)</f>
        <v>2048</v>
      </c>
      <c r="BO24" s="9">
        <v>0</v>
      </c>
      <c r="BP24" s="9">
        <v>1</v>
      </c>
      <c r="BQ24" s="36" t="s">
        <v>47</v>
      </c>
      <c r="BR24" s="9">
        <f ca="1">VLOOKUP(H24,[2]ghosts_label!$A$2:$B$19,2,FALSE)</f>
        <v>700</v>
      </c>
    </row>
    <row r="25" spans="1:70" ht="26" customHeight="1" x14ac:dyDescent="0.15">
      <c r="A25" s="186">
        <v>1574</v>
      </c>
      <c r="B25" s="53" t="str">
        <f ca="1">VLOOKUP($A25,OFFSET([1]characters!$A$1,0,0,COUNTA([1]characters!$A:$A),MATCH(B$1,[1]characters!$1:$1,0)-MATCH($A$1,[1]characters!$1:$1,0)+1),MATCH(B$1,[1]characters!$1:$1,0)-MATCH($A$1,[1]characters!$1:$1,0)+1,FALSE)</f>
        <v>Cancer01</v>
      </c>
      <c r="C25" s="53">
        <f ca="1">VLOOKUP($A25,OFFSET([1]characters!$A$1,0,0,COUNTA([1]characters!$A:$A),MATCH(C$1,[1]characters!$1:$1,0)-MATCH($A$1,[1]characters!$1:$1,0)+1),MATCH(C$1,[1]characters!$1:$1,0)-MATCH($A$1,[1]characters!$1:$1,0)+1,FALSE)</f>
        <v>0</v>
      </c>
      <c r="D25" s="53">
        <f ca="1">VLOOKUP($A25,OFFSET([1]characters!$A$1,0,0,COUNTA([1]characters!$A:$A),MATCH(D$1,[1]characters!$1:$1,0)-MATCH($A$1,[1]characters!$1:$1,0)+1),MATCH(D$1,[1]characters!$1:$1,0)-MATCH($A$1,[1]characters!$1:$1,0)+1,FALSE)</f>
        <v>0</v>
      </c>
      <c r="E25" s="53">
        <f ca="1">VLOOKUP($A25,OFFSET([1]characters!$A$1,0,0,COUNTA([1]characters!$A:$A),MATCH(E$1,[1]characters!$1:$1,0)-MATCH($A$1,[1]characters!$1:$1,0)+1),MATCH(E$1,[1]characters!$1:$1,0)-MATCH($A$1,[1]characters!$1:$1,0)+1,FALSE)</f>
        <v>0</v>
      </c>
      <c r="F25" s="53">
        <f ca="1">VLOOKUP($A25,OFFSET([1]characters!$A$1,0,0,COUNTA([1]characters!$A:$A),MATCH(F$1,[1]characters!$1:$1,0)-MATCH($A$1,[1]characters!$1:$1,0)+1),MATCH(F$1,[1]characters!$1:$1,0)-MATCH($A$1,[1]characters!$1:$1,0)+1,FALSE)</f>
        <v>0</v>
      </c>
      <c r="G25" s="53">
        <f ca="1">VLOOKUP($A25,OFFSET([1]characters!$A$1,0,0,COUNTA([1]characters!$A:$A),MATCH(G$1,[1]characters!$1:$1,0)-MATCH($A$1,[1]characters!$1:$1,0)+1),MATCH(G$1,[1]characters!$1:$1,0)-MATCH($A$1,[1]characters!$1:$1,0)+1,FALSE)</f>
        <v>5</v>
      </c>
      <c r="H25" s="53" t="str">
        <f ca="1">VLOOKUP($A25,OFFSET([1]characters!$A$1,0,0,COUNTA([1]characters!$A:$A),MATCH(H$1,[1]characters!$1:$1,0)-MATCH($A$1,[1]characters!$1:$1,0)+1),MATCH(H$1,[1]characters!$1:$1,0)-MATCH($A$1,[1]characters!$1:$1,0)+1,FALSE)</f>
        <v>PremiumS</v>
      </c>
      <c r="I25" s="53" t="str">
        <f ca="1">VLOOKUP($A25,OFFSET([1]characters!$A$1,0,0,COUNTA([1]characters!$A:$A),MATCH(I$1,[1]characters!$1:$1,0)-MATCH($A$1,[1]characters!$1:$1,0)+1),MATCH(I$1,[1]characters!$1:$1,0)-MATCH($A$1,[1]characters!$1:$1,0)+1,FALSE)</f>
        <v>yellow</v>
      </c>
      <c r="J25" s="10">
        <f ca="1">VLOOKUP(I25,[1]属性!$A:$E,2,FALSE)</f>
        <v>0.98</v>
      </c>
      <c r="K25" s="10">
        <f ca="1">VLOOKUP(I25,[1]属性!$A:$E,3,FALSE)</f>
        <v>1.01</v>
      </c>
      <c r="L25" s="10">
        <f ca="1">VLOOKUP(I25,[1]属性!$A:$E,4,FALSE)</f>
        <v>1</v>
      </c>
      <c r="M25" s="10">
        <f ca="1">VLOOKUP(I25,[1]属性!$A:$E,5,FALSE)</f>
        <v>1.01</v>
      </c>
      <c r="N25" s="10">
        <f ca="1">INDEX(コスト!$A$1:$I$21,MATCH(H25,コスト!$A$1:$A$21,FALSE),MATCH(G25,コスト!$A$1:$I$1,FALSE))</f>
        <v>30</v>
      </c>
      <c r="O25" s="10">
        <f ca="1">INDEX(レベル!$A$1:$I$22,MATCH(H25,レベル!$A$1:$A$22,FALSE),MATCH(G25,レベル!$A$1:$I$1,FALSE))</f>
        <v>80</v>
      </c>
      <c r="P25" s="44">
        <f t="shared" ca="1" si="10"/>
        <v>75</v>
      </c>
      <c r="Q25" s="53" t="str">
        <f ca="1">VLOOKUP($A25,OFFSET([1]characters!$A$1,0,0,COUNTA([1]characters!$A:$A),MATCH(Q$1,[1]characters!$1:$1,0)-MATCH($A$1,[1]characters!$1:$1,0)+1),MATCH(Q$1,[1]characters!$1:$1,0)-MATCH($A$1,[1]characters!$1:$1,0)+1,FALSE)</f>
        <v>technical</v>
      </c>
      <c r="R25" s="5" t="str">
        <f ca="1">VLOOKUP(Q25,[1]character_type_i18n!$A:$H,3,FALSE)</f>
        <v>テクニカルタイプ</v>
      </c>
      <c r="S25" s="10">
        <f ca="1">VLOOKUP(Q25,[1]character_type_i18n!$A:$H,4,FALSE)</f>
        <v>0.9</v>
      </c>
      <c r="T25" s="10">
        <f ca="1">VLOOKUP(Q25,[1]character_type_i18n!$A:$H,5,FALSE)</f>
        <v>0.9</v>
      </c>
      <c r="U25" s="10">
        <f ca="1">VLOOKUP(Q25,[1]character_type_i18n!$A:$H,6,FALSE)</f>
        <v>1</v>
      </c>
      <c r="V25" s="10">
        <f ca="1">VLOOKUP(Q25,[1]character_type_i18n!$A:$H,7,FALSE)</f>
        <v>0.9</v>
      </c>
      <c r="W25" s="53" t="str">
        <f ca="1">VLOOKUP($A25,OFFSET([1]characters!$A$1,0,0,COUNTA([1]characters!$A:$A),MATCH(W$1,[1]characters!$1:$1,0)-MATCH($A$1,[1]characters!$1:$1,0)+1),MATCH(W$1,[1]characters!$1:$1,0)-MATCH($A$1,[1]characters!$1:$1,0)+1,FALSE)</f>
        <v>orochi</v>
      </c>
      <c r="X25" s="5" t="str">
        <f ca="1">VLOOKUP(W25,[1]character_tribe_i18n!$A:$H,3,FALSE)</f>
        <v>オロチ一族</v>
      </c>
      <c r="Y25" s="53" t="str">
        <f ca="1">VLOOKUP($A25,OFFSET([1]characters!$A$1,0,0,COUNTA([1]characters!$A:$A),MATCH(Y$1,[1]characters!$1:$1,0)-MATCH($A$1,[1]characters!$1:$1,0)+1),MATCH(Y$1,[1]characters!$1:$1,0)-MATCH($A$1,[1]characters!$1:$1,0)+1,FALSE)</f>
        <v>none</v>
      </c>
      <c r="Z25" s="5" t="str">
        <f ca="1">VLOOKUP(Y25,[1]character_tribe_i18n!$A:$H,3,FALSE)</f>
        <v>種族なし</v>
      </c>
      <c r="AA25" s="10">
        <f ca="1">VLOOKUP(W25,[1]character_tribe_i18n!$A:$H,4,FALSE)</f>
        <v>1</v>
      </c>
      <c r="AB25" s="10">
        <f ca="1">VLOOKUP(W25,[1]character_tribe_i18n!$A:$H,5,FALSE)</f>
        <v>1</v>
      </c>
      <c r="AC25" s="10">
        <f ca="1">VLOOKUP(W25,[1]character_tribe_i18n!$A:$H,6,FALSE)</f>
        <v>1</v>
      </c>
      <c r="AD25" s="10">
        <f ca="1">VLOOKUP(W25,[1]character_tribe_i18n!$A:$H,7,FALSE)</f>
        <v>1</v>
      </c>
      <c r="AE25" s="187" t="s">
        <v>47</v>
      </c>
      <c r="AF25" s="58" t="str">
        <f ca="1">IF(AE25="NULL","",VLOOKUP($AE25,OFFSET([1]characters!$A$1,0,0,COUNTA([1]characters!$A:$A),MATCH(AF$1,[1]characters!$1:$1,0)-MATCH($A$1,[1]characters!$1:$1,0)+1),MATCH(AF$1,[1]characters!$1:$1,0)-MATCH($A$1,[1]characters!$1:$1,0)+1,FALSE))</f>
        <v/>
      </c>
      <c r="AG25" s="187">
        <v>1574</v>
      </c>
      <c r="AH25" s="58" t="str">
        <f ca="1">VLOOKUP($AG25,OFFSET([1]characters!$A$1,0,0,COUNTA([1]characters!$A:$A),MATCH(AH$1,[1]characters!$1:$1,0)-MATCH($A$1,[1]characters!$1:$1,0)+1),MATCH(AH$1,[1]characters!$1:$1,0)-MATCH($A$1,[1]characters!$1:$1,0)+1,FALSE)</f>
        <v>Cancer01</v>
      </c>
      <c r="AI25" s="10" t="str">
        <f>IF(AE25="NULL","NULL",VLOOKUP(G25,ビット!$A$2:$B$7,2))</f>
        <v>NULL</v>
      </c>
      <c r="AJ25" s="6">
        <v>2</v>
      </c>
      <c r="AK25" s="7" t="str">
        <f t="shared" si="11"/>
        <v>普通</v>
      </c>
      <c r="AL25" s="10" t="str">
        <f ca="1">INDEX(経験値!$A$1:$I$21,MATCH(H25,経験値!$A$1:$A$21,FALSE),MATCH(G25,経験値!$A$1:$I$1,FALSE))</f>
        <v>required_exp_200</v>
      </c>
      <c r="AM25" s="8">
        <f ca="1">VLOOKUP(G25,経験値!$A$28:$B$32,2)</f>
        <v>6400</v>
      </c>
      <c r="AN25" s="16">
        <f ca="1">VLOOKUP(G25,ビット!$G$2:$H$7,2)</f>
        <v>900</v>
      </c>
      <c r="AO25" s="41"/>
      <c r="AP25" s="63">
        <v>1574</v>
      </c>
      <c r="AQ25" s="53" t="str">
        <f ca="1">VLOOKUP($AP25,OFFSET(unit_skills!$A$1,0,0,COUNTA(unit_skills!$A:$A),MATCH(AQ$1,unit_skills!$1:$1,0)-MATCH($AP$1,unit_skills!$1:$1,0)+1),MATCH(AQ$1,unit_skills!$1:$1,0)-MATCH($AP$1,unit_skills!$1:$1,0)+1,FALSE)</f>
        <v>Cancer01スキル</v>
      </c>
      <c r="AR25" s="53" t="str">
        <f ca="1">VLOOKUP($AP25,OFFSET(unit_skills!$A$1,0,0,COUNTA(unit_skills!$A:$A),MATCH(AR$1,unit_skills!$1:$1,0)-MATCH($AP$1,unit_skills!$1:$1,0)+1),MATCH(AR$1,unit_skills!$1:$1,0)-MATCH($AP$1,unit_skills!$1:$1,0)+1,FALSE)</f>
        <v>赤・緑・青パネルを最大1個ずつハートボムパネル(大)に変換+3ターンHPを回復し、青・ハートパネルの出現率をDOWN</v>
      </c>
      <c r="AS25" s="53">
        <f ca="1">VLOOKUP($AP25,OFFSET(unit_skills!$A$1,0,0,COUNTA(unit_skills!$A:$A),MATCH(AS$1,unit_skills!$1:$1,0)-MATCH($AP$1,unit_skills!$1:$1,0)+1),MATCH(AS$1,unit_skills!$1:$1,0)-MATCH($AP$1,unit_skills!$1:$1,0)+1,FALSE)</f>
        <v>0</v>
      </c>
      <c r="AT25" s="63">
        <v>1574</v>
      </c>
      <c r="AU25" s="53" t="str">
        <f ca="1">VLOOKUP($AT25,OFFSET(crash_skills!$A$1,0,0,COUNTA(crash_skills!$A:$A),MATCH(AU$1,crash_skills!$1:$1,0)-MATCH($AT$1,crash_skills!$1:$1,0)+1),MATCH(AU$1,crash_skills!$1:$1,0)-MATCH($AT$1,crash_skills!$1:$1,0)+1,FALSE)</f>
        <v>Cancer01スキル</v>
      </c>
      <c r="AV25" s="53" t="str">
        <f ca="1">VLOOKUP($AT25,OFFSET(crash_skills!$A$1,0,0,COUNTA(crash_skills!$A:$A),MATCH(AV$1,crash_skills!$1:$1,0)-MATCH($AT$1,crash_skills!$1:$1,0)+1),MATCH(AV$1,crash_skills!$1:$1,0)-MATCH($AT$1,crash_skills!$1:$1,0)+1,FALSE)</f>
        <v>1体に3回ダメージ</v>
      </c>
      <c r="AW25" s="53">
        <f ca="1">VLOOKUP($AT25,OFFSET(crash_skills!$A$1,0,0,COUNTA(crash_skills!$A:$A),MATCH(AW$1,crash_skills!$1:$1,0)-MATCH($AT$1,crash_skills!$1:$1,0)+1),MATCH(AW$1,crash_skills!$1:$1,0)-MATCH($AT$1,crash_skills!$1:$1,0)+1,FALSE)</f>
        <v>0</v>
      </c>
      <c r="AX25" s="54">
        <f ca="1">VLOOKUP($A25,OFFSET([1]characters!$A$1,0,0,COUNTA([1]characters!$A:$A),MATCH(AX$1,[1]characters!$1:$1,0)-MATCH($A$1,[1]characters!$1:$1,0)+1),MATCH(AX$1,[1]characters!$1:$1,0)-MATCH($A$1,[1]characters!$1:$1,0)+1,FALSE)</f>
        <v>1</v>
      </c>
      <c r="AY25" s="64">
        <v>1.0582</v>
      </c>
      <c r="AZ25" s="64">
        <v>1.3115000000000001</v>
      </c>
      <c r="BA25" s="64">
        <v>0</v>
      </c>
      <c r="BB25" s="64">
        <v>1.4726999999999999</v>
      </c>
      <c r="BC25" s="10">
        <f ca="1">INDEX('RC6SV'!$A$1:$G$21,MATCH(H25,'RC6SV'!$A$1:$A$21,FALSE),MATCH(G25,'RC6SV'!$A$1:$G$1,FALSE))</f>
        <v>9000</v>
      </c>
      <c r="BD25" s="44">
        <f t="shared" ca="1" si="12"/>
        <v>9000</v>
      </c>
      <c r="BE25" s="10">
        <f t="shared" ca="1" si="3"/>
        <v>0</v>
      </c>
      <c r="BF25" s="10">
        <f t="shared" ca="1" si="4"/>
        <v>1</v>
      </c>
      <c r="BG25" s="15">
        <f ca="1">IF($BE25&lt;=0,ROUND(BK25*0.5,0), ROUND($BE25*S25*AA25*J25*AY25*0.8*[1]ステータス!$B$2,0))</f>
        <v>2100</v>
      </c>
      <c r="BH25" s="15">
        <f ca="1">IF($BE25&lt;=0,ROUND(BL25*0.5,0), ROUND($BE25*T25*AB25*K25*AZ25*0.8*[1]ステータス!$C$2,0))</f>
        <v>1610</v>
      </c>
      <c r="BI25" s="15">
        <f ca="1">IF($BE25&lt;=0,ROUND(BM25*0.5,0), ROUND($BE25*U25*AC25*L25*BA25*0.8*[1]ステータス!$D$2,0))</f>
        <v>0</v>
      </c>
      <c r="BJ25" s="15">
        <f ca="1">IF($BE25&lt;=0,ROUND(BN25*0.5,0), ROUND($BE25*V25*AD25*M25*BB25*0.8*[1]ステータス!$E$2,0))</f>
        <v>1506</v>
      </c>
      <c r="BK25" s="10">
        <f ca="1">ROUND(BD25*S25*AA25*J25*AY25*[1]ステータス!$B$2,0)</f>
        <v>4200</v>
      </c>
      <c r="BL25" s="10">
        <f ca="1">ROUND(BD25*T25*AB25*K25*AZ25*[1]ステータス!$C$2,0)</f>
        <v>3219</v>
      </c>
      <c r="BM25" s="10">
        <f ca="1">ROUND(BD25*U25*AC25*L25*BA25*[1]ステータス!$D$2,0)</f>
        <v>0</v>
      </c>
      <c r="BN25" s="10">
        <f ca="1">ROUND(BD25*V25*AD25*M25*BB25*[1]ステータス!$E$2,0)</f>
        <v>3012</v>
      </c>
      <c r="BO25" s="9">
        <v>0</v>
      </c>
      <c r="BP25" s="9">
        <v>1</v>
      </c>
      <c r="BQ25" s="9" t="s">
        <v>47</v>
      </c>
      <c r="BR25" s="9">
        <f ca="1">VLOOKUP(H25,[2]ghosts_label!$A$2:$B$19,2,FALSE)</f>
        <v>700</v>
      </c>
    </row>
    <row r="26" spans="1:70" ht="26" customHeight="1" x14ac:dyDescent="0.15">
      <c r="A26" s="186">
        <v>1575</v>
      </c>
      <c r="B26" s="53" t="str">
        <f ca="1">VLOOKUP($A26,OFFSET([1]characters!$A$1,0,0,COUNTA([1]characters!$A:$A),MATCH(B$1,[1]characters!$1:$1,0)-MATCH($A$1,[1]characters!$1:$1,0)+1),MATCH(B$1,[1]characters!$1:$1,0)-MATCH($A$1,[1]characters!$1:$1,0)+1,FALSE)</f>
        <v>Aquarius01</v>
      </c>
      <c r="C26" s="53">
        <f ca="1">VLOOKUP($A26,OFFSET([1]characters!$A$1,0,0,COUNTA([1]characters!$A:$A),MATCH(C$1,[1]characters!$1:$1,0)-MATCH($A$1,[1]characters!$1:$1,0)+1),MATCH(C$1,[1]characters!$1:$1,0)-MATCH($A$1,[1]characters!$1:$1,0)+1,FALSE)</f>
        <v>0</v>
      </c>
      <c r="D26" s="53">
        <f ca="1">VLOOKUP($A26,OFFSET([1]characters!$A$1,0,0,COUNTA([1]characters!$A:$A),MATCH(D$1,[1]characters!$1:$1,0)-MATCH($A$1,[1]characters!$1:$1,0)+1),MATCH(D$1,[1]characters!$1:$1,0)-MATCH($A$1,[1]characters!$1:$1,0)+1,FALSE)</f>
        <v>0</v>
      </c>
      <c r="E26" s="53">
        <f ca="1">VLOOKUP($A26,OFFSET([1]characters!$A$1,0,0,COUNTA([1]characters!$A:$A),MATCH(E$1,[1]characters!$1:$1,0)-MATCH($A$1,[1]characters!$1:$1,0)+1),MATCH(E$1,[1]characters!$1:$1,0)-MATCH($A$1,[1]characters!$1:$1,0)+1,FALSE)</f>
        <v>0</v>
      </c>
      <c r="F26" s="53">
        <f ca="1">VLOOKUP($A26,OFFSET([1]characters!$A$1,0,0,COUNTA([1]characters!$A:$A),MATCH(F$1,[1]characters!$1:$1,0)-MATCH($A$1,[1]characters!$1:$1,0)+1),MATCH(F$1,[1]characters!$1:$1,0)-MATCH($A$1,[1]characters!$1:$1,0)+1,FALSE)</f>
        <v>0</v>
      </c>
      <c r="G26" s="53">
        <f ca="1">VLOOKUP($A26,OFFSET([1]characters!$A$1,0,0,COUNTA([1]characters!$A:$A),MATCH(G$1,[1]characters!$1:$1,0)-MATCH($A$1,[1]characters!$1:$1,0)+1),MATCH(G$1,[1]characters!$1:$1,0)-MATCH($A$1,[1]characters!$1:$1,0)+1,FALSE)</f>
        <v>5</v>
      </c>
      <c r="H26" s="53" t="str">
        <f ca="1">VLOOKUP($A26,OFFSET([1]characters!$A$1,0,0,COUNTA([1]characters!$A:$A),MATCH(H$1,[1]characters!$1:$1,0)-MATCH($A$1,[1]characters!$1:$1,0)+1),MATCH(H$1,[1]characters!$1:$1,0)-MATCH($A$1,[1]characters!$1:$1,0)+1,FALSE)</f>
        <v>DropWizS</v>
      </c>
      <c r="I26" s="53" t="str">
        <f ca="1">VLOOKUP($A26,OFFSET([1]characters!$A$1,0,0,COUNTA([1]characters!$A:$A),MATCH(I$1,[1]characters!$1:$1,0)-MATCH($A$1,[1]characters!$1:$1,0)+1),MATCH(I$1,[1]characters!$1:$1,0)-MATCH($A$1,[1]characters!$1:$1,0)+1,FALSE)</f>
        <v>blue</v>
      </c>
      <c r="J26" s="10">
        <f ca="1">VLOOKUP(I26,[1]属性!$A:$E,2,FALSE)</f>
        <v>1</v>
      </c>
      <c r="K26" s="10">
        <f ca="1">VLOOKUP(I26,[1]属性!$A:$E,3,FALSE)</f>
        <v>0.98</v>
      </c>
      <c r="L26" s="10">
        <f ca="1">VLOOKUP(I26,[1]属性!$A:$E,4,FALSE)</f>
        <v>1</v>
      </c>
      <c r="M26" s="10">
        <f ca="1">VLOOKUP(I26,[1]属性!$A:$E,5,FALSE)</f>
        <v>1.02</v>
      </c>
      <c r="N26" s="10">
        <f ca="1">INDEX(コスト!$A$1:$I$21,MATCH(H26,コスト!$A$1:$A$21,FALSE),MATCH(G26,コスト!$A$1:$I$1,FALSE))</f>
        <v>30</v>
      </c>
      <c r="O26" s="10">
        <f ca="1">INDEX(レベル!$A$1:$I$22,MATCH(H26,レベル!$A$1:$A$22,FALSE),MATCH(G26,レベル!$A$1:$I$1,FALSE))</f>
        <v>80</v>
      </c>
      <c r="P26" s="44">
        <f t="shared" ca="1" si="10"/>
        <v>75</v>
      </c>
      <c r="Q26" s="53" t="str">
        <f ca="1">VLOOKUP($A26,OFFSET([1]characters!$A$1,0,0,COUNTA([1]characters!$A:$A),MATCH(Q$1,[1]characters!$1:$1,0)-MATCH($A$1,[1]characters!$1:$1,0)+1),MATCH(Q$1,[1]characters!$1:$1,0)-MATCH($A$1,[1]characters!$1:$1,0)+1,FALSE)</f>
        <v>attack</v>
      </c>
      <c r="R26" s="5" t="str">
        <f ca="1">VLOOKUP(Q26,[1]character_type_i18n!$A:$H,3,FALSE)</f>
        <v>攻撃タイプ</v>
      </c>
      <c r="S26" s="10">
        <f ca="1">VLOOKUP(Q26,[1]character_type_i18n!$A:$H,4,FALSE)</f>
        <v>1</v>
      </c>
      <c r="T26" s="10">
        <f ca="1">VLOOKUP(Q26,[1]character_type_i18n!$A:$H,5,FALSE)</f>
        <v>1.33</v>
      </c>
      <c r="U26" s="10">
        <f ca="1">VLOOKUP(Q26,[1]character_type_i18n!$A:$H,6,FALSE)</f>
        <v>1</v>
      </c>
      <c r="V26" s="10">
        <f ca="1">VLOOKUP(Q26,[1]character_type_i18n!$A:$H,7,FALSE)</f>
        <v>0.67</v>
      </c>
      <c r="W26" s="53" t="str">
        <f ca="1">VLOOKUP($A26,OFFSET([1]characters!$A$1,0,0,COUNTA([1]characters!$A:$A),MATCH(W$1,[1]characters!$1:$1,0)-MATCH($A$1,[1]characters!$1:$1,0)+1),MATCH(W$1,[1]characters!$1:$1,0)-MATCH($A$1,[1]characters!$1:$1,0)+1,FALSE)</f>
        <v>human</v>
      </c>
      <c r="X26" s="5" t="str">
        <f ca="1">VLOOKUP(W26,[1]character_tribe_i18n!$A:$H,3,FALSE)</f>
        <v>ヒューマン</v>
      </c>
      <c r="Y26" s="53" t="str">
        <f ca="1">VLOOKUP($A26,OFFSET([1]characters!$A$1,0,0,COUNTA([1]characters!$A:$A),MATCH(Y$1,[1]characters!$1:$1,0)-MATCH($A$1,[1]characters!$1:$1,0)+1),MATCH(Y$1,[1]characters!$1:$1,0)-MATCH($A$1,[1]characters!$1:$1,0)+1,FALSE)</f>
        <v>hero</v>
      </c>
      <c r="Z26" s="5" t="str">
        <f ca="1">VLOOKUP(Y26,[1]character_tribe_i18n!$A:$H,3,FALSE)</f>
        <v>ヒーロー</v>
      </c>
      <c r="AA26" s="10">
        <f ca="1">VLOOKUP(W26,[1]character_tribe_i18n!$A:$H,4,FALSE)</f>
        <v>0.94</v>
      </c>
      <c r="AB26" s="10">
        <f ca="1">VLOOKUP(W26,[1]character_tribe_i18n!$A:$H,5,FALSE)</f>
        <v>0.99</v>
      </c>
      <c r="AC26" s="10">
        <f ca="1">VLOOKUP(W26,[1]character_tribe_i18n!$A:$H,6,FALSE)</f>
        <v>1</v>
      </c>
      <c r="AD26" s="10">
        <f ca="1">VLOOKUP(W26,[1]character_tribe_i18n!$A:$H,7,FALSE)</f>
        <v>1.07</v>
      </c>
      <c r="AE26" s="198">
        <v>1576</v>
      </c>
      <c r="AF26" s="58" t="str">
        <f ca="1">IF(AE26="NULL","",VLOOKUP($AE26,OFFSET([1]characters!$A$1,0,0,COUNTA([1]characters!$A:$A),MATCH(AF$1,[1]characters!$1:$1,0)-MATCH($A$1,[1]characters!$1:$1,0)+1),MATCH(AF$1,[1]characters!$1:$1,0)-MATCH($A$1,[1]characters!$1:$1,0)+1,FALSE))</f>
        <v>Aquarius02</v>
      </c>
      <c r="AG26" s="198">
        <v>1575</v>
      </c>
      <c r="AH26" s="58" t="str">
        <f ca="1">VLOOKUP($AG26,OFFSET([1]characters!$A$1,0,0,COUNTA([1]characters!$A:$A),MATCH(AH$1,[1]characters!$1:$1,0)-MATCH($A$1,[1]characters!$1:$1,0)+1),MATCH(AH$1,[1]characters!$1:$1,0)-MATCH($A$1,[1]characters!$1:$1,0)+1,FALSE)</f>
        <v>Aquarius01</v>
      </c>
      <c r="AI26" s="10">
        <f ca="1">IF(AE26="NULL","NULL",VLOOKUP(G26,ビット!$A$2:$B$7,2))</f>
        <v>200000</v>
      </c>
      <c r="AJ26" s="6">
        <v>2</v>
      </c>
      <c r="AK26" s="7" t="str">
        <f t="shared" si="11"/>
        <v>普通</v>
      </c>
      <c r="AL26" s="10" t="str">
        <f ca="1">INDEX(経験値!$A$1:$I$21,MATCH(H26,経験値!$A$1:$A$21,FALSE),MATCH(G26,経験値!$A$1:$I$1,FALSE))</f>
        <v>required_exp_200</v>
      </c>
      <c r="AM26" s="8">
        <f ca="1">VLOOKUP(G26,経験値!$A$28:$B$32,2)</f>
        <v>6400</v>
      </c>
      <c r="AN26" s="16">
        <f ca="1">VLOOKUP(G26,ビット!$G$2:$H$7,2)</f>
        <v>900</v>
      </c>
      <c r="AO26" s="41"/>
      <c r="AP26" s="63">
        <v>1575</v>
      </c>
      <c r="AQ26" s="53" t="str">
        <f ca="1">VLOOKUP($AP26,OFFSET(unit_skills!$A$1,0,0,COUNTA(unit_skills!$A:$A),MATCH(AQ$1,unit_skills!$1:$1,0)-MATCH($AP$1,unit_skills!$1:$1,0)+1),MATCH(AQ$1,unit_skills!$1:$1,0)-MATCH($AP$1,unit_skills!$1:$1,0)+1,FALSE)</f>
        <v>Aquarius01スキル</v>
      </c>
      <c r="AR26" s="53" t="str">
        <f ca="1">VLOOKUP($AP26,OFFSET(unit_skills!$A$1,0,0,COUNTA(unit_skills!$A:$A),MATCH(AR$1,unit_skills!$1:$1,0)-MATCH($AP$1,unit_skills!$1:$1,0)+1),MATCH(AR$1,unit_skills!$1:$1,0)-MATCH($AP$1,unit_skills!$1:$1,0)+1,FALSE)</f>
        <v>中心を赤・青ボムパネルに変換+1ターン自身のタップ回数を1増やす</v>
      </c>
      <c r="AS26" s="53">
        <f ca="1">VLOOKUP($AP26,OFFSET(unit_skills!$A$1,0,0,COUNTA(unit_skills!$A:$A),MATCH(AS$1,unit_skills!$1:$1,0)-MATCH($AP$1,unit_skills!$1:$1,0)+1),MATCH(AS$1,unit_skills!$1:$1,0)-MATCH($AP$1,unit_skills!$1:$1,0)+1,FALSE)</f>
        <v>0</v>
      </c>
      <c r="AT26" s="63">
        <v>1575</v>
      </c>
      <c r="AU26" s="53" t="str">
        <f ca="1">VLOOKUP($AT26,OFFSET(crash_skills!$A$1,0,0,COUNTA(crash_skills!$A:$A),MATCH(AU$1,crash_skills!$1:$1,0)-MATCH($AT$1,crash_skills!$1:$1,0)+1),MATCH(AU$1,crash_skills!$1:$1,0)-MATCH($AT$1,crash_skills!$1:$1,0)+1,FALSE)</f>
        <v>Aquarius01スキル</v>
      </c>
      <c r="AV26" s="53" t="str">
        <f ca="1">VLOOKUP($AT26,OFFSET(crash_skills!$A$1,0,0,COUNTA(crash_skills!$A:$A),MATCH(AV$1,crash_skills!$1:$1,0)-MATCH($AT$1,crash_skills!$1:$1,0)+1),MATCH(AV$1,crash_skills!$1:$1,0)-MATCH($AT$1,crash_skills!$1:$1,0)+1,FALSE)</f>
        <v>1体に大ダメージ+_x000D_フィーバーゲージ上昇</v>
      </c>
      <c r="AW26" s="53">
        <f ca="1">VLOOKUP($AT26,OFFSET(crash_skills!$A$1,0,0,COUNTA(crash_skills!$A:$A),MATCH(AW$1,crash_skills!$1:$1,0)-MATCH($AT$1,crash_skills!$1:$1,0)+1),MATCH(AW$1,crash_skills!$1:$1,0)-MATCH($AT$1,crash_skills!$1:$1,0)+1,FALSE)</f>
        <v>0</v>
      </c>
      <c r="AX26" s="54">
        <f ca="1">VLOOKUP($A26,OFFSET([1]characters!$A$1,0,0,COUNTA([1]characters!$A:$A),MATCH(AX$1,[1]characters!$1:$1,0)-MATCH($A$1,[1]characters!$1:$1,0)+1),MATCH(AX$1,[1]characters!$1:$1,0)-MATCH($A$1,[1]characters!$1:$1,0)+1,FALSE)</f>
        <v>1</v>
      </c>
      <c r="AY26" s="64">
        <v>0.98</v>
      </c>
      <c r="AZ26" s="64">
        <v>1.04</v>
      </c>
      <c r="BA26" s="64">
        <v>0</v>
      </c>
      <c r="BB26" s="64">
        <v>0.91249999999999998</v>
      </c>
      <c r="BC26" s="10">
        <f ca="1">INDEX('RC6SV'!$A$1:$G$21,MATCH(H26,'RC6SV'!$A$1:$A$21,FALSE),MATCH(G26,'RC6SV'!$A$1:$G$1,FALSE))</f>
        <v>9000</v>
      </c>
      <c r="BD26" s="44">
        <f t="shared" ca="1" si="12"/>
        <v>9000</v>
      </c>
      <c r="BE26" s="10">
        <f t="shared" ca="1" si="3"/>
        <v>0</v>
      </c>
      <c r="BF26" s="10">
        <f t="shared" ca="1" si="4"/>
        <v>1</v>
      </c>
      <c r="BG26" s="15">
        <f ca="1">IF($BE26&lt;=0,ROUND(BK26*0.5,0), ROUND($BE26*S26*AA26*J26*AY26*0.8*[1]ステータス!$B$2,0))</f>
        <v>2073</v>
      </c>
      <c r="BH26" s="15">
        <f ca="1">IF($BE26&lt;=0,ROUND(BL26*0.5,0), ROUND($BE26*T26*AB26*K26*AZ26*0.8*[1]ステータス!$C$2,0))</f>
        <v>1812</v>
      </c>
      <c r="BI26" s="15">
        <f ca="1">IF($BE26&lt;=0,ROUND(BM26*0.5,0), ROUND($BE26*U26*AC26*L26*BA26*0.8*[1]ステータス!$D$2,0))</f>
        <v>0</v>
      </c>
      <c r="BJ26" s="15">
        <f ca="1">IF($BE26&lt;=0,ROUND(BN26*0.5,0), ROUND($BE26*V26*AD26*M26*BB26*0.8*[1]ステータス!$E$2,0))</f>
        <v>751</v>
      </c>
      <c r="BK26" s="10">
        <f ca="1">ROUND(BD26*S26*AA26*J26*AY26*[1]ステータス!$B$2,0)</f>
        <v>4145</v>
      </c>
      <c r="BL26" s="10">
        <f ca="1">ROUND(BD26*T26*AB26*K26*AZ26*[1]ステータス!$C$2,0)</f>
        <v>3623</v>
      </c>
      <c r="BM26" s="10">
        <f ca="1">ROUND(BD26*U26*AC26*L26*BA26*[1]ステータス!$D$2,0)</f>
        <v>0</v>
      </c>
      <c r="BN26" s="10">
        <f ca="1">ROUND(BD26*V26*AD26*M26*BB26*[1]ステータス!$E$2,0)</f>
        <v>1501</v>
      </c>
      <c r="BO26" s="9">
        <v>0</v>
      </c>
      <c r="BP26" s="9">
        <v>1</v>
      </c>
      <c r="BQ26" s="36" t="s">
        <v>47</v>
      </c>
      <c r="BR26" s="9">
        <f ca="1">VLOOKUP(H26,[2]ghosts_label!$A$2:$B$19,2,FALSE)</f>
        <v>1</v>
      </c>
    </row>
    <row r="27" spans="1:70" ht="26" customHeight="1" x14ac:dyDescent="0.15">
      <c r="A27" s="186">
        <v>1576</v>
      </c>
      <c r="B27" s="53" t="str">
        <f ca="1">VLOOKUP($A27,OFFSET([1]characters!$A$1,0,0,COUNTA([1]characters!$A:$A),MATCH(B$1,[1]characters!$1:$1,0)-MATCH($A$1,[1]characters!$1:$1,0)+1),MATCH(B$1,[1]characters!$1:$1,0)-MATCH($A$1,[1]characters!$1:$1,0)+1,FALSE)</f>
        <v>Aquarius02</v>
      </c>
      <c r="C27" s="53">
        <f ca="1">VLOOKUP($A27,OFFSET([1]characters!$A$1,0,0,COUNTA([1]characters!$A:$A),MATCH(C$1,[1]characters!$1:$1,0)-MATCH($A$1,[1]characters!$1:$1,0)+1),MATCH(C$1,[1]characters!$1:$1,0)-MATCH($A$1,[1]characters!$1:$1,0)+1,FALSE)</f>
        <v>0</v>
      </c>
      <c r="D27" s="53">
        <f ca="1">VLOOKUP($A27,OFFSET([1]characters!$A$1,0,0,COUNTA([1]characters!$A:$A),MATCH(D$1,[1]characters!$1:$1,0)-MATCH($A$1,[1]characters!$1:$1,0)+1),MATCH(D$1,[1]characters!$1:$1,0)-MATCH($A$1,[1]characters!$1:$1,0)+1,FALSE)</f>
        <v>0</v>
      </c>
      <c r="E27" s="53">
        <f ca="1">VLOOKUP($A27,OFFSET([1]characters!$A$1,0,0,COUNTA([1]characters!$A:$A),MATCH(E$1,[1]characters!$1:$1,0)-MATCH($A$1,[1]characters!$1:$1,0)+1),MATCH(E$1,[1]characters!$1:$1,0)-MATCH($A$1,[1]characters!$1:$1,0)+1,FALSE)</f>
        <v>0</v>
      </c>
      <c r="F27" s="53">
        <f ca="1">VLOOKUP($A27,OFFSET([1]characters!$A$1,0,0,COUNTA([1]characters!$A:$A),MATCH(F$1,[1]characters!$1:$1,0)-MATCH($A$1,[1]characters!$1:$1,0)+1),MATCH(F$1,[1]characters!$1:$1,0)-MATCH($A$1,[1]characters!$1:$1,0)+1,FALSE)</f>
        <v>0</v>
      </c>
      <c r="G27" s="53">
        <f ca="1">VLOOKUP($A27,OFFSET([1]characters!$A$1,0,0,COUNTA([1]characters!$A:$A),MATCH(G$1,[1]characters!$1:$1,0)-MATCH($A$1,[1]characters!$1:$1,0)+1),MATCH(G$1,[1]characters!$1:$1,0)-MATCH($A$1,[1]characters!$1:$1,0)+1,FALSE)</f>
        <v>6</v>
      </c>
      <c r="H27" s="53" t="str">
        <f ca="1">VLOOKUP($A27,OFFSET([1]characters!$A$1,0,0,COUNTA([1]characters!$A:$A),MATCH(H$1,[1]characters!$1:$1,0)-MATCH($A$1,[1]characters!$1:$1,0)+1),MATCH(H$1,[1]characters!$1:$1,0)-MATCH($A$1,[1]characters!$1:$1,0)+1,FALSE)</f>
        <v>DropWizS</v>
      </c>
      <c r="I27" s="53" t="str">
        <f ca="1">VLOOKUP($A27,OFFSET([1]characters!$A$1,0,0,COUNTA([1]characters!$A:$A),MATCH(I$1,[1]characters!$1:$1,0)-MATCH($A$1,[1]characters!$1:$1,0)+1),MATCH(I$1,[1]characters!$1:$1,0)-MATCH($A$1,[1]characters!$1:$1,0)+1,FALSE)</f>
        <v>blue</v>
      </c>
      <c r="J27" s="10">
        <f ca="1">VLOOKUP(I27,[1]属性!$A:$E,2,FALSE)</f>
        <v>1</v>
      </c>
      <c r="K27" s="10">
        <f ca="1">VLOOKUP(I27,[1]属性!$A:$E,3,FALSE)</f>
        <v>0.98</v>
      </c>
      <c r="L27" s="10">
        <f ca="1">VLOOKUP(I27,[1]属性!$A:$E,4,FALSE)</f>
        <v>1</v>
      </c>
      <c r="M27" s="10">
        <f ca="1">VLOOKUP(I27,[1]属性!$A:$E,5,FALSE)</f>
        <v>1.02</v>
      </c>
      <c r="N27" s="10">
        <f ca="1">INDEX(コスト!$A$1:$I$21,MATCH(H27,コスト!$A$1:$A$21,FALSE),MATCH(G27,コスト!$A$1:$I$1,FALSE))</f>
        <v>45</v>
      </c>
      <c r="O27" s="10">
        <f ca="1">INDEX(レベル!$A$1:$I$22,MATCH(H27,レベル!$A$1:$A$22,FALSE),MATCH(G27,レベル!$A$1:$I$1,FALSE))</f>
        <v>99</v>
      </c>
      <c r="P27" s="44">
        <f t="shared" ca="1" si="10"/>
        <v>99</v>
      </c>
      <c r="Q27" s="53" t="str">
        <f ca="1">VLOOKUP($A27,OFFSET([1]characters!$A$1,0,0,COUNTA([1]characters!$A:$A),MATCH(Q$1,[1]characters!$1:$1,0)-MATCH($A$1,[1]characters!$1:$1,0)+1),MATCH(Q$1,[1]characters!$1:$1,0)-MATCH($A$1,[1]characters!$1:$1,0)+1,FALSE)</f>
        <v>attack</v>
      </c>
      <c r="R27" s="5" t="str">
        <f ca="1">VLOOKUP(Q27,[1]character_type_i18n!$A:$H,3,FALSE)</f>
        <v>攻撃タイプ</v>
      </c>
      <c r="S27" s="10">
        <f ca="1">VLOOKUP(Q27,[1]character_type_i18n!$A:$H,4,FALSE)</f>
        <v>1</v>
      </c>
      <c r="T27" s="10">
        <f ca="1">VLOOKUP(Q27,[1]character_type_i18n!$A:$H,5,FALSE)</f>
        <v>1.33</v>
      </c>
      <c r="U27" s="10">
        <f ca="1">VLOOKUP(Q27,[1]character_type_i18n!$A:$H,6,FALSE)</f>
        <v>1</v>
      </c>
      <c r="V27" s="10">
        <f ca="1">VLOOKUP(Q27,[1]character_type_i18n!$A:$H,7,FALSE)</f>
        <v>0.67</v>
      </c>
      <c r="W27" s="53" t="str">
        <f ca="1">VLOOKUP($A27,OFFSET([1]characters!$A$1,0,0,COUNTA([1]characters!$A:$A),MATCH(W$1,[1]characters!$1:$1,0)-MATCH($A$1,[1]characters!$1:$1,0)+1),MATCH(W$1,[1]characters!$1:$1,0)-MATCH($A$1,[1]characters!$1:$1,0)+1,FALSE)</f>
        <v>human</v>
      </c>
      <c r="X27" s="5" t="str">
        <f ca="1">VLOOKUP(W27,[1]character_tribe_i18n!$A:$H,3,FALSE)</f>
        <v>ヒューマン</v>
      </c>
      <c r="Y27" s="53" t="str">
        <f ca="1">VLOOKUP($A27,OFFSET([1]characters!$A$1,0,0,COUNTA([1]characters!$A:$A),MATCH(Y$1,[1]characters!$1:$1,0)-MATCH($A$1,[1]characters!$1:$1,0)+1),MATCH(Y$1,[1]characters!$1:$1,0)-MATCH($A$1,[1]characters!$1:$1,0)+1,FALSE)</f>
        <v>hero</v>
      </c>
      <c r="Z27" s="5" t="str">
        <f ca="1">VLOOKUP(Y27,[1]character_tribe_i18n!$A:$H,3,FALSE)</f>
        <v>ヒーロー</v>
      </c>
      <c r="AA27" s="10">
        <f ca="1">VLOOKUP(W27,[1]character_tribe_i18n!$A:$H,4,FALSE)</f>
        <v>0.94</v>
      </c>
      <c r="AB27" s="10">
        <f ca="1">VLOOKUP(W27,[1]character_tribe_i18n!$A:$H,5,FALSE)</f>
        <v>0.99</v>
      </c>
      <c r="AC27" s="10">
        <f ca="1">VLOOKUP(W27,[1]character_tribe_i18n!$A:$H,6,FALSE)</f>
        <v>1</v>
      </c>
      <c r="AD27" s="10">
        <f ca="1">VLOOKUP(W27,[1]character_tribe_i18n!$A:$H,7,FALSE)</f>
        <v>1.07</v>
      </c>
      <c r="AE27" s="187" t="s">
        <v>47</v>
      </c>
      <c r="AF27" s="58" t="str">
        <f ca="1">IF(AE27="NULL","",VLOOKUP($AE27,OFFSET([1]characters!$A$1,0,0,COUNTA([1]characters!$A:$A),MATCH(AF$1,[1]characters!$1:$1,0)-MATCH($A$1,[1]characters!$1:$1,0)+1),MATCH(AF$1,[1]characters!$1:$1,0)-MATCH($A$1,[1]characters!$1:$1,0)+1,FALSE))</f>
        <v/>
      </c>
      <c r="AG27" s="187">
        <v>1575</v>
      </c>
      <c r="AH27" s="58" t="str">
        <f ca="1">VLOOKUP($AG27,OFFSET([1]characters!$A$1,0,0,COUNTA([1]characters!$A:$A),MATCH(AH$1,[1]characters!$1:$1,0)-MATCH($A$1,[1]characters!$1:$1,0)+1),MATCH(AH$1,[1]characters!$1:$1,0)-MATCH($A$1,[1]characters!$1:$1,0)+1,FALSE)</f>
        <v>Aquarius01</v>
      </c>
      <c r="AI27" s="10" t="str">
        <f>IF(AE27="NULL","NULL",VLOOKUP(G27,ビット!$A$2:$B$7,2))</f>
        <v>NULL</v>
      </c>
      <c r="AJ27" s="6">
        <v>2</v>
      </c>
      <c r="AK27" s="7" t="str">
        <f t="shared" si="11"/>
        <v>普通</v>
      </c>
      <c r="AL27" s="10" t="str">
        <f ca="1">INDEX(経験値!$A$1:$I$21,MATCH(H27,経験値!$A$1:$A$21,FALSE),MATCH(G27,経験値!$A$1:$I$1,FALSE))</f>
        <v>required_exp_250</v>
      </c>
      <c r="AM27" s="8">
        <f ca="1">VLOOKUP(G27,経験値!$A$28:$B$32,2)</f>
        <v>6400</v>
      </c>
      <c r="AN27" s="16">
        <f ca="1">VLOOKUP(G27,ビット!$G$2:$H$7,2)</f>
        <v>900</v>
      </c>
      <c r="AO27" s="41"/>
      <c r="AP27" s="63">
        <v>1576</v>
      </c>
      <c r="AQ27" s="53" t="str">
        <f ca="1">VLOOKUP($AP27,OFFSET(unit_skills!$A$1,0,0,COUNTA(unit_skills!$A:$A),MATCH(AQ$1,unit_skills!$1:$1,0)-MATCH($AP$1,unit_skills!$1:$1,0)+1),MATCH(AQ$1,unit_skills!$1:$1,0)-MATCH($AP$1,unit_skills!$1:$1,0)+1,FALSE)</f>
        <v>Aquarius02スキル</v>
      </c>
      <c r="AR27" s="53" t="str">
        <f ca="1">VLOOKUP($AP27,OFFSET(unit_skills!$A$1,0,0,COUNTA(unit_skills!$A:$A),MATCH(AR$1,unit_skills!$1:$1,0)-MATCH($AP$1,unit_skills!$1:$1,0)+1),MATCH(AR$1,unit_skills!$1:$1,0)-MATCH($AP$1,unit_skills!$1:$1,0)+1,FALSE)</f>
        <v>中心を赤・青ボムパネルに変換+1ターン自身の攻撃力大UPし、タップ回数を1増やす</v>
      </c>
      <c r="AS27" s="53">
        <f ca="1">VLOOKUP($AP27,OFFSET(unit_skills!$A$1,0,0,COUNTA(unit_skills!$A:$A),MATCH(AS$1,unit_skills!$1:$1,0)-MATCH($AP$1,unit_skills!$1:$1,0)+1),MATCH(AS$1,unit_skills!$1:$1,0)-MATCH($AP$1,unit_skills!$1:$1,0)+1,FALSE)</f>
        <v>0</v>
      </c>
      <c r="AT27" s="63">
        <v>1576</v>
      </c>
      <c r="AU27" s="53" t="str">
        <f ca="1">VLOOKUP($AT27,OFFSET(crash_skills!$A$1,0,0,COUNTA(crash_skills!$A:$A),MATCH(AU$1,crash_skills!$1:$1,0)-MATCH($AT$1,crash_skills!$1:$1,0)+1),MATCH(AU$1,crash_skills!$1:$1,0)-MATCH($AT$1,crash_skills!$1:$1,0)+1,FALSE)</f>
        <v>Aquarius02スキル</v>
      </c>
      <c r="AV27" s="53" t="str">
        <f ca="1">VLOOKUP($AT27,OFFSET(crash_skills!$A$1,0,0,COUNTA(crash_skills!$A:$A),MATCH(AV$1,crash_skills!$1:$1,0)-MATCH($AT$1,crash_skills!$1:$1,0)+1),MATCH(AV$1,crash_skills!$1:$1,0)-MATCH($AT$1,crash_skills!$1:$1,0)+1,FALSE)</f>
        <v>1体に特大ダメージ+_x000D_フィーバーゲージ上昇</v>
      </c>
      <c r="AW27" s="53">
        <f ca="1">VLOOKUP($AT27,OFFSET(crash_skills!$A$1,0,0,COUNTA(crash_skills!$A:$A),MATCH(AW$1,crash_skills!$1:$1,0)-MATCH($AT$1,crash_skills!$1:$1,0)+1),MATCH(AW$1,crash_skills!$1:$1,0)-MATCH($AT$1,crash_skills!$1:$1,0)+1,FALSE)</f>
        <v>0</v>
      </c>
      <c r="AX27" s="54">
        <f ca="1">VLOOKUP($A27,OFFSET([1]characters!$A$1,0,0,COUNTA([1]characters!$A:$A),MATCH(AX$1,[1]characters!$1:$1,0)-MATCH($A$1,[1]characters!$1:$1,0)+1),MATCH(AX$1,[1]characters!$1:$1,0)-MATCH($A$1,[1]characters!$1:$1,0)+1,FALSE)</f>
        <v>1</v>
      </c>
      <c r="AY27" s="64">
        <v>0.98</v>
      </c>
      <c r="AZ27" s="64">
        <v>1.04</v>
      </c>
      <c r="BA27" s="64">
        <v>0</v>
      </c>
      <c r="BB27" s="64">
        <v>0.91249999999999998</v>
      </c>
      <c r="BC27" s="10">
        <f ca="1">INDEX('RC6SV'!$A$1:$G$21,MATCH(H27,'RC6SV'!$A$1:$A$21,FALSE),MATCH(G27,'RC6SV'!$A$1:$G$1,FALSE))</f>
        <v>12000</v>
      </c>
      <c r="BD27" s="44">
        <f t="shared" ca="1" si="12"/>
        <v>12000</v>
      </c>
      <c r="BE27" s="10">
        <f t="shared" ca="1" si="3"/>
        <v>9000</v>
      </c>
      <c r="BF27" s="10">
        <f t="shared" ca="1" si="4"/>
        <v>1</v>
      </c>
      <c r="BG27" s="15">
        <f ca="1">IF($BE27&lt;=0,ROUND(BK27*0.5,0), ROUND($BE27*S27*AA27*J27*AY27*0.8*[1]ステータス!$B$2,0))</f>
        <v>3316</v>
      </c>
      <c r="BH27" s="15">
        <f ca="1">IF($BE27&lt;=0,ROUND(BL27*0.5,0), ROUND($BE27*T27*AB27*K27*AZ27*0.8*[1]ステータス!$C$2,0))</f>
        <v>2899</v>
      </c>
      <c r="BI27" s="15">
        <f ca="1">IF($BE27&lt;=0,ROUND(BM27*0.5,0), ROUND($BE27*U27*AC27*L27*BA27*0.8*[1]ステータス!$D$2,0))</f>
        <v>0</v>
      </c>
      <c r="BJ27" s="15">
        <f ca="1">IF($BE27&lt;=0,ROUND(BN27*0.5,0), ROUND($BE27*V27*AD27*M27*BB27*0.8*[1]ステータス!$E$2,0))</f>
        <v>1201</v>
      </c>
      <c r="BK27" s="10">
        <f ca="1">ROUND(BD27*S27*AA27*J27*AY27*[1]ステータス!$B$2,0)</f>
        <v>5527</v>
      </c>
      <c r="BL27" s="10">
        <f ca="1">ROUND(BD27*T27*AB27*K27*AZ27*[1]ステータス!$C$2,0)</f>
        <v>4831</v>
      </c>
      <c r="BM27" s="10">
        <f ca="1">ROUND(BD27*U27*AC27*L27*BA27*[1]ステータス!$D$2,0)</f>
        <v>0</v>
      </c>
      <c r="BN27" s="10">
        <f ca="1">ROUND(BD27*V27*AD27*M27*BB27*[1]ステータス!$E$2,0)</f>
        <v>2002</v>
      </c>
      <c r="BO27" s="9">
        <v>0</v>
      </c>
      <c r="BP27" s="9">
        <v>1</v>
      </c>
      <c r="BQ27" s="9" t="s">
        <v>47</v>
      </c>
      <c r="BR27" s="9">
        <f ca="1">VLOOKUP(H27,[2]ghosts_label!$A$2:$B$19,2,FALSE)</f>
        <v>1</v>
      </c>
    </row>
    <row r="28" spans="1:70" ht="26" customHeight="1" x14ac:dyDescent="0.15">
      <c r="A28" s="186">
        <v>1577</v>
      </c>
      <c r="B28" s="53" t="str">
        <f ca="1">VLOOKUP($A28,OFFSET([1]characters!$A$1,0,0,COUNTA([1]characters!$A:$A),MATCH(B$1,[1]characters!$1:$1,0)-MATCH($A$1,[1]characters!$1:$1,0)+1),MATCH(B$1,[1]characters!$1:$1,0)-MATCH($A$1,[1]characters!$1:$1,0)+1,FALSE)</f>
        <v>Perseus01</v>
      </c>
      <c r="C28" s="53">
        <f ca="1">VLOOKUP($A28,OFFSET([1]characters!$A$1,0,0,COUNTA([1]characters!$A:$A),MATCH(C$1,[1]characters!$1:$1,0)-MATCH($A$1,[1]characters!$1:$1,0)+1),MATCH(C$1,[1]characters!$1:$1,0)-MATCH($A$1,[1]characters!$1:$1,0)+1,FALSE)</f>
        <v>0</v>
      </c>
      <c r="D28" s="53">
        <f ca="1">VLOOKUP($A28,OFFSET([1]characters!$A$1,0,0,COUNTA([1]characters!$A:$A),MATCH(D$1,[1]characters!$1:$1,0)-MATCH($A$1,[1]characters!$1:$1,0)+1),MATCH(D$1,[1]characters!$1:$1,0)-MATCH($A$1,[1]characters!$1:$1,0)+1,FALSE)</f>
        <v>0</v>
      </c>
      <c r="E28" s="53">
        <f ca="1">VLOOKUP($A28,OFFSET([1]characters!$A$1,0,0,COUNTA([1]characters!$A:$A),MATCH(E$1,[1]characters!$1:$1,0)-MATCH($A$1,[1]characters!$1:$1,0)+1),MATCH(E$1,[1]characters!$1:$1,0)-MATCH($A$1,[1]characters!$1:$1,0)+1,FALSE)</f>
        <v>0</v>
      </c>
      <c r="F28" s="53">
        <f ca="1">VLOOKUP($A28,OFFSET([1]characters!$A$1,0,0,COUNTA([1]characters!$A:$A),MATCH(F$1,[1]characters!$1:$1,0)-MATCH($A$1,[1]characters!$1:$1,0)+1),MATCH(F$1,[1]characters!$1:$1,0)-MATCH($A$1,[1]characters!$1:$1,0)+1,FALSE)</f>
        <v>0</v>
      </c>
      <c r="G28" s="53">
        <f ca="1">VLOOKUP($A28,OFFSET([1]characters!$A$1,0,0,COUNTA([1]characters!$A:$A),MATCH(G$1,[1]characters!$1:$1,0)-MATCH($A$1,[1]characters!$1:$1,0)+1),MATCH(G$1,[1]characters!$1:$1,0)-MATCH($A$1,[1]characters!$1:$1,0)+1,FALSE)</f>
        <v>5</v>
      </c>
      <c r="H28" s="53" t="str">
        <f ca="1">VLOOKUP($A28,OFFSET([1]characters!$A$1,0,0,COUNTA([1]characters!$A:$A),MATCH(H$1,[1]characters!$1:$1,0)-MATCH($A$1,[1]characters!$1:$1,0)+1),MATCH(H$1,[1]characters!$1:$1,0)-MATCH($A$1,[1]characters!$1:$1,0)+1,FALSE)</f>
        <v>PremiumS</v>
      </c>
      <c r="I28" s="53" t="str">
        <f ca="1">VLOOKUP($A28,OFFSET([1]characters!$A$1,0,0,COUNTA([1]characters!$A:$A),MATCH(I$1,[1]characters!$1:$1,0)-MATCH($A$1,[1]characters!$1:$1,0)+1),MATCH(I$1,[1]characters!$1:$1,0)-MATCH($A$1,[1]characters!$1:$1,0)+1,FALSE)</f>
        <v>yellow</v>
      </c>
      <c r="J28" s="10">
        <f ca="1">VLOOKUP(I28,[1]属性!$A:$E,2,FALSE)</f>
        <v>0.98</v>
      </c>
      <c r="K28" s="10">
        <f ca="1">VLOOKUP(I28,[1]属性!$A:$E,3,FALSE)</f>
        <v>1.01</v>
      </c>
      <c r="L28" s="10">
        <f ca="1">VLOOKUP(I28,[1]属性!$A:$E,4,FALSE)</f>
        <v>1</v>
      </c>
      <c r="M28" s="10">
        <f ca="1">VLOOKUP(I28,[1]属性!$A:$E,5,FALSE)</f>
        <v>1.01</v>
      </c>
      <c r="N28" s="10">
        <f ca="1">INDEX(コスト!$A$1:$I$21,MATCH(H28,コスト!$A$1:$A$21,FALSE),MATCH(G28,コスト!$A$1:$I$1,FALSE))</f>
        <v>30</v>
      </c>
      <c r="O28" s="10">
        <f ca="1">INDEX(レベル!$A$1:$I$22,MATCH(H28,レベル!$A$1:$A$22,FALSE),MATCH(G28,レベル!$A$1:$I$1,FALSE))</f>
        <v>80</v>
      </c>
      <c r="P28" s="44">
        <f t="shared" ref="P28:P37" ca="1" si="13">IF(G28 &gt;= 6, 99,G28*15)</f>
        <v>75</v>
      </c>
      <c r="Q28" s="53" t="str">
        <f ca="1">VLOOKUP($A28,OFFSET([1]characters!$A$1,0,0,COUNTA([1]characters!$A:$A),MATCH(Q$1,[1]characters!$1:$1,0)-MATCH($A$1,[1]characters!$1:$1,0)+1),MATCH(Q$1,[1]characters!$1:$1,0)-MATCH($A$1,[1]characters!$1:$1,0)+1,FALSE)</f>
        <v>attack</v>
      </c>
      <c r="R28" s="5" t="str">
        <f ca="1">VLOOKUP(Q28,[1]character_type_i18n!$A:$H,3,FALSE)</f>
        <v>攻撃タイプ</v>
      </c>
      <c r="S28" s="10">
        <f ca="1">VLOOKUP(Q28,[1]character_type_i18n!$A:$H,4,FALSE)</f>
        <v>1</v>
      </c>
      <c r="T28" s="10">
        <f ca="1">VLOOKUP(Q28,[1]character_type_i18n!$A:$H,5,FALSE)</f>
        <v>1.33</v>
      </c>
      <c r="U28" s="10">
        <f ca="1">VLOOKUP(Q28,[1]character_type_i18n!$A:$H,6,FALSE)</f>
        <v>1</v>
      </c>
      <c r="V28" s="10">
        <f ca="1">VLOOKUP(Q28,[1]character_type_i18n!$A:$H,7,FALSE)</f>
        <v>0.67</v>
      </c>
      <c r="W28" s="53" t="str">
        <f ca="1">VLOOKUP($A28,OFFSET([1]characters!$A$1,0,0,COUNTA([1]characters!$A:$A),MATCH(W$1,[1]characters!$1:$1,0)-MATCH($A$1,[1]characters!$1:$1,0)+1),MATCH(W$1,[1]characters!$1:$1,0)-MATCH($A$1,[1]characters!$1:$1,0)+1,FALSE)</f>
        <v>human</v>
      </c>
      <c r="X28" s="5" t="str">
        <f ca="1">VLOOKUP(W28,[1]character_tribe_i18n!$A:$H,3,FALSE)</f>
        <v>ヒューマン</v>
      </c>
      <c r="Y28" s="53" t="str">
        <f ca="1">VLOOKUP($A28,OFFSET([1]characters!$A$1,0,0,COUNTA([1]characters!$A:$A),MATCH(Y$1,[1]characters!$1:$1,0)-MATCH($A$1,[1]characters!$1:$1,0)+1),MATCH(Y$1,[1]characters!$1:$1,0)-MATCH($A$1,[1]characters!$1:$1,0)+1,FALSE)</f>
        <v>none</v>
      </c>
      <c r="Z28" s="5" t="str">
        <f ca="1">VLOOKUP(Y28,[1]character_tribe_i18n!$A:$H,3,FALSE)</f>
        <v>種族なし</v>
      </c>
      <c r="AA28" s="10">
        <f ca="1">VLOOKUP(W28,[1]character_tribe_i18n!$A:$H,4,FALSE)</f>
        <v>0.94</v>
      </c>
      <c r="AB28" s="10">
        <f ca="1">VLOOKUP(W28,[1]character_tribe_i18n!$A:$H,5,FALSE)</f>
        <v>0.99</v>
      </c>
      <c r="AC28" s="10">
        <f ca="1">VLOOKUP(W28,[1]character_tribe_i18n!$A:$H,6,FALSE)</f>
        <v>1</v>
      </c>
      <c r="AD28" s="10">
        <f ca="1">VLOOKUP(W28,[1]character_tribe_i18n!$A:$H,7,FALSE)</f>
        <v>1.07</v>
      </c>
      <c r="AE28" s="187" t="s">
        <v>347</v>
      </c>
      <c r="AF28" s="58" t="str">
        <f ca="1">IF(AE28="NULL","",VLOOKUP($AE28,OFFSET([1]characters!$A$1,0,0,COUNTA([1]characters!$A:$A),MATCH(AF$1,[1]characters!$1:$1,0)-MATCH($A$1,[1]characters!$1:$1,0)+1),MATCH(AF$1,[1]characters!$1:$1,0)-MATCH($A$1,[1]characters!$1:$1,0)+1,FALSE))</f>
        <v/>
      </c>
      <c r="AG28" s="187">
        <v>1577</v>
      </c>
      <c r="AH28" s="58" t="str">
        <f ca="1">VLOOKUP($AG28,OFFSET([1]characters!$A$1,0,0,COUNTA([1]characters!$A:$A),MATCH(AH$1,[1]characters!$1:$1,0)-MATCH($A$1,[1]characters!$1:$1,0)+1),MATCH(AH$1,[1]characters!$1:$1,0)-MATCH($A$1,[1]characters!$1:$1,0)+1,FALSE)</f>
        <v>Perseus01</v>
      </c>
      <c r="AI28" s="10" t="str">
        <f>IF(AE28="NULL","NULL",VLOOKUP(G28,ビット!$A$2:$B$7,2))</f>
        <v>NULL</v>
      </c>
      <c r="AJ28" s="6">
        <v>2</v>
      </c>
      <c r="AK28" s="7" t="str">
        <f t="shared" si="11"/>
        <v>普通</v>
      </c>
      <c r="AL28" s="10" t="str">
        <f ca="1">INDEX(経験値!$A$1:$I$21,MATCH(H28,経験値!$A$1:$A$21,FALSE),MATCH(G28,経験値!$A$1:$I$1,FALSE))</f>
        <v>required_exp_200</v>
      </c>
      <c r="AM28" s="8">
        <f ca="1">VLOOKUP(G28,経験値!$A$28:$B$32,2)</f>
        <v>6400</v>
      </c>
      <c r="AN28" s="16">
        <f ca="1">VLOOKUP(G28,ビット!$G$2:$H$7,2)</f>
        <v>900</v>
      </c>
      <c r="AO28" s="41"/>
      <c r="AP28" s="63">
        <v>1577</v>
      </c>
      <c r="AQ28" s="53" t="str">
        <f ca="1">VLOOKUP($AP28,OFFSET(unit_skills!$A$1,0,0,COUNTA(unit_skills!$A:$A),MATCH(AQ$1,unit_skills!$1:$1,0)-MATCH($AP$1,unit_skills!$1:$1,0)+1),MATCH(AQ$1,unit_skills!$1:$1,0)-MATCH($AP$1,unit_skills!$1:$1,0)+1,FALSE)</f>
        <v>Perseus01スキル</v>
      </c>
      <c r="AR28" s="53" t="str">
        <f ca="1">VLOOKUP($AP28,OFFSET(unit_skills!$A$1,0,0,COUNTA(unit_skills!$A:$A),MATCH(AR$1,unit_skills!$1:$1,0)-MATCH($AP$1,unit_skills!$1:$1,0)+1),MATCH(AR$1,unit_skills!$1:$1,0)-MATCH($AP$1,unit_skills!$1:$1,0)+1,FALSE)</f>
        <v>ウィルス解除+2ターン赤・黄・青属性ユニットの攻撃力をUP(緑パネルを吸収し効果UP)、_x000D_タップ回数を1増加</v>
      </c>
      <c r="AS28" s="53">
        <f ca="1">VLOOKUP($AP28,OFFSET(unit_skills!$A$1,0,0,COUNTA(unit_skills!$A:$A),MATCH(AS$1,unit_skills!$1:$1,0)-MATCH($AP$1,unit_skills!$1:$1,0)+1),MATCH(AS$1,unit_skills!$1:$1,0)-MATCH($AP$1,unit_skills!$1:$1,0)+1,FALSE)</f>
        <v>0</v>
      </c>
      <c r="AT28" s="63">
        <v>1577</v>
      </c>
      <c r="AU28" s="53" t="str">
        <f ca="1">VLOOKUP($AT28,OFFSET(crash_skills!$A$1,0,0,COUNTA(crash_skills!$A:$A),MATCH(AU$1,crash_skills!$1:$1,0)-MATCH($AT$1,crash_skills!$1:$1,0)+1),MATCH(AU$1,crash_skills!$1:$1,0)-MATCH($AT$1,crash_skills!$1:$1,0)+1,FALSE)</f>
        <v>Perseus01スキル</v>
      </c>
      <c r="AV28" s="53" t="str">
        <f ca="1">VLOOKUP($AT28,OFFSET(crash_skills!$A$1,0,0,COUNTA(crash_skills!$A:$A),MATCH(AV$1,crash_skills!$1:$1,0)-MATCH($AT$1,crash_skills!$1:$1,0)+1),MATCH(AV$1,crash_skills!$1:$1,0)-MATCH($AT$1,crash_skills!$1:$1,0)+1,FALSE)</f>
        <v>1体に特大ダメージ+_x000D_全体に特大ダメージ</v>
      </c>
      <c r="AW28" s="53">
        <f ca="1">VLOOKUP($AT28,OFFSET(crash_skills!$A$1,0,0,COUNTA(crash_skills!$A:$A),MATCH(AW$1,crash_skills!$1:$1,0)-MATCH($AT$1,crash_skills!$1:$1,0)+1),MATCH(AW$1,crash_skills!$1:$1,0)-MATCH($AT$1,crash_skills!$1:$1,0)+1,FALSE)</f>
        <v>0</v>
      </c>
      <c r="AX28" s="54">
        <f ca="1">VLOOKUP($A28,OFFSET([1]characters!$A$1,0,0,COUNTA([1]characters!$A:$A),MATCH(AX$1,[1]characters!$1:$1,0)-MATCH($A$1,[1]characters!$1:$1,0)+1),MATCH(AX$1,[1]characters!$1:$1,0)-MATCH($A$1,[1]characters!$1:$1,0)+1,FALSE)</f>
        <v>1</v>
      </c>
      <c r="AY28" s="64">
        <v>0.97250000000000003</v>
      </c>
      <c r="AZ28" s="64">
        <v>1.204</v>
      </c>
      <c r="BA28" s="64">
        <v>0</v>
      </c>
      <c r="BB28" s="64">
        <v>0.6825</v>
      </c>
      <c r="BC28" s="10">
        <f ca="1">INDEX('RC6SV'!$A$1:$G$21,MATCH(H28,'RC6SV'!$A$1:$A$21,FALSE),MATCH(G28,'RC6SV'!$A$1:$G$1,FALSE))</f>
        <v>9000</v>
      </c>
      <c r="BD28" s="44">
        <f t="shared" ca="1" si="12"/>
        <v>9000</v>
      </c>
      <c r="BE28" s="10">
        <f t="shared" ca="1" si="3"/>
        <v>0</v>
      </c>
      <c r="BF28" s="10">
        <f t="shared" ca="1" si="4"/>
        <v>1</v>
      </c>
      <c r="BG28" s="15">
        <f ca="1">IF($BE28&lt;=0,ROUND(BK28*0.5,0), ROUND($BE28*S28*AA28*J28*AY28*0.8*[1]ステータス!$B$2,0))</f>
        <v>2016</v>
      </c>
      <c r="BH28" s="15">
        <f ca="1">IF($BE28&lt;=0,ROUND(BL28*0.5,0), ROUND($BE28*T28*AB28*K28*AZ28*0.8*[1]ステータス!$C$2,0))</f>
        <v>2162</v>
      </c>
      <c r="BI28" s="15">
        <f ca="1">IF($BE28&lt;=0,ROUND(BM28*0.5,0), ROUND($BE28*U28*AC28*L28*BA28*0.8*[1]ステータス!$D$2,0))</f>
        <v>0</v>
      </c>
      <c r="BJ28" s="15">
        <f ca="1">IF($BE28&lt;=0,ROUND(BN28*0.5,0), ROUND($BE28*V28*AD28*M28*BB28*0.8*[1]ステータス!$E$2,0))</f>
        <v>556</v>
      </c>
      <c r="BK28" s="10">
        <f ca="1">ROUND(BD28*S28*AA28*J28*AY28*[1]ステータス!$B$2,0)</f>
        <v>4031</v>
      </c>
      <c r="BL28" s="10">
        <f ca="1">ROUND(BD28*T28*AB28*K28*AZ28*[1]ステータス!$C$2,0)</f>
        <v>4323</v>
      </c>
      <c r="BM28" s="10">
        <f ca="1">ROUND(BD28*U28*AC28*L28*BA28*[1]ステータス!$D$2,0)</f>
        <v>0</v>
      </c>
      <c r="BN28" s="10">
        <f ca="1">ROUND(BD28*V28*AD28*M28*BB28*[1]ステータス!$E$2,0)</f>
        <v>1112</v>
      </c>
      <c r="BO28" s="9">
        <v>0</v>
      </c>
      <c r="BP28" s="9">
        <v>1</v>
      </c>
      <c r="BQ28" s="36" t="s">
        <v>47</v>
      </c>
      <c r="BR28" s="9">
        <f ca="1">VLOOKUP(H28,[2]ghosts_label!$A$2:$B$19,2,FALSE)</f>
        <v>700</v>
      </c>
    </row>
    <row r="29" spans="1:70" ht="26" customHeight="1" x14ac:dyDescent="0.15">
      <c r="A29" s="186">
        <v>1578</v>
      </c>
      <c r="B29" s="53" t="str">
        <f ca="1">VLOOKUP($A29,OFFSET([1]characters!$A$1,0,0,COUNTA([1]characters!$A:$A),MATCH(B$1,[1]characters!$1:$1,0)-MATCH($A$1,[1]characters!$1:$1,0)+1),MATCH(B$1,[1]characters!$1:$1,0)-MATCH($A$1,[1]characters!$1:$1,0)+1,FALSE)</f>
        <v>Hydra01</v>
      </c>
      <c r="C29" s="53">
        <f ca="1">VLOOKUP($A29,OFFSET([1]characters!$A$1,0,0,COUNTA([1]characters!$A:$A),MATCH(C$1,[1]characters!$1:$1,0)-MATCH($A$1,[1]characters!$1:$1,0)+1),MATCH(C$1,[1]characters!$1:$1,0)-MATCH($A$1,[1]characters!$1:$1,0)+1,FALSE)</f>
        <v>0</v>
      </c>
      <c r="D29" s="53">
        <f ca="1">VLOOKUP($A29,OFFSET([1]characters!$A$1,0,0,COUNTA([1]characters!$A:$A),MATCH(D$1,[1]characters!$1:$1,0)-MATCH($A$1,[1]characters!$1:$1,0)+1),MATCH(D$1,[1]characters!$1:$1,0)-MATCH($A$1,[1]characters!$1:$1,0)+1,FALSE)</f>
        <v>0</v>
      </c>
      <c r="E29" s="53">
        <f ca="1">VLOOKUP($A29,OFFSET([1]characters!$A$1,0,0,COUNTA([1]characters!$A:$A),MATCH(E$1,[1]characters!$1:$1,0)-MATCH($A$1,[1]characters!$1:$1,0)+1),MATCH(E$1,[1]characters!$1:$1,0)-MATCH($A$1,[1]characters!$1:$1,0)+1,FALSE)</f>
        <v>0</v>
      </c>
      <c r="F29" s="53">
        <f ca="1">VLOOKUP($A29,OFFSET([1]characters!$A$1,0,0,COUNTA([1]characters!$A:$A),MATCH(F$1,[1]characters!$1:$1,0)-MATCH($A$1,[1]characters!$1:$1,0)+1),MATCH(F$1,[1]characters!$1:$1,0)-MATCH($A$1,[1]characters!$1:$1,0)+1,FALSE)</f>
        <v>0</v>
      </c>
      <c r="G29" s="53">
        <f ca="1">VLOOKUP($A29,OFFSET([1]characters!$A$1,0,0,COUNTA([1]characters!$A:$A),MATCH(G$1,[1]characters!$1:$1,0)-MATCH($A$1,[1]characters!$1:$1,0)+1),MATCH(G$1,[1]characters!$1:$1,0)-MATCH($A$1,[1]characters!$1:$1,0)+1,FALSE)</f>
        <v>5</v>
      </c>
      <c r="H29" s="53" t="str">
        <f ca="1">VLOOKUP($A29,OFFSET([1]characters!$A$1,0,0,COUNTA([1]characters!$A:$A),MATCH(H$1,[1]characters!$1:$1,0)-MATCH($A$1,[1]characters!$1:$1,0)+1),MATCH(H$1,[1]characters!$1:$1,0)-MATCH($A$1,[1]characters!$1:$1,0)+1,FALSE)</f>
        <v>PremiumS</v>
      </c>
      <c r="I29" s="53" t="str">
        <f ca="1">VLOOKUP($A29,OFFSET([1]characters!$A$1,0,0,COUNTA([1]characters!$A:$A),MATCH(I$1,[1]characters!$1:$1,0)-MATCH($A$1,[1]characters!$1:$1,0)+1),MATCH(I$1,[1]characters!$1:$1,0)-MATCH($A$1,[1]characters!$1:$1,0)+1,FALSE)</f>
        <v>red</v>
      </c>
      <c r="J29" s="10">
        <f ca="1">VLOOKUP(I29,[1]属性!$A:$E,2,FALSE)</f>
        <v>1</v>
      </c>
      <c r="K29" s="10">
        <f ca="1">VLOOKUP(I29,[1]属性!$A:$E,3,FALSE)</f>
        <v>1.02</v>
      </c>
      <c r="L29" s="10">
        <f ca="1">VLOOKUP(I29,[1]属性!$A:$E,4,FALSE)</f>
        <v>1</v>
      </c>
      <c r="M29" s="10">
        <f ca="1">VLOOKUP(I29,[1]属性!$A:$E,5,FALSE)</f>
        <v>0.98</v>
      </c>
      <c r="N29" s="10">
        <f ca="1">INDEX(コスト!$A$1:$I$21,MATCH(H29,コスト!$A$1:$A$21,FALSE),MATCH(G29,コスト!$A$1:$I$1,FALSE))</f>
        <v>30</v>
      </c>
      <c r="O29" s="10">
        <f ca="1">INDEX(レベル!$A$1:$I$22,MATCH(H29,レベル!$A$1:$A$22,FALSE),MATCH(G29,レベル!$A$1:$I$1,FALSE))</f>
        <v>80</v>
      </c>
      <c r="P29" s="44">
        <f t="shared" ca="1" si="13"/>
        <v>75</v>
      </c>
      <c r="Q29" s="53" t="str">
        <f ca="1">VLOOKUP($A29,OFFSET([1]characters!$A$1,0,0,COUNTA([1]characters!$A:$A),MATCH(Q$1,[1]characters!$1:$1,0)-MATCH($A$1,[1]characters!$1:$1,0)+1),MATCH(Q$1,[1]characters!$1:$1,0)-MATCH($A$1,[1]characters!$1:$1,0)+1,FALSE)</f>
        <v>hp</v>
      </c>
      <c r="R29" s="5" t="str">
        <f ca="1">VLOOKUP(Q29,[1]character_type_i18n!$A:$H,3,FALSE)</f>
        <v>体力タイプ</v>
      </c>
      <c r="S29" s="10">
        <f ca="1">VLOOKUP(Q29,[1]character_type_i18n!$A:$H,4,FALSE)</f>
        <v>1.45</v>
      </c>
      <c r="T29" s="10">
        <f ca="1">VLOOKUP(Q29,[1]character_type_i18n!$A:$H,5,FALSE)</f>
        <v>0.85</v>
      </c>
      <c r="U29" s="10">
        <f ca="1">VLOOKUP(Q29,[1]character_type_i18n!$A:$H,6,FALSE)</f>
        <v>1</v>
      </c>
      <c r="V29" s="10">
        <f ca="1">VLOOKUP(Q29,[1]character_type_i18n!$A:$H,7,FALSE)</f>
        <v>0.7</v>
      </c>
      <c r="W29" s="53" t="str">
        <f ca="1">VLOOKUP($A29,OFFSET([1]characters!$A$1,0,0,COUNTA([1]characters!$A:$A),MATCH(W$1,[1]characters!$1:$1,0)-MATCH($A$1,[1]characters!$1:$1,0)+1),MATCH(W$1,[1]characters!$1:$1,0)-MATCH($A$1,[1]characters!$1:$1,0)+1,FALSE)</f>
        <v>human</v>
      </c>
      <c r="X29" s="5" t="str">
        <f ca="1">VLOOKUP(W29,[1]character_tribe_i18n!$A:$H,3,FALSE)</f>
        <v>ヒューマン</v>
      </c>
      <c r="Y29" s="53" t="str">
        <f ca="1">VLOOKUP($A29,OFFSET([1]characters!$A$1,0,0,COUNTA([1]characters!$A:$A),MATCH(Y$1,[1]characters!$1:$1,0)-MATCH($A$1,[1]characters!$1:$1,0)+1),MATCH(Y$1,[1]characters!$1:$1,0)-MATCH($A$1,[1]characters!$1:$1,0)+1,FALSE)</f>
        <v>none</v>
      </c>
      <c r="Z29" s="5" t="str">
        <f ca="1">VLOOKUP(Y29,[1]character_tribe_i18n!$A:$H,3,FALSE)</f>
        <v>種族なし</v>
      </c>
      <c r="AA29" s="10">
        <f ca="1">VLOOKUP(W29,[1]character_tribe_i18n!$A:$H,4,FALSE)</f>
        <v>0.94</v>
      </c>
      <c r="AB29" s="10">
        <f ca="1">VLOOKUP(W29,[1]character_tribe_i18n!$A:$H,5,FALSE)</f>
        <v>0.99</v>
      </c>
      <c r="AC29" s="10">
        <f ca="1">VLOOKUP(W29,[1]character_tribe_i18n!$A:$H,6,FALSE)</f>
        <v>1</v>
      </c>
      <c r="AD29" s="10">
        <f ca="1">VLOOKUP(W29,[1]character_tribe_i18n!$A:$H,7,FALSE)</f>
        <v>1.07</v>
      </c>
      <c r="AE29" s="187" t="s">
        <v>47</v>
      </c>
      <c r="AF29" s="58" t="str">
        <f ca="1">IF(AE29="NULL","",VLOOKUP($AE29,OFFSET([1]characters!$A$1,0,0,COUNTA([1]characters!$A:$A),MATCH(AF$1,[1]characters!$1:$1,0)-MATCH($A$1,[1]characters!$1:$1,0)+1),MATCH(AF$1,[1]characters!$1:$1,0)-MATCH($A$1,[1]characters!$1:$1,0)+1,FALSE))</f>
        <v/>
      </c>
      <c r="AG29" s="187">
        <v>1578</v>
      </c>
      <c r="AH29" s="58" t="str">
        <f ca="1">VLOOKUP($AG29,OFFSET([1]characters!$A$1,0,0,COUNTA([1]characters!$A:$A),MATCH(AH$1,[1]characters!$1:$1,0)-MATCH($A$1,[1]characters!$1:$1,0)+1),MATCH(AH$1,[1]characters!$1:$1,0)-MATCH($A$1,[1]characters!$1:$1,0)+1,FALSE)</f>
        <v>Hydra01</v>
      </c>
      <c r="AI29" s="10" t="str">
        <f>IF(AE29="NULL","NULL",VLOOKUP(G29,ビット!$A$2:$B$7,2))</f>
        <v>NULL</v>
      </c>
      <c r="AJ29" s="6">
        <v>2</v>
      </c>
      <c r="AK29" s="7" t="str">
        <f t="shared" ref="AK29:AK37" si="14">IF(AJ29=1,"早熟",IF(AJ29=2,"普通",IF(AJ29=3,"晩成","")))</f>
        <v>普通</v>
      </c>
      <c r="AL29" s="10" t="str">
        <f ca="1">INDEX(経験値!$A$1:$I$21,MATCH(H29,経験値!$A$1:$A$21,FALSE),MATCH(G29,経験値!$A$1:$I$1,FALSE))</f>
        <v>required_exp_200</v>
      </c>
      <c r="AM29" s="8">
        <f ca="1">VLOOKUP(G29,経験値!$A$28:$B$32,2)</f>
        <v>6400</v>
      </c>
      <c r="AN29" s="16">
        <f ca="1">VLOOKUP(G29,ビット!$G$2:$H$7,2)</f>
        <v>900</v>
      </c>
      <c r="AO29" s="41"/>
      <c r="AP29" s="63">
        <v>1578</v>
      </c>
      <c r="AQ29" s="53" t="str">
        <f ca="1">VLOOKUP($AP29,OFFSET(unit_skills!$A$1,0,0,COUNTA(unit_skills!$A:$A),MATCH(AQ$1,unit_skills!$1:$1,0)-MATCH($AP$1,unit_skills!$1:$1,0)+1),MATCH(AQ$1,unit_skills!$1:$1,0)-MATCH($AP$1,unit_skills!$1:$1,0)+1,FALSE)</f>
        <v>Hydra01スキル</v>
      </c>
      <c r="AR29" s="53" t="str">
        <f ca="1">VLOOKUP($AP29,OFFSET(unit_skills!$A$1,0,0,COUNTA(unit_skills!$A:$A),MATCH(AR$1,unit_skills!$1:$1,0)-MATCH($AP$1,unit_skills!$1:$1,0)+1),MATCH(AR$1,unit_skills!$1:$1,0)-MATCH($AP$1,unit_skills!$1:$1,0)+1,FALSE)</f>
        <v xml:space="preserve">ランダムでパネルを最大1個SCパネル(特大)に変換   </v>
      </c>
      <c r="AS29" s="53">
        <f ca="1">VLOOKUP($AP29,OFFSET(unit_skills!$A$1,0,0,COUNTA(unit_skills!$A:$A),MATCH(AS$1,unit_skills!$1:$1,0)-MATCH($AP$1,unit_skills!$1:$1,0)+1),MATCH(AS$1,unit_skills!$1:$1,0)-MATCH($AP$1,unit_skills!$1:$1,0)+1,FALSE)</f>
        <v>0</v>
      </c>
      <c r="AT29" s="63">
        <v>1578</v>
      </c>
      <c r="AU29" s="53" t="str">
        <f ca="1">VLOOKUP($AT29,OFFSET(crash_skills!$A$1,0,0,COUNTA(crash_skills!$A:$A),MATCH(AU$1,crash_skills!$1:$1,0)-MATCH($AT$1,crash_skills!$1:$1,0)+1),MATCH(AU$1,crash_skills!$1:$1,0)-MATCH($AT$1,crash_skills!$1:$1,0)+1,FALSE)</f>
        <v>Hydra01スキル</v>
      </c>
      <c r="AV29" s="53" t="str">
        <f ca="1">VLOOKUP($AT29,OFFSET(crash_skills!$A$1,0,0,COUNTA(crash_skills!$A:$A),MATCH(AV$1,crash_skills!$1:$1,0)-MATCH($AT$1,crash_skills!$1:$1,0)+1),MATCH(AV$1,crash_skills!$1:$1,0)-MATCH($AT$1,crash_skills!$1:$1,0)+1,FALSE)</f>
        <v>自身のHPの最大値に比例して_x000D_1体に超大ダメージ</v>
      </c>
      <c r="AW29" s="53">
        <f ca="1">VLOOKUP($AT29,OFFSET(crash_skills!$A$1,0,0,COUNTA(crash_skills!$A:$A),MATCH(AW$1,crash_skills!$1:$1,0)-MATCH($AT$1,crash_skills!$1:$1,0)+1),MATCH(AW$1,crash_skills!$1:$1,0)-MATCH($AT$1,crash_skills!$1:$1,0)+1,FALSE)</f>
        <v>0</v>
      </c>
      <c r="AX29" s="54">
        <f ca="1">VLOOKUP($A29,OFFSET([1]characters!$A$1,0,0,COUNTA([1]characters!$A:$A),MATCH(AX$1,[1]characters!$1:$1,0)-MATCH($A$1,[1]characters!$1:$1,0)+1),MATCH(AX$1,[1]characters!$1:$1,0)-MATCH($A$1,[1]characters!$1:$1,0)+1,FALSE)</f>
        <v>1</v>
      </c>
      <c r="AY29" s="64">
        <v>1.2733000000000001</v>
      </c>
      <c r="AZ29" s="64">
        <v>1.264</v>
      </c>
      <c r="BA29" s="64">
        <v>0</v>
      </c>
      <c r="BB29" s="64">
        <v>0.53739999999999999</v>
      </c>
      <c r="BC29" s="10">
        <f ca="1">INDEX('RC6SV'!$A$1:$G$21,MATCH(H29,'RC6SV'!$A$1:$A$21,FALSE),MATCH(G29,'RC6SV'!$A$1:$G$1,FALSE))</f>
        <v>9000</v>
      </c>
      <c r="BD29" s="44">
        <f t="shared" ref="BD29:BD37" ca="1" si="15">ROUND(BC29*IF(AJ29=1,0.95,IF(AJ29=2,1,IF(AJ29,1.05,0))),0)</f>
        <v>9000</v>
      </c>
      <c r="BE29" s="10">
        <f t="shared" ca="1" si="3"/>
        <v>0</v>
      </c>
      <c r="BF29" s="10">
        <f t="shared" ca="1" si="4"/>
        <v>1</v>
      </c>
      <c r="BG29" s="15">
        <f ca="1">IF($BE29&lt;=0,ROUND(BK29*0.5,0), ROUND($BE29*S29*AA29*J29*AY29*0.8*[1]ステータス!$B$2,0))</f>
        <v>3905</v>
      </c>
      <c r="BH29" s="15">
        <f ca="1">IF($BE29&lt;=0,ROUND(BL29*0.5,0), ROUND($BE29*T29*AB29*K29*AZ29*0.8*[1]ステータス!$C$2,0))</f>
        <v>1465</v>
      </c>
      <c r="BI29" s="15">
        <f ca="1">IF($BE29&lt;=0,ROUND(BM29*0.5,0), ROUND($BE29*U29*AC29*L29*BA29*0.8*[1]ステータス!$D$2,0))</f>
        <v>0</v>
      </c>
      <c r="BJ29" s="15">
        <f ca="1">IF($BE29&lt;=0,ROUND(BN29*0.5,0), ROUND($BE29*V29*AD29*M29*BB29*0.8*[1]ステータス!$E$2,0))</f>
        <v>444</v>
      </c>
      <c r="BK29" s="10">
        <f ca="1">ROUND(BD29*S29*AA29*J29*AY29*[1]ステータス!$B$2,0)</f>
        <v>7810</v>
      </c>
      <c r="BL29" s="10">
        <f ca="1">ROUND(BD29*T29*AB29*K29*AZ29*[1]ステータス!$C$2,0)</f>
        <v>2929</v>
      </c>
      <c r="BM29" s="10">
        <f ca="1">ROUND(BD29*U29*AC29*L29*BA29*[1]ステータス!$D$2,0)</f>
        <v>0</v>
      </c>
      <c r="BN29" s="10">
        <f ca="1">ROUND(BD29*V29*AD29*M29*BB29*[1]ステータス!$E$2,0)</f>
        <v>888</v>
      </c>
      <c r="BO29" s="9">
        <v>0</v>
      </c>
      <c r="BP29" s="9">
        <v>1</v>
      </c>
      <c r="BQ29" s="9" t="s">
        <v>47</v>
      </c>
      <c r="BR29" s="9">
        <f ca="1">VLOOKUP(H29,[2]ghosts_label!$A$2:$B$19,2,FALSE)</f>
        <v>700</v>
      </c>
    </row>
    <row r="30" spans="1:70" ht="26" customHeight="1" x14ac:dyDescent="0.15">
      <c r="A30" s="186">
        <v>1579</v>
      </c>
      <c r="B30" s="53" t="str">
        <f ca="1">VLOOKUP($A30,OFFSET([1]characters!$A$1,0,0,COUNTA([1]characters!$A:$A),MATCH(B$1,[1]characters!$1:$1,0)-MATCH($A$1,[1]characters!$1:$1,0)+1),MATCH(B$1,[1]characters!$1:$1,0)-MATCH($A$1,[1]characters!$1:$1,0)+1,FALSE)</f>
        <v>Lyra01</v>
      </c>
      <c r="C30" s="53">
        <f ca="1">VLOOKUP($A30,OFFSET([1]characters!$A$1,0,0,COUNTA([1]characters!$A:$A),MATCH(C$1,[1]characters!$1:$1,0)-MATCH($A$1,[1]characters!$1:$1,0)+1),MATCH(C$1,[1]characters!$1:$1,0)-MATCH($A$1,[1]characters!$1:$1,0)+1,FALSE)</f>
        <v>0</v>
      </c>
      <c r="D30" s="53">
        <f ca="1">VLOOKUP($A30,OFFSET([1]characters!$A$1,0,0,COUNTA([1]characters!$A:$A),MATCH(D$1,[1]characters!$1:$1,0)-MATCH($A$1,[1]characters!$1:$1,0)+1),MATCH(D$1,[1]characters!$1:$1,0)-MATCH($A$1,[1]characters!$1:$1,0)+1,FALSE)</f>
        <v>0</v>
      </c>
      <c r="E30" s="53">
        <f ca="1">VLOOKUP($A30,OFFSET([1]characters!$A$1,0,0,COUNTA([1]characters!$A:$A),MATCH(E$1,[1]characters!$1:$1,0)-MATCH($A$1,[1]characters!$1:$1,0)+1),MATCH(E$1,[1]characters!$1:$1,0)-MATCH($A$1,[1]characters!$1:$1,0)+1,FALSE)</f>
        <v>0</v>
      </c>
      <c r="F30" s="53">
        <f ca="1">VLOOKUP($A30,OFFSET([1]characters!$A$1,0,0,COUNTA([1]characters!$A:$A),MATCH(F$1,[1]characters!$1:$1,0)-MATCH($A$1,[1]characters!$1:$1,0)+1),MATCH(F$1,[1]characters!$1:$1,0)-MATCH($A$1,[1]characters!$1:$1,0)+1,FALSE)</f>
        <v>0</v>
      </c>
      <c r="G30" s="53">
        <f ca="1">VLOOKUP($A30,OFFSET([1]characters!$A$1,0,0,COUNTA([1]characters!$A:$A),MATCH(G$1,[1]characters!$1:$1,0)-MATCH($A$1,[1]characters!$1:$1,0)+1),MATCH(G$1,[1]characters!$1:$1,0)-MATCH($A$1,[1]characters!$1:$1,0)+1,FALSE)</f>
        <v>5</v>
      </c>
      <c r="H30" s="53" t="str">
        <f ca="1">VLOOKUP($A30,OFFSET([1]characters!$A$1,0,0,COUNTA([1]characters!$A:$A),MATCH(H$1,[1]characters!$1:$1,0)-MATCH($A$1,[1]characters!$1:$1,0)+1),MATCH(H$1,[1]characters!$1:$1,0)-MATCH($A$1,[1]characters!$1:$1,0)+1,FALSE)</f>
        <v>DropWizS</v>
      </c>
      <c r="I30" s="53" t="str">
        <f ca="1">VLOOKUP($A30,OFFSET([1]characters!$A$1,0,0,COUNTA([1]characters!$A:$A),MATCH(I$1,[1]characters!$1:$1,0)-MATCH($A$1,[1]characters!$1:$1,0)+1),MATCH(I$1,[1]characters!$1:$1,0)-MATCH($A$1,[1]characters!$1:$1,0)+1,FALSE)</f>
        <v>red</v>
      </c>
      <c r="J30" s="10">
        <f ca="1">VLOOKUP(I30,[1]属性!$A:$E,2,FALSE)</f>
        <v>1</v>
      </c>
      <c r="K30" s="10">
        <f ca="1">VLOOKUP(I30,[1]属性!$A:$E,3,FALSE)</f>
        <v>1.02</v>
      </c>
      <c r="L30" s="10">
        <f ca="1">VLOOKUP(I30,[1]属性!$A:$E,4,FALSE)</f>
        <v>1</v>
      </c>
      <c r="M30" s="10">
        <f ca="1">VLOOKUP(I30,[1]属性!$A:$E,5,FALSE)</f>
        <v>0.98</v>
      </c>
      <c r="N30" s="10">
        <f ca="1">INDEX(コスト!$A$1:$I$21,MATCH(H30,コスト!$A$1:$A$21,FALSE),MATCH(G30,コスト!$A$1:$I$1,FALSE))</f>
        <v>30</v>
      </c>
      <c r="O30" s="10">
        <f ca="1">INDEX(レベル!$A$1:$I$22,MATCH(H30,レベル!$A$1:$A$22,FALSE),MATCH(G30,レベル!$A$1:$I$1,FALSE))</f>
        <v>80</v>
      </c>
      <c r="P30" s="44">
        <f t="shared" ca="1" si="13"/>
        <v>75</v>
      </c>
      <c r="Q30" s="53" t="str">
        <f ca="1">VLOOKUP($A30,OFFSET([1]characters!$A$1,0,0,COUNTA([1]characters!$A:$A),MATCH(Q$1,[1]characters!$1:$1,0)-MATCH($A$1,[1]characters!$1:$1,0)+1),MATCH(Q$1,[1]characters!$1:$1,0)-MATCH($A$1,[1]characters!$1:$1,0)+1,FALSE)</f>
        <v>hp</v>
      </c>
      <c r="R30" s="5" t="str">
        <f ca="1">VLOOKUP(Q30,[1]character_type_i18n!$A:$H,3,FALSE)</f>
        <v>体力タイプ</v>
      </c>
      <c r="S30" s="10">
        <f ca="1">VLOOKUP(Q30,[1]character_type_i18n!$A:$H,4,FALSE)</f>
        <v>1.45</v>
      </c>
      <c r="T30" s="10">
        <f ca="1">VLOOKUP(Q30,[1]character_type_i18n!$A:$H,5,FALSE)</f>
        <v>0.85</v>
      </c>
      <c r="U30" s="10">
        <f ca="1">VLOOKUP(Q30,[1]character_type_i18n!$A:$H,6,FALSE)</f>
        <v>1</v>
      </c>
      <c r="V30" s="10">
        <f ca="1">VLOOKUP(Q30,[1]character_type_i18n!$A:$H,7,FALSE)</f>
        <v>0.7</v>
      </c>
      <c r="W30" s="53" t="str">
        <f ca="1">VLOOKUP($A30,OFFSET([1]characters!$A$1,0,0,COUNTA([1]characters!$A:$A),MATCH(W$1,[1]characters!$1:$1,0)-MATCH($A$1,[1]characters!$1:$1,0)+1),MATCH(W$1,[1]characters!$1:$1,0)-MATCH($A$1,[1]characters!$1:$1,0)+1,FALSE)</f>
        <v>human</v>
      </c>
      <c r="X30" s="5" t="str">
        <f ca="1">VLOOKUP(W30,[1]character_tribe_i18n!$A:$H,3,FALSE)</f>
        <v>ヒューマン</v>
      </c>
      <c r="Y30" s="53" t="str">
        <f ca="1">VLOOKUP($A30,OFFSET([1]characters!$A$1,0,0,COUNTA([1]characters!$A:$A),MATCH(Y$1,[1]characters!$1:$1,0)-MATCH($A$1,[1]characters!$1:$1,0)+1),MATCH(Y$1,[1]characters!$1:$1,0)-MATCH($A$1,[1]characters!$1:$1,0)+1,FALSE)</f>
        <v>unknown</v>
      </c>
      <c r="Z30" s="5" t="str">
        <f ca="1">VLOOKUP(Y30,[1]character_tribe_i18n!$A:$H,3,FALSE)</f>
        <v>Unknown</v>
      </c>
      <c r="AA30" s="10">
        <f ca="1">VLOOKUP(W30,[1]character_tribe_i18n!$A:$H,4,FALSE)</f>
        <v>0.94</v>
      </c>
      <c r="AB30" s="10">
        <f ca="1">VLOOKUP(W30,[1]character_tribe_i18n!$A:$H,5,FALSE)</f>
        <v>0.99</v>
      </c>
      <c r="AC30" s="10">
        <f ca="1">VLOOKUP(W30,[1]character_tribe_i18n!$A:$H,6,FALSE)</f>
        <v>1</v>
      </c>
      <c r="AD30" s="10">
        <f ca="1">VLOOKUP(W30,[1]character_tribe_i18n!$A:$H,7,FALSE)</f>
        <v>1.07</v>
      </c>
      <c r="AE30" s="198">
        <v>1580</v>
      </c>
      <c r="AF30" s="58" t="str">
        <f ca="1">IF(AE30="NULL","",VLOOKUP($AE30,OFFSET([1]characters!$A$1,0,0,COUNTA([1]characters!$A:$A),MATCH(AF$1,[1]characters!$1:$1,0)-MATCH($A$1,[1]characters!$1:$1,0)+1),MATCH(AF$1,[1]characters!$1:$1,0)-MATCH($A$1,[1]characters!$1:$1,0)+1,FALSE))</f>
        <v>Lyra02</v>
      </c>
      <c r="AG30" s="198">
        <v>1579</v>
      </c>
      <c r="AH30" s="58" t="str">
        <f ca="1">VLOOKUP($AG30,OFFSET([1]characters!$A$1,0,0,COUNTA([1]characters!$A:$A),MATCH(AH$1,[1]characters!$1:$1,0)-MATCH($A$1,[1]characters!$1:$1,0)+1),MATCH(AH$1,[1]characters!$1:$1,0)-MATCH($A$1,[1]characters!$1:$1,0)+1,FALSE)</f>
        <v>Lyra01</v>
      </c>
      <c r="AI30" s="10">
        <f ca="1">IF(AE30="NULL","NULL",VLOOKUP(G30,ビット!$A$2:$B$7,2))</f>
        <v>200000</v>
      </c>
      <c r="AJ30" s="6">
        <v>2</v>
      </c>
      <c r="AK30" s="7" t="str">
        <f t="shared" si="14"/>
        <v>普通</v>
      </c>
      <c r="AL30" s="10" t="str">
        <f ca="1">INDEX(経験値!$A$1:$I$21,MATCH(H30,経験値!$A$1:$A$21,FALSE),MATCH(G30,経験値!$A$1:$I$1,FALSE))</f>
        <v>required_exp_200</v>
      </c>
      <c r="AM30" s="8">
        <f ca="1">VLOOKUP(G30,経験値!$A$28:$B$32,2)</f>
        <v>6400</v>
      </c>
      <c r="AN30" s="16">
        <f ca="1">VLOOKUP(G30,ビット!$G$2:$H$7,2)</f>
        <v>900</v>
      </c>
      <c r="AO30" s="41"/>
      <c r="AP30" s="63">
        <v>1579</v>
      </c>
      <c r="AQ30" s="53" t="str">
        <f ca="1">VLOOKUP($AP30,OFFSET(unit_skills!$A$1,0,0,COUNTA(unit_skills!$A:$A),MATCH(AQ$1,unit_skills!$1:$1,0)-MATCH($AP$1,unit_skills!$1:$1,0)+1),MATCH(AQ$1,unit_skills!$1:$1,0)-MATCH($AP$1,unit_skills!$1:$1,0)+1,FALSE)</f>
        <v>Lyra01スキル</v>
      </c>
      <c r="AR30" s="53" t="str">
        <f ca="1">VLOOKUP($AP30,OFFSET(unit_skills!$A$1,0,0,COUNTA(unit_skills!$A:$A),MATCH(AR$1,unit_skills!$1:$1,0)-MATCH($AP$1,unit_skills!$1:$1,0)+1),MATCH(AR$1,unit_skills!$1:$1,0)-MATCH($AP$1,unit_skills!$1:$1,0)+1,FALSE)</f>
        <v>C・CB・マグネット・ボム・赤パネル以外をランダムで最大7個Cパネル(大)と最大3個赤ボム(大)に変換</v>
      </c>
      <c r="AS30" s="53">
        <f ca="1">VLOOKUP($AP30,OFFSET(unit_skills!$A$1,0,0,COUNTA(unit_skills!$A:$A),MATCH(AS$1,unit_skills!$1:$1,0)-MATCH($AP$1,unit_skills!$1:$1,0)+1),MATCH(AS$1,unit_skills!$1:$1,0)-MATCH($AP$1,unit_skills!$1:$1,0)+1,FALSE)</f>
        <v>0</v>
      </c>
      <c r="AT30" s="63">
        <v>1579</v>
      </c>
      <c r="AU30" s="53" t="str">
        <f ca="1">VLOOKUP($AT30,OFFSET(crash_skills!$A$1,0,0,COUNTA(crash_skills!$A:$A),MATCH(AU$1,crash_skills!$1:$1,0)-MATCH($AT$1,crash_skills!$1:$1,0)+1),MATCH(AU$1,crash_skills!$1:$1,0)-MATCH($AT$1,crash_skills!$1:$1,0)+1,FALSE)</f>
        <v>Lyra01スキル</v>
      </c>
      <c r="AV30" s="53" t="str">
        <f ca="1">VLOOKUP($AT30,OFFSET(crash_skills!$A$1,0,0,COUNTA(crash_skills!$A:$A),MATCH(AV$1,crash_skills!$1:$1,0)-MATCH($AT$1,crash_skills!$1:$1,0)+1),MATCH(AV$1,crash_skills!$1:$1,0)-MATCH($AT$1,crash_skills!$1:$1,0)+1,FALSE)</f>
        <v>自身のHPに比例して1体に大ダメージ</v>
      </c>
      <c r="AW30" s="53">
        <f ca="1">VLOOKUP($AT30,OFFSET(crash_skills!$A$1,0,0,COUNTA(crash_skills!$A:$A),MATCH(AW$1,crash_skills!$1:$1,0)-MATCH($AT$1,crash_skills!$1:$1,0)+1),MATCH(AW$1,crash_skills!$1:$1,0)-MATCH($AT$1,crash_skills!$1:$1,0)+1,FALSE)</f>
        <v>0</v>
      </c>
      <c r="AX30" s="54">
        <f ca="1">VLOOKUP($A30,OFFSET([1]characters!$A$1,0,0,COUNTA([1]characters!$A:$A),MATCH(AX$1,[1]characters!$1:$1,0)-MATCH($A$1,[1]characters!$1:$1,0)+1),MATCH(AX$1,[1]characters!$1:$1,0)-MATCH($A$1,[1]characters!$1:$1,0)+1,FALSE)</f>
        <v>1</v>
      </c>
      <c r="AY30" s="64">
        <v>1.1733</v>
      </c>
      <c r="AZ30" s="64">
        <v>0.96940000000000004</v>
      </c>
      <c r="BA30" s="64">
        <v>0</v>
      </c>
      <c r="BB30" s="64">
        <v>0.90600000000000003</v>
      </c>
      <c r="BC30" s="10">
        <f ca="1">INDEX('RC6SV'!$A$1:$G$21,MATCH(H30,'RC6SV'!$A$1:$A$21,FALSE),MATCH(G30,'RC6SV'!$A$1:$G$1,FALSE))</f>
        <v>9000</v>
      </c>
      <c r="BD30" s="44">
        <f t="shared" ca="1" si="15"/>
        <v>9000</v>
      </c>
      <c r="BE30" s="10">
        <f t="shared" ca="1" si="3"/>
        <v>0</v>
      </c>
      <c r="BF30" s="10">
        <f t="shared" ca="1" si="4"/>
        <v>1</v>
      </c>
      <c r="BG30" s="15">
        <f ca="1">IF($BE30&lt;=0,ROUND(BK30*0.5,0), ROUND($BE30*S30*AA30*J30*AY30*0.8*[1]ステータス!$B$2,0))</f>
        <v>3598</v>
      </c>
      <c r="BH30" s="15">
        <f ca="1">IF($BE30&lt;=0,ROUND(BL30*0.5,0), ROUND($BE30*T30*AB30*K30*AZ30*0.8*[1]ステータス!$C$2,0))</f>
        <v>1124</v>
      </c>
      <c r="BI30" s="15">
        <f ca="1">IF($BE30&lt;=0,ROUND(BM30*0.5,0), ROUND($BE30*U30*AC30*L30*BA30*0.8*[1]ステータス!$D$2,0))</f>
        <v>0</v>
      </c>
      <c r="BJ30" s="15">
        <f ca="1">IF($BE30&lt;=0,ROUND(BN30*0.5,0), ROUND($BE30*V30*AD30*M30*BB30*0.8*[1]ステータス!$E$2,0))</f>
        <v>748</v>
      </c>
      <c r="BK30" s="10">
        <f ca="1">ROUND(BD30*S30*AA30*J30*AY30*[1]ステータス!$B$2,0)</f>
        <v>7196</v>
      </c>
      <c r="BL30" s="10">
        <f ca="1">ROUND(BD30*T30*AB30*K30*AZ30*[1]ステータス!$C$2,0)</f>
        <v>2247</v>
      </c>
      <c r="BM30" s="10">
        <f ca="1">ROUND(BD30*U30*AC30*L30*BA30*[1]ステータス!$D$2,0)</f>
        <v>0</v>
      </c>
      <c r="BN30" s="10">
        <f ca="1">ROUND(BD30*V30*AD30*M30*BB30*[1]ステータス!$E$2,0)</f>
        <v>1496</v>
      </c>
      <c r="BO30" s="9">
        <v>0</v>
      </c>
      <c r="BP30" s="9">
        <v>1</v>
      </c>
      <c r="BQ30" s="36" t="s">
        <v>47</v>
      </c>
      <c r="BR30" s="9">
        <f ca="1">VLOOKUP(H30,[2]ghosts_label!$A$2:$B$19,2,FALSE)</f>
        <v>1</v>
      </c>
    </row>
    <row r="31" spans="1:70" ht="26" customHeight="1" x14ac:dyDescent="0.15">
      <c r="A31" s="186">
        <v>1580</v>
      </c>
      <c r="B31" s="53" t="str">
        <f ca="1">VLOOKUP($A31,OFFSET([1]characters!$A$1,0,0,COUNTA([1]characters!$A:$A),MATCH(B$1,[1]characters!$1:$1,0)-MATCH($A$1,[1]characters!$1:$1,0)+1),MATCH(B$1,[1]characters!$1:$1,0)-MATCH($A$1,[1]characters!$1:$1,0)+1,FALSE)</f>
        <v>Lyra02</v>
      </c>
      <c r="C31" s="53">
        <f ca="1">VLOOKUP($A31,OFFSET([1]characters!$A$1,0,0,COUNTA([1]characters!$A:$A),MATCH(C$1,[1]characters!$1:$1,0)-MATCH($A$1,[1]characters!$1:$1,0)+1),MATCH(C$1,[1]characters!$1:$1,0)-MATCH($A$1,[1]characters!$1:$1,0)+1,FALSE)</f>
        <v>0</v>
      </c>
      <c r="D31" s="53">
        <f ca="1">VLOOKUP($A31,OFFSET([1]characters!$A$1,0,0,COUNTA([1]characters!$A:$A),MATCH(D$1,[1]characters!$1:$1,0)-MATCH($A$1,[1]characters!$1:$1,0)+1),MATCH(D$1,[1]characters!$1:$1,0)-MATCH($A$1,[1]characters!$1:$1,0)+1,FALSE)</f>
        <v>0</v>
      </c>
      <c r="E31" s="53">
        <f ca="1">VLOOKUP($A31,OFFSET([1]characters!$A$1,0,0,COUNTA([1]characters!$A:$A),MATCH(E$1,[1]characters!$1:$1,0)-MATCH($A$1,[1]characters!$1:$1,0)+1),MATCH(E$1,[1]characters!$1:$1,0)-MATCH($A$1,[1]characters!$1:$1,0)+1,FALSE)</f>
        <v>0</v>
      </c>
      <c r="F31" s="53">
        <f ca="1">VLOOKUP($A31,OFFSET([1]characters!$A$1,0,0,COUNTA([1]characters!$A:$A),MATCH(F$1,[1]characters!$1:$1,0)-MATCH($A$1,[1]characters!$1:$1,0)+1),MATCH(F$1,[1]characters!$1:$1,0)-MATCH($A$1,[1]characters!$1:$1,0)+1,FALSE)</f>
        <v>0</v>
      </c>
      <c r="G31" s="53">
        <f ca="1">VLOOKUP($A31,OFFSET([1]characters!$A$1,0,0,COUNTA([1]characters!$A:$A),MATCH(G$1,[1]characters!$1:$1,0)-MATCH($A$1,[1]characters!$1:$1,0)+1),MATCH(G$1,[1]characters!$1:$1,0)-MATCH($A$1,[1]characters!$1:$1,0)+1,FALSE)</f>
        <v>6</v>
      </c>
      <c r="H31" s="53" t="str">
        <f ca="1">VLOOKUP($A31,OFFSET([1]characters!$A$1,0,0,COUNTA([1]characters!$A:$A),MATCH(H$1,[1]characters!$1:$1,0)-MATCH($A$1,[1]characters!$1:$1,0)+1),MATCH(H$1,[1]characters!$1:$1,0)-MATCH($A$1,[1]characters!$1:$1,0)+1,FALSE)</f>
        <v>DropWizS</v>
      </c>
      <c r="I31" s="53" t="str">
        <f ca="1">VLOOKUP($A31,OFFSET([1]characters!$A$1,0,0,COUNTA([1]characters!$A:$A),MATCH(I$1,[1]characters!$1:$1,0)-MATCH($A$1,[1]characters!$1:$1,0)+1),MATCH(I$1,[1]characters!$1:$1,0)-MATCH($A$1,[1]characters!$1:$1,0)+1,FALSE)</f>
        <v>red</v>
      </c>
      <c r="J31" s="10">
        <f ca="1">VLOOKUP(I31,[1]属性!$A:$E,2,FALSE)</f>
        <v>1</v>
      </c>
      <c r="K31" s="10">
        <f ca="1">VLOOKUP(I31,[1]属性!$A:$E,3,FALSE)</f>
        <v>1.02</v>
      </c>
      <c r="L31" s="10">
        <f ca="1">VLOOKUP(I31,[1]属性!$A:$E,4,FALSE)</f>
        <v>1</v>
      </c>
      <c r="M31" s="10">
        <f ca="1">VLOOKUP(I31,[1]属性!$A:$E,5,FALSE)</f>
        <v>0.98</v>
      </c>
      <c r="N31" s="10">
        <f ca="1">INDEX(コスト!$A$1:$I$21,MATCH(H31,コスト!$A$1:$A$21,FALSE),MATCH(G31,コスト!$A$1:$I$1,FALSE))</f>
        <v>45</v>
      </c>
      <c r="O31" s="10">
        <f ca="1">INDEX(レベル!$A$1:$I$22,MATCH(H31,レベル!$A$1:$A$22,FALSE),MATCH(G31,レベル!$A$1:$I$1,FALSE))</f>
        <v>99</v>
      </c>
      <c r="P31" s="44">
        <f t="shared" ca="1" si="13"/>
        <v>99</v>
      </c>
      <c r="Q31" s="53" t="str">
        <f ca="1">VLOOKUP($A31,OFFSET([1]characters!$A$1,0,0,COUNTA([1]characters!$A:$A),MATCH(Q$1,[1]characters!$1:$1,0)-MATCH($A$1,[1]characters!$1:$1,0)+1),MATCH(Q$1,[1]characters!$1:$1,0)-MATCH($A$1,[1]characters!$1:$1,0)+1,FALSE)</f>
        <v>hp</v>
      </c>
      <c r="R31" s="5" t="str">
        <f ca="1">VLOOKUP(Q31,[1]character_type_i18n!$A:$H,3,FALSE)</f>
        <v>体力タイプ</v>
      </c>
      <c r="S31" s="10">
        <f ca="1">VLOOKUP(Q31,[1]character_type_i18n!$A:$H,4,FALSE)</f>
        <v>1.45</v>
      </c>
      <c r="T31" s="10">
        <f ca="1">VLOOKUP(Q31,[1]character_type_i18n!$A:$H,5,FALSE)</f>
        <v>0.85</v>
      </c>
      <c r="U31" s="10">
        <f ca="1">VLOOKUP(Q31,[1]character_type_i18n!$A:$H,6,FALSE)</f>
        <v>1</v>
      </c>
      <c r="V31" s="10">
        <f ca="1">VLOOKUP(Q31,[1]character_type_i18n!$A:$H,7,FALSE)</f>
        <v>0.7</v>
      </c>
      <c r="W31" s="53" t="str">
        <f ca="1">VLOOKUP($A31,OFFSET([1]characters!$A$1,0,0,COUNTA([1]characters!$A:$A),MATCH(W$1,[1]characters!$1:$1,0)-MATCH($A$1,[1]characters!$1:$1,0)+1),MATCH(W$1,[1]characters!$1:$1,0)-MATCH($A$1,[1]characters!$1:$1,0)+1,FALSE)</f>
        <v>human</v>
      </c>
      <c r="X31" s="5" t="str">
        <f ca="1">VLOOKUP(W31,[1]character_tribe_i18n!$A:$H,3,FALSE)</f>
        <v>ヒューマン</v>
      </c>
      <c r="Y31" s="53" t="str">
        <f ca="1">VLOOKUP($A31,OFFSET([1]characters!$A$1,0,0,COUNTA([1]characters!$A:$A),MATCH(Y$1,[1]characters!$1:$1,0)-MATCH($A$1,[1]characters!$1:$1,0)+1),MATCH(Y$1,[1]characters!$1:$1,0)-MATCH($A$1,[1]characters!$1:$1,0)+1,FALSE)</f>
        <v>unknown</v>
      </c>
      <c r="Z31" s="5" t="str">
        <f ca="1">VLOOKUP(Y31,[1]character_tribe_i18n!$A:$H,3,FALSE)</f>
        <v>Unknown</v>
      </c>
      <c r="AA31" s="10">
        <f ca="1">VLOOKUP(W31,[1]character_tribe_i18n!$A:$H,4,FALSE)</f>
        <v>0.94</v>
      </c>
      <c r="AB31" s="10">
        <f ca="1">VLOOKUP(W31,[1]character_tribe_i18n!$A:$H,5,FALSE)</f>
        <v>0.99</v>
      </c>
      <c r="AC31" s="10">
        <f ca="1">VLOOKUP(W31,[1]character_tribe_i18n!$A:$H,6,FALSE)</f>
        <v>1</v>
      </c>
      <c r="AD31" s="10">
        <f ca="1">VLOOKUP(W31,[1]character_tribe_i18n!$A:$H,7,FALSE)</f>
        <v>1.07</v>
      </c>
      <c r="AE31" s="187" t="s">
        <v>47</v>
      </c>
      <c r="AF31" s="58" t="str">
        <f ca="1">IF(AE31="NULL","",VLOOKUP($AE31,OFFSET([1]characters!$A$1,0,0,COUNTA([1]characters!$A:$A),MATCH(AF$1,[1]characters!$1:$1,0)-MATCH($A$1,[1]characters!$1:$1,0)+1),MATCH(AF$1,[1]characters!$1:$1,0)-MATCH($A$1,[1]characters!$1:$1,0)+1,FALSE))</f>
        <v/>
      </c>
      <c r="AG31" s="187">
        <v>1579</v>
      </c>
      <c r="AH31" s="58" t="str">
        <f ca="1">VLOOKUP($AG31,OFFSET([1]characters!$A$1,0,0,COUNTA([1]characters!$A:$A),MATCH(AH$1,[1]characters!$1:$1,0)-MATCH($A$1,[1]characters!$1:$1,0)+1),MATCH(AH$1,[1]characters!$1:$1,0)-MATCH($A$1,[1]characters!$1:$1,0)+1,FALSE)</f>
        <v>Lyra01</v>
      </c>
      <c r="AI31" s="10" t="str">
        <f>IF(AE31="NULL","NULL",VLOOKUP(G31,ビット!$A$2:$B$7,2))</f>
        <v>NULL</v>
      </c>
      <c r="AJ31" s="6">
        <v>2</v>
      </c>
      <c r="AK31" s="7" t="str">
        <f t="shared" si="14"/>
        <v>普通</v>
      </c>
      <c r="AL31" s="10" t="str">
        <f ca="1">INDEX(経験値!$A$1:$I$21,MATCH(H31,経験値!$A$1:$A$21,FALSE),MATCH(G31,経験値!$A$1:$I$1,FALSE))</f>
        <v>required_exp_250</v>
      </c>
      <c r="AM31" s="8">
        <f ca="1">VLOOKUP(G31,経験値!$A$28:$B$32,2)</f>
        <v>6400</v>
      </c>
      <c r="AN31" s="16">
        <f ca="1">VLOOKUP(G31,ビット!$G$2:$H$7,2)</f>
        <v>900</v>
      </c>
      <c r="AO31" s="41"/>
      <c r="AP31" s="63">
        <v>1580</v>
      </c>
      <c r="AQ31" s="53" t="str">
        <f ca="1">VLOOKUP($AP31,OFFSET(unit_skills!$A$1,0,0,COUNTA(unit_skills!$A:$A),MATCH(AQ$1,unit_skills!$1:$1,0)-MATCH($AP$1,unit_skills!$1:$1,0)+1),MATCH(AQ$1,unit_skills!$1:$1,0)-MATCH($AP$1,unit_skills!$1:$1,0)+1,FALSE)</f>
        <v>Lyra02スキル</v>
      </c>
      <c r="AR31" s="53" t="str">
        <f ca="1">VLOOKUP($AP31,OFFSET(unit_skills!$A$1,0,0,COUNTA(unit_skills!$A:$A),MATCH(AR$1,unit_skills!$1:$1,0)-MATCH($AP$1,unit_skills!$1:$1,0)+1),MATCH(AR$1,unit_skills!$1:$1,0)-MATCH($AP$1,unit_skills!$1:$1,0)+1,FALSE)</f>
        <v>C・CB・マグネット・ボム・赤パネル以外をランダムで最大9個Cパネル(大)と最大5個赤ボム(大)に変換</v>
      </c>
      <c r="AS31" s="53">
        <f ca="1">VLOOKUP($AP31,OFFSET(unit_skills!$A$1,0,0,COUNTA(unit_skills!$A:$A),MATCH(AS$1,unit_skills!$1:$1,0)-MATCH($AP$1,unit_skills!$1:$1,0)+1),MATCH(AS$1,unit_skills!$1:$1,0)-MATCH($AP$1,unit_skills!$1:$1,0)+1,FALSE)</f>
        <v>0</v>
      </c>
      <c r="AT31" s="63">
        <v>1580</v>
      </c>
      <c r="AU31" s="53" t="str">
        <f ca="1">VLOOKUP($AT31,OFFSET(crash_skills!$A$1,0,0,COUNTA(crash_skills!$A:$A),MATCH(AU$1,crash_skills!$1:$1,0)-MATCH($AT$1,crash_skills!$1:$1,0)+1),MATCH(AU$1,crash_skills!$1:$1,0)-MATCH($AT$1,crash_skills!$1:$1,0)+1,FALSE)</f>
        <v>Lyra02スキル</v>
      </c>
      <c r="AV31" s="53" t="str">
        <f ca="1">VLOOKUP($AT31,OFFSET(crash_skills!$A$1,0,0,COUNTA(crash_skills!$A:$A),MATCH(AV$1,crash_skills!$1:$1,0)-MATCH($AT$1,crash_skills!$1:$1,0)+1),MATCH(AV$1,crash_skills!$1:$1,0)-MATCH($AT$1,crash_skills!$1:$1,0)+1,FALSE)</f>
        <v>自身のHPに比例して1体に特大ダメージ</v>
      </c>
      <c r="AW31" s="53">
        <f ca="1">VLOOKUP($AT31,OFFSET(crash_skills!$A$1,0,0,COUNTA(crash_skills!$A:$A),MATCH(AW$1,crash_skills!$1:$1,0)-MATCH($AT$1,crash_skills!$1:$1,0)+1),MATCH(AW$1,crash_skills!$1:$1,0)-MATCH($AT$1,crash_skills!$1:$1,0)+1,FALSE)</f>
        <v>0</v>
      </c>
      <c r="AX31" s="54">
        <f ca="1">VLOOKUP($A31,OFFSET([1]characters!$A$1,0,0,COUNTA([1]characters!$A:$A),MATCH(AX$1,[1]characters!$1:$1,0)-MATCH($A$1,[1]characters!$1:$1,0)+1),MATCH(AX$1,[1]characters!$1:$1,0)-MATCH($A$1,[1]characters!$1:$1,0)+1,FALSE)</f>
        <v>1</v>
      </c>
      <c r="AY31" s="64">
        <v>1.1733</v>
      </c>
      <c r="AZ31" s="64">
        <v>0.96940000000000004</v>
      </c>
      <c r="BA31" s="64">
        <v>0</v>
      </c>
      <c r="BB31" s="64">
        <v>0.90600000000000003</v>
      </c>
      <c r="BC31" s="10">
        <f ca="1">INDEX('RC6SV'!$A$1:$G$21,MATCH(H31,'RC6SV'!$A$1:$A$21,FALSE),MATCH(G31,'RC6SV'!$A$1:$G$1,FALSE))</f>
        <v>12000</v>
      </c>
      <c r="BD31" s="44">
        <f t="shared" ca="1" si="15"/>
        <v>12000</v>
      </c>
      <c r="BE31" s="10">
        <f t="shared" ca="1" si="3"/>
        <v>9000</v>
      </c>
      <c r="BF31" s="10">
        <f t="shared" ca="1" si="4"/>
        <v>1</v>
      </c>
      <c r="BG31" s="15">
        <f ca="1">IF($BE31&lt;=0,ROUND(BK31*0.5,0), ROUND($BE31*S31*AA31*J31*AY31*0.8*[1]ステータス!$B$2,0))</f>
        <v>5757</v>
      </c>
      <c r="BH31" s="15">
        <f ca="1">IF($BE31&lt;=0,ROUND(BL31*0.5,0), ROUND($BE31*T31*AB31*K31*AZ31*0.8*[1]ステータス!$C$2,0))</f>
        <v>1797</v>
      </c>
      <c r="BI31" s="15">
        <f ca="1">IF($BE31&lt;=0,ROUND(BM31*0.5,0), ROUND($BE31*U31*AC31*L31*BA31*0.8*[1]ステータス!$D$2,0))</f>
        <v>0</v>
      </c>
      <c r="BJ31" s="15">
        <f ca="1">IF($BE31&lt;=0,ROUND(BN31*0.5,0), ROUND($BE31*V31*AD31*M31*BB31*0.8*[1]ステータス!$E$2,0))</f>
        <v>1197</v>
      </c>
      <c r="BK31" s="10">
        <f ca="1">ROUND(BD31*S31*AA31*J31*AY31*[1]ステータス!$B$2,0)</f>
        <v>9595</v>
      </c>
      <c r="BL31" s="10">
        <f ca="1">ROUND(BD31*T31*AB31*K31*AZ31*[1]ステータス!$C$2,0)</f>
        <v>2995</v>
      </c>
      <c r="BM31" s="10">
        <f ca="1">ROUND(BD31*U31*AC31*L31*BA31*[1]ステータス!$D$2,0)</f>
        <v>0</v>
      </c>
      <c r="BN31" s="10">
        <f ca="1">ROUND(BD31*V31*AD31*M31*BB31*[1]ステータス!$E$2,0)</f>
        <v>1995</v>
      </c>
      <c r="BO31" s="9">
        <v>0</v>
      </c>
      <c r="BP31" s="9">
        <v>1</v>
      </c>
      <c r="BQ31" s="9" t="s">
        <v>47</v>
      </c>
      <c r="BR31" s="9">
        <f ca="1">VLOOKUP(H31,[2]ghosts_label!$A$2:$B$19,2,FALSE)</f>
        <v>1</v>
      </c>
    </row>
    <row r="32" spans="1:70" ht="26" customHeight="1" x14ac:dyDescent="0.15">
      <c r="A32" s="186">
        <v>1581</v>
      </c>
      <c r="B32" s="53" t="str">
        <f ca="1">VLOOKUP($A32,OFFSET([1]characters!$A$1,0,0,COUNTA([1]characters!$A:$A),MATCH(B$1,[1]characters!$1:$1,0)-MATCH($A$1,[1]characters!$1:$1,0)+1),MATCH(B$1,[1]characters!$1:$1,0)-MATCH($A$1,[1]characters!$1:$1,0)+1,FALSE)</f>
        <v>Gemini01</v>
      </c>
      <c r="C32" s="53">
        <f ca="1">VLOOKUP($A32,OFFSET([1]characters!$A$1,0,0,COUNTA([1]characters!$A:$A),MATCH(C$1,[1]characters!$1:$1,0)-MATCH($A$1,[1]characters!$1:$1,0)+1),MATCH(C$1,[1]characters!$1:$1,0)-MATCH($A$1,[1]characters!$1:$1,0)+1,FALSE)</f>
        <v>0</v>
      </c>
      <c r="D32" s="53">
        <f ca="1">VLOOKUP($A32,OFFSET([1]characters!$A$1,0,0,COUNTA([1]characters!$A:$A),MATCH(D$1,[1]characters!$1:$1,0)-MATCH($A$1,[1]characters!$1:$1,0)+1),MATCH(D$1,[1]characters!$1:$1,0)-MATCH($A$1,[1]characters!$1:$1,0)+1,FALSE)</f>
        <v>0</v>
      </c>
      <c r="E32" s="53">
        <f ca="1">VLOOKUP($A32,OFFSET([1]characters!$A$1,0,0,COUNTA([1]characters!$A:$A),MATCH(E$1,[1]characters!$1:$1,0)-MATCH($A$1,[1]characters!$1:$1,0)+1),MATCH(E$1,[1]characters!$1:$1,0)-MATCH($A$1,[1]characters!$1:$1,0)+1,FALSE)</f>
        <v>0</v>
      </c>
      <c r="F32" s="53">
        <f ca="1">VLOOKUP($A32,OFFSET([1]characters!$A$1,0,0,COUNTA([1]characters!$A:$A),MATCH(F$1,[1]characters!$1:$1,0)-MATCH($A$1,[1]characters!$1:$1,0)+1),MATCH(F$1,[1]characters!$1:$1,0)-MATCH($A$1,[1]characters!$1:$1,0)+1,FALSE)</f>
        <v>0</v>
      </c>
      <c r="G32" s="53">
        <f ca="1">VLOOKUP($A32,OFFSET([1]characters!$A$1,0,0,COUNTA([1]characters!$A:$A),MATCH(G$1,[1]characters!$1:$1,0)-MATCH($A$1,[1]characters!$1:$1,0)+1),MATCH(G$1,[1]characters!$1:$1,0)-MATCH($A$1,[1]characters!$1:$1,0)+1,FALSE)</f>
        <v>5</v>
      </c>
      <c r="H32" s="53" t="str">
        <f ca="1">VLOOKUP($A32,OFFSET([1]characters!$A$1,0,0,COUNTA([1]characters!$A:$A),MATCH(H$1,[1]characters!$1:$1,0)-MATCH($A$1,[1]characters!$1:$1,0)+1),MATCH(H$1,[1]characters!$1:$1,0)-MATCH($A$1,[1]characters!$1:$1,0)+1,FALSE)</f>
        <v>DropWizS</v>
      </c>
      <c r="I32" s="53" t="str">
        <f ca="1">VLOOKUP($A32,OFFSET([1]characters!$A$1,0,0,COUNTA([1]characters!$A:$A),MATCH(I$1,[1]characters!$1:$1,0)-MATCH($A$1,[1]characters!$1:$1,0)+1),MATCH(I$1,[1]characters!$1:$1,0)-MATCH($A$1,[1]characters!$1:$1,0)+1,FALSE)</f>
        <v>red</v>
      </c>
      <c r="J32" s="10">
        <f ca="1">VLOOKUP(I32,[1]属性!$A:$E,2,FALSE)</f>
        <v>1</v>
      </c>
      <c r="K32" s="10">
        <f ca="1">VLOOKUP(I32,[1]属性!$A:$E,3,FALSE)</f>
        <v>1.02</v>
      </c>
      <c r="L32" s="10">
        <f ca="1">VLOOKUP(I32,[1]属性!$A:$E,4,FALSE)</f>
        <v>1</v>
      </c>
      <c r="M32" s="10">
        <f ca="1">VLOOKUP(I32,[1]属性!$A:$E,5,FALSE)</f>
        <v>0.98</v>
      </c>
      <c r="N32" s="10">
        <f ca="1">INDEX(コスト!$A$1:$I$21,MATCH(H32,コスト!$A$1:$A$21,FALSE),MATCH(G32,コスト!$A$1:$I$1,FALSE))</f>
        <v>30</v>
      </c>
      <c r="O32" s="10">
        <f ca="1">INDEX(レベル!$A$1:$I$22,MATCH(H32,レベル!$A$1:$A$22,FALSE),MATCH(G32,レベル!$A$1:$I$1,FALSE))</f>
        <v>80</v>
      </c>
      <c r="P32" s="44">
        <f t="shared" ca="1" si="13"/>
        <v>75</v>
      </c>
      <c r="Q32" s="53" t="str">
        <f ca="1">VLOOKUP($A32,OFFSET([1]characters!$A$1,0,0,COUNTA([1]characters!$A:$A),MATCH(Q$1,[1]characters!$1:$1,0)-MATCH($A$1,[1]characters!$1:$1,0)+1),MATCH(Q$1,[1]characters!$1:$1,0)-MATCH($A$1,[1]characters!$1:$1,0)+1,FALSE)</f>
        <v>technical</v>
      </c>
      <c r="R32" s="5" t="str">
        <f ca="1">VLOOKUP(Q32,[1]character_type_i18n!$A:$H,3,FALSE)</f>
        <v>テクニカルタイプ</v>
      </c>
      <c r="S32" s="10">
        <f ca="1">VLOOKUP(Q32,[1]character_type_i18n!$A:$H,4,FALSE)</f>
        <v>0.9</v>
      </c>
      <c r="T32" s="10">
        <f ca="1">VLOOKUP(Q32,[1]character_type_i18n!$A:$H,5,FALSE)</f>
        <v>0.9</v>
      </c>
      <c r="U32" s="10">
        <f ca="1">VLOOKUP(Q32,[1]character_type_i18n!$A:$H,6,FALSE)</f>
        <v>1</v>
      </c>
      <c r="V32" s="10">
        <f ca="1">VLOOKUP(Q32,[1]character_type_i18n!$A:$H,7,FALSE)</f>
        <v>0.9</v>
      </c>
      <c r="W32" s="53" t="str">
        <f ca="1">VLOOKUP($A32,OFFSET([1]characters!$A$1,0,0,COUNTA([1]characters!$A:$A),MATCH(W$1,[1]characters!$1:$1,0)-MATCH($A$1,[1]characters!$1:$1,0)+1),MATCH(W$1,[1]characters!$1:$1,0)-MATCH($A$1,[1]characters!$1:$1,0)+1,FALSE)</f>
        <v>orochi</v>
      </c>
      <c r="X32" s="5" t="str">
        <f ca="1">VLOOKUP(W32,[1]character_tribe_i18n!$A:$H,3,FALSE)</f>
        <v>オロチ一族</v>
      </c>
      <c r="Y32" s="53" t="str">
        <f ca="1">VLOOKUP($A32,OFFSET([1]characters!$A$1,0,0,COUNTA([1]characters!$A:$A),MATCH(Y$1,[1]characters!$1:$1,0)-MATCH($A$1,[1]characters!$1:$1,0)+1),MATCH(Y$1,[1]characters!$1:$1,0)-MATCH($A$1,[1]characters!$1:$1,0)+1,FALSE)</f>
        <v>none</v>
      </c>
      <c r="Z32" s="5" t="str">
        <f ca="1">VLOOKUP(Y32,[1]character_tribe_i18n!$A:$H,3,FALSE)</f>
        <v>種族なし</v>
      </c>
      <c r="AA32" s="10">
        <f ca="1">VLOOKUP(W32,[1]character_tribe_i18n!$A:$H,4,FALSE)</f>
        <v>1</v>
      </c>
      <c r="AB32" s="10">
        <f ca="1">VLOOKUP(W32,[1]character_tribe_i18n!$A:$H,5,FALSE)</f>
        <v>1</v>
      </c>
      <c r="AC32" s="10">
        <f ca="1">VLOOKUP(W32,[1]character_tribe_i18n!$A:$H,6,FALSE)</f>
        <v>1</v>
      </c>
      <c r="AD32" s="10">
        <f ca="1">VLOOKUP(W32,[1]character_tribe_i18n!$A:$H,7,FALSE)</f>
        <v>1</v>
      </c>
      <c r="AE32" s="198">
        <v>1582</v>
      </c>
      <c r="AF32" s="58" t="str">
        <f ca="1">IF(AE32="NULL","",VLOOKUP($AE32,OFFSET([1]characters!$A$1,0,0,COUNTA([1]characters!$A:$A),MATCH(AF$1,[1]characters!$1:$1,0)-MATCH($A$1,[1]characters!$1:$1,0)+1),MATCH(AF$1,[1]characters!$1:$1,0)-MATCH($A$1,[1]characters!$1:$1,0)+1,FALSE))</f>
        <v>Gemini02</v>
      </c>
      <c r="AG32" s="198">
        <v>1581</v>
      </c>
      <c r="AH32" s="58" t="str">
        <f ca="1">VLOOKUP($AG32,OFFSET([1]characters!$A$1,0,0,COUNTA([1]characters!$A:$A),MATCH(AH$1,[1]characters!$1:$1,0)-MATCH($A$1,[1]characters!$1:$1,0)+1),MATCH(AH$1,[1]characters!$1:$1,0)-MATCH($A$1,[1]characters!$1:$1,0)+1,FALSE)</f>
        <v>Gemini01</v>
      </c>
      <c r="AI32" s="10">
        <f ca="1">IF(AE32="NULL","NULL",VLOOKUP(G32,ビット!$A$2:$B$7,2))</f>
        <v>200000</v>
      </c>
      <c r="AJ32" s="6">
        <v>2</v>
      </c>
      <c r="AK32" s="7" t="str">
        <f t="shared" si="14"/>
        <v>普通</v>
      </c>
      <c r="AL32" s="10" t="str">
        <f ca="1">INDEX(経験値!$A$1:$I$21,MATCH(H32,経験値!$A$1:$A$21,FALSE),MATCH(G32,経験値!$A$1:$I$1,FALSE))</f>
        <v>required_exp_200</v>
      </c>
      <c r="AM32" s="8">
        <f ca="1">VLOOKUP(G32,経験値!$A$28:$B$32,2)</f>
        <v>6400</v>
      </c>
      <c r="AN32" s="16">
        <f ca="1">VLOOKUP(G32,ビット!$G$2:$H$7,2)</f>
        <v>900</v>
      </c>
      <c r="AO32" s="41"/>
      <c r="AP32" s="63">
        <v>1581</v>
      </c>
      <c r="AQ32" s="53" t="str">
        <f ca="1">VLOOKUP($AP32,OFFSET(unit_skills!$A$1,0,0,COUNTA(unit_skills!$A:$A),MATCH(AQ$1,unit_skills!$1:$1,0)-MATCH($AP$1,unit_skills!$1:$1,0)+1),MATCH(AQ$1,unit_skills!$1:$1,0)-MATCH($AP$1,unit_skills!$1:$1,0)+1,FALSE)</f>
        <v>Gemini01スキル</v>
      </c>
      <c r="AR32" s="53" t="str">
        <f ca="1">VLOOKUP($AP32,OFFSET(unit_skills!$A$1,0,0,COUNTA(unit_skills!$A:$A),MATCH(AR$1,unit_skills!$1:$1,0)-MATCH($AP$1,unit_skills!$1:$1,0)+1),MATCH(AR$1,unit_skills!$1:$1,0)-MATCH($AP$1,unit_skills!$1:$1,0)+1,FALSE)</f>
        <v>赤パネル以外を最大12個赤ボムに変換+1ターン青・黄・ハート出現率DOWN</v>
      </c>
      <c r="AS32" s="53">
        <f ca="1">VLOOKUP($AP32,OFFSET(unit_skills!$A$1,0,0,COUNTA(unit_skills!$A:$A),MATCH(AS$1,unit_skills!$1:$1,0)-MATCH($AP$1,unit_skills!$1:$1,0)+1),MATCH(AS$1,unit_skills!$1:$1,0)-MATCH($AP$1,unit_skills!$1:$1,0)+1,FALSE)</f>
        <v>0</v>
      </c>
      <c r="AT32" s="63">
        <v>1581</v>
      </c>
      <c r="AU32" s="53" t="str">
        <f ca="1">VLOOKUP($AT32,OFFSET(crash_skills!$A$1,0,0,COUNTA(crash_skills!$A:$A),MATCH(AU$1,crash_skills!$1:$1,0)-MATCH($AT$1,crash_skills!$1:$1,0)+1),MATCH(AU$1,crash_skills!$1:$1,0)-MATCH($AT$1,crash_skills!$1:$1,0)+1,FALSE)</f>
        <v>Gemini01スキル</v>
      </c>
      <c r="AV32" s="53" t="str">
        <f ca="1">VLOOKUP($AT32,OFFSET(crash_skills!$A$1,0,0,COUNTA(crash_skills!$A:$A),MATCH(AV$1,crash_skills!$1:$1,0)-MATCH($AT$1,crash_skills!$1:$1,0)+1),MATCH(AV$1,crash_skills!$1:$1,0)-MATCH($AT$1,crash_skills!$1:$1,0)+1,FALSE)</f>
        <v>1体にダメージ+全体にダメージ</v>
      </c>
      <c r="AW32" s="53">
        <f ca="1">VLOOKUP($AT32,OFFSET(crash_skills!$A$1,0,0,COUNTA(crash_skills!$A:$A),MATCH(AW$1,crash_skills!$1:$1,0)-MATCH($AT$1,crash_skills!$1:$1,0)+1),MATCH(AW$1,crash_skills!$1:$1,0)-MATCH($AT$1,crash_skills!$1:$1,0)+1,FALSE)</f>
        <v>0</v>
      </c>
      <c r="AX32" s="54">
        <f ca="1">VLOOKUP($A32,OFFSET([1]characters!$A$1,0,0,COUNTA([1]characters!$A:$A),MATCH(AX$1,[1]characters!$1:$1,0)-MATCH($A$1,[1]characters!$1:$1,0)+1),MATCH(AX$1,[1]characters!$1:$1,0)-MATCH($A$1,[1]characters!$1:$1,0)+1,FALSE)</f>
        <v>1</v>
      </c>
      <c r="AY32" s="64">
        <v>1.0760000000000001</v>
      </c>
      <c r="AZ32" s="64">
        <v>1.21</v>
      </c>
      <c r="BA32" s="64">
        <v>0</v>
      </c>
      <c r="BB32" s="64">
        <v>1.2507999999999999</v>
      </c>
      <c r="BC32" s="10">
        <f ca="1">INDEX('RC6SV'!$A$1:$G$21,MATCH(H32,'RC6SV'!$A$1:$A$21,FALSE),MATCH(G32,'RC6SV'!$A$1:$G$1,FALSE))</f>
        <v>9000</v>
      </c>
      <c r="BD32" s="44">
        <f t="shared" ca="1" si="15"/>
        <v>9000</v>
      </c>
      <c r="BE32" s="10">
        <f t="shared" ca="1" si="3"/>
        <v>0</v>
      </c>
      <c r="BF32" s="10">
        <f t="shared" ca="1" si="4"/>
        <v>1</v>
      </c>
      <c r="BG32" s="15">
        <f ca="1">IF($BE32&lt;=0,ROUND(BK32*0.5,0), ROUND($BE32*S32*AA32*J32*AY32*0.8*[1]ステータス!$B$2,0))</f>
        <v>2179</v>
      </c>
      <c r="BH32" s="15">
        <f ca="1">IF($BE32&lt;=0,ROUND(BL32*0.5,0), ROUND($BE32*T32*AB32*K32*AZ32*0.8*[1]ステータス!$C$2,0))</f>
        <v>1500</v>
      </c>
      <c r="BI32" s="15">
        <f ca="1">IF($BE32&lt;=0,ROUND(BM32*0.5,0), ROUND($BE32*U32*AC32*L32*BA32*0.8*[1]ステータス!$D$2,0))</f>
        <v>0</v>
      </c>
      <c r="BJ32" s="15">
        <f ca="1">IF($BE32&lt;=0,ROUND(BN32*0.5,0), ROUND($BE32*V32*AD32*M32*BB32*0.8*[1]ステータス!$E$2,0))</f>
        <v>1241</v>
      </c>
      <c r="BK32" s="10">
        <f ca="1">ROUND(BD32*S32*AA32*J32*AY32*[1]ステータス!$B$2,0)</f>
        <v>4358</v>
      </c>
      <c r="BL32" s="10">
        <f ca="1">ROUND(BD32*T32*AB32*K32*AZ32*[1]ステータス!$C$2,0)</f>
        <v>2999</v>
      </c>
      <c r="BM32" s="10">
        <f ca="1">ROUND(BD32*U32*AC32*L32*BA32*[1]ステータス!$D$2,0)</f>
        <v>0</v>
      </c>
      <c r="BN32" s="10">
        <f ca="1">ROUND(BD32*V32*AD32*M32*BB32*[1]ステータス!$E$2,0)</f>
        <v>2482</v>
      </c>
      <c r="BO32" s="9">
        <v>0</v>
      </c>
      <c r="BP32" s="9">
        <v>1</v>
      </c>
      <c r="BQ32" s="36" t="s">
        <v>47</v>
      </c>
      <c r="BR32" s="9">
        <f ca="1">VLOOKUP(H32,[2]ghosts_label!$A$2:$B$19,2,FALSE)</f>
        <v>1</v>
      </c>
    </row>
    <row r="33" spans="1:70" ht="26" customHeight="1" x14ac:dyDescent="0.15">
      <c r="A33" s="186">
        <v>1582</v>
      </c>
      <c r="B33" s="53" t="str">
        <f ca="1">VLOOKUP($A33,OFFSET([1]characters!$A$1,0,0,COUNTA([1]characters!$A:$A),MATCH(B$1,[1]characters!$1:$1,0)-MATCH($A$1,[1]characters!$1:$1,0)+1),MATCH(B$1,[1]characters!$1:$1,0)-MATCH($A$1,[1]characters!$1:$1,0)+1,FALSE)</f>
        <v>Gemini02</v>
      </c>
      <c r="C33" s="53">
        <f ca="1">VLOOKUP($A33,OFFSET([1]characters!$A$1,0,0,COUNTA([1]characters!$A:$A),MATCH(C$1,[1]characters!$1:$1,0)-MATCH($A$1,[1]characters!$1:$1,0)+1),MATCH(C$1,[1]characters!$1:$1,0)-MATCH($A$1,[1]characters!$1:$1,0)+1,FALSE)</f>
        <v>0</v>
      </c>
      <c r="D33" s="53">
        <f ca="1">VLOOKUP($A33,OFFSET([1]characters!$A$1,0,0,COUNTA([1]characters!$A:$A),MATCH(D$1,[1]characters!$1:$1,0)-MATCH($A$1,[1]characters!$1:$1,0)+1),MATCH(D$1,[1]characters!$1:$1,0)-MATCH($A$1,[1]characters!$1:$1,0)+1,FALSE)</f>
        <v>0</v>
      </c>
      <c r="E33" s="53">
        <f ca="1">VLOOKUP($A33,OFFSET([1]characters!$A$1,0,0,COUNTA([1]characters!$A:$A),MATCH(E$1,[1]characters!$1:$1,0)-MATCH($A$1,[1]characters!$1:$1,0)+1),MATCH(E$1,[1]characters!$1:$1,0)-MATCH($A$1,[1]characters!$1:$1,0)+1,FALSE)</f>
        <v>0</v>
      </c>
      <c r="F33" s="53">
        <f ca="1">VLOOKUP($A33,OFFSET([1]characters!$A$1,0,0,COUNTA([1]characters!$A:$A),MATCH(F$1,[1]characters!$1:$1,0)-MATCH($A$1,[1]characters!$1:$1,0)+1),MATCH(F$1,[1]characters!$1:$1,0)-MATCH($A$1,[1]characters!$1:$1,0)+1,FALSE)</f>
        <v>0</v>
      </c>
      <c r="G33" s="53">
        <f ca="1">VLOOKUP($A33,OFFSET([1]characters!$A$1,0,0,COUNTA([1]characters!$A:$A),MATCH(G$1,[1]characters!$1:$1,0)-MATCH($A$1,[1]characters!$1:$1,0)+1),MATCH(G$1,[1]characters!$1:$1,0)-MATCH($A$1,[1]characters!$1:$1,0)+1,FALSE)</f>
        <v>6</v>
      </c>
      <c r="H33" s="53" t="str">
        <f ca="1">VLOOKUP($A33,OFFSET([1]characters!$A$1,0,0,COUNTA([1]characters!$A:$A),MATCH(H$1,[1]characters!$1:$1,0)-MATCH($A$1,[1]characters!$1:$1,0)+1),MATCH(H$1,[1]characters!$1:$1,0)-MATCH($A$1,[1]characters!$1:$1,0)+1,FALSE)</f>
        <v>DropWizS</v>
      </c>
      <c r="I33" s="53" t="str">
        <f ca="1">VLOOKUP($A33,OFFSET([1]characters!$A$1,0,0,COUNTA([1]characters!$A:$A),MATCH(I$1,[1]characters!$1:$1,0)-MATCH($A$1,[1]characters!$1:$1,0)+1),MATCH(I$1,[1]characters!$1:$1,0)-MATCH($A$1,[1]characters!$1:$1,0)+1,FALSE)</f>
        <v>red</v>
      </c>
      <c r="J33" s="10">
        <f ca="1">VLOOKUP(I33,[1]属性!$A:$E,2,FALSE)</f>
        <v>1</v>
      </c>
      <c r="K33" s="10">
        <f ca="1">VLOOKUP(I33,[1]属性!$A:$E,3,FALSE)</f>
        <v>1.02</v>
      </c>
      <c r="L33" s="10">
        <f ca="1">VLOOKUP(I33,[1]属性!$A:$E,4,FALSE)</f>
        <v>1</v>
      </c>
      <c r="M33" s="10">
        <f ca="1">VLOOKUP(I33,[1]属性!$A:$E,5,FALSE)</f>
        <v>0.98</v>
      </c>
      <c r="N33" s="10">
        <f ca="1">INDEX(コスト!$A$1:$I$21,MATCH(H33,コスト!$A$1:$A$21,FALSE),MATCH(G33,コスト!$A$1:$I$1,FALSE))</f>
        <v>45</v>
      </c>
      <c r="O33" s="10">
        <f ca="1">INDEX(レベル!$A$1:$I$22,MATCH(H33,レベル!$A$1:$A$22,FALSE),MATCH(G33,レベル!$A$1:$I$1,FALSE))</f>
        <v>99</v>
      </c>
      <c r="P33" s="44">
        <f t="shared" ca="1" si="13"/>
        <v>99</v>
      </c>
      <c r="Q33" s="53" t="str">
        <f ca="1">VLOOKUP($A33,OFFSET([1]characters!$A$1,0,0,COUNTA([1]characters!$A:$A),MATCH(Q$1,[1]characters!$1:$1,0)-MATCH($A$1,[1]characters!$1:$1,0)+1),MATCH(Q$1,[1]characters!$1:$1,0)-MATCH($A$1,[1]characters!$1:$1,0)+1,FALSE)</f>
        <v>technical</v>
      </c>
      <c r="R33" s="5" t="str">
        <f ca="1">VLOOKUP(Q33,[1]character_type_i18n!$A:$H,3,FALSE)</f>
        <v>テクニカルタイプ</v>
      </c>
      <c r="S33" s="10">
        <f ca="1">VLOOKUP(Q33,[1]character_type_i18n!$A:$H,4,FALSE)</f>
        <v>0.9</v>
      </c>
      <c r="T33" s="10">
        <f ca="1">VLOOKUP(Q33,[1]character_type_i18n!$A:$H,5,FALSE)</f>
        <v>0.9</v>
      </c>
      <c r="U33" s="10">
        <f ca="1">VLOOKUP(Q33,[1]character_type_i18n!$A:$H,6,FALSE)</f>
        <v>1</v>
      </c>
      <c r="V33" s="10">
        <f ca="1">VLOOKUP(Q33,[1]character_type_i18n!$A:$H,7,FALSE)</f>
        <v>0.9</v>
      </c>
      <c r="W33" s="53" t="str">
        <f ca="1">VLOOKUP($A33,OFFSET([1]characters!$A$1,0,0,COUNTA([1]characters!$A:$A),MATCH(W$1,[1]characters!$1:$1,0)-MATCH($A$1,[1]characters!$1:$1,0)+1),MATCH(W$1,[1]characters!$1:$1,0)-MATCH($A$1,[1]characters!$1:$1,0)+1,FALSE)</f>
        <v>orochi</v>
      </c>
      <c r="X33" s="5" t="str">
        <f ca="1">VLOOKUP(W33,[1]character_tribe_i18n!$A:$H,3,FALSE)</f>
        <v>オロチ一族</v>
      </c>
      <c r="Y33" s="53" t="str">
        <f ca="1">VLOOKUP($A33,OFFSET([1]characters!$A$1,0,0,COUNTA([1]characters!$A:$A),MATCH(Y$1,[1]characters!$1:$1,0)-MATCH($A$1,[1]characters!$1:$1,0)+1),MATCH(Y$1,[1]characters!$1:$1,0)-MATCH($A$1,[1]characters!$1:$1,0)+1,FALSE)</f>
        <v>none</v>
      </c>
      <c r="Z33" s="5" t="str">
        <f ca="1">VLOOKUP(Y33,[1]character_tribe_i18n!$A:$H,3,FALSE)</f>
        <v>種族なし</v>
      </c>
      <c r="AA33" s="10">
        <f ca="1">VLOOKUP(W33,[1]character_tribe_i18n!$A:$H,4,FALSE)</f>
        <v>1</v>
      </c>
      <c r="AB33" s="10">
        <f ca="1">VLOOKUP(W33,[1]character_tribe_i18n!$A:$H,5,FALSE)</f>
        <v>1</v>
      </c>
      <c r="AC33" s="10">
        <f ca="1">VLOOKUP(W33,[1]character_tribe_i18n!$A:$H,6,FALSE)</f>
        <v>1</v>
      </c>
      <c r="AD33" s="10">
        <f ca="1">VLOOKUP(W33,[1]character_tribe_i18n!$A:$H,7,FALSE)</f>
        <v>1</v>
      </c>
      <c r="AE33" s="187" t="s">
        <v>47</v>
      </c>
      <c r="AF33" s="58" t="str">
        <f ca="1">IF(AE33="NULL","",VLOOKUP($AE33,OFFSET([1]characters!$A$1,0,0,COUNTA([1]characters!$A:$A),MATCH(AF$1,[1]characters!$1:$1,0)-MATCH($A$1,[1]characters!$1:$1,0)+1),MATCH(AF$1,[1]characters!$1:$1,0)-MATCH($A$1,[1]characters!$1:$1,0)+1,FALSE))</f>
        <v/>
      </c>
      <c r="AG33" s="187">
        <v>1581</v>
      </c>
      <c r="AH33" s="58" t="str">
        <f ca="1">VLOOKUP($AG33,OFFSET([1]characters!$A$1,0,0,COUNTA([1]characters!$A:$A),MATCH(AH$1,[1]characters!$1:$1,0)-MATCH($A$1,[1]characters!$1:$1,0)+1),MATCH(AH$1,[1]characters!$1:$1,0)-MATCH($A$1,[1]characters!$1:$1,0)+1,FALSE)</f>
        <v>Gemini01</v>
      </c>
      <c r="AI33" s="10" t="str">
        <f>IF(AE33="NULL","NULL",VLOOKUP(G33,ビット!$A$2:$B$7,2))</f>
        <v>NULL</v>
      </c>
      <c r="AJ33" s="6">
        <v>2</v>
      </c>
      <c r="AK33" s="7" t="str">
        <f t="shared" si="14"/>
        <v>普通</v>
      </c>
      <c r="AL33" s="10" t="str">
        <f ca="1">INDEX(経験値!$A$1:$I$21,MATCH(H33,経験値!$A$1:$A$21,FALSE),MATCH(G33,経験値!$A$1:$I$1,FALSE))</f>
        <v>required_exp_250</v>
      </c>
      <c r="AM33" s="8">
        <f ca="1">VLOOKUP(G33,経験値!$A$28:$B$32,2)</f>
        <v>6400</v>
      </c>
      <c r="AN33" s="16">
        <f ca="1">VLOOKUP(G33,ビット!$G$2:$H$7,2)</f>
        <v>900</v>
      </c>
      <c r="AO33" s="41"/>
      <c r="AP33" s="63">
        <v>1582</v>
      </c>
      <c r="AQ33" s="53" t="str">
        <f ca="1">VLOOKUP($AP33,OFFSET(unit_skills!$A$1,0,0,COUNTA(unit_skills!$A:$A),MATCH(AQ$1,unit_skills!$1:$1,0)-MATCH($AP$1,unit_skills!$1:$1,0)+1),MATCH(AQ$1,unit_skills!$1:$1,0)-MATCH($AP$1,unit_skills!$1:$1,0)+1,FALSE)</f>
        <v>Gemini02スキル</v>
      </c>
      <c r="AR33" s="53" t="str">
        <f ca="1">VLOOKUP($AP33,OFFSET(unit_skills!$A$1,0,0,COUNTA(unit_skills!$A:$A),MATCH(AR$1,unit_skills!$1:$1,0)-MATCH($AP$1,unit_skills!$1:$1,0)+1),MATCH(AR$1,unit_skills!$1:$1,0)-MATCH($AP$1,unit_skills!$1:$1,0)+1,FALSE)</f>
        <v>赤パネル以外を最大12個赤ボムに変換+1ターン青・黄・ハート出現率DOWN</v>
      </c>
      <c r="AS33" s="53">
        <f ca="1">VLOOKUP($AP33,OFFSET(unit_skills!$A$1,0,0,COUNTA(unit_skills!$A:$A),MATCH(AS$1,unit_skills!$1:$1,0)-MATCH($AP$1,unit_skills!$1:$1,0)+1),MATCH(AS$1,unit_skills!$1:$1,0)-MATCH($AP$1,unit_skills!$1:$1,0)+1,FALSE)</f>
        <v>0</v>
      </c>
      <c r="AT33" s="63">
        <v>1582</v>
      </c>
      <c r="AU33" s="53" t="str">
        <f ca="1">VLOOKUP($AT33,OFFSET(crash_skills!$A$1,0,0,COUNTA(crash_skills!$A:$A),MATCH(AU$1,crash_skills!$1:$1,0)-MATCH($AT$1,crash_skills!$1:$1,0)+1),MATCH(AU$1,crash_skills!$1:$1,0)-MATCH($AT$1,crash_skills!$1:$1,0)+1,FALSE)</f>
        <v>Gemini02スキル</v>
      </c>
      <c r="AV33" s="53" t="str">
        <f ca="1">VLOOKUP($AT33,OFFSET(crash_skills!$A$1,0,0,COUNTA(crash_skills!$A:$A),MATCH(AV$1,crash_skills!$1:$1,0)-MATCH($AT$1,crash_skills!$1:$1,0)+1),MATCH(AV$1,crash_skills!$1:$1,0)-MATCH($AT$1,crash_skills!$1:$1,0)+1,FALSE)</f>
        <v>1体に大ダメージ+全体に大ダメージ</v>
      </c>
      <c r="AW33" s="53">
        <f ca="1">VLOOKUP($AT33,OFFSET(crash_skills!$A$1,0,0,COUNTA(crash_skills!$A:$A),MATCH(AW$1,crash_skills!$1:$1,0)-MATCH($AT$1,crash_skills!$1:$1,0)+1),MATCH(AW$1,crash_skills!$1:$1,0)-MATCH($AT$1,crash_skills!$1:$1,0)+1,FALSE)</f>
        <v>0</v>
      </c>
      <c r="AX33" s="54">
        <f ca="1">VLOOKUP($A33,OFFSET([1]characters!$A$1,0,0,COUNTA([1]characters!$A:$A),MATCH(AX$1,[1]characters!$1:$1,0)-MATCH($A$1,[1]characters!$1:$1,0)+1),MATCH(AX$1,[1]characters!$1:$1,0)-MATCH($A$1,[1]characters!$1:$1,0)+1,FALSE)</f>
        <v>1</v>
      </c>
      <c r="AY33" s="64">
        <v>1.0760000000000001</v>
      </c>
      <c r="AZ33" s="64">
        <v>1.21</v>
      </c>
      <c r="BA33" s="64">
        <v>0</v>
      </c>
      <c r="BB33" s="64">
        <v>1.2507999999999999</v>
      </c>
      <c r="BC33" s="10">
        <f ca="1">INDEX('RC6SV'!$A$1:$G$21,MATCH(H33,'RC6SV'!$A$1:$A$21,FALSE),MATCH(G33,'RC6SV'!$A$1:$G$1,FALSE))</f>
        <v>12000</v>
      </c>
      <c r="BD33" s="44">
        <f t="shared" ca="1" si="15"/>
        <v>12000</v>
      </c>
      <c r="BE33" s="10">
        <f t="shared" ca="1" si="3"/>
        <v>9000</v>
      </c>
      <c r="BF33" s="10">
        <f t="shared" ca="1" si="4"/>
        <v>1</v>
      </c>
      <c r="BG33" s="15">
        <f ca="1">IF($BE33&lt;=0,ROUND(BK33*0.5,0), ROUND($BE33*S33*AA33*J33*AY33*0.8*[1]ステータス!$B$2,0))</f>
        <v>3486</v>
      </c>
      <c r="BH33" s="15">
        <f ca="1">IF($BE33&lt;=0,ROUND(BL33*0.5,0), ROUND($BE33*T33*AB33*K33*AZ33*0.8*[1]ステータス!$C$2,0))</f>
        <v>2399</v>
      </c>
      <c r="BI33" s="15">
        <f ca="1">IF($BE33&lt;=0,ROUND(BM33*0.5,0), ROUND($BE33*U33*AC33*L33*BA33*0.8*[1]ステータス!$D$2,0))</f>
        <v>0</v>
      </c>
      <c r="BJ33" s="15">
        <f ca="1">IF($BE33&lt;=0,ROUND(BN33*0.5,0), ROUND($BE33*V33*AD33*M33*BB33*0.8*[1]ステータス!$E$2,0))</f>
        <v>1986</v>
      </c>
      <c r="BK33" s="10">
        <f ca="1">ROUND(BD33*S33*AA33*J33*AY33*[1]ステータス!$B$2,0)</f>
        <v>5810</v>
      </c>
      <c r="BL33" s="10">
        <f ca="1">ROUND(BD33*T33*AB33*K33*AZ33*[1]ステータス!$C$2,0)</f>
        <v>3999</v>
      </c>
      <c r="BM33" s="10">
        <f ca="1">ROUND(BD33*U33*AC33*L33*BA33*[1]ステータス!$D$2,0)</f>
        <v>0</v>
      </c>
      <c r="BN33" s="10">
        <f ca="1">ROUND(BD33*V33*AD33*M33*BB33*[1]ステータス!$E$2,0)</f>
        <v>3310</v>
      </c>
      <c r="BO33" s="9">
        <v>0</v>
      </c>
      <c r="BP33" s="9">
        <v>1</v>
      </c>
      <c r="BQ33" s="9" t="s">
        <v>47</v>
      </c>
      <c r="BR33" s="9">
        <f ca="1">VLOOKUP(H33,[2]ghosts_label!$A$2:$B$19,2,FALSE)</f>
        <v>1</v>
      </c>
    </row>
    <row r="34" spans="1:70" ht="26" customHeight="1" x14ac:dyDescent="0.15">
      <c r="A34" s="186">
        <v>1583</v>
      </c>
      <c r="B34" s="53" t="str">
        <f ca="1">VLOOKUP($A34,OFFSET([1]characters!$A$1,0,0,COUNTA([1]characters!$A:$A),MATCH(B$1,[1]characters!$1:$1,0)-MATCH($A$1,[1]characters!$1:$1,0)+1),MATCH(B$1,[1]characters!$1:$1,0)-MATCH($A$1,[1]characters!$1:$1,0)+1,FALSE)</f>
        <v>Corvus01</v>
      </c>
      <c r="C34" s="53">
        <f ca="1">VLOOKUP($A34,OFFSET([1]characters!$A$1,0,0,COUNTA([1]characters!$A:$A),MATCH(C$1,[1]characters!$1:$1,0)-MATCH($A$1,[1]characters!$1:$1,0)+1),MATCH(C$1,[1]characters!$1:$1,0)-MATCH($A$1,[1]characters!$1:$1,0)+1,FALSE)</f>
        <v>0</v>
      </c>
      <c r="D34" s="53">
        <f ca="1">VLOOKUP($A34,OFFSET([1]characters!$A$1,0,0,COUNTA([1]characters!$A:$A),MATCH(D$1,[1]characters!$1:$1,0)-MATCH($A$1,[1]characters!$1:$1,0)+1),MATCH(D$1,[1]characters!$1:$1,0)-MATCH($A$1,[1]characters!$1:$1,0)+1,FALSE)</f>
        <v>0</v>
      </c>
      <c r="E34" s="53">
        <f ca="1">VLOOKUP($A34,OFFSET([1]characters!$A$1,0,0,COUNTA([1]characters!$A:$A),MATCH(E$1,[1]characters!$1:$1,0)-MATCH($A$1,[1]characters!$1:$1,0)+1),MATCH(E$1,[1]characters!$1:$1,0)-MATCH($A$1,[1]characters!$1:$1,0)+1,FALSE)</f>
        <v>0</v>
      </c>
      <c r="F34" s="53">
        <f ca="1">VLOOKUP($A34,OFFSET([1]characters!$A$1,0,0,COUNTA([1]characters!$A:$A),MATCH(F$1,[1]characters!$1:$1,0)-MATCH($A$1,[1]characters!$1:$1,0)+1),MATCH(F$1,[1]characters!$1:$1,0)-MATCH($A$1,[1]characters!$1:$1,0)+1,FALSE)</f>
        <v>0</v>
      </c>
      <c r="G34" s="53">
        <f ca="1">VLOOKUP($A34,OFFSET([1]characters!$A$1,0,0,COUNTA([1]characters!$A:$A),MATCH(G$1,[1]characters!$1:$1,0)-MATCH($A$1,[1]characters!$1:$1,0)+1),MATCH(G$1,[1]characters!$1:$1,0)-MATCH($A$1,[1]characters!$1:$1,0)+1,FALSE)</f>
        <v>6</v>
      </c>
      <c r="H34" s="53" t="str">
        <f ca="1">VLOOKUP($A34,OFFSET([1]characters!$A$1,0,0,COUNTA([1]characters!$A:$A),MATCH(H$1,[1]characters!$1:$1,0)-MATCH($A$1,[1]characters!$1:$1,0)+1),MATCH(H$1,[1]characters!$1:$1,0)-MATCH($A$1,[1]characters!$1:$1,0)+1,FALSE)</f>
        <v>DropWizS</v>
      </c>
      <c r="I34" s="53" t="str">
        <f ca="1">VLOOKUP($A34,OFFSET([1]characters!$A$1,0,0,COUNTA([1]characters!$A:$A),MATCH(I$1,[1]characters!$1:$1,0)-MATCH($A$1,[1]characters!$1:$1,0)+1),MATCH(I$1,[1]characters!$1:$1,0)-MATCH($A$1,[1]characters!$1:$1,0)+1,FALSE)</f>
        <v>red</v>
      </c>
      <c r="J34" s="10">
        <f ca="1">VLOOKUP(I34,[1]属性!$A:$E,2,FALSE)</f>
        <v>1</v>
      </c>
      <c r="K34" s="10">
        <f ca="1">VLOOKUP(I34,[1]属性!$A:$E,3,FALSE)</f>
        <v>1.02</v>
      </c>
      <c r="L34" s="10">
        <f ca="1">VLOOKUP(I34,[1]属性!$A:$E,4,FALSE)</f>
        <v>1</v>
      </c>
      <c r="M34" s="10">
        <f ca="1">VLOOKUP(I34,[1]属性!$A:$E,5,FALSE)</f>
        <v>0.98</v>
      </c>
      <c r="N34" s="10">
        <f ca="1">INDEX(コスト!$A$1:$I$21,MATCH(H34,コスト!$A$1:$A$21,FALSE),MATCH(G34,コスト!$A$1:$I$1,FALSE))</f>
        <v>45</v>
      </c>
      <c r="O34" s="10">
        <f ca="1">INDEX(レベル!$A$1:$I$22,MATCH(H34,レベル!$A$1:$A$22,FALSE),MATCH(G34,レベル!$A$1:$I$1,FALSE))</f>
        <v>99</v>
      </c>
      <c r="P34" s="44">
        <f t="shared" ca="1" si="13"/>
        <v>99</v>
      </c>
      <c r="Q34" s="53" t="str">
        <f ca="1">VLOOKUP($A34,OFFSET([1]characters!$A$1,0,0,COUNTA([1]characters!$A:$A),MATCH(Q$1,[1]characters!$1:$1,0)-MATCH($A$1,[1]characters!$1:$1,0)+1),MATCH(Q$1,[1]characters!$1:$1,0)-MATCH($A$1,[1]characters!$1:$1,0)+1,FALSE)</f>
        <v>attack</v>
      </c>
      <c r="R34" s="5" t="str">
        <f ca="1">VLOOKUP(Q34,[1]character_type_i18n!$A:$H,3,FALSE)</f>
        <v>攻撃タイプ</v>
      </c>
      <c r="S34" s="10">
        <f ca="1">VLOOKUP(Q34,[1]character_type_i18n!$A:$H,4,FALSE)</f>
        <v>1</v>
      </c>
      <c r="T34" s="10">
        <f ca="1">VLOOKUP(Q34,[1]character_type_i18n!$A:$H,5,FALSE)</f>
        <v>1.33</v>
      </c>
      <c r="U34" s="10">
        <f ca="1">VLOOKUP(Q34,[1]character_type_i18n!$A:$H,6,FALSE)</f>
        <v>1</v>
      </c>
      <c r="V34" s="10">
        <f ca="1">VLOOKUP(Q34,[1]character_type_i18n!$A:$H,7,FALSE)</f>
        <v>0.67</v>
      </c>
      <c r="W34" s="53" t="str">
        <f ca="1">VLOOKUP($A34,OFFSET([1]characters!$A$1,0,0,COUNTA([1]characters!$A:$A),MATCH(W$1,[1]characters!$1:$1,0)-MATCH($A$1,[1]characters!$1:$1,0)+1),MATCH(W$1,[1]characters!$1:$1,0)-MATCH($A$1,[1]characters!$1:$1,0)+1,FALSE)</f>
        <v>orochi</v>
      </c>
      <c r="X34" s="5" t="str">
        <f ca="1">VLOOKUP(W34,[1]character_tribe_i18n!$A:$H,3,FALSE)</f>
        <v>オロチ一族</v>
      </c>
      <c r="Y34" s="53" t="str">
        <f ca="1">VLOOKUP($A34,OFFSET([1]characters!$A$1,0,0,COUNTA([1]characters!$A:$A),MATCH(Y$1,[1]characters!$1:$1,0)-MATCH($A$1,[1]characters!$1:$1,0)+1),MATCH(Y$1,[1]characters!$1:$1,0)-MATCH($A$1,[1]characters!$1:$1,0)+1,FALSE)</f>
        <v>none</v>
      </c>
      <c r="Z34" s="5" t="str">
        <f ca="1">VLOOKUP(Y34,[1]character_tribe_i18n!$A:$H,3,FALSE)</f>
        <v>種族なし</v>
      </c>
      <c r="AA34" s="10">
        <f ca="1">VLOOKUP(W34,[1]character_tribe_i18n!$A:$H,4,FALSE)</f>
        <v>1</v>
      </c>
      <c r="AB34" s="10">
        <f ca="1">VLOOKUP(W34,[1]character_tribe_i18n!$A:$H,5,FALSE)</f>
        <v>1</v>
      </c>
      <c r="AC34" s="10">
        <f ca="1">VLOOKUP(W34,[1]character_tribe_i18n!$A:$H,6,FALSE)</f>
        <v>1</v>
      </c>
      <c r="AD34" s="10">
        <f ca="1">VLOOKUP(W34,[1]character_tribe_i18n!$A:$H,7,FALSE)</f>
        <v>1</v>
      </c>
      <c r="AE34" s="187">
        <v>1582</v>
      </c>
      <c r="AF34" s="58" t="str">
        <f ca="1">IF(AE34="NULL","",VLOOKUP($AE34,OFFSET([1]characters!$A$1,0,0,COUNTA([1]characters!$A:$A),MATCH(AF$1,[1]characters!$1:$1,0)-MATCH($A$1,[1]characters!$1:$1,0)+1),MATCH(AF$1,[1]characters!$1:$1,0)-MATCH($A$1,[1]characters!$1:$1,0)+1,FALSE))</f>
        <v>Gemini02</v>
      </c>
      <c r="AG34" s="187">
        <v>1581</v>
      </c>
      <c r="AH34" s="58" t="str">
        <f ca="1">VLOOKUP($AG34,OFFSET([1]characters!$A$1,0,0,COUNTA([1]characters!$A:$A),MATCH(AH$1,[1]characters!$1:$1,0)-MATCH($A$1,[1]characters!$1:$1,0)+1),MATCH(AH$1,[1]characters!$1:$1,0)-MATCH($A$1,[1]characters!$1:$1,0)+1,FALSE)</f>
        <v>Gemini01</v>
      </c>
      <c r="AI34" s="10">
        <f ca="1">IF(AE34="NULL","NULL",VLOOKUP(G34,ビット!$A$2:$B$7,2))</f>
        <v>200000</v>
      </c>
      <c r="AJ34" s="6">
        <v>2</v>
      </c>
      <c r="AK34" s="7" t="str">
        <f t="shared" si="14"/>
        <v>普通</v>
      </c>
      <c r="AL34" s="10" t="str">
        <f ca="1">INDEX(経験値!$A$1:$I$21,MATCH(H34,経験値!$A$1:$A$21,FALSE),MATCH(G34,経験値!$A$1:$I$1,FALSE))</f>
        <v>required_exp_250</v>
      </c>
      <c r="AM34" s="8">
        <f ca="1">VLOOKUP(G34,経験値!$A$28:$B$32,2)</f>
        <v>6400</v>
      </c>
      <c r="AN34" s="16">
        <f ca="1">VLOOKUP(G34,ビット!$G$2:$H$7,2)</f>
        <v>900</v>
      </c>
      <c r="AO34" s="41"/>
      <c r="AP34" s="63">
        <v>1583</v>
      </c>
      <c r="AQ34" s="53" t="str">
        <f ca="1">VLOOKUP($AP34,OFFSET(unit_skills!$A$1,0,0,COUNTA(unit_skills!$A:$A),MATCH(AQ$1,unit_skills!$1:$1,0)-MATCH($AP$1,unit_skills!$1:$1,0)+1),MATCH(AQ$1,unit_skills!$1:$1,0)-MATCH($AP$1,unit_skills!$1:$1,0)+1,FALSE)</f>
        <v>Corvus01スキル</v>
      </c>
      <c r="AR34" s="53" t="str">
        <f ca="1">VLOOKUP($AP34,OFFSET(unit_skills!$A$1,0,0,COUNTA(unit_skills!$A:$A),MATCH(AR$1,unit_skills!$1:$1,0)-MATCH($AP$1,unit_skills!$1:$1,0)+1),MATCH(AR$1,unit_skills!$1:$1,0)-MATCH($AP$1,unit_skills!$1:$1,0)+1,FALSE)</f>
        <v>ボムをCパネルに変換+青・緑・ダメージパネルを吸収して99999ダメージ+2ターン全ユニットのタップ回数を1増やす</v>
      </c>
      <c r="AS34" s="53">
        <f ca="1">VLOOKUP($AP34,OFFSET(unit_skills!$A$1,0,0,COUNTA(unit_skills!$A:$A),MATCH(AS$1,unit_skills!$1:$1,0)-MATCH($AP$1,unit_skills!$1:$1,0)+1),MATCH(AS$1,unit_skills!$1:$1,0)-MATCH($AP$1,unit_skills!$1:$1,0)+1,FALSE)</f>
        <v>0</v>
      </c>
      <c r="AT34" s="63">
        <v>1583</v>
      </c>
      <c r="AU34" s="53" t="str">
        <f ca="1">VLOOKUP($AT34,OFFSET(crash_skills!$A$1,0,0,COUNTA(crash_skills!$A:$A),MATCH(AU$1,crash_skills!$1:$1,0)-MATCH($AT$1,crash_skills!$1:$1,0)+1),MATCH(AU$1,crash_skills!$1:$1,0)-MATCH($AT$1,crash_skills!$1:$1,0)+1,FALSE)</f>
        <v>Corvus01スキル</v>
      </c>
      <c r="AV34" s="53" t="str">
        <f ca="1">VLOOKUP($AT34,OFFSET(crash_skills!$A$1,0,0,COUNTA(crash_skills!$A:$A),MATCH(AV$1,crash_skills!$1:$1,0)-MATCH($AT$1,crash_skills!$1:$1,0)+1),MATCH(AV$1,crash_skills!$1:$1,0)-MATCH($AT$1,crash_skills!$1:$1,0)+1,FALSE)</f>
        <v>1体に超大ダメージ</v>
      </c>
      <c r="AW34" s="53">
        <f ca="1">VLOOKUP($AT34,OFFSET(crash_skills!$A$1,0,0,COUNTA(crash_skills!$A:$A),MATCH(AW$1,crash_skills!$1:$1,0)-MATCH($AT$1,crash_skills!$1:$1,0)+1),MATCH(AW$1,crash_skills!$1:$1,0)-MATCH($AT$1,crash_skills!$1:$1,0)+1,FALSE)</f>
        <v>0</v>
      </c>
      <c r="AX34" s="54">
        <f ca="1">VLOOKUP($A34,OFFSET([1]characters!$A$1,0,0,COUNTA([1]characters!$A:$A),MATCH(AX$1,[1]characters!$1:$1,0)-MATCH($A$1,[1]characters!$1:$1,0)+1),MATCH(AX$1,[1]characters!$1:$1,0)-MATCH($A$1,[1]characters!$1:$1,0)+1,FALSE)</f>
        <v>1</v>
      </c>
      <c r="AY34" s="64">
        <v>0.96830000000000005</v>
      </c>
      <c r="AZ34" s="64">
        <v>1.1299999999999999</v>
      </c>
      <c r="BA34" s="64">
        <v>0</v>
      </c>
      <c r="BB34" s="64">
        <v>0.96450000000000002</v>
      </c>
      <c r="BC34" s="10">
        <f ca="1">INDEX('RC6SV'!$A$1:$G$21,MATCH(H34,'RC6SV'!$A$1:$A$21,FALSE),MATCH(G34,'RC6SV'!$A$1:$G$1,FALSE))</f>
        <v>12000</v>
      </c>
      <c r="BD34" s="44">
        <f t="shared" ca="1" si="15"/>
        <v>12000</v>
      </c>
      <c r="BE34" s="10">
        <f t="shared" ca="1" si="3"/>
        <v>0</v>
      </c>
      <c r="BF34" s="10">
        <f t="shared" ca="1" si="4"/>
        <v>1</v>
      </c>
      <c r="BG34" s="15">
        <f ca="1">IF($BE34&lt;=0,ROUND(BK34*0.5,0), ROUND($BE34*S34*AA34*J34*AY34*0.8*[1]ステータス!$B$2,0))</f>
        <v>2905</v>
      </c>
      <c r="BH34" s="15">
        <f ca="1">IF($BE34&lt;=0,ROUND(BL34*0.5,0), ROUND($BE34*T34*AB34*K34*AZ34*0.8*[1]ステータス!$C$2,0))</f>
        <v>2760</v>
      </c>
      <c r="BI34" s="15">
        <f ca="1">IF($BE34&lt;=0,ROUND(BM34*0.5,0), ROUND($BE34*U34*AC34*L34*BA34*0.8*[1]ステータス!$D$2,0))</f>
        <v>0</v>
      </c>
      <c r="BJ34" s="15">
        <f ca="1">IF($BE34&lt;=0,ROUND(BN34*0.5,0), ROUND($BE34*V34*AD34*M34*BB34*0.8*[1]ステータス!$E$2,0))</f>
        <v>950</v>
      </c>
      <c r="BK34" s="10">
        <f ca="1">ROUND(BD34*S34*AA34*J34*AY34*[1]ステータス!$B$2,0)</f>
        <v>5810</v>
      </c>
      <c r="BL34" s="10">
        <f ca="1">ROUND(BD34*T34*AB34*K34*AZ34*[1]ステータス!$C$2,0)</f>
        <v>5519</v>
      </c>
      <c r="BM34" s="10">
        <f ca="1">ROUND(BD34*U34*AC34*L34*BA34*[1]ステータス!$D$2,0)</f>
        <v>0</v>
      </c>
      <c r="BN34" s="10">
        <f ca="1">ROUND(BD34*V34*AD34*M34*BB34*[1]ステータス!$E$2,0)</f>
        <v>1900</v>
      </c>
      <c r="BO34" s="9">
        <v>0</v>
      </c>
      <c r="BP34" s="9">
        <v>1</v>
      </c>
      <c r="BQ34" s="36" t="s">
        <v>47</v>
      </c>
      <c r="BR34" s="9">
        <f ca="1">VLOOKUP(H34,[2]ghosts_label!$A$2:$B$19,2,FALSE)</f>
        <v>1</v>
      </c>
    </row>
    <row r="35" spans="1:70" ht="26" customHeight="1" x14ac:dyDescent="0.15">
      <c r="A35" s="186">
        <v>1584</v>
      </c>
      <c r="B35" s="53" t="str">
        <f ca="1">VLOOKUP($A35,OFFSET([1]characters!$A$1,0,0,COUNTA([1]characters!$A:$A),MATCH(B$1,[1]characters!$1:$1,0)-MATCH($A$1,[1]characters!$1:$1,0)+1),MATCH(B$1,[1]characters!$1:$1,0)-MATCH($A$1,[1]characters!$1:$1,0)+1,FALSE)</f>
        <v>Sirius01</v>
      </c>
      <c r="C35" s="53">
        <f ca="1">VLOOKUP($A35,OFFSET([1]characters!$A$1,0,0,COUNTA([1]characters!$A:$A),MATCH(C$1,[1]characters!$1:$1,0)-MATCH($A$1,[1]characters!$1:$1,0)+1),MATCH(C$1,[1]characters!$1:$1,0)-MATCH($A$1,[1]characters!$1:$1,0)+1,FALSE)</f>
        <v>0</v>
      </c>
      <c r="D35" s="53">
        <f ca="1">VLOOKUP($A35,OFFSET([1]characters!$A$1,0,0,COUNTA([1]characters!$A:$A),MATCH(D$1,[1]characters!$1:$1,0)-MATCH($A$1,[1]characters!$1:$1,0)+1),MATCH(D$1,[1]characters!$1:$1,0)-MATCH($A$1,[1]characters!$1:$1,0)+1,FALSE)</f>
        <v>0</v>
      </c>
      <c r="E35" s="53">
        <f ca="1">VLOOKUP($A35,OFFSET([1]characters!$A$1,0,0,COUNTA([1]characters!$A:$A),MATCH(E$1,[1]characters!$1:$1,0)-MATCH($A$1,[1]characters!$1:$1,0)+1),MATCH(E$1,[1]characters!$1:$1,0)-MATCH($A$1,[1]characters!$1:$1,0)+1,FALSE)</f>
        <v>0</v>
      </c>
      <c r="F35" s="53">
        <f ca="1">VLOOKUP($A35,OFFSET([1]characters!$A$1,0,0,COUNTA([1]characters!$A:$A),MATCH(F$1,[1]characters!$1:$1,0)-MATCH($A$1,[1]characters!$1:$1,0)+1),MATCH(F$1,[1]characters!$1:$1,0)-MATCH($A$1,[1]characters!$1:$1,0)+1,FALSE)</f>
        <v>0</v>
      </c>
      <c r="G35" s="53">
        <f ca="1">VLOOKUP($A35,OFFSET([1]characters!$A$1,0,0,COUNTA([1]characters!$A:$A),MATCH(G$1,[1]characters!$1:$1,0)-MATCH($A$1,[1]characters!$1:$1,0)+1),MATCH(G$1,[1]characters!$1:$1,0)-MATCH($A$1,[1]characters!$1:$1,0)+1,FALSE)</f>
        <v>4</v>
      </c>
      <c r="H35" s="53" t="str">
        <f ca="1">VLOOKUP($A35,OFFSET([1]characters!$A$1,0,0,COUNTA([1]characters!$A:$A),MATCH(H$1,[1]characters!$1:$1,0)-MATCH($A$1,[1]characters!$1:$1,0)+1),MATCH(H$1,[1]characters!$1:$1,0)-MATCH($A$1,[1]characters!$1:$1,0)+1,FALSE)</f>
        <v>DropWizS</v>
      </c>
      <c r="I35" s="53" t="str">
        <f ca="1">VLOOKUP($A35,OFFSET([1]characters!$A$1,0,0,COUNTA([1]characters!$A:$A),MATCH(I$1,[1]characters!$1:$1,0)-MATCH($A$1,[1]characters!$1:$1,0)+1),MATCH(I$1,[1]characters!$1:$1,0)-MATCH($A$1,[1]characters!$1:$1,0)+1,FALSE)</f>
        <v>yellow</v>
      </c>
      <c r="J35" s="10">
        <f ca="1">VLOOKUP(I35,[1]属性!$A:$E,2,FALSE)</f>
        <v>0.98</v>
      </c>
      <c r="K35" s="10">
        <f ca="1">VLOOKUP(I35,[1]属性!$A:$E,3,FALSE)</f>
        <v>1.01</v>
      </c>
      <c r="L35" s="10">
        <f ca="1">VLOOKUP(I35,[1]属性!$A:$E,4,FALSE)</f>
        <v>1</v>
      </c>
      <c r="M35" s="10">
        <f ca="1">VLOOKUP(I35,[1]属性!$A:$E,5,FALSE)</f>
        <v>1.01</v>
      </c>
      <c r="N35" s="10">
        <f ca="1">INDEX(コスト!$A$1:$I$21,MATCH(H35,コスト!$A$1:$A$21,FALSE),MATCH(G35,コスト!$A$1:$I$1,FALSE))</f>
        <v>20</v>
      </c>
      <c r="O35" s="10">
        <f ca="1">INDEX(レベル!$A$1:$I$22,MATCH(H35,レベル!$A$1:$A$22,FALSE),MATCH(G35,レベル!$A$1:$I$1,FALSE))</f>
        <v>60</v>
      </c>
      <c r="P35" s="44">
        <f t="shared" ca="1" si="13"/>
        <v>60</v>
      </c>
      <c r="Q35" s="53" t="str">
        <f ca="1">VLOOKUP($A35,OFFSET([1]characters!$A$1,0,0,COUNTA([1]characters!$A:$A),MATCH(Q$1,[1]characters!$1:$1,0)-MATCH($A$1,[1]characters!$1:$1,0)+1),MATCH(Q$1,[1]characters!$1:$1,0)-MATCH($A$1,[1]characters!$1:$1,0)+1,FALSE)</f>
        <v>hp</v>
      </c>
      <c r="R35" s="5" t="str">
        <f ca="1">VLOOKUP(Q35,[1]character_type_i18n!$A:$H,3,FALSE)</f>
        <v>体力タイプ</v>
      </c>
      <c r="S35" s="10">
        <f ca="1">VLOOKUP(Q35,[1]character_type_i18n!$A:$H,4,FALSE)</f>
        <v>1.45</v>
      </c>
      <c r="T35" s="10">
        <f ca="1">VLOOKUP(Q35,[1]character_type_i18n!$A:$H,5,FALSE)</f>
        <v>0.85</v>
      </c>
      <c r="U35" s="10">
        <f ca="1">VLOOKUP(Q35,[1]character_type_i18n!$A:$H,6,FALSE)</f>
        <v>1</v>
      </c>
      <c r="V35" s="10">
        <f ca="1">VLOOKUP(Q35,[1]character_type_i18n!$A:$H,7,FALSE)</f>
        <v>0.7</v>
      </c>
      <c r="W35" s="53" t="str">
        <f ca="1">VLOOKUP($A35,OFFSET([1]characters!$A$1,0,0,COUNTA([1]characters!$A:$A),MATCH(W$1,[1]characters!$1:$1,0)-MATCH($A$1,[1]characters!$1:$1,0)+1),MATCH(W$1,[1]characters!$1:$1,0)-MATCH($A$1,[1]characters!$1:$1,0)+1,FALSE)</f>
        <v>orochi</v>
      </c>
      <c r="X35" s="5" t="str">
        <f ca="1">VLOOKUP(W35,[1]character_tribe_i18n!$A:$H,3,FALSE)</f>
        <v>オロチ一族</v>
      </c>
      <c r="Y35" s="53" t="str">
        <f ca="1">VLOOKUP($A35,OFFSET([1]characters!$A$1,0,0,COUNTA([1]characters!$A:$A),MATCH(Y$1,[1]characters!$1:$1,0)-MATCH($A$1,[1]characters!$1:$1,0)+1),MATCH(Y$1,[1]characters!$1:$1,0)-MATCH($A$1,[1]characters!$1:$1,0)+1,FALSE)</f>
        <v>none</v>
      </c>
      <c r="Z35" s="5" t="str">
        <f ca="1">VLOOKUP(Y35,[1]character_tribe_i18n!$A:$H,3,FALSE)</f>
        <v>種族なし</v>
      </c>
      <c r="AA35" s="10">
        <f ca="1">VLOOKUP(W35,[1]character_tribe_i18n!$A:$H,4,FALSE)</f>
        <v>1</v>
      </c>
      <c r="AB35" s="10">
        <f ca="1">VLOOKUP(W35,[1]character_tribe_i18n!$A:$H,5,FALSE)</f>
        <v>1</v>
      </c>
      <c r="AC35" s="10">
        <f ca="1">VLOOKUP(W35,[1]character_tribe_i18n!$A:$H,6,FALSE)</f>
        <v>1</v>
      </c>
      <c r="AD35" s="10">
        <f ca="1">VLOOKUP(W35,[1]character_tribe_i18n!$A:$H,7,FALSE)</f>
        <v>1</v>
      </c>
      <c r="AE35" s="187">
        <v>1585</v>
      </c>
      <c r="AF35" s="58" t="str">
        <f ca="1">IF(AE35="NULL","",VLOOKUP($AE35,OFFSET([1]characters!$A$1,0,0,COUNTA([1]characters!$A:$A),MATCH(AF$1,[1]characters!$1:$1,0)-MATCH($A$1,[1]characters!$1:$1,0)+1),MATCH(AF$1,[1]characters!$1:$1,0)-MATCH($A$1,[1]characters!$1:$1,0)+1,FALSE))</f>
        <v>Sirius02</v>
      </c>
      <c r="AG35" s="187">
        <v>1584</v>
      </c>
      <c r="AH35" s="58" t="str">
        <f ca="1">VLOOKUP($AG35,OFFSET([1]characters!$A$1,0,0,COUNTA([1]characters!$A:$A),MATCH(AH$1,[1]characters!$1:$1,0)-MATCH($A$1,[1]characters!$1:$1,0)+1),MATCH(AH$1,[1]characters!$1:$1,0)-MATCH($A$1,[1]characters!$1:$1,0)+1,FALSE)</f>
        <v>Sirius01</v>
      </c>
      <c r="AI35" s="10">
        <f ca="1">IF(AE35="NULL","NULL",VLOOKUP(G35,ビット!$A$2:$B$7,2))</f>
        <v>50000</v>
      </c>
      <c r="AJ35" s="6">
        <v>2</v>
      </c>
      <c r="AK35" s="7" t="str">
        <f t="shared" si="14"/>
        <v>普通</v>
      </c>
      <c r="AL35" s="10" t="str">
        <f ca="1">INDEX(経験値!$A$1:$I$21,MATCH(H35,経験値!$A$1:$A$21,FALSE),MATCH(G35,経験値!$A$1:$I$1,FALSE))</f>
        <v>required_exp_200</v>
      </c>
      <c r="AM35" s="8">
        <f ca="1">VLOOKUP(G35,経験値!$A$28:$B$32,2)</f>
        <v>3400</v>
      </c>
      <c r="AN35" s="16">
        <f ca="1">VLOOKUP(G35,ビット!$G$2:$H$7,2)</f>
        <v>600</v>
      </c>
      <c r="AO35" s="41"/>
      <c r="AP35" s="63">
        <v>1584</v>
      </c>
      <c r="AQ35" s="53" t="str">
        <f ca="1">VLOOKUP($AP35,OFFSET(unit_skills!$A$1,0,0,COUNTA(unit_skills!$A:$A),MATCH(AQ$1,unit_skills!$1:$1,0)-MATCH($AP$1,unit_skills!$1:$1,0)+1),MATCH(AQ$1,unit_skills!$1:$1,0)-MATCH($AP$1,unit_skills!$1:$1,0)+1,FALSE)</f>
        <v>Sirius01スキル</v>
      </c>
      <c r="AR35" s="53" t="str">
        <f ca="1">VLOOKUP($AP35,OFFSET(unit_skills!$A$1,0,0,COUNTA(unit_skills!$A:$A),MATCH(AR$1,unit_skills!$1:$1,0)-MATCH($AP$1,unit_skills!$1:$1,0)+1),MATCH(AR$1,unit_skills!$1:$1,0)-MATCH($AP$1,unit_skills!$1:$1,0)+1,FALSE)</f>
        <v>緑パネルを黄パネルに変換+1ターン特大カウンター</v>
      </c>
      <c r="AS35" s="53">
        <f ca="1">VLOOKUP($AP35,OFFSET(unit_skills!$A$1,0,0,COUNTA(unit_skills!$A:$A),MATCH(AS$1,unit_skills!$1:$1,0)-MATCH($AP$1,unit_skills!$1:$1,0)+1),MATCH(AS$1,unit_skills!$1:$1,0)-MATCH($AP$1,unit_skills!$1:$1,0)+1,FALSE)</f>
        <v>0</v>
      </c>
      <c r="AT35" s="63">
        <v>1584</v>
      </c>
      <c r="AU35" s="53" t="str">
        <f ca="1">VLOOKUP($AT35,OFFSET(crash_skills!$A$1,0,0,COUNTA(crash_skills!$A:$A),MATCH(AU$1,crash_skills!$1:$1,0)-MATCH($AT$1,crash_skills!$1:$1,0)+1),MATCH(AU$1,crash_skills!$1:$1,0)-MATCH($AT$1,crash_skills!$1:$1,0)+1,FALSE)</f>
        <v>Sirius01スキル</v>
      </c>
      <c r="AV35" s="53" t="str">
        <f ca="1">VLOOKUP($AT35,OFFSET(crash_skills!$A$1,0,0,COUNTA(crash_skills!$A:$A),MATCH(AV$1,crash_skills!$1:$1,0)-MATCH($AT$1,crash_skills!$1:$1,0)+1),MATCH(AV$1,crash_skills!$1:$1,0)-MATCH($AT$1,crash_skills!$1:$1,0)+1,FALSE)</f>
        <v>1体にダメージ_x000D_攻撃タイプに効果大</v>
      </c>
      <c r="AW35" s="53">
        <f ca="1">VLOOKUP($AT35,OFFSET(crash_skills!$A$1,0,0,COUNTA(crash_skills!$A:$A),MATCH(AW$1,crash_skills!$1:$1,0)-MATCH($AT$1,crash_skills!$1:$1,0)+1),MATCH(AW$1,crash_skills!$1:$1,0)-MATCH($AT$1,crash_skills!$1:$1,0)+1,FALSE)</f>
        <v>0</v>
      </c>
      <c r="AX35" s="54">
        <f ca="1">VLOOKUP($A35,OFFSET([1]characters!$A$1,0,0,COUNTA([1]characters!$A:$A),MATCH(AX$1,[1]characters!$1:$1,0)-MATCH($A$1,[1]characters!$1:$1,0)+1),MATCH(AX$1,[1]characters!$1:$1,0)-MATCH($A$1,[1]characters!$1:$1,0)+1,FALSE)</f>
        <v>1</v>
      </c>
      <c r="AY35" s="64">
        <v>0.92649999999999999</v>
      </c>
      <c r="AZ35" s="64">
        <v>1.1679999999999999</v>
      </c>
      <c r="BA35" s="64">
        <v>0</v>
      </c>
      <c r="BB35" s="64">
        <v>0.77</v>
      </c>
      <c r="BC35" s="10">
        <f ca="1">INDEX('RC6SV'!$A$1:$G$21,MATCH(H35,'RC6SV'!$A$1:$A$21,FALSE),MATCH(G35,'RC6SV'!$A$1:$G$1,FALSE))</f>
        <v>7000</v>
      </c>
      <c r="BD35" s="44">
        <f t="shared" ca="1" si="15"/>
        <v>7000</v>
      </c>
      <c r="BE35" s="10">
        <f t="shared" ca="1" si="3"/>
        <v>0</v>
      </c>
      <c r="BF35" s="10">
        <f t="shared" ca="1" si="4"/>
        <v>1</v>
      </c>
      <c r="BG35" s="15">
        <f ca="1">IF($BE35&lt;=0,ROUND(BK35*0.5,0), ROUND($BE35*S35*AA35*J35*AY35*0.8*[1]ステータス!$B$2,0))</f>
        <v>2304</v>
      </c>
      <c r="BH35" s="15">
        <f ca="1">IF($BE35&lt;=0,ROUND(BL35*0.5,0), ROUND($BE35*T35*AB35*K35*AZ35*0.8*[1]ステータス!$C$2,0))</f>
        <v>1053</v>
      </c>
      <c r="BI35" s="15">
        <f ca="1">IF($BE35&lt;=0,ROUND(BM35*0.5,0), ROUND($BE35*U35*AC35*L35*BA35*0.8*[1]ステータス!$D$2,0))</f>
        <v>0</v>
      </c>
      <c r="BJ35" s="15">
        <f ca="1">IF($BE35&lt;=0,ROUND(BN35*0.5,0), ROUND($BE35*V35*AD35*M35*BB35*0.8*[1]ステータス!$E$2,0))</f>
        <v>477</v>
      </c>
      <c r="BK35" s="10">
        <f ca="1">ROUND(BD35*S35*AA35*J35*AY35*[1]ステータス!$B$2,0)</f>
        <v>4608</v>
      </c>
      <c r="BL35" s="10">
        <f ca="1">ROUND(BD35*T35*AB35*K35*AZ35*[1]ステータス!$C$2,0)</f>
        <v>2106</v>
      </c>
      <c r="BM35" s="10">
        <f ca="1">ROUND(BD35*U35*AC35*L35*BA35*[1]ステータス!$D$2,0)</f>
        <v>0</v>
      </c>
      <c r="BN35" s="10">
        <f ca="1">ROUND(BD35*V35*AD35*M35*BB35*[1]ステータス!$E$2,0)</f>
        <v>953</v>
      </c>
      <c r="BO35" s="9">
        <v>0</v>
      </c>
      <c r="BP35" s="9">
        <v>1</v>
      </c>
      <c r="BQ35" s="9" t="s">
        <v>47</v>
      </c>
      <c r="BR35" s="9">
        <f ca="1">VLOOKUP(H35,[2]ghosts_label!$A$2:$B$19,2,FALSE)</f>
        <v>1</v>
      </c>
    </row>
    <row r="36" spans="1:70" ht="26" customHeight="1" x14ac:dyDescent="0.15">
      <c r="A36" s="186">
        <v>1585</v>
      </c>
      <c r="B36" s="53" t="str">
        <f ca="1">VLOOKUP($A36,OFFSET([1]characters!$A$1,0,0,COUNTA([1]characters!$A:$A),MATCH(B$1,[1]characters!$1:$1,0)-MATCH($A$1,[1]characters!$1:$1,0)+1),MATCH(B$1,[1]characters!$1:$1,0)-MATCH($A$1,[1]characters!$1:$1,0)+1,FALSE)</f>
        <v>Sirius02</v>
      </c>
      <c r="C36" s="53">
        <f ca="1">VLOOKUP($A36,OFFSET([1]characters!$A$1,0,0,COUNTA([1]characters!$A:$A),MATCH(C$1,[1]characters!$1:$1,0)-MATCH($A$1,[1]characters!$1:$1,0)+1),MATCH(C$1,[1]characters!$1:$1,0)-MATCH($A$1,[1]characters!$1:$1,0)+1,FALSE)</f>
        <v>0</v>
      </c>
      <c r="D36" s="53">
        <f ca="1">VLOOKUP($A36,OFFSET([1]characters!$A$1,0,0,COUNTA([1]characters!$A:$A),MATCH(D$1,[1]characters!$1:$1,0)-MATCH($A$1,[1]characters!$1:$1,0)+1),MATCH(D$1,[1]characters!$1:$1,0)-MATCH($A$1,[1]characters!$1:$1,0)+1,FALSE)</f>
        <v>0</v>
      </c>
      <c r="E36" s="53">
        <f ca="1">VLOOKUP($A36,OFFSET([1]characters!$A$1,0,0,COUNTA([1]characters!$A:$A),MATCH(E$1,[1]characters!$1:$1,0)-MATCH($A$1,[1]characters!$1:$1,0)+1),MATCH(E$1,[1]characters!$1:$1,0)-MATCH($A$1,[1]characters!$1:$1,0)+1,FALSE)</f>
        <v>0</v>
      </c>
      <c r="F36" s="53">
        <f ca="1">VLOOKUP($A36,OFFSET([1]characters!$A$1,0,0,COUNTA([1]characters!$A:$A),MATCH(F$1,[1]characters!$1:$1,0)-MATCH($A$1,[1]characters!$1:$1,0)+1),MATCH(F$1,[1]characters!$1:$1,0)-MATCH($A$1,[1]characters!$1:$1,0)+1,FALSE)</f>
        <v>0</v>
      </c>
      <c r="G36" s="53">
        <f ca="1">VLOOKUP($A36,OFFSET([1]characters!$A$1,0,0,COUNTA([1]characters!$A:$A),MATCH(G$1,[1]characters!$1:$1,0)-MATCH($A$1,[1]characters!$1:$1,0)+1),MATCH(G$1,[1]characters!$1:$1,0)-MATCH($A$1,[1]characters!$1:$1,0)+1,FALSE)</f>
        <v>5</v>
      </c>
      <c r="H36" s="53" t="str">
        <f ca="1">VLOOKUP($A36,OFFSET([1]characters!$A$1,0,0,COUNTA([1]characters!$A:$A),MATCH(H$1,[1]characters!$1:$1,0)-MATCH($A$1,[1]characters!$1:$1,0)+1),MATCH(H$1,[1]characters!$1:$1,0)-MATCH($A$1,[1]characters!$1:$1,0)+1,FALSE)</f>
        <v>DropWizS</v>
      </c>
      <c r="I36" s="53" t="str">
        <f ca="1">VLOOKUP($A36,OFFSET([1]characters!$A$1,0,0,COUNTA([1]characters!$A:$A),MATCH(I$1,[1]characters!$1:$1,0)-MATCH($A$1,[1]characters!$1:$1,0)+1),MATCH(I$1,[1]characters!$1:$1,0)-MATCH($A$1,[1]characters!$1:$1,0)+1,FALSE)</f>
        <v>yellow</v>
      </c>
      <c r="J36" s="10">
        <f ca="1">VLOOKUP(I36,[1]属性!$A:$E,2,FALSE)</f>
        <v>0.98</v>
      </c>
      <c r="K36" s="10">
        <f ca="1">VLOOKUP(I36,[1]属性!$A:$E,3,FALSE)</f>
        <v>1.01</v>
      </c>
      <c r="L36" s="10">
        <f ca="1">VLOOKUP(I36,[1]属性!$A:$E,4,FALSE)</f>
        <v>1</v>
      </c>
      <c r="M36" s="10">
        <f ca="1">VLOOKUP(I36,[1]属性!$A:$E,5,FALSE)</f>
        <v>1.01</v>
      </c>
      <c r="N36" s="10">
        <f ca="1">INDEX(コスト!$A$1:$I$21,MATCH(H36,コスト!$A$1:$A$21,FALSE),MATCH(G36,コスト!$A$1:$I$1,FALSE))</f>
        <v>30</v>
      </c>
      <c r="O36" s="10">
        <f ca="1">INDEX(レベル!$A$1:$I$22,MATCH(H36,レベル!$A$1:$A$22,FALSE),MATCH(G36,レベル!$A$1:$I$1,FALSE))</f>
        <v>80</v>
      </c>
      <c r="P36" s="44">
        <f t="shared" ca="1" si="13"/>
        <v>75</v>
      </c>
      <c r="Q36" s="53" t="str">
        <f ca="1">VLOOKUP($A36,OFFSET([1]characters!$A$1,0,0,COUNTA([1]characters!$A:$A),MATCH(Q$1,[1]characters!$1:$1,0)-MATCH($A$1,[1]characters!$1:$1,0)+1),MATCH(Q$1,[1]characters!$1:$1,0)-MATCH($A$1,[1]characters!$1:$1,0)+1,FALSE)</f>
        <v>hp</v>
      </c>
      <c r="R36" s="5" t="str">
        <f ca="1">VLOOKUP(Q36,[1]character_type_i18n!$A:$H,3,FALSE)</f>
        <v>体力タイプ</v>
      </c>
      <c r="S36" s="10">
        <f ca="1">VLOOKUP(Q36,[1]character_type_i18n!$A:$H,4,FALSE)</f>
        <v>1.45</v>
      </c>
      <c r="T36" s="10">
        <f ca="1">VLOOKUP(Q36,[1]character_type_i18n!$A:$H,5,FALSE)</f>
        <v>0.85</v>
      </c>
      <c r="U36" s="10">
        <f ca="1">VLOOKUP(Q36,[1]character_type_i18n!$A:$H,6,FALSE)</f>
        <v>1</v>
      </c>
      <c r="V36" s="10">
        <f ca="1">VLOOKUP(Q36,[1]character_type_i18n!$A:$H,7,FALSE)</f>
        <v>0.7</v>
      </c>
      <c r="W36" s="53" t="str">
        <f ca="1">VLOOKUP($A36,OFFSET([1]characters!$A$1,0,0,COUNTA([1]characters!$A:$A),MATCH(W$1,[1]characters!$1:$1,0)-MATCH($A$1,[1]characters!$1:$1,0)+1),MATCH(W$1,[1]characters!$1:$1,0)-MATCH($A$1,[1]characters!$1:$1,0)+1,FALSE)</f>
        <v>orochi</v>
      </c>
      <c r="X36" s="5" t="str">
        <f ca="1">VLOOKUP(W36,[1]character_tribe_i18n!$A:$H,3,FALSE)</f>
        <v>オロチ一族</v>
      </c>
      <c r="Y36" s="53" t="str">
        <f ca="1">VLOOKUP($A36,OFFSET([1]characters!$A$1,0,0,COUNTA([1]characters!$A:$A),MATCH(Y$1,[1]characters!$1:$1,0)-MATCH($A$1,[1]characters!$1:$1,0)+1),MATCH(Y$1,[1]characters!$1:$1,0)-MATCH($A$1,[1]characters!$1:$1,0)+1,FALSE)</f>
        <v>none</v>
      </c>
      <c r="Z36" s="5" t="str">
        <f ca="1">VLOOKUP(Y36,[1]character_tribe_i18n!$A:$H,3,FALSE)</f>
        <v>種族なし</v>
      </c>
      <c r="AA36" s="10">
        <f ca="1">VLOOKUP(W36,[1]character_tribe_i18n!$A:$H,4,FALSE)</f>
        <v>1</v>
      </c>
      <c r="AB36" s="10">
        <f ca="1">VLOOKUP(W36,[1]character_tribe_i18n!$A:$H,5,FALSE)</f>
        <v>1</v>
      </c>
      <c r="AC36" s="10">
        <f ca="1">VLOOKUP(W36,[1]character_tribe_i18n!$A:$H,6,FALSE)</f>
        <v>1</v>
      </c>
      <c r="AD36" s="10">
        <f ca="1">VLOOKUP(W36,[1]character_tribe_i18n!$A:$H,7,FALSE)</f>
        <v>1</v>
      </c>
      <c r="AE36" s="187">
        <v>1586</v>
      </c>
      <c r="AF36" s="58" t="str">
        <f ca="1">IF(AE36="NULL","",VLOOKUP($AE36,OFFSET([1]characters!$A$1,0,0,COUNTA([1]characters!$A:$A),MATCH(AF$1,[1]characters!$1:$1,0)-MATCH($A$1,[1]characters!$1:$1,0)+1),MATCH(AF$1,[1]characters!$1:$1,0)-MATCH($A$1,[1]characters!$1:$1,0)+1,FALSE))</f>
        <v>Sirius03</v>
      </c>
      <c r="AG36" s="187">
        <v>1584</v>
      </c>
      <c r="AH36" s="58" t="str">
        <f ca="1">VLOOKUP($AG36,OFFSET([1]characters!$A$1,0,0,COUNTA([1]characters!$A:$A),MATCH(AH$1,[1]characters!$1:$1,0)-MATCH($A$1,[1]characters!$1:$1,0)+1),MATCH(AH$1,[1]characters!$1:$1,0)-MATCH($A$1,[1]characters!$1:$1,0)+1,FALSE)</f>
        <v>Sirius01</v>
      </c>
      <c r="AI36" s="10">
        <f ca="1">IF(AE36="NULL","NULL",VLOOKUP(G36,ビット!$A$2:$B$7,2))</f>
        <v>200000</v>
      </c>
      <c r="AJ36" s="6">
        <v>2</v>
      </c>
      <c r="AK36" s="7" t="str">
        <f t="shared" si="14"/>
        <v>普通</v>
      </c>
      <c r="AL36" s="10" t="str">
        <f ca="1">INDEX(経験値!$A$1:$I$21,MATCH(H36,経験値!$A$1:$A$21,FALSE),MATCH(G36,経験値!$A$1:$I$1,FALSE))</f>
        <v>required_exp_200</v>
      </c>
      <c r="AM36" s="8">
        <f ca="1">VLOOKUP(G36,経験値!$A$28:$B$32,2)</f>
        <v>6400</v>
      </c>
      <c r="AN36" s="16">
        <f ca="1">VLOOKUP(G36,ビット!$G$2:$H$7,2)</f>
        <v>900</v>
      </c>
      <c r="AO36" s="41"/>
      <c r="AP36" s="63">
        <v>1585</v>
      </c>
      <c r="AQ36" s="53" t="str">
        <f ca="1">VLOOKUP($AP36,OFFSET(unit_skills!$A$1,0,0,COUNTA(unit_skills!$A:$A),MATCH(AQ$1,unit_skills!$1:$1,0)-MATCH($AP$1,unit_skills!$1:$1,0)+1),MATCH(AQ$1,unit_skills!$1:$1,0)-MATCH($AP$1,unit_skills!$1:$1,0)+1,FALSE)</f>
        <v>Sirius02スキル</v>
      </c>
      <c r="AR36" s="53" t="str">
        <f ca="1">VLOOKUP($AP36,OFFSET(unit_skills!$A$1,0,0,COUNTA(unit_skills!$A:$A),MATCH(AR$1,unit_skills!$1:$1,0)-MATCH($AP$1,unit_skills!$1:$1,0)+1),MATCH(AR$1,unit_skills!$1:$1,0)-MATCH($AP$1,unit_skills!$1:$1,0)+1,FALSE)</f>
        <v>緑パネルを黄パネルに変換+2ターン特大カウンター</v>
      </c>
      <c r="AS36" s="53">
        <f ca="1">VLOOKUP($AP36,OFFSET(unit_skills!$A$1,0,0,COUNTA(unit_skills!$A:$A),MATCH(AS$1,unit_skills!$1:$1,0)-MATCH($AP$1,unit_skills!$1:$1,0)+1),MATCH(AS$1,unit_skills!$1:$1,0)-MATCH($AP$1,unit_skills!$1:$1,0)+1,FALSE)</f>
        <v>0</v>
      </c>
      <c r="AT36" s="63">
        <v>1585</v>
      </c>
      <c r="AU36" s="53" t="str">
        <f ca="1">VLOOKUP($AT36,OFFSET(crash_skills!$A$1,0,0,COUNTA(crash_skills!$A:$A),MATCH(AU$1,crash_skills!$1:$1,0)-MATCH($AT$1,crash_skills!$1:$1,0)+1),MATCH(AU$1,crash_skills!$1:$1,0)-MATCH($AT$1,crash_skills!$1:$1,0)+1,FALSE)</f>
        <v>Sirius02スキル</v>
      </c>
      <c r="AV36" s="53" t="str">
        <f ca="1">VLOOKUP($AT36,OFFSET(crash_skills!$A$1,0,0,COUNTA(crash_skills!$A:$A),MATCH(AV$1,crash_skills!$1:$1,0)-MATCH($AT$1,crash_skills!$1:$1,0)+1),MATCH(AV$1,crash_skills!$1:$1,0)-MATCH($AT$1,crash_skills!$1:$1,0)+1,FALSE)</f>
        <v>1体にダメージ_x000D_攻撃タイプに効果特大</v>
      </c>
      <c r="AW36" s="53">
        <f ca="1">VLOOKUP($AT36,OFFSET(crash_skills!$A$1,0,0,COUNTA(crash_skills!$A:$A),MATCH(AW$1,crash_skills!$1:$1,0)-MATCH($AT$1,crash_skills!$1:$1,0)+1),MATCH(AW$1,crash_skills!$1:$1,0)-MATCH($AT$1,crash_skills!$1:$1,0)+1,FALSE)</f>
        <v>0</v>
      </c>
      <c r="AX36" s="54">
        <f ca="1">VLOOKUP($A36,OFFSET([1]characters!$A$1,0,0,COUNTA([1]characters!$A:$A),MATCH(AX$1,[1]characters!$1:$1,0)-MATCH($A$1,[1]characters!$1:$1,0)+1),MATCH(AX$1,[1]characters!$1:$1,0)-MATCH($A$1,[1]characters!$1:$1,0)+1,FALSE)</f>
        <v>1</v>
      </c>
      <c r="AY36" s="64">
        <v>0.92649999999999999</v>
      </c>
      <c r="AZ36" s="64">
        <v>1.1679999999999999</v>
      </c>
      <c r="BA36" s="64">
        <v>0</v>
      </c>
      <c r="BB36" s="64">
        <v>0.77</v>
      </c>
      <c r="BC36" s="10">
        <f ca="1">INDEX('RC6SV'!$A$1:$G$21,MATCH(H36,'RC6SV'!$A$1:$A$21,FALSE),MATCH(G36,'RC6SV'!$A$1:$G$1,FALSE))</f>
        <v>9000</v>
      </c>
      <c r="BD36" s="44">
        <f t="shared" ca="1" si="15"/>
        <v>9000</v>
      </c>
      <c r="BE36" s="10">
        <f t="shared" ca="1" si="3"/>
        <v>7000</v>
      </c>
      <c r="BF36" s="10">
        <f t="shared" ca="1" si="4"/>
        <v>1</v>
      </c>
      <c r="BG36" s="15">
        <f ca="1">IF($BE36&lt;=0,ROUND(BK36*0.5,0), ROUND($BE36*S36*AA36*J36*AY36*0.8*[1]ステータス!$B$2,0))</f>
        <v>3686</v>
      </c>
      <c r="BH36" s="15">
        <f ca="1">IF($BE36&lt;=0,ROUND(BL36*0.5,0), ROUND($BE36*T36*AB36*K36*AZ36*0.8*[1]ステータス!$C$2,0))</f>
        <v>1685</v>
      </c>
      <c r="BI36" s="15">
        <f ca="1">IF($BE36&lt;=0,ROUND(BM36*0.5,0), ROUND($BE36*U36*AC36*L36*BA36*0.8*[1]ステータス!$D$2,0))</f>
        <v>0</v>
      </c>
      <c r="BJ36" s="15">
        <f ca="1">IF($BE36&lt;=0,ROUND(BN36*0.5,0), ROUND($BE36*V36*AD36*M36*BB36*0.8*[1]ステータス!$E$2,0))</f>
        <v>762</v>
      </c>
      <c r="BK36" s="10">
        <f ca="1">ROUND(BD36*S36*AA36*J36*AY36*[1]ステータス!$B$2,0)</f>
        <v>5925</v>
      </c>
      <c r="BL36" s="10">
        <f ca="1">ROUND(BD36*T36*AB36*K36*AZ36*[1]ステータス!$C$2,0)</f>
        <v>2707</v>
      </c>
      <c r="BM36" s="10">
        <f ca="1">ROUND(BD36*U36*AC36*L36*BA36*[1]ステータス!$D$2,0)</f>
        <v>0</v>
      </c>
      <c r="BN36" s="10">
        <f ca="1">ROUND(BD36*V36*AD36*M36*BB36*[1]ステータス!$E$2,0)</f>
        <v>1225</v>
      </c>
      <c r="BO36" s="9">
        <v>0</v>
      </c>
      <c r="BP36" s="9">
        <v>1</v>
      </c>
      <c r="BQ36" s="36" t="s">
        <v>47</v>
      </c>
      <c r="BR36" s="9">
        <f ca="1">VLOOKUP(H36,[2]ghosts_label!$A$2:$B$19,2,FALSE)</f>
        <v>1</v>
      </c>
    </row>
    <row r="37" spans="1:70" ht="26" customHeight="1" x14ac:dyDescent="0.15">
      <c r="A37" s="186">
        <v>1586</v>
      </c>
      <c r="B37" s="53" t="str">
        <f ca="1">VLOOKUP($A37,OFFSET([1]characters!$A$1,0,0,COUNTA([1]characters!$A:$A),MATCH(B$1,[1]characters!$1:$1,0)-MATCH($A$1,[1]characters!$1:$1,0)+1),MATCH(B$1,[1]characters!$1:$1,0)-MATCH($A$1,[1]characters!$1:$1,0)+1,FALSE)</f>
        <v>Sirius03</v>
      </c>
      <c r="C37" s="53">
        <f ca="1">VLOOKUP($A37,OFFSET([1]characters!$A$1,0,0,COUNTA([1]characters!$A:$A),MATCH(C$1,[1]characters!$1:$1,0)-MATCH($A$1,[1]characters!$1:$1,0)+1),MATCH(C$1,[1]characters!$1:$1,0)-MATCH($A$1,[1]characters!$1:$1,0)+1,FALSE)</f>
        <v>0</v>
      </c>
      <c r="D37" s="53">
        <f ca="1">VLOOKUP($A37,OFFSET([1]characters!$A$1,0,0,COUNTA([1]characters!$A:$A),MATCH(D$1,[1]characters!$1:$1,0)-MATCH($A$1,[1]characters!$1:$1,0)+1),MATCH(D$1,[1]characters!$1:$1,0)-MATCH($A$1,[1]characters!$1:$1,0)+1,FALSE)</f>
        <v>0</v>
      </c>
      <c r="E37" s="53">
        <f ca="1">VLOOKUP($A37,OFFSET([1]characters!$A$1,0,0,COUNTA([1]characters!$A:$A),MATCH(E$1,[1]characters!$1:$1,0)-MATCH($A$1,[1]characters!$1:$1,0)+1),MATCH(E$1,[1]characters!$1:$1,0)-MATCH($A$1,[1]characters!$1:$1,0)+1,FALSE)</f>
        <v>0</v>
      </c>
      <c r="F37" s="53">
        <f ca="1">VLOOKUP($A37,OFFSET([1]characters!$A$1,0,0,COUNTA([1]characters!$A:$A),MATCH(F$1,[1]characters!$1:$1,0)-MATCH($A$1,[1]characters!$1:$1,0)+1),MATCH(F$1,[1]characters!$1:$1,0)-MATCH($A$1,[1]characters!$1:$1,0)+1,FALSE)</f>
        <v>0</v>
      </c>
      <c r="G37" s="53">
        <f ca="1">VLOOKUP($A37,OFFSET([1]characters!$A$1,0,0,COUNTA([1]characters!$A:$A),MATCH(G$1,[1]characters!$1:$1,0)-MATCH($A$1,[1]characters!$1:$1,0)+1),MATCH(G$1,[1]characters!$1:$1,0)-MATCH($A$1,[1]characters!$1:$1,0)+1,FALSE)</f>
        <v>6</v>
      </c>
      <c r="H37" s="53" t="str">
        <f ca="1">VLOOKUP($A37,OFFSET([1]characters!$A$1,0,0,COUNTA([1]characters!$A:$A),MATCH(H$1,[1]characters!$1:$1,0)-MATCH($A$1,[1]characters!$1:$1,0)+1),MATCH(H$1,[1]characters!$1:$1,0)-MATCH($A$1,[1]characters!$1:$1,0)+1,FALSE)</f>
        <v>DropWizS</v>
      </c>
      <c r="I37" s="53" t="str">
        <f ca="1">VLOOKUP($A37,OFFSET([1]characters!$A$1,0,0,COUNTA([1]characters!$A:$A),MATCH(I$1,[1]characters!$1:$1,0)-MATCH($A$1,[1]characters!$1:$1,0)+1),MATCH(I$1,[1]characters!$1:$1,0)-MATCH($A$1,[1]characters!$1:$1,0)+1,FALSE)</f>
        <v>yellow</v>
      </c>
      <c r="J37" s="10">
        <f ca="1">VLOOKUP(I37,[1]属性!$A:$E,2,FALSE)</f>
        <v>0.98</v>
      </c>
      <c r="K37" s="10">
        <f ca="1">VLOOKUP(I37,[1]属性!$A:$E,3,FALSE)</f>
        <v>1.01</v>
      </c>
      <c r="L37" s="10">
        <f ca="1">VLOOKUP(I37,[1]属性!$A:$E,4,FALSE)</f>
        <v>1</v>
      </c>
      <c r="M37" s="10">
        <f ca="1">VLOOKUP(I37,[1]属性!$A:$E,5,FALSE)</f>
        <v>1.01</v>
      </c>
      <c r="N37" s="10">
        <f ca="1">INDEX(コスト!$A$1:$I$21,MATCH(H37,コスト!$A$1:$A$21,FALSE),MATCH(G37,コスト!$A$1:$I$1,FALSE))</f>
        <v>45</v>
      </c>
      <c r="O37" s="10">
        <f ca="1">INDEX(レベル!$A$1:$I$22,MATCH(H37,レベル!$A$1:$A$22,FALSE),MATCH(G37,レベル!$A$1:$I$1,FALSE))</f>
        <v>99</v>
      </c>
      <c r="P37" s="44">
        <f t="shared" ca="1" si="13"/>
        <v>99</v>
      </c>
      <c r="Q37" s="53" t="str">
        <f ca="1">VLOOKUP($A37,OFFSET([1]characters!$A$1,0,0,COUNTA([1]characters!$A:$A),MATCH(Q$1,[1]characters!$1:$1,0)-MATCH($A$1,[1]characters!$1:$1,0)+1),MATCH(Q$1,[1]characters!$1:$1,0)-MATCH($A$1,[1]characters!$1:$1,0)+1,FALSE)</f>
        <v>hp</v>
      </c>
      <c r="R37" s="5" t="str">
        <f ca="1">VLOOKUP(Q37,[1]character_type_i18n!$A:$H,3,FALSE)</f>
        <v>体力タイプ</v>
      </c>
      <c r="S37" s="10">
        <f ca="1">VLOOKUP(Q37,[1]character_type_i18n!$A:$H,4,FALSE)</f>
        <v>1.45</v>
      </c>
      <c r="T37" s="10">
        <f ca="1">VLOOKUP(Q37,[1]character_type_i18n!$A:$H,5,FALSE)</f>
        <v>0.85</v>
      </c>
      <c r="U37" s="10">
        <f ca="1">VLOOKUP(Q37,[1]character_type_i18n!$A:$H,6,FALSE)</f>
        <v>1</v>
      </c>
      <c r="V37" s="10">
        <f ca="1">VLOOKUP(Q37,[1]character_type_i18n!$A:$H,7,FALSE)</f>
        <v>0.7</v>
      </c>
      <c r="W37" s="53" t="str">
        <f ca="1">VLOOKUP($A37,OFFSET([1]characters!$A$1,0,0,COUNTA([1]characters!$A:$A),MATCH(W$1,[1]characters!$1:$1,0)-MATCH($A$1,[1]characters!$1:$1,0)+1),MATCH(W$1,[1]characters!$1:$1,0)-MATCH($A$1,[1]characters!$1:$1,0)+1,FALSE)</f>
        <v>orochi</v>
      </c>
      <c r="X37" s="5" t="str">
        <f ca="1">VLOOKUP(W37,[1]character_tribe_i18n!$A:$H,3,FALSE)</f>
        <v>オロチ一族</v>
      </c>
      <c r="Y37" s="53" t="str">
        <f ca="1">VLOOKUP($A37,OFFSET([1]characters!$A$1,0,0,COUNTA([1]characters!$A:$A),MATCH(Y$1,[1]characters!$1:$1,0)-MATCH($A$1,[1]characters!$1:$1,0)+1),MATCH(Y$1,[1]characters!$1:$1,0)-MATCH($A$1,[1]characters!$1:$1,0)+1,FALSE)</f>
        <v>none</v>
      </c>
      <c r="Z37" s="5" t="str">
        <f ca="1">VLOOKUP(Y37,[1]character_tribe_i18n!$A:$H,3,FALSE)</f>
        <v>種族なし</v>
      </c>
      <c r="AA37" s="10">
        <f ca="1">VLOOKUP(W37,[1]character_tribe_i18n!$A:$H,4,FALSE)</f>
        <v>1</v>
      </c>
      <c r="AB37" s="10">
        <f ca="1">VLOOKUP(W37,[1]character_tribe_i18n!$A:$H,5,FALSE)</f>
        <v>1</v>
      </c>
      <c r="AC37" s="10">
        <f ca="1">VLOOKUP(W37,[1]character_tribe_i18n!$A:$H,6,FALSE)</f>
        <v>1</v>
      </c>
      <c r="AD37" s="10">
        <f ca="1">VLOOKUP(W37,[1]character_tribe_i18n!$A:$H,7,FALSE)</f>
        <v>1</v>
      </c>
      <c r="AE37" s="187" t="s">
        <v>47</v>
      </c>
      <c r="AF37" s="58" t="str">
        <f ca="1">IF(AE37="NULL","",VLOOKUP($AE37,OFFSET([1]characters!$A$1,0,0,COUNTA([1]characters!$A:$A),MATCH(AF$1,[1]characters!$1:$1,0)-MATCH($A$1,[1]characters!$1:$1,0)+1),MATCH(AF$1,[1]characters!$1:$1,0)-MATCH($A$1,[1]characters!$1:$1,0)+1,FALSE))</f>
        <v/>
      </c>
      <c r="AG37" s="187">
        <v>1584</v>
      </c>
      <c r="AH37" s="58" t="str">
        <f ca="1">VLOOKUP($AG37,OFFSET([1]characters!$A$1,0,0,COUNTA([1]characters!$A:$A),MATCH(AH$1,[1]characters!$1:$1,0)-MATCH($A$1,[1]characters!$1:$1,0)+1),MATCH(AH$1,[1]characters!$1:$1,0)-MATCH($A$1,[1]characters!$1:$1,0)+1,FALSE)</f>
        <v>Sirius01</v>
      </c>
      <c r="AI37" s="10" t="str">
        <f>IF(AE37="NULL","NULL",VLOOKUP(G37,ビット!$A$2:$B$7,2))</f>
        <v>NULL</v>
      </c>
      <c r="AJ37" s="6">
        <v>2</v>
      </c>
      <c r="AK37" s="7" t="str">
        <f t="shared" si="14"/>
        <v>普通</v>
      </c>
      <c r="AL37" s="10" t="str">
        <f ca="1">INDEX(経験値!$A$1:$I$21,MATCH(H37,経験値!$A$1:$A$21,FALSE),MATCH(G37,経験値!$A$1:$I$1,FALSE))</f>
        <v>required_exp_250</v>
      </c>
      <c r="AM37" s="8">
        <f ca="1">VLOOKUP(G37,経験値!$A$28:$B$32,2)</f>
        <v>6400</v>
      </c>
      <c r="AN37" s="16">
        <f ca="1">VLOOKUP(G37,ビット!$G$2:$H$7,2)</f>
        <v>900</v>
      </c>
      <c r="AO37" s="41"/>
      <c r="AP37" s="63">
        <v>1586</v>
      </c>
      <c r="AQ37" s="53" t="str">
        <f ca="1">VLOOKUP($AP37,OFFSET(unit_skills!$A$1,0,0,COUNTA(unit_skills!$A:$A),MATCH(AQ$1,unit_skills!$1:$1,0)-MATCH($AP$1,unit_skills!$1:$1,0)+1),MATCH(AQ$1,unit_skills!$1:$1,0)-MATCH($AP$1,unit_skills!$1:$1,0)+1,FALSE)</f>
        <v>Sirius03スキル</v>
      </c>
      <c r="AR37" s="53" t="str">
        <f ca="1">VLOOKUP($AP37,OFFSET(unit_skills!$A$1,0,0,COUNTA(unit_skills!$A:$A),MATCH(AR$1,unit_skills!$1:$1,0)-MATCH($AP$1,unit_skills!$1:$1,0)+1),MATCH(AR$1,unit_skills!$1:$1,0)-MATCH($AP$1,unit_skills!$1:$1,0)+1,FALSE)</f>
        <v>緑パネルを黄パネルに、お邪魔パネルを黄ボムパネルに変換+3ターン生成短縮(大)、特大カウンター</v>
      </c>
      <c r="AS37" s="53">
        <f ca="1">VLOOKUP($AP37,OFFSET(unit_skills!$A$1,0,0,COUNTA(unit_skills!$A:$A),MATCH(AS$1,unit_skills!$1:$1,0)-MATCH($AP$1,unit_skills!$1:$1,0)+1),MATCH(AS$1,unit_skills!$1:$1,0)-MATCH($AP$1,unit_skills!$1:$1,0)+1,FALSE)</f>
        <v>0</v>
      </c>
      <c r="AT37" s="63">
        <v>1586</v>
      </c>
      <c r="AU37" s="53" t="str">
        <f ca="1">VLOOKUP($AT37,OFFSET(crash_skills!$A$1,0,0,COUNTA(crash_skills!$A:$A),MATCH(AU$1,crash_skills!$1:$1,0)-MATCH($AT$1,crash_skills!$1:$1,0)+1),MATCH(AU$1,crash_skills!$1:$1,0)-MATCH($AT$1,crash_skills!$1:$1,0)+1,FALSE)</f>
        <v>Sirius03スキル</v>
      </c>
      <c r="AV37" s="53" t="str">
        <f ca="1">VLOOKUP($AT37,OFFSET(crash_skills!$A$1,0,0,COUNTA(crash_skills!$A:$A),MATCH(AV$1,crash_skills!$1:$1,0)-MATCH($AT$1,crash_skills!$1:$1,0)+1),MATCH(AV$1,crash_skills!$1:$1,0)-MATCH($AT$1,crash_skills!$1:$1,0)+1,FALSE)</f>
        <v>1体に大ダメージ_x000D_攻撃タイプに効果特大</v>
      </c>
      <c r="AW37" s="53">
        <f ca="1">VLOOKUP($AT37,OFFSET(crash_skills!$A$1,0,0,COUNTA(crash_skills!$A:$A),MATCH(AW$1,crash_skills!$1:$1,0)-MATCH($AT$1,crash_skills!$1:$1,0)+1),MATCH(AW$1,crash_skills!$1:$1,0)-MATCH($AT$1,crash_skills!$1:$1,0)+1,FALSE)</f>
        <v>0</v>
      </c>
      <c r="AX37" s="54">
        <f ca="1">VLOOKUP($A37,OFFSET([1]characters!$A$1,0,0,COUNTA([1]characters!$A:$A),MATCH(AX$1,[1]characters!$1:$1,0)-MATCH($A$1,[1]characters!$1:$1,0)+1),MATCH(AX$1,[1]characters!$1:$1,0)-MATCH($A$1,[1]characters!$1:$1,0)+1,FALSE)</f>
        <v>1</v>
      </c>
      <c r="AY37" s="64">
        <v>0.92649999999999999</v>
      </c>
      <c r="AZ37" s="64">
        <v>1.1679999999999999</v>
      </c>
      <c r="BA37" s="64">
        <v>0</v>
      </c>
      <c r="BB37" s="64">
        <v>0.77</v>
      </c>
      <c r="BC37" s="10">
        <f ca="1">INDEX('RC6SV'!$A$1:$G$21,MATCH(H37,'RC6SV'!$A$1:$A$21,FALSE),MATCH(G37,'RC6SV'!$A$1:$G$1,FALSE))</f>
        <v>12000</v>
      </c>
      <c r="BD37" s="44">
        <f t="shared" ca="1" si="15"/>
        <v>12000</v>
      </c>
      <c r="BE37" s="10">
        <f t="shared" ca="1" si="3"/>
        <v>9000</v>
      </c>
      <c r="BF37" s="10">
        <f t="shared" ca="1" si="4"/>
        <v>1</v>
      </c>
      <c r="BG37" s="15">
        <f ca="1">IF($BE37&lt;=0,ROUND(BK37*0.5,0), ROUND($BE37*S37*AA37*J37*AY37*0.8*[1]ステータス!$B$2,0))</f>
        <v>4740</v>
      </c>
      <c r="BH37" s="15">
        <f ca="1">IF($BE37&lt;=0,ROUND(BL37*0.5,0), ROUND($BE37*T37*AB37*K37*AZ37*0.8*[1]ステータス!$C$2,0))</f>
        <v>2166</v>
      </c>
      <c r="BI37" s="15">
        <f ca="1">IF($BE37&lt;=0,ROUND(BM37*0.5,0), ROUND($BE37*U37*AC37*L37*BA37*0.8*[1]ステータス!$D$2,0))</f>
        <v>0</v>
      </c>
      <c r="BJ37" s="15">
        <f ca="1">IF($BE37&lt;=0,ROUND(BN37*0.5,0), ROUND($BE37*V37*AD37*M37*BB37*0.8*[1]ステータス!$E$2,0))</f>
        <v>980</v>
      </c>
      <c r="BK37" s="10">
        <f ca="1">ROUND(BD37*S37*AA37*J37*AY37*[1]ステータス!$B$2,0)</f>
        <v>7899</v>
      </c>
      <c r="BL37" s="10">
        <f ca="1">ROUND(BD37*T37*AB37*K37*AZ37*[1]ステータス!$C$2,0)</f>
        <v>3610</v>
      </c>
      <c r="BM37" s="10">
        <f ca="1">ROUND(BD37*U37*AC37*L37*BA37*[1]ステータス!$D$2,0)</f>
        <v>0</v>
      </c>
      <c r="BN37" s="10">
        <f ca="1">ROUND(BD37*V37*AD37*M37*BB37*[1]ステータス!$E$2,0)</f>
        <v>1633</v>
      </c>
      <c r="BO37" s="9">
        <v>0</v>
      </c>
      <c r="BP37" s="9">
        <v>1</v>
      </c>
      <c r="BQ37" s="9" t="s">
        <v>47</v>
      </c>
      <c r="BR37" s="9">
        <f ca="1">VLOOKUP(H37,[2]ghosts_label!$A$2:$B$19,2,FALSE)</f>
        <v>1</v>
      </c>
    </row>
    <row r="38" spans="1:70" ht="26" customHeight="1" x14ac:dyDescent="0.15">
      <c r="A38" s="186">
        <v>1587</v>
      </c>
      <c r="B38" s="53" t="str">
        <f ca="1">VLOOKUP($A38,OFFSET([1]characters!$A$1,0,0,COUNTA([1]characters!$A:$A),MATCH(B$1,[1]characters!$1:$1,0)-MATCH($A$1,[1]characters!$1:$1,0)+1),MATCH(B$1,[1]characters!$1:$1,0)-MATCH($A$1,[1]characters!$1:$1,0)+1,FALSE)</f>
        <v>Virgo01</v>
      </c>
      <c r="C38" s="53">
        <f ca="1">VLOOKUP($A38,OFFSET([1]characters!$A$1,0,0,COUNTA([1]characters!$A:$A),MATCH(C$1,[1]characters!$1:$1,0)-MATCH($A$1,[1]characters!$1:$1,0)+1),MATCH(C$1,[1]characters!$1:$1,0)-MATCH($A$1,[1]characters!$1:$1,0)+1,FALSE)</f>
        <v>0</v>
      </c>
      <c r="D38" s="53">
        <f ca="1">VLOOKUP($A38,OFFSET([1]characters!$A$1,0,0,COUNTA([1]characters!$A:$A),MATCH(D$1,[1]characters!$1:$1,0)-MATCH($A$1,[1]characters!$1:$1,0)+1),MATCH(D$1,[1]characters!$1:$1,0)-MATCH($A$1,[1]characters!$1:$1,0)+1,FALSE)</f>
        <v>0</v>
      </c>
      <c r="E38" s="53">
        <f ca="1">VLOOKUP($A38,OFFSET([1]characters!$A$1,0,0,COUNTA([1]characters!$A:$A),MATCH(E$1,[1]characters!$1:$1,0)-MATCH($A$1,[1]characters!$1:$1,0)+1),MATCH(E$1,[1]characters!$1:$1,0)-MATCH($A$1,[1]characters!$1:$1,0)+1,FALSE)</f>
        <v>0</v>
      </c>
      <c r="F38" s="53">
        <f ca="1">VLOOKUP($A38,OFFSET([1]characters!$A$1,0,0,COUNTA([1]characters!$A:$A),MATCH(F$1,[1]characters!$1:$1,0)-MATCH($A$1,[1]characters!$1:$1,0)+1),MATCH(F$1,[1]characters!$1:$1,0)-MATCH($A$1,[1]characters!$1:$1,0)+1,FALSE)</f>
        <v>0</v>
      </c>
      <c r="G38" s="53">
        <f ca="1">VLOOKUP($A38,OFFSET([1]characters!$A$1,0,0,COUNTA([1]characters!$A:$A),MATCH(G$1,[1]characters!$1:$1,0)-MATCH($A$1,[1]characters!$1:$1,0)+1),MATCH(G$1,[1]characters!$1:$1,0)-MATCH($A$1,[1]characters!$1:$1,0)+1,FALSE)</f>
        <v>5</v>
      </c>
      <c r="H38" s="53" t="str">
        <f ca="1">VLOOKUP($A38,OFFSET([1]characters!$A$1,0,0,COUNTA([1]characters!$A:$A),MATCH(H$1,[1]characters!$1:$1,0)-MATCH($A$1,[1]characters!$1:$1,0)+1),MATCH(H$1,[1]characters!$1:$1,0)-MATCH($A$1,[1]characters!$1:$1,0)+1,FALSE)</f>
        <v>DropWizS</v>
      </c>
      <c r="I38" s="53" t="str">
        <f ca="1">VLOOKUP($A38,OFFSET([1]characters!$A$1,0,0,COUNTA([1]characters!$A:$A),MATCH(I$1,[1]characters!$1:$1,0)-MATCH($A$1,[1]characters!$1:$1,0)+1),MATCH(I$1,[1]characters!$1:$1,0)-MATCH($A$1,[1]characters!$1:$1,0)+1,FALSE)</f>
        <v>green</v>
      </c>
      <c r="J38" s="10">
        <f ca="1">VLOOKUP(I38,[1]属性!$A:$E,2,FALSE)</f>
        <v>1.02</v>
      </c>
      <c r="K38" s="10">
        <f ca="1">VLOOKUP(I38,[1]属性!$A:$E,3,FALSE)</f>
        <v>0.98</v>
      </c>
      <c r="L38" s="10">
        <f ca="1">VLOOKUP(I38,[1]属性!$A:$E,4,FALSE)</f>
        <v>1</v>
      </c>
      <c r="M38" s="10">
        <f ca="1">VLOOKUP(I38,[1]属性!$A:$E,5,FALSE)</f>
        <v>1</v>
      </c>
      <c r="N38" s="10">
        <f ca="1">INDEX(コスト!$A$1:$I$21,MATCH(H38,コスト!$A$1:$A$21,FALSE),MATCH(G38,コスト!$A$1:$I$1,FALSE))</f>
        <v>30</v>
      </c>
      <c r="O38" s="10">
        <f ca="1">INDEX(レベル!$A$1:$I$22,MATCH(H38,レベル!$A$1:$A$22,FALSE),MATCH(G38,レベル!$A$1:$I$1,FALSE))</f>
        <v>80</v>
      </c>
      <c r="P38" s="44">
        <f t="shared" ref="P38" ca="1" si="16">IF(G38 &gt;= 6, 99,G38*15)</f>
        <v>75</v>
      </c>
      <c r="Q38" s="53" t="str">
        <f ca="1">VLOOKUP($A38,OFFSET([1]characters!$A$1,0,0,COUNTA([1]characters!$A:$A),MATCH(Q$1,[1]characters!$1:$1,0)-MATCH($A$1,[1]characters!$1:$1,0)+1),MATCH(Q$1,[1]characters!$1:$1,0)-MATCH($A$1,[1]characters!$1:$1,0)+1,FALSE)</f>
        <v>heal</v>
      </c>
      <c r="R38" s="5" t="str">
        <f ca="1">VLOOKUP(Q38,[1]character_type_i18n!$A:$H,3,FALSE)</f>
        <v>回復タイプ</v>
      </c>
      <c r="S38" s="10">
        <f ca="1">VLOOKUP(Q38,[1]character_type_i18n!$A:$H,4,FALSE)</f>
        <v>0.8</v>
      </c>
      <c r="T38" s="10">
        <f ca="1">VLOOKUP(Q38,[1]character_type_i18n!$A:$H,5,FALSE)</f>
        <v>0.78</v>
      </c>
      <c r="U38" s="10">
        <f ca="1">VLOOKUP(Q38,[1]character_type_i18n!$A:$H,6,FALSE)</f>
        <v>1</v>
      </c>
      <c r="V38" s="10">
        <f ca="1">VLOOKUP(Q38,[1]character_type_i18n!$A:$H,7,FALSE)</f>
        <v>1.42</v>
      </c>
      <c r="W38" s="53" t="str">
        <f ca="1">VLOOKUP($A38,OFFSET([1]characters!$A$1,0,0,COUNTA([1]characters!$A:$A),MATCH(W$1,[1]characters!$1:$1,0)-MATCH($A$1,[1]characters!$1:$1,0)+1),MATCH(W$1,[1]characters!$1:$1,0)-MATCH($A$1,[1]characters!$1:$1,0)+1,FALSE)</f>
        <v>human</v>
      </c>
      <c r="X38" s="5" t="str">
        <f ca="1">VLOOKUP(W38,[1]character_tribe_i18n!$A:$H,3,FALSE)</f>
        <v>ヒューマン</v>
      </c>
      <c r="Y38" s="53" t="str">
        <f ca="1">VLOOKUP($A38,OFFSET([1]characters!$A$1,0,0,COUNTA([1]characters!$A:$A),MATCH(Y$1,[1]characters!$1:$1,0)-MATCH($A$1,[1]characters!$1:$1,0)+1),MATCH(Y$1,[1]characters!$1:$1,0)-MATCH($A$1,[1]characters!$1:$1,0)+1,FALSE)</f>
        <v>none</v>
      </c>
      <c r="Z38" s="5" t="str">
        <f ca="1">VLOOKUP(Y38,[1]character_tribe_i18n!$A:$H,3,FALSE)</f>
        <v>種族なし</v>
      </c>
      <c r="AA38" s="10">
        <f ca="1">VLOOKUP(W38,[1]character_tribe_i18n!$A:$H,4,FALSE)</f>
        <v>0.94</v>
      </c>
      <c r="AB38" s="10">
        <f ca="1">VLOOKUP(W38,[1]character_tribe_i18n!$A:$H,5,FALSE)</f>
        <v>0.99</v>
      </c>
      <c r="AC38" s="10">
        <f ca="1">VLOOKUP(W38,[1]character_tribe_i18n!$A:$H,6,FALSE)</f>
        <v>1</v>
      </c>
      <c r="AD38" s="10">
        <f ca="1">VLOOKUP(W38,[1]character_tribe_i18n!$A:$H,7,FALSE)</f>
        <v>1.07</v>
      </c>
      <c r="AE38" s="187">
        <v>1588</v>
      </c>
      <c r="AF38" s="58" t="str">
        <f ca="1">IF(AE38="NULL","",VLOOKUP($AE38,OFFSET([1]characters!$A$1,0,0,COUNTA([1]characters!$A:$A),MATCH(AF$1,[1]characters!$1:$1,0)-MATCH($A$1,[1]characters!$1:$1,0)+1),MATCH(AF$1,[1]characters!$1:$1,0)-MATCH($A$1,[1]characters!$1:$1,0)+1,FALSE))</f>
        <v>Virgo02</v>
      </c>
      <c r="AG38" s="187">
        <v>1587</v>
      </c>
      <c r="AH38" s="58" t="str">
        <f ca="1">VLOOKUP($AG38,OFFSET([1]characters!$A$1,0,0,COUNTA([1]characters!$A:$A),MATCH(AH$1,[1]characters!$1:$1,0)-MATCH($A$1,[1]characters!$1:$1,0)+1),MATCH(AH$1,[1]characters!$1:$1,0)-MATCH($A$1,[1]characters!$1:$1,0)+1,FALSE)</f>
        <v>Virgo01</v>
      </c>
      <c r="AI38" s="10">
        <f ca="1">IF(AE38="NULL","NULL",VLOOKUP(G38,ビット!$A$2:$B$7,2))</f>
        <v>200000</v>
      </c>
      <c r="AJ38" s="6">
        <v>2</v>
      </c>
      <c r="AK38" s="7" t="str">
        <f t="shared" ref="AK38:AK39" si="17">IF(AJ38=1,"早熟",IF(AJ38=2,"普通",IF(AJ38=3,"晩成","")))</f>
        <v>普通</v>
      </c>
      <c r="AL38" s="10" t="str">
        <f ca="1">INDEX(経験値!$A$1:$I$21,MATCH(H38,経験値!$A$1:$A$21,FALSE),MATCH(G38,経験値!$A$1:$I$1,FALSE))</f>
        <v>required_exp_200</v>
      </c>
      <c r="AM38" s="8">
        <f ca="1">VLOOKUP(G38,経験値!$A$28:$B$32,2)</f>
        <v>6400</v>
      </c>
      <c r="AN38" s="16">
        <f ca="1">VLOOKUP(G38,ビット!$G$2:$H$7,2)</f>
        <v>900</v>
      </c>
      <c r="AO38" s="41"/>
      <c r="AP38" s="63">
        <v>1587</v>
      </c>
      <c r="AQ38" s="53" t="str">
        <f ca="1">VLOOKUP($AP38,OFFSET(unit_skills!$A$1,0,0,COUNTA(unit_skills!$A:$A),MATCH(AQ$1,unit_skills!$1:$1,0)-MATCH($AP$1,unit_skills!$1:$1,0)+1),MATCH(AQ$1,unit_skills!$1:$1,0)-MATCH($AP$1,unit_skills!$1:$1,0)+1,FALSE)</f>
        <v>Virgo01スキル</v>
      </c>
      <c r="AR38" s="53" t="str">
        <f ca="1">VLOOKUP($AP38,OFFSET(unit_skills!$A$1,0,0,COUNTA(unit_skills!$A:$A),MATCH(AR$1,unit_skills!$1:$1,0)-MATCH($AP$1,unit_skills!$1:$1,0)+1),MATCH(AR$1,unit_skills!$1:$1,0)-MATCH($AP$1,unit_skills!$1:$1,0)+1,FALSE)</f>
        <v>ランダムでパネルを最大1個SCP(大)に、黄パネルを緑パネルに変換+3ターンHPを回復する</v>
      </c>
      <c r="AS38" s="53">
        <f ca="1">VLOOKUP($AP38,OFFSET(unit_skills!$A$1,0,0,COUNTA(unit_skills!$A:$A),MATCH(AS$1,unit_skills!$1:$1,0)-MATCH($AP$1,unit_skills!$1:$1,0)+1),MATCH(AS$1,unit_skills!$1:$1,0)-MATCH($AP$1,unit_skills!$1:$1,0)+1,FALSE)</f>
        <v>0</v>
      </c>
      <c r="AT38" s="63">
        <v>1587</v>
      </c>
      <c r="AU38" s="53" t="str">
        <f ca="1">VLOOKUP($AT38,OFFSET(crash_skills!$A$1,0,0,COUNTA(crash_skills!$A:$A),MATCH(AU$1,crash_skills!$1:$1,0)-MATCH($AT$1,crash_skills!$1:$1,0)+1),MATCH(AU$1,crash_skills!$1:$1,0)-MATCH($AT$1,crash_skills!$1:$1,0)+1,FALSE)</f>
        <v>Virgo01スキル</v>
      </c>
      <c r="AV38" s="53" t="str">
        <f ca="1">VLOOKUP($AT38,OFFSET(crash_skills!$A$1,0,0,COUNTA(crash_skills!$A:$A),MATCH(AV$1,crash_skills!$1:$1,0)-MATCH($AT$1,crash_skills!$1:$1,0)+1),MATCH(AV$1,crash_skills!$1:$1,0)-MATCH($AT$1,crash_skills!$1:$1,0)+1,FALSE)</f>
        <v>自身の回復力に比例して_x000D_1体にダメージ</v>
      </c>
      <c r="AW38" s="53">
        <f ca="1">VLOOKUP($AT38,OFFSET(crash_skills!$A$1,0,0,COUNTA(crash_skills!$A:$A),MATCH(AW$1,crash_skills!$1:$1,0)-MATCH($AT$1,crash_skills!$1:$1,0)+1),MATCH(AW$1,crash_skills!$1:$1,0)-MATCH($AT$1,crash_skills!$1:$1,0)+1,FALSE)</f>
        <v>0</v>
      </c>
      <c r="AX38" s="54">
        <f ca="1">VLOOKUP($A38,OFFSET([1]characters!$A$1,0,0,COUNTA([1]characters!$A:$A),MATCH(AX$1,[1]characters!$1:$1,0)-MATCH($A$1,[1]characters!$1:$1,0)+1),MATCH(AX$1,[1]characters!$1:$1,0)-MATCH($A$1,[1]characters!$1:$1,0)+1,FALSE)</f>
        <v>1</v>
      </c>
      <c r="AY38" s="64">
        <v>1.1212</v>
      </c>
      <c r="AZ38" s="64">
        <v>0.89939999999999998</v>
      </c>
      <c r="BA38" s="64">
        <v>0</v>
      </c>
      <c r="BB38" s="64">
        <v>1.0143</v>
      </c>
      <c r="BC38" s="10">
        <f ca="1">INDEX('RC6SV'!$A$1:$G$21,MATCH(H38,'RC6SV'!$A$1:$A$21,FALSE),MATCH(G38,'RC6SV'!$A$1:$G$1,FALSE))</f>
        <v>9000</v>
      </c>
      <c r="BD38" s="44">
        <f t="shared" ref="BD38:BD39" ca="1" si="18">ROUND(BC38*IF(AJ38=1,0.95,IF(AJ38=2,1,IF(AJ38,1.05,0))),0)</f>
        <v>9000</v>
      </c>
      <c r="BE38" s="10">
        <f t="shared" ca="1" si="3"/>
        <v>0</v>
      </c>
      <c r="BF38" s="10">
        <f t="shared" ca="1" si="4"/>
        <v>1</v>
      </c>
      <c r="BG38" s="15">
        <f ca="1">IF($BE38&lt;=0,ROUND(BK38*0.5,0), ROUND($BE38*S38*AA38*J38*AY38*0.8*[1]ステータス!$B$2,0))</f>
        <v>1935</v>
      </c>
      <c r="BH38" s="15">
        <f ca="1">IF($BE38&lt;=0,ROUND(BL38*0.5,0), ROUND($BE38*T38*AB38*K38*AZ38*0.8*[1]ステータス!$C$2,0))</f>
        <v>919</v>
      </c>
      <c r="BI38" s="15">
        <f ca="1">IF($BE38&lt;=0,ROUND(BM38*0.5,0), ROUND($BE38*U38*AC38*L38*BA38*0.8*[1]ステータス!$D$2,0))</f>
        <v>0</v>
      </c>
      <c r="BJ38" s="15">
        <f ca="1">IF($BE38&lt;=0,ROUND(BN38*0.5,0), ROUND($BE38*V38*AD38*M38*BB38*0.8*[1]ステータス!$E$2,0))</f>
        <v>1734</v>
      </c>
      <c r="BK38" s="10">
        <f ca="1">ROUND(BD38*S38*AA38*J38*AY38*[1]ステータス!$B$2,0)</f>
        <v>3870</v>
      </c>
      <c r="BL38" s="10">
        <f ca="1">ROUND(BD38*T38*AB38*K38*AZ38*[1]ステータス!$C$2,0)</f>
        <v>1838</v>
      </c>
      <c r="BM38" s="10">
        <f ca="1">ROUND(BD38*U38*AC38*L38*BA38*[1]ステータス!$D$2,0)</f>
        <v>0</v>
      </c>
      <c r="BN38" s="10">
        <f ca="1">ROUND(BD38*V38*AD38*M38*BB38*[1]ステータス!$E$2,0)</f>
        <v>3468</v>
      </c>
      <c r="BO38" s="9">
        <v>0</v>
      </c>
      <c r="BP38" s="9">
        <v>1</v>
      </c>
      <c r="BQ38" s="36" t="s">
        <v>47</v>
      </c>
      <c r="BR38" s="9">
        <f ca="1">VLOOKUP(H38,[2]ghosts_label!$A$2:$B$19,2,FALSE)</f>
        <v>1</v>
      </c>
    </row>
    <row r="39" spans="1:70" ht="26" customHeight="1" x14ac:dyDescent="0.15">
      <c r="A39" s="186">
        <v>1588</v>
      </c>
      <c r="B39" s="53" t="str">
        <f ca="1">VLOOKUP($A39,OFFSET([1]characters!$A$1,0,0,COUNTA([1]characters!$A:$A),MATCH(B$1,[1]characters!$1:$1,0)-MATCH($A$1,[1]characters!$1:$1,0)+1),MATCH(B$1,[1]characters!$1:$1,0)-MATCH($A$1,[1]characters!$1:$1,0)+1,FALSE)</f>
        <v>Virgo02</v>
      </c>
      <c r="C39" s="53">
        <f ca="1">VLOOKUP($A39,OFFSET([1]characters!$A$1,0,0,COUNTA([1]characters!$A:$A),MATCH(C$1,[1]characters!$1:$1,0)-MATCH($A$1,[1]characters!$1:$1,0)+1),MATCH(C$1,[1]characters!$1:$1,0)-MATCH($A$1,[1]characters!$1:$1,0)+1,FALSE)</f>
        <v>0</v>
      </c>
      <c r="D39" s="53">
        <f ca="1">VLOOKUP($A39,OFFSET([1]characters!$A$1,0,0,COUNTA([1]characters!$A:$A),MATCH(D$1,[1]characters!$1:$1,0)-MATCH($A$1,[1]characters!$1:$1,0)+1),MATCH(D$1,[1]characters!$1:$1,0)-MATCH($A$1,[1]characters!$1:$1,0)+1,FALSE)</f>
        <v>0</v>
      </c>
      <c r="E39" s="53">
        <f ca="1">VLOOKUP($A39,OFFSET([1]characters!$A$1,0,0,COUNTA([1]characters!$A:$A),MATCH(E$1,[1]characters!$1:$1,0)-MATCH($A$1,[1]characters!$1:$1,0)+1),MATCH(E$1,[1]characters!$1:$1,0)-MATCH($A$1,[1]characters!$1:$1,0)+1,FALSE)</f>
        <v>0</v>
      </c>
      <c r="F39" s="53">
        <f ca="1">VLOOKUP($A39,OFFSET([1]characters!$A$1,0,0,COUNTA([1]characters!$A:$A),MATCH(F$1,[1]characters!$1:$1,0)-MATCH($A$1,[1]characters!$1:$1,0)+1),MATCH(F$1,[1]characters!$1:$1,0)-MATCH($A$1,[1]characters!$1:$1,0)+1,FALSE)</f>
        <v>0</v>
      </c>
      <c r="G39" s="53">
        <f ca="1">VLOOKUP($A39,OFFSET([1]characters!$A$1,0,0,COUNTA([1]characters!$A:$A),MATCH(G$1,[1]characters!$1:$1,0)-MATCH($A$1,[1]characters!$1:$1,0)+1),MATCH(G$1,[1]characters!$1:$1,0)-MATCH($A$1,[1]characters!$1:$1,0)+1,FALSE)</f>
        <v>6</v>
      </c>
      <c r="H39" s="53" t="str">
        <f ca="1">VLOOKUP($A39,OFFSET([1]characters!$A$1,0,0,COUNTA([1]characters!$A:$A),MATCH(H$1,[1]characters!$1:$1,0)-MATCH($A$1,[1]characters!$1:$1,0)+1),MATCH(H$1,[1]characters!$1:$1,0)-MATCH($A$1,[1]characters!$1:$1,0)+1,FALSE)</f>
        <v>DropWizS</v>
      </c>
      <c r="I39" s="53" t="str">
        <f ca="1">VLOOKUP($A39,OFFSET([1]characters!$A$1,0,0,COUNTA([1]characters!$A:$A),MATCH(I$1,[1]characters!$1:$1,0)-MATCH($A$1,[1]characters!$1:$1,0)+1),MATCH(I$1,[1]characters!$1:$1,0)-MATCH($A$1,[1]characters!$1:$1,0)+1,FALSE)</f>
        <v>green</v>
      </c>
      <c r="J39" s="10">
        <f ca="1">VLOOKUP(I39,[1]属性!$A:$E,2,FALSE)</f>
        <v>1.02</v>
      </c>
      <c r="K39" s="10">
        <f ca="1">VLOOKUP(I39,[1]属性!$A:$E,3,FALSE)</f>
        <v>0.98</v>
      </c>
      <c r="L39" s="10">
        <f ca="1">VLOOKUP(I39,[1]属性!$A:$E,4,FALSE)</f>
        <v>1</v>
      </c>
      <c r="M39" s="10">
        <f ca="1">VLOOKUP(I39,[1]属性!$A:$E,5,FALSE)</f>
        <v>1</v>
      </c>
      <c r="N39" s="10">
        <f ca="1">INDEX(コスト!$A$1:$I$21,MATCH(H39,コスト!$A$1:$A$21,FALSE),MATCH(G39,コスト!$A$1:$I$1,FALSE))</f>
        <v>45</v>
      </c>
      <c r="O39" s="10">
        <f ca="1">INDEX(レベル!$A$1:$I$22,MATCH(H39,レベル!$A$1:$A$22,FALSE),MATCH(G39,レベル!$A$1:$I$1,FALSE))</f>
        <v>99</v>
      </c>
      <c r="P39" s="199">
        <v>75</v>
      </c>
      <c r="Q39" s="53" t="str">
        <f ca="1">VLOOKUP($A39,OFFSET([1]characters!$A$1,0,0,COUNTA([1]characters!$A:$A),MATCH(Q$1,[1]characters!$1:$1,0)-MATCH($A$1,[1]characters!$1:$1,0)+1),MATCH(Q$1,[1]characters!$1:$1,0)-MATCH($A$1,[1]characters!$1:$1,0)+1,FALSE)</f>
        <v>heal</v>
      </c>
      <c r="R39" s="5" t="str">
        <f ca="1">VLOOKUP(Q39,[1]character_type_i18n!$A:$H,3,FALSE)</f>
        <v>回復タイプ</v>
      </c>
      <c r="S39" s="10">
        <f ca="1">VLOOKUP(Q39,[1]character_type_i18n!$A:$H,4,FALSE)</f>
        <v>0.8</v>
      </c>
      <c r="T39" s="10">
        <f ca="1">VLOOKUP(Q39,[1]character_type_i18n!$A:$H,5,FALSE)</f>
        <v>0.78</v>
      </c>
      <c r="U39" s="10">
        <f ca="1">VLOOKUP(Q39,[1]character_type_i18n!$A:$H,6,FALSE)</f>
        <v>1</v>
      </c>
      <c r="V39" s="10">
        <f ca="1">VLOOKUP(Q39,[1]character_type_i18n!$A:$H,7,FALSE)</f>
        <v>1.42</v>
      </c>
      <c r="W39" s="53" t="str">
        <f ca="1">VLOOKUP($A39,OFFSET([1]characters!$A$1,0,0,COUNTA([1]characters!$A:$A),MATCH(W$1,[1]characters!$1:$1,0)-MATCH($A$1,[1]characters!$1:$1,0)+1),MATCH(W$1,[1]characters!$1:$1,0)-MATCH($A$1,[1]characters!$1:$1,0)+1,FALSE)</f>
        <v>human</v>
      </c>
      <c r="X39" s="5" t="str">
        <f ca="1">VLOOKUP(W39,[1]character_tribe_i18n!$A:$H,3,FALSE)</f>
        <v>ヒューマン</v>
      </c>
      <c r="Y39" s="53" t="str">
        <f ca="1">VLOOKUP($A39,OFFSET([1]characters!$A$1,0,0,COUNTA([1]characters!$A:$A),MATCH(Y$1,[1]characters!$1:$1,0)-MATCH($A$1,[1]characters!$1:$1,0)+1),MATCH(Y$1,[1]characters!$1:$1,0)-MATCH($A$1,[1]characters!$1:$1,0)+1,FALSE)</f>
        <v>none</v>
      </c>
      <c r="Z39" s="5" t="str">
        <f ca="1">VLOOKUP(Y39,[1]character_tribe_i18n!$A:$H,3,FALSE)</f>
        <v>種族なし</v>
      </c>
      <c r="AA39" s="10">
        <f ca="1">VLOOKUP(W39,[1]character_tribe_i18n!$A:$H,4,FALSE)</f>
        <v>0.94</v>
      </c>
      <c r="AB39" s="10">
        <f ca="1">VLOOKUP(W39,[1]character_tribe_i18n!$A:$H,5,FALSE)</f>
        <v>0.99</v>
      </c>
      <c r="AC39" s="10">
        <f ca="1">VLOOKUP(W39,[1]character_tribe_i18n!$A:$H,6,FALSE)</f>
        <v>1</v>
      </c>
      <c r="AD39" s="10">
        <f ca="1">VLOOKUP(W39,[1]character_tribe_i18n!$A:$H,7,FALSE)</f>
        <v>1.07</v>
      </c>
      <c r="AE39" s="187" t="s">
        <v>183</v>
      </c>
      <c r="AF39" s="58" t="str">
        <f ca="1">IF(AE39="NULL","",VLOOKUP($AE39,OFFSET([1]characters!$A$1,0,0,COUNTA([1]characters!$A:$A),MATCH(AF$1,[1]characters!$1:$1,0)-MATCH($A$1,[1]characters!$1:$1,0)+1),MATCH(AF$1,[1]characters!$1:$1,0)-MATCH($A$1,[1]characters!$1:$1,0)+1,FALSE))</f>
        <v/>
      </c>
      <c r="AG39" s="187">
        <v>1587</v>
      </c>
      <c r="AH39" s="58" t="str">
        <f ca="1">VLOOKUP($AG39,OFFSET([1]characters!$A$1,0,0,COUNTA([1]characters!$A:$A),MATCH(AH$1,[1]characters!$1:$1,0)-MATCH($A$1,[1]characters!$1:$1,0)+1),MATCH(AH$1,[1]characters!$1:$1,0)-MATCH($A$1,[1]characters!$1:$1,0)+1,FALSE)</f>
        <v>Virgo01</v>
      </c>
      <c r="AI39" s="10" t="str">
        <f>IF(AE39="NULL","NULL",VLOOKUP(G39,ビット!$A$2:$B$7,2))</f>
        <v>NULL</v>
      </c>
      <c r="AJ39" s="6">
        <v>2</v>
      </c>
      <c r="AK39" s="7" t="str">
        <f t="shared" si="17"/>
        <v>普通</v>
      </c>
      <c r="AL39" s="10" t="str">
        <f ca="1">INDEX(経験値!$A$1:$I$21,MATCH(H39,経験値!$A$1:$A$21,FALSE),MATCH(G39,経験値!$A$1:$I$1,FALSE))</f>
        <v>required_exp_250</v>
      </c>
      <c r="AM39" s="8">
        <f ca="1">VLOOKUP(G39,経験値!$A$28:$B$32,2)</f>
        <v>6400</v>
      </c>
      <c r="AN39" s="16">
        <f ca="1">VLOOKUP(G39,ビット!$G$2:$H$7,2)</f>
        <v>900</v>
      </c>
      <c r="AO39" s="41"/>
      <c r="AP39" s="63">
        <v>1588</v>
      </c>
      <c r="AQ39" s="53" t="str">
        <f ca="1">VLOOKUP($AP39,OFFSET(unit_skills!$A$1,0,0,COUNTA(unit_skills!$A:$A),MATCH(AQ$1,unit_skills!$1:$1,0)-MATCH($AP$1,unit_skills!$1:$1,0)+1),MATCH(AQ$1,unit_skills!$1:$1,0)-MATCH($AP$1,unit_skills!$1:$1,0)+1,FALSE)</f>
        <v>Virgo02スキル</v>
      </c>
      <c r="AR39" s="53" t="str">
        <f ca="1">VLOOKUP($AP39,OFFSET(unit_skills!$A$1,0,0,COUNTA(unit_skills!$A:$A),MATCH(AR$1,unit_skills!$1:$1,0)-MATCH($AP$1,unit_skills!$1:$1,0)+1),MATCH(AR$1,unit_skills!$1:$1,0)-MATCH($AP$1,unit_skills!$1:$1,0)+1,FALSE)</f>
        <v>ランダムでパネルを最大1個SCP(大)に、黄パネルを緑パネルに変換+3ターンHPを回復する</v>
      </c>
      <c r="AS39" s="53">
        <f ca="1">VLOOKUP($AP39,OFFSET(unit_skills!$A$1,0,0,COUNTA(unit_skills!$A:$A),MATCH(AS$1,unit_skills!$1:$1,0)-MATCH($AP$1,unit_skills!$1:$1,0)+1),MATCH(AS$1,unit_skills!$1:$1,0)-MATCH($AP$1,unit_skills!$1:$1,0)+1,FALSE)</f>
        <v>0</v>
      </c>
      <c r="AT39" s="63">
        <v>1588</v>
      </c>
      <c r="AU39" s="53" t="str">
        <f ca="1">VLOOKUP($AT39,OFFSET(crash_skills!$A$1,0,0,COUNTA(crash_skills!$A:$A),MATCH(AU$1,crash_skills!$1:$1,0)-MATCH($AT$1,crash_skills!$1:$1,0)+1),MATCH(AU$1,crash_skills!$1:$1,0)-MATCH($AT$1,crash_skills!$1:$1,0)+1,FALSE)</f>
        <v>Virgo02スキル</v>
      </c>
      <c r="AV39" s="53" t="str">
        <f ca="1">VLOOKUP($AT39,OFFSET(crash_skills!$A$1,0,0,COUNTA(crash_skills!$A:$A),MATCH(AV$1,crash_skills!$1:$1,0)-MATCH($AT$1,crash_skills!$1:$1,0)+1),MATCH(AV$1,crash_skills!$1:$1,0)-MATCH($AT$1,crash_skills!$1:$1,0)+1,FALSE)</f>
        <v>自身の回復力に比例して_x000D_1体に大ダメージ</v>
      </c>
      <c r="AW39" s="53">
        <f ca="1">VLOOKUP($AT39,OFFSET(crash_skills!$A$1,0,0,COUNTA(crash_skills!$A:$A),MATCH(AW$1,crash_skills!$1:$1,0)-MATCH($AT$1,crash_skills!$1:$1,0)+1),MATCH(AW$1,crash_skills!$1:$1,0)-MATCH($AT$1,crash_skills!$1:$1,0)+1,FALSE)</f>
        <v>0</v>
      </c>
      <c r="AX39" s="54">
        <f ca="1">VLOOKUP($A39,OFFSET([1]characters!$A$1,0,0,COUNTA([1]characters!$A:$A),MATCH(AX$1,[1]characters!$1:$1,0)-MATCH($A$1,[1]characters!$1:$1,0)+1),MATCH(AX$1,[1]characters!$1:$1,0)-MATCH($A$1,[1]characters!$1:$1,0)+1,FALSE)</f>
        <v>1</v>
      </c>
      <c r="AY39" s="64">
        <v>1.1212</v>
      </c>
      <c r="AZ39" s="64">
        <v>0.89939999999999998</v>
      </c>
      <c r="BA39" s="64">
        <v>0</v>
      </c>
      <c r="BB39" s="64">
        <v>1.0143</v>
      </c>
      <c r="BC39" s="10">
        <f ca="1">INDEX('RC6SV'!$A$1:$G$21,MATCH(H39,'RC6SV'!$A$1:$A$21,FALSE),MATCH(G39,'RC6SV'!$A$1:$G$1,FALSE))</f>
        <v>12000</v>
      </c>
      <c r="BD39" s="44">
        <f t="shared" ca="1" si="18"/>
        <v>12000</v>
      </c>
      <c r="BE39" s="10">
        <f t="shared" ca="1" si="3"/>
        <v>9000</v>
      </c>
      <c r="BF39" s="10">
        <f t="shared" ca="1" si="4"/>
        <v>1</v>
      </c>
      <c r="BG39" s="15">
        <f ca="1">IF($BE39&lt;=0,ROUND(BK39*0.5,0), ROUND($BE39*S39*AA39*J39*AY39*0.8*[1]ステータス!$B$2,0))</f>
        <v>3096</v>
      </c>
      <c r="BH39" s="15">
        <f ca="1">IF($BE39&lt;=0,ROUND(BL39*0.5,0), ROUND($BE39*T39*AB39*K39*AZ39*0.8*[1]ステータス!$C$2,0))</f>
        <v>1470</v>
      </c>
      <c r="BI39" s="15">
        <f ca="1">IF($BE39&lt;=0,ROUND(BM39*0.5,0), ROUND($BE39*U39*AC39*L39*BA39*0.8*[1]ステータス!$D$2,0))</f>
        <v>0</v>
      </c>
      <c r="BJ39" s="15">
        <f ca="1">IF($BE39&lt;=0,ROUND(BN39*0.5,0), ROUND($BE39*V39*AD39*M39*BB39*0.8*[1]ステータス!$E$2,0))</f>
        <v>2774</v>
      </c>
      <c r="BK39" s="10">
        <f ca="1">ROUND(BD39*S39*AA39*J39*AY39*[1]ステータス!$B$2,0)</f>
        <v>5160</v>
      </c>
      <c r="BL39" s="10">
        <f ca="1">ROUND(BD39*T39*AB39*K39*AZ39*[1]ステータス!$C$2,0)</f>
        <v>2450</v>
      </c>
      <c r="BM39" s="10">
        <f ca="1">ROUND(BD39*U39*AC39*L39*BA39*[1]ステータス!$D$2,0)</f>
        <v>0</v>
      </c>
      <c r="BN39" s="10">
        <f ca="1">ROUND(BD39*V39*AD39*M39*BB39*[1]ステータス!$E$2,0)</f>
        <v>4623</v>
      </c>
      <c r="BO39" s="9">
        <v>0</v>
      </c>
      <c r="BP39" s="9">
        <v>1</v>
      </c>
      <c r="BQ39" s="9" t="s">
        <v>47</v>
      </c>
      <c r="BR39" s="9">
        <f ca="1">VLOOKUP(H39,[2]ghosts_label!$A$2:$B$19,2,FALSE)</f>
        <v>1</v>
      </c>
    </row>
  </sheetData>
  <autoFilter ref="A1:BQ1"/>
  <phoneticPr fontId="10"/>
  <conditionalFormatting sqref="BO1">
    <cfRule type="cellIs" dxfId="120" priority="120" stopIfTrue="1" operator="equal">
      <formula>1</formula>
    </cfRule>
  </conditionalFormatting>
  <conditionalFormatting sqref="BQ1">
    <cfRule type="cellIs" dxfId="11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9"/>
  <sheetViews>
    <sheetView showGridLines="0" tabSelected="1" zoomScale="115" workbookViewId="0">
      <pane xSplit="4" ySplit="1" topLeftCell="E12" activePane="bottomRight" state="frozen"/>
      <selection pane="topRight" activeCell="D1" sqref="D1"/>
      <selection pane="bottomLeft" activeCell="A2" sqref="A2"/>
      <selection pane="bottomRight" activeCell="D34" sqref="D34"/>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1551</v>
      </c>
      <c r="B2" s="129" t="s">
        <v>185</v>
      </c>
      <c r="C2" s="188" t="str">
        <f ca="1">J2&amp;"スキル"</f>
        <v>Leo01スキル</v>
      </c>
      <c r="D2" s="188" t="s">
        <v>464</v>
      </c>
      <c r="E2" s="131">
        <f t="shared" ref="E2" si="0">LEN(D2)</f>
        <v>62</v>
      </c>
      <c r="F2" s="63">
        <v>14</v>
      </c>
      <c r="G2" s="113">
        <f ca="1">IF(VLOOKUP(A2,units!A:H,8,FALSE)="DropWizSS",16,IF(OR(VLOOKUP(A2,units!A:H,8,FALSE)="PremiumSS",VLOOKUP(A2,units!A:H,8,FALSE)="PremiumS"),5,7))</f>
        <v>7</v>
      </c>
      <c r="H2" s="132">
        <f>2001</f>
        <v>2001</v>
      </c>
      <c r="I2" s="189" t="s">
        <v>463</v>
      </c>
      <c r="J2" s="53" t="str">
        <f ca="1">VLOOKUP($A2,OFFSET([1]characters!$A$1,0,0,COUNTA([1]characters!$A:$A),MATCH("name",[1]characters!$1:$1,0)-MATCH("character_id",[1]characters!$1:$1,0)+1),MATCH("name",[1]characters!$1:$1,0)-MATCH("character_id",[1]characters!$1:$1,0)+1,FALSE)</f>
        <v>Leo01</v>
      </c>
      <c r="K2" s="133">
        <f>IFERROR(VLOOKUP(A2,[1]characters!$A:$R,18),0)</f>
        <v>1</v>
      </c>
      <c r="L2" s="134"/>
      <c r="M2" s="135"/>
      <c r="N2" s="135"/>
      <c r="O2" s="135"/>
      <c r="P2" s="135"/>
      <c r="Q2" s="135"/>
      <c r="R2" s="130"/>
      <c r="S2" s="136"/>
    </row>
    <row r="3" spans="1:19" ht="21" customHeight="1" x14ac:dyDescent="0.15">
      <c r="A3" s="186">
        <v>1552</v>
      </c>
      <c r="B3" s="129" t="s">
        <v>185</v>
      </c>
      <c r="C3" s="188" t="str">
        <f t="shared" ref="C3:C39" ca="1" si="1">J3&amp;"スキル"</f>
        <v>Leo02スキル</v>
      </c>
      <c r="D3" s="188" t="s">
        <v>464</v>
      </c>
      <c r="E3" s="131">
        <f t="shared" ref="E3:E4" si="2">LEN(D3)</f>
        <v>62</v>
      </c>
      <c r="F3" s="63">
        <v>13</v>
      </c>
      <c r="G3" s="113">
        <f ca="1">IF(VLOOKUP(A3,units!A:H,8,FALSE)="DropWizSS",16,IF(OR(VLOOKUP(A3,units!A:H,8,FALSE)="PremiumSS",VLOOKUP(A3,units!A:H,8,FALSE)="PremiumS"),5,7))</f>
        <v>7</v>
      </c>
      <c r="H3" s="132">
        <f>2001</f>
        <v>2001</v>
      </c>
      <c r="I3" s="189" t="s">
        <v>463</v>
      </c>
      <c r="J3" s="53" t="str">
        <f ca="1">VLOOKUP($A3,OFFSET([1]characters!$A$1,0,0,COUNTA([1]characters!$A:$A),MATCH("name",[1]characters!$1:$1,0)-MATCH("character_id",[1]characters!$1:$1,0)+1),MATCH("name",[1]characters!$1:$1,0)-MATCH("character_id",[1]characters!$1:$1,0)+1,FALSE)</f>
        <v>Leo02</v>
      </c>
      <c r="K3" s="133">
        <f>IFERROR(VLOOKUP(A3,[1]characters!$A:$R,18),0)</f>
        <v>1</v>
      </c>
      <c r="L3" s="134"/>
      <c r="M3" s="135"/>
      <c r="N3" s="135"/>
      <c r="O3" s="135"/>
      <c r="P3" s="135"/>
      <c r="Q3" s="135"/>
      <c r="R3" s="130"/>
      <c r="S3" s="136"/>
    </row>
    <row r="4" spans="1:19" ht="21" customHeight="1" x14ac:dyDescent="0.15">
      <c r="A4" s="186">
        <v>1553</v>
      </c>
      <c r="B4" s="129" t="s">
        <v>185</v>
      </c>
      <c r="C4" s="188" t="str">
        <f t="shared" ca="1" si="1"/>
        <v>Andromeda01スキル</v>
      </c>
      <c r="D4" s="188" t="s">
        <v>458</v>
      </c>
      <c r="E4" s="131">
        <f t="shared" si="2"/>
        <v>57</v>
      </c>
      <c r="F4" s="63">
        <v>12</v>
      </c>
      <c r="G4" s="113">
        <f ca="1">IF(VLOOKUP(A4,units!A:H,8,FALSE)="DropWizSS",16,IF(OR(VLOOKUP(A4,units!A:H,8,FALSE)="PremiumSS",VLOOKUP(A4,units!A:H,8,FALSE)="PremiumS"),5,7))</f>
        <v>5</v>
      </c>
      <c r="H4" s="132">
        <f>2001</f>
        <v>2001</v>
      </c>
      <c r="I4" s="189" t="s">
        <v>459</v>
      </c>
      <c r="J4" s="53" t="str">
        <f ca="1">VLOOKUP($A4,OFFSET([1]characters!$A$1,0,0,COUNTA([1]characters!$A:$A),MATCH("name",[1]characters!$1:$1,0)-MATCH("character_id",[1]characters!$1:$1,0)+1),MATCH("name",[1]characters!$1:$1,0)-MATCH("character_id",[1]characters!$1:$1,0)+1,FALSE)</f>
        <v>Andromeda01</v>
      </c>
      <c r="K4" s="133">
        <f>IFERROR(VLOOKUP(A4,[1]characters!$A:$R,18),0)</f>
        <v>1</v>
      </c>
      <c r="L4" s="134"/>
      <c r="M4" s="135"/>
      <c r="N4" s="135"/>
      <c r="O4" s="135"/>
      <c r="P4" s="135"/>
      <c r="Q4" s="135"/>
      <c r="R4" s="130"/>
      <c r="S4" s="136"/>
    </row>
    <row r="5" spans="1:19" ht="21" customHeight="1" x14ac:dyDescent="0.15">
      <c r="A5" s="186">
        <v>1554</v>
      </c>
      <c r="B5" s="129" t="s">
        <v>185</v>
      </c>
      <c r="C5" s="188" t="str">
        <f t="shared" ca="1" si="1"/>
        <v>Andromeda02スキル</v>
      </c>
      <c r="D5" s="188" t="s">
        <v>460</v>
      </c>
      <c r="E5" s="131">
        <f t="shared" ref="E5:E12" si="3">LEN(D5)</f>
        <v>57</v>
      </c>
      <c r="F5" s="63">
        <v>11</v>
      </c>
      <c r="G5" s="113">
        <f ca="1">IF(VLOOKUP(A5,units!A:H,8,FALSE)="DropWizSS",16,IF(OR(VLOOKUP(A5,units!A:H,8,FALSE)="PremiumSS",VLOOKUP(A5,units!A:H,8,FALSE)="PremiumS"),5,7))</f>
        <v>5</v>
      </c>
      <c r="H5" s="132">
        <f>2001</f>
        <v>2001</v>
      </c>
      <c r="I5" s="189" t="s">
        <v>461</v>
      </c>
      <c r="J5" s="53" t="str">
        <f ca="1">VLOOKUP($A5,OFFSET([1]characters!$A$1,0,0,COUNTA([1]characters!$A:$A),MATCH("name",[1]characters!$1:$1,0)-MATCH("character_id",[1]characters!$1:$1,0)+1),MATCH("name",[1]characters!$1:$1,0)-MATCH("character_id",[1]characters!$1:$1,0)+1,FALSE)</f>
        <v>Andromeda02</v>
      </c>
      <c r="K5" s="133">
        <f>IFERROR(VLOOKUP(A5,[1]characters!$A:$R,18),0)</f>
        <v>1</v>
      </c>
      <c r="L5" s="134"/>
      <c r="M5" s="135"/>
      <c r="N5" s="135"/>
      <c r="O5" s="135"/>
      <c r="P5" s="135"/>
      <c r="Q5" s="135"/>
      <c r="R5" s="130"/>
      <c r="S5" s="136"/>
    </row>
    <row r="6" spans="1:19" ht="21" customHeight="1" x14ac:dyDescent="0.15">
      <c r="A6" s="186">
        <v>1555</v>
      </c>
      <c r="B6" s="129" t="s">
        <v>185</v>
      </c>
      <c r="C6" s="188" t="str">
        <f t="shared" ca="1" si="1"/>
        <v>Taurus01スキル</v>
      </c>
      <c r="D6" s="188" t="s">
        <v>474</v>
      </c>
      <c r="E6" s="131">
        <f t="shared" si="3"/>
        <v>48</v>
      </c>
      <c r="F6" s="63">
        <v>10</v>
      </c>
      <c r="G6" s="113">
        <f ca="1">IF(VLOOKUP(A6,units!A:H,8,FALSE)="DropWizSS",16,IF(OR(VLOOKUP(A6,units!A:H,8,FALSE)="PremiumSS",VLOOKUP(A6,units!A:H,8,FALSE)="PremiumS"),5,7))</f>
        <v>5</v>
      </c>
      <c r="H6" s="132">
        <f>2001</f>
        <v>2001</v>
      </c>
      <c r="I6" s="189" t="s">
        <v>473</v>
      </c>
      <c r="J6" s="53" t="str">
        <f ca="1">VLOOKUP($A6,OFFSET([1]characters!$A$1,0,0,COUNTA([1]characters!$A:$A),MATCH("name",[1]characters!$1:$1,0)-MATCH("character_id",[1]characters!$1:$1,0)+1),MATCH("name",[1]characters!$1:$1,0)-MATCH("character_id",[1]characters!$1:$1,0)+1,FALSE)</f>
        <v>Taurus01</v>
      </c>
      <c r="K6" s="133">
        <f>IFERROR(VLOOKUP(A6,[1]characters!$A:$R,18),0)</f>
        <v>1</v>
      </c>
      <c r="L6" s="134"/>
      <c r="M6" s="135"/>
      <c r="N6" s="135"/>
      <c r="O6" s="135"/>
      <c r="P6" s="135"/>
      <c r="Q6" s="135"/>
      <c r="R6" s="130"/>
      <c r="S6" s="136"/>
    </row>
    <row r="7" spans="1:19" ht="21" customHeight="1" x14ac:dyDescent="0.15">
      <c r="A7" s="186">
        <v>1556</v>
      </c>
      <c r="B7" s="129" t="s">
        <v>185</v>
      </c>
      <c r="C7" s="188" t="str">
        <f t="shared" ca="1" si="1"/>
        <v>Capricornus01スキル</v>
      </c>
      <c r="D7" s="188" t="s">
        <v>450</v>
      </c>
      <c r="E7" s="131">
        <f t="shared" si="3"/>
        <v>62</v>
      </c>
      <c r="F7" s="63">
        <v>12</v>
      </c>
      <c r="G7" s="113">
        <f ca="1">IF(VLOOKUP(A7,units!A:H,8,FALSE)="DropWizSS",16,IF(OR(VLOOKUP(A7,units!A:H,8,FALSE)="PremiumSS",VLOOKUP(A7,units!A:H,8,FALSE)="PremiumS"),5,7))</f>
        <v>5</v>
      </c>
      <c r="H7" s="132">
        <f>2001</f>
        <v>2001</v>
      </c>
      <c r="I7" s="189" t="s">
        <v>449</v>
      </c>
      <c r="J7" s="53" t="str">
        <f ca="1">VLOOKUP($A7,OFFSET([1]characters!$A$1,0,0,COUNTA([1]characters!$A:$A),MATCH("name",[1]characters!$1:$1,0)-MATCH("character_id",[1]characters!$1:$1,0)+1),MATCH("name",[1]characters!$1:$1,0)-MATCH("character_id",[1]characters!$1:$1,0)+1,FALSE)</f>
        <v>Capricornus01</v>
      </c>
      <c r="K7" s="133">
        <f>IFERROR(VLOOKUP(A7,[1]characters!$A:$R,18),0)</f>
        <v>1</v>
      </c>
      <c r="L7" s="134"/>
      <c r="M7" s="135"/>
      <c r="N7" s="135"/>
      <c r="O7" s="135"/>
      <c r="P7" s="135"/>
      <c r="Q7" s="135"/>
      <c r="R7" s="130"/>
      <c r="S7" s="136"/>
    </row>
    <row r="8" spans="1:19" ht="21" customHeight="1" x14ac:dyDescent="0.15">
      <c r="A8" s="186">
        <v>1557</v>
      </c>
      <c r="B8" s="129" t="s">
        <v>185</v>
      </c>
      <c r="C8" s="188" t="str">
        <f t="shared" ca="1" si="1"/>
        <v>Capricornus02スキル</v>
      </c>
      <c r="D8" s="188" t="s">
        <v>450</v>
      </c>
      <c r="E8" s="131">
        <f t="shared" si="3"/>
        <v>62</v>
      </c>
      <c r="F8" s="63">
        <v>11</v>
      </c>
      <c r="G8" s="113">
        <f ca="1">IF(VLOOKUP(A8,units!A:H,8,FALSE)="DropWizSS",16,IF(OR(VLOOKUP(A8,units!A:H,8,FALSE)="PremiumSS",VLOOKUP(A8,units!A:H,8,FALSE)="PremiumS"),5,7))</f>
        <v>5</v>
      </c>
      <c r="H8" s="132">
        <f>2001</f>
        <v>2001</v>
      </c>
      <c r="I8" s="189" t="s">
        <v>449</v>
      </c>
      <c r="J8" s="53" t="str">
        <f ca="1">VLOOKUP($A8,OFFSET([1]characters!$A$1,0,0,COUNTA([1]characters!$A:$A),MATCH("name",[1]characters!$1:$1,0)-MATCH("character_id",[1]characters!$1:$1,0)+1),MATCH("name",[1]characters!$1:$1,0)-MATCH("character_id",[1]characters!$1:$1,0)+1,FALSE)</f>
        <v>Capricornus02</v>
      </c>
      <c r="K8" s="133">
        <f>IFERROR(VLOOKUP(A8,[1]characters!$A:$R,18),0)</f>
        <v>1</v>
      </c>
      <c r="L8" s="134"/>
      <c r="M8" s="135"/>
      <c r="N8" s="135"/>
      <c r="O8" s="135"/>
      <c r="P8" s="135"/>
      <c r="Q8" s="135"/>
      <c r="R8" s="130"/>
      <c r="S8" s="136"/>
    </row>
    <row r="9" spans="1:19" ht="21" customHeight="1" x14ac:dyDescent="0.15">
      <c r="A9" s="186">
        <v>1558</v>
      </c>
      <c r="B9" s="129" t="s">
        <v>185</v>
      </c>
      <c r="C9" s="188" t="str">
        <f t="shared" ca="1" si="1"/>
        <v>Aries01スキル</v>
      </c>
      <c r="D9" s="188" t="s">
        <v>456</v>
      </c>
      <c r="E9" s="131">
        <f t="shared" si="3"/>
        <v>55</v>
      </c>
      <c r="F9" s="63">
        <v>12</v>
      </c>
      <c r="G9" s="113">
        <f ca="1">IF(VLOOKUP(A9,units!A:H,8,FALSE)="DropWizSS",16,IF(OR(VLOOKUP(A9,units!A:H,8,FALSE)="PremiumSS",VLOOKUP(A9,units!A:H,8,FALSE)="PremiumS"),5,7))</f>
        <v>5</v>
      </c>
      <c r="H9" s="132">
        <f>2001</f>
        <v>2001</v>
      </c>
      <c r="I9" s="201" t="s">
        <v>457</v>
      </c>
      <c r="J9" s="53" t="str">
        <f ca="1">VLOOKUP($A9,OFFSET([1]characters!$A$1,0,0,COUNTA([1]characters!$A:$A),MATCH("name",[1]characters!$1:$1,0)-MATCH("character_id",[1]characters!$1:$1,0)+1),MATCH("name",[1]characters!$1:$1,0)-MATCH("character_id",[1]characters!$1:$1,0)+1,FALSE)</f>
        <v>Aries01</v>
      </c>
      <c r="K9" s="133">
        <f>IFERROR(VLOOKUP(A9,[1]characters!$A:$R,18),0)</f>
        <v>1</v>
      </c>
      <c r="L9" s="134"/>
      <c r="M9" s="135"/>
      <c r="N9" s="135"/>
      <c r="O9" s="135"/>
      <c r="P9" s="135"/>
      <c r="Q9" s="135"/>
      <c r="R9" s="130"/>
      <c r="S9" s="136"/>
    </row>
    <row r="10" spans="1:19" ht="21" customHeight="1" x14ac:dyDescent="0.15">
      <c r="A10" s="186">
        <v>1559</v>
      </c>
      <c r="B10" s="129" t="s">
        <v>185</v>
      </c>
      <c r="C10" s="188" t="str">
        <f t="shared" ca="1" si="1"/>
        <v>Aries02スキル</v>
      </c>
      <c r="D10" s="188" t="s">
        <v>456</v>
      </c>
      <c r="E10" s="131">
        <f t="shared" si="3"/>
        <v>55</v>
      </c>
      <c r="F10" s="63">
        <v>11</v>
      </c>
      <c r="G10" s="113">
        <f ca="1">IF(VLOOKUP(A10,units!A:H,8,FALSE)="DropWizSS",16,IF(OR(VLOOKUP(A10,units!A:H,8,FALSE)="PremiumSS",VLOOKUP(A10,units!A:H,8,FALSE)="PremiumS"),5,7))</f>
        <v>5</v>
      </c>
      <c r="H10" s="132">
        <f>2001</f>
        <v>2001</v>
      </c>
      <c r="I10" s="201" t="s">
        <v>457</v>
      </c>
      <c r="J10" s="53" t="str">
        <f ca="1">VLOOKUP($A10,OFFSET([1]characters!$A$1,0,0,COUNTA([1]characters!$A:$A),MATCH("name",[1]characters!$1:$1,0)-MATCH("character_id",[1]characters!$1:$1,0)+1),MATCH("name",[1]characters!$1:$1,0)-MATCH("character_id",[1]characters!$1:$1,0)+1,FALSE)</f>
        <v>Aries02</v>
      </c>
      <c r="K10" s="133">
        <f>IFERROR(VLOOKUP(A10,[1]characters!$A:$R,18),0)</f>
        <v>1</v>
      </c>
      <c r="L10" s="134"/>
      <c r="M10" s="135"/>
      <c r="N10" s="135"/>
      <c r="O10" s="135"/>
      <c r="P10" s="135"/>
      <c r="Q10" s="135"/>
      <c r="R10" s="130"/>
      <c r="S10" s="136"/>
    </row>
    <row r="11" spans="1:19" ht="21" customHeight="1" x14ac:dyDescent="0.15">
      <c r="A11" s="186">
        <v>1560</v>
      </c>
      <c r="B11" s="129" t="s">
        <v>185</v>
      </c>
      <c r="C11" s="188" t="str">
        <f t="shared" ca="1" si="1"/>
        <v>Pisces01スキル</v>
      </c>
      <c r="D11" s="188" t="s">
        <v>432</v>
      </c>
      <c r="E11" s="131">
        <f t="shared" si="3"/>
        <v>42</v>
      </c>
      <c r="F11" s="63">
        <v>10</v>
      </c>
      <c r="G11" s="113">
        <f ca="1">IF(VLOOKUP(A11,units!A:H,8,FALSE)="DropWizSS",16,IF(OR(VLOOKUP(A11,units!A:H,8,FALSE)="PremiumSS",VLOOKUP(A11,units!A:H,8,FALSE)="PremiumS"),5,7))</f>
        <v>5</v>
      </c>
      <c r="H11" s="132">
        <f>2001</f>
        <v>2001</v>
      </c>
      <c r="I11" s="189" t="s">
        <v>371</v>
      </c>
      <c r="J11" s="53" t="str">
        <f ca="1">VLOOKUP($A11,OFFSET([1]characters!$A$1,0,0,COUNTA([1]characters!$A:$A),MATCH("name",[1]characters!$1:$1,0)-MATCH("character_id",[1]characters!$1:$1,0)+1),MATCH("name",[1]characters!$1:$1,0)-MATCH("character_id",[1]characters!$1:$1,0)+1,FALSE)</f>
        <v>Pisces01</v>
      </c>
      <c r="K11" s="133">
        <f>IFERROR(VLOOKUP(A11,[1]characters!$A:$R,18),0)</f>
        <v>1</v>
      </c>
      <c r="L11" s="134"/>
      <c r="M11" s="135"/>
      <c r="N11" s="135"/>
      <c r="O11" s="135"/>
      <c r="P11" s="135"/>
      <c r="Q11" s="135"/>
      <c r="R11" s="130"/>
      <c r="S11" s="136"/>
    </row>
    <row r="12" spans="1:19" ht="21" customHeight="1" x14ac:dyDescent="0.15">
      <c r="A12" s="186">
        <v>1561</v>
      </c>
      <c r="B12" s="129" t="s">
        <v>185</v>
      </c>
      <c r="C12" s="188" t="str">
        <f t="shared" ca="1" si="1"/>
        <v>Sagittarius01スキル</v>
      </c>
      <c r="D12" s="188" t="s">
        <v>372</v>
      </c>
      <c r="E12" s="131">
        <f t="shared" si="3"/>
        <v>56</v>
      </c>
      <c r="F12" s="63">
        <v>12</v>
      </c>
      <c r="G12" s="113">
        <f ca="1">IF(VLOOKUP(A12,units!A:H,8,FALSE)="DropWizSS",16,IF(OR(VLOOKUP(A12,units!A:H,8,FALSE)="PremiumSS",VLOOKUP(A12,units!A:H,8,FALSE)="PremiumS"),5,7))</f>
        <v>5</v>
      </c>
      <c r="H12" s="132">
        <f>2001</f>
        <v>2001</v>
      </c>
      <c r="I12" s="189" t="s">
        <v>443</v>
      </c>
      <c r="J12" s="53" t="str">
        <f ca="1">VLOOKUP($A12,OFFSET([1]characters!$A$1,0,0,COUNTA([1]characters!$A:$A),MATCH("name",[1]characters!$1:$1,0)-MATCH("character_id",[1]characters!$1:$1,0)+1),MATCH("name",[1]characters!$1:$1,0)-MATCH("character_id",[1]characters!$1:$1,0)+1,FALSE)</f>
        <v>Sagittarius01</v>
      </c>
      <c r="K12" s="133">
        <f>IFERROR(VLOOKUP(A12,[1]characters!$A:$R,18),0)</f>
        <v>1</v>
      </c>
      <c r="L12" s="134"/>
      <c r="M12" s="135"/>
      <c r="N12" s="135"/>
      <c r="O12" s="135"/>
      <c r="P12" s="135"/>
      <c r="Q12" s="135"/>
      <c r="R12" s="130"/>
      <c r="S12" s="136"/>
    </row>
    <row r="13" spans="1:19" ht="21" customHeight="1" x14ac:dyDescent="0.15">
      <c r="A13" s="186">
        <v>1562</v>
      </c>
      <c r="B13" s="129" t="s">
        <v>185</v>
      </c>
      <c r="C13" s="188" t="str">
        <f t="shared" ca="1" si="1"/>
        <v>Sagittarius02スキル</v>
      </c>
      <c r="D13" s="188" t="s">
        <v>373</v>
      </c>
      <c r="E13" s="131">
        <f t="shared" ref="E13:E28" si="4">LEN(D13)</f>
        <v>57</v>
      </c>
      <c r="F13" s="63">
        <v>11</v>
      </c>
      <c r="G13" s="113">
        <f ca="1">IF(VLOOKUP(A13,units!A:H,8,FALSE)="DropWizSS",16,IF(OR(VLOOKUP(A13,units!A:H,8,FALSE)="PremiumSS",VLOOKUP(A13,units!A:H,8,FALSE)="PremiumS"),5,7))</f>
        <v>5</v>
      </c>
      <c r="H13" s="132">
        <f>2001</f>
        <v>2001</v>
      </c>
      <c r="I13" s="189" t="s">
        <v>444</v>
      </c>
      <c r="J13" s="53" t="str">
        <f ca="1">VLOOKUP($A13,OFFSET([1]characters!$A$1,0,0,COUNTA([1]characters!$A:$A),MATCH("name",[1]characters!$1:$1,0)-MATCH("character_id",[1]characters!$1:$1,0)+1),MATCH("name",[1]characters!$1:$1,0)-MATCH("character_id",[1]characters!$1:$1,0)+1,FALSE)</f>
        <v>Sagittarius02</v>
      </c>
      <c r="K13" s="133">
        <f>IFERROR(VLOOKUP(A13,[1]characters!$A:$R,18),0)</f>
        <v>1</v>
      </c>
      <c r="L13" s="134"/>
      <c r="M13" s="135"/>
      <c r="N13" s="135"/>
      <c r="O13" s="135"/>
      <c r="P13" s="135"/>
      <c r="Q13" s="135"/>
      <c r="R13" s="130"/>
      <c r="S13" s="136"/>
    </row>
    <row r="14" spans="1:19" ht="21" customHeight="1" x14ac:dyDescent="0.15">
      <c r="A14" s="186">
        <v>1563</v>
      </c>
      <c r="B14" s="129" t="s">
        <v>185</v>
      </c>
      <c r="C14" s="188" t="str">
        <f t="shared" ca="1" si="1"/>
        <v>Cassiopeia01スキル</v>
      </c>
      <c r="D14" s="203" t="s">
        <v>470</v>
      </c>
      <c r="E14" s="131">
        <f t="shared" si="4"/>
        <v>48</v>
      </c>
      <c r="F14" s="63">
        <v>12</v>
      </c>
      <c r="G14" s="113">
        <f ca="1">IF(VLOOKUP(A14,units!A:H,8,FALSE)="DropWizSS",16,IF(OR(VLOOKUP(A14,units!A:H,8,FALSE)="PremiumSS",VLOOKUP(A14,units!A:H,8,FALSE)="PremiumS"),5,7))</f>
        <v>5</v>
      </c>
      <c r="H14" s="132">
        <f>2001</f>
        <v>2001</v>
      </c>
      <c r="I14" s="202" t="s">
        <v>469</v>
      </c>
      <c r="J14" s="53" t="str">
        <f ca="1">VLOOKUP($A14,OFFSET([1]characters!$A$1,0,0,COUNTA([1]characters!$A:$A),MATCH("name",[1]characters!$1:$1,0)-MATCH("character_id",[1]characters!$1:$1,0)+1),MATCH("name",[1]characters!$1:$1,0)-MATCH("character_id",[1]characters!$1:$1,0)+1,FALSE)</f>
        <v>Cassiopeia01</v>
      </c>
      <c r="K14" s="133">
        <f>IFERROR(VLOOKUP(A14,[1]characters!$A:$R,18),0)</f>
        <v>1</v>
      </c>
      <c r="L14" s="134"/>
      <c r="M14" s="135"/>
      <c r="N14" s="135"/>
      <c r="O14" s="135"/>
      <c r="P14" s="135"/>
      <c r="Q14" s="135"/>
      <c r="R14" s="130"/>
      <c r="S14" s="136"/>
    </row>
    <row r="15" spans="1:19" ht="21" customHeight="1" x14ac:dyDescent="0.15">
      <c r="A15" s="186">
        <v>1564</v>
      </c>
      <c r="B15" s="129" t="s">
        <v>185</v>
      </c>
      <c r="C15" s="188" t="str">
        <f t="shared" ca="1" si="1"/>
        <v>Cassiopeia02スキル</v>
      </c>
      <c r="D15" s="203" t="s">
        <v>472</v>
      </c>
      <c r="E15" s="131">
        <f t="shared" si="4"/>
        <v>50</v>
      </c>
      <c r="F15" s="63">
        <v>11</v>
      </c>
      <c r="G15" s="113">
        <f ca="1">IF(VLOOKUP(A15,units!A:H,8,FALSE)="DropWizSS",16,IF(OR(VLOOKUP(A15,units!A:H,8,FALSE)="PremiumSS",VLOOKUP(A15,units!A:H,8,FALSE)="PremiumS"),5,7))</f>
        <v>5</v>
      </c>
      <c r="H15" s="132">
        <f>2001</f>
        <v>2001</v>
      </c>
      <c r="I15" s="202" t="s">
        <v>471</v>
      </c>
      <c r="J15" s="53" t="str">
        <f ca="1">VLOOKUP($A15,OFFSET([1]characters!$A$1,0,0,COUNTA([1]characters!$A:$A),MATCH("name",[1]characters!$1:$1,0)-MATCH("character_id",[1]characters!$1:$1,0)+1),MATCH("name",[1]characters!$1:$1,0)-MATCH("character_id",[1]characters!$1:$1,0)+1,FALSE)</f>
        <v>Cassiopeia02</v>
      </c>
      <c r="K15" s="133">
        <f>IFERROR(VLOOKUP(A15,[1]characters!$A:$R,18),0)</f>
        <v>1</v>
      </c>
      <c r="L15" s="134"/>
      <c r="M15" s="135"/>
      <c r="N15" s="135"/>
      <c r="O15" s="135"/>
      <c r="P15" s="135"/>
      <c r="Q15" s="135"/>
      <c r="R15" s="130"/>
      <c r="S15" s="136"/>
    </row>
    <row r="16" spans="1:19" ht="21" customHeight="1" x14ac:dyDescent="0.15">
      <c r="A16" s="186">
        <v>1565</v>
      </c>
      <c r="B16" s="129" t="s">
        <v>185</v>
      </c>
      <c r="C16" s="188" t="str">
        <f t="shared" ca="1" si="1"/>
        <v>Aquila01スキル</v>
      </c>
      <c r="D16" s="188" t="s">
        <v>430</v>
      </c>
      <c r="E16" s="131">
        <f t="shared" si="4"/>
        <v>62</v>
      </c>
      <c r="F16" s="63">
        <v>11</v>
      </c>
      <c r="G16" s="113">
        <f ca="1">IF(VLOOKUP(A16,units!A:H,8,FALSE)="DropWizSS",16,IF(OR(VLOOKUP(A16,units!A:H,8,FALSE)="PremiumSS",VLOOKUP(A16,units!A:H,8,FALSE)="PremiumS"),5,7))</f>
        <v>5</v>
      </c>
      <c r="H16" s="132">
        <f>2001</f>
        <v>2001</v>
      </c>
      <c r="I16" s="189" t="s">
        <v>462</v>
      </c>
      <c r="J16" s="53" t="str">
        <f ca="1">VLOOKUP($A16,OFFSET([1]characters!$A$1,0,0,COUNTA([1]characters!$A:$A),MATCH("name",[1]characters!$1:$1,0)-MATCH("character_id",[1]characters!$1:$1,0)+1),MATCH("name",[1]characters!$1:$1,0)-MATCH("character_id",[1]characters!$1:$1,0)+1,FALSE)</f>
        <v>Aquila01</v>
      </c>
      <c r="K16" s="133">
        <f>IFERROR(VLOOKUP(A16,[1]characters!$A:$R,18),0)</f>
        <v>1</v>
      </c>
      <c r="L16" s="134"/>
      <c r="M16" s="135"/>
      <c r="N16" s="135"/>
      <c r="O16" s="135"/>
      <c r="P16" s="135"/>
      <c r="Q16" s="135"/>
      <c r="R16" s="130"/>
      <c r="S16" s="136"/>
    </row>
    <row r="17" spans="1:19" ht="21" customHeight="1" x14ac:dyDescent="0.15">
      <c r="A17" s="186">
        <v>1566</v>
      </c>
      <c r="B17" s="129" t="s">
        <v>185</v>
      </c>
      <c r="C17" s="188" t="str">
        <f t="shared" ca="1" si="1"/>
        <v>Phoenix01スキル</v>
      </c>
      <c r="D17" s="188" t="s">
        <v>445</v>
      </c>
      <c r="E17" s="131">
        <f t="shared" si="4"/>
        <v>68</v>
      </c>
      <c r="F17" s="63">
        <v>14</v>
      </c>
      <c r="G17" s="113">
        <f ca="1">IF(VLOOKUP(A17,units!A:H,8,FALSE)="DropWizSS",16,IF(OR(VLOOKUP(A17,units!A:H,8,FALSE)="PremiumSS",VLOOKUP(A17,units!A:H,8,FALSE)="PremiumS"),5,7))</f>
        <v>7</v>
      </c>
      <c r="H17" s="132">
        <f>2001</f>
        <v>2001</v>
      </c>
      <c r="I17" s="189" t="s">
        <v>446</v>
      </c>
      <c r="J17" s="53" t="str">
        <f ca="1">VLOOKUP($A17,OFFSET([1]characters!$A$1,0,0,COUNTA([1]characters!$A:$A),MATCH("name",[1]characters!$1:$1,0)-MATCH("character_id",[1]characters!$1:$1,0)+1),MATCH("name",[1]characters!$1:$1,0)-MATCH("character_id",[1]characters!$1:$1,0)+1,FALSE)</f>
        <v>Phoenix01</v>
      </c>
      <c r="K17" s="133">
        <f>IFERROR(VLOOKUP(A17,[1]characters!$A:$R,18),0)</f>
        <v>1</v>
      </c>
      <c r="L17" s="134"/>
      <c r="M17" s="135"/>
      <c r="N17" s="135"/>
      <c r="O17" s="135"/>
      <c r="P17" s="135"/>
      <c r="Q17" s="135"/>
      <c r="R17" s="130"/>
      <c r="S17" s="136"/>
    </row>
    <row r="18" spans="1:19" ht="21" customHeight="1" x14ac:dyDescent="0.15">
      <c r="A18" s="186">
        <v>1567</v>
      </c>
      <c r="B18" s="129" t="s">
        <v>185</v>
      </c>
      <c r="C18" s="188" t="str">
        <f t="shared" ca="1" si="1"/>
        <v>Phoenix02スキル</v>
      </c>
      <c r="D18" s="188" t="s">
        <v>445</v>
      </c>
      <c r="E18" s="131">
        <f t="shared" si="4"/>
        <v>68</v>
      </c>
      <c r="F18" s="63">
        <v>13</v>
      </c>
      <c r="G18" s="113">
        <f ca="1">IF(VLOOKUP(A18,units!A:H,8,FALSE)="DropWizSS",16,IF(OR(VLOOKUP(A18,units!A:H,8,FALSE)="PremiumSS",VLOOKUP(A18,units!A:H,8,FALSE)="PremiumS"),5,7))</f>
        <v>7</v>
      </c>
      <c r="H18" s="132">
        <f>2001</f>
        <v>2001</v>
      </c>
      <c r="I18" s="189" t="s">
        <v>446</v>
      </c>
      <c r="J18" s="53" t="str">
        <f ca="1">VLOOKUP($A18,OFFSET([1]characters!$A$1,0,0,COUNTA([1]characters!$A:$A),MATCH("name",[1]characters!$1:$1,0)-MATCH("character_id",[1]characters!$1:$1,0)+1),MATCH("name",[1]characters!$1:$1,0)-MATCH("character_id",[1]characters!$1:$1,0)+1,FALSE)</f>
        <v>Phoenix02</v>
      </c>
      <c r="K18" s="133">
        <f>IFERROR(VLOOKUP(A18,[1]characters!$A:$R,18),0)</f>
        <v>1</v>
      </c>
      <c r="L18" s="134"/>
      <c r="M18" s="135"/>
      <c r="N18" s="135"/>
      <c r="O18" s="135"/>
      <c r="P18" s="135"/>
      <c r="Q18" s="135"/>
      <c r="R18" s="130"/>
      <c r="S18" s="136"/>
    </row>
    <row r="19" spans="1:19" ht="21" customHeight="1" x14ac:dyDescent="0.15">
      <c r="A19" s="186">
        <v>1568</v>
      </c>
      <c r="B19" s="129" t="s">
        <v>185</v>
      </c>
      <c r="C19" s="188" t="str">
        <f t="shared" ca="1" si="1"/>
        <v>Orion01スキル</v>
      </c>
      <c r="D19" s="188" t="s">
        <v>482</v>
      </c>
      <c r="E19" s="131">
        <f t="shared" si="4"/>
        <v>63</v>
      </c>
      <c r="F19" s="63">
        <v>12</v>
      </c>
      <c r="G19" s="113">
        <f ca="1">IF(VLOOKUP(A19,units!A:H,8,FALSE)="DropWizSS",16,IF(OR(VLOOKUP(A19,units!A:H,8,FALSE)="PremiumSS",VLOOKUP(A19,units!A:H,8,FALSE)="PremiumS"),5,7))</f>
        <v>5</v>
      </c>
      <c r="H19" s="132">
        <f>2001</f>
        <v>2001</v>
      </c>
      <c r="I19" s="189" t="s">
        <v>481</v>
      </c>
      <c r="J19" s="53" t="str">
        <f ca="1">VLOOKUP($A19,OFFSET([1]characters!$A$1,0,0,COUNTA([1]characters!$A:$A),MATCH("name",[1]characters!$1:$1,0)-MATCH("character_id",[1]characters!$1:$1,0)+1),MATCH("name",[1]characters!$1:$1,0)-MATCH("character_id",[1]characters!$1:$1,0)+1,FALSE)</f>
        <v>Orion01</v>
      </c>
      <c r="K19" s="133">
        <f>IFERROR(VLOOKUP(A19,[1]characters!$A:$R,18),0)</f>
        <v>1</v>
      </c>
      <c r="L19" s="134"/>
      <c r="M19" s="135"/>
      <c r="N19" s="135"/>
      <c r="O19" s="135"/>
      <c r="P19" s="135"/>
      <c r="Q19" s="135"/>
      <c r="R19" s="130"/>
      <c r="S19" s="136"/>
    </row>
    <row r="20" spans="1:19" ht="21" customHeight="1" x14ac:dyDescent="0.15">
      <c r="A20" s="186">
        <v>1569</v>
      </c>
      <c r="B20" s="129" t="s">
        <v>185</v>
      </c>
      <c r="C20" s="188" t="str">
        <f t="shared" ca="1" si="1"/>
        <v>Orion02スキル</v>
      </c>
      <c r="D20" s="188" t="s">
        <v>482</v>
      </c>
      <c r="E20" s="131">
        <f t="shared" si="4"/>
        <v>63</v>
      </c>
      <c r="F20" s="63">
        <v>11</v>
      </c>
      <c r="G20" s="113">
        <f ca="1">IF(VLOOKUP(A20,units!A:H,8,FALSE)="DropWizSS",16,IF(OR(VLOOKUP(A20,units!A:H,8,FALSE)="PremiumSS",VLOOKUP(A20,units!A:H,8,FALSE)="PremiumS"),5,7))</f>
        <v>5</v>
      </c>
      <c r="H20" s="132">
        <f>2001</f>
        <v>2001</v>
      </c>
      <c r="I20" s="189" t="s">
        <v>481</v>
      </c>
      <c r="J20" s="53" t="str">
        <f ca="1">VLOOKUP($A20,OFFSET([1]characters!$A$1,0,0,COUNTA([1]characters!$A:$A),MATCH("name",[1]characters!$1:$1,0)-MATCH("character_id",[1]characters!$1:$1,0)+1),MATCH("name",[1]characters!$1:$1,0)-MATCH("character_id",[1]characters!$1:$1,0)+1,FALSE)</f>
        <v>Orion02</v>
      </c>
      <c r="K20" s="133">
        <f>IFERROR(VLOOKUP(A20,[1]characters!$A:$R,18),0)</f>
        <v>1</v>
      </c>
      <c r="L20" s="134"/>
      <c r="M20" s="135"/>
      <c r="N20" s="135"/>
      <c r="O20" s="135"/>
      <c r="P20" s="135"/>
      <c r="Q20" s="135"/>
      <c r="R20" s="130"/>
      <c r="S20" s="136"/>
    </row>
    <row r="21" spans="1:19" ht="21" customHeight="1" x14ac:dyDescent="0.15">
      <c r="A21" s="186">
        <v>1570</v>
      </c>
      <c r="B21" s="129" t="s">
        <v>185</v>
      </c>
      <c r="C21" s="188" t="str">
        <f t="shared" ca="1" si="1"/>
        <v>Centaurus01スキル</v>
      </c>
      <c r="D21" s="188" t="s">
        <v>435</v>
      </c>
      <c r="E21" s="131">
        <f t="shared" si="4"/>
        <v>65</v>
      </c>
      <c r="F21" s="63">
        <v>10</v>
      </c>
      <c r="G21" s="113">
        <f ca="1">IF(VLOOKUP(A21,units!A:H,8,FALSE)="DropWizSS",16,IF(OR(VLOOKUP(A21,units!A:H,8,FALSE)="PremiumSS",VLOOKUP(A21,units!A:H,8,FALSE)="PremiumS"),5,7))</f>
        <v>5</v>
      </c>
      <c r="H21" s="132">
        <f>2001</f>
        <v>2001</v>
      </c>
      <c r="I21" s="189" t="s">
        <v>453</v>
      </c>
      <c r="J21" s="53" t="str">
        <f ca="1">VLOOKUP($A21,OFFSET([1]characters!$A$1,0,0,COUNTA([1]characters!$A:$A),MATCH("name",[1]characters!$1:$1,0)-MATCH("character_id",[1]characters!$1:$1,0)+1),MATCH("name",[1]characters!$1:$1,0)-MATCH("character_id",[1]characters!$1:$1,0)+1,FALSE)</f>
        <v>Centaurus01</v>
      </c>
      <c r="K21" s="133">
        <f>IFERROR(VLOOKUP(A21,[1]characters!$A:$R,18),0)</f>
        <v>1</v>
      </c>
      <c r="L21" s="134"/>
      <c r="M21" s="135"/>
      <c r="N21" s="135"/>
      <c r="O21" s="135"/>
      <c r="P21" s="135"/>
      <c r="Q21" s="135"/>
      <c r="R21" s="130"/>
      <c r="S21" s="136"/>
    </row>
    <row r="22" spans="1:19" ht="21" customHeight="1" x14ac:dyDescent="0.15">
      <c r="A22" s="186">
        <v>1571</v>
      </c>
      <c r="B22" s="129" t="s">
        <v>185</v>
      </c>
      <c r="C22" s="188" t="str">
        <f t="shared" ca="1" si="1"/>
        <v>Lupus01スキル</v>
      </c>
      <c r="D22" s="188" t="s">
        <v>476</v>
      </c>
      <c r="E22" s="131">
        <f t="shared" si="4"/>
        <v>64</v>
      </c>
      <c r="F22" s="63">
        <v>25</v>
      </c>
      <c r="G22" s="113">
        <f ca="1">IF(VLOOKUP(A22,units!A:H,8,FALSE)="DropWizSS",16,IF(OR(VLOOKUP(A22,units!A:H,8,FALSE)="PremiumSS",VLOOKUP(A22,units!A:H,8,FALSE)="PremiumS"),5,7))</f>
        <v>16</v>
      </c>
      <c r="H22" s="132">
        <f>2001</f>
        <v>2001</v>
      </c>
      <c r="I22" s="189" t="s">
        <v>475</v>
      </c>
      <c r="J22" s="53" t="str">
        <f ca="1">VLOOKUP($A22,OFFSET([1]characters!$A$1,0,0,COUNTA([1]characters!$A:$A),MATCH("name",[1]characters!$1:$1,0)-MATCH("character_id",[1]characters!$1:$1,0)+1),MATCH("name",[1]characters!$1:$1,0)-MATCH("character_id",[1]characters!$1:$1,0)+1,FALSE)</f>
        <v>Lupus01</v>
      </c>
      <c r="K22" s="133">
        <f>IFERROR(VLOOKUP(A22,[1]characters!$A:$R,18),0)</f>
        <v>1</v>
      </c>
      <c r="L22" s="134"/>
      <c r="M22" s="135"/>
      <c r="N22" s="135"/>
      <c r="O22" s="135"/>
      <c r="P22" s="135"/>
      <c r="Q22" s="135"/>
      <c r="R22" s="130"/>
      <c r="S22" s="136"/>
    </row>
    <row r="23" spans="1:19" ht="21" customHeight="1" x14ac:dyDescent="0.15">
      <c r="A23" s="186">
        <v>1572</v>
      </c>
      <c r="B23" s="129" t="s">
        <v>185</v>
      </c>
      <c r="C23" s="188" t="str">
        <f t="shared" ca="1" si="1"/>
        <v>Lupus02スキル</v>
      </c>
      <c r="D23" s="188" t="s">
        <v>476</v>
      </c>
      <c r="E23" s="131">
        <f t="shared" si="4"/>
        <v>64</v>
      </c>
      <c r="F23" s="63">
        <v>24</v>
      </c>
      <c r="G23" s="113">
        <f ca="1">IF(VLOOKUP(A23,units!A:H,8,FALSE)="DropWizSS",16,IF(OR(VLOOKUP(A23,units!A:H,8,FALSE)="PremiumSS",VLOOKUP(A23,units!A:H,8,FALSE)="PremiumS"),5,7))</f>
        <v>16</v>
      </c>
      <c r="H23" s="132">
        <f>2001</f>
        <v>2001</v>
      </c>
      <c r="I23" s="189" t="s">
        <v>475</v>
      </c>
      <c r="J23" s="53" t="str">
        <f ca="1">VLOOKUP($A23,OFFSET([1]characters!$A$1,0,0,COUNTA([1]characters!$A:$A),MATCH("name",[1]characters!$1:$1,0)-MATCH("character_id",[1]characters!$1:$1,0)+1),MATCH("name",[1]characters!$1:$1,0)-MATCH("character_id",[1]characters!$1:$1,0)+1,FALSE)</f>
        <v>Lupus02</v>
      </c>
      <c r="K23" s="133">
        <f>IFERROR(VLOOKUP(A23,[1]characters!$A:$R,18),0)</f>
        <v>1</v>
      </c>
      <c r="L23" s="134"/>
      <c r="M23" s="135"/>
      <c r="N23" s="135"/>
      <c r="O23" s="135"/>
      <c r="P23" s="135"/>
      <c r="Q23" s="135"/>
      <c r="R23" s="130"/>
      <c r="S23" s="136"/>
    </row>
    <row r="24" spans="1:19" ht="21" customHeight="1" x14ac:dyDescent="0.15">
      <c r="A24" s="186">
        <v>1573</v>
      </c>
      <c r="B24" s="129" t="s">
        <v>185</v>
      </c>
      <c r="C24" s="188" t="str">
        <f t="shared" ca="1" si="1"/>
        <v>Scorpius01スキル</v>
      </c>
      <c r="D24" s="188" t="s">
        <v>478</v>
      </c>
      <c r="E24" s="131">
        <f t="shared" si="4"/>
        <v>63</v>
      </c>
      <c r="F24" s="63">
        <v>11</v>
      </c>
      <c r="G24" s="113">
        <f ca="1">IF(VLOOKUP(A24,units!A:H,8,FALSE)="DropWizSS",16,IF(OR(VLOOKUP(A24,units!A:H,8,FALSE)="PremiumSS",VLOOKUP(A24,units!A:H,8,FALSE)="PremiumS"),5,7))</f>
        <v>5</v>
      </c>
      <c r="H24" s="132">
        <f>2001</f>
        <v>2001</v>
      </c>
      <c r="I24" s="189" t="s">
        <v>477</v>
      </c>
      <c r="J24" s="53" t="str">
        <f ca="1">VLOOKUP($A24,OFFSET([1]characters!$A$1,0,0,COUNTA([1]characters!$A:$A),MATCH("name",[1]characters!$1:$1,0)-MATCH("character_id",[1]characters!$1:$1,0)+1),MATCH("name",[1]characters!$1:$1,0)-MATCH("character_id",[1]characters!$1:$1,0)+1,FALSE)</f>
        <v>Scorpius01</v>
      </c>
      <c r="K24" s="133">
        <f>IFERROR(VLOOKUP(A24,[1]characters!$A:$R,18),0)</f>
        <v>1</v>
      </c>
      <c r="L24" s="134"/>
      <c r="M24" s="135"/>
      <c r="N24" s="135"/>
      <c r="O24" s="135"/>
      <c r="P24" s="135"/>
      <c r="Q24" s="135"/>
      <c r="R24" s="130"/>
      <c r="S24" s="136"/>
    </row>
    <row r="25" spans="1:19" ht="21" customHeight="1" x14ac:dyDescent="0.15">
      <c r="A25" s="186">
        <v>1574</v>
      </c>
      <c r="B25" s="129" t="s">
        <v>185</v>
      </c>
      <c r="C25" s="188" t="str">
        <f t="shared" ca="1" si="1"/>
        <v>Cancer01スキル</v>
      </c>
      <c r="D25" s="188" t="s">
        <v>480</v>
      </c>
      <c r="E25" s="131">
        <f t="shared" si="4"/>
        <v>58</v>
      </c>
      <c r="F25" s="63">
        <v>11</v>
      </c>
      <c r="G25" s="113">
        <f ca="1">IF(VLOOKUP(A25,units!A:H,8,FALSE)="DropWizSS",16,IF(OR(VLOOKUP(A25,units!A:H,8,FALSE)="PremiumSS",VLOOKUP(A25,units!A:H,8,FALSE)="PremiumS"),5,7))</f>
        <v>5</v>
      </c>
      <c r="H25" s="132">
        <f>2001</f>
        <v>2001</v>
      </c>
      <c r="I25" s="189" t="s">
        <v>479</v>
      </c>
      <c r="J25" s="53" t="str">
        <f ca="1">VLOOKUP($A25,OFFSET([1]characters!$A$1,0,0,COUNTA([1]characters!$A:$A),MATCH("name",[1]characters!$1:$1,0)-MATCH("character_id",[1]characters!$1:$1,0)+1),MATCH("name",[1]characters!$1:$1,0)-MATCH("character_id",[1]characters!$1:$1,0)+1,FALSE)</f>
        <v>Cancer01</v>
      </c>
      <c r="K25" s="133">
        <f>IFERROR(VLOOKUP(A25,[1]characters!$A:$R,18),0)</f>
        <v>1</v>
      </c>
      <c r="L25" s="134"/>
      <c r="M25" s="135"/>
      <c r="N25" s="135"/>
      <c r="O25" s="135"/>
      <c r="P25" s="135"/>
      <c r="Q25" s="135"/>
      <c r="R25" s="130"/>
      <c r="S25" s="136"/>
    </row>
    <row r="26" spans="1:19" ht="21" customHeight="1" x14ac:dyDescent="0.15">
      <c r="A26" s="186">
        <v>1575</v>
      </c>
      <c r="B26" s="129" t="s">
        <v>185</v>
      </c>
      <c r="C26" s="188" t="str">
        <f t="shared" ca="1" si="1"/>
        <v>Aquarius01スキル</v>
      </c>
      <c r="D26" s="188" t="s">
        <v>394</v>
      </c>
      <c r="E26" s="131">
        <f t="shared" si="4"/>
        <v>32</v>
      </c>
      <c r="F26" s="63">
        <v>14</v>
      </c>
      <c r="G26" s="113">
        <f ca="1">IF(VLOOKUP(A26,units!A:H,8,FALSE)="DropWizSS",16,IF(OR(VLOOKUP(A26,units!A:H,8,FALSE)="PremiumSS",VLOOKUP(A26,units!A:H,8,FALSE)="PremiumS"),5,7))</f>
        <v>7</v>
      </c>
      <c r="H26" s="132">
        <f>2001</f>
        <v>2001</v>
      </c>
      <c r="I26" s="189" t="s">
        <v>362</v>
      </c>
      <c r="J26" s="53" t="str">
        <f ca="1">VLOOKUP($A26,OFFSET([1]characters!$A$1,0,0,COUNTA([1]characters!$A:$A),MATCH("name",[1]characters!$1:$1,0)-MATCH("character_id",[1]characters!$1:$1,0)+1),MATCH("name",[1]characters!$1:$1,0)-MATCH("character_id",[1]characters!$1:$1,0)+1,FALSE)</f>
        <v>Aquarius01</v>
      </c>
      <c r="K26" s="133">
        <f>IFERROR(VLOOKUP(A26,[1]characters!$A:$R,18),0)</f>
        <v>1</v>
      </c>
      <c r="L26" s="134"/>
      <c r="M26" s="135"/>
      <c r="N26" s="135"/>
      <c r="O26" s="135"/>
      <c r="P26" s="135"/>
      <c r="Q26" s="135"/>
      <c r="R26" s="130"/>
      <c r="S26" s="136"/>
    </row>
    <row r="27" spans="1:19" ht="21" customHeight="1" x14ac:dyDescent="0.15">
      <c r="A27" s="186">
        <v>1576</v>
      </c>
      <c r="B27" s="129" t="s">
        <v>185</v>
      </c>
      <c r="C27" s="188" t="str">
        <f t="shared" ca="1" si="1"/>
        <v>Aquarius02スキル</v>
      </c>
      <c r="D27" s="188" t="s">
        <v>395</v>
      </c>
      <c r="E27" s="131">
        <f t="shared" si="4"/>
        <v>40</v>
      </c>
      <c r="F27" s="63">
        <v>12</v>
      </c>
      <c r="G27" s="113">
        <f ca="1">IF(VLOOKUP(A27,units!A:H,8,FALSE)="DropWizSS",16,IF(OR(VLOOKUP(A27,units!A:H,8,FALSE)="PremiumSS",VLOOKUP(A27,units!A:H,8,FALSE)="PremiumS"),5,7))</f>
        <v>7</v>
      </c>
      <c r="H27" s="132">
        <f>2001</f>
        <v>2001</v>
      </c>
      <c r="I27" s="189" t="s">
        <v>393</v>
      </c>
      <c r="J27" s="53" t="str">
        <f ca="1">VLOOKUP($A27,OFFSET([1]characters!$A$1,0,0,COUNTA([1]characters!$A:$A),MATCH("name",[1]characters!$1:$1,0)-MATCH("character_id",[1]characters!$1:$1,0)+1),MATCH("name",[1]characters!$1:$1,0)-MATCH("character_id",[1]characters!$1:$1,0)+1,FALSE)</f>
        <v>Aquarius02</v>
      </c>
      <c r="K27" s="133">
        <f>IFERROR(VLOOKUP(A27,[1]characters!$A:$R,18),0)</f>
        <v>1</v>
      </c>
      <c r="L27" s="134"/>
      <c r="M27" s="135"/>
      <c r="N27" s="135"/>
      <c r="O27" s="135"/>
      <c r="P27" s="135"/>
      <c r="Q27" s="135"/>
      <c r="R27" s="130"/>
      <c r="S27" s="136"/>
    </row>
    <row r="28" spans="1:19" ht="21" customHeight="1" x14ac:dyDescent="0.15">
      <c r="A28" s="186">
        <v>1577</v>
      </c>
      <c r="B28" s="129" t="s">
        <v>185</v>
      </c>
      <c r="C28" s="188" t="str">
        <f t="shared" ca="1" si="1"/>
        <v>Perseus01スキル</v>
      </c>
      <c r="D28" s="188" t="s">
        <v>454</v>
      </c>
      <c r="E28" s="131">
        <f t="shared" si="4"/>
        <v>54</v>
      </c>
      <c r="F28" s="63">
        <v>10</v>
      </c>
      <c r="G28" s="113">
        <f ca="1">IF(VLOOKUP(A28,units!A:H,8,FALSE)="DropWizSS",16,IF(OR(VLOOKUP(A28,units!A:H,8,FALSE)="PremiumSS",VLOOKUP(A28,units!A:H,8,FALSE)="PremiumS"),5,7))</f>
        <v>5</v>
      </c>
      <c r="H28" s="132">
        <f>2001</f>
        <v>2001</v>
      </c>
      <c r="I28" s="189" t="s">
        <v>455</v>
      </c>
      <c r="J28" s="53" t="str">
        <f ca="1">VLOOKUP($A28,OFFSET([1]characters!$A$1,0,0,COUNTA([1]characters!$A:$A),MATCH("name",[1]characters!$1:$1,0)-MATCH("character_id",[1]characters!$1:$1,0)+1),MATCH("name",[1]characters!$1:$1,0)-MATCH("character_id",[1]characters!$1:$1,0)+1,FALSE)</f>
        <v>Perseus01</v>
      </c>
      <c r="K28" s="133">
        <f>IFERROR(VLOOKUP(A28,[1]characters!$A:$R,18),0)</f>
        <v>1</v>
      </c>
      <c r="L28" s="134"/>
      <c r="M28" s="135"/>
      <c r="N28" s="135"/>
      <c r="O28" s="135"/>
      <c r="P28" s="135"/>
      <c r="Q28" s="135"/>
      <c r="R28" s="130"/>
      <c r="S28" s="136"/>
    </row>
    <row r="29" spans="1:19" ht="21" customHeight="1" x14ac:dyDescent="0.15">
      <c r="A29" s="186">
        <v>1578</v>
      </c>
      <c r="B29" s="129" t="s">
        <v>185</v>
      </c>
      <c r="C29" s="188" t="str">
        <f t="shared" ca="1" si="1"/>
        <v>Hydra01スキル</v>
      </c>
      <c r="D29" s="188" t="s">
        <v>442</v>
      </c>
      <c r="E29" s="131">
        <f t="shared" ref="E29:E33" si="5">LEN(D29)</f>
        <v>28</v>
      </c>
      <c r="F29" s="63">
        <v>11</v>
      </c>
      <c r="G29" s="113">
        <f ca="1">IF(VLOOKUP(A29,units!A:H,8,FALSE)="DropWizSS",16,IF(OR(VLOOKUP(A29,units!A:H,8,FALSE)="PremiumSS",VLOOKUP(A29,units!A:H,8,FALSE)="PremiumS"),5,7))</f>
        <v>5</v>
      </c>
      <c r="H29" s="132">
        <f>2001</f>
        <v>2001</v>
      </c>
      <c r="I29" s="189" t="s">
        <v>428</v>
      </c>
      <c r="J29" s="53" t="str">
        <f ca="1">VLOOKUP($A29,OFFSET([1]characters!$A$1,0,0,COUNTA([1]characters!$A:$A),MATCH("name",[1]characters!$1:$1,0)-MATCH("character_id",[1]characters!$1:$1,0)+1),MATCH("name",[1]characters!$1:$1,0)-MATCH("character_id",[1]characters!$1:$1,0)+1,FALSE)</f>
        <v>Hydra01</v>
      </c>
      <c r="K29" s="133">
        <f>IFERROR(VLOOKUP(A29,[1]characters!$A:$R,18),0)</f>
        <v>1</v>
      </c>
      <c r="L29" s="134"/>
      <c r="M29" s="135"/>
      <c r="N29" s="135"/>
      <c r="O29" s="135"/>
      <c r="P29" s="135"/>
      <c r="Q29" s="135"/>
      <c r="R29" s="130"/>
      <c r="S29" s="136"/>
    </row>
    <row r="30" spans="1:19" ht="21" customHeight="1" x14ac:dyDescent="0.15">
      <c r="A30" s="186">
        <v>1579</v>
      </c>
      <c r="B30" s="129" t="s">
        <v>185</v>
      </c>
      <c r="C30" s="188" t="str">
        <f t="shared" ca="1" si="1"/>
        <v>Lyra01スキル</v>
      </c>
      <c r="D30" s="188" t="s">
        <v>402</v>
      </c>
      <c r="E30" s="131">
        <f t="shared" si="5"/>
        <v>51</v>
      </c>
      <c r="F30" s="63">
        <v>16</v>
      </c>
      <c r="G30" s="113">
        <f ca="1">IF(VLOOKUP(A30,units!A:H,8,FALSE)="DropWizSS",16,IF(OR(VLOOKUP(A30,units!A:H,8,FALSE)="PremiumSS",VLOOKUP(A30,units!A:H,8,FALSE)="PremiumS"),5,7))</f>
        <v>7</v>
      </c>
      <c r="H30" s="132">
        <f>2001</f>
        <v>2001</v>
      </c>
      <c r="I30" s="189" t="s">
        <v>400</v>
      </c>
      <c r="J30" s="53" t="str">
        <f ca="1">VLOOKUP($A30,OFFSET([1]characters!$A$1,0,0,COUNTA([1]characters!$A:$A),MATCH("name",[1]characters!$1:$1,0)-MATCH("character_id",[1]characters!$1:$1,0)+1),MATCH("name",[1]characters!$1:$1,0)-MATCH("character_id",[1]characters!$1:$1,0)+1,FALSE)</f>
        <v>Lyra01</v>
      </c>
      <c r="K30" s="133">
        <f>IFERROR(VLOOKUP(A30,[1]characters!$A:$R,18),0)</f>
        <v>1</v>
      </c>
      <c r="L30" s="134"/>
      <c r="M30" s="135"/>
      <c r="N30" s="135"/>
      <c r="O30" s="135"/>
      <c r="P30" s="135"/>
      <c r="Q30" s="135"/>
      <c r="R30" s="130"/>
      <c r="S30" s="136"/>
    </row>
    <row r="31" spans="1:19" ht="21" customHeight="1" x14ac:dyDescent="0.15">
      <c r="A31" s="186">
        <v>1580</v>
      </c>
      <c r="B31" s="129" t="s">
        <v>185</v>
      </c>
      <c r="C31" s="188" t="str">
        <f t="shared" ca="1" si="1"/>
        <v>Lyra02スキル</v>
      </c>
      <c r="D31" s="188" t="s">
        <v>403</v>
      </c>
      <c r="E31" s="131">
        <f t="shared" si="5"/>
        <v>51</v>
      </c>
      <c r="F31" s="63">
        <v>15</v>
      </c>
      <c r="G31" s="113">
        <f ca="1">IF(VLOOKUP(A31,units!A:H,8,FALSE)="DropWizSS",16,IF(OR(VLOOKUP(A31,units!A:H,8,FALSE)="PremiumSS",VLOOKUP(A31,units!A:H,8,FALSE)="PremiumS"),5,7))</f>
        <v>7</v>
      </c>
      <c r="H31" s="132">
        <f>2001</f>
        <v>2001</v>
      </c>
      <c r="I31" s="189" t="s">
        <v>401</v>
      </c>
      <c r="J31" s="53" t="str">
        <f ca="1">VLOOKUP($A31,OFFSET([1]characters!$A$1,0,0,COUNTA([1]characters!$A:$A),MATCH("name",[1]characters!$1:$1,0)-MATCH("character_id",[1]characters!$1:$1,0)+1),MATCH("name",[1]characters!$1:$1,0)-MATCH("character_id",[1]characters!$1:$1,0)+1,FALSE)</f>
        <v>Lyra02</v>
      </c>
      <c r="K31" s="133">
        <f>IFERROR(VLOOKUP(A31,[1]characters!$A:$R,18),0)</f>
        <v>1</v>
      </c>
      <c r="L31" s="134"/>
      <c r="M31" s="135"/>
      <c r="N31" s="135"/>
      <c r="O31" s="135"/>
      <c r="P31" s="135"/>
      <c r="Q31" s="135"/>
      <c r="R31" s="130"/>
      <c r="S31" s="136"/>
    </row>
    <row r="32" spans="1:19" ht="21" customHeight="1" x14ac:dyDescent="0.15">
      <c r="A32" s="186">
        <v>1581</v>
      </c>
      <c r="B32" s="129" t="s">
        <v>185</v>
      </c>
      <c r="C32" s="188" t="str">
        <f t="shared" ca="1" si="1"/>
        <v>Gemini01スキル</v>
      </c>
      <c r="D32" s="188" t="s">
        <v>484</v>
      </c>
      <c r="E32" s="131">
        <f t="shared" si="5"/>
        <v>37</v>
      </c>
      <c r="F32" s="63">
        <v>13</v>
      </c>
      <c r="G32" s="113">
        <f ca="1">IF(VLOOKUP(A32,units!A:H,8,FALSE)="DropWizSS",16,IF(OR(VLOOKUP(A32,units!A:H,8,FALSE)="PremiumSS",VLOOKUP(A32,units!A:H,8,FALSE)="PremiumS"),5,7))</f>
        <v>7</v>
      </c>
      <c r="H32" s="132">
        <f>2001</f>
        <v>2001</v>
      </c>
      <c r="I32" s="189" t="s">
        <v>483</v>
      </c>
      <c r="J32" s="53" t="str">
        <f ca="1">VLOOKUP($A32,OFFSET([1]characters!$A$1,0,0,COUNTA([1]characters!$A:$A),MATCH("name",[1]characters!$1:$1,0)-MATCH("character_id",[1]characters!$1:$1,0)+1),MATCH("name",[1]characters!$1:$1,0)-MATCH("character_id",[1]characters!$1:$1,0)+1,FALSE)</f>
        <v>Gemini01</v>
      </c>
      <c r="K32" s="133">
        <f>IFERROR(VLOOKUP(A32,[1]characters!$A:$R,18),0)</f>
        <v>1</v>
      </c>
      <c r="L32" s="134"/>
      <c r="M32" s="135"/>
      <c r="N32" s="135"/>
      <c r="O32" s="135"/>
      <c r="P32" s="135"/>
      <c r="Q32" s="135"/>
      <c r="R32" s="130"/>
      <c r="S32" s="136"/>
    </row>
    <row r="33" spans="1:19" ht="21" customHeight="1" x14ac:dyDescent="0.15">
      <c r="A33" s="186">
        <v>1582</v>
      </c>
      <c r="B33" s="129" t="s">
        <v>185</v>
      </c>
      <c r="C33" s="188" t="str">
        <f t="shared" ca="1" si="1"/>
        <v>Gemini02スキル</v>
      </c>
      <c r="D33" s="188" t="s">
        <v>484</v>
      </c>
      <c r="E33" s="131">
        <f t="shared" si="5"/>
        <v>37</v>
      </c>
      <c r="F33" s="63">
        <v>12</v>
      </c>
      <c r="G33" s="113">
        <f ca="1">IF(VLOOKUP(A33,units!A:H,8,FALSE)="DropWizSS",16,IF(OR(VLOOKUP(A33,units!A:H,8,FALSE)="PremiumSS",VLOOKUP(A33,units!A:H,8,FALSE)="PremiumS"),5,7))</f>
        <v>7</v>
      </c>
      <c r="H33" s="132">
        <f>2001</f>
        <v>2001</v>
      </c>
      <c r="I33" s="189" t="s">
        <v>483</v>
      </c>
      <c r="J33" s="53" t="str">
        <f ca="1">VLOOKUP($A33,OFFSET([1]characters!$A$1,0,0,COUNTA([1]characters!$A:$A),MATCH("name",[1]characters!$1:$1,0)-MATCH("character_id",[1]characters!$1:$1,0)+1),MATCH("name",[1]characters!$1:$1,0)-MATCH("character_id",[1]characters!$1:$1,0)+1,FALSE)</f>
        <v>Gemini02</v>
      </c>
      <c r="K33" s="133">
        <f>IFERROR(VLOOKUP(A33,[1]characters!$A:$R,18),0)</f>
        <v>1</v>
      </c>
      <c r="L33" s="134"/>
      <c r="M33" s="135"/>
      <c r="N33" s="135"/>
      <c r="O33" s="135"/>
      <c r="P33" s="135"/>
      <c r="Q33" s="135"/>
      <c r="R33" s="130"/>
      <c r="S33" s="136"/>
    </row>
    <row r="34" spans="1:19" ht="21" customHeight="1" x14ac:dyDescent="0.15">
      <c r="A34" s="186">
        <v>1583</v>
      </c>
      <c r="B34" s="129" t="s">
        <v>185</v>
      </c>
      <c r="C34" s="188" t="str">
        <f t="shared" ca="1" si="1"/>
        <v>Corvus01スキル</v>
      </c>
      <c r="D34" s="188" t="s">
        <v>409</v>
      </c>
      <c r="E34" s="131">
        <f>LEN(D34)</f>
        <v>57</v>
      </c>
      <c r="F34" s="63">
        <v>13</v>
      </c>
      <c r="G34" s="113">
        <f ca="1">IF(VLOOKUP(A34,units!A:H,8,FALSE)="DropWizSS",16,IF(OR(VLOOKUP(A34,units!A:H,8,FALSE)="PremiumSS",VLOOKUP(A34,units!A:H,8,FALSE)="PremiumS"),5,7))</f>
        <v>7</v>
      </c>
      <c r="H34" s="132">
        <f>2001</f>
        <v>2001</v>
      </c>
      <c r="I34" s="189" t="s">
        <v>408</v>
      </c>
      <c r="J34" s="53" t="str">
        <f ca="1">VLOOKUP($A34,OFFSET([1]characters!$A$1,0,0,COUNTA([1]characters!$A:$A),MATCH("name",[1]characters!$1:$1,0)-MATCH("character_id",[1]characters!$1:$1,0)+1),MATCH("name",[1]characters!$1:$1,0)-MATCH("character_id",[1]characters!$1:$1,0)+1,FALSE)</f>
        <v>Corvus01</v>
      </c>
      <c r="K34" s="133">
        <f>IFERROR(VLOOKUP(A34,[1]characters!$A:$R,18),0)</f>
        <v>1</v>
      </c>
      <c r="L34" s="134"/>
      <c r="M34" s="135"/>
      <c r="N34" s="135"/>
      <c r="O34" s="135"/>
      <c r="P34" s="135"/>
      <c r="Q34" s="135"/>
      <c r="R34" s="130"/>
      <c r="S34" s="136"/>
    </row>
    <row r="35" spans="1:19" ht="21" customHeight="1" x14ac:dyDescent="0.15">
      <c r="A35" s="186">
        <v>1584</v>
      </c>
      <c r="B35" s="129" t="s">
        <v>185</v>
      </c>
      <c r="C35" s="188" t="str">
        <f t="shared" ca="1" si="1"/>
        <v>Sirius01スキル</v>
      </c>
      <c r="D35" s="188" t="s">
        <v>348</v>
      </c>
      <c r="E35" s="131">
        <f t="shared" ref="E35:E39" si="6">LEN(D35)</f>
        <v>24</v>
      </c>
      <c r="F35" s="63">
        <v>16</v>
      </c>
      <c r="G35" s="113">
        <f ca="1">IF(VLOOKUP(A35,units!A:H,8,FALSE)="DropWizSS",16,IF(OR(VLOOKUP(A35,units!A:H,8,FALSE)="PremiumSS",VLOOKUP(A35,units!A:H,8,FALSE)="PremiumS"),5,7))</f>
        <v>7</v>
      </c>
      <c r="H35" s="132">
        <f>2001</f>
        <v>2001</v>
      </c>
      <c r="I35" s="189" t="s">
        <v>414</v>
      </c>
      <c r="J35" s="53" t="str">
        <f ca="1">VLOOKUP($A35,OFFSET([1]characters!$A$1,0,0,COUNTA([1]characters!$A:$A),MATCH("name",[1]characters!$1:$1,0)-MATCH("character_id",[1]characters!$1:$1,0)+1),MATCH("name",[1]characters!$1:$1,0)-MATCH("character_id",[1]characters!$1:$1,0)+1,FALSE)</f>
        <v>Sirius01</v>
      </c>
      <c r="K35" s="133">
        <f>IFERROR(VLOOKUP(A35,[1]characters!$A:$R,18),0)</f>
        <v>1</v>
      </c>
      <c r="L35" s="134"/>
      <c r="M35" s="135"/>
      <c r="N35" s="135"/>
      <c r="O35" s="135"/>
      <c r="P35" s="135"/>
      <c r="Q35" s="135"/>
      <c r="R35" s="130"/>
      <c r="S35" s="136"/>
    </row>
    <row r="36" spans="1:19" ht="21" customHeight="1" x14ac:dyDescent="0.15">
      <c r="A36" s="186">
        <v>1585</v>
      </c>
      <c r="B36" s="129" t="s">
        <v>185</v>
      </c>
      <c r="C36" s="188" t="str">
        <f t="shared" ca="1" si="1"/>
        <v>Sirius02スキル</v>
      </c>
      <c r="D36" s="188" t="s">
        <v>416</v>
      </c>
      <c r="E36" s="131">
        <f t="shared" si="6"/>
        <v>24</v>
      </c>
      <c r="F36" s="63">
        <v>15</v>
      </c>
      <c r="G36" s="113">
        <f ca="1">IF(VLOOKUP(A36,units!A:H,8,FALSE)="DropWizSS",16,IF(OR(VLOOKUP(A36,units!A:H,8,FALSE)="PremiumSS",VLOOKUP(A36,units!A:H,8,FALSE)="PremiumS"),5,7))</f>
        <v>7</v>
      </c>
      <c r="H36" s="132">
        <f>2001</f>
        <v>2001</v>
      </c>
      <c r="I36" s="189" t="s">
        <v>415</v>
      </c>
      <c r="J36" s="53" t="str">
        <f ca="1">VLOOKUP($A36,OFFSET([1]characters!$A$1,0,0,COUNTA([1]characters!$A:$A),MATCH("name",[1]characters!$1:$1,0)-MATCH("character_id",[1]characters!$1:$1,0)+1),MATCH("name",[1]characters!$1:$1,0)-MATCH("character_id",[1]characters!$1:$1,0)+1,FALSE)</f>
        <v>Sirius02</v>
      </c>
      <c r="K36" s="133">
        <f>IFERROR(VLOOKUP(A36,[1]characters!$A:$R,18),0)</f>
        <v>1</v>
      </c>
      <c r="L36" s="134"/>
      <c r="M36" s="135"/>
      <c r="N36" s="135"/>
      <c r="O36" s="135"/>
      <c r="P36" s="135"/>
      <c r="Q36" s="135"/>
      <c r="R36" s="130"/>
      <c r="S36" s="136"/>
    </row>
    <row r="37" spans="1:19" ht="21" customHeight="1" x14ac:dyDescent="0.15">
      <c r="A37" s="186">
        <v>1586</v>
      </c>
      <c r="B37" s="129" t="s">
        <v>185</v>
      </c>
      <c r="C37" s="188" t="str">
        <f t="shared" ca="1" si="1"/>
        <v>Sirius03スキル</v>
      </c>
      <c r="D37" s="188" t="s">
        <v>417</v>
      </c>
      <c r="E37" s="131">
        <f t="shared" si="6"/>
        <v>47</v>
      </c>
      <c r="F37" s="63">
        <v>14</v>
      </c>
      <c r="G37" s="113">
        <f ca="1">IF(VLOOKUP(A37,units!A:H,8,FALSE)="DropWizSS",16,IF(OR(VLOOKUP(A37,units!A:H,8,FALSE)="PremiumSS",VLOOKUP(A37,units!A:H,8,FALSE)="PremiumS"),5,7))</f>
        <v>7</v>
      </c>
      <c r="H37" s="132">
        <f>2001</f>
        <v>2001</v>
      </c>
      <c r="I37" s="189" t="s">
        <v>349</v>
      </c>
      <c r="J37" s="53" t="str">
        <f ca="1">VLOOKUP($A37,OFFSET([1]characters!$A$1,0,0,COUNTA([1]characters!$A:$A),MATCH("name",[1]characters!$1:$1,0)-MATCH("character_id",[1]characters!$1:$1,0)+1),MATCH("name",[1]characters!$1:$1,0)-MATCH("character_id",[1]characters!$1:$1,0)+1,FALSE)</f>
        <v>Sirius03</v>
      </c>
      <c r="K37" s="133">
        <f>IFERROR(VLOOKUP(A37,[1]characters!$A:$R,18),0)</f>
        <v>1</v>
      </c>
      <c r="L37" s="134"/>
      <c r="M37" s="135"/>
      <c r="N37" s="135"/>
      <c r="O37" s="135"/>
      <c r="P37" s="135"/>
      <c r="Q37" s="135"/>
      <c r="R37" s="130"/>
      <c r="S37" s="136"/>
    </row>
    <row r="38" spans="1:19" ht="21" customHeight="1" x14ac:dyDescent="0.15">
      <c r="A38" s="186">
        <v>1587</v>
      </c>
      <c r="B38" s="129" t="s">
        <v>185</v>
      </c>
      <c r="C38" s="188" t="str">
        <f t="shared" ca="1" si="1"/>
        <v>Virgo01スキル</v>
      </c>
      <c r="D38" s="188" t="s">
        <v>448</v>
      </c>
      <c r="E38" s="131">
        <f t="shared" si="6"/>
        <v>45</v>
      </c>
      <c r="F38" s="63">
        <v>14</v>
      </c>
      <c r="G38" s="113">
        <f ca="1">IF(VLOOKUP(A38,units!A:H,8,FALSE)="DropWizSS",16,IF(OR(VLOOKUP(A38,units!A:H,8,FALSE)="PremiumSS",VLOOKUP(A38,units!A:H,8,FALSE)="PremiumS"),5,7))</f>
        <v>7</v>
      </c>
      <c r="H38" s="132">
        <f>2001</f>
        <v>2001</v>
      </c>
      <c r="I38" s="189" t="s">
        <v>447</v>
      </c>
      <c r="J38" s="53" t="str">
        <f ca="1">VLOOKUP($A38,OFFSET([1]characters!$A$1,0,0,COUNTA([1]characters!$A:$A),MATCH("name",[1]characters!$1:$1,0)-MATCH("character_id",[1]characters!$1:$1,0)+1),MATCH("name",[1]characters!$1:$1,0)-MATCH("character_id",[1]characters!$1:$1,0)+1,FALSE)</f>
        <v>Virgo01</v>
      </c>
      <c r="K38" s="133">
        <f>IFERROR(VLOOKUP(A38,[1]characters!$A:$R,18),0)</f>
        <v>1</v>
      </c>
      <c r="L38" s="134"/>
      <c r="M38" s="135"/>
      <c r="N38" s="135"/>
      <c r="O38" s="135"/>
      <c r="P38" s="135"/>
      <c r="Q38" s="135"/>
      <c r="R38" s="130"/>
      <c r="S38" s="136"/>
    </row>
    <row r="39" spans="1:19" ht="21" customHeight="1" x14ac:dyDescent="0.15">
      <c r="A39" s="186">
        <v>1588</v>
      </c>
      <c r="B39" s="129" t="s">
        <v>185</v>
      </c>
      <c r="C39" s="188" t="str">
        <f t="shared" ca="1" si="1"/>
        <v>Virgo02スキル</v>
      </c>
      <c r="D39" s="188" t="s">
        <v>448</v>
      </c>
      <c r="E39" s="131">
        <f t="shared" si="6"/>
        <v>45</v>
      </c>
      <c r="F39" s="63">
        <v>13</v>
      </c>
      <c r="G39" s="113">
        <f ca="1">IF(VLOOKUP(A39,units!A:H,8,FALSE)="DropWizSS",16,IF(OR(VLOOKUP(A39,units!A:H,8,FALSE)="PremiumSS",VLOOKUP(A39,units!A:H,8,FALSE)="PremiumS"),5,7))</f>
        <v>7</v>
      </c>
      <c r="H39" s="132">
        <f>2001</f>
        <v>2001</v>
      </c>
      <c r="I39" s="189" t="s">
        <v>447</v>
      </c>
      <c r="J39" s="53" t="str">
        <f ca="1">VLOOKUP($A39,OFFSET([1]characters!$A$1,0,0,COUNTA([1]characters!$A:$A),MATCH("name",[1]characters!$1:$1,0)-MATCH("character_id",[1]characters!$1:$1,0)+1),MATCH("name",[1]characters!$1:$1,0)-MATCH("character_id",[1]characters!$1:$1,0)+1,FALSE)</f>
        <v>Virgo02</v>
      </c>
      <c r="K39" s="133">
        <f>IFERROR(VLOOKUP(A39,[1]characters!$A:$R,18),0)</f>
        <v>1</v>
      </c>
      <c r="L39" s="134"/>
      <c r="M39" s="135"/>
      <c r="N39" s="135"/>
      <c r="O39" s="135"/>
      <c r="P39" s="135"/>
      <c r="Q39" s="135"/>
      <c r="R39" s="130"/>
      <c r="S39" s="136"/>
    </row>
  </sheetData>
  <sheetProtection selectLockedCells="1" selectUnlockedCells="1"/>
  <autoFilter ref="A1:S1">
    <sortState ref="A2:T432">
      <sortCondition ref="A1:A432"/>
    </sortState>
  </autoFilter>
  <phoneticPr fontId="22"/>
  <conditionalFormatting sqref="E1 E40:E1048576">
    <cfRule type="cellIs" dxfId="118" priority="60" operator="greaterThan">
      <formula>41</formula>
    </cfRule>
  </conditionalFormatting>
  <conditionalFormatting sqref="E2">
    <cfRule type="cellIs" dxfId="117" priority="54" operator="greaterThan">
      <formula>57</formula>
    </cfRule>
  </conditionalFormatting>
  <conditionalFormatting sqref="E3">
    <cfRule type="cellIs" dxfId="116" priority="53" operator="greaterThan">
      <formula>57</formula>
    </cfRule>
  </conditionalFormatting>
  <conditionalFormatting sqref="E4">
    <cfRule type="cellIs" dxfId="115" priority="36" operator="greaterThan">
      <formula>57</formula>
    </cfRule>
  </conditionalFormatting>
  <conditionalFormatting sqref="E5">
    <cfRule type="cellIs" dxfId="114" priority="35" operator="greaterThan">
      <formula>57</formula>
    </cfRule>
  </conditionalFormatting>
  <conditionalFormatting sqref="E6">
    <cfRule type="cellIs" dxfId="113" priority="34" operator="greaterThan">
      <formula>57</formula>
    </cfRule>
  </conditionalFormatting>
  <conditionalFormatting sqref="E7">
    <cfRule type="cellIs" dxfId="112" priority="33" operator="greaterThan">
      <formula>57</formula>
    </cfRule>
  </conditionalFormatting>
  <conditionalFormatting sqref="E8">
    <cfRule type="cellIs" dxfId="111" priority="32" operator="greaterThan">
      <formula>57</formula>
    </cfRule>
  </conditionalFormatting>
  <conditionalFormatting sqref="E9">
    <cfRule type="cellIs" dxfId="110" priority="31" operator="greaterThan">
      <formula>57</formula>
    </cfRule>
  </conditionalFormatting>
  <conditionalFormatting sqref="E10">
    <cfRule type="cellIs" dxfId="109" priority="30" operator="greaterThan">
      <formula>57</formula>
    </cfRule>
  </conditionalFormatting>
  <conditionalFormatting sqref="E11">
    <cfRule type="cellIs" dxfId="108" priority="29" operator="greaterThan">
      <formula>57</formula>
    </cfRule>
  </conditionalFormatting>
  <conditionalFormatting sqref="E12">
    <cfRule type="cellIs" dxfId="107" priority="28" operator="greaterThan">
      <formula>57</formula>
    </cfRule>
  </conditionalFormatting>
  <conditionalFormatting sqref="E13">
    <cfRule type="cellIs" dxfId="106" priority="27" operator="greaterThan">
      <formula>57</formula>
    </cfRule>
  </conditionalFormatting>
  <conditionalFormatting sqref="E14">
    <cfRule type="cellIs" dxfId="105" priority="26" operator="greaterThan">
      <formula>57</formula>
    </cfRule>
  </conditionalFormatting>
  <conditionalFormatting sqref="E15">
    <cfRule type="cellIs" dxfId="104" priority="25" operator="greaterThan">
      <formula>57</formula>
    </cfRule>
  </conditionalFormatting>
  <conditionalFormatting sqref="E16">
    <cfRule type="cellIs" dxfId="103" priority="24" operator="greaterThan">
      <formula>57</formula>
    </cfRule>
  </conditionalFormatting>
  <conditionalFormatting sqref="E17">
    <cfRule type="cellIs" dxfId="102" priority="23" operator="greaterThan">
      <formula>57</formula>
    </cfRule>
  </conditionalFormatting>
  <conditionalFormatting sqref="E18">
    <cfRule type="cellIs" dxfId="101" priority="22" operator="greaterThan">
      <formula>57</formula>
    </cfRule>
  </conditionalFormatting>
  <conditionalFormatting sqref="E19">
    <cfRule type="cellIs" dxfId="100" priority="21" operator="greaterThan">
      <formula>57</formula>
    </cfRule>
  </conditionalFormatting>
  <conditionalFormatting sqref="E20">
    <cfRule type="cellIs" dxfId="99" priority="20" operator="greaterThan">
      <formula>57</formula>
    </cfRule>
  </conditionalFormatting>
  <conditionalFormatting sqref="E21">
    <cfRule type="cellIs" dxfId="98" priority="19" operator="greaterThan">
      <formula>57</formula>
    </cfRule>
  </conditionalFormatting>
  <conditionalFormatting sqref="E22">
    <cfRule type="cellIs" dxfId="97" priority="18" operator="greaterThan">
      <formula>57</formula>
    </cfRule>
  </conditionalFormatting>
  <conditionalFormatting sqref="E23">
    <cfRule type="cellIs" dxfId="96" priority="17" operator="greaterThan">
      <formula>57</formula>
    </cfRule>
  </conditionalFormatting>
  <conditionalFormatting sqref="E24">
    <cfRule type="cellIs" dxfId="95" priority="16" operator="greaterThan">
      <formula>57</formula>
    </cfRule>
  </conditionalFormatting>
  <conditionalFormatting sqref="E25">
    <cfRule type="cellIs" dxfId="94" priority="15" operator="greaterThan">
      <formula>57</formula>
    </cfRule>
  </conditionalFormatting>
  <conditionalFormatting sqref="E26">
    <cfRule type="cellIs" dxfId="93" priority="14" operator="greaterThan">
      <formula>57</formula>
    </cfRule>
  </conditionalFormatting>
  <conditionalFormatting sqref="E27">
    <cfRule type="cellIs" dxfId="92" priority="13" operator="greaterThan">
      <formula>57</formula>
    </cfRule>
  </conditionalFormatting>
  <conditionalFormatting sqref="E28">
    <cfRule type="cellIs" dxfId="91" priority="12" operator="greaterThan">
      <formula>57</formula>
    </cfRule>
  </conditionalFormatting>
  <conditionalFormatting sqref="E29">
    <cfRule type="cellIs" dxfId="90" priority="11" operator="greaterThan">
      <formula>57</formula>
    </cfRule>
  </conditionalFormatting>
  <conditionalFormatting sqref="E30">
    <cfRule type="cellIs" dxfId="89" priority="10" operator="greaterThan">
      <formula>57</formula>
    </cfRule>
  </conditionalFormatting>
  <conditionalFormatting sqref="E31">
    <cfRule type="cellIs" dxfId="88" priority="9" operator="greaterThan">
      <formula>57</formula>
    </cfRule>
  </conditionalFormatting>
  <conditionalFormatting sqref="E32">
    <cfRule type="cellIs" dxfId="87" priority="8" operator="greaterThan">
      <formula>57</formula>
    </cfRule>
  </conditionalFormatting>
  <conditionalFormatting sqref="E33">
    <cfRule type="cellIs" dxfId="86" priority="7" operator="greaterThan">
      <formula>57</formula>
    </cfRule>
  </conditionalFormatting>
  <conditionalFormatting sqref="E34">
    <cfRule type="cellIs" dxfId="85" priority="6" operator="greaterThan">
      <formula>57</formula>
    </cfRule>
  </conditionalFormatting>
  <conditionalFormatting sqref="E35">
    <cfRule type="cellIs" dxfId="84" priority="5" operator="greaterThan">
      <formula>57</formula>
    </cfRule>
  </conditionalFormatting>
  <conditionalFormatting sqref="E36">
    <cfRule type="cellIs" dxfId="83" priority="4" operator="greaterThan">
      <formula>57</formula>
    </cfRule>
  </conditionalFormatting>
  <conditionalFormatting sqref="E37">
    <cfRule type="cellIs" dxfId="82" priority="3" operator="greaterThan">
      <formula>57</formula>
    </cfRule>
  </conditionalFormatting>
  <conditionalFormatting sqref="E38">
    <cfRule type="cellIs" dxfId="81" priority="2" operator="greaterThan">
      <formula>57</formula>
    </cfRule>
  </conditionalFormatting>
  <conditionalFormatting sqref="E39">
    <cfRule type="cellIs" dxfId="80"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9"/>
  <sheetViews>
    <sheetView showGridLines="0" workbookViewId="0">
      <pane xSplit="4" ySplit="1" topLeftCell="E2" activePane="bottomRight" state="frozen"/>
      <selection pane="topRight" activeCell="D1" sqref="D1"/>
      <selection pane="bottomLeft" activeCell="A3" sqref="A3"/>
      <selection pane="bottomRight" activeCell="D16" sqref="D16"/>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1551</v>
      </c>
      <c r="B2" s="129" t="s">
        <v>186</v>
      </c>
      <c r="C2" s="188" t="str">
        <f ca="1">G2&amp;"スキル"</f>
        <v>Leo01スキル</v>
      </c>
      <c r="D2" s="188" t="s">
        <v>467</v>
      </c>
      <c r="E2" s="131">
        <f t="shared" ref="E2" si="0">LEN(D2)</f>
        <v>39</v>
      </c>
      <c r="F2" s="63" t="s">
        <v>465</v>
      </c>
      <c r="G2" s="200" t="str">
        <f ca="1">VLOOKUP($A2,OFFSET([1]characters!$A$1,0,0,COUNTA([1]characters!$A:$A),MATCH("name",[1]characters!$1:$1,0)-MATCH("character_id",[1]characters!$1:$1,0)+1),MATCH("name",[1]characters!$1:$1,0)-MATCH("character_id",[1]characters!$1:$1,0)+1,FALSE)</f>
        <v>Leo01</v>
      </c>
      <c r="H2" s="132">
        <f>IFERROR(VLOOKUP(A2,[1]characters!$A:$R,18),0)</f>
        <v>1</v>
      </c>
      <c r="I2" s="132"/>
      <c r="J2" s="137"/>
      <c r="K2" s="133">
        <v>1</v>
      </c>
      <c r="L2" s="134"/>
      <c r="M2" s="135"/>
      <c r="N2" s="135"/>
      <c r="O2" s="135"/>
      <c r="P2" s="135"/>
      <c r="Q2" s="135"/>
      <c r="R2" s="130"/>
      <c r="S2" s="136"/>
    </row>
    <row r="3" spans="1:19" ht="21" customHeight="1" x14ac:dyDescent="0.15">
      <c r="A3" s="186">
        <v>1552</v>
      </c>
      <c r="B3" s="129" t="s">
        <v>186</v>
      </c>
      <c r="C3" s="188" t="str">
        <f t="shared" ref="C3:C39" ca="1" si="1">G3&amp;"スキル"</f>
        <v>Leo02スキル</v>
      </c>
      <c r="D3" s="188" t="s">
        <v>468</v>
      </c>
      <c r="E3" s="131">
        <f t="shared" ref="E3:E4" si="2">LEN(D3)</f>
        <v>40</v>
      </c>
      <c r="F3" s="63" t="s">
        <v>466</v>
      </c>
      <c r="G3" s="200" t="str">
        <f ca="1">VLOOKUP($A3,OFFSET([1]characters!$A$1,0,0,COUNTA([1]characters!$A:$A),MATCH("name",[1]characters!$1:$1,0)-MATCH("character_id",[1]characters!$1:$1,0)+1),MATCH("name",[1]characters!$1:$1,0)-MATCH("character_id",[1]characters!$1:$1,0)+1,FALSE)</f>
        <v>Leo02</v>
      </c>
      <c r="H3" s="132">
        <f>IFERROR(VLOOKUP(A3,[1]characters!$A:$R,18),0)</f>
        <v>1</v>
      </c>
      <c r="I3" s="132"/>
      <c r="J3" s="137"/>
      <c r="K3" s="133">
        <v>1</v>
      </c>
      <c r="L3" s="134"/>
      <c r="M3" s="135"/>
      <c r="N3" s="135"/>
      <c r="O3" s="135"/>
      <c r="P3" s="135"/>
      <c r="Q3" s="135"/>
      <c r="R3" s="130"/>
      <c r="S3" s="136"/>
    </row>
    <row r="4" spans="1:19" ht="21" customHeight="1" x14ac:dyDescent="0.15">
      <c r="A4" s="186">
        <v>1553</v>
      </c>
      <c r="B4" s="129" t="s">
        <v>186</v>
      </c>
      <c r="C4" s="188" t="str">
        <f t="shared" ca="1" si="1"/>
        <v>Andromeda01スキル</v>
      </c>
      <c r="D4" s="188" t="s">
        <v>364</v>
      </c>
      <c r="E4" s="131">
        <f t="shared" si="2"/>
        <v>20</v>
      </c>
      <c r="F4" s="63" t="s">
        <v>353</v>
      </c>
      <c r="G4" s="200" t="str">
        <f ca="1">VLOOKUP($A4,OFFSET([1]characters!$A$1,0,0,COUNTA([1]characters!$A:$A),MATCH("name",[1]characters!$1:$1,0)-MATCH("character_id",[1]characters!$1:$1,0)+1),MATCH("name",[1]characters!$1:$1,0)-MATCH("character_id",[1]characters!$1:$1,0)+1,FALSE)</f>
        <v>Andromeda01</v>
      </c>
      <c r="H4" s="132">
        <f>IFERROR(VLOOKUP(A4,[1]characters!$A:$R,18),0)</f>
        <v>1</v>
      </c>
      <c r="I4" s="132"/>
      <c r="J4" s="137"/>
      <c r="K4" s="133">
        <v>1</v>
      </c>
      <c r="L4" s="134"/>
      <c r="M4" s="135"/>
      <c r="N4" s="135"/>
      <c r="O4" s="135"/>
      <c r="P4" s="135"/>
      <c r="Q4" s="135"/>
      <c r="R4" s="130"/>
      <c r="S4" s="136"/>
    </row>
    <row r="5" spans="1:19" ht="21" customHeight="1" x14ac:dyDescent="0.15">
      <c r="A5" s="186">
        <v>1554</v>
      </c>
      <c r="B5" s="129" t="s">
        <v>186</v>
      </c>
      <c r="C5" s="188" t="str">
        <f t="shared" ca="1" si="1"/>
        <v>Andromeda02スキル</v>
      </c>
      <c r="D5" s="188" t="s">
        <v>365</v>
      </c>
      <c r="E5" s="131">
        <f t="shared" ref="E5:E14" si="3">LEN(D5)</f>
        <v>21</v>
      </c>
      <c r="F5" s="63" t="s">
        <v>363</v>
      </c>
      <c r="G5" s="200" t="str">
        <f ca="1">VLOOKUP($A5,OFFSET([1]characters!$A$1,0,0,COUNTA([1]characters!$A:$A),MATCH("name",[1]characters!$1:$1,0)-MATCH("character_id",[1]characters!$1:$1,0)+1),MATCH("name",[1]characters!$1:$1,0)-MATCH("character_id",[1]characters!$1:$1,0)+1,FALSE)</f>
        <v>Andromeda02</v>
      </c>
      <c r="H5" s="132">
        <f>IFERROR(VLOOKUP(A5,[1]characters!$A:$R,18),0)</f>
        <v>1</v>
      </c>
      <c r="I5" s="132"/>
      <c r="J5" s="137"/>
      <c r="K5" s="133">
        <v>1</v>
      </c>
      <c r="L5" s="134"/>
      <c r="M5" s="135"/>
      <c r="N5" s="135"/>
      <c r="O5" s="135"/>
      <c r="P5" s="135"/>
      <c r="Q5" s="135"/>
      <c r="R5" s="130"/>
      <c r="S5" s="136"/>
    </row>
    <row r="6" spans="1:19" ht="21" customHeight="1" x14ac:dyDescent="0.15">
      <c r="A6" s="186">
        <v>1555</v>
      </c>
      <c r="B6" s="129" t="s">
        <v>186</v>
      </c>
      <c r="C6" s="188" t="str">
        <f t="shared" ca="1" si="1"/>
        <v>Taurus01スキル</v>
      </c>
      <c r="D6" s="188" t="s">
        <v>366</v>
      </c>
      <c r="E6" s="131">
        <f t="shared" si="3"/>
        <v>24</v>
      </c>
      <c r="F6" s="63" t="s">
        <v>429</v>
      </c>
      <c r="G6" s="200" t="str">
        <f ca="1">VLOOKUP($A6,OFFSET([1]characters!$A$1,0,0,COUNTA([1]characters!$A:$A),MATCH("name",[1]characters!$1:$1,0)-MATCH("character_id",[1]characters!$1:$1,0)+1),MATCH("name",[1]characters!$1:$1,0)-MATCH("character_id",[1]characters!$1:$1,0)+1,FALSE)</f>
        <v>Taurus01</v>
      </c>
      <c r="H6" s="132">
        <f>IFERROR(VLOOKUP(A6,[1]characters!$A:$R,18),0)</f>
        <v>1</v>
      </c>
      <c r="I6" s="132"/>
      <c r="J6" s="137"/>
      <c r="K6" s="133">
        <v>1</v>
      </c>
      <c r="L6" s="134"/>
      <c r="M6" s="135"/>
      <c r="N6" s="135"/>
      <c r="O6" s="135"/>
      <c r="P6" s="135"/>
      <c r="Q6" s="135"/>
      <c r="R6" s="130"/>
      <c r="S6" s="136"/>
    </row>
    <row r="7" spans="1:19" ht="21" customHeight="1" x14ac:dyDescent="0.15">
      <c r="A7" s="186">
        <v>1556</v>
      </c>
      <c r="B7" s="129" t="s">
        <v>186</v>
      </c>
      <c r="C7" s="188" t="str">
        <f t="shared" ca="1" si="1"/>
        <v>Capricornus01スキル</v>
      </c>
      <c r="D7" s="188" t="s">
        <v>426</v>
      </c>
      <c r="E7" s="131">
        <f t="shared" si="3"/>
        <v>11</v>
      </c>
      <c r="F7" s="63" t="s">
        <v>424</v>
      </c>
      <c r="G7" s="200" t="str">
        <f ca="1">VLOOKUP($A7,OFFSET([1]characters!$A$1,0,0,COUNTA([1]characters!$A:$A),MATCH("name",[1]characters!$1:$1,0)-MATCH("character_id",[1]characters!$1:$1,0)+1),MATCH("name",[1]characters!$1:$1,0)-MATCH("character_id",[1]characters!$1:$1,0)+1,FALSE)</f>
        <v>Capricornus01</v>
      </c>
      <c r="H7" s="132">
        <f>IFERROR(VLOOKUP(A7,[1]characters!$A:$R,18),0)</f>
        <v>1</v>
      </c>
      <c r="I7" s="132"/>
      <c r="J7" s="137"/>
      <c r="K7" s="133">
        <v>1</v>
      </c>
      <c r="L7" s="134"/>
      <c r="M7" s="135"/>
      <c r="N7" s="135"/>
      <c r="O7" s="135"/>
      <c r="P7" s="135"/>
      <c r="Q7" s="135"/>
      <c r="R7" s="130"/>
      <c r="S7" s="136"/>
    </row>
    <row r="8" spans="1:19" ht="21" customHeight="1" x14ac:dyDescent="0.15">
      <c r="A8" s="186">
        <v>1557</v>
      </c>
      <c r="B8" s="129" t="s">
        <v>186</v>
      </c>
      <c r="C8" s="188" t="str">
        <f t="shared" ca="1" si="1"/>
        <v>Capricornus02スキル</v>
      </c>
      <c r="D8" s="188" t="s">
        <v>427</v>
      </c>
      <c r="E8" s="131">
        <f t="shared" si="3"/>
        <v>10</v>
      </c>
      <c r="F8" s="63" t="s">
        <v>425</v>
      </c>
      <c r="G8" s="200" t="str">
        <f ca="1">VLOOKUP($A8,OFFSET([1]characters!$A$1,0,0,COUNTA([1]characters!$A:$A),MATCH("name",[1]characters!$1:$1,0)-MATCH("character_id",[1]characters!$1:$1,0)+1),MATCH("name",[1]characters!$1:$1,0)-MATCH("character_id",[1]characters!$1:$1,0)+1,FALSE)</f>
        <v>Capricornus02</v>
      </c>
      <c r="H8" s="132">
        <f>IFERROR(VLOOKUP(A8,[1]characters!$A:$R,18),0)</f>
        <v>1</v>
      </c>
      <c r="I8" s="132"/>
      <c r="J8" s="137"/>
      <c r="K8" s="133">
        <v>1</v>
      </c>
      <c r="L8" s="134"/>
      <c r="M8" s="135"/>
      <c r="N8" s="135"/>
      <c r="O8" s="135"/>
      <c r="P8" s="135"/>
      <c r="Q8" s="135"/>
      <c r="R8" s="130"/>
      <c r="S8" s="136"/>
    </row>
    <row r="9" spans="1:19" ht="21" customHeight="1" x14ac:dyDescent="0.15">
      <c r="A9" s="186">
        <v>1558</v>
      </c>
      <c r="B9" s="129" t="s">
        <v>186</v>
      </c>
      <c r="C9" s="188" t="str">
        <f t="shared" ca="1" si="1"/>
        <v>Aries01スキル</v>
      </c>
      <c r="D9" s="188" t="s">
        <v>369</v>
      </c>
      <c r="E9" s="131">
        <f t="shared" si="3"/>
        <v>20</v>
      </c>
      <c r="F9" s="63" t="s">
        <v>367</v>
      </c>
      <c r="G9" s="200" t="str">
        <f ca="1">VLOOKUP($A9,OFFSET([1]characters!$A$1,0,0,COUNTA([1]characters!$A:$A),MATCH("name",[1]characters!$1:$1,0)-MATCH("character_id",[1]characters!$1:$1,0)+1),MATCH("name",[1]characters!$1:$1,0)-MATCH("character_id",[1]characters!$1:$1,0)+1,FALSE)</f>
        <v>Aries01</v>
      </c>
      <c r="H9" s="132">
        <f>IFERROR(VLOOKUP(A9,[1]characters!$A:$R,18),0)</f>
        <v>1</v>
      </c>
      <c r="I9" s="132"/>
      <c r="J9" s="137"/>
      <c r="K9" s="133">
        <v>1</v>
      </c>
      <c r="L9" s="134"/>
      <c r="M9" s="135"/>
      <c r="N9" s="135"/>
      <c r="O9" s="135"/>
      <c r="P9" s="135"/>
      <c r="Q9" s="135"/>
      <c r="R9" s="130"/>
      <c r="S9" s="136"/>
    </row>
    <row r="10" spans="1:19" ht="21" customHeight="1" x14ac:dyDescent="0.15">
      <c r="A10" s="186">
        <v>1559</v>
      </c>
      <c r="B10" s="129" t="s">
        <v>186</v>
      </c>
      <c r="C10" s="188" t="str">
        <f t="shared" ca="1" si="1"/>
        <v>Aries02スキル</v>
      </c>
      <c r="D10" s="188" t="s">
        <v>370</v>
      </c>
      <c r="E10" s="131">
        <f t="shared" si="3"/>
        <v>20</v>
      </c>
      <c r="F10" s="63" t="s">
        <v>368</v>
      </c>
      <c r="G10" s="200" t="str">
        <f ca="1">VLOOKUP($A10,OFFSET([1]characters!$A$1,0,0,COUNTA([1]characters!$A:$A),MATCH("name",[1]characters!$1:$1,0)-MATCH("character_id",[1]characters!$1:$1,0)+1),MATCH("name",[1]characters!$1:$1,0)-MATCH("character_id",[1]characters!$1:$1,0)+1,FALSE)</f>
        <v>Aries02</v>
      </c>
      <c r="H10" s="132">
        <f>IFERROR(VLOOKUP(A10,[1]characters!$A:$R,18),0)</f>
        <v>1</v>
      </c>
      <c r="I10" s="132"/>
      <c r="J10" s="137"/>
      <c r="K10" s="133">
        <v>1</v>
      </c>
      <c r="L10" s="134"/>
      <c r="M10" s="135"/>
      <c r="N10" s="135"/>
      <c r="O10" s="135"/>
      <c r="P10" s="135"/>
      <c r="Q10" s="135"/>
      <c r="R10" s="130"/>
      <c r="S10" s="136"/>
    </row>
    <row r="11" spans="1:19" ht="21" customHeight="1" x14ac:dyDescent="0.15">
      <c r="A11" s="186">
        <v>1560</v>
      </c>
      <c r="B11" s="129" t="s">
        <v>186</v>
      </c>
      <c r="C11" s="188" t="str">
        <f t="shared" ca="1" si="1"/>
        <v>Pisces01スキル</v>
      </c>
      <c r="D11" s="188" t="s">
        <v>433</v>
      </c>
      <c r="E11" s="131">
        <f t="shared" si="3"/>
        <v>18</v>
      </c>
      <c r="F11" s="63" t="s">
        <v>434</v>
      </c>
      <c r="G11" s="200" t="str">
        <f ca="1">VLOOKUP($A11,OFFSET([1]characters!$A$1,0,0,COUNTA([1]characters!$A:$A),MATCH("name",[1]characters!$1:$1,0)-MATCH("character_id",[1]characters!$1:$1,0)+1),MATCH("name",[1]characters!$1:$1,0)-MATCH("character_id",[1]characters!$1:$1,0)+1,FALSE)</f>
        <v>Pisces01</v>
      </c>
      <c r="H11" s="132">
        <f>IFERROR(VLOOKUP(A11,[1]characters!$A:$R,18),0)</f>
        <v>1</v>
      </c>
      <c r="I11" s="132"/>
      <c r="J11" s="137"/>
      <c r="K11" s="133">
        <v>1</v>
      </c>
      <c r="L11" s="134"/>
      <c r="M11" s="135"/>
      <c r="N11" s="135"/>
      <c r="O11" s="135"/>
      <c r="P11" s="135"/>
      <c r="Q11" s="135"/>
      <c r="R11" s="130"/>
      <c r="S11" s="136"/>
    </row>
    <row r="12" spans="1:19" ht="21" customHeight="1" x14ac:dyDescent="0.15">
      <c r="A12" s="186">
        <v>1561</v>
      </c>
      <c r="B12" s="129" t="s">
        <v>186</v>
      </c>
      <c r="C12" s="188" t="str">
        <f t="shared" ca="1" si="1"/>
        <v>Sagittarius01スキル</v>
      </c>
      <c r="D12" s="188" t="s">
        <v>374</v>
      </c>
      <c r="E12" s="131">
        <f t="shared" si="3"/>
        <v>28</v>
      </c>
      <c r="F12" s="63" t="s">
        <v>452</v>
      </c>
      <c r="G12" s="200" t="str">
        <f ca="1">VLOOKUP($A12,OFFSET([1]characters!$A$1,0,0,COUNTA([1]characters!$A:$A),MATCH("name",[1]characters!$1:$1,0)-MATCH("character_id",[1]characters!$1:$1,0)+1),MATCH("name",[1]characters!$1:$1,0)-MATCH("character_id",[1]characters!$1:$1,0)+1,FALSE)</f>
        <v>Sagittarius01</v>
      </c>
      <c r="H12" s="132">
        <f>IFERROR(VLOOKUP(A12,[1]characters!$A:$R,18),0)</f>
        <v>1</v>
      </c>
      <c r="I12" s="132"/>
      <c r="J12" s="137"/>
      <c r="K12" s="133">
        <v>1</v>
      </c>
      <c r="L12" s="134"/>
      <c r="M12" s="135"/>
      <c r="N12" s="135"/>
      <c r="O12" s="135"/>
      <c r="P12" s="135"/>
      <c r="Q12" s="135"/>
      <c r="R12" s="130"/>
      <c r="S12" s="136"/>
    </row>
    <row r="13" spans="1:19" ht="21" customHeight="1" x14ac:dyDescent="0.15">
      <c r="A13" s="186">
        <v>1562</v>
      </c>
      <c r="B13" s="129" t="s">
        <v>186</v>
      </c>
      <c r="C13" s="188" t="str">
        <f t="shared" ca="1" si="1"/>
        <v>Sagittarius02スキル</v>
      </c>
      <c r="D13" s="188" t="s">
        <v>375</v>
      </c>
      <c r="E13" s="131">
        <f t="shared" si="3"/>
        <v>29</v>
      </c>
      <c r="F13" s="63" t="s">
        <v>451</v>
      </c>
      <c r="G13" s="200" t="str">
        <f ca="1">VLOOKUP($A13,OFFSET([1]characters!$A$1,0,0,COUNTA([1]characters!$A:$A),MATCH("name",[1]characters!$1:$1,0)-MATCH("character_id",[1]characters!$1:$1,0)+1),MATCH("name",[1]characters!$1:$1,0)-MATCH("character_id",[1]characters!$1:$1,0)+1,FALSE)</f>
        <v>Sagittarius02</v>
      </c>
      <c r="H13" s="132">
        <f>IFERROR(VLOOKUP(A13,[1]characters!$A:$R,18),0)</f>
        <v>1</v>
      </c>
      <c r="I13" s="132"/>
      <c r="J13" s="137"/>
      <c r="K13" s="133">
        <v>1</v>
      </c>
      <c r="L13" s="134"/>
      <c r="M13" s="135"/>
      <c r="N13" s="135"/>
      <c r="O13" s="135"/>
      <c r="P13" s="135"/>
      <c r="Q13" s="135"/>
      <c r="R13" s="130"/>
      <c r="S13" s="136"/>
    </row>
    <row r="14" spans="1:19" ht="21" customHeight="1" x14ac:dyDescent="0.15">
      <c r="A14" s="186">
        <v>1563</v>
      </c>
      <c r="B14" s="129" t="s">
        <v>186</v>
      </c>
      <c r="C14" s="188" t="str">
        <f t="shared" ca="1" si="1"/>
        <v>Cassiopeia01スキル</v>
      </c>
      <c r="D14" s="188" t="s">
        <v>378</v>
      </c>
      <c r="E14" s="131">
        <f t="shared" si="3"/>
        <v>22</v>
      </c>
      <c r="F14" s="63" t="s">
        <v>376</v>
      </c>
      <c r="G14" s="200" t="str">
        <f ca="1">VLOOKUP($A14,OFFSET([1]characters!$A$1,0,0,COUNTA([1]characters!$A:$A),MATCH("name",[1]characters!$1:$1,0)-MATCH("character_id",[1]characters!$1:$1,0)+1),MATCH("name",[1]characters!$1:$1,0)-MATCH("character_id",[1]characters!$1:$1,0)+1,FALSE)</f>
        <v>Cassiopeia01</v>
      </c>
      <c r="H14" s="132">
        <f>IFERROR(VLOOKUP(A14,[1]characters!$A:$R,18),0)</f>
        <v>1</v>
      </c>
      <c r="I14" s="132"/>
      <c r="J14" s="137"/>
      <c r="K14" s="133">
        <v>1</v>
      </c>
      <c r="L14" s="134"/>
      <c r="M14" s="135"/>
      <c r="N14" s="135"/>
      <c r="O14" s="135"/>
      <c r="P14" s="135"/>
      <c r="Q14" s="135"/>
      <c r="R14" s="130"/>
      <c r="S14" s="136"/>
    </row>
    <row r="15" spans="1:19" ht="21" customHeight="1" x14ac:dyDescent="0.15">
      <c r="A15" s="186">
        <v>1564</v>
      </c>
      <c r="B15" s="129" t="s">
        <v>186</v>
      </c>
      <c r="C15" s="188" t="str">
        <f t="shared" ca="1" si="1"/>
        <v>Cassiopeia02スキル</v>
      </c>
      <c r="D15" s="188" t="s">
        <v>379</v>
      </c>
      <c r="E15" s="131">
        <f t="shared" ref="E15:E31" si="4">LEN(D15)</f>
        <v>23</v>
      </c>
      <c r="F15" s="63" t="s">
        <v>377</v>
      </c>
      <c r="G15" s="200" t="str">
        <f ca="1">VLOOKUP($A15,OFFSET([1]characters!$A$1,0,0,COUNTA([1]characters!$A:$A),MATCH("name",[1]characters!$1:$1,0)-MATCH("character_id",[1]characters!$1:$1,0)+1),MATCH("name",[1]characters!$1:$1,0)-MATCH("character_id",[1]characters!$1:$1,0)+1,FALSE)</f>
        <v>Cassiopeia02</v>
      </c>
      <c r="H15" s="132">
        <f>IFERROR(VLOOKUP(A15,[1]characters!$A:$R,18),0)</f>
        <v>1</v>
      </c>
      <c r="I15" s="132"/>
      <c r="J15" s="137"/>
      <c r="K15" s="133">
        <v>1</v>
      </c>
      <c r="L15" s="134"/>
      <c r="M15" s="135"/>
      <c r="N15" s="135"/>
      <c r="O15" s="135"/>
      <c r="P15" s="135"/>
      <c r="Q15" s="135"/>
      <c r="R15" s="130"/>
      <c r="S15" s="136"/>
    </row>
    <row r="16" spans="1:19" ht="21" customHeight="1" x14ac:dyDescent="0.15">
      <c r="A16" s="186">
        <v>1565</v>
      </c>
      <c r="B16" s="129" t="s">
        <v>186</v>
      </c>
      <c r="C16" s="188" t="str">
        <f t="shared" ca="1" si="1"/>
        <v>Aquila01スキル</v>
      </c>
      <c r="D16" s="188" t="s">
        <v>441</v>
      </c>
      <c r="E16" s="131">
        <f t="shared" si="4"/>
        <v>21</v>
      </c>
      <c r="F16" s="63" t="s">
        <v>431</v>
      </c>
      <c r="G16" s="200" t="str">
        <f ca="1">VLOOKUP($A16,OFFSET([1]characters!$A$1,0,0,COUNTA([1]characters!$A:$A),MATCH("name",[1]characters!$1:$1,0)-MATCH("character_id",[1]characters!$1:$1,0)+1),MATCH("name",[1]characters!$1:$1,0)-MATCH("character_id",[1]characters!$1:$1,0)+1,FALSE)</f>
        <v>Aquila01</v>
      </c>
      <c r="H16" s="132">
        <f>IFERROR(VLOOKUP(A16,[1]characters!$A:$R,18),0)</f>
        <v>1</v>
      </c>
      <c r="I16" s="132"/>
      <c r="J16" s="137"/>
      <c r="K16" s="133">
        <v>1</v>
      </c>
      <c r="L16" s="134"/>
      <c r="M16" s="135"/>
      <c r="N16" s="135"/>
      <c r="O16" s="135"/>
      <c r="P16" s="135"/>
      <c r="Q16" s="135"/>
      <c r="R16" s="130"/>
      <c r="S16" s="136"/>
    </row>
    <row r="17" spans="1:19" ht="21" customHeight="1" x14ac:dyDescent="0.15">
      <c r="A17" s="186">
        <v>1566</v>
      </c>
      <c r="B17" s="129" t="s">
        <v>186</v>
      </c>
      <c r="C17" s="188" t="str">
        <f t="shared" ca="1" si="1"/>
        <v>Phoenix01スキル</v>
      </c>
      <c r="D17" s="188" t="s">
        <v>382</v>
      </c>
      <c r="E17" s="131">
        <f t="shared" si="4"/>
        <v>10</v>
      </c>
      <c r="F17" s="63" t="s">
        <v>380</v>
      </c>
      <c r="G17" s="200" t="str">
        <f ca="1">VLOOKUP($A17,OFFSET([1]characters!$A$1,0,0,COUNTA([1]characters!$A:$A),MATCH("name",[1]characters!$1:$1,0)-MATCH("character_id",[1]characters!$1:$1,0)+1),MATCH("name",[1]characters!$1:$1,0)-MATCH("character_id",[1]characters!$1:$1,0)+1,FALSE)</f>
        <v>Phoenix01</v>
      </c>
      <c r="H17" s="132">
        <f>IFERROR(VLOOKUP(A17,[1]characters!$A:$R,18),0)</f>
        <v>1</v>
      </c>
      <c r="I17" s="132"/>
      <c r="J17" s="137"/>
      <c r="K17" s="133">
        <v>1</v>
      </c>
      <c r="L17" s="134"/>
      <c r="M17" s="135"/>
      <c r="N17" s="135"/>
      <c r="O17" s="135"/>
      <c r="P17" s="135"/>
      <c r="Q17" s="135"/>
      <c r="R17" s="130"/>
      <c r="S17" s="136"/>
    </row>
    <row r="18" spans="1:19" ht="21" customHeight="1" x14ac:dyDescent="0.15">
      <c r="A18" s="186">
        <v>1567</v>
      </c>
      <c r="B18" s="129" t="s">
        <v>186</v>
      </c>
      <c r="C18" s="188" t="str">
        <f t="shared" ca="1" si="1"/>
        <v>Phoenix02スキル</v>
      </c>
      <c r="D18" s="188" t="s">
        <v>383</v>
      </c>
      <c r="E18" s="131">
        <f t="shared" si="4"/>
        <v>17</v>
      </c>
      <c r="F18" s="63" t="s">
        <v>381</v>
      </c>
      <c r="G18" s="200" t="str">
        <f ca="1">VLOOKUP($A18,OFFSET([1]characters!$A$1,0,0,COUNTA([1]characters!$A:$A),MATCH("name",[1]characters!$1:$1,0)-MATCH("character_id",[1]characters!$1:$1,0)+1),MATCH("name",[1]characters!$1:$1,0)-MATCH("character_id",[1]characters!$1:$1,0)+1,FALSE)</f>
        <v>Phoenix02</v>
      </c>
      <c r="H18" s="132">
        <f>IFERROR(VLOOKUP(A18,[1]characters!$A:$R,18),0)</f>
        <v>1</v>
      </c>
      <c r="I18" s="132"/>
      <c r="J18" s="137"/>
      <c r="K18" s="133">
        <v>1</v>
      </c>
      <c r="L18" s="134"/>
      <c r="M18" s="135"/>
      <c r="N18" s="135"/>
      <c r="O18" s="135"/>
      <c r="P18" s="135"/>
      <c r="Q18" s="135"/>
      <c r="R18" s="130"/>
      <c r="S18" s="136"/>
    </row>
    <row r="19" spans="1:19" ht="21" customHeight="1" x14ac:dyDescent="0.15">
      <c r="A19" s="186">
        <v>1568</v>
      </c>
      <c r="B19" s="129" t="s">
        <v>186</v>
      </c>
      <c r="C19" s="188" t="str">
        <f t="shared" ca="1" si="1"/>
        <v>Orion01スキル</v>
      </c>
      <c r="D19" s="188" t="s">
        <v>386</v>
      </c>
      <c r="E19" s="131">
        <f t="shared" si="4"/>
        <v>9</v>
      </c>
      <c r="F19" s="63" t="s">
        <v>384</v>
      </c>
      <c r="G19" s="200" t="str">
        <f ca="1">VLOOKUP($A19,OFFSET([1]characters!$A$1,0,0,COUNTA([1]characters!$A:$A),MATCH("name",[1]characters!$1:$1,0)-MATCH("character_id",[1]characters!$1:$1,0)+1),MATCH("name",[1]characters!$1:$1,0)-MATCH("character_id",[1]characters!$1:$1,0)+1,FALSE)</f>
        <v>Orion01</v>
      </c>
      <c r="H19" s="132">
        <f>IFERROR(VLOOKUP(A19,[1]characters!$A:$R,18),0)</f>
        <v>1</v>
      </c>
      <c r="I19" s="132"/>
      <c r="J19" s="137"/>
      <c r="K19" s="133">
        <v>1</v>
      </c>
      <c r="L19" s="134"/>
      <c r="M19" s="135"/>
      <c r="N19" s="135"/>
      <c r="O19" s="135"/>
      <c r="P19" s="135"/>
      <c r="Q19" s="135"/>
      <c r="R19" s="130"/>
      <c r="S19" s="136"/>
    </row>
    <row r="20" spans="1:19" ht="21" customHeight="1" x14ac:dyDescent="0.15">
      <c r="A20" s="186">
        <v>1569</v>
      </c>
      <c r="B20" s="129" t="s">
        <v>186</v>
      </c>
      <c r="C20" s="188" t="str">
        <f t="shared" ca="1" si="1"/>
        <v>Orion02スキル</v>
      </c>
      <c r="D20" s="188" t="s">
        <v>387</v>
      </c>
      <c r="E20" s="131">
        <f t="shared" si="4"/>
        <v>9</v>
      </c>
      <c r="F20" s="63" t="s">
        <v>385</v>
      </c>
      <c r="G20" s="200" t="str">
        <f ca="1">VLOOKUP($A20,OFFSET([1]characters!$A$1,0,0,COUNTA([1]characters!$A:$A),MATCH("name",[1]characters!$1:$1,0)-MATCH("character_id",[1]characters!$1:$1,0)+1),MATCH("name",[1]characters!$1:$1,0)-MATCH("character_id",[1]characters!$1:$1,0)+1,FALSE)</f>
        <v>Orion02</v>
      </c>
      <c r="H20" s="132">
        <f>IFERROR(VLOOKUP(A20,[1]characters!$A:$R,18),0)</f>
        <v>1</v>
      </c>
      <c r="I20" s="132"/>
      <c r="J20" s="137"/>
      <c r="K20" s="133">
        <v>1</v>
      </c>
      <c r="L20" s="134"/>
      <c r="M20" s="135"/>
      <c r="N20" s="135"/>
      <c r="O20" s="135"/>
      <c r="P20" s="135"/>
      <c r="Q20" s="135"/>
      <c r="R20" s="130"/>
      <c r="S20" s="136"/>
    </row>
    <row r="21" spans="1:19" ht="21" customHeight="1" x14ac:dyDescent="0.15">
      <c r="A21" s="186">
        <v>1570</v>
      </c>
      <c r="B21" s="129" t="s">
        <v>186</v>
      </c>
      <c r="C21" s="188" t="str">
        <f t="shared" ca="1" si="1"/>
        <v>Centaurus01スキル</v>
      </c>
      <c r="D21" s="188" t="s">
        <v>388</v>
      </c>
      <c r="E21" s="131">
        <f t="shared" si="4"/>
        <v>39</v>
      </c>
      <c r="F21" s="63" t="s">
        <v>436</v>
      </c>
      <c r="G21" s="200" t="str">
        <f ca="1">VLOOKUP($A21,OFFSET([1]characters!$A$1,0,0,COUNTA([1]characters!$A:$A),MATCH("name",[1]characters!$1:$1,0)-MATCH("character_id",[1]characters!$1:$1,0)+1),MATCH("name",[1]characters!$1:$1,0)-MATCH("character_id",[1]characters!$1:$1,0)+1,FALSE)</f>
        <v>Centaurus01</v>
      </c>
      <c r="H21" s="132">
        <f>IFERROR(VLOOKUP(A21,[1]characters!$A:$R,18),0)</f>
        <v>1</v>
      </c>
      <c r="I21" s="132"/>
      <c r="J21" s="137"/>
      <c r="K21" s="133">
        <v>1</v>
      </c>
      <c r="L21" s="134"/>
      <c r="M21" s="135"/>
      <c r="N21" s="135"/>
      <c r="O21" s="135"/>
      <c r="P21" s="135"/>
      <c r="Q21" s="135"/>
      <c r="R21" s="130"/>
      <c r="S21" s="136"/>
    </row>
    <row r="22" spans="1:19" ht="21" customHeight="1" x14ac:dyDescent="0.15">
      <c r="A22" s="186">
        <v>1571</v>
      </c>
      <c r="B22" s="129" t="s">
        <v>186</v>
      </c>
      <c r="C22" s="188" t="str">
        <f t="shared" ca="1" si="1"/>
        <v>Lupus01スキル</v>
      </c>
      <c r="D22" s="188" t="s">
        <v>390</v>
      </c>
      <c r="E22" s="131">
        <f t="shared" si="4"/>
        <v>21</v>
      </c>
      <c r="F22" s="63" t="s">
        <v>389</v>
      </c>
      <c r="G22" s="200" t="str">
        <f ca="1">VLOOKUP($A22,OFFSET([1]characters!$A$1,0,0,COUNTA([1]characters!$A:$A),MATCH("name",[1]characters!$1:$1,0)-MATCH("character_id",[1]characters!$1:$1,0)+1),MATCH("name",[1]characters!$1:$1,0)-MATCH("character_id",[1]characters!$1:$1,0)+1,FALSE)</f>
        <v>Lupus01</v>
      </c>
      <c r="H22" s="132">
        <f>IFERROR(VLOOKUP(A22,[1]characters!$A:$R,18),0)</f>
        <v>1</v>
      </c>
      <c r="I22" s="132"/>
      <c r="J22" s="137"/>
      <c r="K22" s="133">
        <v>1</v>
      </c>
      <c r="L22" s="134"/>
      <c r="M22" s="135"/>
      <c r="N22" s="135"/>
      <c r="O22" s="135"/>
      <c r="P22" s="135"/>
      <c r="Q22" s="135"/>
      <c r="R22" s="130"/>
      <c r="S22" s="136"/>
    </row>
    <row r="23" spans="1:19" ht="21" customHeight="1" x14ac:dyDescent="0.15">
      <c r="A23" s="186">
        <v>1572</v>
      </c>
      <c r="B23" s="129" t="s">
        <v>186</v>
      </c>
      <c r="C23" s="188" t="str">
        <f t="shared" ca="1" si="1"/>
        <v>Lupus02スキル</v>
      </c>
      <c r="D23" s="188" t="s">
        <v>392</v>
      </c>
      <c r="E23" s="131">
        <f t="shared" si="4"/>
        <v>22</v>
      </c>
      <c r="F23" s="63" t="s">
        <v>391</v>
      </c>
      <c r="G23" s="200" t="str">
        <f ca="1">VLOOKUP($A23,OFFSET([1]characters!$A$1,0,0,COUNTA([1]characters!$A:$A),MATCH("name",[1]characters!$1:$1,0)-MATCH("character_id",[1]characters!$1:$1,0)+1),MATCH("name",[1]characters!$1:$1,0)-MATCH("character_id",[1]characters!$1:$1,0)+1,FALSE)</f>
        <v>Lupus02</v>
      </c>
      <c r="H23" s="132">
        <f>IFERROR(VLOOKUP(A23,[1]characters!$A:$R,18),0)</f>
        <v>1</v>
      </c>
      <c r="I23" s="132"/>
      <c r="J23" s="137"/>
      <c r="K23" s="133">
        <v>1</v>
      </c>
      <c r="L23" s="134"/>
      <c r="M23" s="135"/>
      <c r="N23" s="135"/>
      <c r="O23" s="135"/>
      <c r="P23" s="135"/>
      <c r="Q23" s="135"/>
      <c r="R23" s="130"/>
      <c r="S23" s="136"/>
    </row>
    <row r="24" spans="1:19" ht="21" customHeight="1" x14ac:dyDescent="0.15">
      <c r="A24" s="186">
        <v>1573</v>
      </c>
      <c r="B24" s="129" t="s">
        <v>186</v>
      </c>
      <c r="C24" s="188" t="str">
        <f t="shared" ca="1" si="1"/>
        <v>Scorpius01スキル</v>
      </c>
      <c r="D24" s="188" t="s">
        <v>366</v>
      </c>
      <c r="E24" s="131">
        <f t="shared" si="4"/>
        <v>24</v>
      </c>
      <c r="F24" s="63" t="s">
        <v>437</v>
      </c>
      <c r="G24" s="200" t="str">
        <f ca="1">VLOOKUP($A24,OFFSET([1]characters!$A$1,0,0,COUNTA([1]characters!$A:$A),MATCH("name",[1]characters!$1:$1,0)-MATCH("character_id",[1]characters!$1:$1,0)+1),MATCH("name",[1]characters!$1:$1,0)-MATCH("character_id",[1]characters!$1:$1,0)+1,FALSE)</f>
        <v>Scorpius01</v>
      </c>
      <c r="H24" s="132">
        <f>IFERROR(VLOOKUP(A24,[1]characters!$A:$R,18),0)</f>
        <v>1</v>
      </c>
      <c r="I24" s="132"/>
      <c r="J24" s="137"/>
      <c r="K24" s="133">
        <v>1</v>
      </c>
      <c r="L24" s="134"/>
      <c r="M24" s="135"/>
      <c r="N24" s="135"/>
      <c r="O24" s="135"/>
      <c r="P24" s="135"/>
      <c r="Q24" s="135"/>
      <c r="R24" s="130"/>
      <c r="S24" s="136"/>
    </row>
    <row r="25" spans="1:19" ht="21" customHeight="1" x14ac:dyDescent="0.15">
      <c r="A25" s="186">
        <v>1574</v>
      </c>
      <c r="B25" s="129" t="s">
        <v>186</v>
      </c>
      <c r="C25" s="188" t="str">
        <f t="shared" ca="1" si="1"/>
        <v>Cancer01スキル</v>
      </c>
      <c r="D25" s="188" t="s">
        <v>438</v>
      </c>
      <c r="E25" s="131">
        <f t="shared" si="4"/>
        <v>9</v>
      </c>
      <c r="F25" s="63" t="s">
        <v>439</v>
      </c>
      <c r="G25" s="200" t="str">
        <f ca="1">VLOOKUP($A25,OFFSET([1]characters!$A$1,0,0,COUNTA([1]characters!$A:$A),MATCH("name",[1]characters!$1:$1,0)-MATCH("character_id",[1]characters!$1:$1,0)+1),MATCH("name",[1]characters!$1:$1,0)-MATCH("character_id",[1]characters!$1:$1,0)+1,FALSE)</f>
        <v>Cancer01</v>
      </c>
      <c r="H25" s="132">
        <f>IFERROR(VLOOKUP(A25,[1]characters!$A:$R,18),0)</f>
        <v>1</v>
      </c>
      <c r="I25" s="132"/>
      <c r="J25" s="137"/>
      <c r="K25" s="133">
        <v>1</v>
      </c>
      <c r="L25" s="134"/>
      <c r="M25" s="135"/>
      <c r="N25" s="135"/>
      <c r="O25" s="135"/>
      <c r="P25" s="135"/>
      <c r="Q25" s="135"/>
      <c r="R25" s="130"/>
      <c r="S25" s="136"/>
    </row>
    <row r="26" spans="1:19" ht="21" customHeight="1" x14ac:dyDescent="0.15">
      <c r="A26" s="186">
        <v>1575</v>
      </c>
      <c r="B26" s="129" t="s">
        <v>186</v>
      </c>
      <c r="C26" s="188" t="str">
        <f t="shared" ca="1" si="1"/>
        <v>Aquarius01スキル</v>
      </c>
      <c r="D26" s="188" t="s">
        <v>398</v>
      </c>
      <c r="E26" s="131">
        <f t="shared" si="4"/>
        <v>20</v>
      </c>
      <c r="F26" s="63" t="s">
        <v>396</v>
      </c>
      <c r="G26" s="200" t="str">
        <f ca="1">VLOOKUP($A26,OFFSET([1]characters!$A$1,0,0,COUNTA([1]characters!$A:$A),MATCH("name",[1]characters!$1:$1,0)-MATCH("character_id",[1]characters!$1:$1,0)+1),MATCH("name",[1]characters!$1:$1,0)-MATCH("character_id",[1]characters!$1:$1,0)+1,FALSE)</f>
        <v>Aquarius01</v>
      </c>
      <c r="H26" s="132">
        <f>IFERROR(VLOOKUP(A26,[1]characters!$A:$R,18),0)</f>
        <v>1</v>
      </c>
      <c r="I26" s="132"/>
      <c r="J26" s="137"/>
      <c r="K26" s="133">
        <v>1</v>
      </c>
      <c r="L26" s="134"/>
      <c r="M26" s="135"/>
      <c r="N26" s="135"/>
      <c r="O26" s="135"/>
      <c r="P26" s="135"/>
      <c r="Q26" s="135"/>
      <c r="R26" s="130"/>
      <c r="S26" s="136"/>
    </row>
    <row r="27" spans="1:19" ht="21" customHeight="1" x14ac:dyDescent="0.15">
      <c r="A27" s="186">
        <v>1576</v>
      </c>
      <c r="B27" s="129" t="s">
        <v>186</v>
      </c>
      <c r="C27" s="188" t="str">
        <f t="shared" ca="1" si="1"/>
        <v>Aquarius02スキル</v>
      </c>
      <c r="D27" s="188" t="s">
        <v>399</v>
      </c>
      <c r="E27" s="131">
        <f t="shared" si="4"/>
        <v>21</v>
      </c>
      <c r="F27" s="63" t="s">
        <v>397</v>
      </c>
      <c r="G27" s="200" t="str">
        <f ca="1">VLOOKUP($A27,OFFSET([1]characters!$A$1,0,0,COUNTA([1]characters!$A:$A),MATCH("name",[1]characters!$1:$1,0)-MATCH("character_id",[1]characters!$1:$1,0)+1),MATCH("name",[1]characters!$1:$1,0)-MATCH("character_id",[1]characters!$1:$1,0)+1,FALSE)</f>
        <v>Aquarius02</v>
      </c>
      <c r="H27" s="132">
        <f>IFERROR(VLOOKUP(A27,[1]characters!$A:$R,18),0)</f>
        <v>1</v>
      </c>
      <c r="I27" s="132"/>
      <c r="J27" s="137"/>
      <c r="K27" s="133">
        <v>1</v>
      </c>
      <c r="L27" s="134"/>
      <c r="M27" s="135"/>
      <c r="N27" s="135"/>
      <c r="O27" s="135"/>
      <c r="P27" s="135"/>
      <c r="Q27" s="135"/>
      <c r="R27" s="130"/>
      <c r="S27" s="136"/>
    </row>
    <row r="28" spans="1:19" ht="21" customHeight="1" x14ac:dyDescent="0.15">
      <c r="A28" s="186">
        <v>1577</v>
      </c>
      <c r="B28" s="129" t="s">
        <v>186</v>
      </c>
      <c r="C28" s="188" t="str">
        <f t="shared" ca="1" si="1"/>
        <v>Perseus01スキル</v>
      </c>
      <c r="D28" s="188" t="s">
        <v>361</v>
      </c>
      <c r="E28" s="131">
        <f t="shared" si="4"/>
        <v>20</v>
      </c>
      <c r="F28" s="63" t="s">
        <v>440</v>
      </c>
      <c r="G28" s="200" t="str">
        <f ca="1">VLOOKUP($A28,OFFSET([1]characters!$A$1,0,0,COUNTA([1]characters!$A:$A),MATCH("name",[1]characters!$1:$1,0)-MATCH("character_id",[1]characters!$1:$1,0)+1),MATCH("name",[1]characters!$1:$1,0)-MATCH("character_id",[1]characters!$1:$1,0)+1,FALSE)</f>
        <v>Perseus01</v>
      </c>
      <c r="H28" s="132">
        <f>IFERROR(VLOOKUP(A28,[1]characters!$A:$R,18),0)</f>
        <v>1</v>
      </c>
      <c r="I28" s="132"/>
      <c r="J28" s="137"/>
      <c r="K28" s="133">
        <v>1</v>
      </c>
      <c r="L28" s="134"/>
      <c r="M28" s="135"/>
      <c r="N28" s="135"/>
      <c r="O28" s="135"/>
      <c r="P28" s="135"/>
      <c r="Q28" s="135"/>
      <c r="R28" s="130"/>
      <c r="S28" s="136"/>
    </row>
    <row r="29" spans="1:19" ht="21" customHeight="1" x14ac:dyDescent="0.15">
      <c r="A29" s="186">
        <v>1578</v>
      </c>
      <c r="B29" s="129" t="s">
        <v>186</v>
      </c>
      <c r="C29" s="188" t="str">
        <f t="shared" ca="1" si="1"/>
        <v>Hydra01スキル</v>
      </c>
      <c r="D29" s="188" t="s">
        <v>359</v>
      </c>
      <c r="E29" s="131">
        <f t="shared" si="4"/>
        <v>24</v>
      </c>
      <c r="F29" s="63" t="s">
        <v>360</v>
      </c>
      <c r="G29" s="200" t="str">
        <f ca="1">VLOOKUP($A29,OFFSET([1]characters!$A$1,0,0,COUNTA([1]characters!$A:$A),MATCH("name",[1]characters!$1:$1,0)-MATCH("character_id",[1]characters!$1:$1,0)+1),MATCH("name",[1]characters!$1:$1,0)-MATCH("character_id",[1]characters!$1:$1,0)+1,FALSE)</f>
        <v>Hydra01</v>
      </c>
      <c r="H29" s="132">
        <f>IFERROR(VLOOKUP(A29,[1]characters!$A:$R,18),0)</f>
        <v>1</v>
      </c>
      <c r="I29" s="132"/>
      <c r="J29" s="137"/>
      <c r="K29" s="133">
        <v>1</v>
      </c>
      <c r="L29" s="134"/>
      <c r="M29" s="135"/>
      <c r="N29" s="135"/>
      <c r="O29" s="135"/>
      <c r="P29" s="135"/>
      <c r="Q29" s="135"/>
      <c r="R29" s="130"/>
      <c r="S29" s="136"/>
    </row>
    <row r="30" spans="1:19" ht="21" customHeight="1" x14ac:dyDescent="0.15">
      <c r="A30" s="186">
        <v>1579</v>
      </c>
      <c r="B30" s="129" t="s">
        <v>186</v>
      </c>
      <c r="C30" s="188" t="str">
        <f t="shared" ca="1" si="1"/>
        <v>Lyra01スキル</v>
      </c>
      <c r="D30" s="188" t="s">
        <v>406</v>
      </c>
      <c r="E30" s="131">
        <f t="shared" si="4"/>
        <v>18</v>
      </c>
      <c r="F30" s="63" t="s">
        <v>404</v>
      </c>
      <c r="G30" s="200" t="str">
        <f ca="1">VLOOKUP($A30,OFFSET([1]characters!$A$1,0,0,COUNTA([1]characters!$A:$A),MATCH("name",[1]characters!$1:$1,0)-MATCH("character_id",[1]characters!$1:$1,0)+1),MATCH("name",[1]characters!$1:$1,0)-MATCH("character_id",[1]characters!$1:$1,0)+1,FALSE)</f>
        <v>Lyra01</v>
      </c>
      <c r="H30" s="132">
        <f>IFERROR(VLOOKUP(A30,[1]characters!$A:$R,18),0)</f>
        <v>1</v>
      </c>
      <c r="I30" s="132"/>
      <c r="J30" s="137"/>
      <c r="K30" s="133">
        <v>1</v>
      </c>
      <c r="L30" s="134"/>
      <c r="M30" s="135"/>
      <c r="N30" s="135"/>
      <c r="O30" s="135"/>
      <c r="P30" s="135"/>
      <c r="Q30" s="135"/>
      <c r="R30" s="130"/>
      <c r="S30" s="136"/>
    </row>
    <row r="31" spans="1:19" ht="21" customHeight="1" x14ac:dyDescent="0.15">
      <c r="A31" s="186">
        <v>1580</v>
      </c>
      <c r="B31" s="129" t="s">
        <v>186</v>
      </c>
      <c r="C31" s="188" t="str">
        <f t="shared" ca="1" si="1"/>
        <v>Lyra02スキル</v>
      </c>
      <c r="D31" s="188" t="s">
        <v>407</v>
      </c>
      <c r="E31" s="131">
        <f t="shared" si="4"/>
        <v>19</v>
      </c>
      <c r="F31" s="63" t="s">
        <v>405</v>
      </c>
      <c r="G31" s="200" t="str">
        <f ca="1">VLOOKUP($A31,OFFSET([1]characters!$A$1,0,0,COUNTA([1]characters!$A:$A),MATCH("name",[1]characters!$1:$1,0)-MATCH("character_id",[1]characters!$1:$1,0)+1),MATCH("name",[1]characters!$1:$1,0)-MATCH("character_id",[1]characters!$1:$1,0)+1,FALSE)</f>
        <v>Lyra02</v>
      </c>
      <c r="H31" s="132">
        <f>IFERROR(VLOOKUP(A31,[1]characters!$A:$R,18),0)</f>
        <v>1</v>
      </c>
      <c r="I31" s="132"/>
      <c r="J31" s="137"/>
      <c r="K31" s="133">
        <v>1</v>
      </c>
      <c r="L31" s="134"/>
      <c r="M31" s="135"/>
      <c r="N31" s="135"/>
      <c r="O31" s="135"/>
      <c r="P31" s="135"/>
      <c r="Q31" s="135"/>
      <c r="R31" s="130"/>
      <c r="S31" s="136"/>
    </row>
    <row r="32" spans="1:19" ht="21" customHeight="1" x14ac:dyDescent="0.15">
      <c r="A32" s="186">
        <v>1581</v>
      </c>
      <c r="B32" s="129" t="s">
        <v>186</v>
      </c>
      <c r="C32" s="188" t="str">
        <f t="shared" ca="1" si="1"/>
        <v>Gemini01スキル</v>
      </c>
      <c r="D32" s="188" t="s">
        <v>412</v>
      </c>
      <c r="E32" s="131">
        <f t="shared" ref="E32:E39" si="5">LEN(D32)</f>
        <v>15</v>
      </c>
      <c r="F32" s="63" t="s">
        <v>410</v>
      </c>
      <c r="G32" s="200" t="str">
        <f ca="1">VLOOKUP($A32,OFFSET([1]characters!$A$1,0,0,COUNTA([1]characters!$A:$A),MATCH("name",[1]characters!$1:$1,0)-MATCH("character_id",[1]characters!$1:$1,0)+1),MATCH("name",[1]characters!$1:$1,0)-MATCH("character_id",[1]characters!$1:$1,0)+1,FALSE)</f>
        <v>Gemini01</v>
      </c>
      <c r="H32" s="132">
        <f>IFERROR(VLOOKUP(A32,[1]characters!$A:$R,18),0)</f>
        <v>1</v>
      </c>
      <c r="I32" s="132"/>
      <c r="J32" s="137"/>
      <c r="K32" s="133">
        <v>1</v>
      </c>
      <c r="L32" s="134"/>
      <c r="M32" s="135"/>
      <c r="N32" s="135"/>
      <c r="O32" s="135"/>
      <c r="P32" s="135"/>
      <c r="Q32" s="135"/>
      <c r="R32" s="130"/>
      <c r="S32" s="136"/>
    </row>
    <row r="33" spans="1:19" ht="21" customHeight="1" x14ac:dyDescent="0.15">
      <c r="A33" s="186">
        <v>1582</v>
      </c>
      <c r="B33" s="129" t="s">
        <v>186</v>
      </c>
      <c r="C33" s="188" t="str">
        <f t="shared" ca="1" si="1"/>
        <v>Gemini02スキル</v>
      </c>
      <c r="D33" s="188" t="s">
        <v>413</v>
      </c>
      <c r="E33" s="131">
        <f t="shared" si="5"/>
        <v>17</v>
      </c>
      <c r="F33" s="63" t="s">
        <v>411</v>
      </c>
      <c r="G33" s="200" t="str">
        <f ca="1">VLOOKUP($A33,OFFSET([1]characters!$A$1,0,0,COUNTA([1]characters!$A:$A),MATCH("name",[1]characters!$1:$1,0)-MATCH("character_id",[1]characters!$1:$1,0)+1),MATCH("name",[1]characters!$1:$1,0)-MATCH("character_id",[1]characters!$1:$1,0)+1,FALSE)</f>
        <v>Gemini02</v>
      </c>
      <c r="H33" s="132">
        <f>IFERROR(VLOOKUP(A33,[1]characters!$A:$R,18),0)</f>
        <v>1</v>
      </c>
      <c r="I33" s="132"/>
      <c r="J33" s="137"/>
      <c r="K33" s="133">
        <v>1</v>
      </c>
      <c r="L33" s="134"/>
      <c r="M33" s="135"/>
      <c r="N33" s="135"/>
      <c r="O33" s="135"/>
      <c r="P33" s="135"/>
      <c r="Q33" s="135"/>
      <c r="R33" s="130"/>
      <c r="S33" s="136"/>
    </row>
    <row r="34" spans="1:19" ht="21" customHeight="1" x14ac:dyDescent="0.15">
      <c r="A34" s="186">
        <v>1583</v>
      </c>
      <c r="B34" s="129" t="s">
        <v>186</v>
      </c>
      <c r="C34" s="188" t="str">
        <f t="shared" ca="1" si="1"/>
        <v>Corvus01スキル</v>
      </c>
      <c r="D34" s="188" t="s">
        <v>387</v>
      </c>
      <c r="E34" s="131">
        <f t="shared" si="5"/>
        <v>9</v>
      </c>
      <c r="F34" s="63" t="s">
        <v>418</v>
      </c>
      <c r="G34" s="200" t="str">
        <f ca="1">VLOOKUP($A34,OFFSET([1]characters!$A$1,0,0,COUNTA([1]characters!$A:$A),MATCH("name",[1]characters!$1:$1,0)-MATCH("character_id",[1]characters!$1:$1,0)+1),MATCH("name",[1]characters!$1:$1,0)-MATCH("character_id",[1]characters!$1:$1,0)+1,FALSE)</f>
        <v>Corvus01</v>
      </c>
      <c r="H34" s="132">
        <f>IFERROR(VLOOKUP(A34,[1]characters!$A:$R,18),0)</f>
        <v>1</v>
      </c>
      <c r="I34" s="132"/>
      <c r="J34" s="137"/>
      <c r="K34" s="133">
        <v>1</v>
      </c>
      <c r="L34" s="134"/>
      <c r="M34" s="135"/>
      <c r="N34" s="135"/>
      <c r="O34" s="135"/>
      <c r="P34" s="135"/>
      <c r="Q34" s="135"/>
      <c r="R34" s="130"/>
      <c r="S34" s="136"/>
    </row>
    <row r="35" spans="1:19" ht="21" customHeight="1" x14ac:dyDescent="0.15">
      <c r="A35" s="186">
        <v>1584</v>
      </c>
      <c r="B35" s="129" t="s">
        <v>186</v>
      </c>
      <c r="C35" s="188" t="str">
        <f t="shared" ca="1" si="1"/>
        <v>Sirius01スキル</v>
      </c>
      <c r="D35" s="188" t="s">
        <v>419</v>
      </c>
      <c r="E35" s="131">
        <f t="shared" si="5"/>
        <v>17</v>
      </c>
      <c r="F35" s="63" t="s">
        <v>351</v>
      </c>
      <c r="G35" s="200" t="str">
        <f ca="1">VLOOKUP($A35,OFFSET([1]characters!$A$1,0,0,COUNTA([1]characters!$A:$A),MATCH("name",[1]characters!$1:$1,0)-MATCH("character_id",[1]characters!$1:$1,0)+1),MATCH("name",[1]characters!$1:$1,0)-MATCH("character_id",[1]characters!$1:$1,0)+1,FALSE)</f>
        <v>Sirius01</v>
      </c>
      <c r="H35" s="132">
        <f>IFERROR(VLOOKUP(A35,[1]characters!$A:$R,18),0)</f>
        <v>1</v>
      </c>
      <c r="I35" s="132"/>
      <c r="J35" s="137"/>
      <c r="K35" s="133">
        <v>1</v>
      </c>
      <c r="L35" s="134"/>
      <c r="M35" s="135"/>
      <c r="N35" s="135"/>
      <c r="O35" s="135"/>
      <c r="P35" s="135"/>
      <c r="Q35" s="135"/>
      <c r="R35" s="130"/>
      <c r="S35" s="136"/>
    </row>
    <row r="36" spans="1:19" ht="21" customHeight="1" x14ac:dyDescent="0.15">
      <c r="A36" s="186">
        <v>1585</v>
      </c>
      <c r="B36" s="129" t="s">
        <v>186</v>
      </c>
      <c r="C36" s="188" t="str">
        <f t="shared" ca="1" si="1"/>
        <v>Sirius02スキル</v>
      </c>
      <c r="D36" s="188" t="s">
        <v>420</v>
      </c>
      <c r="E36" s="131">
        <f t="shared" si="5"/>
        <v>18</v>
      </c>
      <c r="F36" s="63" t="s">
        <v>352</v>
      </c>
      <c r="G36" s="200" t="str">
        <f ca="1">VLOOKUP($A36,OFFSET([1]characters!$A$1,0,0,COUNTA([1]characters!$A:$A),MATCH("name",[1]characters!$1:$1,0)-MATCH("character_id",[1]characters!$1:$1,0)+1),MATCH("name",[1]characters!$1:$1,0)-MATCH("character_id",[1]characters!$1:$1,0)+1,FALSE)</f>
        <v>Sirius02</v>
      </c>
      <c r="H36" s="132">
        <f>IFERROR(VLOOKUP(A36,[1]characters!$A:$R,18),0)</f>
        <v>1</v>
      </c>
      <c r="I36" s="132"/>
      <c r="J36" s="137"/>
      <c r="K36" s="133">
        <v>1</v>
      </c>
      <c r="L36" s="134"/>
      <c r="M36" s="135"/>
      <c r="N36" s="135"/>
      <c r="O36" s="135"/>
      <c r="P36" s="135"/>
      <c r="Q36" s="135"/>
      <c r="R36" s="130"/>
      <c r="S36" s="136"/>
    </row>
    <row r="37" spans="1:19" ht="21" customHeight="1" x14ac:dyDescent="0.15">
      <c r="A37" s="186">
        <v>1586</v>
      </c>
      <c r="B37" s="129" t="s">
        <v>186</v>
      </c>
      <c r="C37" s="188" t="str">
        <f t="shared" ca="1" si="1"/>
        <v>Sirius03スキル</v>
      </c>
      <c r="D37" s="188" t="s">
        <v>350</v>
      </c>
      <c r="E37" s="131">
        <f t="shared" si="5"/>
        <v>19</v>
      </c>
      <c r="F37" s="63" t="s">
        <v>353</v>
      </c>
      <c r="G37" s="200" t="str">
        <f ca="1">VLOOKUP($A37,OFFSET([1]characters!$A$1,0,0,COUNTA([1]characters!$A:$A),MATCH("name",[1]characters!$1:$1,0)-MATCH("character_id",[1]characters!$1:$1,0)+1),MATCH("name",[1]characters!$1:$1,0)-MATCH("character_id",[1]characters!$1:$1,0)+1,FALSE)</f>
        <v>Sirius03</v>
      </c>
      <c r="H37" s="132">
        <f>IFERROR(VLOOKUP(A37,[1]characters!$A:$R,18),0)</f>
        <v>1</v>
      </c>
      <c r="I37" s="132"/>
      <c r="J37" s="137"/>
      <c r="K37" s="133">
        <v>1</v>
      </c>
      <c r="L37" s="134"/>
      <c r="M37" s="135"/>
      <c r="N37" s="135"/>
      <c r="O37" s="135"/>
      <c r="P37" s="135"/>
      <c r="Q37" s="135"/>
      <c r="R37" s="130"/>
      <c r="S37" s="136"/>
    </row>
    <row r="38" spans="1:19" ht="21" customHeight="1" x14ac:dyDescent="0.15">
      <c r="A38" s="186">
        <v>1587</v>
      </c>
      <c r="B38" s="129" t="s">
        <v>186</v>
      </c>
      <c r="C38" s="188" t="str">
        <f t="shared" ca="1" si="1"/>
        <v>Virgo01スキル</v>
      </c>
      <c r="D38" s="188" t="s">
        <v>422</v>
      </c>
      <c r="E38" s="131">
        <f t="shared" si="5"/>
        <v>19</v>
      </c>
      <c r="F38" s="63" t="s">
        <v>421</v>
      </c>
      <c r="G38" s="200" t="str">
        <f ca="1">VLOOKUP($A38,OFFSET([1]characters!$A$1,0,0,COUNTA([1]characters!$A:$A),MATCH("name",[1]characters!$1:$1,0)-MATCH("character_id",[1]characters!$1:$1,0)+1),MATCH("name",[1]characters!$1:$1,0)-MATCH("character_id",[1]characters!$1:$1,0)+1,FALSE)</f>
        <v>Virgo01</v>
      </c>
      <c r="H38" s="132">
        <f>IFERROR(VLOOKUP(A38,[1]characters!$A:$R,18),0)</f>
        <v>1</v>
      </c>
      <c r="I38" s="132"/>
      <c r="J38" s="137"/>
      <c r="K38" s="133">
        <v>1</v>
      </c>
      <c r="L38" s="134"/>
      <c r="M38" s="135"/>
      <c r="N38" s="135"/>
      <c r="O38" s="135"/>
      <c r="P38" s="135"/>
      <c r="Q38" s="135"/>
      <c r="R38" s="130"/>
      <c r="S38" s="136"/>
    </row>
    <row r="39" spans="1:19" ht="21" customHeight="1" x14ac:dyDescent="0.15">
      <c r="A39" s="186">
        <v>1588</v>
      </c>
      <c r="B39" s="129" t="s">
        <v>186</v>
      </c>
      <c r="C39" s="188" t="str">
        <f t="shared" ca="1" si="1"/>
        <v>Virgo02スキル</v>
      </c>
      <c r="D39" s="188" t="s">
        <v>356</v>
      </c>
      <c r="E39" s="131">
        <f t="shared" si="5"/>
        <v>20</v>
      </c>
      <c r="F39" s="63" t="s">
        <v>357</v>
      </c>
      <c r="G39" s="200" t="str">
        <f ca="1">VLOOKUP($A39,OFFSET([1]characters!$A$1,0,0,COUNTA([1]characters!$A:$A),MATCH("name",[1]characters!$1:$1,0)-MATCH("character_id",[1]characters!$1:$1,0)+1),MATCH("name",[1]characters!$1:$1,0)-MATCH("character_id",[1]characters!$1:$1,0)+1,FALSE)</f>
        <v>Virgo02</v>
      </c>
      <c r="H39" s="132">
        <f>IFERROR(VLOOKUP(A39,[1]characters!$A:$R,18),0)</f>
        <v>1</v>
      </c>
      <c r="I39" s="132"/>
      <c r="J39" s="137"/>
      <c r="K39" s="133">
        <v>1</v>
      </c>
      <c r="L39" s="134"/>
      <c r="M39" s="135"/>
      <c r="N39" s="135"/>
      <c r="O39" s="135"/>
      <c r="P39" s="135"/>
      <c r="Q39" s="135"/>
      <c r="R39" s="130"/>
      <c r="S39" s="136"/>
    </row>
  </sheetData>
  <sheetProtection selectLockedCells="1" selectUnlockedCells="1"/>
  <autoFilter ref="A1:J1"/>
  <phoneticPr fontId="22"/>
  <conditionalFormatting sqref="E2">
    <cfRule type="cellIs" dxfId="79" priority="54" operator="greaterThan">
      <formula>57</formula>
    </cfRule>
  </conditionalFormatting>
  <conditionalFormatting sqref="E3">
    <cfRule type="cellIs" dxfId="78" priority="53" operator="greaterThan">
      <formula>57</formula>
    </cfRule>
  </conditionalFormatting>
  <conditionalFormatting sqref="E4">
    <cfRule type="cellIs" dxfId="77" priority="36" operator="greaterThan">
      <formula>57</formula>
    </cfRule>
  </conditionalFormatting>
  <conditionalFormatting sqref="E5">
    <cfRule type="cellIs" dxfId="76" priority="35" operator="greaterThan">
      <formula>57</formula>
    </cfRule>
  </conditionalFormatting>
  <conditionalFormatting sqref="E6">
    <cfRule type="cellIs" dxfId="75" priority="34" operator="greaterThan">
      <formula>57</formula>
    </cfRule>
  </conditionalFormatting>
  <conditionalFormatting sqref="E7">
    <cfRule type="cellIs" dxfId="74" priority="33" operator="greaterThan">
      <formula>57</formula>
    </cfRule>
  </conditionalFormatting>
  <conditionalFormatting sqref="E8">
    <cfRule type="cellIs" dxfId="73" priority="32" operator="greaterThan">
      <formula>57</formula>
    </cfRule>
  </conditionalFormatting>
  <conditionalFormatting sqref="E9">
    <cfRule type="cellIs" dxfId="72" priority="31" operator="greaterThan">
      <formula>57</formula>
    </cfRule>
  </conditionalFormatting>
  <conditionalFormatting sqref="E10">
    <cfRule type="cellIs" dxfId="71" priority="30" operator="greaterThan">
      <formula>57</formula>
    </cfRule>
  </conditionalFormatting>
  <conditionalFormatting sqref="E11">
    <cfRule type="cellIs" dxfId="70" priority="29" operator="greaterThan">
      <formula>57</formula>
    </cfRule>
  </conditionalFormatting>
  <conditionalFormatting sqref="E12">
    <cfRule type="cellIs" dxfId="69" priority="28" operator="greaterThan">
      <formula>57</formula>
    </cfRule>
  </conditionalFormatting>
  <conditionalFormatting sqref="E13">
    <cfRule type="cellIs" dxfId="68" priority="27" operator="greaterThan">
      <formula>57</formula>
    </cfRule>
  </conditionalFormatting>
  <conditionalFormatting sqref="E14">
    <cfRule type="cellIs" dxfId="67" priority="26" operator="greaterThan">
      <formula>57</formula>
    </cfRule>
  </conditionalFormatting>
  <conditionalFormatting sqref="E15">
    <cfRule type="cellIs" dxfId="66" priority="25" operator="greaterThan">
      <formula>57</formula>
    </cfRule>
  </conditionalFormatting>
  <conditionalFormatting sqref="E16">
    <cfRule type="cellIs" dxfId="65" priority="24" operator="greaterThan">
      <formula>57</formula>
    </cfRule>
  </conditionalFormatting>
  <conditionalFormatting sqref="E17">
    <cfRule type="cellIs" dxfId="64" priority="23" operator="greaterThan">
      <formula>57</formula>
    </cfRule>
  </conditionalFormatting>
  <conditionalFormatting sqref="E18">
    <cfRule type="cellIs" dxfId="63" priority="22" operator="greaterThan">
      <formula>57</formula>
    </cfRule>
  </conditionalFormatting>
  <conditionalFormatting sqref="E19">
    <cfRule type="cellIs" dxfId="62" priority="21" operator="greaterThan">
      <formula>57</formula>
    </cfRule>
  </conditionalFormatting>
  <conditionalFormatting sqref="E20">
    <cfRule type="cellIs" dxfId="61" priority="20" operator="greaterThan">
      <formula>57</formula>
    </cfRule>
  </conditionalFormatting>
  <conditionalFormatting sqref="E21">
    <cfRule type="cellIs" dxfId="60" priority="19" operator="greaterThan">
      <formula>57</formula>
    </cfRule>
  </conditionalFormatting>
  <conditionalFormatting sqref="E22">
    <cfRule type="cellIs" dxfId="59" priority="18" operator="greaterThan">
      <formula>57</formula>
    </cfRule>
  </conditionalFormatting>
  <conditionalFormatting sqref="E23">
    <cfRule type="cellIs" dxfId="58" priority="17" operator="greaterThan">
      <formula>57</formula>
    </cfRule>
  </conditionalFormatting>
  <conditionalFormatting sqref="E24">
    <cfRule type="cellIs" dxfId="57" priority="16" operator="greaterThan">
      <formula>57</formula>
    </cfRule>
  </conditionalFormatting>
  <conditionalFormatting sqref="E25">
    <cfRule type="cellIs" dxfId="56" priority="15" operator="greaterThan">
      <formula>57</formula>
    </cfRule>
  </conditionalFormatting>
  <conditionalFormatting sqref="E26">
    <cfRule type="cellIs" dxfId="55" priority="14" operator="greaterThan">
      <formula>57</formula>
    </cfRule>
  </conditionalFormatting>
  <conditionalFormatting sqref="E27">
    <cfRule type="cellIs" dxfId="54" priority="13" operator="greaterThan">
      <formula>57</formula>
    </cfRule>
  </conditionalFormatting>
  <conditionalFormatting sqref="E28">
    <cfRule type="cellIs" dxfId="53" priority="12" operator="greaterThan">
      <formula>57</formula>
    </cfRule>
  </conditionalFormatting>
  <conditionalFormatting sqref="E29">
    <cfRule type="cellIs" dxfId="52" priority="11" operator="greaterThan">
      <formula>57</formula>
    </cfRule>
  </conditionalFormatting>
  <conditionalFormatting sqref="E30">
    <cfRule type="cellIs" dxfId="51" priority="10" operator="greaterThan">
      <formula>57</formula>
    </cfRule>
  </conditionalFormatting>
  <conditionalFormatting sqref="E31">
    <cfRule type="cellIs" dxfId="50" priority="9" operator="greaterThan">
      <formula>57</formula>
    </cfRule>
  </conditionalFormatting>
  <conditionalFormatting sqref="E32">
    <cfRule type="cellIs" dxfId="49" priority="8" operator="greaterThan">
      <formula>57</formula>
    </cfRule>
  </conditionalFormatting>
  <conditionalFormatting sqref="E33">
    <cfRule type="cellIs" dxfId="48" priority="7" operator="greaterThan">
      <formula>57</formula>
    </cfRule>
  </conditionalFormatting>
  <conditionalFormatting sqref="E34">
    <cfRule type="cellIs" dxfId="47" priority="6" operator="greaterThan">
      <formula>57</formula>
    </cfRule>
  </conditionalFormatting>
  <conditionalFormatting sqref="E35">
    <cfRule type="cellIs" dxfId="46" priority="5" operator="greaterThan">
      <formula>57</formula>
    </cfRule>
  </conditionalFormatting>
  <conditionalFormatting sqref="E36">
    <cfRule type="cellIs" dxfId="45" priority="4" operator="greaterThan">
      <formula>57</formula>
    </cfRule>
  </conditionalFormatting>
  <conditionalFormatting sqref="E37">
    <cfRule type="cellIs" dxfId="44" priority="3" operator="greaterThan">
      <formula>57</formula>
    </cfRule>
  </conditionalFormatting>
  <conditionalFormatting sqref="E38">
    <cfRule type="cellIs" dxfId="43" priority="2" operator="greaterThan">
      <formula>57</formula>
    </cfRule>
  </conditionalFormatting>
  <conditionalFormatting sqref="E39">
    <cfRule type="cellIs" dxfId="42"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65"/>
  <sheetViews>
    <sheetView topLeftCell="A140" workbookViewId="0">
      <selection activeCell="E171" sqref="E17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1551</v>
      </c>
      <c r="B2" s="138" t="str">
        <f>VLOOKUP(A2,[1]characters!$A:$C,3,FALSE)</f>
        <v>Leo01</v>
      </c>
      <c r="C2" s="105" t="s">
        <v>195</v>
      </c>
      <c r="D2" s="138" t="str">
        <f t="shared" ref="D2" si="0">A2&amp;C2</f>
        <v>1551skill</v>
      </c>
      <c r="E2" s="138" t="str">
        <f>A2&amp;+(COUNTIF(A2:A$10000,A2)-1)</f>
        <v>15513</v>
      </c>
      <c r="F2" s="105" t="s">
        <v>197</v>
      </c>
      <c r="G2" s="162" t="s">
        <v>315</v>
      </c>
      <c r="H2" s="162" t="s">
        <v>321</v>
      </c>
    </row>
    <row r="3" spans="1:8" x14ac:dyDescent="0.15">
      <c r="A3" s="105">
        <v>1551</v>
      </c>
      <c r="B3" s="138" t="str">
        <f>VLOOKUP(A3,[1]characters!$A:$C,3,FALSE)</f>
        <v>Leo01</v>
      </c>
      <c r="C3" s="105" t="s">
        <v>198</v>
      </c>
      <c r="D3" s="138" t="str">
        <f>A3&amp;C3</f>
        <v>1551cskill</v>
      </c>
      <c r="E3" s="138" t="str">
        <f>A3&amp;+(COUNTIF(A3:A$10000,A3)-1)</f>
        <v>15512</v>
      </c>
      <c r="F3" s="105" t="s">
        <v>186</v>
      </c>
      <c r="G3" s="162" t="s">
        <v>196</v>
      </c>
      <c r="H3" s="162" t="s">
        <v>318</v>
      </c>
    </row>
    <row r="4" spans="1:8" x14ac:dyDescent="0.15">
      <c r="A4" s="105">
        <v>1551</v>
      </c>
      <c r="B4" s="138" t="str">
        <f>VLOOKUP(A4,[1]characters!$A:$C,3,FALSE)</f>
        <v>Leo01</v>
      </c>
      <c r="C4" s="105" t="s">
        <v>198</v>
      </c>
      <c r="D4" s="138" t="str">
        <f>A4&amp;C4</f>
        <v>1551cskill</v>
      </c>
      <c r="E4" s="138" t="str">
        <f>A4&amp;+(COUNTIF(A4:A$10000,A4)-1)</f>
        <v>15511</v>
      </c>
      <c r="F4" s="105" t="s">
        <v>186</v>
      </c>
      <c r="G4" s="162" t="s">
        <v>315</v>
      </c>
      <c r="H4" s="162" t="s">
        <v>316</v>
      </c>
    </row>
    <row r="5" spans="1:8" x14ac:dyDescent="0.15">
      <c r="A5" s="105">
        <v>1551</v>
      </c>
      <c r="B5" s="138" t="str">
        <f>VLOOKUP(A5,[1]characters!$A:$C,3,FALSE)</f>
        <v>Leo01</v>
      </c>
      <c r="C5" s="105" t="s">
        <v>198</v>
      </c>
      <c r="D5" s="138" t="str">
        <f>A5&amp;C5</f>
        <v>1551cskill</v>
      </c>
      <c r="E5" s="138" t="str">
        <f>A5&amp;+(COUNTIF(A5:A$10000,A5)-1)</f>
        <v>15510</v>
      </c>
      <c r="F5" s="105" t="s">
        <v>197</v>
      </c>
      <c r="G5" s="162" t="s">
        <v>315</v>
      </c>
      <c r="H5" s="162" t="s">
        <v>317</v>
      </c>
    </row>
    <row r="6" spans="1:8" x14ac:dyDescent="0.15">
      <c r="A6" s="105">
        <v>1552</v>
      </c>
      <c r="B6" s="138" t="str">
        <f>VLOOKUP(A6,[1]characters!$A:$C,3,FALSE)</f>
        <v>Leo02</v>
      </c>
      <c r="C6" s="105" t="s">
        <v>195</v>
      </c>
      <c r="D6" s="138" t="str">
        <f t="shared" ref="D6" si="1">A6&amp;C6</f>
        <v>1552skill</v>
      </c>
      <c r="E6" s="138" t="str">
        <f>A6&amp;+(COUNTIF(A6:A$10000,A6)-1)</f>
        <v>15524</v>
      </c>
      <c r="F6" s="105" t="s">
        <v>186</v>
      </c>
      <c r="G6" s="162" t="s">
        <v>315</v>
      </c>
      <c r="H6" s="162" t="s">
        <v>321</v>
      </c>
    </row>
    <row r="7" spans="1:8" x14ac:dyDescent="0.15">
      <c r="A7" s="105">
        <v>1552</v>
      </c>
      <c r="B7" s="138" t="str">
        <f>VLOOKUP(A7,[1]characters!$A:$C,3,FALSE)</f>
        <v>Leo02</v>
      </c>
      <c r="C7" s="105" t="s">
        <v>198</v>
      </c>
      <c r="D7" s="138" t="str">
        <f>A7&amp;C7</f>
        <v>1552cskill</v>
      </c>
      <c r="E7" s="138" t="str">
        <f>A7&amp;+(COUNTIF(A7:A$10000,A7)-1)</f>
        <v>15523</v>
      </c>
      <c r="F7" s="105" t="s">
        <v>186</v>
      </c>
      <c r="G7" s="162" t="s">
        <v>196</v>
      </c>
      <c r="H7" s="162" t="s">
        <v>318</v>
      </c>
    </row>
    <row r="8" spans="1:8" x14ac:dyDescent="0.15">
      <c r="A8" s="105">
        <v>1552</v>
      </c>
      <c r="B8" s="138" t="str">
        <f>VLOOKUP(A8,[1]characters!$A:$C,3,FALSE)</f>
        <v>Leo02</v>
      </c>
      <c r="C8" s="105" t="s">
        <v>198</v>
      </c>
      <c r="D8" s="138" t="str">
        <f>A8&amp;C8</f>
        <v>1552cskill</v>
      </c>
      <c r="E8" s="138" t="str">
        <f>A8&amp;+(COUNTIF(A8:A$10000,A8)-1)</f>
        <v>15522</v>
      </c>
      <c r="F8" s="105" t="s">
        <v>186</v>
      </c>
      <c r="G8" s="162" t="s">
        <v>315</v>
      </c>
      <c r="H8" s="162" t="s">
        <v>316</v>
      </c>
    </row>
    <row r="9" spans="1:8" x14ac:dyDescent="0.15">
      <c r="A9" s="105">
        <v>1552</v>
      </c>
      <c r="B9" s="138" t="str">
        <f>VLOOKUP(A9,[1]characters!$A:$C,3,FALSE)</f>
        <v>Leo02</v>
      </c>
      <c r="C9" s="105" t="s">
        <v>198</v>
      </c>
      <c r="D9" s="138" t="str">
        <f>A9&amp;C9</f>
        <v>1552cskill</v>
      </c>
      <c r="E9" s="138" t="str">
        <f>A9&amp;+(COUNTIF(A9:A$10000,A9)-1)</f>
        <v>15521</v>
      </c>
      <c r="F9" s="105" t="s">
        <v>186</v>
      </c>
      <c r="G9" s="162" t="s">
        <v>315</v>
      </c>
      <c r="H9" s="162" t="s">
        <v>317</v>
      </c>
    </row>
    <row r="10" spans="1:8" x14ac:dyDescent="0.15">
      <c r="A10" s="105">
        <v>1552</v>
      </c>
      <c r="B10" s="138" t="str">
        <f>VLOOKUP(A10,[1]characters!$A:$C,3,FALSE)</f>
        <v>Leo02</v>
      </c>
      <c r="C10" s="105" t="s">
        <v>198</v>
      </c>
      <c r="D10" s="138" t="str">
        <f>A10&amp;C10</f>
        <v>1552cskill</v>
      </c>
      <c r="E10" s="138" t="str">
        <f>A10&amp;+(COUNTIF(A10:A$10000,A10)-1)</f>
        <v>15520</v>
      </c>
      <c r="F10" s="105" t="s">
        <v>186</v>
      </c>
      <c r="G10" s="162" t="s">
        <v>196</v>
      </c>
      <c r="H10" s="162" t="s">
        <v>320</v>
      </c>
    </row>
    <row r="11" spans="1:8" x14ac:dyDescent="0.15">
      <c r="A11" s="105">
        <v>1553</v>
      </c>
      <c r="B11" s="138" t="str">
        <f>VLOOKUP(A11,[1]characters!$A:$C,3,FALSE)</f>
        <v>Andromeda01</v>
      </c>
      <c r="C11" s="105" t="s">
        <v>195</v>
      </c>
      <c r="D11" s="138" t="str">
        <f t="shared" ref="D11" si="2">A11&amp;C11</f>
        <v>1553skill</v>
      </c>
      <c r="E11" s="138" t="str">
        <f>A11&amp;+(COUNTIF(A11:A$10000,A11)-1)</f>
        <v>15533</v>
      </c>
      <c r="F11" s="105" t="s">
        <v>186</v>
      </c>
      <c r="G11" s="162" t="s">
        <v>315</v>
      </c>
      <c r="H11" s="162" t="s">
        <v>321</v>
      </c>
    </row>
    <row r="12" spans="1:8" x14ac:dyDescent="0.15">
      <c r="A12" s="105">
        <v>1553</v>
      </c>
      <c r="B12" s="138" t="str">
        <f>VLOOKUP(A12,[1]characters!$A:$C,3,FALSE)</f>
        <v>Andromeda01</v>
      </c>
      <c r="C12" s="105" t="s">
        <v>198</v>
      </c>
      <c r="D12" s="138" t="str">
        <f>A12&amp;C12</f>
        <v>1553cskill</v>
      </c>
      <c r="E12" s="138" t="str">
        <f>A12&amp;+(COUNTIF(A12:A$10000,A12)-1)</f>
        <v>15532</v>
      </c>
      <c r="F12" s="105" t="s">
        <v>186</v>
      </c>
      <c r="G12" s="162" t="s">
        <v>196</v>
      </c>
      <c r="H12" s="162" t="s">
        <v>318</v>
      </c>
    </row>
    <row r="13" spans="1:8" x14ac:dyDescent="0.15">
      <c r="A13" s="105">
        <v>1553</v>
      </c>
      <c r="B13" s="138" t="str">
        <f>VLOOKUP(A13,[1]characters!$A:$C,3,FALSE)</f>
        <v>Andromeda01</v>
      </c>
      <c r="C13" s="105" t="s">
        <v>198</v>
      </c>
      <c r="D13" s="138" t="str">
        <f>A13&amp;C13</f>
        <v>1553cskill</v>
      </c>
      <c r="E13" s="138" t="str">
        <f>A13&amp;+(COUNTIF(A13:A$10000,A13)-1)</f>
        <v>15531</v>
      </c>
      <c r="F13" s="105" t="s">
        <v>186</v>
      </c>
      <c r="G13" s="162" t="s">
        <v>315</v>
      </c>
      <c r="H13" s="162" t="s">
        <v>316</v>
      </c>
    </row>
    <row r="14" spans="1:8" x14ac:dyDescent="0.15">
      <c r="A14" s="105">
        <v>1553</v>
      </c>
      <c r="B14" s="138" t="str">
        <f>VLOOKUP(A14,[1]characters!$A:$C,3,FALSE)</f>
        <v>Andromeda01</v>
      </c>
      <c r="C14" s="105" t="s">
        <v>198</v>
      </c>
      <c r="D14" s="138" t="str">
        <f>A14&amp;C14</f>
        <v>1553cskill</v>
      </c>
      <c r="E14" s="138" t="str">
        <f>A14&amp;+(COUNTIF(A14:A$10000,A14)-1)</f>
        <v>15530</v>
      </c>
      <c r="F14" s="105" t="s">
        <v>186</v>
      </c>
      <c r="G14" s="162" t="s">
        <v>315</v>
      </c>
      <c r="H14" s="162" t="s">
        <v>317</v>
      </c>
    </row>
    <row r="15" spans="1:8" x14ac:dyDescent="0.15">
      <c r="A15" s="105">
        <v>1554</v>
      </c>
      <c r="B15" s="138" t="str">
        <f>VLOOKUP(A15,[1]characters!$A:$C,3,FALSE)</f>
        <v>Andromeda02</v>
      </c>
      <c r="C15" s="105" t="s">
        <v>195</v>
      </c>
      <c r="D15" s="138" t="str">
        <f t="shared" ref="D15" si="3">A15&amp;C15</f>
        <v>1554skill</v>
      </c>
      <c r="E15" s="138" t="str">
        <f>A15&amp;+(COUNTIF(A15:A$10000,A15)-1)</f>
        <v>15544</v>
      </c>
      <c r="F15" s="105" t="s">
        <v>186</v>
      </c>
      <c r="G15" s="162" t="s">
        <v>315</v>
      </c>
      <c r="H15" s="162" t="s">
        <v>321</v>
      </c>
    </row>
    <row r="16" spans="1:8" x14ac:dyDescent="0.15">
      <c r="A16" s="105">
        <v>1554</v>
      </c>
      <c r="B16" s="138" t="str">
        <f>VLOOKUP(A16,[1]characters!$A:$C,3,FALSE)</f>
        <v>Andromeda02</v>
      </c>
      <c r="C16" s="105" t="s">
        <v>198</v>
      </c>
      <c r="D16" s="138" t="str">
        <f>A16&amp;C16</f>
        <v>1554cskill</v>
      </c>
      <c r="E16" s="138" t="str">
        <f>A16&amp;+(COUNTIF(A16:A$10000,A16)-1)</f>
        <v>15543</v>
      </c>
      <c r="F16" s="105" t="s">
        <v>186</v>
      </c>
      <c r="G16" s="162" t="s">
        <v>196</v>
      </c>
      <c r="H16" s="162" t="s">
        <v>318</v>
      </c>
    </row>
    <row r="17" spans="1:8" x14ac:dyDescent="0.15">
      <c r="A17" s="105">
        <v>1554</v>
      </c>
      <c r="B17" s="138" t="str">
        <f>VLOOKUP(A17,[1]characters!$A:$C,3,FALSE)</f>
        <v>Andromeda02</v>
      </c>
      <c r="C17" s="105" t="s">
        <v>198</v>
      </c>
      <c r="D17" s="138" t="str">
        <f>A17&amp;C17</f>
        <v>1554cskill</v>
      </c>
      <c r="E17" s="138" t="str">
        <f>A17&amp;+(COUNTIF(A17:A$10000,A17)-1)</f>
        <v>15542</v>
      </c>
      <c r="F17" s="105" t="s">
        <v>186</v>
      </c>
      <c r="G17" s="162" t="s">
        <v>315</v>
      </c>
      <c r="H17" s="162" t="s">
        <v>316</v>
      </c>
    </row>
    <row r="18" spans="1:8" x14ac:dyDescent="0.15">
      <c r="A18" s="105">
        <v>1554</v>
      </c>
      <c r="B18" s="138" t="str">
        <f>VLOOKUP(A18,[1]characters!$A:$C,3,FALSE)</f>
        <v>Andromeda02</v>
      </c>
      <c r="C18" s="105" t="s">
        <v>198</v>
      </c>
      <c r="D18" s="138" t="str">
        <f>A18&amp;C18</f>
        <v>1554cskill</v>
      </c>
      <c r="E18" s="138" t="str">
        <f>A18&amp;+(COUNTIF(A18:A$10000,A18)-1)</f>
        <v>15541</v>
      </c>
      <c r="F18" s="105" t="s">
        <v>186</v>
      </c>
      <c r="G18" s="162" t="s">
        <v>315</v>
      </c>
      <c r="H18" s="162" t="s">
        <v>317</v>
      </c>
    </row>
    <row r="19" spans="1:8" x14ac:dyDescent="0.15">
      <c r="A19" s="105">
        <v>1554</v>
      </c>
      <c r="B19" s="138" t="str">
        <f>VLOOKUP(A19,[1]characters!$A:$C,3,FALSE)</f>
        <v>Andromeda02</v>
      </c>
      <c r="C19" s="105" t="s">
        <v>198</v>
      </c>
      <c r="D19" s="138" t="str">
        <f>A19&amp;C19</f>
        <v>1554cskill</v>
      </c>
      <c r="E19" s="138" t="str">
        <f>A19&amp;+(COUNTIF(A19:A$10000,A19)-1)</f>
        <v>15540</v>
      </c>
      <c r="F19" s="105" t="s">
        <v>186</v>
      </c>
      <c r="G19" s="162" t="s">
        <v>196</v>
      </c>
      <c r="H19" s="162" t="s">
        <v>320</v>
      </c>
    </row>
    <row r="20" spans="1:8" x14ac:dyDescent="0.15">
      <c r="A20" s="105">
        <v>1555</v>
      </c>
      <c r="B20" s="138" t="str">
        <f>VLOOKUP(A20,[1]characters!$A:$C,3,FALSE)</f>
        <v>Taurus01</v>
      </c>
      <c r="C20" s="105" t="s">
        <v>195</v>
      </c>
      <c r="D20" s="138" t="str">
        <f t="shared" ref="D20" si="4">A20&amp;C20</f>
        <v>1555skill</v>
      </c>
      <c r="E20" s="138" t="str">
        <f>A20&amp;+(COUNTIF(A20:A$10000,A20)-1)</f>
        <v>15553</v>
      </c>
      <c r="F20" s="105" t="s">
        <v>186</v>
      </c>
      <c r="G20" s="162" t="s">
        <v>315</v>
      </c>
      <c r="H20" s="162" t="s">
        <v>321</v>
      </c>
    </row>
    <row r="21" spans="1:8" x14ac:dyDescent="0.15">
      <c r="A21" s="105">
        <v>1555</v>
      </c>
      <c r="B21" s="138" t="str">
        <f>VLOOKUP(A21,[1]characters!$A:$C,3,FALSE)</f>
        <v>Taurus01</v>
      </c>
      <c r="C21" s="105" t="s">
        <v>198</v>
      </c>
      <c r="D21" s="138" t="str">
        <f>A21&amp;C21</f>
        <v>1555cskill</v>
      </c>
      <c r="E21" s="138" t="str">
        <f>A21&amp;+(COUNTIF(A21:A$10000,A21)-1)</f>
        <v>15552</v>
      </c>
      <c r="F21" s="105" t="s">
        <v>186</v>
      </c>
      <c r="G21" s="162" t="s">
        <v>196</v>
      </c>
      <c r="H21" s="162" t="s">
        <v>318</v>
      </c>
    </row>
    <row r="22" spans="1:8" x14ac:dyDescent="0.15">
      <c r="A22" s="105">
        <v>1555</v>
      </c>
      <c r="B22" s="138" t="str">
        <f>VLOOKUP(A22,[1]characters!$A:$C,3,FALSE)</f>
        <v>Taurus01</v>
      </c>
      <c r="C22" s="105" t="s">
        <v>198</v>
      </c>
      <c r="D22" s="138" t="str">
        <f>A22&amp;C22</f>
        <v>1555cskill</v>
      </c>
      <c r="E22" s="138" t="str">
        <f>A22&amp;+(COUNTIF(A22:A$10000,A22)-1)</f>
        <v>15551</v>
      </c>
      <c r="F22" s="105" t="s">
        <v>186</v>
      </c>
      <c r="G22" s="162" t="s">
        <v>315</v>
      </c>
      <c r="H22" s="162" t="s">
        <v>316</v>
      </c>
    </row>
    <row r="23" spans="1:8" x14ac:dyDescent="0.15">
      <c r="A23" s="105">
        <v>1555</v>
      </c>
      <c r="B23" s="138" t="str">
        <f>VLOOKUP(A23,[1]characters!$A:$C,3,FALSE)</f>
        <v>Taurus01</v>
      </c>
      <c r="C23" s="105" t="s">
        <v>198</v>
      </c>
      <c r="D23" s="138" t="str">
        <f>A23&amp;C23</f>
        <v>1555cskill</v>
      </c>
      <c r="E23" s="138" t="str">
        <f>A23&amp;+(COUNTIF(A23:A$10000,A23)-1)</f>
        <v>15550</v>
      </c>
      <c r="F23" s="105" t="s">
        <v>186</v>
      </c>
      <c r="G23" s="162" t="s">
        <v>315</v>
      </c>
      <c r="H23" s="162" t="s">
        <v>317</v>
      </c>
    </row>
    <row r="24" spans="1:8" x14ac:dyDescent="0.15">
      <c r="A24" s="105">
        <v>1556</v>
      </c>
      <c r="B24" s="138" t="str">
        <f>VLOOKUP(A24,[1]characters!$A:$C,3,FALSE)</f>
        <v>Capricornus01</v>
      </c>
      <c r="C24" s="105" t="s">
        <v>195</v>
      </c>
      <c r="D24" s="138" t="str">
        <f t="shared" ref="D24" si="5">A24&amp;C24</f>
        <v>1556skill</v>
      </c>
      <c r="E24" s="138" t="str">
        <f>A24&amp;+(COUNTIF(A24:A$10000,A24)-1)</f>
        <v>15563</v>
      </c>
      <c r="F24" s="105" t="s">
        <v>186</v>
      </c>
      <c r="G24" s="162" t="s">
        <v>315</v>
      </c>
      <c r="H24" s="162" t="s">
        <v>321</v>
      </c>
    </row>
    <row r="25" spans="1:8" x14ac:dyDescent="0.15">
      <c r="A25" s="105">
        <v>1556</v>
      </c>
      <c r="B25" s="138" t="str">
        <f>VLOOKUP(A25,[1]characters!$A:$C,3,FALSE)</f>
        <v>Capricornus01</v>
      </c>
      <c r="C25" s="105" t="s">
        <v>198</v>
      </c>
      <c r="D25" s="138" t="str">
        <f>A25&amp;C25</f>
        <v>1556cskill</v>
      </c>
      <c r="E25" s="138" t="str">
        <f>A25&amp;+(COUNTIF(A25:A$10000,A25)-1)</f>
        <v>15562</v>
      </c>
      <c r="F25" s="105" t="s">
        <v>186</v>
      </c>
      <c r="G25" s="162" t="s">
        <v>196</v>
      </c>
      <c r="H25" s="162" t="s">
        <v>318</v>
      </c>
    </row>
    <row r="26" spans="1:8" x14ac:dyDescent="0.15">
      <c r="A26" s="105">
        <v>1556</v>
      </c>
      <c r="B26" s="138" t="str">
        <f>VLOOKUP(A26,[1]characters!$A:$C,3,FALSE)</f>
        <v>Capricornus01</v>
      </c>
      <c r="C26" s="105" t="s">
        <v>198</v>
      </c>
      <c r="D26" s="138" t="str">
        <f>A26&amp;C26</f>
        <v>1556cskill</v>
      </c>
      <c r="E26" s="138" t="str">
        <f>A26&amp;+(COUNTIF(A26:A$10000,A26)-1)</f>
        <v>15561</v>
      </c>
      <c r="F26" s="105" t="s">
        <v>186</v>
      </c>
      <c r="G26" s="162" t="s">
        <v>315</v>
      </c>
      <c r="H26" s="162" t="s">
        <v>316</v>
      </c>
    </row>
    <row r="27" spans="1:8" x14ac:dyDescent="0.15">
      <c r="A27" s="105">
        <v>1556</v>
      </c>
      <c r="B27" s="138" t="str">
        <f>VLOOKUP(A27,[1]characters!$A:$C,3,FALSE)</f>
        <v>Capricornus01</v>
      </c>
      <c r="C27" s="105" t="s">
        <v>198</v>
      </c>
      <c r="D27" s="138" t="str">
        <f>A27&amp;C27</f>
        <v>1556cskill</v>
      </c>
      <c r="E27" s="138" t="str">
        <f>A27&amp;+(COUNTIF(A27:A$10000,A27)-1)</f>
        <v>15560</v>
      </c>
      <c r="F27" s="105" t="s">
        <v>186</v>
      </c>
      <c r="G27" s="162" t="s">
        <v>315</v>
      </c>
      <c r="H27" s="162" t="s">
        <v>317</v>
      </c>
    </row>
    <row r="28" spans="1:8" x14ac:dyDescent="0.15">
      <c r="A28" s="105">
        <v>1557</v>
      </c>
      <c r="B28" s="138" t="str">
        <f>VLOOKUP(A28,[1]characters!$A:$C,3,FALSE)</f>
        <v>Capricornus02</v>
      </c>
      <c r="C28" s="105" t="s">
        <v>195</v>
      </c>
      <c r="D28" s="138" t="str">
        <f t="shared" ref="D28" si="6">A28&amp;C28</f>
        <v>1557skill</v>
      </c>
      <c r="E28" s="138" t="str">
        <f>A28&amp;+(COUNTIF(A28:A$10000,A28)-1)</f>
        <v>15574</v>
      </c>
      <c r="F28" s="105" t="s">
        <v>186</v>
      </c>
      <c r="G28" s="162" t="s">
        <v>315</v>
      </c>
      <c r="H28" s="162" t="s">
        <v>321</v>
      </c>
    </row>
    <row r="29" spans="1:8" x14ac:dyDescent="0.15">
      <c r="A29" s="105">
        <v>1557</v>
      </c>
      <c r="B29" s="138" t="str">
        <f>VLOOKUP(A29,[1]characters!$A:$C,3,FALSE)</f>
        <v>Capricornus02</v>
      </c>
      <c r="C29" s="105" t="s">
        <v>198</v>
      </c>
      <c r="D29" s="138" t="str">
        <f>A29&amp;C29</f>
        <v>1557cskill</v>
      </c>
      <c r="E29" s="138" t="str">
        <f>A29&amp;+(COUNTIF(A29:A$10000,A29)-1)</f>
        <v>15573</v>
      </c>
      <c r="F29" s="105" t="s">
        <v>186</v>
      </c>
      <c r="G29" s="162" t="s">
        <v>196</v>
      </c>
      <c r="H29" s="162" t="s">
        <v>318</v>
      </c>
    </row>
    <row r="30" spans="1:8" x14ac:dyDescent="0.15">
      <c r="A30" s="105">
        <v>1557</v>
      </c>
      <c r="B30" s="138" t="str">
        <f>VLOOKUP(A30,[1]characters!$A:$C,3,FALSE)</f>
        <v>Capricornus02</v>
      </c>
      <c r="C30" s="105" t="s">
        <v>198</v>
      </c>
      <c r="D30" s="138" t="str">
        <f>A30&amp;C30</f>
        <v>1557cskill</v>
      </c>
      <c r="E30" s="138" t="str">
        <f>A30&amp;+(COUNTIF(A30:A$10000,A30)-1)</f>
        <v>15572</v>
      </c>
      <c r="F30" s="105" t="s">
        <v>186</v>
      </c>
      <c r="G30" s="162" t="s">
        <v>315</v>
      </c>
      <c r="H30" s="162" t="s">
        <v>316</v>
      </c>
    </row>
    <row r="31" spans="1:8" x14ac:dyDescent="0.15">
      <c r="A31" s="105">
        <v>1557</v>
      </c>
      <c r="B31" s="138" t="str">
        <f>VLOOKUP(A31,[1]characters!$A:$C,3,FALSE)</f>
        <v>Capricornus02</v>
      </c>
      <c r="C31" s="105" t="s">
        <v>198</v>
      </c>
      <c r="D31" s="138" t="str">
        <f>A31&amp;C31</f>
        <v>1557cskill</v>
      </c>
      <c r="E31" s="138" t="str">
        <f>A31&amp;+(COUNTIF(A31:A$10000,A31)-1)</f>
        <v>15571</v>
      </c>
      <c r="F31" s="105" t="s">
        <v>186</v>
      </c>
      <c r="G31" s="162" t="s">
        <v>315</v>
      </c>
      <c r="H31" s="162" t="s">
        <v>317</v>
      </c>
    </row>
    <row r="32" spans="1:8" x14ac:dyDescent="0.15">
      <c r="A32" s="105">
        <v>1557</v>
      </c>
      <c r="B32" s="138" t="str">
        <f>VLOOKUP(A32,[1]characters!$A:$C,3,FALSE)</f>
        <v>Capricornus02</v>
      </c>
      <c r="C32" s="105" t="s">
        <v>198</v>
      </c>
      <c r="D32" s="138" t="str">
        <f>A32&amp;C32</f>
        <v>1557cskill</v>
      </c>
      <c r="E32" s="138" t="str">
        <f>A32&amp;+(COUNTIF(A32:A$10000,A32)-1)</f>
        <v>15570</v>
      </c>
      <c r="F32" s="105" t="s">
        <v>186</v>
      </c>
      <c r="G32" s="162" t="s">
        <v>196</v>
      </c>
      <c r="H32" s="162" t="s">
        <v>320</v>
      </c>
    </row>
    <row r="33" spans="1:8" x14ac:dyDescent="0.15">
      <c r="A33" s="105">
        <v>1558</v>
      </c>
      <c r="B33" s="138" t="str">
        <f>VLOOKUP(A33,[1]characters!$A:$C,3,FALSE)</f>
        <v>Aries01</v>
      </c>
      <c r="C33" s="105" t="s">
        <v>195</v>
      </c>
      <c r="D33" s="138" t="str">
        <f t="shared" ref="D33" si="7">A33&amp;C33</f>
        <v>1558skill</v>
      </c>
      <c r="E33" s="138" t="str">
        <f>A33&amp;+(COUNTIF(A33:A$10000,A33)-1)</f>
        <v>15583</v>
      </c>
      <c r="F33" s="105" t="s">
        <v>186</v>
      </c>
      <c r="G33" s="162" t="s">
        <v>315</v>
      </c>
      <c r="H33" s="162" t="s">
        <v>321</v>
      </c>
    </row>
    <row r="34" spans="1:8" x14ac:dyDescent="0.15">
      <c r="A34" s="105">
        <v>1558</v>
      </c>
      <c r="B34" s="138" t="str">
        <f>VLOOKUP(A34,[1]characters!$A:$C,3,FALSE)</f>
        <v>Aries01</v>
      </c>
      <c r="C34" s="105" t="s">
        <v>198</v>
      </c>
      <c r="D34" s="138" t="str">
        <f>A34&amp;C34</f>
        <v>1558cskill</v>
      </c>
      <c r="E34" s="138" t="str">
        <f>A34&amp;+(COUNTIF(A34:A$10000,A34)-1)</f>
        <v>15582</v>
      </c>
      <c r="F34" s="105" t="s">
        <v>186</v>
      </c>
      <c r="G34" s="162" t="s">
        <v>196</v>
      </c>
      <c r="H34" s="162" t="s">
        <v>318</v>
      </c>
    </row>
    <row r="35" spans="1:8" x14ac:dyDescent="0.15">
      <c r="A35" s="105">
        <v>1558</v>
      </c>
      <c r="B35" s="138" t="str">
        <f>VLOOKUP(A35,[1]characters!$A:$C,3,FALSE)</f>
        <v>Aries01</v>
      </c>
      <c r="C35" s="105" t="s">
        <v>198</v>
      </c>
      <c r="D35" s="138" t="str">
        <f>A35&amp;C35</f>
        <v>1558cskill</v>
      </c>
      <c r="E35" s="138" t="str">
        <f>A35&amp;+(COUNTIF(A35:A$10000,A35)-1)</f>
        <v>15581</v>
      </c>
      <c r="F35" s="105" t="s">
        <v>186</v>
      </c>
      <c r="G35" s="162" t="s">
        <v>315</v>
      </c>
      <c r="H35" s="162" t="s">
        <v>316</v>
      </c>
    </row>
    <row r="36" spans="1:8" x14ac:dyDescent="0.15">
      <c r="A36" s="105">
        <v>1558</v>
      </c>
      <c r="B36" s="138" t="str">
        <f>VLOOKUP(A36,[1]characters!$A:$C,3,FALSE)</f>
        <v>Aries01</v>
      </c>
      <c r="C36" s="105" t="s">
        <v>198</v>
      </c>
      <c r="D36" s="138" t="str">
        <f>A36&amp;C36</f>
        <v>1558cskill</v>
      </c>
      <c r="E36" s="138" t="str">
        <f>A36&amp;+(COUNTIF(A36:A$10000,A36)-1)</f>
        <v>15580</v>
      </c>
      <c r="F36" s="105" t="s">
        <v>186</v>
      </c>
      <c r="G36" s="162" t="s">
        <v>315</v>
      </c>
      <c r="H36" s="162" t="s">
        <v>317</v>
      </c>
    </row>
    <row r="37" spans="1:8" x14ac:dyDescent="0.15">
      <c r="A37" s="105">
        <v>1559</v>
      </c>
      <c r="B37" s="138" t="str">
        <f>VLOOKUP(A37,[1]characters!$A:$C,3,FALSE)</f>
        <v>Aries02</v>
      </c>
      <c r="C37" s="105" t="s">
        <v>195</v>
      </c>
      <c r="D37" s="138" t="str">
        <f t="shared" ref="D37" si="8">A37&amp;C37</f>
        <v>1559skill</v>
      </c>
      <c r="E37" s="138" t="str">
        <f>A37&amp;+(COUNTIF(A37:A$10000,A37)-1)</f>
        <v>15594</v>
      </c>
      <c r="F37" s="105" t="s">
        <v>186</v>
      </c>
      <c r="G37" s="162" t="s">
        <v>315</v>
      </c>
      <c r="H37" s="162" t="s">
        <v>321</v>
      </c>
    </row>
    <row r="38" spans="1:8" x14ac:dyDescent="0.15">
      <c r="A38" s="105">
        <v>1559</v>
      </c>
      <c r="B38" s="138" t="str">
        <f>VLOOKUP(A38,[1]characters!$A:$C,3,FALSE)</f>
        <v>Aries02</v>
      </c>
      <c r="C38" s="105" t="s">
        <v>198</v>
      </c>
      <c r="D38" s="138" t="str">
        <f>A38&amp;C38</f>
        <v>1559cskill</v>
      </c>
      <c r="E38" s="138" t="str">
        <f>A38&amp;+(COUNTIF(A38:A$10000,A38)-1)</f>
        <v>15593</v>
      </c>
      <c r="F38" s="105" t="s">
        <v>186</v>
      </c>
      <c r="G38" s="162" t="s">
        <v>196</v>
      </c>
      <c r="H38" s="162" t="s">
        <v>318</v>
      </c>
    </row>
    <row r="39" spans="1:8" x14ac:dyDescent="0.15">
      <c r="A39" s="105">
        <v>1559</v>
      </c>
      <c r="B39" s="138" t="str">
        <f>VLOOKUP(A39,[1]characters!$A:$C,3,FALSE)</f>
        <v>Aries02</v>
      </c>
      <c r="C39" s="105" t="s">
        <v>198</v>
      </c>
      <c r="D39" s="138" t="str">
        <f>A39&amp;C39</f>
        <v>1559cskill</v>
      </c>
      <c r="E39" s="138" t="str">
        <f>A39&amp;+(COUNTIF(A39:A$10000,A39)-1)</f>
        <v>15592</v>
      </c>
      <c r="F39" s="105" t="s">
        <v>186</v>
      </c>
      <c r="G39" s="162" t="s">
        <v>315</v>
      </c>
      <c r="H39" s="162" t="s">
        <v>316</v>
      </c>
    </row>
    <row r="40" spans="1:8" x14ac:dyDescent="0.15">
      <c r="A40" s="105">
        <v>1559</v>
      </c>
      <c r="B40" s="138" t="str">
        <f>VLOOKUP(A40,[1]characters!$A:$C,3,FALSE)</f>
        <v>Aries02</v>
      </c>
      <c r="C40" s="105" t="s">
        <v>198</v>
      </c>
      <c r="D40" s="138" t="str">
        <f>A40&amp;C40</f>
        <v>1559cskill</v>
      </c>
      <c r="E40" s="138" t="str">
        <f>A40&amp;+(COUNTIF(A40:A$10000,A40)-1)</f>
        <v>15591</v>
      </c>
      <c r="F40" s="105" t="s">
        <v>186</v>
      </c>
      <c r="G40" s="162" t="s">
        <v>315</v>
      </c>
      <c r="H40" s="162" t="s">
        <v>317</v>
      </c>
    </row>
    <row r="41" spans="1:8" x14ac:dyDescent="0.15">
      <c r="A41" s="105">
        <v>1559</v>
      </c>
      <c r="B41" s="138" t="str">
        <f>VLOOKUP(A41,[1]characters!$A:$C,3,FALSE)</f>
        <v>Aries02</v>
      </c>
      <c r="C41" s="105" t="s">
        <v>198</v>
      </c>
      <c r="D41" s="138" t="str">
        <f>A41&amp;C41</f>
        <v>1559cskill</v>
      </c>
      <c r="E41" s="138" t="str">
        <f>A41&amp;+(COUNTIF(A41:A$10000,A41)-1)</f>
        <v>15590</v>
      </c>
      <c r="F41" s="105" t="s">
        <v>186</v>
      </c>
      <c r="G41" s="162" t="s">
        <v>196</v>
      </c>
      <c r="H41" s="162" t="s">
        <v>320</v>
      </c>
    </row>
    <row r="42" spans="1:8" x14ac:dyDescent="0.15">
      <c r="A42" s="105">
        <v>1560</v>
      </c>
      <c r="B42" s="138" t="str">
        <f>VLOOKUP(A42,[1]characters!$A:$C,3,FALSE)</f>
        <v>Pisces01</v>
      </c>
      <c r="C42" s="105" t="s">
        <v>195</v>
      </c>
      <c r="D42" s="138" t="str">
        <f t="shared" ref="D42" si="9">A42&amp;C42</f>
        <v>1560skill</v>
      </c>
      <c r="E42" s="138" t="str">
        <f>A42&amp;+(COUNTIF(A42:A$10000,A42)-1)</f>
        <v>15603</v>
      </c>
      <c r="F42" s="105" t="s">
        <v>186</v>
      </c>
      <c r="G42" s="162" t="s">
        <v>315</v>
      </c>
      <c r="H42" s="162" t="s">
        <v>321</v>
      </c>
    </row>
    <row r="43" spans="1:8" x14ac:dyDescent="0.15">
      <c r="A43" s="105">
        <v>1560</v>
      </c>
      <c r="B43" s="138" t="str">
        <f>VLOOKUP(A43,[1]characters!$A:$C,3,FALSE)</f>
        <v>Pisces01</v>
      </c>
      <c r="C43" s="105" t="s">
        <v>198</v>
      </c>
      <c r="D43" s="138" t="str">
        <f>A43&amp;C43</f>
        <v>1560cskill</v>
      </c>
      <c r="E43" s="138" t="str">
        <f>A43&amp;+(COUNTIF(A43:A$10000,A43)-1)</f>
        <v>15602</v>
      </c>
      <c r="F43" s="105" t="s">
        <v>186</v>
      </c>
      <c r="G43" s="162" t="s">
        <v>196</v>
      </c>
      <c r="H43" s="162" t="s">
        <v>318</v>
      </c>
    </row>
    <row r="44" spans="1:8" x14ac:dyDescent="0.15">
      <c r="A44" s="105">
        <v>1560</v>
      </c>
      <c r="B44" s="138" t="str">
        <f>VLOOKUP(A44,[1]characters!$A:$C,3,FALSE)</f>
        <v>Pisces01</v>
      </c>
      <c r="C44" s="105" t="s">
        <v>198</v>
      </c>
      <c r="D44" s="138" t="str">
        <f>A44&amp;C44</f>
        <v>1560cskill</v>
      </c>
      <c r="E44" s="138" t="str">
        <f>A44&amp;+(COUNTIF(A44:A$10000,A44)-1)</f>
        <v>15601</v>
      </c>
      <c r="F44" s="105" t="s">
        <v>186</v>
      </c>
      <c r="G44" s="162" t="s">
        <v>315</v>
      </c>
      <c r="H44" s="162" t="s">
        <v>316</v>
      </c>
    </row>
    <row r="45" spans="1:8" x14ac:dyDescent="0.15">
      <c r="A45" s="105">
        <v>1560</v>
      </c>
      <c r="B45" s="138" t="str">
        <f>VLOOKUP(A45,[1]characters!$A:$C,3,FALSE)</f>
        <v>Pisces01</v>
      </c>
      <c r="C45" s="105" t="s">
        <v>198</v>
      </c>
      <c r="D45" s="138" t="str">
        <f>A45&amp;C45</f>
        <v>1560cskill</v>
      </c>
      <c r="E45" s="138" t="str">
        <f>A45&amp;+(COUNTIF(A45:A$10000,A45)-1)</f>
        <v>15600</v>
      </c>
      <c r="F45" s="105" t="s">
        <v>186</v>
      </c>
      <c r="G45" s="162" t="s">
        <v>315</v>
      </c>
      <c r="H45" s="162" t="s">
        <v>317</v>
      </c>
    </row>
    <row r="46" spans="1:8" x14ac:dyDescent="0.15">
      <c r="A46" s="105">
        <v>1561</v>
      </c>
      <c r="B46" s="138" t="str">
        <f>VLOOKUP(A46,[1]characters!$A:$C,3,FALSE)</f>
        <v>Sagittarius01</v>
      </c>
      <c r="C46" s="105" t="s">
        <v>195</v>
      </c>
      <c r="D46" s="138" t="str">
        <f t="shared" ref="D46" si="10">A46&amp;C46</f>
        <v>1561skill</v>
      </c>
      <c r="E46" s="138" t="str">
        <f>A46&amp;+(COUNTIF(A46:A$10000,A46)-1)</f>
        <v>15613</v>
      </c>
      <c r="F46" s="105" t="s">
        <v>186</v>
      </c>
      <c r="G46" s="162" t="s">
        <v>315</v>
      </c>
      <c r="H46" s="162" t="s">
        <v>321</v>
      </c>
    </row>
    <row r="47" spans="1:8" x14ac:dyDescent="0.15">
      <c r="A47" s="105">
        <v>1561</v>
      </c>
      <c r="B47" s="138" t="str">
        <f>VLOOKUP(A47,[1]characters!$A:$C,3,FALSE)</f>
        <v>Sagittarius01</v>
      </c>
      <c r="C47" s="105" t="s">
        <v>198</v>
      </c>
      <c r="D47" s="138" t="str">
        <f>A47&amp;C47</f>
        <v>1561cskill</v>
      </c>
      <c r="E47" s="138" t="str">
        <f>A47&amp;+(COUNTIF(A47:A$10000,A47)-1)</f>
        <v>15612</v>
      </c>
      <c r="F47" s="105" t="s">
        <v>186</v>
      </c>
      <c r="G47" s="162" t="s">
        <v>196</v>
      </c>
      <c r="H47" s="162" t="s">
        <v>318</v>
      </c>
    </row>
    <row r="48" spans="1:8" x14ac:dyDescent="0.15">
      <c r="A48" s="105">
        <v>1561</v>
      </c>
      <c r="B48" s="138" t="str">
        <f>VLOOKUP(A48,[1]characters!$A:$C,3,FALSE)</f>
        <v>Sagittarius01</v>
      </c>
      <c r="C48" s="105" t="s">
        <v>198</v>
      </c>
      <c r="D48" s="138" t="str">
        <f>A48&amp;C48</f>
        <v>1561cskill</v>
      </c>
      <c r="E48" s="138" t="str">
        <f>A48&amp;+(COUNTIF(A48:A$10000,A48)-1)</f>
        <v>15611</v>
      </c>
      <c r="F48" s="105" t="s">
        <v>186</v>
      </c>
      <c r="G48" s="162" t="s">
        <v>315</v>
      </c>
      <c r="H48" s="162" t="s">
        <v>316</v>
      </c>
    </row>
    <row r="49" spans="1:8" x14ac:dyDescent="0.15">
      <c r="A49" s="105">
        <v>1561</v>
      </c>
      <c r="B49" s="138" t="str">
        <f>VLOOKUP(A49,[1]characters!$A:$C,3,FALSE)</f>
        <v>Sagittarius01</v>
      </c>
      <c r="C49" s="105" t="s">
        <v>198</v>
      </c>
      <c r="D49" s="138" t="str">
        <f>A49&amp;C49</f>
        <v>1561cskill</v>
      </c>
      <c r="E49" s="138" t="str">
        <f>A49&amp;+(COUNTIF(A49:A$10000,A49)-1)</f>
        <v>15610</v>
      </c>
      <c r="F49" s="105" t="s">
        <v>186</v>
      </c>
      <c r="G49" s="162" t="s">
        <v>315</v>
      </c>
      <c r="H49" s="162" t="s">
        <v>317</v>
      </c>
    </row>
    <row r="50" spans="1:8" x14ac:dyDescent="0.15">
      <c r="A50" s="105">
        <v>1562</v>
      </c>
      <c r="B50" s="138" t="str">
        <f>VLOOKUP(A50,[1]characters!$A:$C,3,FALSE)</f>
        <v>Sagittarius02</v>
      </c>
      <c r="C50" s="105" t="s">
        <v>195</v>
      </c>
      <c r="D50" s="138" t="str">
        <f t="shared" ref="D50" si="11">A50&amp;C50</f>
        <v>1562skill</v>
      </c>
      <c r="E50" s="138" t="str">
        <f>A50&amp;+(COUNTIF(A50:A$10000,A50)-1)</f>
        <v>15624</v>
      </c>
      <c r="F50" s="105" t="s">
        <v>186</v>
      </c>
      <c r="G50" s="162" t="s">
        <v>315</v>
      </c>
      <c r="H50" s="162" t="s">
        <v>321</v>
      </c>
    </row>
    <row r="51" spans="1:8" x14ac:dyDescent="0.15">
      <c r="A51" s="105">
        <v>1562</v>
      </c>
      <c r="B51" s="138" t="str">
        <f>VLOOKUP(A51,[1]characters!$A:$C,3,FALSE)</f>
        <v>Sagittarius02</v>
      </c>
      <c r="C51" s="105" t="s">
        <v>198</v>
      </c>
      <c r="D51" s="138" t="str">
        <f>A51&amp;C51</f>
        <v>1562cskill</v>
      </c>
      <c r="E51" s="138" t="str">
        <f>A51&amp;+(COUNTIF(A51:A$10000,A51)-1)</f>
        <v>15623</v>
      </c>
      <c r="F51" s="105" t="s">
        <v>186</v>
      </c>
      <c r="G51" s="162" t="s">
        <v>196</v>
      </c>
      <c r="H51" s="162" t="s">
        <v>318</v>
      </c>
    </row>
    <row r="52" spans="1:8" x14ac:dyDescent="0.15">
      <c r="A52" s="105">
        <v>1562</v>
      </c>
      <c r="B52" s="138" t="str">
        <f>VLOOKUP(A52,[1]characters!$A:$C,3,FALSE)</f>
        <v>Sagittarius02</v>
      </c>
      <c r="C52" s="105" t="s">
        <v>198</v>
      </c>
      <c r="D52" s="138" t="str">
        <f>A52&amp;C52</f>
        <v>1562cskill</v>
      </c>
      <c r="E52" s="138" t="str">
        <f>A52&amp;+(COUNTIF(A52:A$10000,A52)-1)</f>
        <v>15622</v>
      </c>
      <c r="F52" s="105" t="s">
        <v>186</v>
      </c>
      <c r="G52" s="162" t="s">
        <v>315</v>
      </c>
      <c r="H52" s="162" t="s">
        <v>316</v>
      </c>
    </row>
    <row r="53" spans="1:8" x14ac:dyDescent="0.15">
      <c r="A53" s="105">
        <v>1562</v>
      </c>
      <c r="B53" s="138" t="str">
        <f>VLOOKUP(A53,[1]characters!$A:$C,3,FALSE)</f>
        <v>Sagittarius02</v>
      </c>
      <c r="C53" s="105" t="s">
        <v>198</v>
      </c>
      <c r="D53" s="138" t="str">
        <f>A53&amp;C53</f>
        <v>1562cskill</v>
      </c>
      <c r="E53" s="138" t="str">
        <f>A53&amp;+(COUNTIF(A53:A$10000,A53)-1)</f>
        <v>15621</v>
      </c>
      <c r="F53" s="105" t="s">
        <v>186</v>
      </c>
      <c r="G53" s="162" t="s">
        <v>315</v>
      </c>
      <c r="H53" s="162" t="s">
        <v>317</v>
      </c>
    </row>
    <row r="54" spans="1:8" x14ac:dyDescent="0.15">
      <c r="A54" s="105">
        <v>1562</v>
      </c>
      <c r="B54" s="138" t="str">
        <f>VLOOKUP(A54,[1]characters!$A:$C,3,FALSE)</f>
        <v>Sagittarius02</v>
      </c>
      <c r="C54" s="105" t="s">
        <v>198</v>
      </c>
      <c r="D54" s="138" t="str">
        <f>A54&amp;C54</f>
        <v>1562cskill</v>
      </c>
      <c r="E54" s="138" t="str">
        <f>A54&amp;+(COUNTIF(A54:A$10000,A54)-1)</f>
        <v>15620</v>
      </c>
      <c r="F54" s="105" t="s">
        <v>186</v>
      </c>
      <c r="G54" s="162" t="s">
        <v>196</v>
      </c>
      <c r="H54" s="162" t="s">
        <v>320</v>
      </c>
    </row>
    <row r="55" spans="1:8" x14ac:dyDescent="0.15">
      <c r="A55" s="105">
        <v>1563</v>
      </c>
      <c r="B55" s="138" t="str">
        <f>VLOOKUP(A55,[1]characters!$A:$C,3,FALSE)</f>
        <v>Cassiopeia01</v>
      </c>
      <c r="C55" s="105" t="s">
        <v>195</v>
      </c>
      <c r="D55" s="138" t="str">
        <f t="shared" ref="D55" si="12">A55&amp;C55</f>
        <v>1563skill</v>
      </c>
      <c r="E55" s="138" t="str">
        <f>A55&amp;+(COUNTIF(A55:A$10000,A55)-1)</f>
        <v>15633</v>
      </c>
      <c r="F55" s="105" t="s">
        <v>186</v>
      </c>
      <c r="G55" s="162" t="s">
        <v>315</v>
      </c>
      <c r="H55" s="162" t="s">
        <v>321</v>
      </c>
    </row>
    <row r="56" spans="1:8" x14ac:dyDescent="0.15">
      <c r="A56" s="105">
        <v>1563</v>
      </c>
      <c r="B56" s="138" t="str">
        <f>VLOOKUP(A56,[1]characters!$A:$C,3,FALSE)</f>
        <v>Cassiopeia01</v>
      </c>
      <c r="C56" s="105" t="s">
        <v>198</v>
      </c>
      <c r="D56" s="138" t="str">
        <f>A56&amp;C56</f>
        <v>1563cskill</v>
      </c>
      <c r="E56" s="138" t="str">
        <f>A56&amp;+(COUNTIF(A56:A$10000,A56)-1)</f>
        <v>15632</v>
      </c>
      <c r="F56" s="105" t="s">
        <v>186</v>
      </c>
      <c r="G56" s="162" t="s">
        <v>196</v>
      </c>
      <c r="H56" s="162" t="s">
        <v>318</v>
      </c>
    </row>
    <row r="57" spans="1:8" x14ac:dyDescent="0.15">
      <c r="A57" s="105">
        <v>1563</v>
      </c>
      <c r="B57" s="138" t="str">
        <f>VLOOKUP(A57,[1]characters!$A:$C,3,FALSE)</f>
        <v>Cassiopeia01</v>
      </c>
      <c r="C57" s="105" t="s">
        <v>198</v>
      </c>
      <c r="D57" s="138" t="str">
        <f>A57&amp;C57</f>
        <v>1563cskill</v>
      </c>
      <c r="E57" s="138" t="str">
        <f>A57&amp;+(COUNTIF(A57:A$10000,A57)-1)</f>
        <v>15631</v>
      </c>
      <c r="F57" s="105" t="s">
        <v>186</v>
      </c>
      <c r="G57" s="162" t="s">
        <v>315</v>
      </c>
      <c r="H57" s="162" t="s">
        <v>316</v>
      </c>
    </row>
    <row r="58" spans="1:8" x14ac:dyDescent="0.15">
      <c r="A58" s="105">
        <v>1563</v>
      </c>
      <c r="B58" s="138" t="str">
        <f>VLOOKUP(A58,[1]characters!$A:$C,3,FALSE)</f>
        <v>Cassiopeia01</v>
      </c>
      <c r="C58" s="105" t="s">
        <v>198</v>
      </c>
      <c r="D58" s="138" t="str">
        <f>A58&amp;C58</f>
        <v>1563cskill</v>
      </c>
      <c r="E58" s="138" t="str">
        <f>A58&amp;+(COUNTIF(A58:A$10000,A58)-1)</f>
        <v>15630</v>
      </c>
      <c r="F58" s="105" t="s">
        <v>186</v>
      </c>
      <c r="G58" s="162" t="s">
        <v>315</v>
      </c>
      <c r="H58" s="162" t="s">
        <v>317</v>
      </c>
    </row>
    <row r="59" spans="1:8" x14ac:dyDescent="0.15">
      <c r="A59" s="105">
        <v>1564</v>
      </c>
      <c r="B59" s="138" t="str">
        <f>VLOOKUP(A59,[1]characters!$A:$C,3,FALSE)</f>
        <v>Cassiopeia02</v>
      </c>
      <c r="C59" s="105" t="s">
        <v>195</v>
      </c>
      <c r="D59" s="138" t="str">
        <f t="shared" ref="D59" si="13">A59&amp;C59</f>
        <v>1564skill</v>
      </c>
      <c r="E59" s="138" t="str">
        <f>A59&amp;+(COUNTIF(A59:A$10000,A59)-1)</f>
        <v>15644</v>
      </c>
      <c r="F59" s="105" t="s">
        <v>186</v>
      </c>
      <c r="G59" s="162" t="s">
        <v>315</v>
      </c>
      <c r="H59" s="162" t="s">
        <v>321</v>
      </c>
    </row>
    <row r="60" spans="1:8" x14ac:dyDescent="0.15">
      <c r="A60" s="105">
        <v>1564</v>
      </c>
      <c r="B60" s="138" t="str">
        <f>VLOOKUP(A60,[1]characters!$A:$C,3,FALSE)</f>
        <v>Cassiopeia02</v>
      </c>
      <c r="C60" s="105" t="s">
        <v>198</v>
      </c>
      <c r="D60" s="138" t="str">
        <f>A60&amp;C60</f>
        <v>1564cskill</v>
      </c>
      <c r="E60" s="138" t="str">
        <f>A60&amp;+(COUNTIF(A60:A$10000,A60)-1)</f>
        <v>15643</v>
      </c>
      <c r="F60" s="105" t="s">
        <v>186</v>
      </c>
      <c r="G60" s="162" t="s">
        <v>196</v>
      </c>
      <c r="H60" s="162" t="s">
        <v>318</v>
      </c>
    </row>
    <row r="61" spans="1:8" x14ac:dyDescent="0.15">
      <c r="A61" s="105">
        <v>1564</v>
      </c>
      <c r="B61" s="138" t="str">
        <f>VLOOKUP(A61,[1]characters!$A:$C,3,FALSE)</f>
        <v>Cassiopeia02</v>
      </c>
      <c r="C61" s="105" t="s">
        <v>198</v>
      </c>
      <c r="D61" s="138" t="str">
        <f>A61&amp;C61</f>
        <v>1564cskill</v>
      </c>
      <c r="E61" s="138" t="str">
        <f>A61&amp;+(COUNTIF(A61:A$10000,A61)-1)</f>
        <v>15642</v>
      </c>
      <c r="F61" s="105" t="s">
        <v>186</v>
      </c>
      <c r="G61" s="162" t="s">
        <v>315</v>
      </c>
      <c r="H61" s="162" t="s">
        <v>316</v>
      </c>
    </row>
    <row r="62" spans="1:8" x14ac:dyDescent="0.15">
      <c r="A62" s="105">
        <v>1564</v>
      </c>
      <c r="B62" s="138" t="str">
        <f>VLOOKUP(A62,[1]characters!$A:$C,3,FALSE)</f>
        <v>Cassiopeia02</v>
      </c>
      <c r="C62" s="105" t="s">
        <v>198</v>
      </c>
      <c r="D62" s="138" t="str">
        <f>A62&amp;C62</f>
        <v>1564cskill</v>
      </c>
      <c r="E62" s="138" t="str">
        <f>A62&amp;+(COUNTIF(A62:A$10000,A62)-1)</f>
        <v>15641</v>
      </c>
      <c r="F62" s="105" t="s">
        <v>186</v>
      </c>
      <c r="G62" s="162" t="s">
        <v>315</v>
      </c>
      <c r="H62" s="162" t="s">
        <v>317</v>
      </c>
    </row>
    <row r="63" spans="1:8" x14ac:dyDescent="0.15">
      <c r="A63" s="105">
        <v>1564</v>
      </c>
      <c r="B63" s="138" t="str">
        <f>VLOOKUP(A63,[1]characters!$A:$C,3,FALSE)</f>
        <v>Cassiopeia02</v>
      </c>
      <c r="C63" s="105" t="s">
        <v>198</v>
      </c>
      <c r="D63" s="138" t="str">
        <f>A63&amp;C63</f>
        <v>1564cskill</v>
      </c>
      <c r="E63" s="138" t="str">
        <f>A63&amp;+(COUNTIF(A63:A$10000,A63)-1)</f>
        <v>15640</v>
      </c>
      <c r="F63" s="105" t="s">
        <v>186</v>
      </c>
      <c r="G63" s="162" t="s">
        <v>196</v>
      </c>
      <c r="H63" s="162" t="s">
        <v>320</v>
      </c>
    </row>
    <row r="64" spans="1:8" x14ac:dyDescent="0.15">
      <c r="A64" s="105">
        <v>1565</v>
      </c>
      <c r="B64" s="138" t="str">
        <f>VLOOKUP(A64,[1]characters!$A:$C,3,FALSE)</f>
        <v>Aquila01</v>
      </c>
      <c r="C64" s="105" t="s">
        <v>195</v>
      </c>
      <c r="D64" s="138" t="str">
        <f t="shared" ref="D64" si="14">A64&amp;C64</f>
        <v>1565skill</v>
      </c>
      <c r="E64" s="138" t="str">
        <f>A64&amp;+(COUNTIF(A64:A$10000,A64)-1)</f>
        <v>15653</v>
      </c>
      <c r="F64" s="105" t="s">
        <v>186</v>
      </c>
      <c r="G64" s="162" t="s">
        <v>315</v>
      </c>
      <c r="H64" s="162" t="s">
        <v>321</v>
      </c>
    </row>
    <row r="65" spans="1:8" x14ac:dyDescent="0.15">
      <c r="A65" s="105">
        <v>1565</v>
      </c>
      <c r="B65" s="138" t="str">
        <f>VLOOKUP(A65,[1]characters!$A:$C,3,FALSE)</f>
        <v>Aquila01</v>
      </c>
      <c r="C65" s="105" t="s">
        <v>198</v>
      </c>
      <c r="D65" s="138" t="str">
        <f>A65&amp;C65</f>
        <v>1565cskill</v>
      </c>
      <c r="E65" s="138" t="str">
        <f>A65&amp;+(COUNTIF(A65:A$10000,A65)-1)</f>
        <v>15652</v>
      </c>
      <c r="F65" s="105" t="s">
        <v>186</v>
      </c>
      <c r="G65" s="162" t="s">
        <v>196</v>
      </c>
      <c r="H65" s="162" t="s">
        <v>318</v>
      </c>
    </row>
    <row r="66" spans="1:8" x14ac:dyDescent="0.15">
      <c r="A66" s="105">
        <v>1565</v>
      </c>
      <c r="B66" s="138" t="str">
        <f>VLOOKUP(A66,[1]characters!$A:$C,3,FALSE)</f>
        <v>Aquila01</v>
      </c>
      <c r="C66" s="105" t="s">
        <v>198</v>
      </c>
      <c r="D66" s="138" t="str">
        <f>A66&amp;C66</f>
        <v>1565cskill</v>
      </c>
      <c r="E66" s="138" t="str">
        <f>A66&amp;+(COUNTIF(A66:A$10000,A66)-1)</f>
        <v>15651</v>
      </c>
      <c r="F66" s="105" t="s">
        <v>186</v>
      </c>
      <c r="G66" s="162" t="s">
        <v>315</v>
      </c>
      <c r="H66" s="162" t="s">
        <v>316</v>
      </c>
    </row>
    <row r="67" spans="1:8" x14ac:dyDescent="0.15">
      <c r="A67" s="105">
        <v>1565</v>
      </c>
      <c r="B67" s="138" t="str">
        <f>VLOOKUP(A67,[1]characters!$A:$C,3,FALSE)</f>
        <v>Aquila01</v>
      </c>
      <c r="C67" s="105" t="s">
        <v>198</v>
      </c>
      <c r="D67" s="138" t="str">
        <f>A67&amp;C67</f>
        <v>1565cskill</v>
      </c>
      <c r="E67" s="138" t="str">
        <f>A67&amp;+(COUNTIF(A67:A$10000,A67)-1)</f>
        <v>15650</v>
      </c>
      <c r="F67" s="105" t="s">
        <v>186</v>
      </c>
      <c r="G67" s="162" t="s">
        <v>315</v>
      </c>
      <c r="H67" s="162" t="s">
        <v>317</v>
      </c>
    </row>
    <row r="68" spans="1:8" x14ac:dyDescent="0.15">
      <c r="A68" s="105">
        <v>1566</v>
      </c>
      <c r="B68" s="138" t="str">
        <f>VLOOKUP(A68,[1]characters!$A:$C,3,FALSE)</f>
        <v>Phoenix01</v>
      </c>
      <c r="C68" s="105" t="s">
        <v>195</v>
      </c>
      <c r="D68" s="138" t="str">
        <f t="shared" ref="D68" si="15">A68&amp;C68</f>
        <v>1566skill</v>
      </c>
      <c r="E68" s="138" t="str">
        <f>A68&amp;+(COUNTIF(A68:A$10000,A68)-1)</f>
        <v>15663</v>
      </c>
      <c r="F68" s="105" t="s">
        <v>186</v>
      </c>
      <c r="G68" s="162" t="s">
        <v>315</v>
      </c>
      <c r="H68" s="162" t="s">
        <v>321</v>
      </c>
    </row>
    <row r="69" spans="1:8" x14ac:dyDescent="0.15">
      <c r="A69" s="105">
        <v>1566</v>
      </c>
      <c r="B69" s="138" t="str">
        <f>VLOOKUP(A69,[1]characters!$A:$C,3,FALSE)</f>
        <v>Phoenix01</v>
      </c>
      <c r="C69" s="105" t="s">
        <v>198</v>
      </c>
      <c r="D69" s="138" t="str">
        <f>A69&amp;C69</f>
        <v>1566cskill</v>
      </c>
      <c r="E69" s="138" t="str">
        <f>A69&amp;+(COUNTIF(A69:A$10000,A69)-1)</f>
        <v>15662</v>
      </c>
      <c r="F69" s="105" t="s">
        <v>186</v>
      </c>
      <c r="G69" s="162" t="s">
        <v>196</v>
      </c>
      <c r="H69" s="162" t="s">
        <v>318</v>
      </c>
    </row>
    <row r="70" spans="1:8" x14ac:dyDescent="0.15">
      <c r="A70" s="105">
        <v>1566</v>
      </c>
      <c r="B70" s="138" t="str">
        <f>VLOOKUP(A70,[1]characters!$A:$C,3,FALSE)</f>
        <v>Phoenix01</v>
      </c>
      <c r="C70" s="105" t="s">
        <v>198</v>
      </c>
      <c r="D70" s="138" t="str">
        <f>A70&amp;C70</f>
        <v>1566cskill</v>
      </c>
      <c r="E70" s="138" t="str">
        <f>A70&amp;+(COUNTIF(A70:A$10000,A70)-1)</f>
        <v>15661</v>
      </c>
      <c r="F70" s="105" t="s">
        <v>186</v>
      </c>
      <c r="G70" s="162" t="s">
        <v>315</v>
      </c>
      <c r="H70" s="162" t="s">
        <v>316</v>
      </c>
    </row>
    <row r="71" spans="1:8" x14ac:dyDescent="0.15">
      <c r="A71" s="105">
        <v>1566</v>
      </c>
      <c r="B71" s="138" t="str">
        <f>VLOOKUP(A71,[1]characters!$A:$C,3,FALSE)</f>
        <v>Phoenix01</v>
      </c>
      <c r="C71" s="105" t="s">
        <v>198</v>
      </c>
      <c r="D71" s="138" t="str">
        <f>A71&amp;C71</f>
        <v>1566cskill</v>
      </c>
      <c r="E71" s="138" t="str">
        <f>A71&amp;+(COUNTIF(A71:A$10000,A71)-1)</f>
        <v>15660</v>
      </c>
      <c r="F71" s="105" t="s">
        <v>186</v>
      </c>
      <c r="G71" s="162" t="s">
        <v>315</v>
      </c>
      <c r="H71" s="162" t="s">
        <v>317</v>
      </c>
    </row>
    <row r="72" spans="1:8" x14ac:dyDescent="0.15">
      <c r="A72" s="105">
        <v>1567</v>
      </c>
      <c r="B72" s="138" t="str">
        <f>VLOOKUP(A72,[1]characters!$A:$C,3,FALSE)</f>
        <v>Phoenix02</v>
      </c>
      <c r="C72" s="105" t="s">
        <v>195</v>
      </c>
      <c r="D72" s="138" t="str">
        <f t="shared" ref="D72" si="16">A72&amp;C72</f>
        <v>1567skill</v>
      </c>
      <c r="E72" s="138" t="str">
        <f>A72&amp;+(COUNTIF(A72:A$10000,A72)-1)</f>
        <v>15674</v>
      </c>
      <c r="F72" s="105" t="s">
        <v>186</v>
      </c>
      <c r="G72" s="162" t="s">
        <v>315</v>
      </c>
      <c r="H72" s="162" t="s">
        <v>321</v>
      </c>
    </row>
    <row r="73" spans="1:8" x14ac:dyDescent="0.15">
      <c r="A73" s="105">
        <v>1567</v>
      </c>
      <c r="B73" s="138" t="str">
        <f>VLOOKUP(A73,[1]characters!$A:$C,3,FALSE)</f>
        <v>Phoenix02</v>
      </c>
      <c r="C73" s="105" t="s">
        <v>198</v>
      </c>
      <c r="D73" s="138" t="str">
        <f>A73&amp;C73</f>
        <v>1567cskill</v>
      </c>
      <c r="E73" s="138" t="str">
        <f>A73&amp;+(COUNTIF(A73:A$10000,A73)-1)</f>
        <v>15673</v>
      </c>
      <c r="F73" s="105" t="s">
        <v>186</v>
      </c>
      <c r="G73" s="162" t="s">
        <v>196</v>
      </c>
      <c r="H73" s="162" t="s">
        <v>318</v>
      </c>
    </row>
    <row r="74" spans="1:8" x14ac:dyDescent="0.15">
      <c r="A74" s="105">
        <v>1567</v>
      </c>
      <c r="B74" s="138" t="str">
        <f>VLOOKUP(A74,[1]characters!$A:$C,3,FALSE)</f>
        <v>Phoenix02</v>
      </c>
      <c r="C74" s="105" t="s">
        <v>198</v>
      </c>
      <c r="D74" s="138" t="str">
        <f>A74&amp;C74</f>
        <v>1567cskill</v>
      </c>
      <c r="E74" s="138" t="str">
        <f>A74&amp;+(COUNTIF(A74:A$10000,A74)-1)</f>
        <v>15672</v>
      </c>
      <c r="F74" s="105" t="s">
        <v>186</v>
      </c>
      <c r="G74" s="162" t="s">
        <v>315</v>
      </c>
      <c r="H74" s="162" t="s">
        <v>316</v>
      </c>
    </row>
    <row r="75" spans="1:8" x14ac:dyDescent="0.15">
      <c r="A75" s="105">
        <v>1567</v>
      </c>
      <c r="B75" s="138" t="str">
        <f>VLOOKUP(A75,[1]characters!$A:$C,3,FALSE)</f>
        <v>Phoenix02</v>
      </c>
      <c r="C75" s="105" t="s">
        <v>198</v>
      </c>
      <c r="D75" s="138" t="str">
        <f>A75&amp;C75</f>
        <v>1567cskill</v>
      </c>
      <c r="E75" s="138" t="str">
        <f>A75&amp;+(COUNTIF(A75:A$10000,A75)-1)</f>
        <v>15671</v>
      </c>
      <c r="F75" s="105" t="s">
        <v>186</v>
      </c>
      <c r="G75" s="162" t="s">
        <v>315</v>
      </c>
      <c r="H75" s="162" t="s">
        <v>317</v>
      </c>
    </row>
    <row r="76" spans="1:8" x14ac:dyDescent="0.15">
      <c r="A76" s="105">
        <v>1567</v>
      </c>
      <c r="B76" s="138" t="str">
        <f>VLOOKUP(A76,[1]characters!$A:$C,3,FALSE)</f>
        <v>Phoenix02</v>
      </c>
      <c r="C76" s="105" t="s">
        <v>198</v>
      </c>
      <c r="D76" s="138" t="str">
        <f>A76&amp;C76</f>
        <v>1567cskill</v>
      </c>
      <c r="E76" s="138" t="str">
        <f>A76&amp;+(COUNTIF(A76:A$10000,A76)-1)</f>
        <v>15670</v>
      </c>
      <c r="F76" s="105" t="s">
        <v>186</v>
      </c>
      <c r="G76" s="162" t="s">
        <v>196</v>
      </c>
      <c r="H76" s="162" t="s">
        <v>320</v>
      </c>
    </row>
    <row r="77" spans="1:8" x14ac:dyDescent="0.15">
      <c r="A77" s="105">
        <v>1568</v>
      </c>
      <c r="B77" s="138" t="str">
        <f>VLOOKUP(A77,[1]characters!$A:$C,3,FALSE)</f>
        <v>Orion01</v>
      </c>
      <c r="C77" s="105" t="s">
        <v>195</v>
      </c>
      <c r="D77" s="138" t="str">
        <f t="shared" ref="D77" si="17">A77&amp;C77</f>
        <v>1568skill</v>
      </c>
      <c r="E77" s="138" t="str">
        <f>A77&amp;+(COUNTIF(A77:A$10000,A77)-1)</f>
        <v>15683</v>
      </c>
      <c r="F77" s="105" t="s">
        <v>186</v>
      </c>
      <c r="G77" s="162" t="s">
        <v>315</v>
      </c>
      <c r="H77" s="162" t="s">
        <v>321</v>
      </c>
    </row>
    <row r="78" spans="1:8" x14ac:dyDescent="0.15">
      <c r="A78" s="105">
        <v>1568</v>
      </c>
      <c r="B78" s="138" t="str">
        <f>VLOOKUP(A78,[1]characters!$A:$C,3,FALSE)</f>
        <v>Orion01</v>
      </c>
      <c r="C78" s="105" t="s">
        <v>198</v>
      </c>
      <c r="D78" s="138" t="str">
        <f>A78&amp;C78</f>
        <v>1568cskill</v>
      </c>
      <c r="E78" s="138" t="str">
        <f>A78&amp;+(COUNTIF(A78:A$10000,A78)-1)</f>
        <v>15682</v>
      </c>
      <c r="F78" s="105" t="s">
        <v>186</v>
      </c>
      <c r="G78" s="162" t="s">
        <v>196</v>
      </c>
      <c r="H78" s="162" t="s">
        <v>318</v>
      </c>
    </row>
    <row r="79" spans="1:8" x14ac:dyDescent="0.15">
      <c r="A79" s="105">
        <v>1568</v>
      </c>
      <c r="B79" s="138" t="str">
        <f>VLOOKUP(A79,[1]characters!$A:$C,3,FALSE)</f>
        <v>Orion01</v>
      </c>
      <c r="C79" s="105" t="s">
        <v>198</v>
      </c>
      <c r="D79" s="138" t="str">
        <f>A79&amp;C79</f>
        <v>1568cskill</v>
      </c>
      <c r="E79" s="138" t="str">
        <f>A79&amp;+(COUNTIF(A79:A$10000,A79)-1)</f>
        <v>15681</v>
      </c>
      <c r="F79" s="105" t="s">
        <v>186</v>
      </c>
      <c r="G79" s="162" t="s">
        <v>315</v>
      </c>
      <c r="H79" s="162" t="s">
        <v>316</v>
      </c>
    </row>
    <row r="80" spans="1:8" x14ac:dyDescent="0.15">
      <c r="A80" s="105">
        <v>1568</v>
      </c>
      <c r="B80" s="138" t="str">
        <f>VLOOKUP(A80,[1]characters!$A:$C,3,FALSE)</f>
        <v>Orion01</v>
      </c>
      <c r="C80" s="105" t="s">
        <v>198</v>
      </c>
      <c r="D80" s="138" t="str">
        <f>A80&amp;C80</f>
        <v>1568cskill</v>
      </c>
      <c r="E80" s="138" t="str">
        <f>A80&amp;+(COUNTIF(A80:A$10000,A80)-1)</f>
        <v>15680</v>
      </c>
      <c r="F80" s="105" t="s">
        <v>186</v>
      </c>
      <c r="G80" s="162" t="s">
        <v>315</v>
      </c>
      <c r="H80" s="162" t="s">
        <v>317</v>
      </c>
    </row>
    <row r="81" spans="1:8" x14ac:dyDescent="0.15">
      <c r="A81" s="105">
        <v>1569</v>
      </c>
      <c r="B81" s="138" t="str">
        <f>VLOOKUP(A81,[1]characters!$A:$C,3,FALSE)</f>
        <v>Orion02</v>
      </c>
      <c r="C81" s="105" t="s">
        <v>195</v>
      </c>
      <c r="D81" s="138" t="str">
        <f t="shared" ref="D81" si="18">A81&amp;C81</f>
        <v>1569skill</v>
      </c>
      <c r="E81" s="138" t="str">
        <f>A81&amp;+(COUNTIF(A81:A$10000,A81)-1)</f>
        <v>15694</v>
      </c>
      <c r="F81" s="105" t="s">
        <v>186</v>
      </c>
      <c r="G81" s="162" t="s">
        <v>315</v>
      </c>
      <c r="H81" s="162" t="s">
        <v>321</v>
      </c>
    </row>
    <row r="82" spans="1:8" x14ac:dyDescent="0.15">
      <c r="A82" s="105">
        <v>1569</v>
      </c>
      <c r="B82" s="138" t="str">
        <f>VLOOKUP(A82,[1]characters!$A:$C,3,FALSE)</f>
        <v>Orion02</v>
      </c>
      <c r="C82" s="105" t="s">
        <v>198</v>
      </c>
      <c r="D82" s="138" t="str">
        <f>A82&amp;C82</f>
        <v>1569cskill</v>
      </c>
      <c r="E82" s="138" t="str">
        <f>A82&amp;+(COUNTIF(A82:A$10000,A82)-1)</f>
        <v>15693</v>
      </c>
      <c r="F82" s="105" t="s">
        <v>186</v>
      </c>
      <c r="G82" s="162" t="s">
        <v>196</v>
      </c>
      <c r="H82" s="162" t="s">
        <v>318</v>
      </c>
    </row>
    <row r="83" spans="1:8" x14ac:dyDescent="0.15">
      <c r="A83" s="105">
        <v>1569</v>
      </c>
      <c r="B83" s="138" t="str">
        <f>VLOOKUP(A83,[1]characters!$A:$C,3,FALSE)</f>
        <v>Orion02</v>
      </c>
      <c r="C83" s="105" t="s">
        <v>198</v>
      </c>
      <c r="D83" s="138" t="str">
        <f>A83&amp;C83</f>
        <v>1569cskill</v>
      </c>
      <c r="E83" s="138" t="str">
        <f>A83&amp;+(COUNTIF(A83:A$10000,A83)-1)</f>
        <v>15692</v>
      </c>
      <c r="F83" s="105" t="s">
        <v>186</v>
      </c>
      <c r="G83" s="162" t="s">
        <v>315</v>
      </c>
      <c r="H83" s="162" t="s">
        <v>316</v>
      </c>
    </row>
    <row r="84" spans="1:8" x14ac:dyDescent="0.15">
      <c r="A84" s="105">
        <v>1569</v>
      </c>
      <c r="B84" s="138" t="str">
        <f>VLOOKUP(A84,[1]characters!$A:$C,3,FALSE)</f>
        <v>Orion02</v>
      </c>
      <c r="C84" s="105" t="s">
        <v>198</v>
      </c>
      <c r="D84" s="138" t="str">
        <f>A84&amp;C84</f>
        <v>1569cskill</v>
      </c>
      <c r="E84" s="138" t="str">
        <f>A84&amp;+(COUNTIF(A84:A$10000,A84)-1)</f>
        <v>15691</v>
      </c>
      <c r="F84" s="105" t="s">
        <v>186</v>
      </c>
      <c r="G84" s="162" t="s">
        <v>315</v>
      </c>
      <c r="H84" s="162" t="s">
        <v>317</v>
      </c>
    </row>
    <row r="85" spans="1:8" x14ac:dyDescent="0.15">
      <c r="A85" s="105">
        <v>1569</v>
      </c>
      <c r="B85" s="138" t="str">
        <f>VLOOKUP(A85,[1]characters!$A:$C,3,FALSE)</f>
        <v>Orion02</v>
      </c>
      <c r="C85" s="105" t="s">
        <v>198</v>
      </c>
      <c r="D85" s="138" t="str">
        <f>A85&amp;C85</f>
        <v>1569cskill</v>
      </c>
      <c r="E85" s="138" t="str">
        <f>A85&amp;+(COUNTIF(A85:A$10000,A85)-1)</f>
        <v>15690</v>
      </c>
      <c r="F85" s="105" t="s">
        <v>186</v>
      </c>
      <c r="G85" s="162" t="s">
        <v>196</v>
      </c>
      <c r="H85" s="162" t="s">
        <v>320</v>
      </c>
    </row>
    <row r="86" spans="1:8" x14ac:dyDescent="0.15">
      <c r="A86" s="105">
        <v>1570</v>
      </c>
      <c r="B86" s="138" t="str">
        <f>VLOOKUP(A86,[1]characters!$A:$C,3,FALSE)</f>
        <v>Centaurus01</v>
      </c>
      <c r="C86" s="105" t="s">
        <v>195</v>
      </c>
      <c r="D86" s="138" t="str">
        <f t="shared" ref="D86" si="19">A86&amp;C86</f>
        <v>1570skill</v>
      </c>
      <c r="E86" s="138" t="str">
        <f>A86&amp;+(COUNTIF(A86:A$10000,A86)-1)</f>
        <v>15703</v>
      </c>
      <c r="F86" s="105" t="s">
        <v>186</v>
      </c>
      <c r="G86" s="162" t="s">
        <v>315</v>
      </c>
      <c r="H86" s="162" t="s">
        <v>321</v>
      </c>
    </row>
    <row r="87" spans="1:8" x14ac:dyDescent="0.15">
      <c r="A87" s="105">
        <v>1570</v>
      </c>
      <c r="B87" s="138" t="str">
        <f>VLOOKUP(A87,[1]characters!$A:$C,3,FALSE)</f>
        <v>Centaurus01</v>
      </c>
      <c r="C87" s="105" t="s">
        <v>198</v>
      </c>
      <c r="D87" s="138" t="str">
        <f>A87&amp;C87</f>
        <v>1570cskill</v>
      </c>
      <c r="E87" s="138" t="str">
        <f>A87&amp;+(COUNTIF(A87:A$10000,A87)-1)</f>
        <v>15702</v>
      </c>
      <c r="F87" s="105" t="s">
        <v>186</v>
      </c>
      <c r="G87" s="162" t="s">
        <v>196</v>
      </c>
      <c r="H87" s="162" t="s">
        <v>318</v>
      </c>
    </row>
    <row r="88" spans="1:8" x14ac:dyDescent="0.15">
      <c r="A88" s="105">
        <v>1570</v>
      </c>
      <c r="B88" s="138" t="str">
        <f>VLOOKUP(A88,[1]characters!$A:$C,3,FALSE)</f>
        <v>Centaurus01</v>
      </c>
      <c r="C88" s="105" t="s">
        <v>198</v>
      </c>
      <c r="D88" s="138" t="str">
        <f>A88&amp;C88</f>
        <v>1570cskill</v>
      </c>
      <c r="E88" s="138" t="str">
        <f>A88&amp;+(COUNTIF(A88:A$10000,A88)-1)</f>
        <v>15701</v>
      </c>
      <c r="F88" s="105" t="s">
        <v>186</v>
      </c>
      <c r="G88" s="162" t="s">
        <v>315</v>
      </c>
      <c r="H88" s="162" t="s">
        <v>316</v>
      </c>
    </row>
    <row r="89" spans="1:8" x14ac:dyDescent="0.15">
      <c r="A89" s="105">
        <v>1570</v>
      </c>
      <c r="B89" s="138" t="str">
        <f>VLOOKUP(A89,[1]characters!$A:$C,3,FALSE)</f>
        <v>Centaurus01</v>
      </c>
      <c r="C89" s="105" t="s">
        <v>198</v>
      </c>
      <c r="D89" s="138" t="str">
        <f>A89&amp;C89</f>
        <v>1570cskill</v>
      </c>
      <c r="E89" s="138" t="str">
        <f>A89&amp;+(COUNTIF(A89:A$10000,A89)-1)</f>
        <v>15700</v>
      </c>
      <c r="F89" s="105" t="s">
        <v>186</v>
      </c>
      <c r="G89" s="162" t="s">
        <v>315</v>
      </c>
      <c r="H89" s="162" t="s">
        <v>317</v>
      </c>
    </row>
    <row r="90" spans="1:8" x14ac:dyDescent="0.15">
      <c r="A90" s="105">
        <v>1571</v>
      </c>
      <c r="B90" s="138" t="str">
        <f>VLOOKUP(A90,[1]characters!$A:$C,3,FALSE)</f>
        <v>Lupus01</v>
      </c>
      <c r="C90" s="105" t="s">
        <v>195</v>
      </c>
      <c r="D90" s="138" t="str">
        <f t="shared" ref="D90" si="20">A90&amp;C90</f>
        <v>1571skill</v>
      </c>
      <c r="E90" s="138" t="str">
        <f>A90&amp;+(COUNTIF(A90:A$10000,A90)-1)</f>
        <v>15713</v>
      </c>
      <c r="F90" s="105" t="s">
        <v>186</v>
      </c>
      <c r="G90" s="162" t="s">
        <v>315</v>
      </c>
      <c r="H90" s="162" t="s">
        <v>321</v>
      </c>
    </row>
    <row r="91" spans="1:8" x14ac:dyDescent="0.15">
      <c r="A91" s="105">
        <v>1571</v>
      </c>
      <c r="B91" s="138" t="str">
        <f>VLOOKUP(A91,[1]characters!$A:$C,3,FALSE)</f>
        <v>Lupus01</v>
      </c>
      <c r="C91" s="105" t="s">
        <v>198</v>
      </c>
      <c r="D91" s="138" t="str">
        <f>A91&amp;C91</f>
        <v>1571cskill</v>
      </c>
      <c r="E91" s="138" t="str">
        <f>A91&amp;+(COUNTIF(A91:A$10000,A91)-1)</f>
        <v>15712</v>
      </c>
      <c r="F91" s="105" t="s">
        <v>186</v>
      </c>
      <c r="G91" s="162" t="s">
        <v>196</v>
      </c>
      <c r="H91" s="162" t="s">
        <v>318</v>
      </c>
    </row>
    <row r="92" spans="1:8" x14ac:dyDescent="0.15">
      <c r="A92" s="105">
        <v>1571</v>
      </c>
      <c r="B92" s="138" t="str">
        <f>VLOOKUP(A92,[1]characters!$A:$C,3,FALSE)</f>
        <v>Lupus01</v>
      </c>
      <c r="C92" s="105" t="s">
        <v>198</v>
      </c>
      <c r="D92" s="138" t="str">
        <f>A92&amp;C92</f>
        <v>1571cskill</v>
      </c>
      <c r="E92" s="138" t="str">
        <f>A92&amp;+(COUNTIF(A92:A$10000,A92)-1)</f>
        <v>15711</v>
      </c>
      <c r="F92" s="105" t="s">
        <v>186</v>
      </c>
      <c r="G92" s="162" t="s">
        <v>315</v>
      </c>
      <c r="H92" s="162" t="s">
        <v>316</v>
      </c>
    </row>
    <row r="93" spans="1:8" x14ac:dyDescent="0.15">
      <c r="A93" s="105">
        <v>1571</v>
      </c>
      <c r="B93" s="138" t="str">
        <f>VLOOKUP(A93,[1]characters!$A:$C,3,FALSE)</f>
        <v>Lupus01</v>
      </c>
      <c r="C93" s="105" t="s">
        <v>198</v>
      </c>
      <c r="D93" s="138" t="str">
        <f>A93&amp;C93</f>
        <v>1571cskill</v>
      </c>
      <c r="E93" s="138" t="str">
        <f>A93&amp;+(COUNTIF(A93:A$10000,A93)-1)</f>
        <v>15710</v>
      </c>
      <c r="F93" s="105" t="s">
        <v>186</v>
      </c>
      <c r="G93" s="162" t="s">
        <v>315</v>
      </c>
      <c r="H93" s="162" t="s">
        <v>317</v>
      </c>
    </row>
    <row r="94" spans="1:8" x14ac:dyDescent="0.15">
      <c r="A94" s="105">
        <v>1572</v>
      </c>
      <c r="B94" s="138" t="str">
        <f>VLOOKUP(A94,[1]characters!$A:$C,3,FALSE)</f>
        <v>Lupus02</v>
      </c>
      <c r="C94" s="105" t="s">
        <v>195</v>
      </c>
      <c r="D94" s="138" t="str">
        <f t="shared" ref="D94" si="21">A94&amp;C94</f>
        <v>1572skill</v>
      </c>
      <c r="E94" s="138" t="str">
        <f>A94&amp;+(COUNTIF(A94:A$10000,A94)-1)</f>
        <v>15724</v>
      </c>
      <c r="F94" s="105" t="s">
        <v>186</v>
      </c>
      <c r="G94" s="162" t="s">
        <v>315</v>
      </c>
      <c r="H94" s="162" t="s">
        <v>321</v>
      </c>
    </row>
    <row r="95" spans="1:8" x14ac:dyDescent="0.15">
      <c r="A95" s="105">
        <v>1572</v>
      </c>
      <c r="B95" s="138" t="str">
        <f>VLOOKUP(A95,[1]characters!$A:$C,3,FALSE)</f>
        <v>Lupus02</v>
      </c>
      <c r="C95" s="105" t="s">
        <v>198</v>
      </c>
      <c r="D95" s="138" t="str">
        <f>A95&amp;C95</f>
        <v>1572cskill</v>
      </c>
      <c r="E95" s="138" t="str">
        <f>A95&amp;+(COUNTIF(A95:A$10000,A95)-1)</f>
        <v>15723</v>
      </c>
      <c r="F95" s="105" t="s">
        <v>186</v>
      </c>
      <c r="G95" s="162" t="s">
        <v>196</v>
      </c>
      <c r="H95" s="162" t="s">
        <v>318</v>
      </c>
    </row>
    <row r="96" spans="1:8" x14ac:dyDescent="0.15">
      <c r="A96" s="105">
        <v>1572</v>
      </c>
      <c r="B96" s="138" t="str">
        <f>VLOOKUP(A96,[1]characters!$A:$C,3,FALSE)</f>
        <v>Lupus02</v>
      </c>
      <c r="C96" s="105" t="s">
        <v>198</v>
      </c>
      <c r="D96" s="138" t="str">
        <f>A96&amp;C96</f>
        <v>1572cskill</v>
      </c>
      <c r="E96" s="138" t="str">
        <f>A96&amp;+(COUNTIF(A96:A$10000,A96)-1)</f>
        <v>15722</v>
      </c>
      <c r="F96" s="105" t="s">
        <v>186</v>
      </c>
      <c r="G96" s="162" t="s">
        <v>315</v>
      </c>
      <c r="H96" s="162" t="s">
        <v>316</v>
      </c>
    </row>
    <row r="97" spans="1:8" x14ac:dyDescent="0.15">
      <c r="A97" s="105">
        <v>1572</v>
      </c>
      <c r="B97" s="138" t="str">
        <f>VLOOKUP(A97,[1]characters!$A:$C,3,FALSE)</f>
        <v>Lupus02</v>
      </c>
      <c r="C97" s="105" t="s">
        <v>198</v>
      </c>
      <c r="D97" s="138" t="str">
        <f>A97&amp;C97</f>
        <v>1572cskill</v>
      </c>
      <c r="E97" s="138" t="str">
        <f>A97&amp;+(COUNTIF(A97:A$10000,A97)-1)</f>
        <v>15721</v>
      </c>
      <c r="F97" s="105" t="s">
        <v>186</v>
      </c>
      <c r="G97" s="162" t="s">
        <v>315</v>
      </c>
      <c r="H97" s="162" t="s">
        <v>317</v>
      </c>
    </row>
    <row r="98" spans="1:8" x14ac:dyDescent="0.15">
      <c r="A98" s="105">
        <v>1572</v>
      </c>
      <c r="B98" s="138" t="str">
        <f>VLOOKUP(A98,[1]characters!$A:$C,3,FALSE)</f>
        <v>Lupus02</v>
      </c>
      <c r="C98" s="105" t="s">
        <v>198</v>
      </c>
      <c r="D98" s="138" t="str">
        <f>A98&amp;C98</f>
        <v>1572cskill</v>
      </c>
      <c r="E98" s="138" t="str">
        <f>A98&amp;+(COUNTIF(A98:A$10000,A98)-1)</f>
        <v>15720</v>
      </c>
      <c r="F98" s="105" t="s">
        <v>186</v>
      </c>
      <c r="G98" s="162" t="s">
        <v>196</v>
      </c>
      <c r="H98" s="162" t="s">
        <v>320</v>
      </c>
    </row>
    <row r="99" spans="1:8" x14ac:dyDescent="0.15">
      <c r="A99" s="105">
        <v>1573</v>
      </c>
      <c r="B99" s="138" t="str">
        <f>VLOOKUP(A99,[1]characters!$A:$C,3,FALSE)</f>
        <v>Scorpius01</v>
      </c>
      <c r="C99" s="105" t="s">
        <v>195</v>
      </c>
      <c r="D99" s="138" t="str">
        <f t="shared" ref="D99" si="22">A99&amp;C99</f>
        <v>1573skill</v>
      </c>
      <c r="E99" s="138" t="str">
        <f>A99&amp;+(COUNTIF(A99:A$10000,A99)-1)</f>
        <v>15733</v>
      </c>
      <c r="F99" s="105" t="s">
        <v>186</v>
      </c>
      <c r="G99" s="162" t="s">
        <v>315</v>
      </c>
      <c r="H99" s="162" t="s">
        <v>321</v>
      </c>
    </row>
    <row r="100" spans="1:8" x14ac:dyDescent="0.15">
      <c r="A100" s="105">
        <v>1573</v>
      </c>
      <c r="B100" s="138" t="str">
        <f>VLOOKUP(A100,[1]characters!$A:$C,3,FALSE)</f>
        <v>Scorpius01</v>
      </c>
      <c r="C100" s="105" t="s">
        <v>198</v>
      </c>
      <c r="D100" s="138" t="str">
        <f>A100&amp;C100</f>
        <v>1573cskill</v>
      </c>
      <c r="E100" s="138" t="str">
        <f>A100&amp;+(COUNTIF(A100:A$10000,A100)-1)</f>
        <v>15732</v>
      </c>
      <c r="F100" s="105" t="s">
        <v>186</v>
      </c>
      <c r="G100" s="162" t="s">
        <v>196</v>
      </c>
      <c r="H100" s="162" t="s">
        <v>318</v>
      </c>
    </row>
    <row r="101" spans="1:8" x14ac:dyDescent="0.15">
      <c r="A101" s="105">
        <v>1573</v>
      </c>
      <c r="B101" s="138" t="str">
        <f>VLOOKUP(A101,[1]characters!$A:$C,3,FALSE)</f>
        <v>Scorpius01</v>
      </c>
      <c r="C101" s="105" t="s">
        <v>198</v>
      </c>
      <c r="D101" s="138" t="str">
        <f>A101&amp;C101</f>
        <v>1573cskill</v>
      </c>
      <c r="E101" s="138" t="str">
        <f>A101&amp;+(COUNTIF(A101:A$10000,A101)-1)</f>
        <v>15731</v>
      </c>
      <c r="F101" s="105" t="s">
        <v>186</v>
      </c>
      <c r="G101" s="162" t="s">
        <v>315</v>
      </c>
      <c r="H101" s="162" t="s">
        <v>316</v>
      </c>
    </row>
    <row r="102" spans="1:8" x14ac:dyDescent="0.15">
      <c r="A102" s="105">
        <v>1573</v>
      </c>
      <c r="B102" s="138" t="str">
        <f>VLOOKUP(A102,[1]characters!$A:$C,3,FALSE)</f>
        <v>Scorpius01</v>
      </c>
      <c r="C102" s="105" t="s">
        <v>198</v>
      </c>
      <c r="D102" s="138" t="str">
        <f>A102&amp;C102</f>
        <v>1573cskill</v>
      </c>
      <c r="E102" s="138" t="str">
        <f>A102&amp;+(COUNTIF(A102:A$10000,A102)-1)</f>
        <v>15730</v>
      </c>
      <c r="F102" s="105" t="s">
        <v>186</v>
      </c>
      <c r="G102" s="162" t="s">
        <v>315</v>
      </c>
      <c r="H102" s="162" t="s">
        <v>317</v>
      </c>
    </row>
    <row r="103" spans="1:8" x14ac:dyDescent="0.15">
      <c r="A103" s="105">
        <v>1574</v>
      </c>
      <c r="B103" s="138" t="str">
        <f>VLOOKUP(A103,[1]characters!$A:$C,3,FALSE)</f>
        <v>Cancer01</v>
      </c>
      <c r="C103" s="105" t="s">
        <v>195</v>
      </c>
      <c r="D103" s="138" t="str">
        <f t="shared" ref="D103" si="23">A103&amp;C103</f>
        <v>1574skill</v>
      </c>
      <c r="E103" s="138" t="str">
        <f>A103&amp;+(COUNTIF(A103:A$10000,A103)-1)</f>
        <v>15743</v>
      </c>
      <c r="F103" s="105" t="s">
        <v>186</v>
      </c>
      <c r="G103" s="162" t="s">
        <v>315</v>
      </c>
      <c r="H103" s="162" t="s">
        <v>321</v>
      </c>
    </row>
    <row r="104" spans="1:8" x14ac:dyDescent="0.15">
      <c r="A104" s="105">
        <v>1574</v>
      </c>
      <c r="B104" s="138" t="str">
        <f>VLOOKUP(A104,[1]characters!$A:$C,3,FALSE)</f>
        <v>Cancer01</v>
      </c>
      <c r="C104" s="105" t="s">
        <v>198</v>
      </c>
      <c r="D104" s="138" t="str">
        <f>A104&amp;C104</f>
        <v>1574cskill</v>
      </c>
      <c r="E104" s="138" t="str">
        <f>A104&amp;+(COUNTIF(A104:A$10000,A104)-1)</f>
        <v>15742</v>
      </c>
      <c r="F104" s="105" t="s">
        <v>186</v>
      </c>
      <c r="G104" s="162" t="s">
        <v>196</v>
      </c>
      <c r="H104" s="162" t="s">
        <v>318</v>
      </c>
    </row>
    <row r="105" spans="1:8" x14ac:dyDescent="0.15">
      <c r="A105" s="105">
        <v>1574</v>
      </c>
      <c r="B105" s="138" t="str">
        <f>VLOOKUP(A105,[1]characters!$A:$C,3,FALSE)</f>
        <v>Cancer01</v>
      </c>
      <c r="C105" s="105" t="s">
        <v>198</v>
      </c>
      <c r="D105" s="138" t="str">
        <f>A105&amp;C105</f>
        <v>1574cskill</v>
      </c>
      <c r="E105" s="138" t="str">
        <f>A105&amp;+(COUNTIF(A105:A$10000,A105)-1)</f>
        <v>15741</v>
      </c>
      <c r="F105" s="105" t="s">
        <v>186</v>
      </c>
      <c r="G105" s="162" t="s">
        <v>315</v>
      </c>
      <c r="H105" s="162" t="s">
        <v>316</v>
      </c>
    </row>
    <row r="106" spans="1:8" x14ac:dyDescent="0.15">
      <c r="A106" s="105">
        <v>1574</v>
      </c>
      <c r="B106" s="138" t="str">
        <f>VLOOKUP(A106,[1]characters!$A:$C,3,FALSE)</f>
        <v>Cancer01</v>
      </c>
      <c r="C106" s="105" t="s">
        <v>198</v>
      </c>
      <c r="D106" s="138" t="str">
        <f>A106&amp;C106</f>
        <v>1574cskill</v>
      </c>
      <c r="E106" s="138" t="str">
        <f>A106&amp;+(COUNTIF(A106:A$10000,A106)-1)</f>
        <v>15740</v>
      </c>
      <c r="F106" s="105" t="s">
        <v>186</v>
      </c>
      <c r="G106" s="162" t="s">
        <v>315</v>
      </c>
      <c r="H106" s="162" t="s">
        <v>317</v>
      </c>
    </row>
    <row r="107" spans="1:8" x14ac:dyDescent="0.15">
      <c r="A107" s="105">
        <v>1575</v>
      </c>
      <c r="B107" s="138" t="str">
        <f>VLOOKUP(A107,[1]characters!$A:$C,3,FALSE)</f>
        <v>Aquarius01</v>
      </c>
      <c r="C107" s="105" t="s">
        <v>195</v>
      </c>
      <c r="D107" s="138" t="str">
        <f t="shared" ref="D107" si="24">A107&amp;C107</f>
        <v>1575skill</v>
      </c>
      <c r="E107" s="138" t="str">
        <f>A107&amp;+(COUNTIF(A107:A$10000,A107)-1)</f>
        <v>15753</v>
      </c>
      <c r="F107" s="105" t="s">
        <v>186</v>
      </c>
      <c r="G107" s="162" t="s">
        <v>315</v>
      </c>
      <c r="H107" s="162" t="s">
        <v>321</v>
      </c>
    </row>
    <row r="108" spans="1:8" x14ac:dyDescent="0.15">
      <c r="A108" s="105">
        <v>1575</v>
      </c>
      <c r="B108" s="138" t="str">
        <f>VLOOKUP(A108,[1]characters!$A:$C,3,FALSE)</f>
        <v>Aquarius01</v>
      </c>
      <c r="C108" s="105" t="s">
        <v>198</v>
      </c>
      <c r="D108" s="138" t="str">
        <f>A108&amp;C108</f>
        <v>1575cskill</v>
      </c>
      <c r="E108" s="138" t="str">
        <f>A108&amp;+(COUNTIF(A108:A$10000,A108)-1)</f>
        <v>15752</v>
      </c>
      <c r="F108" s="105" t="s">
        <v>186</v>
      </c>
      <c r="G108" s="162" t="s">
        <v>196</v>
      </c>
      <c r="H108" s="162" t="s">
        <v>318</v>
      </c>
    </row>
    <row r="109" spans="1:8" x14ac:dyDescent="0.15">
      <c r="A109" s="105">
        <v>1575</v>
      </c>
      <c r="B109" s="138" t="str">
        <f>VLOOKUP(A109,[1]characters!$A:$C,3,FALSE)</f>
        <v>Aquarius01</v>
      </c>
      <c r="C109" s="105" t="s">
        <v>198</v>
      </c>
      <c r="D109" s="138" t="str">
        <f>A109&amp;C109</f>
        <v>1575cskill</v>
      </c>
      <c r="E109" s="138" t="str">
        <f>A109&amp;+(COUNTIF(A109:A$10000,A109)-1)</f>
        <v>15751</v>
      </c>
      <c r="F109" s="105" t="s">
        <v>186</v>
      </c>
      <c r="G109" s="162" t="s">
        <v>315</v>
      </c>
      <c r="H109" s="162" t="s">
        <v>316</v>
      </c>
    </row>
    <row r="110" spans="1:8" x14ac:dyDescent="0.15">
      <c r="A110" s="105">
        <v>1575</v>
      </c>
      <c r="B110" s="138" t="str">
        <f>VLOOKUP(A110,[1]characters!$A:$C,3,FALSE)</f>
        <v>Aquarius01</v>
      </c>
      <c r="C110" s="105" t="s">
        <v>198</v>
      </c>
      <c r="D110" s="138" t="str">
        <f>A110&amp;C110</f>
        <v>1575cskill</v>
      </c>
      <c r="E110" s="138" t="str">
        <f>A110&amp;+(COUNTIF(A110:A$10000,A110)-1)</f>
        <v>15750</v>
      </c>
      <c r="F110" s="105" t="s">
        <v>186</v>
      </c>
      <c r="G110" s="162" t="s">
        <v>315</v>
      </c>
      <c r="H110" s="162" t="s">
        <v>317</v>
      </c>
    </row>
    <row r="111" spans="1:8" x14ac:dyDescent="0.15">
      <c r="A111" s="105">
        <v>1576</v>
      </c>
      <c r="B111" s="138" t="str">
        <f>VLOOKUP(A111,[1]characters!$A:$C,3,FALSE)</f>
        <v>Aquarius02</v>
      </c>
      <c r="C111" s="105" t="s">
        <v>195</v>
      </c>
      <c r="D111" s="138" t="str">
        <f t="shared" ref="D111" si="25">A111&amp;C111</f>
        <v>1576skill</v>
      </c>
      <c r="E111" s="138" t="str">
        <f>A111&amp;+(COUNTIF(A111:A$10000,A111)-1)</f>
        <v>15764</v>
      </c>
      <c r="F111" s="105" t="s">
        <v>186</v>
      </c>
      <c r="G111" s="162" t="s">
        <v>315</v>
      </c>
      <c r="H111" s="162" t="s">
        <v>321</v>
      </c>
    </row>
    <row r="112" spans="1:8" x14ac:dyDescent="0.15">
      <c r="A112" s="105">
        <v>1576</v>
      </c>
      <c r="B112" s="138" t="str">
        <f>VLOOKUP(A112,[1]characters!$A:$C,3,FALSE)</f>
        <v>Aquarius02</v>
      </c>
      <c r="C112" s="105" t="s">
        <v>198</v>
      </c>
      <c r="D112" s="138" t="str">
        <f>A112&amp;C112</f>
        <v>1576cskill</v>
      </c>
      <c r="E112" s="138" t="str">
        <f>A112&amp;+(COUNTIF(A112:A$10000,A112)-1)</f>
        <v>15763</v>
      </c>
      <c r="F112" s="105" t="s">
        <v>186</v>
      </c>
      <c r="G112" s="162" t="s">
        <v>196</v>
      </c>
      <c r="H112" s="162" t="s">
        <v>318</v>
      </c>
    </row>
    <row r="113" spans="1:8" x14ac:dyDescent="0.15">
      <c r="A113" s="105">
        <v>1576</v>
      </c>
      <c r="B113" s="138" t="str">
        <f>VLOOKUP(A113,[1]characters!$A:$C,3,FALSE)</f>
        <v>Aquarius02</v>
      </c>
      <c r="C113" s="105" t="s">
        <v>198</v>
      </c>
      <c r="D113" s="138" t="str">
        <f>A113&amp;C113</f>
        <v>1576cskill</v>
      </c>
      <c r="E113" s="138" t="str">
        <f>A113&amp;+(COUNTIF(A113:A$10000,A113)-1)</f>
        <v>15762</v>
      </c>
      <c r="F113" s="105" t="s">
        <v>186</v>
      </c>
      <c r="G113" s="162" t="s">
        <v>315</v>
      </c>
      <c r="H113" s="162" t="s">
        <v>316</v>
      </c>
    </row>
    <row r="114" spans="1:8" x14ac:dyDescent="0.15">
      <c r="A114" s="105">
        <v>1576</v>
      </c>
      <c r="B114" s="138" t="str">
        <f>VLOOKUP(A114,[1]characters!$A:$C,3,FALSE)</f>
        <v>Aquarius02</v>
      </c>
      <c r="C114" s="105" t="s">
        <v>198</v>
      </c>
      <c r="D114" s="138" t="str">
        <f>A114&amp;C114</f>
        <v>1576cskill</v>
      </c>
      <c r="E114" s="138" t="str">
        <f>A114&amp;+(COUNTIF(A114:A$10000,A114)-1)</f>
        <v>15761</v>
      </c>
      <c r="F114" s="105" t="s">
        <v>186</v>
      </c>
      <c r="G114" s="162" t="s">
        <v>315</v>
      </c>
      <c r="H114" s="162" t="s">
        <v>317</v>
      </c>
    </row>
    <row r="115" spans="1:8" x14ac:dyDescent="0.15">
      <c r="A115" s="105">
        <v>1576</v>
      </c>
      <c r="B115" s="138" t="str">
        <f>VLOOKUP(A115,[1]characters!$A:$C,3,FALSE)</f>
        <v>Aquarius02</v>
      </c>
      <c r="C115" s="105" t="s">
        <v>198</v>
      </c>
      <c r="D115" s="138" t="str">
        <f>A115&amp;C115</f>
        <v>1576cskill</v>
      </c>
      <c r="E115" s="138" t="str">
        <f>A115&amp;+(COUNTIF(A115:A$10000,A115)-1)</f>
        <v>15760</v>
      </c>
      <c r="F115" s="105" t="s">
        <v>186</v>
      </c>
      <c r="G115" s="162" t="s">
        <v>196</v>
      </c>
      <c r="H115" s="162" t="s">
        <v>320</v>
      </c>
    </row>
    <row r="116" spans="1:8" x14ac:dyDescent="0.15">
      <c r="A116" s="105">
        <v>1577</v>
      </c>
      <c r="B116" s="138" t="str">
        <f>VLOOKUP(A116,[1]characters!$A:$C,3,FALSE)</f>
        <v>Perseus01</v>
      </c>
      <c r="C116" s="105" t="s">
        <v>195</v>
      </c>
      <c r="D116" s="138" t="str">
        <f t="shared" ref="D116" si="26">A116&amp;C116</f>
        <v>1577skill</v>
      </c>
      <c r="E116" s="138" t="str">
        <f>A116&amp;+(COUNTIF(A116:A$10000,A116)-1)</f>
        <v>15772</v>
      </c>
      <c r="F116" s="105" t="s">
        <v>186</v>
      </c>
      <c r="G116" s="162" t="s">
        <v>315</v>
      </c>
      <c r="H116" s="162" t="s">
        <v>321</v>
      </c>
    </row>
    <row r="117" spans="1:8" x14ac:dyDescent="0.15">
      <c r="A117" s="105">
        <v>1577</v>
      </c>
      <c r="B117" s="138" t="str">
        <f>VLOOKUP(A117,[1]characters!$A:$C,3,FALSE)</f>
        <v>Perseus01</v>
      </c>
      <c r="C117" s="105" t="s">
        <v>198</v>
      </c>
      <c r="D117" s="138" t="str">
        <f>A117&amp;C117</f>
        <v>1577cskill</v>
      </c>
      <c r="E117" s="138" t="str">
        <f>A117&amp;+(COUNTIF(A117:A$10000,A117)-1)</f>
        <v>15771</v>
      </c>
      <c r="F117" s="105" t="s">
        <v>186</v>
      </c>
      <c r="G117" s="162" t="s">
        <v>196</v>
      </c>
      <c r="H117" s="162" t="s">
        <v>318</v>
      </c>
    </row>
    <row r="118" spans="1:8" x14ac:dyDescent="0.15">
      <c r="A118" s="105">
        <v>1577</v>
      </c>
      <c r="B118" s="138" t="str">
        <f>VLOOKUP(A118,[1]characters!$A:$C,3,FALSE)</f>
        <v>Perseus01</v>
      </c>
      <c r="C118" s="105" t="s">
        <v>198</v>
      </c>
      <c r="D118" s="138" t="str">
        <f>A118&amp;C118</f>
        <v>1577cskill</v>
      </c>
      <c r="E118" s="138" t="str">
        <f>A118&amp;+(COUNTIF(A118:A$10000,A118)-1)</f>
        <v>15770</v>
      </c>
      <c r="F118" s="105" t="s">
        <v>186</v>
      </c>
      <c r="G118" s="162" t="s">
        <v>315</v>
      </c>
      <c r="H118" s="162" t="s">
        <v>316</v>
      </c>
    </row>
    <row r="119" spans="1:8" x14ac:dyDescent="0.15">
      <c r="A119" s="105">
        <v>1578</v>
      </c>
      <c r="B119" s="138" t="str">
        <f>VLOOKUP(A119,[1]characters!$A:$C,3,FALSE)</f>
        <v>Hydra01</v>
      </c>
      <c r="C119" s="105" t="s">
        <v>195</v>
      </c>
      <c r="D119" s="138" t="str">
        <f t="shared" ref="D119" si="27">A119&amp;C119</f>
        <v>1578skill</v>
      </c>
      <c r="E119" s="138" t="str">
        <f>A119&amp;+(COUNTIF(A119:A$10000,A119)-1)</f>
        <v>15782</v>
      </c>
      <c r="F119" s="105" t="s">
        <v>186</v>
      </c>
      <c r="G119" s="162" t="s">
        <v>315</v>
      </c>
      <c r="H119" s="162" t="s">
        <v>321</v>
      </c>
    </row>
    <row r="120" spans="1:8" x14ac:dyDescent="0.15">
      <c r="A120" s="105">
        <v>1578</v>
      </c>
      <c r="B120" s="138" t="str">
        <f>VLOOKUP(A120,[1]characters!$A:$C,3,FALSE)</f>
        <v>Hydra01</v>
      </c>
      <c r="C120" s="105" t="s">
        <v>198</v>
      </c>
      <c r="D120" s="138" t="str">
        <f>A120&amp;C120</f>
        <v>1578cskill</v>
      </c>
      <c r="E120" s="138" t="str">
        <f>A120&amp;+(COUNTIF(A120:A$10000,A120)-1)</f>
        <v>15781</v>
      </c>
      <c r="F120" s="105" t="s">
        <v>186</v>
      </c>
      <c r="G120" s="162" t="s">
        <v>196</v>
      </c>
      <c r="H120" s="162" t="s">
        <v>318</v>
      </c>
    </row>
    <row r="121" spans="1:8" x14ac:dyDescent="0.15">
      <c r="A121" s="105">
        <v>1578</v>
      </c>
      <c r="B121" s="138" t="str">
        <f>VLOOKUP(A121,[1]characters!$A:$C,3,FALSE)</f>
        <v>Hydra01</v>
      </c>
      <c r="C121" s="105" t="s">
        <v>198</v>
      </c>
      <c r="D121" s="138" t="str">
        <f>A121&amp;C121</f>
        <v>1578cskill</v>
      </c>
      <c r="E121" s="138" t="str">
        <f>A121&amp;+(COUNTIF(A121:A$10000,A121)-1)</f>
        <v>15780</v>
      </c>
      <c r="F121" s="105" t="s">
        <v>186</v>
      </c>
      <c r="G121" s="162" t="s">
        <v>315</v>
      </c>
      <c r="H121" s="162" t="s">
        <v>316</v>
      </c>
    </row>
    <row r="122" spans="1:8" x14ac:dyDescent="0.15">
      <c r="A122" s="105">
        <v>1579</v>
      </c>
      <c r="B122" s="138" t="str">
        <f>VLOOKUP(A122,[1]characters!$A:$C,3,FALSE)</f>
        <v>Lyra01</v>
      </c>
      <c r="C122" s="105" t="s">
        <v>195</v>
      </c>
      <c r="D122" s="138" t="str">
        <f t="shared" ref="D122" si="28">A122&amp;C122</f>
        <v>1579skill</v>
      </c>
      <c r="E122" s="138" t="str">
        <f>A122&amp;+(COUNTIF(A122:A$10000,A122)-1)</f>
        <v>15793</v>
      </c>
      <c r="F122" s="105" t="s">
        <v>186</v>
      </c>
      <c r="G122" s="162" t="s">
        <v>315</v>
      </c>
      <c r="H122" s="162" t="s">
        <v>321</v>
      </c>
    </row>
    <row r="123" spans="1:8" x14ac:dyDescent="0.15">
      <c r="A123" s="105">
        <v>1579</v>
      </c>
      <c r="B123" s="138" t="str">
        <f>VLOOKUP(A123,[1]characters!$A:$C,3,FALSE)</f>
        <v>Lyra01</v>
      </c>
      <c r="C123" s="105" t="s">
        <v>198</v>
      </c>
      <c r="D123" s="138" t="str">
        <f>A123&amp;C123</f>
        <v>1579cskill</v>
      </c>
      <c r="E123" s="138" t="str">
        <f>A123&amp;+(COUNTIF(A123:A$10000,A123)-1)</f>
        <v>15792</v>
      </c>
      <c r="F123" s="105" t="s">
        <v>186</v>
      </c>
      <c r="G123" s="162" t="s">
        <v>196</v>
      </c>
      <c r="H123" s="162" t="s">
        <v>318</v>
      </c>
    </row>
    <row r="124" spans="1:8" x14ac:dyDescent="0.15">
      <c r="A124" s="105">
        <v>1579</v>
      </c>
      <c r="B124" s="138" t="str">
        <f>VLOOKUP(A124,[1]characters!$A:$C,3,FALSE)</f>
        <v>Lyra01</v>
      </c>
      <c r="C124" s="105" t="s">
        <v>198</v>
      </c>
      <c r="D124" s="138" t="str">
        <f>A124&amp;C124</f>
        <v>1579cskill</v>
      </c>
      <c r="E124" s="138" t="str">
        <f>A124&amp;+(COUNTIF(A124:A$10000,A124)-1)</f>
        <v>15791</v>
      </c>
      <c r="F124" s="105" t="s">
        <v>186</v>
      </c>
      <c r="G124" s="162" t="s">
        <v>315</v>
      </c>
      <c r="H124" s="162" t="s">
        <v>316</v>
      </c>
    </row>
    <row r="125" spans="1:8" x14ac:dyDescent="0.15">
      <c r="A125" s="105">
        <v>1579</v>
      </c>
      <c r="B125" s="138" t="str">
        <f>VLOOKUP(A125,[1]characters!$A:$C,3,FALSE)</f>
        <v>Lyra01</v>
      </c>
      <c r="C125" s="105" t="s">
        <v>198</v>
      </c>
      <c r="D125" s="138" t="str">
        <f>A125&amp;C125</f>
        <v>1579cskill</v>
      </c>
      <c r="E125" s="138" t="str">
        <f>A125&amp;+(COUNTIF(A125:A$10000,A125)-1)</f>
        <v>15790</v>
      </c>
      <c r="F125" s="105" t="s">
        <v>186</v>
      </c>
      <c r="G125" s="162" t="s">
        <v>315</v>
      </c>
      <c r="H125" s="162" t="s">
        <v>317</v>
      </c>
    </row>
    <row r="126" spans="1:8" x14ac:dyDescent="0.15">
      <c r="A126" s="105">
        <v>1580</v>
      </c>
      <c r="B126" s="138" t="str">
        <f>VLOOKUP(A126,[1]characters!$A:$C,3,FALSE)</f>
        <v>Lyra02</v>
      </c>
      <c r="C126" s="105" t="s">
        <v>195</v>
      </c>
      <c r="D126" s="138" t="str">
        <f t="shared" ref="D126" si="29">A126&amp;C126</f>
        <v>1580skill</v>
      </c>
      <c r="E126" s="138" t="str">
        <f>A126&amp;+(COUNTIF(A126:A$10000,A126)-1)</f>
        <v>15804</v>
      </c>
      <c r="F126" s="105" t="s">
        <v>186</v>
      </c>
      <c r="G126" s="162" t="s">
        <v>315</v>
      </c>
      <c r="H126" s="162" t="s">
        <v>321</v>
      </c>
    </row>
    <row r="127" spans="1:8" x14ac:dyDescent="0.15">
      <c r="A127" s="105">
        <v>1580</v>
      </c>
      <c r="B127" s="138" t="str">
        <f>VLOOKUP(A127,[1]characters!$A:$C,3,FALSE)</f>
        <v>Lyra02</v>
      </c>
      <c r="C127" s="105" t="s">
        <v>198</v>
      </c>
      <c r="D127" s="138" t="str">
        <f>A127&amp;C127</f>
        <v>1580cskill</v>
      </c>
      <c r="E127" s="138" t="str">
        <f>A127&amp;+(COUNTIF(A127:A$10000,A127)-1)</f>
        <v>15803</v>
      </c>
      <c r="F127" s="105" t="s">
        <v>186</v>
      </c>
      <c r="G127" s="162" t="s">
        <v>196</v>
      </c>
      <c r="H127" s="162" t="s">
        <v>318</v>
      </c>
    </row>
    <row r="128" spans="1:8" x14ac:dyDescent="0.15">
      <c r="A128" s="105">
        <v>1580</v>
      </c>
      <c r="B128" s="138" t="str">
        <f>VLOOKUP(A128,[1]characters!$A:$C,3,FALSE)</f>
        <v>Lyra02</v>
      </c>
      <c r="C128" s="105" t="s">
        <v>198</v>
      </c>
      <c r="D128" s="138" t="str">
        <f>A128&amp;C128</f>
        <v>1580cskill</v>
      </c>
      <c r="E128" s="138" t="str">
        <f>A128&amp;+(COUNTIF(A128:A$10000,A128)-1)</f>
        <v>15802</v>
      </c>
      <c r="F128" s="105" t="s">
        <v>186</v>
      </c>
      <c r="G128" s="162" t="s">
        <v>315</v>
      </c>
      <c r="H128" s="162" t="s">
        <v>316</v>
      </c>
    </row>
    <row r="129" spans="1:8" x14ac:dyDescent="0.15">
      <c r="A129" s="105">
        <v>1580</v>
      </c>
      <c r="B129" s="138" t="str">
        <f>VLOOKUP(A129,[1]characters!$A:$C,3,FALSE)</f>
        <v>Lyra02</v>
      </c>
      <c r="C129" s="105" t="s">
        <v>198</v>
      </c>
      <c r="D129" s="138" t="str">
        <f>A129&amp;C129</f>
        <v>1580cskill</v>
      </c>
      <c r="E129" s="138" t="str">
        <f>A129&amp;+(COUNTIF(A129:A$10000,A129)-1)</f>
        <v>15801</v>
      </c>
      <c r="F129" s="105" t="s">
        <v>186</v>
      </c>
      <c r="G129" s="162" t="s">
        <v>315</v>
      </c>
      <c r="H129" s="162" t="s">
        <v>317</v>
      </c>
    </row>
    <row r="130" spans="1:8" x14ac:dyDescent="0.15">
      <c r="A130" s="105">
        <v>1580</v>
      </c>
      <c r="B130" s="138" t="str">
        <f>VLOOKUP(A130,[1]characters!$A:$C,3,FALSE)</f>
        <v>Lyra02</v>
      </c>
      <c r="C130" s="105" t="s">
        <v>198</v>
      </c>
      <c r="D130" s="138" t="str">
        <f>A130&amp;C130</f>
        <v>1580cskill</v>
      </c>
      <c r="E130" s="138" t="str">
        <f>A130&amp;+(COUNTIF(A130:A$10000,A130)-1)</f>
        <v>15800</v>
      </c>
      <c r="F130" s="105" t="s">
        <v>186</v>
      </c>
      <c r="G130" s="162" t="s">
        <v>196</v>
      </c>
      <c r="H130" s="162" t="s">
        <v>320</v>
      </c>
    </row>
    <row r="131" spans="1:8" x14ac:dyDescent="0.15">
      <c r="A131" s="105">
        <v>1581</v>
      </c>
      <c r="B131" s="138" t="str">
        <f>VLOOKUP(A131,[1]characters!$A:$C,3,FALSE)</f>
        <v>Gemini01</v>
      </c>
      <c r="C131" s="105" t="s">
        <v>195</v>
      </c>
      <c r="D131" s="138" t="str">
        <f t="shared" ref="D131" si="30">A131&amp;C131</f>
        <v>1581skill</v>
      </c>
      <c r="E131" s="138" t="str">
        <f>A131&amp;+(COUNTIF(A131:A$10000,A131)-1)</f>
        <v>15813</v>
      </c>
      <c r="F131" s="105" t="s">
        <v>186</v>
      </c>
      <c r="G131" s="162" t="s">
        <v>315</v>
      </c>
      <c r="H131" s="162" t="s">
        <v>321</v>
      </c>
    </row>
    <row r="132" spans="1:8" x14ac:dyDescent="0.15">
      <c r="A132" s="105">
        <v>1581</v>
      </c>
      <c r="B132" s="138" t="str">
        <f>VLOOKUP(A132,[1]characters!$A:$C,3,FALSE)</f>
        <v>Gemini01</v>
      </c>
      <c r="C132" s="105" t="s">
        <v>198</v>
      </c>
      <c r="D132" s="138" t="str">
        <f>A132&amp;C132</f>
        <v>1581cskill</v>
      </c>
      <c r="E132" s="138" t="str">
        <f>A132&amp;+(COUNTIF(A132:A$10000,A132)-1)</f>
        <v>15812</v>
      </c>
      <c r="F132" s="105" t="s">
        <v>186</v>
      </c>
      <c r="G132" s="162" t="s">
        <v>196</v>
      </c>
      <c r="H132" s="162" t="s">
        <v>318</v>
      </c>
    </row>
    <row r="133" spans="1:8" x14ac:dyDescent="0.15">
      <c r="A133" s="105">
        <v>1581</v>
      </c>
      <c r="B133" s="138" t="str">
        <f>VLOOKUP(A133,[1]characters!$A:$C,3,FALSE)</f>
        <v>Gemini01</v>
      </c>
      <c r="C133" s="105" t="s">
        <v>198</v>
      </c>
      <c r="D133" s="138" t="str">
        <f>A133&amp;C133</f>
        <v>1581cskill</v>
      </c>
      <c r="E133" s="138" t="str">
        <f>A133&amp;+(COUNTIF(A133:A$10000,A133)-1)</f>
        <v>15811</v>
      </c>
      <c r="F133" s="105" t="s">
        <v>186</v>
      </c>
      <c r="G133" s="162" t="s">
        <v>315</v>
      </c>
      <c r="H133" s="162" t="s">
        <v>316</v>
      </c>
    </row>
    <row r="134" spans="1:8" x14ac:dyDescent="0.15">
      <c r="A134" s="105">
        <v>1581</v>
      </c>
      <c r="B134" s="138" t="str">
        <f>VLOOKUP(A134,[1]characters!$A:$C,3,FALSE)</f>
        <v>Gemini01</v>
      </c>
      <c r="C134" s="105" t="s">
        <v>198</v>
      </c>
      <c r="D134" s="138" t="str">
        <f>A134&amp;C134</f>
        <v>1581cskill</v>
      </c>
      <c r="E134" s="138" t="str">
        <f>A134&amp;+(COUNTIF(A134:A$10000,A134)-1)</f>
        <v>15810</v>
      </c>
      <c r="F134" s="105" t="s">
        <v>186</v>
      </c>
      <c r="G134" s="162" t="s">
        <v>315</v>
      </c>
      <c r="H134" s="162" t="s">
        <v>317</v>
      </c>
    </row>
    <row r="135" spans="1:8" x14ac:dyDescent="0.15">
      <c r="A135" s="105">
        <v>1582</v>
      </c>
      <c r="B135" s="138" t="str">
        <f>VLOOKUP(A135,[1]characters!$A:$C,3,FALSE)</f>
        <v>Gemini02</v>
      </c>
      <c r="C135" s="105" t="s">
        <v>195</v>
      </c>
      <c r="D135" s="138" t="str">
        <f t="shared" ref="D135" si="31">A135&amp;C135</f>
        <v>1582skill</v>
      </c>
      <c r="E135" s="138" t="str">
        <f>A135&amp;+(COUNTIF(A135:A$10000,A135)-1)</f>
        <v>15824</v>
      </c>
      <c r="F135" s="105" t="s">
        <v>186</v>
      </c>
      <c r="G135" s="162" t="s">
        <v>315</v>
      </c>
      <c r="H135" s="162" t="s">
        <v>321</v>
      </c>
    </row>
    <row r="136" spans="1:8" x14ac:dyDescent="0.15">
      <c r="A136" s="105">
        <v>1582</v>
      </c>
      <c r="B136" s="138" t="str">
        <f>VLOOKUP(A136,[1]characters!$A:$C,3,FALSE)</f>
        <v>Gemini02</v>
      </c>
      <c r="C136" s="105" t="s">
        <v>198</v>
      </c>
      <c r="D136" s="138" t="str">
        <f>A136&amp;C136</f>
        <v>1582cskill</v>
      </c>
      <c r="E136" s="138" t="str">
        <f>A136&amp;+(COUNTIF(A136:A$10000,A136)-1)</f>
        <v>15823</v>
      </c>
      <c r="F136" s="105" t="s">
        <v>186</v>
      </c>
      <c r="G136" s="162" t="s">
        <v>196</v>
      </c>
      <c r="H136" s="162" t="s">
        <v>318</v>
      </c>
    </row>
    <row r="137" spans="1:8" x14ac:dyDescent="0.15">
      <c r="A137" s="105">
        <v>1582</v>
      </c>
      <c r="B137" s="138" t="str">
        <f>VLOOKUP(A137,[1]characters!$A:$C,3,FALSE)</f>
        <v>Gemini02</v>
      </c>
      <c r="C137" s="105" t="s">
        <v>198</v>
      </c>
      <c r="D137" s="138" t="str">
        <f>A137&amp;C137</f>
        <v>1582cskill</v>
      </c>
      <c r="E137" s="138" t="str">
        <f>A137&amp;+(COUNTIF(A137:A$10000,A137)-1)</f>
        <v>15822</v>
      </c>
      <c r="F137" s="105" t="s">
        <v>186</v>
      </c>
      <c r="G137" s="162" t="s">
        <v>315</v>
      </c>
      <c r="H137" s="162" t="s">
        <v>316</v>
      </c>
    </row>
    <row r="138" spans="1:8" x14ac:dyDescent="0.15">
      <c r="A138" s="105">
        <v>1582</v>
      </c>
      <c r="B138" s="138" t="str">
        <f>VLOOKUP(A138,[1]characters!$A:$C,3,FALSE)</f>
        <v>Gemini02</v>
      </c>
      <c r="C138" s="105" t="s">
        <v>198</v>
      </c>
      <c r="D138" s="138" t="str">
        <f>A138&amp;C138</f>
        <v>1582cskill</v>
      </c>
      <c r="E138" s="138" t="str">
        <f>A138&amp;+(COUNTIF(A138:A$10000,A138)-1)</f>
        <v>15821</v>
      </c>
      <c r="F138" s="105" t="s">
        <v>186</v>
      </c>
      <c r="G138" s="162" t="s">
        <v>315</v>
      </c>
      <c r="H138" s="162" t="s">
        <v>317</v>
      </c>
    </row>
    <row r="139" spans="1:8" x14ac:dyDescent="0.15">
      <c r="A139" s="105">
        <v>1582</v>
      </c>
      <c r="B139" s="138" t="str">
        <f>VLOOKUP(A139,[1]characters!$A:$C,3,FALSE)</f>
        <v>Gemini02</v>
      </c>
      <c r="C139" s="105" t="s">
        <v>198</v>
      </c>
      <c r="D139" s="138" t="str">
        <f>A139&amp;C139</f>
        <v>1582cskill</v>
      </c>
      <c r="E139" s="138" t="str">
        <f>A139&amp;+(COUNTIF(A139:A$10000,A139)-1)</f>
        <v>15820</v>
      </c>
      <c r="F139" s="105" t="s">
        <v>186</v>
      </c>
      <c r="G139" s="162" t="s">
        <v>196</v>
      </c>
      <c r="H139" s="162" t="s">
        <v>320</v>
      </c>
    </row>
    <row r="140" spans="1:8" x14ac:dyDescent="0.15">
      <c r="A140" s="105">
        <v>1583</v>
      </c>
      <c r="B140" s="138" t="str">
        <f>VLOOKUP(A140,[1]characters!$A:$C,3,FALSE)</f>
        <v>Corvus01</v>
      </c>
      <c r="C140" s="105" t="s">
        <v>195</v>
      </c>
      <c r="D140" s="138" t="str">
        <f t="shared" ref="D140" si="32">A140&amp;C140</f>
        <v>1583skill</v>
      </c>
      <c r="E140" s="138" t="str">
        <f>A140&amp;+(COUNTIF(A140:A$10000,A140)-1)</f>
        <v>15834</v>
      </c>
      <c r="F140" s="105" t="s">
        <v>186</v>
      </c>
      <c r="G140" s="162" t="s">
        <v>315</v>
      </c>
      <c r="H140" s="162" t="s">
        <v>321</v>
      </c>
    </row>
    <row r="141" spans="1:8" x14ac:dyDescent="0.15">
      <c r="A141" s="105">
        <v>1583</v>
      </c>
      <c r="B141" s="138" t="str">
        <f>VLOOKUP(A141,[1]characters!$A:$C,3,FALSE)</f>
        <v>Corvus01</v>
      </c>
      <c r="C141" s="105" t="s">
        <v>198</v>
      </c>
      <c r="D141" s="138" t="str">
        <f>A141&amp;C141</f>
        <v>1583cskill</v>
      </c>
      <c r="E141" s="138" t="str">
        <f>A141&amp;+(COUNTIF(A141:A$10000,A141)-1)</f>
        <v>15833</v>
      </c>
      <c r="F141" s="105" t="s">
        <v>186</v>
      </c>
      <c r="G141" s="162" t="s">
        <v>196</v>
      </c>
      <c r="H141" s="162" t="s">
        <v>318</v>
      </c>
    </row>
    <row r="142" spans="1:8" x14ac:dyDescent="0.15">
      <c r="A142" s="105">
        <v>1583</v>
      </c>
      <c r="B142" s="138" t="str">
        <f>VLOOKUP(A142,[1]characters!$A:$C,3,FALSE)</f>
        <v>Corvus01</v>
      </c>
      <c r="C142" s="105" t="s">
        <v>198</v>
      </c>
      <c r="D142" s="138" t="str">
        <f>A142&amp;C142</f>
        <v>1583cskill</v>
      </c>
      <c r="E142" s="138" t="str">
        <f>A142&amp;+(COUNTIF(A142:A$10000,A142)-1)</f>
        <v>15832</v>
      </c>
      <c r="F142" s="105" t="s">
        <v>186</v>
      </c>
      <c r="G142" s="162" t="s">
        <v>315</v>
      </c>
      <c r="H142" s="162" t="s">
        <v>316</v>
      </c>
    </row>
    <row r="143" spans="1:8" x14ac:dyDescent="0.15">
      <c r="A143" s="105">
        <v>1583</v>
      </c>
      <c r="B143" s="138" t="str">
        <f>VLOOKUP(A143,[1]characters!$A:$C,3,FALSE)</f>
        <v>Corvus01</v>
      </c>
      <c r="C143" s="105" t="s">
        <v>198</v>
      </c>
      <c r="D143" s="138" t="str">
        <f>A143&amp;C143</f>
        <v>1583cskill</v>
      </c>
      <c r="E143" s="138" t="str">
        <f>A143&amp;+(COUNTIF(A143:A$10000,A143)-1)</f>
        <v>15831</v>
      </c>
      <c r="F143" s="105" t="s">
        <v>186</v>
      </c>
      <c r="G143" s="162" t="s">
        <v>315</v>
      </c>
      <c r="H143" s="162" t="s">
        <v>317</v>
      </c>
    </row>
    <row r="144" spans="1:8" x14ac:dyDescent="0.15">
      <c r="A144" s="105">
        <v>1583</v>
      </c>
      <c r="B144" s="138" t="str">
        <f>VLOOKUP(A144,[1]characters!$A:$C,3,FALSE)</f>
        <v>Corvus01</v>
      </c>
      <c r="C144" s="105" t="s">
        <v>198</v>
      </c>
      <c r="D144" s="138" t="str">
        <f>A144&amp;C144</f>
        <v>1583cskill</v>
      </c>
      <c r="E144" s="138" t="str">
        <f>A144&amp;+(COUNTIF(A144:A$10000,A144)-1)</f>
        <v>15830</v>
      </c>
      <c r="F144" s="105" t="s">
        <v>186</v>
      </c>
      <c r="G144" s="162" t="s">
        <v>196</v>
      </c>
      <c r="H144" s="162" t="s">
        <v>320</v>
      </c>
    </row>
    <row r="145" spans="1:8" x14ac:dyDescent="0.15">
      <c r="A145" s="105">
        <v>1584</v>
      </c>
      <c r="B145" s="138" t="str">
        <f>VLOOKUP(A145,[1]characters!$A:$C,3,FALSE)</f>
        <v>Sirius01</v>
      </c>
      <c r="C145" s="105" t="s">
        <v>195</v>
      </c>
      <c r="D145" s="138" t="str">
        <f t="shared" ref="D145" si="33">A145&amp;C145</f>
        <v>1584skill</v>
      </c>
      <c r="E145" s="138" t="str">
        <f>A145&amp;+(COUNTIF(A145:A$10000,A145)-1)</f>
        <v>15842</v>
      </c>
      <c r="F145" s="105" t="s">
        <v>186</v>
      </c>
      <c r="G145" s="162" t="s">
        <v>315</v>
      </c>
      <c r="H145" s="162" t="s">
        <v>321</v>
      </c>
    </row>
    <row r="146" spans="1:8" x14ac:dyDescent="0.15">
      <c r="A146" s="105">
        <v>1584</v>
      </c>
      <c r="B146" s="138" t="str">
        <f>VLOOKUP(A146,[1]characters!$A:$C,3,FALSE)</f>
        <v>Sirius01</v>
      </c>
      <c r="C146" s="105" t="s">
        <v>198</v>
      </c>
      <c r="D146" s="138" t="str">
        <f>A146&amp;C146</f>
        <v>1584cskill</v>
      </c>
      <c r="E146" s="138" t="str">
        <f>A146&amp;+(COUNTIF(A146:A$10000,A146)-1)</f>
        <v>15841</v>
      </c>
      <c r="F146" s="105" t="s">
        <v>186</v>
      </c>
      <c r="G146" s="162" t="s">
        <v>196</v>
      </c>
      <c r="H146" s="162" t="s">
        <v>318</v>
      </c>
    </row>
    <row r="147" spans="1:8" x14ac:dyDescent="0.15">
      <c r="A147" s="105">
        <v>1584</v>
      </c>
      <c r="B147" s="138" t="str">
        <f>VLOOKUP(A147,[1]characters!$A:$C,3,FALSE)</f>
        <v>Sirius01</v>
      </c>
      <c r="C147" s="105" t="s">
        <v>198</v>
      </c>
      <c r="D147" s="138" t="str">
        <f>A147&amp;C147</f>
        <v>1584cskill</v>
      </c>
      <c r="E147" s="138" t="str">
        <f>A147&amp;+(COUNTIF(A147:A$10000,A147)-1)</f>
        <v>15840</v>
      </c>
      <c r="F147" s="105" t="s">
        <v>186</v>
      </c>
      <c r="G147" s="162" t="s">
        <v>315</v>
      </c>
      <c r="H147" s="162" t="s">
        <v>316</v>
      </c>
    </row>
    <row r="148" spans="1:8" x14ac:dyDescent="0.15">
      <c r="A148" s="105">
        <v>1585</v>
      </c>
      <c r="B148" s="138" t="str">
        <f>VLOOKUP(A148,[1]characters!$A:$C,3,FALSE)</f>
        <v>Sirius02</v>
      </c>
      <c r="C148" s="105" t="s">
        <v>195</v>
      </c>
      <c r="D148" s="138" t="str">
        <f t="shared" ref="D148" si="34">A148&amp;C148</f>
        <v>1585skill</v>
      </c>
      <c r="E148" s="138" t="str">
        <f>A148&amp;+(COUNTIF(A148:A$10000,A148)-1)</f>
        <v>15853</v>
      </c>
      <c r="F148" s="105" t="s">
        <v>186</v>
      </c>
      <c r="G148" s="162" t="s">
        <v>315</v>
      </c>
      <c r="H148" s="162" t="s">
        <v>321</v>
      </c>
    </row>
    <row r="149" spans="1:8" x14ac:dyDescent="0.15">
      <c r="A149" s="105">
        <v>1585</v>
      </c>
      <c r="B149" s="138" t="str">
        <f>VLOOKUP(A149,[1]characters!$A:$C,3,FALSE)</f>
        <v>Sirius02</v>
      </c>
      <c r="C149" s="105" t="s">
        <v>198</v>
      </c>
      <c r="D149" s="138" t="str">
        <f>A149&amp;C149</f>
        <v>1585cskill</v>
      </c>
      <c r="E149" s="138" t="str">
        <f>A149&amp;+(COUNTIF(A149:A$10000,A149)-1)</f>
        <v>15852</v>
      </c>
      <c r="F149" s="105" t="s">
        <v>186</v>
      </c>
      <c r="G149" s="162" t="s">
        <v>196</v>
      </c>
      <c r="H149" s="162" t="s">
        <v>318</v>
      </c>
    </row>
    <row r="150" spans="1:8" x14ac:dyDescent="0.15">
      <c r="A150" s="105">
        <v>1585</v>
      </c>
      <c r="B150" s="138" t="str">
        <f>VLOOKUP(A150,[1]characters!$A:$C,3,FALSE)</f>
        <v>Sirius02</v>
      </c>
      <c r="C150" s="105" t="s">
        <v>198</v>
      </c>
      <c r="D150" s="138" t="str">
        <f>A150&amp;C150</f>
        <v>1585cskill</v>
      </c>
      <c r="E150" s="138" t="str">
        <f>A150&amp;+(COUNTIF(A150:A$10000,A150)-1)</f>
        <v>15851</v>
      </c>
      <c r="F150" s="105" t="s">
        <v>186</v>
      </c>
      <c r="G150" s="162" t="s">
        <v>315</v>
      </c>
      <c r="H150" s="162" t="s">
        <v>316</v>
      </c>
    </row>
    <row r="151" spans="1:8" x14ac:dyDescent="0.15">
      <c r="A151" s="105">
        <v>1585</v>
      </c>
      <c r="B151" s="138" t="str">
        <f>VLOOKUP(A151,[1]characters!$A:$C,3,FALSE)</f>
        <v>Sirius02</v>
      </c>
      <c r="C151" s="105" t="s">
        <v>198</v>
      </c>
      <c r="D151" s="138" t="str">
        <f>A151&amp;C151</f>
        <v>1585cskill</v>
      </c>
      <c r="E151" s="138" t="str">
        <f>A151&amp;+(COUNTIF(A151:A$10000,A151)-1)</f>
        <v>15850</v>
      </c>
      <c r="F151" s="105" t="s">
        <v>186</v>
      </c>
      <c r="G151" s="162" t="s">
        <v>315</v>
      </c>
      <c r="H151" s="162" t="s">
        <v>317</v>
      </c>
    </row>
    <row r="152" spans="1:8" x14ac:dyDescent="0.15">
      <c r="A152" s="105">
        <v>1586</v>
      </c>
      <c r="B152" s="138" t="str">
        <f>VLOOKUP(A152,[1]characters!$A:$C,3,FALSE)</f>
        <v>Sirius03</v>
      </c>
      <c r="C152" s="105" t="s">
        <v>195</v>
      </c>
      <c r="D152" s="138" t="str">
        <f t="shared" ref="D152" si="35">A152&amp;C152</f>
        <v>1586skill</v>
      </c>
      <c r="E152" s="138" t="str">
        <f>A152&amp;+(COUNTIF(A152:A$10000,A152)-1)</f>
        <v>15864</v>
      </c>
      <c r="F152" s="105" t="s">
        <v>186</v>
      </c>
      <c r="G152" s="162" t="s">
        <v>315</v>
      </c>
      <c r="H152" s="162" t="s">
        <v>321</v>
      </c>
    </row>
    <row r="153" spans="1:8" x14ac:dyDescent="0.15">
      <c r="A153" s="105">
        <v>1586</v>
      </c>
      <c r="B153" s="138" t="str">
        <f>VLOOKUP(A153,[1]characters!$A:$C,3,FALSE)</f>
        <v>Sirius03</v>
      </c>
      <c r="C153" s="105" t="s">
        <v>198</v>
      </c>
      <c r="D153" s="138" t="str">
        <f>A153&amp;C153</f>
        <v>1586cskill</v>
      </c>
      <c r="E153" s="138" t="str">
        <f>A153&amp;+(COUNTIF(A153:A$10000,A153)-1)</f>
        <v>15863</v>
      </c>
      <c r="F153" s="105" t="s">
        <v>186</v>
      </c>
      <c r="G153" s="162" t="s">
        <v>196</v>
      </c>
      <c r="H153" s="162" t="s">
        <v>318</v>
      </c>
    </row>
    <row r="154" spans="1:8" x14ac:dyDescent="0.15">
      <c r="A154" s="105">
        <v>1586</v>
      </c>
      <c r="B154" s="138" t="str">
        <f>VLOOKUP(A154,[1]characters!$A:$C,3,FALSE)</f>
        <v>Sirius03</v>
      </c>
      <c r="C154" s="105" t="s">
        <v>198</v>
      </c>
      <c r="D154" s="138" t="str">
        <f>A154&amp;C154</f>
        <v>1586cskill</v>
      </c>
      <c r="E154" s="138" t="str">
        <f>A154&amp;+(COUNTIF(A154:A$10000,A154)-1)</f>
        <v>15862</v>
      </c>
      <c r="F154" s="105" t="s">
        <v>186</v>
      </c>
      <c r="G154" s="162" t="s">
        <v>315</v>
      </c>
      <c r="H154" s="162" t="s">
        <v>316</v>
      </c>
    </row>
    <row r="155" spans="1:8" x14ac:dyDescent="0.15">
      <c r="A155" s="105">
        <v>1586</v>
      </c>
      <c r="B155" s="138" t="str">
        <f>VLOOKUP(A155,[1]characters!$A:$C,3,FALSE)</f>
        <v>Sirius03</v>
      </c>
      <c r="C155" s="105" t="s">
        <v>198</v>
      </c>
      <c r="D155" s="138" t="str">
        <f>A155&amp;C155</f>
        <v>1586cskill</v>
      </c>
      <c r="E155" s="138" t="str">
        <f>A155&amp;+(COUNTIF(A155:A$10000,A155)-1)</f>
        <v>15861</v>
      </c>
      <c r="F155" s="105" t="s">
        <v>186</v>
      </c>
      <c r="G155" s="162" t="s">
        <v>315</v>
      </c>
      <c r="H155" s="162" t="s">
        <v>317</v>
      </c>
    </row>
    <row r="156" spans="1:8" x14ac:dyDescent="0.15">
      <c r="A156" s="105">
        <v>1586</v>
      </c>
      <c r="B156" s="138" t="str">
        <f>VLOOKUP(A156,[1]characters!$A:$C,3,FALSE)</f>
        <v>Sirius03</v>
      </c>
      <c r="C156" s="105" t="s">
        <v>198</v>
      </c>
      <c r="D156" s="138" t="str">
        <f>A156&amp;C156</f>
        <v>1586cskill</v>
      </c>
      <c r="E156" s="138" t="str">
        <f>A156&amp;+(COUNTIF(A156:A$10000,A156)-1)</f>
        <v>15860</v>
      </c>
      <c r="F156" s="105" t="s">
        <v>186</v>
      </c>
      <c r="G156" s="162" t="s">
        <v>196</v>
      </c>
      <c r="H156" s="162" t="s">
        <v>320</v>
      </c>
    </row>
    <row r="157" spans="1:8" x14ac:dyDescent="0.15">
      <c r="A157" s="105">
        <v>1587</v>
      </c>
      <c r="B157" s="138" t="str">
        <f>VLOOKUP(A157,[1]characters!$A:$C,3,FALSE)</f>
        <v>Virgo01</v>
      </c>
      <c r="C157" s="105" t="s">
        <v>195</v>
      </c>
      <c r="D157" s="138" t="str">
        <f t="shared" ref="D157" si="36">A157&amp;C157</f>
        <v>1587skill</v>
      </c>
      <c r="E157" s="138" t="str">
        <f>A157&amp;+(COUNTIF(A157:A$10000,A157)-1)</f>
        <v>15873</v>
      </c>
      <c r="F157" s="105" t="s">
        <v>186</v>
      </c>
      <c r="G157" s="162" t="s">
        <v>315</v>
      </c>
      <c r="H157" s="162" t="s">
        <v>321</v>
      </c>
    </row>
    <row r="158" spans="1:8" x14ac:dyDescent="0.15">
      <c r="A158" s="105">
        <v>1587</v>
      </c>
      <c r="B158" s="138" t="str">
        <f>VLOOKUP(A158,[1]characters!$A:$C,3,FALSE)</f>
        <v>Virgo01</v>
      </c>
      <c r="C158" s="105" t="s">
        <v>198</v>
      </c>
      <c r="D158" s="138" t="str">
        <f>A158&amp;C158</f>
        <v>1587cskill</v>
      </c>
      <c r="E158" s="138" t="str">
        <f>A158&amp;+(COUNTIF(A158:A$10000,A158)-1)</f>
        <v>15872</v>
      </c>
      <c r="F158" s="105" t="s">
        <v>186</v>
      </c>
      <c r="G158" s="162" t="s">
        <v>196</v>
      </c>
      <c r="H158" s="162" t="s">
        <v>318</v>
      </c>
    </row>
    <row r="159" spans="1:8" x14ac:dyDescent="0.15">
      <c r="A159" s="105">
        <v>1587</v>
      </c>
      <c r="B159" s="138" t="str">
        <f>VLOOKUP(A159,[1]characters!$A:$C,3,FALSE)</f>
        <v>Virgo01</v>
      </c>
      <c r="C159" s="105" t="s">
        <v>198</v>
      </c>
      <c r="D159" s="138" t="str">
        <f>A159&amp;C159</f>
        <v>1587cskill</v>
      </c>
      <c r="E159" s="138" t="str">
        <f>A159&amp;+(COUNTIF(A159:A$10000,A159)-1)</f>
        <v>15871</v>
      </c>
      <c r="F159" s="105" t="s">
        <v>186</v>
      </c>
      <c r="G159" s="162" t="s">
        <v>315</v>
      </c>
      <c r="H159" s="162" t="s">
        <v>316</v>
      </c>
    </row>
    <row r="160" spans="1:8" x14ac:dyDescent="0.15">
      <c r="A160" s="105">
        <v>1587</v>
      </c>
      <c r="B160" s="138" t="str">
        <f>VLOOKUP(A160,[1]characters!$A:$C,3,FALSE)</f>
        <v>Virgo01</v>
      </c>
      <c r="C160" s="105" t="s">
        <v>198</v>
      </c>
      <c r="D160" s="138" t="str">
        <f>A160&amp;C160</f>
        <v>1587cskill</v>
      </c>
      <c r="E160" s="138" t="str">
        <f>A160&amp;+(COUNTIF(A160:A$10000,A160)-1)</f>
        <v>15870</v>
      </c>
      <c r="F160" s="105" t="s">
        <v>186</v>
      </c>
      <c r="G160" s="162" t="s">
        <v>315</v>
      </c>
      <c r="H160" s="162" t="s">
        <v>317</v>
      </c>
    </row>
    <row r="161" spans="1:8" x14ac:dyDescent="0.15">
      <c r="A161" s="105">
        <v>1588</v>
      </c>
      <c r="B161" s="138" t="str">
        <f>VLOOKUP(A161,[1]characters!$A:$C,3,FALSE)</f>
        <v>Virgo02</v>
      </c>
      <c r="C161" s="105" t="s">
        <v>195</v>
      </c>
      <c r="D161" s="138" t="str">
        <f t="shared" ref="D161" si="37">A161&amp;C161</f>
        <v>1588skill</v>
      </c>
      <c r="E161" s="138" t="str">
        <f>A161&amp;+(COUNTIF(A161:A$10000,A161)-1)</f>
        <v>15884</v>
      </c>
      <c r="F161" s="105" t="s">
        <v>186</v>
      </c>
      <c r="G161" s="162" t="s">
        <v>315</v>
      </c>
      <c r="H161" s="162" t="s">
        <v>321</v>
      </c>
    </row>
    <row r="162" spans="1:8" x14ac:dyDescent="0.15">
      <c r="A162" s="105">
        <v>1588</v>
      </c>
      <c r="B162" s="138" t="str">
        <f>VLOOKUP(A162,[1]characters!$A:$C,3,FALSE)</f>
        <v>Virgo02</v>
      </c>
      <c r="C162" s="105" t="s">
        <v>198</v>
      </c>
      <c r="D162" s="138" t="str">
        <f>A162&amp;C162</f>
        <v>1588cskill</v>
      </c>
      <c r="E162" s="138" t="str">
        <f>A162&amp;+(COUNTIF(A162:A$10000,A162)-1)</f>
        <v>15883</v>
      </c>
      <c r="F162" s="105" t="s">
        <v>186</v>
      </c>
      <c r="G162" s="162" t="s">
        <v>196</v>
      </c>
      <c r="H162" s="162" t="s">
        <v>318</v>
      </c>
    </row>
    <row r="163" spans="1:8" x14ac:dyDescent="0.15">
      <c r="A163" s="105">
        <v>1588</v>
      </c>
      <c r="B163" s="138" t="str">
        <f>VLOOKUP(A163,[1]characters!$A:$C,3,FALSE)</f>
        <v>Virgo02</v>
      </c>
      <c r="C163" s="105" t="s">
        <v>198</v>
      </c>
      <c r="D163" s="138" t="str">
        <f>A163&amp;C163</f>
        <v>1588cskill</v>
      </c>
      <c r="E163" s="138" t="str">
        <f>A163&amp;+(COUNTIF(A163:A$10000,A163)-1)</f>
        <v>15882</v>
      </c>
      <c r="F163" s="105" t="s">
        <v>186</v>
      </c>
      <c r="G163" s="162" t="s">
        <v>315</v>
      </c>
      <c r="H163" s="162" t="s">
        <v>316</v>
      </c>
    </row>
    <row r="164" spans="1:8" x14ac:dyDescent="0.15">
      <c r="A164" s="105">
        <v>1588</v>
      </c>
      <c r="B164" s="138" t="str">
        <f>VLOOKUP(A164,[1]characters!$A:$C,3,FALSE)</f>
        <v>Virgo02</v>
      </c>
      <c r="C164" s="105" t="s">
        <v>198</v>
      </c>
      <c r="D164" s="138" t="str">
        <f>A164&amp;C164</f>
        <v>1588cskill</v>
      </c>
      <c r="E164" s="138" t="str">
        <f>A164&amp;+(COUNTIF(A164:A$10000,A164)-1)</f>
        <v>15881</v>
      </c>
      <c r="F164" s="105" t="s">
        <v>186</v>
      </c>
      <c r="G164" s="162" t="s">
        <v>315</v>
      </c>
      <c r="H164" s="162" t="s">
        <v>317</v>
      </c>
    </row>
    <row r="165" spans="1:8" x14ac:dyDescent="0.15">
      <c r="A165" s="105">
        <v>1588</v>
      </c>
      <c r="B165" s="138" t="str">
        <f>VLOOKUP(A165,[1]characters!$A:$C,3,FALSE)</f>
        <v>Virgo02</v>
      </c>
      <c r="C165" s="105" t="s">
        <v>198</v>
      </c>
      <c r="D165" s="138" t="str">
        <f>A165&amp;C165</f>
        <v>1588cskill</v>
      </c>
      <c r="E165" s="138" t="str">
        <f>A165&amp;+(COUNTIF(A165:A$10000,A165)-1)</f>
        <v>15880</v>
      </c>
      <c r="F165" s="105" t="s">
        <v>186</v>
      </c>
      <c r="G165" s="162" t="s">
        <v>196</v>
      </c>
      <c r="H165" s="162" t="s">
        <v>320</v>
      </c>
    </row>
  </sheetData>
  <phoneticPr fontId="22"/>
  <dataValidations disablePrompts="1" count="2">
    <dataValidation type="list" allowBlank="1" showInputMessage="1" showErrorMessage="1" sqref="G2:G165">
      <formula1>"maru,giza,kumo"</formula1>
    </dataValidation>
    <dataValidation type="list" allowBlank="1" showInputMessage="1" showErrorMessage="1" sqref="C2:C165">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19"/>
  <sheetViews>
    <sheetView showGridLines="0" workbookViewId="0">
      <pane xSplit="9" ySplit="1" topLeftCell="P2" activePane="bottomRight" state="frozen"/>
      <selection pane="topRight" activeCell="J1" sqref="J1"/>
      <selection pane="bottomLeft" activeCell="A3" sqref="A3"/>
      <selection pane="bottomRight" activeCell="Q2" sqref="Q2:Q1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0">
        <v>1551</v>
      </c>
      <c r="B2" s="53" t="str">
        <f ca="1">VLOOKUP($A2,OFFSET([1]characters!$A$1,0,0,COUNTA([1]characters!$A:$A),MATCH(B$1,[1]characters!$1:$1,0)-MATCH($A$1,[1]characters!$1:$1,0)+1),MATCH(B$1,[1]characters!$1:$1,0)-MATCH($A$1,[1]characters!$1:$1,0)+1,FALSE)</f>
        <v>Leo01</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hero</v>
      </c>
      <c r="K2" s="5" t="str">
        <f ca="1">VLOOKUP(J2,[1]character_tribe_i18n!$A:$H,3,FALSE)</f>
        <v>ヒーロー</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1552</v>
      </c>
      <c r="R2" s="58" t="str">
        <f ca="1">IF(Q2="NULL","",VLOOKUP($Q2,OFFSET([1]characters!$A$1,0,0,COUNTA([1]characters!$A:$A),MATCH(R$1,[1]characters!$1:$1,0)-MATCH($A$1,[1]characters!$1:$1,0)+1),MATCH(R$1,[1]characters!$1:$1,0)-MATCH($A$1,[1]characters!$1:$1,0)+1,FALSE))</f>
        <v>Leo02</v>
      </c>
      <c r="S2" s="5">
        <f t="shared" ref="S2:S19" ca="1" si="0">IF(ISNA(MATCH(A2,Q:Q,0)),A2,INDIRECT(ADDRESS(MATCH(A2,Q:Q,0),COLUMN())))</f>
        <v>1551</v>
      </c>
      <c r="T2" s="58" t="str">
        <f ca="1">VLOOKUP($S2,OFFSET([1]characters!$A$1,0,0,COUNTA([1]characters!$A:$A),MATCH(T$1,[1]characters!$1:$1,0)-MATCH($A$1,[1]characters!$1:$1,0)+1),MATCH(T$1,[1]characters!$1:$1,0)-MATCH($A$1,[1]characters!$1:$1,0)+1,FALSE)</f>
        <v>Leo01</v>
      </c>
      <c r="U2" s="10">
        <f ca="1">IF(Q2="NULL","NULL",VLOOKUP(G2,[3]ビット!$A$2:$B$7,2))</f>
        <v>200000</v>
      </c>
    </row>
    <row r="3" spans="1:21" ht="21" customHeight="1" x14ac:dyDescent="0.15">
      <c r="A3" s="190">
        <v>1553</v>
      </c>
      <c r="B3" s="53" t="str">
        <f ca="1">VLOOKUP($A3,OFFSET([1]characters!$A$1,0,0,COUNTA([1]characters!$A:$A),MATCH(B$1,[1]characters!$1:$1,0)-MATCH($A$1,[1]characters!$1:$1,0)+1),MATCH(B$1,[1]characters!$1:$1,0)-MATCH($A$1,[1]characters!$1:$1,0)+1,FALSE)</f>
        <v>Andromeda01</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yellow</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1554</v>
      </c>
      <c r="R3" s="58" t="str">
        <f ca="1">IF(Q3="NULL","",VLOOKUP($Q3,OFFSET([1]characters!$A$1,0,0,COUNTA([1]characters!$A:$A),MATCH(R$1,[1]characters!$1:$1,0)-MATCH($A$1,[1]characters!$1:$1,0)+1),MATCH(R$1,[1]characters!$1:$1,0)-MATCH($A$1,[1]characters!$1:$1,0)+1,FALSE))</f>
        <v>Andromeda02</v>
      </c>
      <c r="S3" s="5">
        <f t="shared" ca="1" si="0"/>
        <v>1553</v>
      </c>
      <c r="T3" s="58" t="str">
        <f ca="1">VLOOKUP($S3,OFFSET([1]characters!$A$1,0,0,COUNTA([1]characters!$A:$A),MATCH(T$1,[1]characters!$1:$1,0)-MATCH($A$1,[1]characters!$1:$1,0)+1),MATCH(T$1,[1]characters!$1:$1,0)-MATCH($A$1,[1]characters!$1:$1,0)+1,FALSE)</f>
        <v>Andromeda01</v>
      </c>
      <c r="U3" s="10">
        <f ca="1">IF(Q3="NULL","NULL",VLOOKUP(G3,[3]ビット!$A$2:$B$7,2))</f>
        <v>200000</v>
      </c>
    </row>
    <row r="4" spans="1:21" ht="21" customHeight="1" x14ac:dyDescent="0.15">
      <c r="A4" s="190">
        <v>1556</v>
      </c>
      <c r="B4" s="53" t="str">
        <f ca="1">VLOOKUP($A4,OFFSET([1]characters!$A$1,0,0,COUNTA([1]characters!$A:$A),MATCH(B$1,[1]characters!$1:$1,0)-MATCH($A$1,[1]characters!$1:$1,0)+1),MATCH(B$1,[1]characters!$1:$1,0)-MATCH($A$1,[1]characters!$1:$1,0)+1,FALSE)</f>
        <v>Capricornus01</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green</v>
      </c>
      <c r="J4" s="53" t="str">
        <f ca="1">VLOOKUP($A4,OFFSET([1]characters!$A$1,0,0,COUNTA([1]characters!$A:$A),MATCH(J$1,[1]characters!$1:$1,0)-MATCH($A$1,[1]characters!$1:$1,0)+1),MATCH(J$1,[1]characters!$1:$1,0)-MATCH($A$1,[1]characters!$1:$1,0)+1,FALSE)</f>
        <v>hero</v>
      </c>
      <c r="K4" s="5" t="str">
        <f ca="1">VLOOKUP(J4,[1]character_tribe_i18n!$A:$H,3,FALSE)</f>
        <v>ヒーロー</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1557</v>
      </c>
      <c r="R4" s="58" t="str">
        <f ca="1">IF(Q4="NULL","",VLOOKUP($Q4,OFFSET([1]characters!$A$1,0,0,COUNTA([1]characters!$A:$A),MATCH(R$1,[1]characters!$1:$1,0)-MATCH($A$1,[1]characters!$1:$1,0)+1),MATCH(R$1,[1]characters!$1:$1,0)-MATCH($A$1,[1]characters!$1:$1,0)+1,FALSE))</f>
        <v>Capricornus02</v>
      </c>
      <c r="S4" s="5">
        <f t="shared" ca="1" si="0"/>
        <v>1556</v>
      </c>
      <c r="T4" s="58" t="str">
        <f ca="1">VLOOKUP($S4,OFFSET([1]characters!$A$1,0,0,COUNTA([1]characters!$A:$A),MATCH(T$1,[1]characters!$1:$1,0)-MATCH($A$1,[1]characters!$1:$1,0)+1),MATCH(T$1,[1]characters!$1:$1,0)-MATCH($A$1,[1]characters!$1:$1,0)+1,FALSE)</f>
        <v>Capricornus01</v>
      </c>
      <c r="U4" s="10">
        <f ca="1">IF(Q4="NULL","NULL",VLOOKUP(G4,[3]ビット!$A$2:$B$7,2))</f>
        <v>200000</v>
      </c>
    </row>
    <row r="5" spans="1:21" ht="21" customHeight="1" x14ac:dyDescent="0.15">
      <c r="A5" s="190">
        <v>1558</v>
      </c>
      <c r="B5" s="53" t="str">
        <f ca="1">VLOOKUP($A5,OFFSET([1]characters!$A$1,0,0,COUNTA([1]characters!$A:$A),MATCH(B$1,[1]characters!$1:$1,0)-MATCH($A$1,[1]characters!$1:$1,0)+1),MATCH(B$1,[1]characters!$1:$1,0)-MATCH($A$1,[1]characters!$1:$1,0)+1,FALSE)</f>
        <v>Aries01</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blue</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1559</v>
      </c>
      <c r="R5" s="58" t="str">
        <f ca="1">IF(Q5="NULL","",VLOOKUP($Q5,OFFSET([1]characters!$A$1,0,0,COUNTA([1]characters!$A:$A),MATCH(R$1,[1]characters!$1:$1,0)-MATCH($A$1,[1]characters!$1:$1,0)+1),MATCH(R$1,[1]characters!$1:$1,0)-MATCH($A$1,[1]characters!$1:$1,0)+1,FALSE))</f>
        <v>Aries02</v>
      </c>
      <c r="S5" s="5">
        <f t="shared" ca="1" si="0"/>
        <v>1558</v>
      </c>
      <c r="T5" s="58" t="str">
        <f ca="1">VLOOKUP($S5,OFFSET([1]characters!$A$1,0,0,COUNTA([1]characters!$A:$A),MATCH(T$1,[1]characters!$1:$1,0)-MATCH($A$1,[1]characters!$1:$1,0)+1),MATCH(T$1,[1]characters!$1:$1,0)-MATCH($A$1,[1]characters!$1:$1,0)+1,FALSE)</f>
        <v>Aries01</v>
      </c>
      <c r="U5" s="10">
        <f ca="1">IF(Q5="NULL","NULL",VLOOKUP(G5,[3]ビット!$A$2:$B$7,2))</f>
        <v>200000</v>
      </c>
    </row>
    <row r="6" spans="1:21" ht="21" customHeight="1" x14ac:dyDescent="0.15">
      <c r="A6" s="190">
        <v>1561</v>
      </c>
      <c r="B6" s="53" t="str">
        <f ca="1">VLOOKUP($A6,OFFSET([1]characters!$A$1,0,0,COUNTA([1]characters!$A:$A),MATCH(B$1,[1]characters!$1:$1,0)-MATCH($A$1,[1]characters!$1:$1,0)+1),MATCH(B$1,[1]characters!$1:$1,0)-MATCH($A$1,[1]characters!$1:$1,0)+1,FALSE)</f>
        <v>Sagittarius01</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yellow</v>
      </c>
      <c r="J6" s="53" t="str">
        <f ca="1">VLOOKUP($A6,OFFSET([1]characters!$A$1,0,0,COUNTA([1]characters!$A:$A),MATCH(J$1,[1]characters!$1:$1,0)-MATCH($A$1,[1]characters!$1:$1,0)+1),MATCH(J$1,[1]characters!$1:$1,0)-MATCH($A$1,[1]characters!$1:$1,0)+1,FALSE)</f>
        <v>hero</v>
      </c>
      <c r="K6" s="5" t="str">
        <f ca="1">VLOOKUP(J6,[1]character_tribe_i18n!$A:$H,3,FALSE)</f>
        <v>ヒーロー</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1562</v>
      </c>
      <c r="R6" s="58" t="str">
        <f ca="1">IF(Q6="NULL","",VLOOKUP($Q6,OFFSET([1]characters!$A$1,0,0,COUNTA([1]characters!$A:$A),MATCH(R$1,[1]characters!$1:$1,0)-MATCH($A$1,[1]characters!$1:$1,0)+1),MATCH(R$1,[1]characters!$1:$1,0)-MATCH($A$1,[1]characters!$1:$1,0)+1,FALSE))</f>
        <v>Sagittarius02</v>
      </c>
      <c r="S6" s="5">
        <f t="shared" ca="1" si="0"/>
        <v>1561</v>
      </c>
      <c r="T6" s="58" t="str">
        <f ca="1">VLOOKUP($S6,OFFSET([1]characters!$A$1,0,0,COUNTA([1]characters!$A:$A),MATCH(T$1,[1]characters!$1:$1,0)-MATCH($A$1,[1]characters!$1:$1,0)+1),MATCH(T$1,[1]characters!$1:$1,0)-MATCH($A$1,[1]characters!$1:$1,0)+1,FALSE)</f>
        <v>Sagittarius01</v>
      </c>
      <c r="U6" s="10">
        <f ca="1">IF(Q6="NULL","NULL",VLOOKUP(G6,[3]ビット!$A$2:$B$7,2))</f>
        <v>200000</v>
      </c>
    </row>
    <row r="7" spans="1:21" ht="21" customHeight="1" x14ac:dyDescent="0.15">
      <c r="A7" s="190">
        <v>1563</v>
      </c>
      <c r="B7" s="53" t="str">
        <f ca="1">VLOOKUP($A7,OFFSET([1]characters!$A$1,0,0,COUNTA([1]characters!$A:$A),MATCH(B$1,[1]characters!$1:$1,0)-MATCH($A$1,[1]characters!$1:$1,0)+1),MATCH(B$1,[1]characters!$1:$1,0)-MATCH($A$1,[1]characters!$1:$1,0)+1,FALSE)</f>
        <v>Cassiopeia01</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blue</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1564</v>
      </c>
      <c r="R7" s="58" t="str">
        <f ca="1">IF(Q7="NULL","",VLOOKUP($Q7,OFFSET([1]characters!$A$1,0,0,COUNTA([1]characters!$A:$A),MATCH(R$1,[1]characters!$1:$1,0)-MATCH($A$1,[1]characters!$1:$1,0)+1),MATCH(R$1,[1]characters!$1:$1,0)-MATCH($A$1,[1]characters!$1:$1,0)+1,FALSE))</f>
        <v>Cassiopeia02</v>
      </c>
      <c r="S7" s="5">
        <f t="shared" ca="1" si="0"/>
        <v>1563</v>
      </c>
      <c r="T7" s="58" t="str">
        <f ca="1">VLOOKUP($S7,OFFSET([1]characters!$A$1,0,0,COUNTA([1]characters!$A:$A),MATCH(T$1,[1]characters!$1:$1,0)-MATCH($A$1,[1]characters!$1:$1,0)+1),MATCH(T$1,[1]characters!$1:$1,0)-MATCH($A$1,[1]characters!$1:$1,0)+1,FALSE)</f>
        <v>Cassiopeia01</v>
      </c>
      <c r="U7" s="10">
        <f ca="1">IF(Q7="NULL","NULL",VLOOKUP(G7,[3]ビット!$A$2:$B$7,2))</f>
        <v>200000</v>
      </c>
    </row>
    <row r="8" spans="1:21" ht="21" customHeight="1" x14ac:dyDescent="0.15">
      <c r="A8" s="190">
        <v>1566</v>
      </c>
      <c r="B8" s="53" t="str">
        <f ca="1">VLOOKUP($A8,OFFSET([1]characters!$A$1,0,0,COUNTA([1]characters!$A:$A),MATCH(B$1,[1]characters!$1:$1,0)-MATCH($A$1,[1]characters!$1:$1,0)+1),MATCH(B$1,[1]characters!$1:$1,0)-MATCH($A$1,[1]characters!$1:$1,0)+1,FALSE)</f>
        <v>Phoenix01</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PremiumSSS</v>
      </c>
      <c r="I8" s="53" t="str">
        <f ca="1">VLOOKUP($A8,OFFSET([1]characters!$A$1,0,0,COUNTA([1]characters!$A:$A),MATCH(I$1,[1]characters!$1:$1,0)-MATCH($A$1,[1]characters!$1:$1,0)+1),MATCH(I$1,[1]characters!$1:$1,0)-MATCH($A$1,[1]characters!$1:$1,0)+1,FALSE)</f>
        <v>red</v>
      </c>
      <c r="J8" s="53" t="str">
        <f ca="1">VLOOKUP($A8,OFFSET([1]characters!$A$1,0,0,COUNTA([1]characters!$A:$A),MATCH(J$1,[1]characters!$1:$1,0)-MATCH($A$1,[1]characters!$1:$1,0)+1),MATCH(J$1,[1]characters!$1:$1,0)-MATCH($A$1,[1]characters!$1:$1,0)+1,FALSE)</f>
        <v>none</v>
      </c>
      <c r="K8" s="5" t="str">
        <f ca="1">VLOOKUP(J8,[1]character_tribe_i18n!$A:$H,3,FALSE)</f>
        <v>種族なし</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1567</v>
      </c>
      <c r="R8" s="58" t="str">
        <f ca="1">IF(Q8="NULL","",VLOOKUP($Q8,OFFSET([1]characters!$A$1,0,0,COUNTA([1]characters!$A:$A),MATCH(R$1,[1]characters!$1:$1,0)-MATCH($A$1,[1]characters!$1:$1,0)+1),MATCH(R$1,[1]characters!$1:$1,0)-MATCH($A$1,[1]characters!$1:$1,0)+1,FALSE))</f>
        <v>Phoenix02</v>
      </c>
      <c r="S8" s="5">
        <f t="shared" ca="1" si="0"/>
        <v>1566</v>
      </c>
      <c r="T8" s="58" t="str">
        <f ca="1">VLOOKUP($S8,OFFSET([1]characters!$A$1,0,0,COUNTA([1]characters!$A:$A),MATCH(T$1,[1]characters!$1:$1,0)-MATCH($A$1,[1]characters!$1:$1,0)+1),MATCH(T$1,[1]characters!$1:$1,0)-MATCH($A$1,[1]characters!$1:$1,0)+1,FALSE)</f>
        <v>Phoenix01</v>
      </c>
      <c r="U8" s="10">
        <f ca="1">IF(Q8="NULL","NULL",VLOOKUP(G8,[3]ビット!$A$2:$B$7,2))</f>
        <v>200000</v>
      </c>
    </row>
    <row r="9" spans="1:21" ht="21" customHeight="1" x14ac:dyDescent="0.15">
      <c r="A9" s="190">
        <v>1568</v>
      </c>
      <c r="B9" s="53" t="str">
        <f ca="1">VLOOKUP($A9,OFFSET([1]characters!$A$1,0,0,COUNTA([1]characters!$A:$A),MATCH(B$1,[1]characters!$1:$1,0)-MATCH($A$1,[1]characters!$1:$1,0)+1),MATCH(B$1,[1]characters!$1:$1,0)-MATCH($A$1,[1]characters!$1:$1,0)+1,FALSE)</f>
        <v>Orion01</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green</v>
      </c>
      <c r="J9" s="53" t="str">
        <f ca="1">VLOOKUP($A9,OFFSET([1]characters!$A$1,0,0,COUNTA([1]characters!$A:$A),MATCH(J$1,[1]characters!$1:$1,0)-MATCH($A$1,[1]characters!$1:$1,0)+1),MATCH(J$1,[1]characters!$1:$1,0)-MATCH($A$1,[1]characters!$1:$1,0)+1,FALSE)</f>
        <v>none</v>
      </c>
      <c r="K9" s="5" t="str">
        <f ca="1">VLOOKUP(J9,[1]character_tribe_i18n!$A:$H,3,FALSE)</f>
        <v>種族なし</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7">
        <v>1569</v>
      </c>
      <c r="R9" s="58" t="str">
        <f ca="1">IF(Q9="NULL","",VLOOKUP($Q9,OFFSET([1]characters!$A$1,0,0,COUNTA([1]characters!$A:$A),MATCH(R$1,[1]characters!$1:$1,0)-MATCH($A$1,[1]characters!$1:$1,0)+1),MATCH(R$1,[1]characters!$1:$1,0)-MATCH($A$1,[1]characters!$1:$1,0)+1,FALSE))</f>
        <v>Orion02</v>
      </c>
      <c r="S9" s="5">
        <f t="shared" ca="1" si="0"/>
        <v>1568</v>
      </c>
      <c r="T9" s="58" t="str">
        <f ca="1">VLOOKUP($S9,OFFSET([1]characters!$A$1,0,0,COUNTA([1]characters!$A:$A),MATCH(T$1,[1]characters!$1:$1,0)-MATCH($A$1,[1]characters!$1:$1,0)+1),MATCH(T$1,[1]characters!$1:$1,0)-MATCH($A$1,[1]characters!$1:$1,0)+1,FALSE)</f>
        <v>Orion01</v>
      </c>
      <c r="U9" s="10">
        <f ca="1">IF(Q9="NULL","NULL",VLOOKUP(G9,[3]ビット!$A$2:$B$7,2))</f>
        <v>200000</v>
      </c>
    </row>
    <row r="10" spans="1:21" ht="21" customHeight="1" x14ac:dyDescent="0.15">
      <c r="A10" s="190">
        <v>1571</v>
      </c>
      <c r="B10" s="53" t="str">
        <f ca="1">VLOOKUP($A10,OFFSET([1]characters!$A$1,0,0,COUNTA([1]characters!$A:$A),MATCH(B$1,[1]characters!$1:$1,0)-MATCH($A$1,[1]characters!$1:$1,0)+1),MATCH(B$1,[1]characters!$1:$1,0)-MATCH($A$1,[1]characters!$1:$1,0)+1,FALSE)</f>
        <v>Lupus01</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DropWizSS</v>
      </c>
      <c r="I10" s="53" t="str">
        <f ca="1">VLOOKUP($A10,OFFSET([1]characters!$A$1,0,0,COUNTA([1]characters!$A:$A),MATCH(I$1,[1]characters!$1:$1,0)-MATCH($A$1,[1]characters!$1:$1,0)+1),MATCH(I$1,[1]characters!$1:$1,0)-MATCH($A$1,[1]characters!$1:$1,0)+1,FALSE)</f>
        <v>red</v>
      </c>
      <c r="J10" s="53" t="str">
        <f ca="1">VLOOKUP($A10,OFFSET([1]characters!$A$1,0,0,COUNTA([1]characters!$A:$A),MATCH(J$1,[1]characters!$1:$1,0)-MATCH($A$1,[1]characters!$1:$1,0)+1),MATCH(J$1,[1]characters!$1:$1,0)-MATCH($A$1,[1]characters!$1:$1,0)+1,FALSE)</f>
        <v>none</v>
      </c>
      <c r="K10" s="5" t="str">
        <f ca="1">VLOOKUP(J10,[1]character_tribe_i18n!$A:$H,3,FALSE)</f>
        <v>種族なし</v>
      </c>
      <c r="L10" s="10" t="e">
        <f>VLOOKUP(#REF!,[1]character_tribe_i18n!$A:$H,4,FALSE)</f>
        <v>#REF!</v>
      </c>
      <c r="M10" s="10" t="e">
        <f>VLOOKUP(#REF!,[1]character_tribe_i18n!$A:$H,5,FALSE)</f>
        <v>#REF!</v>
      </c>
      <c r="N10" s="10" t="e">
        <f>VLOOKUP(#REF!,[1]character_tribe_i18n!$A:$H,6,FALSE)</f>
        <v>#REF!</v>
      </c>
      <c r="O10" s="10" t="e">
        <f>VLOOKUP(#REF!,[1]character_tribe_i18n!$A:$H,7,FALSE)</f>
        <v>#REF!</v>
      </c>
      <c r="P10" s="176" t="str">
        <f>VLOOKUP(Q10,[1]characters!$A:$AC,20)</f>
        <v>normal</v>
      </c>
      <c r="Q10" s="187">
        <v>1572</v>
      </c>
      <c r="R10" s="58" t="str">
        <f ca="1">IF(Q10="NULL","",VLOOKUP($Q10,OFFSET([1]characters!$A$1,0,0,COUNTA([1]characters!$A:$A),MATCH(R$1,[1]characters!$1:$1,0)-MATCH($A$1,[1]characters!$1:$1,0)+1),MATCH(R$1,[1]characters!$1:$1,0)-MATCH($A$1,[1]characters!$1:$1,0)+1,FALSE))</f>
        <v>Lupus02</v>
      </c>
      <c r="S10" s="5">
        <f t="shared" ca="1" si="0"/>
        <v>1571</v>
      </c>
      <c r="T10" s="58" t="str">
        <f ca="1">VLOOKUP($S10,OFFSET([1]characters!$A$1,0,0,COUNTA([1]characters!$A:$A),MATCH(T$1,[1]characters!$1:$1,0)-MATCH($A$1,[1]characters!$1:$1,0)+1),MATCH(T$1,[1]characters!$1:$1,0)-MATCH($A$1,[1]characters!$1:$1,0)+1,FALSE)</f>
        <v>Lupus01</v>
      </c>
      <c r="U10" s="10">
        <f ca="1">IF(Q10="NULL","NULL",VLOOKUP(G10,[3]ビット!$A$2:$B$7,2))</f>
        <v>200000</v>
      </c>
    </row>
    <row r="11" spans="1:21" ht="21" customHeight="1" x14ac:dyDescent="0.15">
      <c r="A11" s="190">
        <v>1575</v>
      </c>
      <c r="B11" s="53" t="str">
        <f ca="1">VLOOKUP($A11,OFFSET([1]characters!$A$1,0,0,COUNTA([1]characters!$A:$A),MATCH(B$1,[1]characters!$1:$1,0)-MATCH($A$1,[1]characters!$1:$1,0)+1),MATCH(B$1,[1]characters!$1:$1,0)-MATCH($A$1,[1]characters!$1:$1,0)+1,FALSE)</f>
        <v>Aquarius01</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DropWizS</v>
      </c>
      <c r="I11" s="53" t="str">
        <f ca="1">VLOOKUP($A11,OFFSET([1]characters!$A$1,0,0,COUNTA([1]characters!$A:$A),MATCH(I$1,[1]characters!$1:$1,0)-MATCH($A$1,[1]characters!$1:$1,0)+1),MATCH(I$1,[1]characters!$1:$1,0)-MATCH($A$1,[1]characters!$1:$1,0)+1,FALSE)</f>
        <v>blue</v>
      </c>
      <c r="J11" s="53" t="str">
        <f ca="1">VLOOKUP($A11,OFFSET([1]characters!$A$1,0,0,COUNTA([1]characters!$A:$A),MATCH(J$1,[1]characters!$1:$1,0)-MATCH($A$1,[1]characters!$1:$1,0)+1),MATCH(J$1,[1]characters!$1:$1,0)-MATCH($A$1,[1]characters!$1:$1,0)+1,FALSE)</f>
        <v>hero</v>
      </c>
      <c r="K11" s="5" t="str">
        <f ca="1">VLOOKUP(J11,[1]character_tribe_i18n!$A:$H,3,FALSE)</f>
        <v>ヒーロー</v>
      </c>
      <c r="L11" s="10" t="e">
        <f>VLOOKUP(#REF!,[1]character_tribe_i18n!$A:$H,4,FALSE)</f>
        <v>#REF!</v>
      </c>
      <c r="M11" s="10" t="e">
        <f>VLOOKUP(#REF!,[1]character_tribe_i18n!$A:$H,5,FALSE)</f>
        <v>#REF!</v>
      </c>
      <c r="N11" s="10" t="e">
        <f>VLOOKUP(#REF!,[1]character_tribe_i18n!$A:$H,6,FALSE)</f>
        <v>#REF!</v>
      </c>
      <c r="O11" s="10" t="e">
        <f>VLOOKUP(#REF!,[1]character_tribe_i18n!$A:$H,7,FALSE)</f>
        <v>#REF!</v>
      </c>
      <c r="P11" s="176" t="str">
        <f>VLOOKUP(Q11,[1]characters!$A:$AC,20)</f>
        <v>normal</v>
      </c>
      <c r="Q11" s="187">
        <v>1576</v>
      </c>
      <c r="R11" s="58" t="str">
        <f ca="1">IF(Q11="NULL","",VLOOKUP($Q11,OFFSET([1]characters!$A$1,0,0,COUNTA([1]characters!$A:$A),MATCH(R$1,[1]characters!$1:$1,0)-MATCH($A$1,[1]characters!$1:$1,0)+1),MATCH(R$1,[1]characters!$1:$1,0)-MATCH($A$1,[1]characters!$1:$1,0)+1,FALSE))</f>
        <v>Aquarius02</v>
      </c>
      <c r="S11" s="5">
        <f t="shared" ca="1" si="0"/>
        <v>1575</v>
      </c>
      <c r="T11" s="58" t="str">
        <f ca="1">VLOOKUP($S11,OFFSET([1]characters!$A$1,0,0,COUNTA([1]characters!$A:$A),MATCH(T$1,[1]characters!$1:$1,0)-MATCH($A$1,[1]characters!$1:$1,0)+1),MATCH(T$1,[1]characters!$1:$1,0)-MATCH($A$1,[1]characters!$1:$1,0)+1,FALSE)</f>
        <v>Aquarius01</v>
      </c>
      <c r="U11" s="10">
        <f ca="1">IF(Q11="NULL","NULL",VLOOKUP(G11,[3]ビット!$A$2:$B$7,2))</f>
        <v>200000</v>
      </c>
    </row>
    <row r="12" spans="1:21" ht="21" customHeight="1" x14ac:dyDescent="0.15">
      <c r="A12" s="190">
        <v>1579</v>
      </c>
      <c r="B12" s="53" t="str">
        <f ca="1">VLOOKUP($A12,OFFSET([1]characters!$A$1,0,0,COUNTA([1]characters!$A:$A),MATCH(B$1,[1]characters!$1:$1,0)-MATCH($A$1,[1]characters!$1:$1,0)+1),MATCH(B$1,[1]characters!$1:$1,0)-MATCH($A$1,[1]characters!$1:$1,0)+1,FALSE)</f>
        <v>Lyra01</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DropWizS</v>
      </c>
      <c r="I12" s="53" t="str">
        <f ca="1">VLOOKUP($A12,OFFSET([1]characters!$A$1,0,0,COUNTA([1]characters!$A:$A),MATCH(I$1,[1]characters!$1:$1,0)-MATCH($A$1,[1]characters!$1:$1,0)+1),MATCH(I$1,[1]characters!$1:$1,0)-MATCH($A$1,[1]characters!$1:$1,0)+1,FALSE)</f>
        <v>red</v>
      </c>
      <c r="J12" s="53" t="str">
        <f ca="1">VLOOKUP($A12,OFFSET([1]characters!$A$1,0,0,COUNTA([1]characters!$A:$A),MATCH(J$1,[1]characters!$1:$1,0)-MATCH($A$1,[1]characters!$1:$1,0)+1),MATCH(J$1,[1]characters!$1:$1,0)-MATCH($A$1,[1]characters!$1:$1,0)+1,FALSE)</f>
        <v>unknown</v>
      </c>
      <c r="K12" s="5" t="str">
        <f ca="1">VLOOKUP(J12,[1]character_tribe_i18n!$A:$H,3,FALSE)</f>
        <v>Unknown</v>
      </c>
      <c r="L12" s="10" t="e">
        <f>VLOOKUP(#REF!,[1]character_tribe_i18n!$A:$H,4,FALSE)</f>
        <v>#REF!</v>
      </c>
      <c r="M12" s="10" t="e">
        <f>VLOOKUP(#REF!,[1]character_tribe_i18n!$A:$H,5,FALSE)</f>
        <v>#REF!</v>
      </c>
      <c r="N12" s="10" t="e">
        <f>VLOOKUP(#REF!,[1]character_tribe_i18n!$A:$H,6,FALSE)</f>
        <v>#REF!</v>
      </c>
      <c r="O12" s="10" t="e">
        <f>VLOOKUP(#REF!,[1]character_tribe_i18n!$A:$H,7,FALSE)</f>
        <v>#REF!</v>
      </c>
      <c r="P12" s="176" t="str">
        <f>VLOOKUP(Q12,[1]characters!$A:$AC,20)</f>
        <v>normal</v>
      </c>
      <c r="Q12" s="187">
        <v>1580</v>
      </c>
      <c r="R12" s="58" t="str">
        <f ca="1">IF(Q12="NULL","",VLOOKUP($Q12,OFFSET([1]characters!$A$1,0,0,COUNTA([1]characters!$A:$A),MATCH(R$1,[1]characters!$1:$1,0)-MATCH($A$1,[1]characters!$1:$1,0)+1),MATCH(R$1,[1]characters!$1:$1,0)-MATCH($A$1,[1]characters!$1:$1,0)+1,FALSE))</f>
        <v>Lyra02</v>
      </c>
      <c r="S12" s="5">
        <f t="shared" ca="1" si="0"/>
        <v>1579</v>
      </c>
      <c r="T12" s="58" t="str">
        <f ca="1">VLOOKUP($S12,OFFSET([1]characters!$A$1,0,0,COUNTA([1]characters!$A:$A),MATCH(T$1,[1]characters!$1:$1,0)-MATCH($A$1,[1]characters!$1:$1,0)+1),MATCH(T$1,[1]characters!$1:$1,0)-MATCH($A$1,[1]characters!$1:$1,0)+1,FALSE)</f>
        <v>Lyra01</v>
      </c>
      <c r="U12" s="10">
        <f ca="1">IF(Q12="NULL","NULL",VLOOKUP(G12,[3]ビット!$A$2:$B$7,2))</f>
        <v>200000</v>
      </c>
    </row>
    <row r="13" spans="1:21" ht="21" customHeight="1" x14ac:dyDescent="0.15">
      <c r="A13" s="190">
        <v>1581</v>
      </c>
      <c r="B13" s="53" t="str">
        <f ca="1">VLOOKUP($A13,OFFSET([1]characters!$A$1,0,0,COUNTA([1]characters!$A:$A),MATCH(B$1,[1]characters!$1:$1,0)-MATCH($A$1,[1]characters!$1:$1,0)+1),MATCH(B$1,[1]characters!$1:$1,0)-MATCH($A$1,[1]characters!$1:$1,0)+1,FALSE)</f>
        <v>Gemini01</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DropWizS</v>
      </c>
      <c r="I13" s="53" t="str">
        <f ca="1">VLOOKUP($A13,OFFSET([1]characters!$A$1,0,0,COUNTA([1]characters!$A:$A),MATCH(I$1,[1]characters!$1:$1,0)-MATCH($A$1,[1]characters!$1:$1,0)+1),MATCH(I$1,[1]characters!$1:$1,0)-MATCH($A$1,[1]characters!$1:$1,0)+1,FALSE)</f>
        <v>red</v>
      </c>
      <c r="J13" s="53" t="str">
        <f ca="1">VLOOKUP($A13,OFFSET([1]characters!$A$1,0,0,COUNTA([1]characters!$A:$A),MATCH(J$1,[1]characters!$1:$1,0)-MATCH($A$1,[1]characters!$1:$1,0)+1),MATCH(J$1,[1]characters!$1:$1,0)-MATCH($A$1,[1]characters!$1:$1,0)+1,FALSE)</f>
        <v>none</v>
      </c>
      <c r="K13" s="5" t="str">
        <f ca="1">VLOOKUP(J13,[1]character_tribe_i18n!$A:$H,3,FALSE)</f>
        <v>種族なし</v>
      </c>
      <c r="L13" s="10" t="e">
        <f>VLOOKUP(#REF!,[1]character_tribe_i18n!$A:$H,4,FALSE)</f>
        <v>#REF!</v>
      </c>
      <c r="M13" s="10" t="e">
        <f>VLOOKUP(#REF!,[1]character_tribe_i18n!$A:$H,5,FALSE)</f>
        <v>#REF!</v>
      </c>
      <c r="N13" s="10" t="e">
        <f>VLOOKUP(#REF!,[1]character_tribe_i18n!$A:$H,6,FALSE)</f>
        <v>#REF!</v>
      </c>
      <c r="O13" s="10" t="e">
        <f>VLOOKUP(#REF!,[1]character_tribe_i18n!$A:$H,7,FALSE)</f>
        <v>#REF!</v>
      </c>
      <c r="P13" s="176" t="str">
        <f>VLOOKUP(Q13,[1]characters!$A:$AC,20)</f>
        <v>normal</v>
      </c>
      <c r="Q13" s="187">
        <v>1582</v>
      </c>
      <c r="R13" s="58" t="str">
        <f ca="1">IF(Q13="NULL","",VLOOKUP($Q13,OFFSET([1]characters!$A$1,0,0,COUNTA([1]characters!$A:$A),MATCH(R$1,[1]characters!$1:$1,0)-MATCH($A$1,[1]characters!$1:$1,0)+1),MATCH(R$1,[1]characters!$1:$1,0)-MATCH($A$1,[1]characters!$1:$1,0)+1,FALSE))</f>
        <v>Gemini02</v>
      </c>
      <c r="S13" s="5">
        <f t="shared" ca="1" si="0"/>
        <v>1581</v>
      </c>
      <c r="T13" s="58" t="str">
        <f ca="1">VLOOKUP($S13,OFFSET([1]characters!$A$1,0,0,COUNTA([1]characters!$A:$A),MATCH(T$1,[1]characters!$1:$1,0)-MATCH($A$1,[1]characters!$1:$1,0)+1),MATCH(T$1,[1]characters!$1:$1,0)-MATCH($A$1,[1]characters!$1:$1,0)+1,FALSE)</f>
        <v>Gemini01</v>
      </c>
      <c r="U13" s="10">
        <f ca="1">IF(Q13="NULL","NULL",VLOOKUP(G13,[3]ビット!$A$2:$B$7,2))</f>
        <v>200000</v>
      </c>
    </row>
    <row r="14" spans="1:21" ht="21" customHeight="1" x14ac:dyDescent="0.15">
      <c r="A14" s="190">
        <v>1581</v>
      </c>
      <c r="B14" s="53" t="str">
        <f ca="1">VLOOKUP($A14,OFFSET([1]characters!$A$1,0,0,COUNTA([1]characters!$A:$A),MATCH(B$1,[1]characters!$1:$1,0)-MATCH($A$1,[1]characters!$1:$1,0)+1),MATCH(B$1,[1]characters!$1:$1,0)-MATCH($A$1,[1]characters!$1:$1,0)+1,FALSE)</f>
        <v>Gemini01</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DropWizS</v>
      </c>
      <c r="I14" s="53" t="str">
        <f ca="1">VLOOKUP($A14,OFFSET([1]characters!$A$1,0,0,COUNTA([1]characters!$A:$A),MATCH(I$1,[1]characters!$1:$1,0)-MATCH($A$1,[1]characters!$1:$1,0)+1),MATCH(I$1,[1]characters!$1:$1,0)-MATCH($A$1,[1]characters!$1:$1,0)+1,FALSE)</f>
        <v>red</v>
      </c>
      <c r="J14" s="53" t="str">
        <f ca="1">VLOOKUP($A14,OFFSET([1]characters!$A$1,0,0,COUNTA([1]characters!$A:$A),MATCH(J$1,[1]characters!$1:$1,0)-MATCH($A$1,[1]characters!$1:$1,0)+1),MATCH(J$1,[1]characters!$1:$1,0)-MATCH($A$1,[1]characters!$1:$1,0)+1,FALSE)</f>
        <v>none</v>
      </c>
      <c r="K14" s="5" t="str">
        <f ca="1">VLOOKUP(J14,[1]character_tribe_i18n!$A:$H,3,FALSE)</f>
        <v>種族なし</v>
      </c>
      <c r="L14" s="10" t="e">
        <f>VLOOKUP(#REF!,[1]character_tribe_i18n!$A:$H,4,FALSE)</f>
        <v>#REF!</v>
      </c>
      <c r="M14" s="10" t="e">
        <f>VLOOKUP(#REF!,[1]character_tribe_i18n!$A:$H,5,FALSE)</f>
        <v>#REF!</v>
      </c>
      <c r="N14" s="10" t="e">
        <f>VLOOKUP(#REF!,[1]character_tribe_i18n!$A:$H,6,FALSE)</f>
        <v>#REF!</v>
      </c>
      <c r="O14" s="10" t="e">
        <f>VLOOKUP(#REF!,[1]character_tribe_i18n!$A:$H,7,FALSE)</f>
        <v>#REF!</v>
      </c>
      <c r="P14" s="176" t="str">
        <f>VLOOKUP(Q14,[1]characters!$A:$AC,20)</f>
        <v>normal</v>
      </c>
      <c r="Q14" s="187">
        <v>1583</v>
      </c>
      <c r="R14" s="58" t="str">
        <f ca="1">IF(Q14="NULL","",VLOOKUP($Q14,OFFSET([1]characters!$A$1,0,0,COUNTA([1]characters!$A:$A),MATCH(R$1,[1]characters!$1:$1,0)-MATCH($A$1,[1]characters!$1:$1,0)+1),MATCH(R$1,[1]characters!$1:$1,0)-MATCH($A$1,[1]characters!$1:$1,0)+1,FALSE))</f>
        <v>Corvus01</v>
      </c>
      <c r="S14" s="5">
        <f t="shared" ca="1" si="0"/>
        <v>1581</v>
      </c>
      <c r="T14" s="58" t="str">
        <f ca="1">VLOOKUP($S14,OFFSET([1]characters!$A$1,0,0,COUNTA([1]characters!$A:$A),MATCH(T$1,[1]characters!$1:$1,0)-MATCH($A$1,[1]characters!$1:$1,0)+1),MATCH(T$1,[1]characters!$1:$1,0)-MATCH($A$1,[1]characters!$1:$1,0)+1,FALSE)</f>
        <v>Gemini01</v>
      </c>
      <c r="U14" s="10">
        <f ca="1">IF(Q14="NULL","NULL",VLOOKUP(G14,[3]ビット!$A$2:$B$7,2))</f>
        <v>200000</v>
      </c>
    </row>
    <row r="15" spans="1:21" ht="21" customHeight="1" x14ac:dyDescent="0.15">
      <c r="A15" s="190">
        <v>1582</v>
      </c>
      <c r="B15" s="53" t="str">
        <f ca="1">VLOOKUP($A15,OFFSET([1]characters!$A$1,0,0,COUNTA([1]characters!$A:$A),MATCH(B$1,[1]characters!$1:$1,0)-MATCH($A$1,[1]characters!$1:$1,0)+1),MATCH(B$1,[1]characters!$1:$1,0)-MATCH($A$1,[1]characters!$1:$1,0)+1,FALSE)</f>
        <v>Gemini02</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DropWizS</v>
      </c>
      <c r="I15" s="53" t="str">
        <f ca="1">VLOOKUP($A15,OFFSET([1]characters!$A$1,0,0,COUNTA([1]characters!$A:$A),MATCH(I$1,[1]characters!$1:$1,0)-MATCH($A$1,[1]characters!$1:$1,0)+1),MATCH(I$1,[1]characters!$1:$1,0)-MATCH($A$1,[1]characters!$1:$1,0)+1,FALSE)</f>
        <v>red</v>
      </c>
      <c r="J15" s="53" t="str">
        <f ca="1">VLOOKUP($A15,OFFSET([1]characters!$A$1,0,0,COUNTA([1]characters!$A:$A),MATCH(J$1,[1]characters!$1:$1,0)-MATCH($A$1,[1]characters!$1:$1,0)+1),MATCH(J$1,[1]characters!$1:$1,0)-MATCH($A$1,[1]characters!$1:$1,0)+1,FALSE)</f>
        <v>none</v>
      </c>
      <c r="K15" s="5" t="str">
        <f ca="1">VLOOKUP(J15,[1]character_tribe_i18n!$A:$H,3,FALSE)</f>
        <v>種族なし</v>
      </c>
      <c r="L15" s="10" t="e">
        <f>VLOOKUP(#REF!,[1]character_tribe_i18n!$A:$H,4,FALSE)</f>
        <v>#REF!</v>
      </c>
      <c r="M15" s="10" t="e">
        <f>VLOOKUP(#REF!,[1]character_tribe_i18n!$A:$H,5,FALSE)</f>
        <v>#REF!</v>
      </c>
      <c r="N15" s="10" t="e">
        <f>VLOOKUP(#REF!,[1]character_tribe_i18n!$A:$H,6,FALSE)</f>
        <v>#REF!</v>
      </c>
      <c r="O15" s="10" t="e">
        <f>VLOOKUP(#REF!,[1]character_tribe_i18n!$A:$H,7,FALSE)</f>
        <v>#REF!</v>
      </c>
      <c r="P15" s="176" t="str">
        <f>VLOOKUP(Q15,[1]characters!$A:$AC,20)</f>
        <v>normal</v>
      </c>
      <c r="Q15" s="187">
        <v>1583</v>
      </c>
      <c r="R15" s="58" t="str">
        <f ca="1">IF(Q15="NULL","",VLOOKUP($Q15,OFFSET([1]characters!$A$1,0,0,COUNTA([1]characters!$A:$A),MATCH(R$1,[1]characters!$1:$1,0)-MATCH($A$1,[1]characters!$1:$1,0)+1),MATCH(R$1,[1]characters!$1:$1,0)-MATCH($A$1,[1]characters!$1:$1,0)+1,FALSE))</f>
        <v>Corvus01</v>
      </c>
      <c r="S15" s="5">
        <f t="shared" ca="1" si="0"/>
        <v>1581</v>
      </c>
      <c r="T15" s="58" t="str">
        <f ca="1">VLOOKUP($S15,OFFSET([1]characters!$A$1,0,0,COUNTA([1]characters!$A:$A),MATCH(T$1,[1]characters!$1:$1,0)-MATCH($A$1,[1]characters!$1:$1,0)+1),MATCH(T$1,[1]characters!$1:$1,0)-MATCH($A$1,[1]characters!$1:$1,0)+1,FALSE)</f>
        <v>Gemini01</v>
      </c>
      <c r="U15" s="10">
        <f ca="1">IF(Q15="NULL","NULL",VLOOKUP(G15,[3]ビット!$A$2:$B$7,2))</f>
        <v>200000</v>
      </c>
    </row>
    <row r="16" spans="1:21" ht="21" customHeight="1" x14ac:dyDescent="0.15">
      <c r="A16" s="190">
        <v>1583</v>
      </c>
      <c r="B16" s="53" t="str">
        <f ca="1">VLOOKUP($A16,OFFSET([1]characters!$A$1,0,0,COUNTA([1]characters!$A:$A),MATCH(B$1,[1]characters!$1:$1,0)-MATCH($A$1,[1]characters!$1:$1,0)+1),MATCH(B$1,[1]characters!$1:$1,0)-MATCH($A$1,[1]characters!$1:$1,0)+1,FALSE)</f>
        <v>Corvus01</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6</v>
      </c>
      <c r="H16" s="53" t="str">
        <f ca="1">VLOOKUP($A16,OFFSET([1]characters!$A$1,0,0,COUNTA([1]characters!$A:$A),MATCH(H$1,[1]characters!$1:$1,0)-MATCH($A$1,[1]characters!$1:$1,0)+1),MATCH(H$1,[1]characters!$1:$1,0)-MATCH($A$1,[1]characters!$1:$1,0)+1,FALSE)</f>
        <v>DropWizS</v>
      </c>
      <c r="I16" s="53" t="str">
        <f ca="1">VLOOKUP($A16,OFFSET([1]characters!$A$1,0,0,COUNTA([1]characters!$A:$A),MATCH(I$1,[1]characters!$1:$1,0)-MATCH($A$1,[1]characters!$1:$1,0)+1),MATCH(I$1,[1]characters!$1:$1,0)-MATCH($A$1,[1]characters!$1:$1,0)+1,FALSE)</f>
        <v>red</v>
      </c>
      <c r="J16" s="53" t="str">
        <f ca="1">VLOOKUP($A16,OFFSET([1]characters!$A$1,0,0,COUNTA([1]characters!$A:$A),MATCH(J$1,[1]characters!$1:$1,0)-MATCH($A$1,[1]characters!$1:$1,0)+1),MATCH(J$1,[1]characters!$1:$1,0)-MATCH($A$1,[1]characters!$1:$1,0)+1,FALSE)</f>
        <v>none</v>
      </c>
      <c r="K16" s="5" t="str">
        <f ca="1">VLOOKUP(J16,[1]character_tribe_i18n!$A:$H,3,FALSE)</f>
        <v>種族なし</v>
      </c>
      <c r="L16" s="10" t="e">
        <f>VLOOKUP(#REF!,[1]character_tribe_i18n!$A:$H,4,FALSE)</f>
        <v>#REF!</v>
      </c>
      <c r="M16" s="10" t="e">
        <f>VLOOKUP(#REF!,[1]character_tribe_i18n!$A:$H,5,FALSE)</f>
        <v>#REF!</v>
      </c>
      <c r="N16" s="10" t="e">
        <f>VLOOKUP(#REF!,[1]character_tribe_i18n!$A:$H,6,FALSE)</f>
        <v>#REF!</v>
      </c>
      <c r="O16" s="10" t="e">
        <f>VLOOKUP(#REF!,[1]character_tribe_i18n!$A:$H,7,FALSE)</f>
        <v>#REF!</v>
      </c>
      <c r="P16" s="176" t="str">
        <f>VLOOKUP(Q16,[1]characters!$A:$AC,20)</f>
        <v>normal</v>
      </c>
      <c r="Q16" s="187">
        <v>1582</v>
      </c>
      <c r="R16" s="58" t="str">
        <f ca="1">IF(Q16="NULL","",VLOOKUP($Q16,OFFSET([1]characters!$A$1,0,0,COUNTA([1]characters!$A:$A),MATCH(R$1,[1]characters!$1:$1,0)-MATCH($A$1,[1]characters!$1:$1,0)+1),MATCH(R$1,[1]characters!$1:$1,0)-MATCH($A$1,[1]characters!$1:$1,0)+1,FALSE))</f>
        <v>Gemini02</v>
      </c>
      <c r="S16" s="5">
        <f t="shared" ca="1" si="0"/>
        <v>1581</v>
      </c>
      <c r="T16" s="58" t="str">
        <f ca="1">VLOOKUP($S16,OFFSET([1]characters!$A$1,0,0,COUNTA([1]characters!$A:$A),MATCH(T$1,[1]characters!$1:$1,0)-MATCH($A$1,[1]characters!$1:$1,0)+1),MATCH(T$1,[1]characters!$1:$1,0)-MATCH($A$1,[1]characters!$1:$1,0)+1,FALSE)</f>
        <v>Gemini01</v>
      </c>
      <c r="U16" s="10">
        <f ca="1">IF(Q16="NULL","NULL",VLOOKUP(G16,[3]ビット!$A$2:$B$7,2))</f>
        <v>200000</v>
      </c>
    </row>
    <row r="17" spans="1:21" ht="21" customHeight="1" x14ac:dyDescent="0.15">
      <c r="A17" s="190">
        <v>1584</v>
      </c>
      <c r="B17" s="53" t="str">
        <f ca="1">VLOOKUP($A17,OFFSET([1]characters!$A$1,0,0,COUNTA([1]characters!$A:$A),MATCH(B$1,[1]characters!$1:$1,0)-MATCH($A$1,[1]characters!$1:$1,0)+1),MATCH(B$1,[1]characters!$1:$1,0)-MATCH($A$1,[1]characters!$1:$1,0)+1,FALSE)</f>
        <v>Sirius01</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4</v>
      </c>
      <c r="H17" s="53" t="str">
        <f ca="1">VLOOKUP($A17,OFFSET([1]characters!$A$1,0,0,COUNTA([1]characters!$A:$A),MATCH(H$1,[1]characters!$1:$1,0)-MATCH($A$1,[1]characters!$1:$1,0)+1),MATCH(H$1,[1]characters!$1:$1,0)-MATCH($A$1,[1]characters!$1:$1,0)+1,FALSE)</f>
        <v>DropWizS</v>
      </c>
      <c r="I17" s="53" t="str">
        <f ca="1">VLOOKUP($A17,OFFSET([1]characters!$A$1,0,0,COUNTA([1]characters!$A:$A),MATCH(I$1,[1]characters!$1:$1,0)-MATCH($A$1,[1]characters!$1:$1,0)+1),MATCH(I$1,[1]characters!$1:$1,0)-MATCH($A$1,[1]characters!$1:$1,0)+1,FALSE)</f>
        <v>yellow</v>
      </c>
      <c r="J17" s="53" t="str">
        <f ca="1">VLOOKUP($A17,OFFSET([1]characters!$A$1,0,0,COUNTA([1]characters!$A:$A),MATCH(J$1,[1]characters!$1:$1,0)-MATCH($A$1,[1]characters!$1:$1,0)+1),MATCH(J$1,[1]characters!$1:$1,0)-MATCH($A$1,[1]characters!$1:$1,0)+1,FALSE)</f>
        <v>none</v>
      </c>
      <c r="K17" s="5" t="str">
        <f ca="1">VLOOKUP(J17,[1]character_tribe_i18n!$A:$H,3,FALSE)</f>
        <v>種族なし</v>
      </c>
      <c r="L17" s="10" t="e">
        <f>VLOOKUP(#REF!,[1]character_tribe_i18n!$A:$H,4,FALSE)</f>
        <v>#REF!</v>
      </c>
      <c r="M17" s="10" t="e">
        <f>VLOOKUP(#REF!,[1]character_tribe_i18n!$A:$H,5,FALSE)</f>
        <v>#REF!</v>
      </c>
      <c r="N17" s="10" t="e">
        <f>VLOOKUP(#REF!,[1]character_tribe_i18n!$A:$H,6,FALSE)</f>
        <v>#REF!</v>
      </c>
      <c r="O17" s="10" t="e">
        <f>VLOOKUP(#REF!,[1]character_tribe_i18n!$A:$H,7,FALSE)</f>
        <v>#REF!</v>
      </c>
      <c r="P17" s="176" t="str">
        <f>VLOOKUP(Q17,[1]characters!$A:$AC,20)</f>
        <v>normal</v>
      </c>
      <c r="Q17" s="187">
        <v>1585</v>
      </c>
      <c r="R17" s="58" t="str">
        <f ca="1">IF(Q17="NULL","",VLOOKUP($Q17,OFFSET([1]characters!$A$1,0,0,COUNTA([1]characters!$A:$A),MATCH(R$1,[1]characters!$1:$1,0)-MATCH($A$1,[1]characters!$1:$1,0)+1),MATCH(R$1,[1]characters!$1:$1,0)-MATCH($A$1,[1]characters!$1:$1,0)+1,FALSE))</f>
        <v>Sirius02</v>
      </c>
      <c r="S17" s="5">
        <f t="shared" ca="1" si="0"/>
        <v>1584</v>
      </c>
      <c r="T17" s="58" t="str">
        <f ca="1">VLOOKUP($S17,OFFSET([1]characters!$A$1,0,0,COUNTA([1]characters!$A:$A),MATCH(T$1,[1]characters!$1:$1,0)-MATCH($A$1,[1]characters!$1:$1,0)+1),MATCH(T$1,[1]characters!$1:$1,0)-MATCH($A$1,[1]characters!$1:$1,0)+1,FALSE)</f>
        <v>Sirius01</v>
      </c>
      <c r="U17" s="10">
        <f ca="1">IF(Q17="NULL","NULL",VLOOKUP(G17,[3]ビット!$A$2:$B$7,2))</f>
        <v>50000</v>
      </c>
    </row>
    <row r="18" spans="1:21" ht="21" customHeight="1" x14ac:dyDescent="0.15">
      <c r="A18" s="190">
        <v>1585</v>
      </c>
      <c r="B18" s="53" t="str">
        <f ca="1">VLOOKUP($A18,OFFSET([1]characters!$A$1,0,0,COUNTA([1]characters!$A:$A),MATCH(B$1,[1]characters!$1:$1,0)-MATCH($A$1,[1]characters!$1:$1,0)+1),MATCH(B$1,[1]characters!$1:$1,0)-MATCH($A$1,[1]characters!$1:$1,0)+1,FALSE)</f>
        <v>Sirius02</v>
      </c>
      <c r="C18" s="53">
        <f ca="1">VLOOKUP($A18,OFFSET([1]characters!$A$1,0,0,COUNTA([1]characters!$A:$A),MATCH(C$1,[1]characters!$1:$1,0)-MATCH($A$1,[1]characters!$1:$1,0)+1),MATCH(C$1,[1]characters!$1:$1,0)-MATCH($A$1,[1]characters!$1:$1,0)+1,FALSE)</f>
        <v>0</v>
      </c>
      <c r="D18" s="53">
        <f ca="1">VLOOKUP($A18,OFFSET([1]characters!$A$1,0,0,COUNTA([1]characters!$A:$A),MATCH(D$1,[1]characters!$1:$1,0)-MATCH($A$1,[1]characters!$1:$1,0)+1),MATCH(D$1,[1]characters!$1:$1,0)-MATCH($A$1,[1]characters!$1:$1,0)+1,FALSE)</f>
        <v>0</v>
      </c>
      <c r="E18" s="53">
        <f ca="1">VLOOKUP($A18,OFFSET([1]characters!$A$1,0,0,COUNTA([1]characters!$A:$A),MATCH(E$1,[1]characters!$1:$1,0)-MATCH($A$1,[1]characters!$1:$1,0)+1),MATCH(E$1,[1]characters!$1:$1,0)-MATCH($A$1,[1]characters!$1:$1,0)+1,FALSE)</f>
        <v>0</v>
      </c>
      <c r="F18" s="53">
        <f ca="1">VLOOKUP($A18,OFFSET([1]characters!$A$1,0,0,COUNTA([1]characters!$A:$A),MATCH(F$1,[1]characters!$1:$1,0)-MATCH($A$1,[1]characters!$1:$1,0)+1),MATCH(F$1,[1]characters!$1:$1,0)-MATCH($A$1,[1]characters!$1:$1,0)+1,FALSE)</f>
        <v>0</v>
      </c>
      <c r="G18" s="53">
        <f ca="1">VLOOKUP($A18,OFFSET([1]characters!$A$1,0,0,COUNTA([1]characters!$A:$A),MATCH(G$1,[1]characters!$1:$1,0)-MATCH($A$1,[1]characters!$1:$1,0)+1),MATCH(G$1,[1]characters!$1:$1,0)-MATCH($A$1,[1]characters!$1:$1,0)+1,FALSE)</f>
        <v>5</v>
      </c>
      <c r="H18" s="53" t="str">
        <f ca="1">VLOOKUP($A18,OFFSET([1]characters!$A$1,0,0,COUNTA([1]characters!$A:$A),MATCH(H$1,[1]characters!$1:$1,0)-MATCH($A$1,[1]characters!$1:$1,0)+1),MATCH(H$1,[1]characters!$1:$1,0)-MATCH($A$1,[1]characters!$1:$1,0)+1,FALSE)</f>
        <v>DropWizS</v>
      </c>
      <c r="I18" s="53" t="str">
        <f ca="1">VLOOKUP($A18,OFFSET([1]characters!$A$1,0,0,COUNTA([1]characters!$A:$A),MATCH(I$1,[1]characters!$1:$1,0)-MATCH($A$1,[1]characters!$1:$1,0)+1),MATCH(I$1,[1]characters!$1:$1,0)-MATCH($A$1,[1]characters!$1:$1,0)+1,FALSE)</f>
        <v>yellow</v>
      </c>
      <c r="J18" s="53" t="str">
        <f ca="1">VLOOKUP($A18,OFFSET([1]characters!$A$1,0,0,COUNTA([1]characters!$A:$A),MATCH(J$1,[1]characters!$1:$1,0)-MATCH($A$1,[1]characters!$1:$1,0)+1),MATCH(J$1,[1]characters!$1:$1,0)-MATCH($A$1,[1]characters!$1:$1,0)+1,FALSE)</f>
        <v>none</v>
      </c>
      <c r="K18" s="5" t="str">
        <f ca="1">VLOOKUP(J18,[1]character_tribe_i18n!$A:$H,3,FALSE)</f>
        <v>種族なし</v>
      </c>
      <c r="L18" s="10" t="e">
        <f>VLOOKUP(#REF!,[1]character_tribe_i18n!$A:$H,4,FALSE)</f>
        <v>#REF!</v>
      </c>
      <c r="M18" s="10" t="e">
        <f>VLOOKUP(#REF!,[1]character_tribe_i18n!$A:$H,5,FALSE)</f>
        <v>#REF!</v>
      </c>
      <c r="N18" s="10" t="e">
        <f>VLOOKUP(#REF!,[1]character_tribe_i18n!$A:$H,6,FALSE)</f>
        <v>#REF!</v>
      </c>
      <c r="O18" s="10" t="e">
        <f>VLOOKUP(#REF!,[1]character_tribe_i18n!$A:$H,7,FALSE)</f>
        <v>#REF!</v>
      </c>
      <c r="P18" s="176" t="str">
        <f>VLOOKUP(Q18,[1]characters!$A:$AC,20)</f>
        <v>normal</v>
      </c>
      <c r="Q18" s="187">
        <v>1586</v>
      </c>
      <c r="R18" s="58" t="str">
        <f ca="1">IF(Q18="NULL","",VLOOKUP($Q18,OFFSET([1]characters!$A$1,0,0,COUNTA([1]characters!$A:$A),MATCH(R$1,[1]characters!$1:$1,0)-MATCH($A$1,[1]characters!$1:$1,0)+1),MATCH(R$1,[1]characters!$1:$1,0)-MATCH($A$1,[1]characters!$1:$1,0)+1,FALSE))</f>
        <v>Sirius03</v>
      </c>
      <c r="S18" s="5">
        <f t="shared" ca="1" si="0"/>
        <v>1584</v>
      </c>
      <c r="T18" s="58" t="str">
        <f ca="1">VLOOKUP($S18,OFFSET([1]characters!$A$1,0,0,COUNTA([1]characters!$A:$A),MATCH(T$1,[1]characters!$1:$1,0)-MATCH($A$1,[1]characters!$1:$1,0)+1),MATCH(T$1,[1]characters!$1:$1,0)-MATCH($A$1,[1]characters!$1:$1,0)+1,FALSE)</f>
        <v>Sirius01</v>
      </c>
      <c r="U18" s="10">
        <f ca="1">IF(Q18="NULL","NULL",VLOOKUP(G18,[3]ビット!$A$2:$B$7,2))</f>
        <v>200000</v>
      </c>
    </row>
    <row r="19" spans="1:21" ht="21" customHeight="1" x14ac:dyDescent="0.15">
      <c r="A19" s="190">
        <v>1587</v>
      </c>
      <c r="B19" s="53" t="str">
        <f ca="1">VLOOKUP($A19,OFFSET([1]characters!$A$1,0,0,COUNTA([1]characters!$A:$A),MATCH(B$1,[1]characters!$1:$1,0)-MATCH($A$1,[1]characters!$1:$1,0)+1),MATCH(B$1,[1]characters!$1:$1,0)-MATCH($A$1,[1]characters!$1:$1,0)+1,FALSE)</f>
        <v>Virgo01</v>
      </c>
      <c r="C19" s="53">
        <f ca="1">VLOOKUP($A19,OFFSET([1]characters!$A$1,0,0,COUNTA([1]characters!$A:$A),MATCH(C$1,[1]characters!$1:$1,0)-MATCH($A$1,[1]characters!$1:$1,0)+1),MATCH(C$1,[1]characters!$1:$1,0)-MATCH($A$1,[1]characters!$1:$1,0)+1,FALSE)</f>
        <v>0</v>
      </c>
      <c r="D19" s="53">
        <f ca="1">VLOOKUP($A19,OFFSET([1]characters!$A$1,0,0,COUNTA([1]characters!$A:$A),MATCH(D$1,[1]characters!$1:$1,0)-MATCH($A$1,[1]characters!$1:$1,0)+1),MATCH(D$1,[1]characters!$1:$1,0)-MATCH($A$1,[1]characters!$1:$1,0)+1,FALSE)</f>
        <v>0</v>
      </c>
      <c r="E19" s="53">
        <f ca="1">VLOOKUP($A19,OFFSET([1]characters!$A$1,0,0,COUNTA([1]characters!$A:$A),MATCH(E$1,[1]characters!$1:$1,0)-MATCH($A$1,[1]characters!$1:$1,0)+1),MATCH(E$1,[1]characters!$1:$1,0)-MATCH($A$1,[1]characters!$1:$1,0)+1,FALSE)</f>
        <v>0</v>
      </c>
      <c r="F19" s="53">
        <f ca="1">VLOOKUP($A19,OFFSET([1]characters!$A$1,0,0,COUNTA([1]characters!$A:$A),MATCH(F$1,[1]characters!$1:$1,0)-MATCH($A$1,[1]characters!$1:$1,0)+1),MATCH(F$1,[1]characters!$1:$1,0)-MATCH($A$1,[1]characters!$1:$1,0)+1,FALSE)</f>
        <v>0</v>
      </c>
      <c r="G19" s="53">
        <f ca="1">VLOOKUP($A19,OFFSET([1]characters!$A$1,0,0,COUNTA([1]characters!$A:$A),MATCH(G$1,[1]characters!$1:$1,0)-MATCH($A$1,[1]characters!$1:$1,0)+1),MATCH(G$1,[1]characters!$1:$1,0)-MATCH($A$1,[1]characters!$1:$1,0)+1,FALSE)</f>
        <v>5</v>
      </c>
      <c r="H19" s="53" t="str">
        <f ca="1">VLOOKUP($A19,OFFSET([1]characters!$A$1,0,0,COUNTA([1]characters!$A:$A),MATCH(H$1,[1]characters!$1:$1,0)-MATCH($A$1,[1]characters!$1:$1,0)+1),MATCH(H$1,[1]characters!$1:$1,0)-MATCH($A$1,[1]characters!$1:$1,0)+1,FALSE)</f>
        <v>DropWizS</v>
      </c>
      <c r="I19" s="53" t="str">
        <f ca="1">VLOOKUP($A19,OFFSET([1]characters!$A$1,0,0,COUNTA([1]characters!$A:$A),MATCH(I$1,[1]characters!$1:$1,0)-MATCH($A$1,[1]characters!$1:$1,0)+1),MATCH(I$1,[1]characters!$1:$1,0)-MATCH($A$1,[1]characters!$1:$1,0)+1,FALSE)</f>
        <v>green</v>
      </c>
      <c r="J19" s="53" t="str">
        <f ca="1">VLOOKUP($A19,OFFSET([1]characters!$A$1,0,0,COUNTA([1]characters!$A:$A),MATCH(J$1,[1]characters!$1:$1,0)-MATCH($A$1,[1]characters!$1:$1,0)+1),MATCH(J$1,[1]characters!$1:$1,0)-MATCH($A$1,[1]characters!$1:$1,0)+1,FALSE)</f>
        <v>none</v>
      </c>
      <c r="K19" s="5" t="str">
        <f ca="1">VLOOKUP(J19,[1]character_tribe_i18n!$A:$H,3,FALSE)</f>
        <v>種族なし</v>
      </c>
      <c r="L19" s="10" t="e">
        <f>VLOOKUP(#REF!,[1]character_tribe_i18n!$A:$H,4,FALSE)</f>
        <v>#REF!</v>
      </c>
      <c r="M19" s="10" t="e">
        <f>VLOOKUP(#REF!,[1]character_tribe_i18n!$A:$H,5,FALSE)</f>
        <v>#REF!</v>
      </c>
      <c r="N19" s="10" t="e">
        <f>VLOOKUP(#REF!,[1]character_tribe_i18n!$A:$H,6,FALSE)</f>
        <v>#REF!</v>
      </c>
      <c r="O19" s="10" t="e">
        <f>VLOOKUP(#REF!,[1]character_tribe_i18n!$A:$H,7,FALSE)</f>
        <v>#REF!</v>
      </c>
      <c r="P19" s="176" t="str">
        <f>VLOOKUP(Q19,[1]characters!$A:$AC,20)</f>
        <v>normal</v>
      </c>
      <c r="Q19" s="187">
        <v>1588</v>
      </c>
      <c r="R19" s="58" t="str">
        <f ca="1">IF(Q19="NULL","",VLOOKUP($Q19,OFFSET([1]characters!$A$1,0,0,COUNTA([1]characters!$A:$A),MATCH(R$1,[1]characters!$1:$1,0)-MATCH($A$1,[1]characters!$1:$1,0)+1),MATCH(R$1,[1]characters!$1:$1,0)-MATCH($A$1,[1]characters!$1:$1,0)+1,FALSE))</f>
        <v>Virgo02</v>
      </c>
      <c r="S19" s="5">
        <f t="shared" ca="1" si="0"/>
        <v>1587</v>
      </c>
      <c r="T19" s="58" t="str">
        <f ca="1">VLOOKUP($S19,OFFSET([1]characters!$A$1,0,0,COUNTA([1]characters!$A:$A),MATCH(T$1,[1]characters!$1:$1,0)-MATCH($A$1,[1]characters!$1:$1,0)+1),MATCH(T$1,[1]characters!$1:$1,0)-MATCH($A$1,[1]characters!$1:$1,0)+1,FALSE)</f>
        <v>Virgo01</v>
      </c>
      <c r="U19" s="10">
        <f ca="1">IF(Q19="NULL","NULL",VLOOKUP(G19,[3]ビット!$A$2:$B$7,2))</f>
        <v>200000</v>
      </c>
    </row>
  </sheetData>
  <autoFilter ref="A1:U3"/>
  <phoneticPr fontId="22"/>
  <conditionalFormatting sqref="W1 W20:W1048576 W3">
    <cfRule type="cellIs" dxfId="41" priority="26" operator="equal">
      <formula>"FALSE"</formula>
    </cfRule>
  </conditionalFormatting>
  <conditionalFormatting sqref="W4">
    <cfRule type="cellIs" dxfId="40" priority="20" operator="equal">
      <formula>"FALSE"</formula>
    </cfRule>
  </conditionalFormatting>
  <conditionalFormatting sqref="W5">
    <cfRule type="cellIs" dxfId="39" priority="19" operator="equal">
      <formula>"FALSE"</formula>
    </cfRule>
  </conditionalFormatting>
  <conditionalFormatting sqref="W2">
    <cfRule type="cellIs" dxfId="38" priority="18" operator="equal">
      <formula>"FALSE"</formula>
    </cfRule>
  </conditionalFormatting>
  <conditionalFormatting sqref="W7">
    <cfRule type="cellIs" dxfId="37" priority="17" operator="equal">
      <formula>"FALSE"</formula>
    </cfRule>
  </conditionalFormatting>
  <conditionalFormatting sqref="W8">
    <cfRule type="cellIs" dxfId="36" priority="16" operator="equal">
      <formula>"FALSE"</formula>
    </cfRule>
  </conditionalFormatting>
  <conditionalFormatting sqref="W9">
    <cfRule type="cellIs" dxfId="35" priority="15" operator="equal">
      <formula>"FALSE"</formula>
    </cfRule>
  </conditionalFormatting>
  <conditionalFormatting sqref="W6">
    <cfRule type="cellIs" dxfId="34" priority="14" operator="equal">
      <formula>"FALSE"</formula>
    </cfRule>
  </conditionalFormatting>
  <conditionalFormatting sqref="W11">
    <cfRule type="cellIs" dxfId="33" priority="13" operator="equal">
      <formula>"FALSE"</formula>
    </cfRule>
  </conditionalFormatting>
  <conditionalFormatting sqref="W12">
    <cfRule type="cellIs" dxfId="32" priority="12" operator="equal">
      <formula>"FALSE"</formula>
    </cfRule>
  </conditionalFormatting>
  <conditionalFormatting sqref="W13">
    <cfRule type="cellIs" dxfId="31" priority="11" operator="equal">
      <formula>"FALSE"</formula>
    </cfRule>
  </conditionalFormatting>
  <conditionalFormatting sqref="W10">
    <cfRule type="cellIs" dxfId="30" priority="10" operator="equal">
      <formula>"FALSE"</formula>
    </cfRule>
  </conditionalFormatting>
  <conditionalFormatting sqref="W15">
    <cfRule type="cellIs" dxfId="29" priority="9" operator="equal">
      <formula>"FALSE"</formula>
    </cfRule>
  </conditionalFormatting>
  <conditionalFormatting sqref="W16">
    <cfRule type="cellIs" dxfId="28" priority="8" operator="equal">
      <formula>"FALSE"</formula>
    </cfRule>
  </conditionalFormatting>
  <conditionalFormatting sqref="W17">
    <cfRule type="cellIs" dxfId="27" priority="7" operator="equal">
      <formula>"FALSE"</formula>
    </cfRule>
  </conditionalFormatting>
  <conditionalFormatting sqref="W14">
    <cfRule type="cellIs" dxfId="26" priority="6" operator="equal">
      <formula>"FALSE"</formula>
    </cfRule>
  </conditionalFormatting>
  <conditionalFormatting sqref="W18">
    <cfRule type="cellIs" dxfId="25" priority="5" operator="equal">
      <formula>"FALSE"</formula>
    </cfRule>
  </conditionalFormatting>
  <conditionalFormatting sqref="W19">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74"/>
  <sheetViews>
    <sheetView showGridLines="0" workbookViewId="0">
      <pane ySplit="1" topLeftCell="A14" activePane="bottomLeft" state="frozen"/>
      <selection pane="bottomLeft" activeCell="M30" sqref="M3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B2&amp;"_"&amp;I2</f>
        <v>1551_103</v>
      </c>
      <c r="B2" s="194">
        <v>1551</v>
      </c>
      <c r="C2" s="178">
        <f>B2</f>
        <v>1551</v>
      </c>
      <c r="D2" s="53" t="str">
        <f ca="1">VLOOKUP($C2,OFFSET([1]characters!$A$1,0,0,COUNTA([1]characters!$A:$A),MATCH(D$1,[1]characters!$1:$1,0)-MATCH($C$1,[1]characters!$1:$1,0)+1),MATCH(D$1,[1]characters!$1:$1,0)-MATCH($C$1,[1]characters!$1:$1,0)+1,FALSE)</f>
        <v>Leo01</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4">
        <v>1552</v>
      </c>
      <c r="H2" s="53" t="str">
        <f ca="1">VLOOKUP($G2,OFFSET([1]characters!$A$1,0,0,COUNTA([1]characters!$A:$A),MATCH(H$1,[1]characters!$1:$1,0)-MATCH($C$1,[1]characters!$1:$1,0)+1),MATCH(H$1,[1]characters!$1:$1,0)-MATCH($C$1,[1]characters!$1:$1,0)+1,FALSE)</f>
        <v>Leo02</v>
      </c>
      <c r="I2" s="193">
        <v>103</v>
      </c>
      <c r="J2" s="53" t="str">
        <f ca="1">VLOOKUP($I2,OFFSET([1]characters!$A$1,0,0,COUNTA([1]characters!$A:$A),MATCH(J$1,[1]characters!$1:$1,0)-MATCH($C$1,[1]characters!$1:$1,0)+1),MATCH(J$1,[1]characters!$1:$1,0)-MATCH($C$1,[1]characters!$1:$1,0)+1,FALSE)</f>
        <v>レッドキャタップ</v>
      </c>
      <c r="K2" s="191">
        <v>1</v>
      </c>
      <c r="L2" s="191">
        <v>1</v>
      </c>
      <c r="M2" s="192">
        <v>10</v>
      </c>
      <c r="N2" s="2" t="s">
        <v>290</v>
      </c>
    </row>
    <row r="3" spans="1:14" ht="21" customHeight="1" x14ac:dyDescent="0.15">
      <c r="A3" s="61" t="str">
        <f>B3&amp;"_"&amp;I3</f>
        <v>1551_102</v>
      </c>
      <c r="B3" s="194">
        <v>1551</v>
      </c>
      <c r="C3" s="178">
        <f>B3</f>
        <v>1551</v>
      </c>
      <c r="D3" s="53" t="str">
        <f ca="1">VLOOKUP($C3,OFFSET([1]characters!$A$1,0,0,COUNTA([1]characters!$A:$A),MATCH(D$1,[1]characters!$1:$1,0)-MATCH($C$1,[1]characters!$1:$1,0)+1),MATCH(D$1,[1]characters!$1:$1,0)-MATCH($C$1,[1]characters!$1:$1,0)+1,FALSE)</f>
        <v>Leo01</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4">
        <v>1552</v>
      </c>
      <c r="H3" s="53" t="str">
        <f ca="1">VLOOKUP($G3,OFFSET([1]characters!$A$1,0,0,COUNTA([1]characters!$A:$A),MATCH(H$1,[1]characters!$1:$1,0)-MATCH($C$1,[1]characters!$1:$1,0)+1),MATCH(H$1,[1]characters!$1:$1,0)-MATCH($C$1,[1]characters!$1:$1,0)+1,FALSE)</f>
        <v>Leo02</v>
      </c>
      <c r="I3" s="193">
        <v>102</v>
      </c>
      <c r="J3" s="53" t="str">
        <f ca="1">VLOOKUP($I3,OFFSET([1]characters!$A$1,0,0,COUNTA([1]characters!$A:$A),MATCH(J$1,[1]characters!$1:$1,0)-MATCH($C$1,[1]characters!$1:$1,0)+1),MATCH(J$1,[1]characters!$1:$1,0)-MATCH($C$1,[1]characters!$1:$1,0)+1,FALSE)</f>
        <v>レッドラビット</v>
      </c>
      <c r="K3" s="191">
        <v>1</v>
      </c>
      <c r="L3" s="191">
        <v>1</v>
      </c>
      <c r="M3" s="192">
        <v>10</v>
      </c>
      <c r="N3" s="2" t="s">
        <v>290</v>
      </c>
    </row>
    <row r="4" spans="1:14" ht="21" customHeight="1" x14ac:dyDescent="0.15">
      <c r="A4" s="61" t="str">
        <f>B4&amp;"_"&amp;I4</f>
        <v>1551_356</v>
      </c>
      <c r="B4" s="194">
        <v>1551</v>
      </c>
      <c r="C4" s="178">
        <f>B4</f>
        <v>1551</v>
      </c>
      <c r="D4" s="53" t="str">
        <f ca="1">VLOOKUP($C4,OFFSET([1]characters!$A$1,0,0,COUNTA([1]characters!$A:$A),MATCH(D$1,[1]characters!$1:$1,0)-MATCH($C$1,[1]characters!$1:$1,0)+1),MATCH(D$1,[1]characters!$1:$1,0)-MATCH($C$1,[1]characters!$1:$1,0)+1,FALSE)</f>
        <v>Leo01</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4">
        <v>1552</v>
      </c>
      <c r="H4" s="53" t="str">
        <f ca="1">VLOOKUP($G4,OFFSET([1]characters!$A$1,0,0,COUNTA([1]characters!$A:$A),MATCH(H$1,[1]characters!$1:$1,0)-MATCH($C$1,[1]characters!$1:$1,0)+1),MATCH(H$1,[1]characters!$1:$1,0)-MATCH($C$1,[1]characters!$1:$1,0)+1,FALSE)</f>
        <v>Leo02</v>
      </c>
      <c r="I4" s="193">
        <v>356</v>
      </c>
      <c r="J4" s="53" t="str">
        <f ca="1">VLOOKUP($I4,OFFSET([1]characters!$A$1,0,0,COUNTA([1]characters!$A:$A),MATCH(J$1,[1]characters!$1:$1,0)-MATCH($C$1,[1]characters!$1:$1,0)+1),MATCH(J$1,[1]characters!$1:$1,0)-MATCH($C$1,[1]characters!$1:$1,0)+1,FALSE)</f>
        <v>炎上のドードー</v>
      </c>
      <c r="K4" s="191">
        <v>1</v>
      </c>
      <c r="L4" s="191">
        <v>1</v>
      </c>
      <c r="M4" s="192">
        <v>10</v>
      </c>
      <c r="N4" s="2" t="s">
        <v>290</v>
      </c>
    </row>
    <row r="5" spans="1:14" ht="21" customHeight="1" x14ac:dyDescent="0.15">
      <c r="A5" s="61" t="str">
        <f>B5&amp;"_"&amp;I5</f>
        <v>1551_837</v>
      </c>
      <c r="B5" s="194">
        <v>1551</v>
      </c>
      <c r="C5" s="178">
        <f>B5</f>
        <v>1551</v>
      </c>
      <c r="D5" s="53" t="str">
        <f ca="1">VLOOKUP($C5,OFFSET([1]characters!$A$1,0,0,COUNTA([1]characters!$A:$A),MATCH(D$1,[1]characters!$1:$1,0)-MATCH($C$1,[1]characters!$1:$1,0)+1),MATCH(D$1,[1]characters!$1:$1,0)-MATCH($C$1,[1]characters!$1:$1,0)+1,FALSE)</f>
        <v>Leo01</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4">
        <v>1552</v>
      </c>
      <c r="H5" s="53" t="str">
        <f ca="1">VLOOKUP($G5,OFFSET([1]characters!$A$1,0,0,COUNTA([1]characters!$A:$A),MATCH(H$1,[1]characters!$1:$1,0)-MATCH($C$1,[1]characters!$1:$1,0)+1),MATCH(H$1,[1]characters!$1:$1,0)-MATCH($C$1,[1]characters!$1:$1,0)+1,FALSE)</f>
        <v>Leo02</v>
      </c>
      <c r="I5" s="193">
        <v>837</v>
      </c>
      <c r="J5" s="53" t="str">
        <f ca="1">VLOOKUP($I5,OFFSET([1]characters!$A$1,0,0,COUNTA([1]characters!$A:$A),MATCH(J$1,[1]characters!$1:$1,0)-MATCH($C$1,[1]characters!$1:$1,0)+1),MATCH(J$1,[1]characters!$1:$1,0)-MATCH($C$1,[1]characters!$1:$1,0)+1,FALSE)</f>
        <v>リトルハンプティ</v>
      </c>
      <c r="K5" s="191">
        <v>1</v>
      </c>
      <c r="L5" s="191">
        <v>1</v>
      </c>
      <c r="M5" s="192">
        <v>1000</v>
      </c>
      <c r="N5" s="2" t="s">
        <v>290</v>
      </c>
    </row>
    <row r="6" spans="1:14" ht="21" customHeight="1" x14ac:dyDescent="0.15">
      <c r="A6" s="61" t="str">
        <f t="shared" ref="A6" si="0">B6&amp;"_"&amp;I6</f>
        <v>1553_1373</v>
      </c>
      <c r="B6" s="194">
        <v>1553</v>
      </c>
      <c r="C6" s="178">
        <f t="shared" ref="C6" si="1">B6</f>
        <v>1553</v>
      </c>
      <c r="D6" s="53" t="str">
        <f ca="1">VLOOKUP($C6,OFFSET([1]characters!$A$1,0,0,COUNTA([1]characters!$A:$A),MATCH(D$1,[1]characters!$1:$1,0)-MATCH($C$1,[1]characters!$1:$1,0)+1),MATCH(D$1,[1]characters!$1:$1,0)-MATCH($C$1,[1]characters!$1:$1,0)+1,FALSE)</f>
        <v>Andromeda01</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4">
        <v>1554</v>
      </c>
      <c r="H6" s="53" t="str">
        <f ca="1">VLOOKUP($G6,OFFSET([1]characters!$A$1,0,0,COUNTA([1]characters!$A:$A),MATCH(H$1,[1]characters!$1:$1,0)-MATCH($C$1,[1]characters!$1:$1,0)+1),MATCH(H$1,[1]characters!$1:$1,0)-MATCH($C$1,[1]characters!$1:$1,0)+1,FALSE)</f>
        <v>Andromeda02</v>
      </c>
      <c r="I6" s="193">
        <v>1373</v>
      </c>
      <c r="J6" s="53" t="str">
        <f ca="1">VLOOKUP($I6,OFFSET([1]characters!$A$1,0,0,COUNTA([1]characters!$A:$A),MATCH(J$1,[1]characters!$1:$1,0)-MATCH($C$1,[1]characters!$1:$1,0)+1),MATCH(J$1,[1]characters!$1:$1,0)-MATCH($C$1,[1]characters!$1:$1,0)+1,FALSE)</f>
        <v>スリー・ピギーズ</v>
      </c>
      <c r="K6" s="191">
        <v>1</v>
      </c>
      <c r="L6" s="191">
        <v>1</v>
      </c>
      <c r="M6" s="192">
        <v>100</v>
      </c>
      <c r="N6" s="2" t="s">
        <v>290</v>
      </c>
    </row>
    <row r="7" spans="1:14" ht="21" customHeight="1" x14ac:dyDescent="0.15">
      <c r="A7" s="61" t="str">
        <f t="shared" ref="A7:A8" si="2">B7&amp;"_"&amp;I7</f>
        <v>1553_1096</v>
      </c>
      <c r="B7" s="194">
        <v>1553</v>
      </c>
      <c r="C7" s="178">
        <f t="shared" ref="C7:C8" si="3">B7</f>
        <v>1553</v>
      </c>
      <c r="D7" s="53" t="str">
        <f ca="1">VLOOKUP($C7,OFFSET([1]characters!$A$1,0,0,COUNTA([1]characters!$A:$A),MATCH(D$1,[1]characters!$1:$1,0)-MATCH($C$1,[1]characters!$1:$1,0)+1),MATCH(D$1,[1]characters!$1:$1,0)-MATCH($C$1,[1]characters!$1:$1,0)+1,FALSE)</f>
        <v>Andromeda01</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v>
      </c>
      <c r="G7" s="194">
        <v>1554</v>
      </c>
      <c r="H7" s="53" t="str">
        <f ca="1">VLOOKUP($G7,OFFSET([1]characters!$A$1,0,0,COUNTA([1]characters!$A:$A),MATCH(H$1,[1]characters!$1:$1,0)-MATCH($C$1,[1]characters!$1:$1,0)+1),MATCH(H$1,[1]characters!$1:$1,0)-MATCH($C$1,[1]characters!$1:$1,0)+1,FALSE)</f>
        <v>Andromeda02</v>
      </c>
      <c r="I7" s="193">
        <v>1096</v>
      </c>
      <c r="J7" s="53" t="str">
        <f ca="1">VLOOKUP($I7,OFFSET([1]characters!$A$1,0,0,COUNTA([1]characters!$A:$A),MATCH(J$1,[1]characters!$1:$1,0)-MATCH($C$1,[1]characters!$1:$1,0)+1),MATCH(J$1,[1]characters!$1:$1,0)-MATCH($C$1,[1]characters!$1:$1,0)+1,FALSE)</f>
        <v>ジャ・リダルサ</v>
      </c>
      <c r="K7" s="191">
        <v>1</v>
      </c>
      <c r="L7" s="191">
        <v>1</v>
      </c>
      <c r="M7" s="192">
        <v>100</v>
      </c>
      <c r="N7" s="2" t="s">
        <v>290</v>
      </c>
    </row>
    <row r="8" spans="1:14" ht="21" customHeight="1" x14ac:dyDescent="0.15">
      <c r="A8" s="61" t="str">
        <f t="shared" si="2"/>
        <v>1553_115</v>
      </c>
      <c r="B8" s="194">
        <v>1553</v>
      </c>
      <c r="C8" s="178">
        <f t="shared" si="3"/>
        <v>1553</v>
      </c>
      <c r="D8" s="53" t="str">
        <f ca="1">VLOOKUP($C8,OFFSET([1]characters!$A$1,0,0,COUNTA([1]characters!$A:$A),MATCH(D$1,[1]characters!$1:$1,0)-MATCH($C$1,[1]characters!$1:$1,0)+1),MATCH(D$1,[1]characters!$1:$1,0)-MATCH($C$1,[1]characters!$1:$1,0)+1,FALSE)</f>
        <v>Andromeda01</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v>
      </c>
      <c r="G8" s="194">
        <v>1554</v>
      </c>
      <c r="H8" s="53" t="str">
        <f ca="1">VLOOKUP($G8,OFFSET([1]characters!$A$1,0,0,COUNTA([1]characters!$A:$A),MATCH(H$1,[1]characters!$1:$1,0)-MATCH($C$1,[1]characters!$1:$1,0)+1),MATCH(H$1,[1]characters!$1:$1,0)-MATCH($C$1,[1]characters!$1:$1,0)+1,FALSE)</f>
        <v>Andromeda02</v>
      </c>
      <c r="I8" s="193">
        <v>115</v>
      </c>
      <c r="J8" s="53" t="str">
        <f ca="1">VLOOKUP($I8,OFFSET([1]characters!$A$1,0,0,COUNTA([1]characters!$A:$A),MATCH(J$1,[1]characters!$1:$1,0)-MATCH($C$1,[1]characters!$1:$1,0)+1),MATCH(J$1,[1]characters!$1:$1,0)-MATCH($C$1,[1]characters!$1:$1,0)+1,FALSE)</f>
        <v>イエローキャタップ</v>
      </c>
      <c r="K8" s="191">
        <v>1</v>
      </c>
      <c r="L8" s="191">
        <v>1</v>
      </c>
      <c r="M8" s="192">
        <v>10</v>
      </c>
      <c r="N8" s="2" t="s">
        <v>290</v>
      </c>
    </row>
    <row r="9" spans="1:14" ht="21" customHeight="1" x14ac:dyDescent="0.15">
      <c r="A9" s="61" t="str">
        <f t="shared" ref="A9" si="4">B9&amp;"_"&amp;I9</f>
        <v>1553_116</v>
      </c>
      <c r="B9" s="194">
        <v>1553</v>
      </c>
      <c r="C9" s="178">
        <f t="shared" ref="C9" si="5">B9</f>
        <v>1553</v>
      </c>
      <c r="D9" s="53" t="str">
        <f ca="1">VLOOKUP($C9,OFFSET([1]characters!$A$1,0,0,COUNTA([1]characters!$A:$A),MATCH(D$1,[1]characters!$1:$1,0)-MATCH($C$1,[1]characters!$1:$1,0)+1),MATCH(D$1,[1]characters!$1:$1,0)-MATCH($C$1,[1]characters!$1:$1,0)+1,FALSE)</f>
        <v>Andromeda01</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v>
      </c>
      <c r="G9" s="194">
        <v>1554</v>
      </c>
      <c r="H9" s="53" t="str">
        <f ca="1">VLOOKUP($G9,OFFSET([1]characters!$A$1,0,0,COUNTA([1]characters!$A:$A),MATCH(H$1,[1]characters!$1:$1,0)-MATCH($C$1,[1]characters!$1:$1,0)+1),MATCH(H$1,[1]characters!$1:$1,0)-MATCH($C$1,[1]characters!$1:$1,0)+1,FALSE)</f>
        <v>Andromeda02</v>
      </c>
      <c r="I9" s="193">
        <v>116</v>
      </c>
      <c r="J9" s="53" t="str">
        <f ca="1">VLOOKUP($I9,OFFSET([1]characters!$A$1,0,0,COUNTA([1]characters!$A:$A),MATCH(J$1,[1]characters!$1:$1,0)-MATCH($C$1,[1]characters!$1:$1,0)+1),MATCH(J$1,[1]characters!$1:$1,0)-MATCH($C$1,[1]characters!$1:$1,0)+1,FALSE)</f>
        <v>雷のマッドハッター</v>
      </c>
      <c r="K9" s="191">
        <v>1</v>
      </c>
      <c r="L9" s="191">
        <v>1</v>
      </c>
      <c r="M9" s="192">
        <v>10</v>
      </c>
      <c r="N9" s="2" t="s">
        <v>290</v>
      </c>
    </row>
    <row r="10" spans="1:14" ht="21" customHeight="1" x14ac:dyDescent="0.15">
      <c r="A10" s="61" t="str">
        <f t="shared" ref="A10" si="6">B10&amp;"_"&amp;I10</f>
        <v>1553_837</v>
      </c>
      <c r="B10" s="194">
        <v>1553</v>
      </c>
      <c r="C10" s="178">
        <f t="shared" ref="C10" si="7">B10</f>
        <v>1553</v>
      </c>
      <c r="D10" s="53" t="str">
        <f ca="1">VLOOKUP($C10,OFFSET([1]characters!$A$1,0,0,COUNTA([1]characters!$A:$A),MATCH(D$1,[1]characters!$1:$1,0)-MATCH($C$1,[1]characters!$1:$1,0)+1),MATCH(D$1,[1]characters!$1:$1,0)-MATCH($C$1,[1]characters!$1:$1,0)+1,FALSE)</f>
        <v>Andromeda01</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PremiumSS</v>
      </c>
      <c r="G10" s="194">
        <v>1554</v>
      </c>
      <c r="H10" s="53" t="str">
        <f ca="1">VLOOKUP($G10,OFFSET([1]characters!$A$1,0,0,COUNTA([1]characters!$A:$A),MATCH(H$1,[1]characters!$1:$1,0)-MATCH($C$1,[1]characters!$1:$1,0)+1),MATCH(H$1,[1]characters!$1:$1,0)-MATCH($C$1,[1]characters!$1:$1,0)+1,FALSE)</f>
        <v>Andromeda02</v>
      </c>
      <c r="I10" s="193">
        <v>837</v>
      </c>
      <c r="J10" s="53" t="str">
        <f ca="1">VLOOKUP($I10,OFFSET([1]characters!$A$1,0,0,COUNTA([1]characters!$A:$A),MATCH(J$1,[1]characters!$1:$1,0)-MATCH($C$1,[1]characters!$1:$1,0)+1),MATCH(J$1,[1]characters!$1:$1,0)-MATCH($C$1,[1]characters!$1:$1,0)+1,FALSE)</f>
        <v>リトルハンプティ</v>
      </c>
      <c r="K10" s="191">
        <v>1</v>
      </c>
      <c r="L10" s="191">
        <v>1</v>
      </c>
      <c r="M10" s="192">
        <v>1000</v>
      </c>
      <c r="N10" s="2" t="s">
        <v>290</v>
      </c>
    </row>
    <row r="11" spans="1:14" ht="21" customHeight="1" x14ac:dyDescent="0.15">
      <c r="A11" s="61" t="str">
        <f t="shared" ref="A11" si="8">B11&amp;"_"&amp;I11</f>
        <v>1556_1324</v>
      </c>
      <c r="B11" s="194">
        <v>1556</v>
      </c>
      <c r="C11" s="178">
        <f t="shared" ref="C11" si="9">B11</f>
        <v>1556</v>
      </c>
      <c r="D11" s="53" t="str">
        <f ca="1">VLOOKUP($C11,OFFSET([1]characters!$A$1,0,0,COUNTA([1]characters!$A:$A),MATCH(D$1,[1]characters!$1:$1,0)-MATCH($C$1,[1]characters!$1:$1,0)+1),MATCH(D$1,[1]characters!$1:$1,0)-MATCH($C$1,[1]characters!$1:$1,0)+1,FALSE)</f>
        <v>Capricornus01</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PremiumSS</v>
      </c>
      <c r="G11" s="194">
        <v>1557</v>
      </c>
      <c r="H11" s="53" t="str">
        <f ca="1">VLOOKUP($G11,OFFSET([1]characters!$A$1,0,0,COUNTA([1]characters!$A:$A),MATCH(H$1,[1]characters!$1:$1,0)-MATCH($C$1,[1]characters!$1:$1,0)+1),MATCH(H$1,[1]characters!$1:$1,0)-MATCH($C$1,[1]characters!$1:$1,0)+1,FALSE)</f>
        <v>Capricornus02</v>
      </c>
      <c r="I11" s="193">
        <v>1324</v>
      </c>
      <c r="J11" s="53" t="str">
        <f ca="1">VLOOKUP($I11,OFFSET([1]characters!$A$1,0,0,COUNTA([1]characters!$A:$A),MATCH(J$1,[1]characters!$1:$1,0)-MATCH($C$1,[1]characters!$1:$1,0)+1),MATCH(J$1,[1]characters!$1:$1,0)-MATCH($C$1,[1]characters!$1:$1,0)+1,FALSE)</f>
        <v>アウリ</v>
      </c>
      <c r="K11" s="191">
        <v>1</v>
      </c>
      <c r="L11" s="191">
        <v>1</v>
      </c>
      <c r="M11" s="192">
        <v>100</v>
      </c>
      <c r="N11" s="2" t="s">
        <v>290</v>
      </c>
    </row>
    <row r="12" spans="1:14" ht="21" customHeight="1" x14ac:dyDescent="0.15">
      <c r="A12" s="61" t="str">
        <f t="shared" ref="A12:A13" si="10">B12&amp;"_"&amp;I12</f>
        <v>1556_720</v>
      </c>
      <c r="B12" s="194">
        <v>1556</v>
      </c>
      <c r="C12" s="178">
        <f t="shared" ref="C12:C13" si="11">B12</f>
        <v>1556</v>
      </c>
      <c r="D12" s="53" t="str">
        <f ca="1">VLOOKUP($C12,OFFSET([1]characters!$A$1,0,0,COUNTA([1]characters!$A:$A),MATCH(D$1,[1]characters!$1:$1,0)-MATCH($C$1,[1]characters!$1:$1,0)+1),MATCH(D$1,[1]characters!$1:$1,0)-MATCH($C$1,[1]characters!$1:$1,0)+1,FALSE)</f>
        <v>Capricornus01</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PremiumSS</v>
      </c>
      <c r="G12" s="194">
        <v>1557</v>
      </c>
      <c r="H12" s="53" t="str">
        <f ca="1">VLOOKUP($G12,OFFSET([1]characters!$A$1,0,0,COUNTA([1]characters!$A:$A),MATCH(H$1,[1]characters!$1:$1,0)-MATCH($C$1,[1]characters!$1:$1,0)+1),MATCH(H$1,[1]characters!$1:$1,0)-MATCH($C$1,[1]characters!$1:$1,0)+1,FALSE)</f>
        <v>Capricornus02</v>
      </c>
      <c r="I12" s="193">
        <v>720</v>
      </c>
      <c r="J12" s="53" t="str">
        <f ca="1">VLOOKUP($I12,OFFSET([1]characters!$A$1,0,0,COUNTA([1]characters!$A:$A),MATCH(J$1,[1]characters!$1:$1,0)-MATCH($C$1,[1]characters!$1:$1,0)+1),MATCH(J$1,[1]characters!$1:$1,0)-MATCH($C$1,[1]characters!$1:$1,0)+1,FALSE)</f>
        <v>直江兼続</v>
      </c>
      <c r="K12" s="191">
        <v>1</v>
      </c>
      <c r="L12" s="191">
        <v>1</v>
      </c>
      <c r="M12" s="192">
        <v>100</v>
      </c>
      <c r="N12" s="2" t="s">
        <v>290</v>
      </c>
    </row>
    <row r="13" spans="1:14" ht="21" customHeight="1" x14ac:dyDescent="0.15">
      <c r="A13" s="61" t="str">
        <f t="shared" si="10"/>
        <v>1556_107</v>
      </c>
      <c r="B13" s="194">
        <v>1556</v>
      </c>
      <c r="C13" s="178">
        <f t="shared" si="11"/>
        <v>1556</v>
      </c>
      <c r="D13" s="53" t="str">
        <f ca="1">VLOOKUP($C13,OFFSET([1]characters!$A$1,0,0,COUNTA([1]characters!$A:$A),MATCH(D$1,[1]characters!$1:$1,0)-MATCH($C$1,[1]characters!$1:$1,0)+1),MATCH(D$1,[1]characters!$1:$1,0)-MATCH($C$1,[1]characters!$1:$1,0)+1,FALSE)</f>
        <v>Capricornus01</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PremiumSS</v>
      </c>
      <c r="G13" s="194">
        <v>1557</v>
      </c>
      <c r="H13" s="53" t="str">
        <f ca="1">VLOOKUP($G13,OFFSET([1]characters!$A$1,0,0,COUNTA([1]characters!$A:$A),MATCH(H$1,[1]characters!$1:$1,0)-MATCH($C$1,[1]characters!$1:$1,0)+1),MATCH(H$1,[1]characters!$1:$1,0)-MATCH($C$1,[1]characters!$1:$1,0)+1,FALSE)</f>
        <v>Capricornus02</v>
      </c>
      <c r="I13" s="193">
        <v>107</v>
      </c>
      <c r="J13" s="53" t="str">
        <f ca="1">VLOOKUP($I13,OFFSET([1]characters!$A$1,0,0,COUNTA([1]characters!$A:$A),MATCH(J$1,[1]characters!$1:$1,0)-MATCH($C$1,[1]characters!$1:$1,0)+1),MATCH(J$1,[1]characters!$1:$1,0)-MATCH($C$1,[1]characters!$1:$1,0)+1,FALSE)</f>
        <v>グリーンキャタップ</v>
      </c>
      <c r="K13" s="191">
        <v>1</v>
      </c>
      <c r="L13" s="191">
        <v>1</v>
      </c>
      <c r="M13" s="192">
        <v>10</v>
      </c>
      <c r="N13" s="2" t="s">
        <v>290</v>
      </c>
    </row>
    <row r="14" spans="1:14" ht="21" customHeight="1" x14ac:dyDescent="0.15">
      <c r="A14" s="61" t="str">
        <f t="shared" ref="A14" si="12">B14&amp;"_"&amp;I14</f>
        <v>1556_108</v>
      </c>
      <c r="B14" s="194">
        <v>1556</v>
      </c>
      <c r="C14" s="178">
        <f t="shared" ref="C14" si="13">B14</f>
        <v>1556</v>
      </c>
      <c r="D14" s="53" t="str">
        <f ca="1">VLOOKUP($C14,OFFSET([1]characters!$A$1,0,0,COUNTA([1]characters!$A:$A),MATCH(D$1,[1]characters!$1:$1,0)-MATCH($C$1,[1]characters!$1:$1,0)+1),MATCH(D$1,[1]characters!$1:$1,0)-MATCH($C$1,[1]characters!$1:$1,0)+1,FALSE)</f>
        <v>Capricornus01</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v>
      </c>
      <c r="G14" s="194">
        <v>1557</v>
      </c>
      <c r="H14" s="53" t="str">
        <f ca="1">VLOOKUP($G14,OFFSET([1]characters!$A$1,0,0,COUNTA([1]characters!$A:$A),MATCH(H$1,[1]characters!$1:$1,0)-MATCH($C$1,[1]characters!$1:$1,0)+1),MATCH(H$1,[1]characters!$1:$1,0)-MATCH($C$1,[1]characters!$1:$1,0)+1,FALSE)</f>
        <v>Capricornus02</v>
      </c>
      <c r="I14" s="193">
        <v>108</v>
      </c>
      <c r="J14" s="53" t="str">
        <f ca="1">VLOOKUP($I14,OFFSET([1]characters!$A$1,0,0,COUNTA([1]characters!$A:$A),MATCH(J$1,[1]characters!$1:$1,0)-MATCH($C$1,[1]characters!$1:$1,0)+1),MATCH(J$1,[1]characters!$1:$1,0)-MATCH($C$1,[1]characters!$1:$1,0)+1,FALSE)</f>
        <v>森のマッドハッター</v>
      </c>
      <c r="K14" s="191">
        <v>1</v>
      </c>
      <c r="L14" s="191">
        <v>1</v>
      </c>
      <c r="M14" s="192">
        <v>10</v>
      </c>
      <c r="N14" s="2" t="s">
        <v>290</v>
      </c>
    </row>
    <row r="15" spans="1:14" ht="21" customHeight="1" x14ac:dyDescent="0.15">
      <c r="A15" s="61" t="str">
        <f t="shared" ref="A15" si="14">B15&amp;"_"&amp;I15</f>
        <v>1556_837</v>
      </c>
      <c r="B15" s="194">
        <v>1556</v>
      </c>
      <c r="C15" s="178">
        <f t="shared" ref="C15" si="15">B15</f>
        <v>1556</v>
      </c>
      <c r="D15" s="53" t="str">
        <f ca="1">VLOOKUP($C15,OFFSET([1]characters!$A$1,0,0,COUNTA([1]characters!$A:$A),MATCH(D$1,[1]characters!$1:$1,0)-MATCH($C$1,[1]characters!$1:$1,0)+1),MATCH(D$1,[1]characters!$1:$1,0)-MATCH($C$1,[1]characters!$1:$1,0)+1,FALSE)</f>
        <v>Capricornus01</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v>
      </c>
      <c r="G15" s="194">
        <v>1557</v>
      </c>
      <c r="H15" s="53" t="str">
        <f ca="1">VLOOKUP($G15,OFFSET([1]characters!$A$1,0,0,COUNTA([1]characters!$A:$A),MATCH(H$1,[1]characters!$1:$1,0)-MATCH($C$1,[1]characters!$1:$1,0)+1),MATCH(H$1,[1]characters!$1:$1,0)-MATCH($C$1,[1]characters!$1:$1,0)+1,FALSE)</f>
        <v>Capricornus02</v>
      </c>
      <c r="I15" s="193">
        <v>837</v>
      </c>
      <c r="J15" s="53" t="str">
        <f ca="1">VLOOKUP($I15,OFFSET([1]characters!$A$1,0,0,COUNTA([1]characters!$A:$A),MATCH(J$1,[1]characters!$1:$1,0)-MATCH($C$1,[1]characters!$1:$1,0)+1),MATCH(J$1,[1]characters!$1:$1,0)-MATCH($C$1,[1]characters!$1:$1,0)+1,FALSE)</f>
        <v>リトルハンプティ</v>
      </c>
      <c r="K15" s="191">
        <v>1</v>
      </c>
      <c r="L15" s="191">
        <v>1</v>
      </c>
      <c r="M15" s="192">
        <v>1000</v>
      </c>
      <c r="N15" s="2" t="s">
        <v>290</v>
      </c>
    </row>
    <row r="16" spans="1:14" ht="21" customHeight="1" x14ac:dyDescent="0.15">
      <c r="A16" s="61" t="str">
        <f t="shared" ref="A16" si="16">B16&amp;"_"&amp;I16</f>
        <v>1558_302</v>
      </c>
      <c r="B16" s="194">
        <v>1558</v>
      </c>
      <c r="C16" s="178">
        <f t="shared" ref="C16" si="17">B16</f>
        <v>1558</v>
      </c>
      <c r="D16" s="53" t="str">
        <f ca="1">VLOOKUP($C16,OFFSET([1]characters!$A$1,0,0,COUNTA([1]characters!$A:$A),MATCH(D$1,[1]characters!$1:$1,0)-MATCH($C$1,[1]characters!$1:$1,0)+1),MATCH(D$1,[1]characters!$1:$1,0)-MATCH($C$1,[1]characters!$1:$1,0)+1,FALSE)</f>
        <v>Aries01</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PremiumSS</v>
      </c>
      <c r="G16" s="194">
        <v>1559</v>
      </c>
      <c r="H16" s="53" t="str">
        <f ca="1">VLOOKUP($G16,OFFSET([1]characters!$A$1,0,0,COUNTA([1]characters!$A:$A),MATCH(H$1,[1]characters!$1:$1,0)-MATCH($C$1,[1]characters!$1:$1,0)+1),MATCH(H$1,[1]characters!$1:$1,0)-MATCH($C$1,[1]characters!$1:$1,0)+1,FALSE)</f>
        <v>Aries02</v>
      </c>
      <c r="I16" s="193">
        <v>302</v>
      </c>
      <c r="J16" s="53" t="str">
        <f ca="1">VLOOKUP($I16,OFFSET([1]characters!$A$1,0,0,COUNTA([1]characters!$A:$A),MATCH(J$1,[1]characters!$1:$1,0)-MATCH($C$1,[1]characters!$1:$1,0)+1),MATCH(J$1,[1]characters!$1:$1,0)-MATCH($C$1,[1]characters!$1:$1,0)+1,FALSE)</f>
        <v>絞殺のリサ</v>
      </c>
      <c r="K16" s="191">
        <v>1</v>
      </c>
      <c r="L16" s="191">
        <v>1</v>
      </c>
      <c r="M16" s="192">
        <v>100</v>
      </c>
      <c r="N16" s="2" t="s">
        <v>290</v>
      </c>
    </row>
    <row r="17" spans="1:14" ht="21" customHeight="1" x14ac:dyDescent="0.15">
      <c r="A17" s="61" t="str">
        <f t="shared" ref="A17:A18" si="18">B17&amp;"_"&amp;I17</f>
        <v>1558_292</v>
      </c>
      <c r="B17" s="194">
        <v>1558</v>
      </c>
      <c r="C17" s="178">
        <f t="shared" ref="C17:C18" si="19">B17</f>
        <v>1558</v>
      </c>
      <c r="D17" s="53" t="str">
        <f ca="1">VLOOKUP($C17,OFFSET([1]characters!$A$1,0,0,COUNTA([1]characters!$A:$A),MATCH(D$1,[1]characters!$1:$1,0)-MATCH($C$1,[1]characters!$1:$1,0)+1),MATCH(D$1,[1]characters!$1:$1,0)-MATCH($C$1,[1]characters!$1:$1,0)+1,FALSE)</f>
        <v>Aries01</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PremiumSS</v>
      </c>
      <c r="G17" s="194">
        <v>1559</v>
      </c>
      <c r="H17" s="53" t="str">
        <f ca="1">VLOOKUP($G17,OFFSET([1]characters!$A$1,0,0,COUNTA([1]characters!$A:$A),MATCH(H$1,[1]characters!$1:$1,0)-MATCH($C$1,[1]characters!$1:$1,0)+1),MATCH(H$1,[1]characters!$1:$1,0)-MATCH($C$1,[1]characters!$1:$1,0)+1,FALSE)</f>
        <v>Aries02</v>
      </c>
      <c r="I17" s="193">
        <v>292</v>
      </c>
      <c r="J17" s="53" t="str">
        <f ca="1">VLOOKUP($I17,OFFSET([1]characters!$A$1,0,0,COUNTA([1]characters!$A:$A),MATCH(J$1,[1]characters!$1:$1,0)-MATCH($C$1,[1]characters!$1:$1,0)+1),MATCH(J$1,[1]characters!$1:$1,0)-MATCH($C$1,[1]characters!$1:$1,0)+1,FALSE)</f>
        <v>アナスタシア</v>
      </c>
      <c r="K17" s="191">
        <v>1</v>
      </c>
      <c r="L17" s="191">
        <v>1</v>
      </c>
      <c r="M17" s="192">
        <v>100</v>
      </c>
      <c r="N17" s="2" t="s">
        <v>290</v>
      </c>
    </row>
    <row r="18" spans="1:14" ht="21" customHeight="1" x14ac:dyDescent="0.15">
      <c r="A18" s="61" t="str">
        <f t="shared" si="18"/>
        <v>1558_111</v>
      </c>
      <c r="B18" s="194">
        <v>1558</v>
      </c>
      <c r="C18" s="178">
        <f t="shared" si="19"/>
        <v>1558</v>
      </c>
      <c r="D18" s="53" t="str">
        <f ca="1">VLOOKUP($C18,OFFSET([1]characters!$A$1,0,0,COUNTA([1]characters!$A:$A),MATCH(D$1,[1]characters!$1:$1,0)-MATCH($C$1,[1]characters!$1:$1,0)+1),MATCH(D$1,[1]characters!$1:$1,0)-MATCH($C$1,[1]characters!$1:$1,0)+1,FALSE)</f>
        <v>Aries01</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PremiumSS</v>
      </c>
      <c r="G18" s="194">
        <v>1559</v>
      </c>
      <c r="H18" s="53" t="str">
        <f ca="1">VLOOKUP($G18,OFFSET([1]characters!$A$1,0,0,COUNTA([1]characters!$A:$A),MATCH(H$1,[1]characters!$1:$1,0)-MATCH($C$1,[1]characters!$1:$1,0)+1),MATCH(H$1,[1]characters!$1:$1,0)-MATCH($C$1,[1]characters!$1:$1,0)+1,FALSE)</f>
        <v>Aries02</v>
      </c>
      <c r="I18" s="193">
        <v>111</v>
      </c>
      <c r="J18" s="53" t="str">
        <f ca="1">VLOOKUP($I18,OFFSET([1]characters!$A$1,0,0,COUNTA([1]characters!$A:$A),MATCH(J$1,[1]characters!$1:$1,0)-MATCH($C$1,[1]characters!$1:$1,0)+1),MATCH(J$1,[1]characters!$1:$1,0)-MATCH($C$1,[1]characters!$1:$1,0)+1,FALSE)</f>
        <v>ブルーキャタップ</v>
      </c>
      <c r="K18" s="191">
        <v>1</v>
      </c>
      <c r="L18" s="191">
        <v>1</v>
      </c>
      <c r="M18" s="192">
        <v>10</v>
      </c>
      <c r="N18" s="2" t="s">
        <v>290</v>
      </c>
    </row>
    <row r="19" spans="1:14" ht="21" customHeight="1" x14ac:dyDescent="0.15">
      <c r="A19" s="61" t="str">
        <f t="shared" ref="A19" si="20">B19&amp;"_"&amp;I19</f>
        <v>1558_112</v>
      </c>
      <c r="B19" s="194">
        <v>1558</v>
      </c>
      <c r="C19" s="178">
        <f t="shared" ref="C19" si="21">B19</f>
        <v>1558</v>
      </c>
      <c r="D19" s="53" t="str">
        <f ca="1">VLOOKUP($C19,OFFSET([1]characters!$A$1,0,0,COUNTA([1]characters!$A:$A),MATCH(D$1,[1]characters!$1:$1,0)-MATCH($C$1,[1]characters!$1:$1,0)+1),MATCH(D$1,[1]characters!$1:$1,0)-MATCH($C$1,[1]characters!$1:$1,0)+1,FALSE)</f>
        <v>Aries01</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PremiumSS</v>
      </c>
      <c r="G19" s="194">
        <v>1559</v>
      </c>
      <c r="H19" s="53" t="str">
        <f ca="1">VLOOKUP($G19,OFFSET([1]characters!$A$1,0,0,COUNTA([1]characters!$A:$A),MATCH(H$1,[1]characters!$1:$1,0)-MATCH($C$1,[1]characters!$1:$1,0)+1),MATCH(H$1,[1]characters!$1:$1,0)-MATCH($C$1,[1]characters!$1:$1,0)+1,FALSE)</f>
        <v>Aries02</v>
      </c>
      <c r="I19" s="193">
        <v>112</v>
      </c>
      <c r="J19" s="53" t="str">
        <f ca="1">VLOOKUP($I19,OFFSET([1]characters!$A$1,0,0,COUNTA([1]characters!$A:$A),MATCH(J$1,[1]characters!$1:$1,0)-MATCH($C$1,[1]characters!$1:$1,0)+1),MATCH(J$1,[1]characters!$1:$1,0)-MATCH($C$1,[1]characters!$1:$1,0)+1,FALSE)</f>
        <v>水のマッドハッター</v>
      </c>
      <c r="K19" s="191">
        <v>1</v>
      </c>
      <c r="L19" s="191">
        <v>1</v>
      </c>
      <c r="M19" s="192">
        <v>10</v>
      </c>
      <c r="N19" s="2" t="s">
        <v>290</v>
      </c>
    </row>
    <row r="20" spans="1:14" ht="21" customHeight="1" x14ac:dyDescent="0.15">
      <c r="A20" s="61" t="str">
        <f t="shared" ref="A20" si="22">B20&amp;"_"&amp;I20</f>
        <v>1558_837</v>
      </c>
      <c r="B20" s="194">
        <v>1558</v>
      </c>
      <c r="C20" s="178">
        <f t="shared" ref="C20" si="23">B20</f>
        <v>1558</v>
      </c>
      <c r="D20" s="53" t="str">
        <f ca="1">VLOOKUP($C20,OFFSET([1]characters!$A$1,0,0,COUNTA([1]characters!$A:$A),MATCH(D$1,[1]characters!$1:$1,0)-MATCH($C$1,[1]characters!$1:$1,0)+1),MATCH(D$1,[1]characters!$1:$1,0)-MATCH($C$1,[1]characters!$1:$1,0)+1,FALSE)</f>
        <v>Aries01</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PremiumSS</v>
      </c>
      <c r="G20" s="194">
        <v>1559</v>
      </c>
      <c r="H20" s="53" t="str">
        <f ca="1">VLOOKUP($G20,OFFSET([1]characters!$A$1,0,0,COUNTA([1]characters!$A:$A),MATCH(H$1,[1]characters!$1:$1,0)-MATCH($C$1,[1]characters!$1:$1,0)+1),MATCH(H$1,[1]characters!$1:$1,0)-MATCH($C$1,[1]characters!$1:$1,0)+1,FALSE)</f>
        <v>Aries02</v>
      </c>
      <c r="I20" s="193">
        <v>837</v>
      </c>
      <c r="J20" s="53" t="str">
        <f ca="1">VLOOKUP($I20,OFFSET([1]characters!$A$1,0,0,COUNTA([1]characters!$A:$A),MATCH(J$1,[1]characters!$1:$1,0)-MATCH($C$1,[1]characters!$1:$1,0)+1),MATCH(J$1,[1]characters!$1:$1,0)-MATCH($C$1,[1]characters!$1:$1,0)+1,FALSE)</f>
        <v>リトルハンプティ</v>
      </c>
      <c r="K20" s="191">
        <v>1</v>
      </c>
      <c r="L20" s="191">
        <v>1</v>
      </c>
      <c r="M20" s="192">
        <v>1000</v>
      </c>
      <c r="N20" s="2" t="s">
        <v>290</v>
      </c>
    </row>
    <row r="21" spans="1:14" ht="21" customHeight="1" x14ac:dyDescent="0.15">
      <c r="A21" s="61" t="str">
        <f t="shared" ref="A21:A48" si="24">B21&amp;"_"&amp;I21</f>
        <v>1561_268</v>
      </c>
      <c r="B21" s="194">
        <v>1561</v>
      </c>
      <c r="C21" s="178">
        <f t="shared" ref="C21:C48" si="25">B21</f>
        <v>1561</v>
      </c>
      <c r="D21" s="53" t="str">
        <f ca="1">VLOOKUP($C21,OFFSET([1]characters!$A$1,0,0,COUNTA([1]characters!$A:$A),MATCH(D$1,[1]characters!$1:$1,0)-MATCH($C$1,[1]characters!$1:$1,0)+1),MATCH(D$1,[1]characters!$1:$1,0)-MATCH($C$1,[1]characters!$1:$1,0)+1,FALSE)</f>
        <v>Sagittarius01</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PremiumSS</v>
      </c>
      <c r="G21" s="194">
        <v>1562</v>
      </c>
      <c r="H21" s="53" t="str">
        <f ca="1">VLOOKUP($G21,OFFSET([1]characters!$A$1,0,0,COUNTA([1]characters!$A:$A),MATCH(H$1,[1]characters!$1:$1,0)-MATCH($C$1,[1]characters!$1:$1,0)+1),MATCH(H$1,[1]characters!$1:$1,0)-MATCH($C$1,[1]characters!$1:$1,0)+1,FALSE)</f>
        <v>Sagittarius02</v>
      </c>
      <c r="I21" s="193">
        <v>268</v>
      </c>
      <c r="J21" s="53" t="str">
        <f ca="1">VLOOKUP($I21,OFFSET([1]characters!$A$1,0,0,COUNTA([1]characters!$A:$A),MATCH(J$1,[1]characters!$1:$1,0)-MATCH($C$1,[1]characters!$1:$1,0)+1),MATCH(J$1,[1]characters!$1:$1,0)-MATCH($C$1,[1]characters!$1:$1,0)+1,FALSE)</f>
        <v>鵺</v>
      </c>
      <c r="K21" s="191">
        <v>1</v>
      </c>
      <c r="L21" s="191">
        <v>1</v>
      </c>
      <c r="M21" s="192">
        <v>100</v>
      </c>
      <c r="N21" s="2" t="s">
        <v>290</v>
      </c>
    </row>
    <row r="22" spans="1:14" ht="21" customHeight="1" x14ac:dyDescent="0.15">
      <c r="A22" s="61" t="str">
        <f t="shared" ref="A22:A23" si="26">B22&amp;"_"&amp;I22</f>
        <v>1561_858</v>
      </c>
      <c r="B22" s="194">
        <v>1561</v>
      </c>
      <c r="C22" s="178">
        <f t="shared" ref="C22:C23" si="27">B22</f>
        <v>1561</v>
      </c>
      <c r="D22" s="53" t="str">
        <f ca="1">VLOOKUP($C22,OFFSET([1]characters!$A$1,0,0,COUNTA([1]characters!$A:$A),MATCH(D$1,[1]characters!$1:$1,0)-MATCH($C$1,[1]characters!$1:$1,0)+1),MATCH(D$1,[1]characters!$1:$1,0)-MATCH($C$1,[1]characters!$1:$1,0)+1,FALSE)</f>
        <v>Sagittarius01</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PremiumSS</v>
      </c>
      <c r="G22" s="194">
        <v>1562</v>
      </c>
      <c r="H22" s="53" t="str">
        <f ca="1">VLOOKUP($G22,OFFSET([1]characters!$A$1,0,0,COUNTA([1]characters!$A:$A),MATCH(H$1,[1]characters!$1:$1,0)-MATCH($C$1,[1]characters!$1:$1,0)+1),MATCH(H$1,[1]characters!$1:$1,0)-MATCH($C$1,[1]characters!$1:$1,0)+1,FALSE)</f>
        <v>Sagittarius02</v>
      </c>
      <c r="I22" s="193">
        <v>858</v>
      </c>
      <c r="J22" s="53" t="str">
        <f ca="1">VLOOKUP($I22,OFFSET([1]characters!$A$1,0,0,COUNTA([1]characters!$A:$A),MATCH(J$1,[1]characters!$1:$1,0)-MATCH($C$1,[1]characters!$1:$1,0)+1),MATCH(J$1,[1]characters!$1:$1,0)-MATCH($C$1,[1]characters!$1:$1,0)+1,FALSE)</f>
        <v>Mr.ホエール</v>
      </c>
      <c r="K22" s="191">
        <v>1</v>
      </c>
      <c r="L22" s="191">
        <v>1</v>
      </c>
      <c r="M22" s="192">
        <v>100</v>
      </c>
      <c r="N22" s="2" t="s">
        <v>290</v>
      </c>
    </row>
    <row r="23" spans="1:14" ht="21" customHeight="1" x14ac:dyDescent="0.15">
      <c r="A23" s="61" t="str">
        <f t="shared" si="26"/>
        <v>1561_115</v>
      </c>
      <c r="B23" s="194">
        <v>1561</v>
      </c>
      <c r="C23" s="178">
        <f t="shared" si="27"/>
        <v>1561</v>
      </c>
      <c r="D23" s="53" t="str">
        <f ca="1">VLOOKUP($C23,OFFSET([1]characters!$A$1,0,0,COUNTA([1]characters!$A:$A),MATCH(D$1,[1]characters!$1:$1,0)-MATCH($C$1,[1]characters!$1:$1,0)+1),MATCH(D$1,[1]characters!$1:$1,0)-MATCH($C$1,[1]characters!$1:$1,0)+1,FALSE)</f>
        <v>Sagittarius01</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v>
      </c>
      <c r="G23" s="194">
        <v>1562</v>
      </c>
      <c r="H23" s="53" t="str">
        <f ca="1">VLOOKUP($G23,OFFSET([1]characters!$A$1,0,0,COUNTA([1]characters!$A:$A),MATCH(H$1,[1]characters!$1:$1,0)-MATCH($C$1,[1]characters!$1:$1,0)+1),MATCH(H$1,[1]characters!$1:$1,0)-MATCH($C$1,[1]characters!$1:$1,0)+1,FALSE)</f>
        <v>Sagittarius02</v>
      </c>
      <c r="I23" s="193">
        <v>115</v>
      </c>
      <c r="J23" s="53" t="str">
        <f ca="1">VLOOKUP($I23,OFFSET([1]characters!$A$1,0,0,COUNTA([1]characters!$A:$A),MATCH(J$1,[1]characters!$1:$1,0)-MATCH($C$1,[1]characters!$1:$1,0)+1),MATCH(J$1,[1]characters!$1:$1,0)-MATCH($C$1,[1]characters!$1:$1,0)+1,FALSE)</f>
        <v>イエローキャタップ</v>
      </c>
      <c r="K23" s="191">
        <v>1</v>
      </c>
      <c r="L23" s="191">
        <v>1</v>
      </c>
      <c r="M23" s="192">
        <v>10</v>
      </c>
      <c r="N23" s="2" t="s">
        <v>290</v>
      </c>
    </row>
    <row r="24" spans="1:14" ht="21" customHeight="1" x14ac:dyDescent="0.15">
      <c r="A24" s="61" t="str">
        <f t="shared" ref="A24" si="28">B24&amp;"_"&amp;I24</f>
        <v>1561_116</v>
      </c>
      <c r="B24" s="194">
        <v>1561</v>
      </c>
      <c r="C24" s="178">
        <f t="shared" ref="C24" si="29">B24</f>
        <v>1561</v>
      </c>
      <c r="D24" s="53" t="str">
        <f ca="1">VLOOKUP($C24,OFFSET([1]characters!$A$1,0,0,COUNTA([1]characters!$A:$A),MATCH(D$1,[1]characters!$1:$1,0)-MATCH($C$1,[1]characters!$1:$1,0)+1),MATCH(D$1,[1]characters!$1:$1,0)-MATCH($C$1,[1]characters!$1:$1,0)+1,FALSE)</f>
        <v>Sagittarius01</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v>
      </c>
      <c r="G24" s="194">
        <v>1562</v>
      </c>
      <c r="H24" s="53" t="str">
        <f ca="1">VLOOKUP($G24,OFFSET([1]characters!$A$1,0,0,COUNTA([1]characters!$A:$A),MATCH(H$1,[1]characters!$1:$1,0)-MATCH($C$1,[1]characters!$1:$1,0)+1),MATCH(H$1,[1]characters!$1:$1,0)-MATCH($C$1,[1]characters!$1:$1,0)+1,FALSE)</f>
        <v>Sagittarius02</v>
      </c>
      <c r="I24" s="193">
        <v>116</v>
      </c>
      <c r="J24" s="53" t="str">
        <f ca="1">VLOOKUP($I24,OFFSET([1]characters!$A$1,0,0,COUNTA([1]characters!$A:$A),MATCH(J$1,[1]characters!$1:$1,0)-MATCH($C$1,[1]characters!$1:$1,0)+1),MATCH(J$1,[1]characters!$1:$1,0)-MATCH($C$1,[1]characters!$1:$1,0)+1,FALSE)</f>
        <v>雷のマッドハッター</v>
      </c>
      <c r="K24" s="191">
        <v>1</v>
      </c>
      <c r="L24" s="191">
        <v>1</v>
      </c>
      <c r="M24" s="192">
        <v>10</v>
      </c>
      <c r="N24" s="2" t="s">
        <v>290</v>
      </c>
    </row>
    <row r="25" spans="1:14" ht="21" customHeight="1" x14ac:dyDescent="0.15">
      <c r="A25" s="61" t="str">
        <f t="shared" ref="A25" si="30">B25&amp;"_"&amp;I25</f>
        <v>1561_837</v>
      </c>
      <c r="B25" s="194">
        <v>1561</v>
      </c>
      <c r="C25" s="178">
        <f t="shared" ref="C25" si="31">B25</f>
        <v>1561</v>
      </c>
      <c r="D25" s="53" t="str">
        <f ca="1">VLOOKUP($C25,OFFSET([1]characters!$A$1,0,0,COUNTA([1]characters!$A:$A),MATCH(D$1,[1]characters!$1:$1,0)-MATCH($C$1,[1]characters!$1:$1,0)+1),MATCH(D$1,[1]characters!$1:$1,0)-MATCH($C$1,[1]characters!$1:$1,0)+1,FALSE)</f>
        <v>Sagittarius01</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PremiumSS</v>
      </c>
      <c r="G25" s="194">
        <v>1562</v>
      </c>
      <c r="H25" s="53" t="str">
        <f ca="1">VLOOKUP($G25,OFFSET([1]characters!$A$1,0,0,COUNTA([1]characters!$A:$A),MATCH(H$1,[1]characters!$1:$1,0)-MATCH($C$1,[1]characters!$1:$1,0)+1),MATCH(H$1,[1]characters!$1:$1,0)-MATCH($C$1,[1]characters!$1:$1,0)+1,FALSE)</f>
        <v>Sagittarius02</v>
      </c>
      <c r="I25" s="193">
        <v>837</v>
      </c>
      <c r="J25" s="53" t="str">
        <f ca="1">VLOOKUP($I25,OFFSET([1]characters!$A$1,0,0,COUNTA([1]characters!$A:$A),MATCH(J$1,[1]characters!$1:$1,0)-MATCH($C$1,[1]characters!$1:$1,0)+1),MATCH(J$1,[1]characters!$1:$1,0)-MATCH($C$1,[1]characters!$1:$1,0)+1,FALSE)</f>
        <v>リトルハンプティ</v>
      </c>
      <c r="K25" s="191">
        <v>1</v>
      </c>
      <c r="L25" s="191">
        <v>1</v>
      </c>
      <c r="M25" s="192">
        <v>1000</v>
      </c>
      <c r="N25" s="2" t="s">
        <v>290</v>
      </c>
    </row>
    <row r="26" spans="1:14" ht="21" customHeight="1" x14ac:dyDescent="0.15">
      <c r="A26" s="61" t="str">
        <f t="shared" si="24"/>
        <v>1563_111</v>
      </c>
      <c r="B26" s="194">
        <v>1563</v>
      </c>
      <c r="C26" s="178">
        <f t="shared" si="25"/>
        <v>1563</v>
      </c>
      <c r="D26" s="53" t="str">
        <f ca="1">VLOOKUP($C26,OFFSET([1]characters!$A$1,0,0,COUNTA([1]characters!$A:$A),MATCH(D$1,[1]characters!$1:$1,0)-MATCH($C$1,[1]characters!$1:$1,0)+1),MATCH(D$1,[1]characters!$1:$1,0)-MATCH($C$1,[1]characters!$1:$1,0)+1,FALSE)</f>
        <v>Cassiopeia01</v>
      </c>
      <c r="E26" s="53">
        <f ca="1">VLOOKUP($C26,OFFSET([1]characters!$A$1,0,0,COUNTA([1]characters!$A:$A),MATCH(E$1,[1]characters!$1:$1,0)-MATCH($C$1,[1]characters!$1:$1,0)+1),MATCH(E$1,[1]characters!$1:$1,0)-MATCH($C$1,[1]characters!$1:$1,0)+1,FALSE)</f>
        <v>5</v>
      </c>
      <c r="F26" s="53" t="str">
        <f ca="1">VLOOKUP($C26,OFFSET([1]characters!$A$1,0,0,COUNTA([1]characters!$A:$A),MATCH(F$1,[1]characters!$1:$1,0)-MATCH($C$1,[1]characters!$1:$1,0)+1),MATCH(F$1,[1]characters!$1:$1,0)-MATCH($C$1,[1]characters!$1:$1,0)+1,FALSE)</f>
        <v>PremiumSS</v>
      </c>
      <c r="G26" s="194">
        <v>1564</v>
      </c>
      <c r="H26" s="53" t="str">
        <f ca="1">VLOOKUP($G26,OFFSET([1]characters!$A$1,0,0,COUNTA([1]characters!$A:$A),MATCH(H$1,[1]characters!$1:$1,0)-MATCH($C$1,[1]characters!$1:$1,0)+1),MATCH(H$1,[1]characters!$1:$1,0)-MATCH($C$1,[1]characters!$1:$1,0)+1,FALSE)</f>
        <v>Cassiopeia02</v>
      </c>
      <c r="I26" s="193">
        <v>111</v>
      </c>
      <c r="J26" s="53" t="str">
        <f ca="1">VLOOKUP($I26,OFFSET([1]characters!$A$1,0,0,COUNTA([1]characters!$A:$A),MATCH(J$1,[1]characters!$1:$1,0)-MATCH($C$1,[1]characters!$1:$1,0)+1),MATCH(J$1,[1]characters!$1:$1,0)-MATCH($C$1,[1]characters!$1:$1,0)+1,FALSE)</f>
        <v>ブルーキャタップ</v>
      </c>
      <c r="K26" s="191">
        <v>1</v>
      </c>
      <c r="L26" s="191">
        <v>1</v>
      </c>
      <c r="M26" s="192">
        <v>10</v>
      </c>
      <c r="N26" s="2" t="s">
        <v>290</v>
      </c>
    </row>
    <row r="27" spans="1:14" ht="21" customHeight="1" x14ac:dyDescent="0.15">
      <c r="A27" s="61" t="str">
        <f t="shared" ref="A27:A28" si="32">B27&amp;"_"&amp;I27</f>
        <v>1563_110</v>
      </c>
      <c r="B27" s="194">
        <v>1563</v>
      </c>
      <c r="C27" s="178">
        <f t="shared" ref="C27:C28" si="33">B27</f>
        <v>1563</v>
      </c>
      <c r="D27" s="53" t="str">
        <f ca="1">VLOOKUP($C27,OFFSET([1]characters!$A$1,0,0,COUNTA([1]characters!$A:$A),MATCH(D$1,[1]characters!$1:$1,0)-MATCH($C$1,[1]characters!$1:$1,0)+1),MATCH(D$1,[1]characters!$1:$1,0)-MATCH($C$1,[1]characters!$1:$1,0)+1,FALSE)</f>
        <v>Cassiopeia01</v>
      </c>
      <c r="E27" s="53">
        <f ca="1">VLOOKUP($C27,OFFSET([1]characters!$A$1,0,0,COUNTA([1]characters!$A:$A),MATCH(E$1,[1]characters!$1:$1,0)-MATCH($C$1,[1]characters!$1:$1,0)+1),MATCH(E$1,[1]characters!$1:$1,0)-MATCH($C$1,[1]characters!$1:$1,0)+1,FALSE)</f>
        <v>5</v>
      </c>
      <c r="F27" s="53" t="str">
        <f ca="1">VLOOKUP($C27,OFFSET([1]characters!$A$1,0,0,COUNTA([1]characters!$A:$A),MATCH(F$1,[1]characters!$1:$1,0)-MATCH($C$1,[1]characters!$1:$1,0)+1),MATCH(F$1,[1]characters!$1:$1,0)-MATCH($C$1,[1]characters!$1:$1,0)+1,FALSE)</f>
        <v>PremiumSS</v>
      </c>
      <c r="G27" s="194">
        <v>1564</v>
      </c>
      <c r="H27" s="53" t="str">
        <f ca="1">VLOOKUP($G27,OFFSET([1]characters!$A$1,0,0,COUNTA([1]characters!$A:$A),MATCH(H$1,[1]characters!$1:$1,0)-MATCH($C$1,[1]characters!$1:$1,0)+1),MATCH(H$1,[1]characters!$1:$1,0)-MATCH($C$1,[1]characters!$1:$1,0)+1,FALSE)</f>
        <v>Cassiopeia02</v>
      </c>
      <c r="I27" s="193">
        <v>110</v>
      </c>
      <c r="J27" s="53" t="str">
        <f ca="1">VLOOKUP($I27,OFFSET([1]characters!$A$1,0,0,COUNTA([1]characters!$A:$A),MATCH(J$1,[1]characters!$1:$1,0)-MATCH($C$1,[1]characters!$1:$1,0)+1),MATCH(J$1,[1]characters!$1:$1,0)-MATCH($C$1,[1]characters!$1:$1,0)+1,FALSE)</f>
        <v>ブルーラビット</v>
      </c>
      <c r="K27" s="191">
        <v>1</v>
      </c>
      <c r="L27" s="191">
        <v>1</v>
      </c>
      <c r="M27" s="192">
        <v>10</v>
      </c>
      <c r="N27" s="2" t="s">
        <v>290</v>
      </c>
    </row>
    <row r="28" spans="1:14" ht="21" customHeight="1" x14ac:dyDescent="0.15">
      <c r="A28" s="61" t="str">
        <f t="shared" si="32"/>
        <v>1563_358</v>
      </c>
      <c r="B28" s="194">
        <v>1563</v>
      </c>
      <c r="C28" s="178">
        <f t="shared" si="33"/>
        <v>1563</v>
      </c>
      <c r="D28" s="53" t="str">
        <f ca="1">VLOOKUP($C28,OFFSET([1]characters!$A$1,0,0,COUNTA([1]characters!$A:$A),MATCH(D$1,[1]characters!$1:$1,0)-MATCH($C$1,[1]characters!$1:$1,0)+1),MATCH(D$1,[1]characters!$1:$1,0)-MATCH($C$1,[1]characters!$1:$1,0)+1,FALSE)</f>
        <v>Cassiopeia01</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PremiumSS</v>
      </c>
      <c r="G28" s="194">
        <v>1564</v>
      </c>
      <c r="H28" s="53" t="str">
        <f ca="1">VLOOKUP($G28,OFFSET([1]characters!$A$1,0,0,COUNTA([1]characters!$A:$A),MATCH(H$1,[1]characters!$1:$1,0)-MATCH($C$1,[1]characters!$1:$1,0)+1),MATCH(H$1,[1]characters!$1:$1,0)-MATCH($C$1,[1]characters!$1:$1,0)+1,FALSE)</f>
        <v>Cassiopeia02</v>
      </c>
      <c r="I28" s="193">
        <v>358</v>
      </c>
      <c r="J28" s="53" t="str">
        <f ca="1">VLOOKUP($I28,OFFSET([1]characters!$A$1,0,0,COUNTA([1]characters!$A:$A),MATCH(J$1,[1]characters!$1:$1,0)-MATCH($C$1,[1]characters!$1:$1,0)+1),MATCH(J$1,[1]characters!$1:$1,0)-MATCH($C$1,[1]characters!$1:$1,0)+1,FALSE)</f>
        <v>深淵の代用ウミガメ</v>
      </c>
      <c r="K28" s="191">
        <v>1</v>
      </c>
      <c r="L28" s="191">
        <v>1</v>
      </c>
      <c r="M28" s="192">
        <v>10</v>
      </c>
      <c r="N28" s="2" t="s">
        <v>290</v>
      </c>
    </row>
    <row r="29" spans="1:14" ht="21" customHeight="1" x14ac:dyDescent="0.15">
      <c r="A29" s="61" t="str">
        <f t="shared" ref="A29" si="34">B29&amp;"_"&amp;I29</f>
        <v>1563_837</v>
      </c>
      <c r="B29" s="194">
        <v>1563</v>
      </c>
      <c r="C29" s="178">
        <f t="shared" ref="C29" si="35">B29</f>
        <v>1563</v>
      </c>
      <c r="D29" s="53" t="str">
        <f ca="1">VLOOKUP($C29,OFFSET([1]characters!$A$1,0,0,COUNTA([1]characters!$A:$A),MATCH(D$1,[1]characters!$1:$1,0)-MATCH($C$1,[1]characters!$1:$1,0)+1),MATCH(D$1,[1]characters!$1:$1,0)-MATCH($C$1,[1]characters!$1:$1,0)+1,FALSE)</f>
        <v>Cassiopeia01</v>
      </c>
      <c r="E29" s="53">
        <f ca="1">VLOOKUP($C29,OFFSET([1]characters!$A$1,0,0,COUNTA([1]characters!$A:$A),MATCH(E$1,[1]characters!$1:$1,0)-MATCH($C$1,[1]characters!$1:$1,0)+1),MATCH(E$1,[1]characters!$1:$1,0)-MATCH($C$1,[1]characters!$1:$1,0)+1,FALSE)</f>
        <v>5</v>
      </c>
      <c r="F29" s="53" t="str">
        <f ca="1">VLOOKUP($C29,OFFSET([1]characters!$A$1,0,0,COUNTA([1]characters!$A:$A),MATCH(F$1,[1]characters!$1:$1,0)-MATCH($C$1,[1]characters!$1:$1,0)+1),MATCH(F$1,[1]characters!$1:$1,0)-MATCH($C$1,[1]characters!$1:$1,0)+1,FALSE)</f>
        <v>PremiumSS</v>
      </c>
      <c r="G29" s="194">
        <v>1564</v>
      </c>
      <c r="H29" s="53" t="str">
        <f ca="1">VLOOKUP($G29,OFFSET([1]characters!$A$1,0,0,COUNTA([1]characters!$A:$A),MATCH(H$1,[1]characters!$1:$1,0)-MATCH($C$1,[1]characters!$1:$1,0)+1),MATCH(H$1,[1]characters!$1:$1,0)-MATCH($C$1,[1]characters!$1:$1,0)+1,FALSE)</f>
        <v>Cassiopeia02</v>
      </c>
      <c r="I29" s="193">
        <v>837</v>
      </c>
      <c r="J29" s="53" t="str">
        <f ca="1">VLOOKUP($I29,OFFSET([1]characters!$A$1,0,0,COUNTA([1]characters!$A:$A),MATCH(J$1,[1]characters!$1:$1,0)-MATCH($C$1,[1]characters!$1:$1,0)+1),MATCH(J$1,[1]characters!$1:$1,0)-MATCH($C$1,[1]characters!$1:$1,0)+1,FALSE)</f>
        <v>リトルハンプティ</v>
      </c>
      <c r="K29" s="191">
        <v>1</v>
      </c>
      <c r="L29" s="191">
        <v>1</v>
      </c>
      <c r="M29" s="192">
        <v>1000</v>
      </c>
      <c r="N29" s="2" t="s">
        <v>290</v>
      </c>
    </row>
    <row r="30" spans="1:14" ht="21" customHeight="1" x14ac:dyDescent="0.15">
      <c r="A30" s="61" t="str">
        <f t="shared" si="24"/>
        <v>1566_104</v>
      </c>
      <c r="B30" s="194">
        <v>1566</v>
      </c>
      <c r="C30" s="178">
        <f t="shared" si="25"/>
        <v>1566</v>
      </c>
      <c r="D30" s="53" t="str">
        <f ca="1">VLOOKUP($C30,OFFSET([1]characters!$A$1,0,0,COUNTA([1]characters!$A:$A),MATCH(D$1,[1]characters!$1:$1,0)-MATCH($C$1,[1]characters!$1:$1,0)+1),MATCH(D$1,[1]characters!$1:$1,0)-MATCH($C$1,[1]characters!$1:$1,0)+1,FALSE)</f>
        <v>Phoenix01</v>
      </c>
      <c r="E30" s="53">
        <f ca="1">VLOOKUP($C30,OFFSET([1]characters!$A$1,0,0,COUNTA([1]characters!$A:$A),MATCH(E$1,[1]characters!$1:$1,0)-MATCH($C$1,[1]characters!$1:$1,0)+1),MATCH(E$1,[1]characters!$1:$1,0)-MATCH($C$1,[1]characters!$1:$1,0)+1,FALSE)</f>
        <v>5</v>
      </c>
      <c r="F30" s="53" t="str">
        <f ca="1">VLOOKUP($C30,OFFSET([1]characters!$A$1,0,0,COUNTA([1]characters!$A:$A),MATCH(F$1,[1]characters!$1:$1,0)-MATCH($C$1,[1]characters!$1:$1,0)+1),MATCH(F$1,[1]characters!$1:$1,0)-MATCH($C$1,[1]characters!$1:$1,0)+1,FALSE)</f>
        <v>PremiumSSS</v>
      </c>
      <c r="G30" s="194">
        <v>1567</v>
      </c>
      <c r="H30" s="53" t="str">
        <f ca="1">VLOOKUP($G30,OFFSET([1]characters!$A$1,0,0,COUNTA([1]characters!$A:$A),MATCH(H$1,[1]characters!$1:$1,0)-MATCH($C$1,[1]characters!$1:$1,0)+1),MATCH(H$1,[1]characters!$1:$1,0)-MATCH($C$1,[1]characters!$1:$1,0)+1,FALSE)</f>
        <v>Phoenix02</v>
      </c>
      <c r="I30" s="193">
        <v>104</v>
      </c>
      <c r="J30" s="53" t="str">
        <f ca="1">VLOOKUP($I30,OFFSET([1]characters!$A$1,0,0,COUNTA([1]characters!$A:$A),MATCH(J$1,[1]characters!$1:$1,0)-MATCH($C$1,[1]characters!$1:$1,0)+1),MATCH(J$1,[1]characters!$1:$1,0)-MATCH($C$1,[1]characters!$1:$1,0)+1,FALSE)</f>
        <v>炎のマッドハッター</v>
      </c>
      <c r="K30" s="191">
        <v>1</v>
      </c>
      <c r="L30" s="191">
        <v>1</v>
      </c>
      <c r="M30" s="192">
        <v>10</v>
      </c>
      <c r="N30" s="2" t="s">
        <v>290</v>
      </c>
    </row>
    <row r="31" spans="1:14" ht="21" customHeight="1" x14ac:dyDescent="0.15">
      <c r="A31" s="61" t="str">
        <f t="shared" ref="A31:A32" si="36">B31&amp;"_"&amp;I31</f>
        <v>1566_290</v>
      </c>
      <c r="B31" s="194">
        <v>1566</v>
      </c>
      <c r="C31" s="178">
        <f t="shared" ref="C31:C32" si="37">B31</f>
        <v>1566</v>
      </c>
      <c r="D31" s="53" t="str">
        <f ca="1">VLOOKUP($C31,OFFSET([1]characters!$A$1,0,0,COUNTA([1]characters!$A:$A),MATCH(D$1,[1]characters!$1:$1,0)-MATCH($C$1,[1]characters!$1:$1,0)+1),MATCH(D$1,[1]characters!$1:$1,0)-MATCH($C$1,[1]characters!$1:$1,0)+1,FALSE)</f>
        <v>Phoenix01</v>
      </c>
      <c r="E31" s="53">
        <f ca="1">VLOOKUP($C31,OFFSET([1]characters!$A$1,0,0,COUNTA([1]characters!$A:$A),MATCH(E$1,[1]characters!$1:$1,0)-MATCH($C$1,[1]characters!$1:$1,0)+1),MATCH(E$1,[1]characters!$1:$1,0)-MATCH($C$1,[1]characters!$1:$1,0)+1,FALSE)</f>
        <v>5</v>
      </c>
      <c r="F31" s="53" t="str">
        <f ca="1">VLOOKUP($C31,OFFSET([1]characters!$A$1,0,0,COUNTA([1]characters!$A:$A),MATCH(F$1,[1]characters!$1:$1,0)-MATCH($C$1,[1]characters!$1:$1,0)+1),MATCH(F$1,[1]characters!$1:$1,0)-MATCH($C$1,[1]characters!$1:$1,0)+1,FALSE)</f>
        <v>PremiumSSS</v>
      </c>
      <c r="G31" s="194">
        <v>1567</v>
      </c>
      <c r="H31" s="53" t="str">
        <f ca="1">VLOOKUP($G31,OFFSET([1]characters!$A$1,0,0,COUNTA([1]characters!$A:$A),MATCH(H$1,[1]characters!$1:$1,0)-MATCH($C$1,[1]characters!$1:$1,0)+1),MATCH(H$1,[1]characters!$1:$1,0)-MATCH($C$1,[1]characters!$1:$1,0)+1,FALSE)</f>
        <v>Phoenix02</v>
      </c>
      <c r="I31" s="193">
        <v>290</v>
      </c>
      <c r="J31" s="53" t="str">
        <f ca="1">VLOOKUP($I31,OFFSET([1]characters!$A$1,0,0,COUNTA([1]characters!$A:$A),MATCH(J$1,[1]characters!$1:$1,0)-MATCH($C$1,[1]characters!$1:$1,0)+1),MATCH(J$1,[1]characters!$1:$1,0)-MATCH($C$1,[1]characters!$1:$1,0)+1,FALSE)</f>
        <v>ウィッチ・オクトパス</v>
      </c>
      <c r="K31" s="191">
        <v>1</v>
      </c>
      <c r="L31" s="191">
        <v>2</v>
      </c>
      <c r="M31" s="192">
        <v>100</v>
      </c>
      <c r="N31" s="2" t="s">
        <v>290</v>
      </c>
    </row>
    <row r="32" spans="1:14" ht="21" customHeight="1" x14ac:dyDescent="0.15">
      <c r="A32" s="61" t="str">
        <f t="shared" si="36"/>
        <v>1566_577</v>
      </c>
      <c r="B32" s="194">
        <v>1566</v>
      </c>
      <c r="C32" s="178">
        <f t="shared" si="37"/>
        <v>1566</v>
      </c>
      <c r="D32" s="53" t="str">
        <f ca="1">VLOOKUP($C32,OFFSET([1]characters!$A$1,0,0,COUNTA([1]characters!$A:$A),MATCH(D$1,[1]characters!$1:$1,0)-MATCH($C$1,[1]characters!$1:$1,0)+1),MATCH(D$1,[1]characters!$1:$1,0)-MATCH($C$1,[1]characters!$1:$1,0)+1,FALSE)</f>
        <v>Phoenix01</v>
      </c>
      <c r="E32" s="53">
        <f ca="1">VLOOKUP($C32,OFFSET([1]characters!$A$1,0,0,COUNTA([1]characters!$A:$A),MATCH(E$1,[1]characters!$1:$1,0)-MATCH($C$1,[1]characters!$1:$1,0)+1),MATCH(E$1,[1]characters!$1:$1,0)-MATCH($C$1,[1]characters!$1:$1,0)+1,FALSE)</f>
        <v>5</v>
      </c>
      <c r="F32" s="53" t="str">
        <f ca="1">VLOOKUP($C32,OFFSET([1]characters!$A$1,0,0,COUNTA([1]characters!$A:$A),MATCH(F$1,[1]characters!$1:$1,0)-MATCH($C$1,[1]characters!$1:$1,0)+1),MATCH(F$1,[1]characters!$1:$1,0)-MATCH($C$1,[1]characters!$1:$1,0)+1,FALSE)</f>
        <v>PremiumSSS</v>
      </c>
      <c r="G32" s="194">
        <v>1567</v>
      </c>
      <c r="H32" s="53" t="str">
        <f ca="1">VLOOKUP($G32,OFFSET([1]characters!$A$1,0,0,COUNTA([1]characters!$A:$A),MATCH(H$1,[1]characters!$1:$1,0)-MATCH($C$1,[1]characters!$1:$1,0)+1),MATCH(H$1,[1]characters!$1:$1,0)-MATCH($C$1,[1]characters!$1:$1,0)+1,FALSE)</f>
        <v>Phoenix02</v>
      </c>
      <c r="I32" s="193">
        <v>577</v>
      </c>
      <c r="J32" s="53" t="str">
        <f ca="1">VLOOKUP($I32,OFFSET([1]characters!$A$1,0,0,COUNTA([1]characters!$A:$A),MATCH(J$1,[1]characters!$1:$1,0)-MATCH($C$1,[1]characters!$1:$1,0)+1),MATCH(J$1,[1]characters!$1:$1,0)-MATCH($C$1,[1]characters!$1:$1,0)+1,FALSE)</f>
        <v>ビュグヴィルとベイラ</v>
      </c>
      <c r="K32" s="191">
        <v>1</v>
      </c>
      <c r="L32" s="191">
        <v>2</v>
      </c>
      <c r="M32" s="192">
        <v>100</v>
      </c>
      <c r="N32" s="2" t="s">
        <v>290</v>
      </c>
    </row>
    <row r="33" spans="1:14" ht="21" customHeight="1" x14ac:dyDescent="0.15">
      <c r="A33" s="61" t="str">
        <f t="shared" ref="A33" si="38">B33&amp;"_"&amp;I33</f>
        <v>1566_837</v>
      </c>
      <c r="B33" s="194">
        <v>1566</v>
      </c>
      <c r="C33" s="178">
        <f t="shared" ref="C33" si="39">B33</f>
        <v>1566</v>
      </c>
      <c r="D33" s="53" t="str">
        <f ca="1">VLOOKUP($C33,OFFSET([1]characters!$A$1,0,0,COUNTA([1]characters!$A:$A),MATCH(D$1,[1]characters!$1:$1,0)-MATCH($C$1,[1]characters!$1:$1,0)+1),MATCH(D$1,[1]characters!$1:$1,0)-MATCH($C$1,[1]characters!$1:$1,0)+1,FALSE)</f>
        <v>Phoenix01</v>
      </c>
      <c r="E33" s="53">
        <f ca="1">VLOOKUP($C33,OFFSET([1]characters!$A$1,0,0,COUNTA([1]characters!$A:$A),MATCH(E$1,[1]characters!$1:$1,0)-MATCH($C$1,[1]characters!$1:$1,0)+1),MATCH(E$1,[1]characters!$1:$1,0)-MATCH($C$1,[1]characters!$1:$1,0)+1,FALSE)</f>
        <v>5</v>
      </c>
      <c r="F33" s="53" t="str">
        <f ca="1">VLOOKUP($C33,OFFSET([1]characters!$A$1,0,0,COUNTA([1]characters!$A:$A),MATCH(F$1,[1]characters!$1:$1,0)-MATCH($C$1,[1]characters!$1:$1,0)+1),MATCH(F$1,[1]characters!$1:$1,0)-MATCH($C$1,[1]characters!$1:$1,0)+1,FALSE)</f>
        <v>PremiumSSS</v>
      </c>
      <c r="G33" s="194">
        <v>1567</v>
      </c>
      <c r="H33" s="53" t="str">
        <f ca="1">VLOOKUP($G33,OFFSET([1]characters!$A$1,0,0,COUNTA([1]characters!$A:$A),MATCH(H$1,[1]characters!$1:$1,0)-MATCH($C$1,[1]characters!$1:$1,0)+1),MATCH(H$1,[1]characters!$1:$1,0)-MATCH($C$1,[1]characters!$1:$1,0)+1,FALSE)</f>
        <v>Phoenix02</v>
      </c>
      <c r="I33" s="193">
        <v>837</v>
      </c>
      <c r="J33" s="53" t="str">
        <f ca="1">VLOOKUP($I33,OFFSET([1]characters!$A$1,0,0,COUNTA([1]characters!$A:$A),MATCH(J$1,[1]characters!$1:$1,0)-MATCH($C$1,[1]characters!$1:$1,0)+1),MATCH(J$1,[1]characters!$1:$1,0)-MATCH($C$1,[1]characters!$1:$1,0)+1,FALSE)</f>
        <v>リトルハンプティ</v>
      </c>
      <c r="K33" s="191">
        <v>1</v>
      </c>
      <c r="L33" s="191">
        <v>1</v>
      </c>
      <c r="M33" s="192">
        <v>1000</v>
      </c>
      <c r="N33" s="2" t="s">
        <v>290</v>
      </c>
    </row>
    <row r="34" spans="1:14" ht="21" customHeight="1" x14ac:dyDescent="0.15">
      <c r="A34" s="61" t="str">
        <f t="shared" si="24"/>
        <v>1568_931</v>
      </c>
      <c r="B34" s="194">
        <v>1568</v>
      </c>
      <c r="C34" s="178">
        <f t="shared" si="25"/>
        <v>1568</v>
      </c>
      <c r="D34" s="53" t="str">
        <f ca="1">VLOOKUP($C34,OFFSET([1]characters!$A$1,0,0,COUNTA([1]characters!$A:$A),MATCH(D$1,[1]characters!$1:$1,0)-MATCH($C$1,[1]characters!$1:$1,0)+1),MATCH(D$1,[1]characters!$1:$1,0)-MATCH($C$1,[1]characters!$1:$1,0)+1,FALSE)</f>
        <v>Orion01</v>
      </c>
      <c r="E34" s="53">
        <f ca="1">VLOOKUP($C34,OFFSET([1]characters!$A$1,0,0,COUNTA([1]characters!$A:$A),MATCH(E$1,[1]characters!$1:$1,0)-MATCH($C$1,[1]characters!$1:$1,0)+1),MATCH(E$1,[1]characters!$1:$1,0)-MATCH($C$1,[1]characters!$1:$1,0)+1,FALSE)</f>
        <v>5</v>
      </c>
      <c r="F34" s="53" t="str">
        <f ca="1">VLOOKUP($C34,OFFSET([1]characters!$A$1,0,0,COUNTA([1]characters!$A:$A),MATCH(F$1,[1]characters!$1:$1,0)-MATCH($C$1,[1]characters!$1:$1,0)+1),MATCH(F$1,[1]characters!$1:$1,0)-MATCH($C$1,[1]characters!$1:$1,0)+1,FALSE)</f>
        <v>PremiumSS</v>
      </c>
      <c r="G34" s="194">
        <v>1569</v>
      </c>
      <c r="H34" s="53" t="str">
        <f ca="1">VLOOKUP($G34,OFFSET([1]characters!$A$1,0,0,COUNTA([1]characters!$A:$A),MATCH(H$1,[1]characters!$1:$1,0)-MATCH($C$1,[1]characters!$1:$1,0)+1),MATCH(H$1,[1]characters!$1:$1,0)-MATCH($C$1,[1]characters!$1:$1,0)+1,FALSE)</f>
        <v>Orion02</v>
      </c>
      <c r="I34" s="193">
        <v>931</v>
      </c>
      <c r="J34" s="53" t="str">
        <f ca="1">VLOOKUP($I34,OFFSET([1]characters!$A$1,0,0,COUNTA([1]characters!$A:$A),MATCH(J$1,[1]characters!$1:$1,0)-MATCH($C$1,[1]characters!$1:$1,0)+1),MATCH(J$1,[1]characters!$1:$1,0)-MATCH($C$1,[1]characters!$1:$1,0)+1,FALSE)</f>
        <v>ネルソン</v>
      </c>
      <c r="K34" s="191">
        <v>1</v>
      </c>
      <c r="L34" s="191">
        <v>1</v>
      </c>
      <c r="M34" s="192">
        <v>100</v>
      </c>
      <c r="N34" s="2" t="s">
        <v>290</v>
      </c>
    </row>
    <row r="35" spans="1:14" ht="21" customHeight="1" x14ac:dyDescent="0.15">
      <c r="A35" s="61" t="str">
        <f t="shared" ref="A35:A36" si="40">B35&amp;"_"&amp;I35</f>
        <v>1568_1059</v>
      </c>
      <c r="B35" s="194">
        <v>1568</v>
      </c>
      <c r="C35" s="178">
        <f t="shared" ref="C35:C36" si="41">B35</f>
        <v>1568</v>
      </c>
      <c r="D35" s="53" t="str">
        <f ca="1">VLOOKUP($C35,OFFSET([1]characters!$A$1,0,0,COUNTA([1]characters!$A:$A),MATCH(D$1,[1]characters!$1:$1,0)-MATCH($C$1,[1]characters!$1:$1,0)+1),MATCH(D$1,[1]characters!$1:$1,0)-MATCH($C$1,[1]characters!$1:$1,0)+1,FALSE)</f>
        <v>Orion01</v>
      </c>
      <c r="E35" s="53">
        <f ca="1">VLOOKUP($C35,OFFSET([1]characters!$A$1,0,0,COUNTA([1]characters!$A:$A),MATCH(E$1,[1]characters!$1:$1,0)-MATCH($C$1,[1]characters!$1:$1,0)+1),MATCH(E$1,[1]characters!$1:$1,0)-MATCH($C$1,[1]characters!$1:$1,0)+1,FALSE)</f>
        <v>5</v>
      </c>
      <c r="F35" s="53" t="str">
        <f ca="1">VLOOKUP($C35,OFFSET([1]characters!$A$1,0,0,COUNTA([1]characters!$A:$A),MATCH(F$1,[1]characters!$1:$1,0)-MATCH($C$1,[1]characters!$1:$1,0)+1),MATCH(F$1,[1]characters!$1:$1,0)-MATCH($C$1,[1]characters!$1:$1,0)+1,FALSE)</f>
        <v>PremiumSS</v>
      </c>
      <c r="G35" s="194">
        <v>1569</v>
      </c>
      <c r="H35" s="53" t="str">
        <f ca="1">VLOOKUP($G35,OFFSET([1]characters!$A$1,0,0,COUNTA([1]characters!$A:$A),MATCH(H$1,[1]characters!$1:$1,0)-MATCH($C$1,[1]characters!$1:$1,0)+1),MATCH(H$1,[1]characters!$1:$1,0)-MATCH($C$1,[1]characters!$1:$1,0)+1,FALSE)</f>
        <v>Orion02</v>
      </c>
      <c r="I35" s="193">
        <v>1059</v>
      </c>
      <c r="J35" s="53" t="str">
        <f ca="1">VLOOKUP($I35,OFFSET([1]characters!$A$1,0,0,COUNTA([1]characters!$A:$A),MATCH(J$1,[1]characters!$1:$1,0)-MATCH($C$1,[1]characters!$1:$1,0)+1),MATCH(J$1,[1]characters!$1:$1,0)-MATCH($C$1,[1]characters!$1:$1,0)+1,FALSE)</f>
        <v>パズズ</v>
      </c>
      <c r="K35" s="191">
        <v>1</v>
      </c>
      <c r="L35" s="191">
        <v>1</v>
      </c>
      <c r="M35" s="192">
        <v>100</v>
      </c>
      <c r="N35" s="2" t="s">
        <v>290</v>
      </c>
    </row>
    <row r="36" spans="1:14" ht="21" customHeight="1" x14ac:dyDescent="0.15">
      <c r="A36" s="61" t="str">
        <f t="shared" si="40"/>
        <v>1568_107</v>
      </c>
      <c r="B36" s="194">
        <v>1568</v>
      </c>
      <c r="C36" s="178">
        <f t="shared" si="41"/>
        <v>1568</v>
      </c>
      <c r="D36" s="53" t="str">
        <f ca="1">VLOOKUP($C36,OFFSET([1]characters!$A$1,0,0,COUNTA([1]characters!$A:$A),MATCH(D$1,[1]characters!$1:$1,0)-MATCH($C$1,[1]characters!$1:$1,0)+1),MATCH(D$1,[1]characters!$1:$1,0)-MATCH($C$1,[1]characters!$1:$1,0)+1,FALSE)</f>
        <v>Orion01</v>
      </c>
      <c r="E36" s="53">
        <f ca="1">VLOOKUP($C36,OFFSET([1]characters!$A$1,0,0,COUNTA([1]characters!$A:$A),MATCH(E$1,[1]characters!$1:$1,0)-MATCH($C$1,[1]characters!$1:$1,0)+1),MATCH(E$1,[1]characters!$1:$1,0)-MATCH($C$1,[1]characters!$1:$1,0)+1,FALSE)</f>
        <v>5</v>
      </c>
      <c r="F36" s="53" t="str">
        <f ca="1">VLOOKUP($C36,OFFSET([1]characters!$A$1,0,0,COUNTA([1]characters!$A:$A),MATCH(F$1,[1]characters!$1:$1,0)-MATCH($C$1,[1]characters!$1:$1,0)+1),MATCH(F$1,[1]characters!$1:$1,0)-MATCH($C$1,[1]characters!$1:$1,0)+1,FALSE)</f>
        <v>PremiumSS</v>
      </c>
      <c r="G36" s="194">
        <v>1569</v>
      </c>
      <c r="H36" s="53" t="str">
        <f ca="1">VLOOKUP($G36,OFFSET([1]characters!$A$1,0,0,COUNTA([1]characters!$A:$A),MATCH(H$1,[1]characters!$1:$1,0)-MATCH($C$1,[1]characters!$1:$1,0)+1),MATCH(H$1,[1]characters!$1:$1,0)-MATCH($C$1,[1]characters!$1:$1,0)+1,FALSE)</f>
        <v>Orion02</v>
      </c>
      <c r="I36" s="193">
        <v>107</v>
      </c>
      <c r="J36" s="53" t="str">
        <f ca="1">VLOOKUP($I36,OFFSET([1]characters!$A$1,0,0,COUNTA([1]characters!$A:$A),MATCH(J$1,[1]characters!$1:$1,0)-MATCH($C$1,[1]characters!$1:$1,0)+1),MATCH(J$1,[1]characters!$1:$1,0)-MATCH($C$1,[1]characters!$1:$1,0)+1,FALSE)</f>
        <v>グリーンキャタップ</v>
      </c>
      <c r="K36" s="191">
        <v>1</v>
      </c>
      <c r="L36" s="191">
        <v>1</v>
      </c>
      <c r="M36" s="192">
        <v>10</v>
      </c>
      <c r="N36" s="2" t="s">
        <v>290</v>
      </c>
    </row>
    <row r="37" spans="1:14" ht="21" customHeight="1" x14ac:dyDescent="0.15">
      <c r="A37" s="61" t="str">
        <f t="shared" ref="A37" si="42">B37&amp;"_"&amp;I37</f>
        <v>1568_108</v>
      </c>
      <c r="B37" s="194">
        <v>1568</v>
      </c>
      <c r="C37" s="178">
        <f t="shared" ref="C37" si="43">B37</f>
        <v>1568</v>
      </c>
      <c r="D37" s="53" t="str">
        <f ca="1">VLOOKUP($C37,OFFSET([1]characters!$A$1,0,0,COUNTA([1]characters!$A:$A),MATCH(D$1,[1]characters!$1:$1,0)-MATCH($C$1,[1]characters!$1:$1,0)+1),MATCH(D$1,[1]characters!$1:$1,0)-MATCH($C$1,[1]characters!$1:$1,0)+1,FALSE)</f>
        <v>Orion01</v>
      </c>
      <c r="E37" s="53">
        <f ca="1">VLOOKUP($C37,OFFSET([1]characters!$A$1,0,0,COUNTA([1]characters!$A:$A),MATCH(E$1,[1]characters!$1:$1,0)-MATCH($C$1,[1]characters!$1:$1,0)+1),MATCH(E$1,[1]characters!$1:$1,0)-MATCH($C$1,[1]characters!$1:$1,0)+1,FALSE)</f>
        <v>5</v>
      </c>
      <c r="F37" s="53" t="str">
        <f ca="1">VLOOKUP($C37,OFFSET([1]characters!$A$1,0,0,COUNTA([1]characters!$A:$A),MATCH(F$1,[1]characters!$1:$1,0)-MATCH($C$1,[1]characters!$1:$1,0)+1),MATCH(F$1,[1]characters!$1:$1,0)-MATCH($C$1,[1]characters!$1:$1,0)+1,FALSE)</f>
        <v>PremiumSS</v>
      </c>
      <c r="G37" s="194">
        <v>1569</v>
      </c>
      <c r="H37" s="53" t="str">
        <f ca="1">VLOOKUP($G37,OFFSET([1]characters!$A$1,0,0,COUNTA([1]characters!$A:$A),MATCH(H$1,[1]characters!$1:$1,0)-MATCH($C$1,[1]characters!$1:$1,0)+1),MATCH(H$1,[1]characters!$1:$1,0)-MATCH($C$1,[1]characters!$1:$1,0)+1,FALSE)</f>
        <v>Orion02</v>
      </c>
      <c r="I37" s="193">
        <v>108</v>
      </c>
      <c r="J37" s="53" t="str">
        <f ca="1">VLOOKUP($I37,OFFSET([1]characters!$A$1,0,0,COUNTA([1]characters!$A:$A),MATCH(J$1,[1]characters!$1:$1,0)-MATCH($C$1,[1]characters!$1:$1,0)+1),MATCH(J$1,[1]characters!$1:$1,0)-MATCH($C$1,[1]characters!$1:$1,0)+1,FALSE)</f>
        <v>森のマッドハッター</v>
      </c>
      <c r="K37" s="191">
        <v>1</v>
      </c>
      <c r="L37" s="191">
        <v>1</v>
      </c>
      <c r="M37" s="192">
        <v>10</v>
      </c>
      <c r="N37" s="2" t="s">
        <v>290</v>
      </c>
    </row>
    <row r="38" spans="1:14" ht="21" customHeight="1" x14ac:dyDescent="0.15">
      <c r="A38" s="61" t="str">
        <f t="shared" ref="A38" si="44">B38&amp;"_"&amp;I38</f>
        <v>1568_837</v>
      </c>
      <c r="B38" s="194">
        <v>1568</v>
      </c>
      <c r="C38" s="178">
        <f t="shared" ref="C38" si="45">B38</f>
        <v>1568</v>
      </c>
      <c r="D38" s="53" t="str">
        <f ca="1">VLOOKUP($C38,OFFSET([1]characters!$A$1,0,0,COUNTA([1]characters!$A:$A),MATCH(D$1,[1]characters!$1:$1,0)-MATCH($C$1,[1]characters!$1:$1,0)+1),MATCH(D$1,[1]characters!$1:$1,0)-MATCH($C$1,[1]characters!$1:$1,0)+1,FALSE)</f>
        <v>Orion01</v>
      </c>
      <c r="E38" s="53">
        <f ca="1">VLOOKUP($C38,OFFSET([1]characters!$A$1,0,0,COUNTA([1]characters!$A:$A),MATCH(E$1,[1]characters!$1:$1,0)-MATCH($C$1,[1]characters!$1:$1,0)+1),MATCH(E$1,[1]characters!$1:$1,0)-MATCH($C$1,[1]characters!$1:$1,0)+1,FALSE)</f>
        <v>5</v>
      </c>
      <c r="F38" s="53" t="str">
        <f ca="1">VLOOKUP($C38,OFFSET([1]characters!$A$1,0,0,COUNTA([1]characters!$A:$A),MATCH(F$1,[1]characters!$1:$1,0)-MATCH($C$1,[1]characters!$1:$1,0)+1),MATCH(F$1,[1]characters!$1:$1,0)-MATCH($C$1,[1]characters!$1:$1,0)+1,FALSE)</f>
        <v>PremiumSS</v>
      </c>
      <c r="G38" s="194">
        <v>1569</v>
      </c>
      <c r="H38" s="53" t="str">
        <f ca="1">VLOOKUP($G38,OFFSET([1]characters!$A$1,0,0,COUNTA([1]characters!$A:$A),MATCH(H$1,[1]characters!$1:$1,0)-MATCH($C$1,[1]characters!$1:$1,0)+1),MATCH(H$1,[1]characters!$1:$1,0)-MATCH($C$1,[1]characters!$1:$1,0)+1,FALSE)</f>
        <v>Orion02</v>
      </c>
      <c r="I38" s="193">
        <v>837</v>
      </c>
      <c r="J38" s="53" t="str">
        <f ca="1">VLOOKUP($I38,OFFSET([1]characters!$A$1,0,0,COUNTA([1]characters!$A:$A),MATCH(J$1,[1]characters!$1:$1,0)-MATCH($C$1,[1]characters!$1:$1,0)+1),MATCH(J$1,[1]characters!$1:$1,0)-MATCH($C$1,[1]characters!$1:$1,0)+1,FALSE)</f>
        <v>リトルハンプティ</v>
      </c>
      <c r="K38" s="191">
        <v>1</v>
      </c>
      <c r="L38" s="191">
        <v>1</v>
      </c>
      <c r="M38" s="192">
        <v>1000</v>
      </c>
      <c r="N38" s="2" t="s">
        <v>290</v>
      </c>
    </row>
    <row r="39" spans="1:14" ht="21" customHeight="1" x14ac:dyDescent="0.15">
      <c r="A39" s="61" t="str">
        <f t="shared" si="24"/>
        <v>1571_1581</v>
      </c>
      <c r="B39" s="194">
        <v>1571</v>
      </c>
      <c r="C39" s="178">
        <f t="shared" si="25"/>
        <v>1571</v>
      </c>
      <c r="D39" s="53" t="str">
        <f ca="1">VLOOKUP($C39,OFFSET([1]characters!$A$1,0,0,COUNTA([1]characters!$A:$A),MATCH(D$1,[1]characters!$1:$1,0)-MATCH($C$1,[1]characters!$1:$1,0)+1),MATCH(D$1,[1]characters!$1:$1,0)-MATCH($C$1,[1]characters!$1:$1,0)+1,FALSE)</f>
        <v>Lupus01</v>
      </c>
      <c r="E39" s="53">
        <f ca="1">VLOOKUP($C39,OFFSET([1]characters!$A$1,0,0,COUNTA([1]characters!$A:$A),MATCH(E$1,[1]characters!$1:$1,0)-MATCH($C$1,[1]characters!$1:$1,0)+1),MATCH(E$1,[1]characters!$1:$1,0)-MATCH($C$1,[1]characters!$1:$1,0)+1,FALSE)</f>
        <v>5</v>
      </c>
      <c r="F39" s="53" t="str">
        <f ca="1">VLOOKUP($C39,OFFSET([1]characters!$A$1,0,0,COUNTA([1]characters!$A:$A),MATCH(F$1,[1]characters!$1:$1,0)-MATCH($C$1,[1]characters!$1:$1,0)+1),MATCH(F$1,[1]characters!$1:$1,0)-MATCH($C$1,[1]characters!$1:$1,0)+1,FALSE)</f>
        <v>DropWizSS</v>
      </c>
      <c r="G39" s="194">
        <v>1572</v>
      </c>
      <c r="H39" s="53" t="str">
        <f ca="1">VLOOKUP($G39,OFFSET([1]characters!$A$1,0,0,COUNTA([1]characters!$A:$A),MATCH(H$1,[1]characters!$1:$1,0)-MATCH($C$1,[1]characters!$1:$1,0)+1),MATCH(H$1,[1]characters!$1:$1,0)-MATCH($C$1,[1]characters!$1:$1,0)+1,FALSE)</f>
        <v>Lupus02</v>
      </c>
      <c r="I39" s="193">
        <v>1581</v>
      </c>
      <c r="J39" s="53" t="str">
        <f ca="1">VLOOKUP($I39,OFFSET([1]characters!$A$1,0,0,COUNTA([1]characters!$A:$A),MATCH(J$1,[1]characters!$1:$1,0)-MATCH($C$1,[1]characters!$1:$1,0)+1),MATCH(J$1,[1]characters!$1:$1,0)-MATCH($C$1,[1]characters!$1:$1,0)+1,FALSE)</f>
        <v>Gemini01</v>
      </c>
      <c r="K39" s="191">
        <v>1</v>
      </c>
      <c r="L39" s="191">
        <v>1</v>
      </c>
      <c r="M39" s="192">
        <v>100</v>
      </c>
      <c r="N39" s="2" t="s">
        <v>290</v>
      </c>
    </row>
    <row r="40" spans="1:14" ht="21" customHeight="1" x14ac:dyDescent="0.15">
      <c r="A40" s="61" t="str">
        <f t="shared" ref="A40:A41" si="46">B40&amp;"_"&amp;I40</f>
        <v>1571_768</v>
      </c>
      <c r="B40" s="194">
        <v>1571</v>
      </c>
      <c r="C40" s="178">
        <f t="shared" ref="C40:C41" si="47">B40</f>
        <v>1571</v>
      </c>
      <c r="D40" s="53" t="str">
        <f ca="1">VLOOKUP($C40,OFFSET([1]characters!$A$1,0,0,COUNTA([1]characters!$A:$A),MATCH(D$1,[1]characters!$1:$1,0)-MATCH($C$1,[1]characters!$1:$1,0)+1),MATCH(D$1,[1]characters!$1:$1,0)-MATCH($C$1,[1]characters!$1:$1,0)+1,FALSE)</f>
        <v>Lupus01</v>
      </c>
      <c r="E40" s="53">
        <f ca="1">VLOOKUP($C40,OFFSET([1]characters!$A$1,0,0,COUNTA([1]characters!$A:$A),MATCH(E$1,[1]characters!$1:$1,0)-MATCH($C$1,[1]characters!$1:$1,0)+1),MATCH(E$1,[1]characters!$1:$1,0)-MATCH($C$1,[1]characters!$1:$1,0)+1,FALSE)</f>
        <v>5</v>
      </c>
      <c r="F40" s="53" t="str">
        <f ca="1">VLOOKUP($C40,OFFSET([1]characters!$A$1,0,0,COUNTA([1]characters!$A:$A),MATCH(F$1,[1]characters!$1:$1,0)-MATCH($C$1,[1]characters!$1:$1,0)+1),MATCH(F$1,[1]characters!$1:$1,0)-MATCH($C$1,[1]characters!$1:$1,0)+1,FALSE)</f>
        <v>DropWizSS</v>
      </c>
      <c r="G40" s="194">
        <v>1572</v>
      </c>
      <c r="H40" s="53" t="str">
        <f ca="1">VLOOKUP($G40,OFFSET([1]characters!$A$1,0,0,COUNTA([1]characters!$A:$A),MATCH(H$1,[1]characters!$1:$1,0)-MATCH($C$1,[1]characters!$1:$1,0)+1),MATCH(H$1,[1]characters!$1:$1,0)-MATCH($C$1,[1]characters!$1:$1,0)+1,FALSE)</f>
        <v>Lupus02</v>
      </c>
      <c r="I40" s="193">
        <v>768</v>
      </c>
      <c r="J40" s="53" t="str">
        <f ca="1">VLOOKUP($I40,OFFSET([1]characters!$A$1,0,0,COUNTA([1]characters!$A:$A),MATCH(J$1,[1]characters!$1:$1,0)-MATCH($C$1,[1]characters!$1:$1,0)+1),MATCH(J$1,[1]characters!$1:$1,0)-MATCH($C$1,[1]characters!$1:$1,0)+1,FALSE)</f>
        <v>ガレス</v>
      </c>
      <c r="K40" s="191">
        <v>1</v>
      </c>
      <c r="L40" s="191">
        <v>1</v>
      </c>
      <c r="M40" s="192">
        <v>100</v>
      </c>
      <c r="N40" s="2" t="s">
        <v>290</v>
      </c>
    </row>
    <row r="41" spans="1:14" ht="21" customHeight="1" x14ac:dyDescent="0.15">
      <c r="A41" s="61" t="str">
        <f t="shared" si="46"/>
        <v>1571_1147</v>
      </c>
      <c r="B41" s="194">
        <v>1571</v>
      </c>
      <c r="C41" s="178">
        <f t="shared" si="47"/>
        <v>1571</v>
      </c>
      <c r="D41" s="53" t="str">
        <f ca="1">VLOOKUP($C41,OFFSET([1]characters!$A$1,0,0,COUNTA([1]characters!$A:$A),MATCH(D$1,[1]characters!$1:$1,0)-MATCH($C$1,[1]characters!$1:$1,0)+1),MATCH(D$1,[1]characters!$1:$1,0)-MATCH($C$1,[1]characters!$1:$1,0)+1,FALSE)</f>
        <v>Lupus01</v>
      </c>
      <c r="E41" s="53">
        <f ca="1">VLOOKUP($C41,OFFSET([1]characters!$A$1,0,0,COUNTA([1]characters!$A:$A),MATCH(E$1,[1]characters!$1:$1,0)-MATCH($C$1,[1]characters!$1:$1,0)+1),MATCH(E$1,[1]characters!$1:$1,0)-MATCH($C$1,[1]characters!$1:$1,0)+1,FALSE)</f>
        <v>5</v>
      </c>
      <c r="F41" s="53" t="str">
        <f ca="1">VLOOKUP($C41,OFFSET([1]characters!$A$1,0,0,COUNTA([1]characters!$A:$A),MATCH(F$1,[1]characters!$1:$1,0)-MATCH($C$1,[1]characters!$1:$1,0)+1),MATCH(F$1,[1]characters!$1:$1,0)-MATCH($C$1,[1]characters!$1:$1,0)+1,FALSE)</f>
        <v>DropWizSS</v>
      </c>
      <c r="G41" s="194">
        <v>1572</v>
      </c>
      <c r="H41" s="53" t="str">
        <f ca="1">VLOOKUP($G41,OFFSET([1]characters!$A$1,0,0,COUNTA([1]characters!$A:$A),MATCH(H$1,[1]characters!$1:$1,0)-MATCH($C$1,[1]characters!$1:$1,0)+1),MATCH(H$1,[1]characters!$1:$1,0)-MATCH($C$1,[1]characters!$1:$1,0)+1,FALSE)</f>
        <v>Lupus02</v>
      </c>
      <c r="I41" s="193">
        <v>1147</v>
      </c>
      <c r="J41" s="53" t="str">
        <f ca="1">VLOOKUP($I41,OFFSET([1]characters!$A$1,0,0,COUNTA([1]characters!$A:$A),MATCH(J$1,[1]characters!$1:$1,0)-MATCH($C$1,[1]characters!$1:$1,0)+1),MATCH(J$1,[1]characters!$1:$1,0)-MATCH($C$1,[1]characters!$1:$1,0)+1,FALSE)</f>
        <v>カーリー</v>
      </c>
      <c r="K41" s="191">
        <v>1</v>
      </c>
      <c r="L41" s="191">
        <v>1</v>
      </c>
      <c r="M41" s="192">
        <v>100</v>
      </c>
      <c r="N41" s="2" t="s">
        <v>290</v>
      </c>
    </row>
    <row r="42" spans="1:14" ht="21" customHeight="1" x14ac:dyDescent="0.15">
      <c r="A42" s="61" t="str">
        <f t="shared" ref="A42" si="48">B42&amp;"_"&amp;I42</f>
        <v>1571_278</v>
      </c>
      <c r="B42" s="194">
        <v>1571</v>
      </c>
      <c r="C42" s="178">
        <f t="shared" ref="C42" si="49">B42</f>
        <v>1571</v>
      </c>
      <c r="D42" s="53" t="str">
        <f ca="1">VLOOKUP($C42,OFFSET([1]characters!$A$1,0,0,COUNTA([1]characters!$A:$A),MATCH(D$1,[1]characters!$1:$1,0)-MATCH($C$1,[1]characters!$1:$1,0)+1),MATCH(D$1,[1]characters!$1:$1,0)-MATCH($C$1,[1]characters!$1:$1,0)+1,FALSE)</f>
        <v>Lupus01</v>
      </c>
      <c r="E42" s="53">
        <f ca="1">VLOOKUP($C42,OFFSET([1]characters!$A$1,0,0,COUNTA([1]characters!$A:$A),MATCH(E$1,[1]characters!$1:$1,0)-MATCH($C$1,[1]characters!$1:$1,0)+1),MATCH(E$1,[1]characters!$1:$1,0)-MATCH($C$1,[1]characters!$1:$1,0)+1,FALSE)</f>
        <v>5</v>
      </c>
      <c r="F42" s="53" t="str">
        <f ca="1">VLOOKUP($C42,OFFSET([1]characters!$A$1,0,0,COUNTA([1]characters!$A:$A),MATCH(F$1,[1]characters!$1:$1,0)-MATCH($C$1,[1]characters!$1:$1,0)+1),MATCH(F$1,[1]characters!$1:$1,0)-MATCH($C$1,[1]characters!$1:$1,0)+1,FALSE)</f>
        <v>DropWizSS</v>
      </c>
      <c r="G42" s="194">
        <v>1572</v>
      </c>
      <c r="H42" s="53" t="str">
        <f ca="1">VLOOKUP($G42,OFFSET([1]characters!$A$1,0,0,COUNTA([1]characters!$A:$A),MATCH(H$1,[1]characters!$1:$1,0)-MATCH($C$1,[1]characters!$1:$1,0)+1),MATCH(H$1,[1]characters!$1:$1,0)-MATCH($C$1,[1]characters!$1:$1,0)+1,FALSE)</f>
        <v>Lupus02</v>
      </c>
      <c r="I42" s="193">
        <v>278</v>
      </c>
      <c r="J42" s="53" t="str">
        <f ca="1">VLOOKUP($I42,OFFSET([1]characters!$A$1,0,0,COUNTA([1]characters!$A:$A),MATCH(J$1,[1]characters!$1:$1,0)-MATCH($C$1,[1]characters!$1:$1,0)+1),MATCH(J$1,[1]characters!$1:$1,0)-MATCH($C$1,[1]characters!$1:$1,0)+1,FALSE)</f>
        <v>アマテラス</v>
      </c>
      <c r="K42" s="191">
        <v>1</v>
      </c>
      <c r="L42" s="191">
        <v>1</v>
      </c>
      <c r="M42" s="192">
        <v>100</v>
      </c>
      <c r="N42" s="2" t="s">
        <v>290</v>
      </c>
    </row>
    <row r="43" spans="1:14" ht="21" customHeight="1" x14ac:dyDescent="0.15">
      <c r="A43" s="61" t="str">
        <f t="shared" ref="A43" si="50">B43&amp;"_"&amp;I43</f>
        <v>1571_837</v>
      </c>
      <c r="B43" s="194">
        <v>1571</v>
      </c>
      <c r="C43" s="178">
        <f t="shared" ref="C43" si="51">B43</f>
        <v>1571</v>
      </c>
      <c r="D43" s="53" t="str">
        <f ca="1">VLOOKUP($C43,OFFSET([1]characters!$A$1,0,0,COUNTA([1]characters!$A:$A),MATCH(D$1,[1]characters!$1:$1,0)-MATCH($C$1,[1]characters!$1:$1,0)+1),MATCH(D$1,[1]characters!$1:$1,0)-MATCH($C$1,[1]characters!$1:$1,0)+1,FALSE)</f>
        <v>Lupus01</v>
      </c>
      <c r="E43" s="53">
        <f ca="1">VLOOKUP($C43,OFFSET([1]characters!$A$1,0,0,COUNTA([1]characters!$A:$A),MATCH(E$1,[1]characters!$1:$1,0)-MATCH($C$1,[1]characters!$1:$1,0)+1),MATCH(E$1,[1]characters!$1:$1,0)-MATCH($C$1,[1]characters!$1:$1,0)+1,FALSE)</f>
        <v>5</v>
      </c>
      <c r="F43" s="53" t="str">
        <f ca="1">VLOOKUP($C43,OFFSET([1]characters!$A$1,0,0,COUNTA([1]characters!$A:$A),MATCH(F$1,[1]characters!$1:$1,0)-MATCH($C$1,[1]characters!$1:$1,0)+1),MATCH(F$1,[1]characters!$1:$1,0)-MATCH($C$1,[1]characters!$1:$1,0)+1,FALSE)</f>
        <v>DropWizSS</v>
      </c>
      <c r="G43" s="194">
        <v>1572</v>
      </c>
      <c r="H43" s="53" t="str">
        <f ca="1">VLOOKUP($G43,OFFSET([1]characters!$A$1,0,0,COUNTA([1]characters!$A:$A),MATCH(H$1,[1]characters!$1:$1,0)-MATCH($C$1,[1]characters!$1:$1,0)+1),MATCH(H$1,[1]characters!$1:$1,0)-MATCH($C$1,[1]characters!$1:$1,0)+1,FALSE)</f>
        <v>Lupus02</v>
      </c>
      <c r="I43" s="193">
        <v>837</v>
      </c>
      <c r="J43" s="53" t="str">
        <f ca="1">VLOOKUP($I43,OFFSET([1]characters!$A$1,0,0,COUNTA([1]characters!$A:$A),MATCH(J$1,[1]characters!$1:$1,0)-MATCH($C$1,[1]characters!$1:$1,0)+1),MATCH(J$1,[1]characters!$1:$1,0)-MATCH($C$1,[1]characters!$1:$1,0)+1,FALSE)</f>
        <v>リトルハンプティ</v>
      </c>
      <c r="K43" s="191">
        <v>1</v>
      </c>
      <c r="L43" s="191">
        <v>1</v>
      </c>
      <c r="M43" s="192">
        <v>1000</v>
      </c>
      <c r="N43" s="2" t="s">
        <v>290</v>
      </c>
    </row>
    <row r="44" spans="1:14" ht="21" customHeight="1" x14ac:dyDescent="0.15">
      <c r="A44" s="61" t="str">
        <f t="shared" si="24"/>
        <v>1575_112</v>
      </c>
      <c r="B44" s="194">
        <v>1575</v>
      </c>
      <c r="C44" s="178">
        <f t="shared" si="25"/>
        <v>1575</v>
      </c>
      <c r="D44" s="53" t="str">
        <f ca="1">VLOOKUP($C44,OFFSET([1]characters!$A$1,0,0,COUNTA([1]characters!$A:$A),MATCH(D$1,[1]characters!$1:$1,0)-MATCH($C$1,[1]characters!$1:$1,0)+1),MATCH(D$1,[1]characters!$1:$1,0)-MATCH($C$1,[1]characters!$1:$1,0)+1,FALSE)</f>
        <v>Aquarius01</v>
      </c>
      <c r="E44" s="53">
        <f ca="1">VLOOKUP($C44,OFFSET([1]characters!$A$1,0,0,COUNTA([1]characters!$A:$A),MATCH(E$1,[1]characters!$1:$1,0)-MATCH($C$1,[1]characters!$1:$1,0)+1),MATCH(E$1,[1]characters!$1:$1,0)-MATCH($C$1,[1]characters!$1:$1,0)+1,FALSE)</f>
        <v>5</v>
      </c>
      <c r="F44" s="53" t="str">
        <f ca="1">VLOOKUP($C44,OFFSET([1]characters!$A$1,0,0,COUNTA([1]characters!$A:$A),MATCH(F$1,[1]characters!$1:$1,0)-MATCH($C$1,[1]characters!$1:$1,0)+1),MATCH(F$1,[1]characters!$1:$1,0)-MATCH($C$1,[1]characters!$1:$1,0)+1,FALSE)</f>
        <v>DropWizS</v>
      </c>
      <c r="G44" s="194">
        <v>1576</v>
      </c>
      <c r="H44" s="53" t="str">
        <f ca="1">VLOOKUP($G44,OFFSET([1]characters!$A$1,0,0,COUNTA([1]characters!$A:$A),MATCH(H$1,[1]characters!$1:$1,0)-MATCH($C$1,[1]characters!$1:$1,0)+1),MATCH(H$1,[1]characters!$1:$1,0)-MATCH($C$1,[1]characters!$1:$1,0)+1,FALSE)</f>
        <v>Aquarius02</v>
      </c>
      <c r="I44" s="193">
        <v>112</v>
      </c>
      <c r="J44" s="53" t="str">
        <f ca="1">VLOOKUP($I44,OFFSET([1]characters!$A$1,0,0,COUNTA([1]characters!$A:$A),MATCH(J$1,[1]characters!$1:$1,0)-MATCH($C$1,[1]characters!$1:$1,0)+1),MATCH(J$1,[1]characters!$1:$1,0)-MATCH($C$1,[1]characters!$1:$1,0)+1,FALSE)</f>
        <v>水のマッドハッター</v>
      </c>
      <c r="K44" s="191">
        <v>1</v>
      </c>
      <c r="L44" s="191">
        <v>1</v>
      </c>
      <c r="M44" s="192">
        <v>10</v>
      </c>
      <c r="N44" s="2" t="s">
        <v>290</v>
      </c>
    </row>
    <row r="45" spans="1:14" ht="21" customHeight="1" x14ac:dyDescent="0.15">
      <c r="A45" s="61" t="str">
        <f t="shared" ref="A45:A46" si="52">B45&amp;"_"&amp;I45</f>
        <v>1575_276</v>
      </c>
      <c r="B45" s="194">
        <v>1575</v>
      </c>
      <c r="C45" s="178">
        <f t="shared" ref="C45:C46" si="53">B45</f>
        <v>1575</v>
      </c>
      <c r="D45" s="53" t="str">
        <f ca="1">VLOOKUP($C45,OFFSET([1]characters!$A$1,0,0,COUNTA([1]characters!$A:$A),MATCH(D$1,[1]characters!$1:$1,0)-MATCH($C$1,[1]characters!$1:$1,0)+1),MATCH(D$1,[1]characters!$1:$1,0)-MATCH($C$1,[1]characters!$1:$1,0)+1,FALSE)</f>
        <v>Aquarius01</v>
      </c>
      <c r="E45" s="53">
        <f ca="1">VLOOKUP($C45,OFFSET([1]characters!$A$1,0,0,COUNTA([1]characters!$A:$A),MATCH(E$1,[1]characters!$1:$1,0)-MATCH($C$1,[1]characters!$1:$1,0)+1),MATCH(E$1,[1]characters!$1:$1,0)-MATCH($C$1,[1]characters!$1:$1,0)+1,FALSE)</f>
        <v>5</v>
      </c>
      <c r="F45" s="53" t="str">
        <f ca="1">VLOOKUP($C45,OFFSET([1]characters!$A$1,0,0,COUNTA([1]characters!$A:$A),MATCH(F$1,[1]characters!$1:$1,0)-MATCH($C$1,[1]characters!$1:$1,0)+1),MATCH(F$1,[1]characters!$1:$1,0)-MATCH($C$1,[1]characters!$1:$1,0)+1,FALSE)</f>
        <v>DropWizS</v>
      </c>
      <c r="G45" s="194">
        <v>1576</v>
      </c>
      <c r="H45" s="53" t="str">
        <f ca="1">VLOOKUP($G45,OFFSET([1]characters!$A$1,0,0,COUNTA([1]characters!$A:$A),MATCH(H$1,[1]characters!$1:$1,0)-MATCH($C$1,[1]characters!$1:$1,0)+1),MATCH(H$1,[1]characters!$1:$1,0)-MATCH($C$1,[1]characters!$1:$1,0)+1,FALSE)</f>
        <v>Aquarius02</v>
      </c>
      <c r="I45" s="193">
        <v>276</v>
      </c>
      <c r="J45" s="53" t="str">
        <f ca="1">VLOOKUP($I45,OFFSET([1]characters!$A$1,0,0,COUNTA([1]characters!$A:$A),MATCH(J$1,[1]characters!$1:$1,0)-MATCH($C$1,[1]characters!$1:$1,0)+1),MATCH(J$1,[1]characters!$1:$1,0)-MATCH($C$1,[1]characters!$1:$1,0)+1,FALSE)</f>
        <v>機拳のイリア</v>
      </c>
      <c r="K45" s="191">
        <v>1</v>
      </c>
      <c r="L45" s="191">
        <v>2</v>
      </c>
      <c r="M45" s="192">
        <v>100</v>
      </c>
      <c r="N45" s="2" t="s">
        <v>290</v>
      </c>
    </row>
    <row r="46" spans="1:14" ht="21" customHeight="1" x14ac:dyDescent="0.15">
      <c r="A46" s="61" t="str">
        <f t="shared" si="52"/>
        <v>1575_1584</v>
      </c>
      <c r="B46" s="194">
        <v>1575</v>
      </c>
      <c r="C46" s="178">
        <f t="shared" si="53"/>
        <v>1575</v>
      </c>
      <c r="D46" s="53" t="str">
        <f ca="1">VLOOKUP($C46,OFFSET([1]characters!$A$1,0,0,COUNTA([1]characters!$A:$A),MATCH(D$1,[1]characters!$1:$1,0)-MATCH($C$1,[1]characters!$1:$1,0)+1),MATCH(D$1,[1]characters!$1:$1,0)-MATCH($C$1,[1]characters!$1:$1,0)+1,FALSE)</f>
        <v>Aquarius01</v>
      </c>
      <c r="E46" s="53">
        <f ca="1">VLOOKUP($C46,OFFSET([1]characters!$A$1,0,0,COUNTA([1]characters!$A:$A),MATCH(E$1,[1]characters!$1:$1,0)-MATCH($C$1,[1]characters!$1:$1,0)+1),MATCH(E$1,[1]characters!$1:$1,0)-MATCH($C$1,[1]characters!$1:$1,0)+1,FALSE)</f>
        <v>5</v>
      </c>
      <c r="F46" s="53" t="str">
        <f ca="1">VLOOKUP($C46,OFFSET([1]characters!$A$1,0,0,COUNTA([1]characters!$A:$A),MATCH(F$1,[1]characters!$1:$1,0)-MATCH($C$1,[1]characters!$1:$1,0)+1),MATCH(F$1,[1]characters!$1:$1,0)-MATCH($C$1,[1]characters!$1:$1,0)+1,FALSE)</f>
        <v>DropWizS</v>
      </c>
      <c r="G46" s="194">
        <v>1576</v>
      </c>
      <c r="H46" s="53" t="str">
        <f ca="1">VLOOKUP($G46,OFFSET([1]characters!$A$1,0,0,COUNTA([1]characters!$A:$A),MATCH(H$1,[1]characters!$1:$1,0)-MATCH($C$1,[1]characters!$1:$1,0)+1),MATCH(H$1,[1]characters!$1:$1,0)-MATCH($C$1,[1]characters!$1:$1,0)+1,FALSE)</f>
        <v>Aquarius02</v>
      </c>
      <c r="I46" s="193">
        <v>1584</v>
      </c>
      <c r="J46" s="53" t="str">
        <f ca="1">VLOOKUP($I46,OFFSET([1]characters!$A$1,0,0,COUNTA([1]characters!$A:$A),MATCH(J$1,[1]characters!$1:$1,0)-MATCH($C$1,[1]characters!$1:$1,0)+1),MATCH(J$1,[1]characters!$1:$1,0)-MATCH($C$1,[1]characters!$1:$1,0)+1,FALSE)</f>
        <v>Sirius01</v>
      </c>
      <c r="K46" s="191">
        <v>1</v>
      </c>
      <c r="L46" s="191">
        <v>3</v>
      </c>
      <c r="M46" s="192">
        <v>100</v>
      </c>
      <c r="N46" s="2" t="s">
        <v>290</v>
      </c>
    </row>
    <row r="47" spans="1:14" ht="21" customHeight="1" x14ac:dyDescent="0.15">
      <c r="A47" s="61" t="str">
        <f t="shared" ref="A47" si="54">B47&amp;"_"&amp;I47</f>
        <v>1575_837</v>
      </c>
      <c r="B47" s="194">
        <v>1575</v>
      </c>
      <c r="C47" s="178">
        <f t="shared" ref="C47" si="55">B47</f>
        <v>1575</v>
      </c>
      <c r="D47" s="53" t="str">
        <f ca="1">VLOOKUP($C47,OFFSET([1]characters!$A$1,0,0,COUNTA([1]characters!$A:$A),MATCH(D$1,[1]characters!$1:$1,0)-MATCH($C$1,[1]characters!$1:$1,0)+1),MATCH(D$1,[1]characters!$1:$1,0)-MATCH($C$1,[1]characters!$1:$1,0)+1,FALSE)</f>
        <v>Aquarius01</v>
      </c>
      <c r="E47" s="53">
        <f ca="1">VLOOKUP($C47,OFFSET([1]characters!$A$1,0,0,COUNTA([1]characters!$A:$A),MATCH(E$1,[1]characters!$1:$1,0)-MATCH($C$1,[1]characters!$1:$1,0)+1),MATCH(E$1,[1]characters!$1:$1,0)-MATCH($C$1,[1]characters!$1:$1,0)+1,FALSE)</f>
        <v>5</v>
      </c>
      <c r="F47" s="53" t="str">
        <f ca="1">VLOOKUP($C47,OFFSET([1]characters!$A$1,0,0,COUNTA([1]characters!$A:$A),MATCH(F$1,[1]characters!$1:$1,0)-MATCH($C$1,[1]characters!$1:$1,0)+1),MATCH(F$1,[1]characters!$1:$1,0)-MATCH($C$1,[1]characters!$1:$1,0)+1,FALSE)</f>
        <v>DropWizS</v>
      </c>
      <c r="G47" s="194">
        <v>1576</v>
      </c>
      <c r="H47" s="53" t="str">
        <f ca="1">VLOOKUP($G47,OFFSET([1]characters!$A$1,0,0,COUNTA([1]characters!$A:$A),MATCH(H$1,[1]characters!$1:$1,0)-MATCH($C$1,[1]characters!$1:$1,0)+1),MATCH(H$1,[1]characters!$1:$1,0)-MATCH($C$1,[1]characters!$1:$1,0)+1,FALSE)</f>
        <v>Aquarius02</v>
      </c>
      <c r="I47" s="193">
        <v>837</v>
      </c>
      <c r="J47" s="53" t="str">
        <f ca="1">VLOOKUP($I47,OFFSET([1]characters!$A$1,0,0,COUNTA([1]characters!$A:$A),MATCH(J$1,[1]characters!$1:$1,0)-MATCH($C$1,[1]characters!$1:$1,0)+1),MATCH(J$1,[1]characters!$1:$1,0)-MATCH($C$1,[1]characters!$1:$1,0)+1,FALSE)</f>
        <v>リトルハンプティ</v>
      </c>
      <c r="K47" s="191">
        <v>1</v>
      </c>
      <c r="L47" s="191">
        <v>1</v>
      </c>
      <c r="M47" s="192">
        <v>1000</v>
      </c>
      <c r="N47" s="2" t="s">
        <v>290</v>
      </c>
    </row>
    <row r="48" spans="1:14" ht="21" customHeight="1" x14ac:dyDescent="0.15">
      <c r="A48" s="61" t="str">
        <f t="shared" si="24"/>
        <v>1579_104</v>
      </c>
      <c r="B48" s="194">
        <v>1579</v>
      </c>
      <c r="C48" s="178">
        <f t="shared" si="25"/>
        <v>1579</v>
      </c>
      <c r="D48" s="53" t="str">
        <f ca="1">VLOOKUP($C48,OFFSET([1]characters!$A$1,0,0,COUNTA([1]characters!$A:$A),MATCH(D$1,[1]characters!$1:$1,0)-MATCH($C$1,[1]characters!$1:$1,0)+1),MATCH(D$1,[1]characters!$1:$1,0)-MATCH($C$1,[1]characters!$1:$1,0)+1,FALSE)</f>
        <v>Lyra01</v>
      </c>
      <c r="E48" s="53">
        <f ca="1">VLOOKUP($C48,OFFSET([1]characters!$A$1,0,0,COUNTA([1]characters!$A:$A),MATCH(E$1,[1]characters!$1:$1,0)-MATCH($C$1,[1]characters!$1:$1,0)+1),MATCH(E$1,[1]characters!$1:$1,0)-MATCH($C$1,[1]characters!$1:$1,0)+1,FALSE)</f>
        <v>5</v>
      </c>
      <c r="F48" s="53" t="str">
        <f ca="1">VLOOKUP($C48,OFFSET([1]characters!$A$1,0,0,COUNTA([1]characters!$A:$A),MATCH(F$1,[1]characters!$1:$1,0)-MATCH($C$1,[1]characters!$1:$1,0)+1),MATCH(F$1,[1]characters!$1:$1,0)-MATCH($C$1,[1]characters!$1:$1,0)+1,FALSE)</f>
        <v>DropWizS</v>
      </c>
      <c r="G48" s="194">
        <v>1580</v>
      </c>
      <c r="H48" s="53" t="str">
        <f ca="1">VLOOKUP($G48,OFFSET([1]characters!$A$1,0,0,COUNTA([1]characters!$A:$A),MATCH(H$1,[1]characters!$1:$1,0)-MATCH($C$1,[1]characters!$1:$1,0)+1),MATCH(H$1,[1]characters!$1:$1,0)-MATCH($C$1,[1]characters!$1:$1,0)+1,FALSE)</f>
        <v>Lyra02</v>
      </c>
      <c r="I48" s="193">
        <v>104</v>
      </c>
      <c r="J48" s="53" t="str">
        <f ca="1">VLOOKUP($I48,OFFSET([1]characters!$A$1,0,0,COUNTA([1]characters!$A:$A),MATCH(J$1,[1]characters!$1:$1,0)-MATCH($C$1,[1]characters!$1:$1,0)+1),MATCH(J$1,[1]characters!$1:$1,0)-MATCH($C$1,[1]characters!$1:$1,0)+1,FALSE)</f>
        <v>炎のマッドハッター</v>
      </c>
      <c r="K48" s="191">
        <v>1</v>
      </c>
      <c r="L48" s="191">
        <v>1</v>
      </c>
      <c r="M48" s="192">
        <v>10</v>
      </c>
      <c r="N48" s="2" t="s">
        <v>290</v>
      </c>
    </row>
    <row r="49" spans="1:14" ht="21" customHeight="1" x14ac:dyDescent="0.15">
      <c r="A49" s="61" t="str">
        <f t="shared" ref="A49:A50" si="56">B49&amp;"_"&amp;I49</f>
        <v>1579_837</v>
      </c>
      <c r="B49" s="194">
        <v>1579</v>
      </c>
      <c r="C49" s="178">
        <f t="shared" ref="C49:C50" si="57">B49</f>
        <v>1579</v>
      </c>
      <c r="D49" s="53" t="str">
        <f ca="1">VLOOKUP($C49,OFFSET([1]characters!$A$1,0,0,COUNTA([1]characters!$A:$A),MATCH(D$1,[1]characters!$1:$1,0)-MATCH($C$1,[1]characters!$1:$1,0)+1),MATCH(D$1,[1]characters!$1:$1,0)-MATCH($C$1,[1]characters!$1:$1,0)+1,FALSE)</f>
        <v>Lyra01</v>
      </c>
      <c r="E49" s="53">
        <f ca="1">VLOOKUP($C49,OFFSET([1]characters!$A$1,0,0,COUNTA([1]characters!$A:$A),MATCH(E$1,[1]characters!$1:$1,0)-MATCH($C$1,[1]characters!$1:$1,0)+1),MATCH(E$1,[1]characters!$1:$1,0)-MATCH($C$1,[1]characters!$1:$1,0)+1,FALSE)</f>
        <v>5</v>
      </c>
      <c r="F49" s="53" t="str">
        <f ca="1">VLOOKUP($C49,OFFSET([1]characters!$A$1,0,0,COUNTA([1]characters!$A:$A),MATCH(F$1,[1]characters!$1:$1,0)-MATCH($C$1,[1]characters!$1:$1,0)+1),MATCH(F$1,[1]characters!$1:$1,0)-MATCH($C$1,[1]characters!$1:$1,0)+1,FALSE)</f>
        <v>DropWizS</v>
      </c>
      <c r="G49" s="194">
        <v>1580</v>
      </c>
      <c r="H49" s="53" t="str">
        <f ca="1">VLOOKUP($G49,OFFSET([1]characters!$A$1,0,0,COUNTA([1]characters!$A:$A),MATCH(H$1,[1]characters!$1:$1,0)-MATCH($C$1,[1]characters!$1:$1,0)+1),MATCH(H$1,[1]characters!$1:$1,0)-MATCH($C$1,[1]characters!$1:$1,0)+1,FALSE)</f>
        <v>Lyra02</v>
      </c>
      <c r="I49" s="193">
        <v>837</v>
      </c>
      <c r="J49" s="53" t="str">
        <f ca="1">VLOOKUP($I49,OFFSET([1]characters!$A$1,0,0,COUNTA([1]characters!$A:$A),MATCH(J$1,[1]characters!$1:$1,0)-MATCH($C$1,[1]characters!$1:$1,0)+1),MATCH(J$1,[1]characters!$1:$1,0)-MATCH($C$1,[1]characters!$1:$1,0)+1,FALSE)</f>
        <v>リトルハンプティ</v>
      </c>
      <c r="K49" s="191">
        <v>1</v>
      </c>
      <c r="L49" s="191">
        <v>1</v>
      </c>
      <c r="M49" s="192">
        <v>1000</v>
      </c>
      <c r="N49" s="2" t="s">
        <v>290</v>
      </c>
    </row>
    <row r="50" spans="1:14" ht="21" customHeight="1" x14ac:dyDescent="0.15">
      <c r="A50" s="61" t="str">
        <f t="shared" si="56"/>
        <v>1579_286</v>
      </c>
      <c r="B50" s="194">
        <v>1579</v>
      </c>
      <c r="C50" s="178">
        <f t="shared" si="57"/>
        <v>1579</v>
      </c>
      <c r="D50" s="53" t="str">
        <f ca="1">VLOOKUP($C50,OFFSET([1]characters!$A$1,0,0,COUNTA([1]characters!$A:$A),MATCH(D$1,[1]characters!$1:$1,0)-MATCH($C$1,[1]characters!$1:$1,0)+1),MATCH(D$1,[1]characters!$1:$1,0)-MATCH($C$1,[1]characters!$1:$1,0)+1,FALSE)</f>
        <v>Lyra01</v>
      </c>
      <c r="E50" s="53">
        <f ca="1">VLOOKUP($C50,OFFSET([1]characters!$A$1,0,0,COUNTA([1]characters!$A:$A),MATCH(E$1,[1]characters!$1:$1,0)-MATCH($C$1,[1]characters!$1:$1,0)+1),MATCH(E$1,[1]characters!$1:$1,0)-MATCH($C$1,[1]characters!$1:$1,0)+1,FALSE)</f>
        <v>5</v>
      </c>
      <c r="F50" s="53" t="str">
        <f ca="1">VLOOKUP($C50,OFFSET([1]characters!$A$1,0,0,COUNTA([1]characters!$A:$A),MATCH(F$1,[1]characters!$1:$1,0)-MATCH($C$1,[1]characters!$1:$1,0)+1),MATCH(F$1,[1]characters!$1:$1,0)-MATCH($C$1,[1]characters!$1:$1,0)+1,FALSE)</f>
        <v>DropWizS</v>
      </c>
      <c r="G50" s="194">
        <v>1580</v>
      </c>
      <c r="H50" s="53" t="str">
        <f ca="1">VLOOKUP($G50,OFFSET([1]characters!$A$1,0,0,COUNTA([1]characters!$A:$A),MATCH(H$1,[1]characters!$1:$1,0)-MATCH($C$1,[1]characters!$1:$1,0)+1),MATCH(H$1,[1]characters!$1:$1,0)-MATCH($C$1,[1]characters!$1:$1,0)+1,FALSE)</f>
        <v>Lyra02</v>
      </c>
      <c r="I50" s="193">
        <v>286</v>
      </c>
      <c r="J50" s="53" t="str">
        <f ca="1">VLOOKUP($I50,OFFSET([1]characters!$A$1,0,0,COUNTA([1]characters!$A:$A),MATCH(J$1,[1]characters!$1:$1,0)-MATCH($C$1,[1]characters!$1:$1,0)+1),MATCH(J$1,[1]characters!$1:$1,0)-MATCH($C$1,[1]characters!$1:$1,0)+1,FALSE)</f>
        <v>ヒュドラ</v>
      </c>
      <c r="K50" s="191">
        <v>1</v>
      </c>
      <c r="L50" s="191">
        <v>2</v>
      </c>
      <c r="M50" s="192">
        <v>10</v>
      </c>
      <c r="N50" s="2" t="s">
        <v>290</v>
      </c>
    </row>
    <row r="51" spans="1:14" ht="21" customHeight="1" x14ac:dyDescent="0.15">
      <c r="A51" s="61" t="str">
        <f t="shared" ref="A51" si="58">B51&amp;"_"&amp;I51</f>
        <v>1579_298</v>
      </c>
      <c r="B51" s="194">
        <v>1579</v>
      </c>
      <c r="C51" s="178">
        <f t="shared" ref="C51" si="59">B51</f>
        <v>1579</v>
      </c>
      <c r="D51" s="53" t="str">
        <f ca="1">VLOOKUP($C51,OFFSET([1]characters!$A$1,0,0,COUNTA([1]characters!$A:$A),MATCH(D$1,[1]characters!$1:$1,0)-MATCH($C$1,[1]characters!$1:$1,0)+1),MATCH(D$1,[1]characters!$1:$1,0)-MATCH($C$1,[1]characters!$1:$1,0)+1,FALSE)</f>
        <v>Lyra01</v>
      </c>
      <c r="E51" s="53">
        <f ca="1">VLOOKUP($C51,OFFSET([1]characters!$A$1,0,0,COUNTA([1]characters!$A:$A),MATCH(E$1,[1]characters!$1:$1,0)-MATCH($C$1,[1]characters!$1:$1,0)+1),MATCH(E$1,[1]characters!$1:$1,0)-MATCH($C$1,[1]characters!$1:$1,0)+1,FALSE)</f>
        <v>5</v>
      </c>
      <c r="F51" s="53" t="str">
        <f ca="1">VLOOKUP($C51,OFFSET([1]characters!$A$1,0,0,COUNTA([1]characters!$A:$A),MATCH(F$1,[1]characters!$1:$1,0)-MATCH($C$1,[1]characters!$1:$1,0)+1),MATCH(F$1,[1]characters!$1:$1,0)-MATCH($C$1,[1]characters!$1:$1,0)+1,FALSE)</f>
        <v>DropWizS</v>
      </c>
      <c r="G51" s="194">
        <v>1580</v>
      </c>
      <c r="H51" s="53" t="str">
        <f ca="1">VLOOKUP($G51,OFFSET([1]characters!$A$1,0,0,COUNTA([1]characters!$A:$A),MATCH(H$1,[1]characters!$1:$1,0)-MATCH($C$1,[1]characters!$1:$1,0)+1),MATCH(H$1,[1]characters!$1:$1,0)-MATCH($C$1,[1]characters!$1:$1,0)+1,FALSE)</f>
        <v>Lyra02</v>
      </c>
      <c r="I51" s="193">
        <v>298</v>
      </c>
      <c r="J51" s="53" t="str">
        <f ca="1">VLOOKUP($I51,OFFSET([1]characters!$A$1,0,0,COUNTA([1]characters!$A:$A),MATCH(J$1,[1]characters!$1:$1,0)-MATCH($C$1,[1]characters!$1:$1,0)+1),MATCH(J$1,[1]characters!$1:$1,0)-MATCH($C$1,[1]characters!$1:$1,0)+1,FALSE)</f>
        <v>炎殺のミサコ</v>
      </c>
      <c r="K51" s="191">
        <v>1</v>
      </c>
      <c r="L51" s="191">
        <v>3</v>
      </c>
      <c r="M51" s="192">
        <v>10</v>
      </c>
      <c r="N51" s="2" t="s">
        <v>290</v>
      </c>
    </row>
    <row r="52" spans="1:14" ht="21" customHeight="1" x14ac:dyDescent="0.15">
      <c r="A52" s="61" t="str">
        <f t="shared" ref="A52:A71" si="60">B52&amp;"_"&amp;I52</f>
        <v>1581_104</v>
      </c>
      <c r="B52" s="194">
        <v>1581</v>
      </c>
      <c r="C52" s="178">
        <f t="shared" ref="C52:C71" si="61">B52</f>
        <v>1581</v>
      </c>
      <c r="D52" s="53" t="str">
        <f ca="1">VLOOKUP($C52,OFFSET([1]characters!$A$1,0,0,COUNTA([1]characters!$A:$A),MATCH(D$1,[1]characters!$1:$1,0)-MATCH($C$1,[1]characters!$1:$1,0)+1),MATCH(D$1,[1]characters!$1:$1,0)-MATCH($C$1,[1]characters!$1:$1,0)+1,FALSE)</f>
        <v>Gemini01</v>
      </c>
      <c r="E52" s="53">
        <f ca="1">VLOOKUP($C52,OFFSET([1]characters!$A$1,0,0,COUNTA([1]characters!$A:$A),MATCH(E$1,[1]characters!$1:$1,0)-MATCH($C$1,[1]characters!$1:$1,0)+1),MATCH(E$1,[1]characters!$1:$1,0)-MATCH($C$1,[1]characters!$1:$1,0)+1,FALSE)</f>
        <v>5</v>
      </c>
      <c r="F52" s="53" t="str">
        <f ca="1">VLOOKUP($C52,OFFSET([1]characters!$A$1,0,0,COUNTA([1]characters!$A:$A),MATCH(F$1,[1]characters!$1:$1,0)-MATCH($C$1,[1]characters!$1:$1,0)+1),MATCH(F$1,[1]characters!$1:$1,0)-MATCH($C$1,[1]characters!$1:$1,0)+1,FALSE)</f>
        <v>DropWizS</v>
      </c>
      <c r="G52" s="194">
        <v>1582</v>
      </c>
      <c r="H52" s="53" t="str">
        <f ca="1">VLOOKUP($G52,OFFSET([1]characters!$A$1,0,0,COUNTA([1]characters!$A:$A),MATCH(H$1,[1]characters!$1:$1,0)-MATCH($C$1,[1]characters!$1:$1,0)+1),MATCH(H$1,[1]characters!$1:$1,0)-MATCH($C$1,[1]characters!$1:$1,0)+1,FALSE)</f>
        <v>Gemini02</v>
      </c>
      <c r="I52" s="193">
        <v>104</v>
      </c>
      <c r="J52" s="53" t="str">
        <f ca="1">VLOOKUP($I52,OFFSET([1]characters!$A$1,0,0,COUNTA([1]characters!$A:$A),MATCH(J$1,[1]characters!$1:$1,0)-MATCH($C$1,[1]characters!$1:$1,0)+1),MATCH(J$1,[1]characters!$1:$1,0)-MATCH($C$1,[1]characters!$1:$1,0)+1,FALSE)</f>
        <v>炎のマッドハッター</v>
      </c>
      <c r="K52" s="191">
        <v>1</v>
      </c>
      <c r="L52" s="191">
        <v>1</v>
      </c>
      <c r="M52" s="192">
        <v>10</v>
      </c>
      <c r="N52" s="2" t="s">
        <v>290</v>
      </c>
    </row>
    <row r="53" spans="1:14" ht="21" customHeight="1" x14ac:dyDescent="0.15">
      <c r="A53" s="61" t="str">
        <f t="shared" ref="A53:A54" si="62">B53&amp;"_"&amp;I53</f>
        <v>1581_1575</v>
      </c>
      <c r="B53" s="194">
        <v>1581</v>
      </c>
      <c r="C53" s="178">
        <f t="shared" ref="C53:C54" si="63">B53</f>
        <v>1581</v>
      </c>
      <c r="D53" s="53" t="str">
        <f ca="1">VLOOKUP($C53,OFFSET([1]characters!$A$1,0,0,COUNTA([1]characters!$A:$A),MATCH(D$1,[1]characters!$1:$1,0)-MATCH($C$1,[1]characters!$1:$1,0)+1),MATCH(D$1,[1]characters!$1:$1,0)-MATCH($C$1,[1]characters!$1:$1,0)+1,FALSE)</f>
        <v>Gemini01</v>
      </c>
      <c r="E53" s="53">
        <f ca="1">VLOOKUP($C53,OFFSET([1]characters!$A$1,0,0,COUNTA([1]characters!$A:$A),MATCH(E$1,[1]characters!$1:$1,0)-MATCH($C$1,[1]characters!$1:$1,0)+1),MATCH(E$1,[1]characters!$1:$1,0)-MATCH($C$1,[1]characters!$1:$1,0)+1,FALSE)</f>
        <v>5</v>
      </c>
      <c r="F53" s="53" t="str">
        <f ca="1">VLOOKUP($C53,OFFSET([1]characters!$A$1,0,0,COUNTA([1]characters!$A:$A),MATCH(F$1,[1]characters!$1:$1,0)-MATCH($C$1,[1]characters!$1:$1,0)+1),MATCH(F$1,[1]characters!$1:$1,0)-MATCH($C$1,[1]characters!$1:$1,0)+1,FALSE)</f>
        <v>DropWizS</v>
      </c>
      <c r="G53" s="194">
        <v>1582</v>
      </c>
      <c r="H53" s="53" t="str">
        <f ca="1">VLOOKUP($G53,OFFSET([1]characters!$A$1,0,0,COUNTA([1]characters!$A:$A),MATCH(H$1,[1]characters!$1:$1,0)-MATCH($C$1,[1]characters!$1:$1,0)+1),MATCH(H$1,[1]characters!$1:$1,0)-MATCH($C$1,[1]characters!$1:$1,0)+1,FALSE)</f>
        <v>Gemini02</v>
      </c>
      <c r="I53" s="193">
        <v>1575</v>
      </c>
      <c r="J53" s="53" t="str">
        <f ca="1">VLOOKUP($I53,OFFSET([1]characters!$A$1,0,0,COUNTA([1]characters!$A:$A),MATCH(J$1,[1]characters!$1:$1,0)-MATCH($C$1,[1]characters!$1:$1,0)+1),MATCH(J$1,[1]characters!$1:$1,0)-MATCH($C$1,[1]characters!$1:$1,0)+1,FALSE)</f>
        <v>Aquarius01</v>
      </c>
      <c r="K53" s="191">
        <v>1</v>
      </c>
      <c r="L53" s="191">
        <v>2</v>
      </c>
      <c r="M53" s="192">
        <v>100</v>
      </c>
      <c r="N53" s="2" t="s">
        <v>290</v>
      </c>
    </row>
    <row r="54" spans="1:14" ht="21" customHeight="1" x14ac:dyDescent="0.15">
      <c r="A54" s="61" t="str">
        <f t="shared" si="62"/>
        <v>1581_1584</v>
      </c>
      <c r="B54" s="194">
        <v>1581</v>
      </c>
      <c r="C54" s="178">
        <f t="shared" si="63"/>
        <v>1581</v>
      </c>
      <c r="D54" s="53" t="str">
        <f ca="1">VLOOKUP($C54,OFFSET([1]characters!$A$1,0,0,COUNTA([1]characters!$A:$A),MATCH(D$1,[1]characters!$1:$1,0)-MATCH($C$1,[1]characters!$1:$1,0)+1),MATCH(D$1,[1]characters!$1:$1,0)-MATCH($C$1,[1]characters!$1:$1,0)+1,FALSE)</f>
        <v>Gemini01</v>
      </c>
      <c r="E54" s="53">
        <f ca="1">VLOOKUP($C54,OFFSET([1]characters!$A$1,0,0,COUNTA([1]characters!$A:$A),MATCH(E$1,[1]characters!$1:$1,0)-MATCH($C$1,[1]characters!$1:$1,0)+1),MATCH(E$1,[1]characters!$1:$1,0)-MATCH($C$1,[1]characters!$1:$1,0)+1,FALSE)</f>
        <v>5</v>
      </c>
      <c r="F54" s="53" t="str">
        <f ca="1">VLOOKUP($C54,OFFSET([1]characters!$A$1,0,0,COUNTA([1]characters!$A:$A),MATCH(F$1,[1]characters!$1:$1,0)-MATCH($C$1,[1]characters!$1:$1,0)+1),MATCH(F$1,[1]characters!$1:$1,0)-MATCH($C$1,[1]characters!$1:$1,0)+1,FALSE)</f>
        <v>DropWizS</v>
      </c>
      <c r="G54" s="194">
        <v>1582</v>
      </c>
      <c r="H54" s="53" t="str">
        <f ca="1">VLOOKUP($G54,OFFSET([1]characters!$A$1,0,0,COUNTA([1]characters!$A:$A),MATCH(H$1,[1]characters!$1:$1,0)-MATCH($C$1,[1]characters!$1:$1,0)+1),MATCH(H$1,[1]characters!$1:$1,0)-MATCH($C$1,[1]characters!$1:$1,0)+1,FALSE)</f>
        <v>Gemini02</v>
      </c>
      <c r="I54" s="193">
        <v>1584</v>
      </c>
      <c r="J54" s="53" t="str">
        <f ca="1">VLOOKUP($I54,OFFSET([1]characters!$A$1,0,0,COUNTA([1]characters!$A:$A),MATCH(J$1,[1]characters!$1:$1,0)-MATCH($C$1,[1]characters!$1:$1,0)+1),MATCH(J$1,[1]characters!$1:$1,0)-MATCH($C$1,[1]characters!$1:$1,0)+1,FALSE)</f>
        <v>Sirius01</v>
      </c>
      <c r="K54" s="191">
        <v>1</v>
      </c>
      <c r="L54" s="191">
        <v>3</v>
      </c>
      <c r="M54" s="192">
        <v>100</v>
      </c>
      <c r="N54" s="2" t="s">
        <v>290</v>
      </c>
    </row>
    <row r="55" spans="1:14" ht="21" customHeight="1" x14ac:dyDescent="0.15">
      <c r="A55" s="61" t="str">
        <f t="shared" ref="A55" si="64">B55&amp;"_"&amp;I55</f>
        <v>1581_837</v>
      </c>
      <c r="B55" s="194">
        <v>1581</v>
      </c>
      <c r="C55" s="178">
        <f t="shared" ref="C55" si="65">B55</f>
        <v>1581</v>
      </c>
      <c r="D55" s="53" t="str">
        <f ca="1">VLOOKUP($C55,OFFSET([1]characters!$A$1,0,0,COUNTA([1]characters!$A:$A),MATCH(D$1,[1]characters!$1:$1,0)-MATCH($C$1,[1]characters!$1:$1,0)+1),MATCH(D$1,[1]characters!$1:$1,0)-MATCH($C$1,[1]characters!$1:$1,0)+1,FALSE)</f>
        <v>Gemini01</v>
      </c>
      <c r="E55" s="53">
        <f ca="1">VLOOKUP($C55,OFFSET([1]characters!$A$1,0,0,COUNTA([1]characters!$A:$A),MATCH(E$1,[1]characters!$1:$1,0)-MATCH($C$1,[1]characters!$1:$1,0)+1),MATCH(E$1,[1]characters!$1:$1,0)-MATCH($C$1,[1]characters!$1:$1,0)+1,FALSE)</f>
        <v>5</v>
      </c>
      <c r="F55" s="53" t="str">
        <f ca="1">VLOOKUP($C55,OFFSET([1]characters!$A$1,0,0,COUNTA([1]characters!$A:$A),MATCH(F$1,[1]characters!$1:$1,0)-MATCH($C$1,[1]characters!$1:$1,0)+1),MATCH(F$1,[1]characters!$1:$1,0)-MATCH($C$1,[1]characters!$1:$1,0)+1,FALSE)</f>
        <v>DropWizS</v>
      </c>
      <c r="G55" s="194">
        <v>1582</v>
      </c>
      <c r="H55" s="53" t="str">
        <f ca="1">VLOOKUP($G55,OFFSET([1]characters!$A$1,0,0,COUNTA([1]characters!$A:$A),MATCH(H$1,[1]characters!$1:$1,0)-MATCH($C$1,[1]characters!$1:$1,0)+1),MATCH(H$1,[1]characters!$1:$1,0)-MATCH($C$1,[1]characters!$1:$1,0)+1,FALSE)</f>
        <v>Gemini02</v>
      </c>
      <c r="I55" s="193">
        <v>837</v>
      </c>
      <c r="J55" s="53" t="str">
        <f ca="1">VLOOKUP($I55,OFFSET([1]characters!$A$1,0,0,COUNTA([1]characters!$A:$A),MATCH(J$1,[1]characters!$1:$1,0)-MATCH($C$1,[1]characters!$1:$1,0)+1),MATCH(J$1,[1]characters!$1:$1,0)-MATCH($C$1,[1]characters!$1:$1,0)+1,FALSE)</f>
        <v>リトルハンプティ</v>
      </c>
      <c r="K55" s="191">
        <v>1</v>
      </c>
      <c r="L55" s="191">
        <v>1</v>
      </c>
      <c r="M55" s="192">
        <v>1000</v>
      </c>
      <c r="N55" s="2" t="s">
        <v>290</v>
      </c>
    </row>
    <row r="56" spans="1:14" ht="21" customHeight="1" x14ac:dyDescent="0.15">
      <c r="A56" s="61" t="str">
        <f t="shared" si="60"/>
        <v>1581_356</v>
      </c>
      <c r="B56" s="194">
        <v>1581</v>
      </c>
      <c r="C56" s="178">
        <f t="shared" si="61"/>
        <v>1581</v>
      </c>
      <c r="D56" s="53" t="str">
        <f ca="1">VLOOKUP($C56,OFFSET([1]characters!$A$1,0,0,COUNTA([1]characters!$A:$A),MATCH(D$1,[1]characters!$1:$1,0)-MATCH($C$1,[1]characters!$1:$1,0)+1),MATCH(D$1,[1]characters!$1:$1,0)-MATCH($C$1,[1]characters!$1:$1,0)+1,FALSE)</f>
        <v>Gemini01</v>
      </c>
      <c r="E56" s="53">
        <f ca="1">VLOOKUP($C56,OFFSET([1]characters!$A$1,0,0,COUNTA([1]characters!$A:$A),MATCH(E$1,[1]characters!$1:$1,0)-MATCH($C$1,[1]characters!$1:$1,0)+1),MATCH(E$1,[1]characters!$1:$1,0)-MATCH($C$1,[1]characters!$1:$1,0)+1,FALSE)</f>
        <v>5</v>
      </c>
      <c r="F56" s="53" t="str">
        <f ca="1">VLOOKUP($C56,OFFSET([1]characters!$A$1,0,0,COUNTA([1]characters!$A:$A),MATCH(F$1,[1]characters!$1:$1,0)-MATCH($C$1,[1]characters!$1:$1,0)+1),MATCH(F$1,[1]characters!$1:$1,0)-MATCH($C$1,[1]characters!$1:$1,0)+1,FALSE)</f>
        <v>DropWizS</v>
      </c>
      <c r="G56" s="194">
        <v>1583</v>
      </c>
      <c r="H56" s="53" t="str">
        <f ca="1">VLOOKUP($G56,OFFSET([1]characters!$A$1,0,0,COUNTA([1]characters!$A:$A),MATCH(H$1,[1]characters!$1:$1,0)-MATCH($C$1,[1]characters!$1:$1,0)+1),MATCH(H$1,[1]characters!$1:$1,0)-MATCH($C$1,[1]characters!$1:$1,0)+1,FALSE)</f>
        <v>Corvus01</v>
      </c>
      <c r="I56" s="193">
        <v>356</v>
      </c>
      <c r="J56" s="53" t="str">
        <f ca="1">VLOOKUP($I56,OFFSET([1]characters!$A$1,0,0,COUNTA([1]characters!$A:$A),MATCH(J$1,[1]characters!$1:$1,0)-MATCH($C$1,[1]characters!$1:$1,0)+1),MATCH(J$1,[1]characters!$1:$1,0)-MATCH($C$1,[1]characters!$1:$1,0)+1,FALSE)</f>
        <v>炎上のドードー</v>
      </c>
      <c r="K56" s="191">
        <v>1</v>
      </c>
      <c r="L56" s="191">
        <v>1</v>
      </c>
      <c r="M56" s="192">
        <v>10</v>
      </c>
      <c r="N56" s="2" t="s">
        <v>290</v>
      </c>
    </row>
    <row r="57" spans="1:14" ht="21" customHeight="1" x14ac:dyDescent="0.15">
      <c r="A57" s="61" t="str">
        <f t="shared" ref="A57" si="66">B57&amp;"_"&amp;I57</f>
        <v>1581_270</v>
      </c>
      <c r="B57" s="194">
        <v>1581</v>
      </c>
      <c r="C57" s="178">
        <f t="shared" ref="C57" si="67">B57</f>
        <v>1581</v>
      </c>
      <c r="D57" s="53" t="str">
        <f ca="1">VLOOKUP($C57,OFFSET([1]characters!$A$1,0,0,COUNTA([1]characters!$A:$A),MATCH(D$1,[1]characters!$1:$1,0)-MATCH($C$1,[1]characters!$1:$1,0)+1),MATCH(D$1,[1]characters!$1:$1,0)-MATCH($C$1,[1]characters!$1:$1,0)+1,FALSE)</f>
        <v>Gemini01</v>
      </c>
      <c r="E57" s="53">
        <f ca="1">VLOOKUP($C57,OFFSET([1]characters!$A$1,0,0,COUNTA([1]characters!$A:$A),MATCH(E$1,[1]characters!$1:$1,0)-MATCH($C$1,[1]characters!$1:$1,0)+1),MATCH(E$1,[1]characters!$1:$1,0)-MATCH($C$1,[1]characters!$1:$1,0)+1,FALSE)</f>
        <v>5</v>
      </c>
      <c r="F57" s="53" t="str">
        <f ca="1">VLOOKUP($C57,OFFSET([1]characters!$A$1,0,0,COUNTA([1]characters!$A:$A),MATCH(F$1,[1]characters!$1:$1,0)-MATCH($C$1,[1]characters!$1:$1,0)+1),MATCH(F$1,[1]characters!$1:$1,0)-MATCH($C$1,[1]characters!$1:$1,0)+1,FALSE)</f>
        <v>DropWizS</v>
      </c>
      <c r="G57" s="194">
        <v>1583</v>
      </c>
      <c r="H57" s="53" t="str">
        <f ca="1">VLOOKUP($G57,OFFSET([1]characters!$A$1,0,0,COUNTA([1]characters!$A:$A),MATCH(H$1,[1]characters!$1:$1,0)-MATCH($C$1,[1]characters!$1:$1,0)+1),MATCH(H$1,[1]characters!$1:$1,0)-MATCH($C$1,[1]characters!$1:$1,0)+1,FALSE)</f>
        <v>Corvus01</v>
      </c>
      <c r="I57" s="193">
        <v>270</v>
      </c>
      <c r="J57" s="53" t="str">
        <f ca="1">VLOOKUP($I57,OFFSET([1]characters!$A$1,0,0,COUNTA([1]characters!$A:$A),MATCH(J$1,[1]characters!$1:$1,0)-MATCH($C$1,[1]characters!$1:$1,0)+1),MATCH(J$1,[1]characters!$1:$1,0)-MATCH($C$1,[1]characters!$1:$1,0)+1,FALSE)</f>
        <v>風爪のミリー</v>
      </c>
      <c r="K57" s="191">
        <v>1</v>
      </c>
      <c r="L57" s="191">
        <v>3</v>
      </c>
      <c r="M57" s="192">
        <v>100</v>
      </c>
      <c r="N57" s="2" t="s">
        <v>290</v>
      </c>
    </row>
    <row r="58" spans="1:14" ht="21" customHeight="1" x14ac:dyDescent="0.15">
      <c r="A58" s="61" t="str">
        <f t="shared" ref="A58" si="68">B58&amp;"_"&amp;I58</f>
        <v>1581_308</v>
      </c>
      <c r="B58" s="194">
        <v>1581</v>
      </c>
      <c r="C58" s="178">
        <f t="shared" ref="C58" si="69">B58</f>
        <v>1581</v>
      </c>
      <c r="D58" s="53" t="str">
        <f ca="1">VLOOKUP($C58,OFFSET([1]characters!$A$1,0,0,COUNTA([1]characters!$A:$A),MATCH(D$1,[1]characters!$1:$1,0)-MATCH($C$1,[1]characters!$1:$1,0)+1),MATCH(D$1,[1]characters!$1:$1,0)-MATCH($C$1,[1]characters!$1:$1,0)+1,FALSE)</f>
        <v>Gemini01</v>
      </c>
      <c r="E58" s="53">
        <f ca="1">VLOOKUP($C58,OFFSET([1]characters!$A$1,0,0,COUNTA([1]characters!$A:$A),MATCH(E$1,[1]characters!$1:$1,0)-MATCH($C$1,[1]characters!$1:$1,0)+1),MATCH(E$1,[1]characters!$1:$1,0)-MATCH($C$1,[1]characters!$1:$1,0)+1,FALSE)</f>
        <v>5</v>
      </c>
      <c r="F58" s="53" t="str">
        <f ca="1">VLOOKUP($C58,OFFSET([1]characters!$A$1,0,0,COUNTA([1]characters!$A:$A),MATCH(F$1,[1]characters!$1:$1,0)-MATCH($C$1,[1]characters!$1:$1,0)+1),MATCH(F$1,[1]characters!$1:$1,0)-MATCH($C$1,[1]characters!$1:$1,0)+1,FALSE)</f>
        <v>DropWizS</v>
      </c>
      <c r="G58" s="194">
        <v>1583</v>
      </c>
      <c r="H58" s="53" t="str">
        <f ca="1">VLOOKUP($G58,OFFSET([1]characters!$A$1,0,0,COUNTA([1]characters!$A:$A),MATCH(H$1,[1]characters!$1:$1,0)-MATCH($C$1,[1]characters!$1:$1,0)+1),MATCH(H$1,[1]characters!$1:$1,0)-MATCH($C$1,[1]characters!$1:$1,0)+1,FALSE)</f>
        <v>Corvus01</v>
      </c>
      <c r="I58" s="193">
        <v>308</v>
      </c>
      <c r="J58" s="53" t="str">
        <f ca="1">VLOOKUP($I58,OFFSET([1]characters!$A$1,0,0,COUNTA([1]characters!$A:$A),MATCH(J$1,[1]characters!$1:$1,0)-MATCH($C$1,[1]characters!$1:$1,0)+1),MATCH(J$1,[1]characters!$1:$1,0)-MATCH($C$1,[1]characters!$1:$1,0)+1,FALSE)</f>
        <v>アーケロン</v>
      </c>
      <c r="K58" s="191">
        <v>1</v>
      </c>
      <c r="L58" s="191">
        <v>3</v>
      </c>
      <c r="M58" s="192">
        <v>100</v>
      </c>
      <c r="N58" s="2" t="s">
        <v>290</v>
      </c>
    </row>
    <row r="59" spans="1:14" ht="21" customHeight="1" x14ac:dyDescent="0.15">
      <c r="A59" s="61" t="str">
        <f t="shared" si="60"/>
        <v>1582_270</v>
      </c>
      <c r="B59" s="194">
        <v>1582</v>
      </c>
      <c r="C59" s="178">
        <f t="shared" si="61"/>
        <v>1582</v>
      </c>
      <c r="D59" s="53" t="str">
        <f ca="1">VLOOKUP($C59,OFFSET([1]characters!$A$1,0,0,COUNTA([1]characters!$A:$A),MATCH(D$1,[1]characters!$1:$1,0)-MATCH($C$1,[1]characters!$1:$1,0)+1),MATCH(D$1,[1]characters!$1:$1,0)-MATCH($C$1,[1]characters!$1:$1,0)+1,FALSE)</f>
        <v>Gemini02</v>
      </c>
      <c r="E59" s="53">
        <f ca="1">VLOOKUP($C59,OFFSET([1]characters!$A$1,0,0,COUNTA([1]characters!$A:$A),MATCH(E$1,[1]characters!$1:$1,0)-MATCH($C$1,[1]characters!$1:$1,0)+1),MATCH(E$1,[1]characters!$1:$1,0)-MATCH($C$1,[1]characters!$1:$1,0)+1,FALSE)</f>
        <v>6</v>
      </c>
      <c r="F59" s="53" t="str">
        <f ca="1">VLOOKUP($C59,OFFSET([1]characters!$A$1,0,0,COUNTA([1]characters!$A:$A),MATCH(F$1,[1]characters!$1:$1,0)-MATCH($C$1,[1]characters!$1:$1,0)+1),MATCH(F$1,[1]characters!$1:$1,0)-MATCH($C$1,[1]characters!$1:$1,0)+1,FALSE)</f>
        <v>DropWizS</v>
      </c>
      <c r="G59" s="194">
        <v>1583</v>
      </c>
      <c r="H59" s="53" t="str">
        <f ca="1">VLOOKUP($G59,OFFSET([1]characters!$A$1,0,0,COUNTA([1]characters!$A:$A),MATCH(H$1,[1]characters!$1:$1,0)-MATCH($C$1,[1]characters!$1:$1,0)+1),MATCH(H$1,[1]characters!$1:$1,0)-MATCH($C$1,[1]characters!$1:$1,0)+1,FALSE)</f>
        <v>Corvus01</v>
      </c>
      <c r="I59" s="193">
        <v>270</v>
      </c>
      <c r="J59" s="53" t="str">
        <f ca="1">VLOOKUP($I59,OFFSET([1]characters!$A$1,0,0,COUNTA([1]characters!$A:$A),MATCH(J$1,[1]characters!$1:$1,0)-MATCH($C$1,[1]characters!$1:$1,0)+1),MATCH(J$1,[1]characters!$1:$1,0)-MATCH($C$1,[1]characters!$1:$1,0)+1,FALSE)</f>
        <v>風爪のミリー</v>
      </c>
      <c r="K59" s="191">
        <v>1</v>
      </c>
      <c r="L59" s="191">
        <v>2</v>
      </c>
      <c r="M59" s="192">
        <v>100</v>
      </c>
      <c r="N59" s="2" t="s">
        <v>290</v>
      </c>
    </row>
    <row r="60" spans="1:14" ht="21" customHeight="1" x14ac:dyDescent="0.15">
      <c r="A60" s="61" t="str">
        <f t="shared" ref="A60" si="70">B60&amp;"_"&amp;I60</f>
        <v>1582_308</v>
      </c>
      <c r="B60" s="194">
        <v>1582</v>
      </c>
      <c r="C60" s="178">
        <f t="shared" ref="C60" si="71">B60</f>
        <v>1582</v>
      </c>
      <c r="D60" s="53" t="str">
        <f ca="1">VLOOKUP($C60,OFFSET([1]characters!$A$1,0,0,COUNTA([1]characters!$A:$A),MATCH(D$1,[1]characters!$1:$1,0)-MATCH($C$1,[1]characters!$1:$1,0)+1),MATCH(D$1,[1]characters!$1:$1,0)-MATCH($C$1,[1]characters!$1:$1,0)+1,FALSE)</f>
        <v>Gemini02</v>
      </c>
      <c r="E60" s="53">
        <f ca="1">VLOOKUP($C60,OFFSET([1]characters!$A$1,0,0,COUNTA([1]characters!$A:$A),MATCH(E$1,[1]characters!$1:$1,0)-MATCH($C$1,[1]characters!$1:$1,0)+1),MATCH(E$1,[1]characters!$1:$1,0)-MATCH($C$1,[1]characters!$1:$1,0)+1,FALSE)</f>
        <v>6</v>
      </c>
      <c r="F60" s="53" t="str">
        <f ca="1">VLOOKUP($C60,OFFSET([1]characters!$A$1,0,0,COUNTA([1]characters!$A:$A),MATCH(F$1,[1]characters!$1:$1,0)-MATCH($C$1,[1]characters!$1:$1,0)+1),MATCH(F$1,[1]characters!$1:$1,0)-MATCH($C$1,[1]characters!$1:$1,0)+1,FALSE)</f>
        <v>DropWizS</v>
      </c>
      <c r="G60" s="194">
        <v>1583</v>
      </c>
      <c r="H60" s="53" t="str">
        <f ca="1">VLOOKUP($G60,OFFSET([1]characters!$A$1,0,0,COUNTA([1]characters!$A:$A),MATCH(H$1,[1]characters!$1:$1,0)-MATCH($C$1,[1]characters!$1:$1,0)+1),MATCH(H$1,[1]characters!$1:$1,0)-MATCH($C$1,[1]characters!$1:$1,0)+1,FALSE)</f>
        <v>Corvus01</v>
      </c>
      <c r="I60" s="193">
        <v>308</v>
      </c>
      <c r="J60" s="53" t="str">
        <f ca="1">VLOOKUP($I60,OFFSET([1]characters!$A$1,0,0,COUNTA([1]characters!$A:$A),MATCH(J$1,[1]characters!$1:$1,0)-MATCH($C$1,[1]characters!$1:$1,0)+1),MATCH(J$1,[1]characters!$1:$1,0)-MATCH($C$1,[1]characters!$1:$1,0)+1,FALSE)</f>
        <v>アーケロン</v>
      </c>
      <c r="K60" s="191">
        <v>1</v>
      </c>
      <c r="L60" s="191">
        <v>2</v>
      </c>
      <c r="M60" s="192">
        <v>100</v>
      </c>
      <c r="N60" s="2" t="s">
        <v>290</v>
      </c>
    </row>
    <row r="61" spans="1:14" ht="21" customHeight="1" x14ac:dyDescent="0.15">
      <c r="A61" s="61" t="str">
        <f t="shared" si="60"/>
        <v>1583_102</v>
      </c>
      <c r="B61" s="194">
        <v>1583</v>
      </c>
      <c r="C61" s="178">
        <f t="shared" si="61"/>
        <v>1583</v>
      </c>
      <c r="D61" s="53" t="str">
        <f ca="1">VLOOKUP($C61,OFFSET([1]characters!$A$1,0,0,COUNTA([1]characters!$A:$A),MATCH(D$1,[1]characters!$1:$1,0)-MATCH($C$1,[1]characters!$1:$1,0)+1),MATCH(D$1,[1]characters!$1:$1,0)-MATCH($C$1,[1]characters!$1:$1,0)+1,FALSE)</f>
        <v>Corvus01</v>
      </c>
      <c r="E61" s="53">
        <f ca="1">VLOOKUP($C61,OFFSET([1]characters!$A$1,0,0,COUNTA([1]characters!$A:$A),MATCH(E$1,[1]characters!$1:$1,0)-MATCH($C$1,[1]characters!$1:$1,0)+1),MATCH(E$1,[1]characters!$1:$1,0)-MATCH($C$1,[1]characters!$1:$1,0)+1,FALSE)</f>
        <v>6</v>
      </c>
      <c r="F61" s="53" t="str">
        <f ca="1">VLOOKUP($C61,OFFSET([1]characters!$A$1,0,0,COUNTA([1]characters!$A:$A),MATCH(F$1,[1]characters!$1:$1,0)-MATCH($C$1,[1]characters!$1:$1,0)+1),MATCH(F$1,[1]characters!$1:$1,0)-MATCH($C$1,[1]characters!$1:$1,0)+1,FALSE)</f>
        <v>DropWizS</v>
      </c>
      <c r="G61" s="194">
        <v>1582</v>
      </c>
      <c r="H61" s="53" t="str">
        <f ca="1">VLOOKUP($G61,OFFSET([1]characters!$A$1,0,0,COUNTA([1]characters!$A:$A),MATCH(H$1,[1]characters!$1:$1,0)-MATCH($C$1,[1]characters!$1:$1,0)+1),MATCH(H$1,[1]characters!$1:$1,0)-MATCH($C$1,[1]characters!$1:$1,0)+1,FALSE)</f>
        <v>Gemini02</v>
      </c>
      <c r="I61" s="193">
        <v>102</v>
      </c>
      <c r="J61" s="53" t="str">
        <f ca="1">VLOOKUP($I61,OFFSET([1]characters!$A$1,0,0,COUNTA([1]characters!$A:$A),MATCH(J$1,[1]characters!$1:$1,0)-MATCH($C$1,[1]characters!$1:$1,0)+1),MATCH(J$1,[1]characters!$1:$1,0)-MATCH($C$1,[1]characters!$1:$1,0)+1,FALSE)</f>
        <v>レッドラビット</v>
      </c>
      <c r="K61" s="191">
        <v>1</v>
      </c>
      <c r="L61" s="191">
        <v>1</v>
      </c>
      <c r="M61" s="192">
        <v>10</v>
      </c>
      <c r="N61" s="2" t="s">
        <v>290</v>
      </c>
    </row>
    <row r="62" spans="1:14" ht="21" customHeight="1" x14ac:dyDescent="0.15">
      <c r="A62" s="61" t="str">
        <f t="shared" ref="A62" si="72">B62&amp;"_"&amp;I62</f>
        <v>1583_103</v>
      </c>
      <c r="B62" s="194">
        <v>1583</v>
      </c>
      <c r="C62" s="178">
        <f t="shared" ref="C62" si="73">B62</f>
        <v>1583</v>
      </c>
      <c r="D62" s="53" t="str">
        <f ca="1">VLOOKUP($C62,OFFSET([1]characters!$A$1,0,0,COUNTA([1]characters!$A:$A),MATCH(D$1,[1]characters!$1:$1,0)-MATCH($C$1,[1]characters!$1:$1,0)+1),MATCH(D$1,[1]characters!$1:$1,0)-MATCH($C$1,[1]characters!$1:$1,0)+1,FALSE)</f>
        <v>Corvus01</v>
      </c>
      <c r="E62" s="53">
        <f ca="1">VLOOKUP($C62,OFFSET([1]characters!$A$1,0,0,COUNTA([1]characters!$A:$A),MATCH(E$1,[1]characters!$1:$1,0)-MATCH($C$1,[1]characters!$1:$1,0)+1),MATCH(E$1,[1]characters!$1:$1,0)-MATCH($C$1,[1]characters!$1:$1,0)+1,FALSE)</f>
        <v>6</v>
      </c>
      <c r="F62" s="53" t="str">
        <f ca="1">VLOOKUP($C62,OFFSET([1]characters!$A$1,0,0,COUNTA([1]characters!$A:$A),MATCH(F$1,[1]characters!$1:$1,0)-MATCH($C$1,[1]characters!$1:$1,0)+1),MATCH(F$1,[1]characters!$1:$1,0)-MATCH($C$1,[1]characters!$1:$1,0)+1,FALSE)</f>
        <v>DropWizS</v>
      </c>
      <c r="G62" s="194">
        <v>1582</v>
      </c>
      <c r="H62" s="53" t="str">
        <f ca="1">VLOOKUP($G62,OFFSET([1]characters!$A$1,0,0,COUNTA([1]characters!$A:$A),MATCH(H$1,[1]characters!$1:$1,0)-MATCH($C$1,[1]characters!$1:$1,0)+1),MATCH(H$1,[1]characters!$1:$1,0)-MATCH($C$1,[1]characters!$1:$1,0)+1,FALSE)</f>
        <v>Gemini02</v>
      </c>
      <c r="I62" s="193">
        <v>103</v>
      </c>
      <c r="J62" s="53" t="str">
        <f ca="1">VLOOKUP($I62,OFFSET([1]characters!$A$1,0,0,COUNTA([1]characters!$A:$A),MATCH(J$1,[1]characters!$1:$1,0)-MATCH($C$1,[1]characters!$1:$1,0)+1),MATCH(J$1,[1]characters!$1:$1,0)-MATCH($C$1,[1]characters!$1:$1,0)+1,FALSE)</f>
        <v>レッドキャタップ</v>
      </c>
      <c r="K62" s="191">
        <v>1</v>
      </c>
      <c r="L62" s="191">
        <v>1</v>
      </c>
      <c r="M62" s="192">
        <v>10</v>
      </c>
      <c r="N62" s="2" t="s">
        <v>290</v>
      </c>
    </row>
    <row r="63" spans="1:14" ht="21" customHeight="1" x14ac:dyDescent="0.15">
      <c r="A63" s="61" t="str">
        <f t="shared" ref="A63" si="74">B63&amp;"_"&amp;I63</f>
        <v>1583_104</v>
      </c>
      <c r="B63" s="194">
        <v>1583</v>
      </c>
      <c r="C63" s="178">
        <f t="shared" ref="C63" si="75">B63</f>
        <v>1583</v>
      </c>
      <c r="D63" s="53" t="str">
        <f ca="1">VLOOKUP($C63,OFFSET([1]characters!$A$1,0,0,COUNTA([1]characters!$A:$A),MATCH(D$1,[1]characters!$1:$1,0)-MATCH($C$1,[1]characters!$1:$1,0)+1),MATCH(D$1,[1]characters!$1:$1,0)-MATCH($C$1,[1]characters!$1:$1,0)+1,FALSE)</f>
        <v>Corvus01</v>
      </c>
      <c r="E63" s="53">
        <f ca="1">VLOOKUP($C63,OFFSET([1]characters!$A$1,0,0,COUNTA([1]characters!$A:$A),MATCH(E$1,[1]characters!$1:$1,0)-MATCH($C$1,[1]characters!$1:$1,0)+1),MATCH(E$1,[1]characters!$1:$1,0)-MATCH($C$1,[1]characters!$1:$1,0)+1,FALSE)</f>
        <v>6</v>
      </c>
      <c r="F63" s="53" t="str">
        <f ca="1">VLOOKUP($C63,OFFSET([1]characters!$A$1,0,0,COUNTA([1]characters!$A:$A),MATCH(F$1,[1]characters!$1:$1,0)-MATCH($C$1,[1]characters!$1:$1,0)+1),MATCH(F$1,[1]characters!$1:$1,0)-MATCH($C$1,[1]characters!$1:$1,0)+1,FALSE)</f>
        <v>DropWizS</v>
      </c>
      <c r="G63" s="194">
        <v>1582</v>
      </c>
      <c r="H63" s="53" t="str">
        <f ca="1">VLOOKUP($G63,OFFSET([1]characters!$A$1,0,0,COUNTA([1]characters!$A:$A),MATCH(H$1,[1]characters!$1:$1,0)-MATCH($C$1,[1]characters!$1:$1,0)+1),MATCH(H$1,[1]characters!$1:$1,0)-MATCH($C$1,[1]characters!$1:$1,0)+1,FALSE)</f>
        <v>Gemini02</v>
      </c>
      <c r="I63" s="193">
        <v>104</v>
      </c>
      <c r="J63" s="53" t="str">
        <f ca="1">VLOOKUP($I63,OFFSET([1]characters!$A$1,0,0,COUNTA([1]characters!$A:$A),MATCH(J$1,[1]characters!$1:$1,0)-MATCH($C$1,[1]characters!$1:$1,0)+1),MATCH(J$1,[1]characters!$1:$1,0)-MATCH($C$1,[1]characters!$1:$1,0)+1,FALSE)</f>
        <v>炎のマッドハッター</v>
      </c>
      <c r="K63" s="191">
        <v>1</v>
      </c>
      <c r="L63" s="191">
        <v>1</v>
      </c>
      <c r="M63" s="192">
        <v>10</v>
      </c>
      <c r="N63" s="2" t="s">
        <v>290</v>
      </c>
    </row>
    <row r="64" spans="1:14" ht="21" customHeight="1" x14ac:dyDescent="0.15">
      <c r="A64" s="61" t="str">
        <f t="shared" si="60"/>
        <v>1584_116</v>
      </c>
      <c r="B64" s="194">
        <v>1584</v>
      </c>
      <c r="C64" s="178">
        <f t="shared" si="61"/>
        <v>1584</v>
      </c>
      <c r="D64" s="53" t="str">
        <f ca="1">VLOOKUP($C64,OFFSET([1]characters!$A$1,0,0,COUNTA([1]characters!$A:$A),MATCH(D$1,[1]characters!$1:$1,0)-MATCH($C$1,[1]characters!$1:$1,0)+1),MATCH(D$1,[1]characters!$1:$1,0)-MATCH($C$1,[1]characters!$1:$1,0)+1,FALSE)</f>
        <v>Sirius01</v>
      </c>
      <c r="E64" s="53">
        <f ca="1">VLOOKUP($C64,OFFSET([1]characters!$A$1,0,0,COUNTA([1]characters!$A:$A),MATCH(E$1,[1]characters!$1:$1,0)-MATCH($C$1,[1]characters!$1:$1,0)+1),MATCH(E$1,[1]characters!$1:$1,0)-MATCH($C$1,[1]characters!$1:$1,0)+1,FALSE)</f>
        <v>4</v>
      </c>
      <c r="F64" s="53" t="str">
        <f ca="1">VLOOKUP($C64,OFFSET([1]characters!$A$1,0,0,COUNTA([1]characters!$A:$A),MATCH(F$1,[1]characters!$1:$1,0)-MATCH($C$1,[1]characters!$1:$1,0)+1),MATCH(F$1,[1]characters!$1:$1,0)-MATCH($C$1,[1]characters!$1:$1,0)+1,FALSE)</f>
        <v>DropWizS</v>
      </c>
      <c r="G64" s="194">
        <v>1585</v>
      </c>
      <c r="H64" s="53" t="str">
        <f ca="1">VLOOKUP($G64,OFFSET([1]characters!$A$1,0,0,COUNTA([1]characters!$A:$A),MATCH(H$1,[1]characters!$1:$1,0)-MATCH($C$1,[1]characters!$1:$1,0)+1),MATCH(H$1,[1]characters!$1:$1,0)-MATCH($C$1,[1]characters!$1:$1,0)+1,FALSE)</f>
        <v>Sirius02</v>
      </c>
      <c r="I64" s="193">
        <v>116</v>
      </c>
      <c r="J64" s="53" t="str">
        <f ca="1">VLOOKUP($I64,OFFSET([1]characters!$A$1,0,0,COUNTA([1]characters!$A:$A),MATCH(J$1,[1]characters!$1:$1,0)-MATCH($C$1,[1]characters!$1:$1,0)+1),MATCH(J$1,[1]characters!$1:$1,0)-MATCH($C$1,[1]characters!$1:$1,0)+1,FALSE)</f>
        <v>雷のマッドハッター</v>
      </c>
      <c r="K64" s="191">
        <v>1</v>
      </c>
      <c r="L64" s="191">
        <v>1</v>
      </c>
      <c r="M64" s="192">
        <v>10</v>
      </c>
      <c r="N64" s="2" t="s">
        <v>290</v>
      </c>
    </row>
    <row r="65" spans="1:14" ht="21" customHeight="1" x14ac:dyDescent="0.15">
      <c r="A65" s="61" t="str">
        <f t="shared" ref="A65:A66" si="76">B65&amp;"_"&amp;I65</f>
        <v>1584_272</v>
      </c>
      <c r="B65" s="194">
        <v>1584</v>
      </c>
      <c r="C65" s="178">
        <f t="shared" ref="C65:C66" si="77">B65</f>
        <v>1584</v>
      </c>
      <c r="D65" s="53" t="str">
        <f ca="1">VLOOKUP($C65,OFFSET([1]characters!$A$1,0,0,COUNTA([1]characters!$A:$A),MATCH(D$1,[1]characters!$1:$1,0)-MATCH($C$1,[1]characters!$1:$1,0)+1),MATCH(D$1,[1]characters!$1:$1,0)-MATCH($C$1,[1]characters!$1:$1,0)+1,FALSE)</f>
        <v>Sirius01</v>
      </c>
      <c r="E65" s="53">
        <f ca="1">VLOOKUP($C65,OFFSET([1]characters!$A$1,0,0,COUNTA([1]characters!$A:$A),MATCH(E$1,[1]characters!$1:$1,0)-MATCH($C$1,[1]characters!$1:$1,0)+1),MATCH(E$1,[1]characters!$1:$1,0)-MATCH($C$1,[1]characters!$1:$1,0)+1,FALSE)</f>
        <v>4</v>
      </c>
      <c r="F65" s="53" t="str">
        <f ca="1">VLOOKUP($C65,OFFSET([1]characters!$A$1,0,0,COUNTA([1]characters!$A:$A),MATCH(F$1,[1]characters!$1:$1,0)-MATCH($C$1,[1]characters!$1:$1,0)+1),MATCH(F$1,[1]characters!$1:$1,0)-MATCH($C$1,[1]characters!$1:$1,0)+1,FALSE)</f>
        <v>DropWizS</v>
      </c>
      <c r="G65" s="194">
        <v>1585</v>
      </c>
      <c r="H65" s="53" t="str">
        <f ca="1">VLOOKUP($G65,OFFSET([1]characters!$A$1,0,0,COUNTA([1]characters!$A:$A),MATCH(H$1,[1]characters!$1:$1,0)-MATCH($C$1,[1]characters!$1:$1,0)+1),MATCH(H$1,[1]characters!$1:$1,0)-MATCH($C$1,[1]characters!$1:$1,0)+1,FALSE)</f>
        <v>Sirius02</v>
      </c>
      <c r="I65" s="193">
        <v>272</v>
      </c>
      <c r="J65" s="53" t="str">
        <f ca="1">VLOOKUP($I65,OFFSET([1]characters!$A$1,0,0,COUNTA([1]characters!$A:$A),MATCH(J$1,[1]characters!$1:$1,0)-MATCH($C$1,[1]characters!$1:$1,0)+1),MATCH(J$1,[1]characters!$1:$1,0)-MATCH($C$1,[1]characters!$1:$1,0)+1,FALSE)</f>
        <v>魔札のシルベール</v>
      </c>
      <c r="K65" s="191">
        <v>1</v>
      </c>
      <c r="L65" s="191">
        <v>2</v>
      </c>
      <c r="M65" s="192">
        <v>100</v>
      </c>
      <c r="N65" s="2" t="s">
        <v>290</v>
      </c>
    </row>
    <row r="66" spans="1:14" ht="21" customHeight="1" x14ac:dyDescent="0.15">
      <c r="A66" s="61" t="str">
        <f t="shared" si="76"/>
        <v>1584_1575</v>
      </c>
      <c r="B66" s="194">
        <v>1584</v>
      </c>
      <c r="C66" s="178">
        <f t="shared" si="77"/>
        <v>1584</v>
      </c>
      <c r="D66" s="53" t="str">
        <f ca="1">VLOOKUP($C66,OFFSET([1]characters!$A$1,0,0,COUNTA([1]characters!$A:$A),MATCH(D$1,[1]characters!$1:$1,0)-MATCH($C$1,[1]characters!$1:$1,0)+1),MATCH(D$1,[1]characters!$1:$1,0)-MATCH($C$1,[1]characters!$1:$1,0)+1,FALSE)</f>
        <v>Sirius01</v>
      </c>
      <c r="E66" s="53">
        <f ca="1">VLOOKUP($C66,OFFSET([1]characters!$A$1,0,0,COUNTA([1]characters!$A:$A),MATCH(E$1,[1]characters!$1:$1,0)-MATCH($C$1,[1]characters!$1:$1,0)+1),MATCH(E$1,[1]characters!$1:$1,0)-MATCH($C$1,[1]characters!$1:$1,0)+1,FALSE)</f>
        <v>4</v>
      </c>
      <c r="F66" s="53" t="str">
        <f ca="1">VLOOKUP($C66,OFFSET([1]characters!$A$1,0,0,COUNTA([1]characters!$A:$A),MATCH(F$1,[1]characters!$1:$1,0)-MATCH($C$1,[1]characters!$1:$1,0)+1),MATCH(F$1,[1]characters!$1:$1,0)-MATCH($C$1,[1]characters!$1:$1,0)+1,FALSE)</f>
        <v>DropWizS</v>
      </c>
      <c r="G66" s="194">
        <v>1585</v>
      </c>
      <c r="H66" s="53" t="str">
        <f ca="1">VLOOKUP($G66,OFFSET([1]characters!$A$1,0,0,COUNTA([1]characters!$A:$A),MATCH(H$1,[1]characters!$1:$1,0)-MATCH($C$1,[1]characters!$1:$1,0)+1),MATCH(H$1,[1]characters!$1:$1,0)-MATCH($C$1,[1]characters!$1:$1,0)+1,FALSE)</f>
        <v>Sirius02</v>
      </c>
      <c r="I66" s="193">
        <v>1575</v>
      </c>
      <c r="J66" s="53" t="str">
        <f ca="1">VLOOKUP($I66,OFFSET([1]characters!$A$1,0,0,COUNTA([1]characters!$A:$A),MATCH(J$1,[1]characters!$1:$1,0)-MATCH($C$1,[1]characters!$1:$1,0)+1),MATCH(J$1,[1]characters!$1:$1,0)-MATCH($C$1,[1]characters!$1:$1,0)+1,FALSE)</f>
        <v>Aquarius01</v>
      </c>
      <c r="K66" s="191">
        <v>1</v>
      </c>
      <c r="L66" s="191">
        <v>2</v>
      </c>
      <c r="M66" s="192">
        <v>100</v>
      </c>
      <c r="N66" s="2" t="s">
        <v>290</v>
      </c>
    </row>
    <row r="67" spans="1:14" ht="21" customHeight="1" x14ac:dyDescent="0.15">
      <c r="A67" s="61" t="str">
        <f t="shared" si="60"/>
        <v>1585_116</v>
      </c>
      <c r="B67" s="194">
        <v>1585</v>
      </c>
      <c r="C67" s="178">
        <f t="shared" si="61"/>
        <v>1585</v>
      </c>
      <c r="D67" s="53" t="str">
        <f ca="1">VLOOKUP($C67,OFFSET([1]characters!$A$1,0,0,COUNTA([1]characters!$A:$A),MATCH(D$1,[1]characters!$1:$1,0)-MATCH($C$1,[1]characters!$1:$1,0)+1),MATCH(D$1,[1]characters!$1:$1,0)-MATCH($C$1,[1]characters!$1:$1,0)+1,FALSE)</f>
        <v>Sirius02</v>
      </c>
      <c r="E67" s="53">
        <f ca="1">VLOOKUP($C67,OFFSET([1]characters!$A$1,0,0,COUNTA([1]characters!$A:$A),MATCH(E$1,[1]characters!$1:$1,0)-MATCH($C$1,[1]characters!$1:$1,0)+1),MATCH(E$1,[1]characters!$1:$1,0)-MATCH($C$1,[1]characters!$1:$1,0)+1,FALSE)</f>
        <v>5</v>
      </c>
      <c r="F67" s="53" t="str">
        <f ca="1">VLOOKUP($C67,OFFSET([1]characters!$A$1,0,0,COUNTA([1]characters!$A:$A),MATCH(F$1,[1]characters!$1:$1,0)-MATCH($C$1,[1]characters!$1:$1,0)+1),MATCH(F$1,[1]characters!$1:$1,0)-MATCH($C$1,[1]characters!$1:$1,0)+1,FALSE)</f>
        <v>DropWizS</v>
      </c>
      <c r="G67" s="194">
        <v>1586</v>
      </c>
      <c r="H67" s="53" t="str">
        <f ca="1">VLOOKUP($G67,OFFSET([1]characters!$A$1,0,0,COUNTA([1]characters!$A:$A),MATCH(H$1,[1]characters!$1:$1,0)-MATCH($C$1,[1]characters!$1:$1,0)+1),MATCH(H$1,[1]characters!$1:$1,0)-MATCH($C$1,[1]characters!$1:$1,0)+1,FALSE)</f>
        <v>Sirius03</v>
      </c>
      <c r="I67" s="193">
        <v>116</v>
      </c>
      <c r="J67" s="53" t="str">
        <f ca="1">VLOOKUP($I67,OFFSET([1]characters!$A$1,0,0,COUNTA([1]characters!$A:$A),MATCH(J$1,[1]characters!$1:$1,0)-MATCH($C$1,[1]characters!$1:$1,0)+1),MATCH(J$1,[1]characters!$1:$1,0)-MATCH($C$1,[1]characters!$1:$1,0)+1,FALSE)</f>
        <v>雷のマッドハッター</v>
      </c>
      <c r="K67" s="191">
        <v>1</v>
      </c>
      <c r="L67" s="191">
        <v>1</v>
      </c>
      <c r="M67" s="192">
        <v>10</v>
      </c>
      <c r="N67" s="2" t="s">
        <v>290</v>
      </c>
    </row>
    <row r="68" spans="1:14" ht="21" customHeight="1" x14ac:dyDescent="0.15">
      <c r="A68" s="61" t="str">
        <f t="shared" ref="A68:A69" si="78">B68&amp;"_"&amp;I68</f>
        <v>1585_837</v>
      </c>
      <c r="B68" s="194">
        <v>1585</v>
      </c>
      <c r="C68" s="178">
        <f t="shared" ref="C68:C69" si="79">B68</f>
        <v>1585</v>
      </c>
      <c r="D68" s="53" t="str">
        <f ca="1">VLOOKUP($C68,OFFSET([1]characters!$A$1,0,0,COUNTA([1]characters!$A:$A),MATCH(D$1,[1]characters!$1:$1,0)-MATCH($C$1,[1]characters!$1:$1,0)+1),MATCH(D$1,[1]characters!$1:$1,0)-MATCH($C$1,[1]characters!$1:$1,0)+1,FALSE)</f>
        <v>Sirius02</v>
      </c>
      <c r="E68" s="53">
        <f ca="1">VLOOKUP($C68,OFFSET([1]characters!$A$1,0,0,COUNTA([1]characters!$A:$A),MATCH(E$1,[1]characters!$1:$1,0)-MATCH($C$1,[1]characters!$1:$1,0)+1),MATCH(E$1,[1]characters!$1:$1,0)-MATCH($C$1,[1]characters!$1:$1,0)+1,FALSE)</f>
        <v>5</v>
      </c>
      <c r="F68" s="53" t="str">
        <f ca="1">VLOOKUP($C68,OFFSET([1]characters!$A$1,0,0,COUNTA([1]characters!$A:$A),MATCH(F$1,[1]characters!$1:$1,0)-MATCH($C$1,[1]characters!$1:$1,0)+1),MATCH(F$1,[1]characters!$1:$1,0)-MATCH($C$1,[1]characters!$1:$1,0)+1,FALSE)</f>
        <v>DropWizS</v>
      </c>
      <c r="G68" s="194">
        <v>1586</v>
      </c>
      <c r="H68" s="53" t="str">
        <f ca="1">VLOOKUP($G68,OFFSET([1]characters!$A$1,0,0,COUNTA([1]characters!$A:$A),MATCH(H$1,[1]characters!$1:$1,0)-MATCH($C$1,[1]characters!$1:$1,0)+1),MATCH(H$1,[1]characters!$1:$1,0)-MATCH($C$1,[1]characters!$1:$1,0)+1,FALSE)</f>
        <v>Sirius03</v>
      </c>
      <c r="I68" s="193">
        <v>837</v>
      </c>
      <c r="J68" s="53" t="str">
        <f ca="1">VLOOKUP($I68,OFFSET([1]characters!$A$1,0,0,COUNTA([1]characters!$A:$A),MATCH(J$1,[1]characters!$1:$1,0)-MATCH($C$1,[1]characters!$1:$1,0)+1),MATCH(J$1,[1]characters!$1:$1,0)-MATCH($C$1,[1]characters!$1:$1,0)+1,FALSE)</f>
        <v>リトルハンプティ</v>
      </c>
      <c r="K68" s="191">
        <v>1</v>
      </c>
      <c r="L68" s="191">
        <v>1</v>
      </c>
      <c r="M68" s="192">
        <v>1000</v>
      </c>
      <c r="N68" s="2" t="s">
        <v>290</v>
      </c>
    </row>
    <row r="69" spans="1:14" ht="21" customHeight="1" x14ac:dyDescent="0.15">
      <c r="A69" s="61" t="str">
        <f t="shared" si="78"/>
        <v>1585_272</v>
      </c>
      <c r="B69" s="194">
        <v>1585</v>
      </c>
      <c r="C69" s="178">
        <f t="shared" si="79"/>
        <v>1585</v>
      </c>
      <c r="D69" s="53" t="str">
        <f ca="1">VLOOKUP($C69,OFFSET([1]characters!$A$1,0,0,COUNTA([1]characters!$A:$A),MATCH(D$1,[1]characters!$1:$1,0)-MATCH($C$1,[1]characters!$1:$1,0)+1),MATCH(D$1,[1]characters!$1:$1,0)-MATCH($C$1,[1]characters!$1:$1,0)+1,FALSE)</f>
        <v>Sirius02</v>
      </c>
      <c r="E69" s="53">
        <f ca="1">VLOOKUP($C69,OFFSET([1]characters!$A$1,0,0,COUNTA([1]characters!$A:$A),MATCH(E$1,[1]characters!$1:$1,0)-MATCH($C$1,[1]characters!$1:$1,0)+1),MATCH(E$1,[1]characters!$1:$1,0)-MATCH($C$1,[1]characters!$1:$1,0)+1,FALSE)</f>
        <v>5</v>
      </c>
      <c r="F69" s="53" t="str">
        <f ca="1">VLOOKUP($C69,OFFSET([1]characters!$A$1,0,0,COUNTA([1]characters!$A:$A),MATCH(F$1,[1]characters!$1:$1,0)-MATCH($C$1,[1]characters!$1:$1,0)+1),MATCH(F$1,[1]characters!$1:$1,0)-MATCH($C$1,[1]characters!$1:$1,0)+1,FALSE)</f>
        <v>DropWizS</v>
      </c>
      <c r="G69" s="194">
        <v>1586</v>
      </c>
      <c r="H69" s="53" t="str">
        <f ca="1">VLOOKUP($G69,OFFSET([1]characters!$A$1,0,0,COUNTA([1]characters!$A:$A),MATCH(H$1,[1]characters!$1:$1,0)-MATCH($C$1,[1]characters!$1:$1,0)+1),MATCH(H$1,[1]characters!$1:$1,0)-MATCH($C$1,[1]characters!$1:$1,0)+1,FALSE)</f>
        <v>Sirius03</v>
      </c>
      <c r="I69" s="193">
        <v>272</v>
      </c>
      <c r="J69" s="53" t="str">
        <f ca="1">VLOOKUP($I69,OFFSET([1]characters!$A$1,0,0,COUNTA([1]characters!$A:$A),MATCH(J$1,[1]characters!$1:$1,0)-MATCH($C$1,[1]characters!$1:$1,0)+1),MATCH(J$1,[1]characters!$1:$1,0)-MATCH($C$1,[1]characters!$1:$1,0)+1,FALSE)</f>
        <v>魔札のシルベール</v>
      </c>
      <c r="K69" s="191">
        <v>1</v>
      </c>
      <c r="L69" s="191">
        <v>2</v>
      </c>
      <c r="M69" s="192">
        <v>100</v>
      </c>
      <c r="N69" s="2" t="s">
        <v>290</v>
      </c>
    </row>
    <row r="70" spans="1:14" ht="21" customHeight="1" x14ac:dyDescent="0.15">
      <c r="A70" s="61" t="str">
        <f t="shared" ref="A70" si="80">B70&amp;"_"&amp;I70</f>
        <v>1585_1575</v>
      </c>
      <c r="B70" s="194">
        <v>1585</v>
      </c>
      <c r="C70" s="178">
        <f t="shared" ref="C70" si="81">B70</f>
        <v>1585</v>
      </c>
      <c r="D70" s="53" t="str">
        <f ca="1">VLOOKUP($C70,OFFSET([1]characters!$A$1,0,0,COUNTA([1]characters!$A:$A),MATCH(D$1,[1]characters!$1:$1,0)-MATCH($C$1,[1]characters!$1:$1,0)+1),MATCH(D$1,[1]characters!$1:$1,0)-MATCH($C$1,[1]characters!$1:$1,0)+1,FALSE)</f>
        <v>Sirius02</v>
      </c>
      <c r="E70" s="53">
        <f ca="1">VLOOKUP($C70,OFFSET([1]characters!$A$1,0,0,COUNTA([1]characters!$A:$A),MATCH(E$1,[1]characters!$1:$1,0)-MATCH($C$1,[1]characters!$1:$1,0)+1),MATCH(E$1,[1]characters!$1:$1,0)-MATCH($C$1,[1]characters!$1:$1,0)+1,FALSE)</f>
        <v>5</v>
      </c>
      <c r="F70" s="53" t="str">
        <f ca="1">VLOOKUP($C70,OFFSET([1]characters!$A$1,0,0,COUNTA([1]characters!$A:$A),MATCH(F$1,[1]characters!$1:$1,0)-MATCH($C$1,[1]characters!$1:$1,0)+1),MATCH(F$1,[1]characters!$1:$1,0)-MATCH($C$1,[1]characters!$1:$1,0)+1,FALSE)</f>
        <v>DropWizS</v>
      </c>
      <c r="G70" s="194">
        <v>1586</v>
      </c>
      <c r="H70" s="53" t="str">
        <f ca="1">VLOOKUP($G70,OFFSET([1]characters!$A$1,0,0,COUNTA([1]characters!$A:$A),MATCH(H$1,[1]characters!$1:$1,0)-MATCH($C$1,[1]characters!$1:$1,0)+1),MATCH(H$1,[1]characters!$1:$1,0)-MATCH($C$1,[1]characters!$1:$1,0)+1,FALSE)</f>
        <v>Sirius03</v>
      </c>
      <c r="I70" s="193">
        <v>1575</v>
      </c>
      <c r="J70" s="53" t="str">
        <f ca="1">VLOOKUP($I70,OFFSET([1]characters!$A$1,0,0,COUNTA([1]characters!$A:$A),MATCH(J$1,[1]characters!$1:$1,0)-MATCH($C$1,[1]characters!$1:$1,0)+1),MATCH(J$1,[1]characters!$1:$1,0)-MATCH($C$1,[1]characters!$1:$1,0)+1,FALSE)</f>
        <v>Aquarius01</v>
      </c>
      <c r="K70" s="191">
        <v>1</v>
      </c>
      <c r="L70" s="191">
        <v>3</v>
      </c>
      <c r="M70" s="192">
        <v>100</v>
      </c>
      <c r="N70" s="2" t="s">
        <v>290</v>
      </c>
    </row>
    <row r="71" spans="1:14" ht="21" customHeight="1" x14ac:dyDescent="0.15">
      <c r="A71" s="61" t="str">
        <f t="shared" si="60"/>
        <v>1587_108</v>
      </c>
      <c r="B71" s="194">
        <v>1587</v>
      </c>
      <c r="C71" s="178">
        <f t="shared" si="61"/>
        <v>1587</v>
      </c>
      <c r="D71" s="53" t="str">
        <f ca="1">VLOOKUP($C71,OFFSET([1]characters!$A$1,0,0,COUNTA([1]characters!$A:$A),MATCH(D$1,[1]characters!$1:$1,0)-MATCH($C$1,[1]characters!$1:$1,0)+1),MATCH(D$1,[1]characters!$1:$1,0)-MATCH($C$1,[1]characters!$1:$1,0)+1,FALSE)</f>
        <v>Virgo01</v>
      </c>
      <c r="E71" s="53">
        <f ca="1">VLOOKUP($C71,OFFSET([1]characters!$A$1,0,0,COUNTA([1]characters!$A:$A),MATCH(E$1,[1]characters!$1:$1,0)-MATCH($C$1,[1]characters!$1:$1,0)+1),MATCH(E$1,[1]characters!$1:$1,0)-MATCH($C$1,[1]characters!$1:$1,0)+1,FALSE)</f>
        <v>5</v>
      </c>
      <c r="F71" s="53" t="str">
        <f ca="1">VLOOKUP($C71,OFFSET([1]characters!$A$1,0,0,COUNTA([1]characters!$A:$A),MATCH(F$1,[1]characters!$1:$1,0)-MATCH($C$1,[1]characters!$1:$1,0)+1),MATCH(F$1,[1]characters!$1:$1,0)-MATCH($C$1,[1]characters!$1:$1,0)+1,FALSE)</f>
        <v>DropWizS</v>
      </c>
      <c r="G71" s="194">
        <v>1588</v>
      </c>
      <c r="H71" s="53" t="str">
        <f ca="1">VLOOKUP($G71,OFFSET([1]characters!$A$1,0,0,COUNTA([1]characters!$A:$A),MATCH(H$1,[1]characters!$1:$1,0)-MATCH($C$1,[1]characters!$1:$1,0)+1),MATCH(H$1,[1]characters!$1:$1,0)-MATCH($C$1,[1]characters!$1:$1,0)+1,FALSE)</f>
        <v>Virgo02</v>
      </c>
      <c r="I71" s="193">
        <v>108</v>
      </c>
      <c r="J71" s="53" t="str">
        <f ca="1">VLOOKUP($I71,OFFSET([1]characters!$A$1,0,0,COUNTA([1]characters!$A:$A),MATCH(J$1,[1]characters!$1:$1,0)-MATCH($C$1,[1]characters!$1:$1,0)+1),MATCH(J$1,[1]characters!$1:$1,0)-MATCH($C$1,[1]characters!$1:$1,0)+1,FALSE)</f>
        <v>森のマッドハッター</v>
      </c>
      <c r="K71" s="191">
        <v>1</v>
      </c>
      <c r="L71" s="191">
        <v>1</v>
      </c>
      <c r="M71" s="192">
        <v>10</v>
      </c>
      <c r="N71" s="2" t="s">
        <v>290</v>
      </c>
    </row>
    <row r="72" spans="1:14" ht="21" customHeight="1" x14ac:dyDescent="0.15">
      <c r="A72" s="61" t="str">
        <f t="shared" ref="A72:A73" si="82">B72&amp;"_"&amp;I72</f>
        <v>1587_837</v>
      </c>
      <c r="B72" s="194">
        <v>1587</v>
      </c>
      <c r="C72" s="178">
        <f t="shared" ref="C72:C73" si="83">B72</f>
        <v>1587</v>
      </c>
      <c r="D72" s="53" t="str">
        <f ca="1">VLOOKUP($C72,OFFSET([1]characters!$A$1,0,0,COUNTA([1]characters!$A:$A),MATCH(D$1,[1]characters!$1:$1,0)-MATCH($C$1,[1]characters!$1:$1,0)+1),MATCH(D$1,[1]characters!$1:$1,0)-MATCH($C$1,[1]characters!$1:$1,0)+1,FALSE)</f>
        <v>Virgo01</v>
      </c>
      <c r="E72" s="53">
        <f ca="1">VLOOKUP($C72,OFFSET([1]characters!$A$1,0,0,COUNTA([1]characters!$A:$A),MATCH(E$1,[1]characters!$1:$1,0)-MATCH($C$1,[1]characters!$1:$1,0)+1),MATCH(E$1,[1]characters!$1:$1,0)-MATCH($C$1,[1]characters!$1:$1,0)+1,FALSE)</f>
        <v>5</v>
      </c>
      <c r="F72" s="53" t="str">
        <f ca="1">VLOOKUP($C72,OFFSET([1]characters!$A$1,0,0,COUNTA([1]characters!$A:$A),MATCH(F$1,[1]characters!$1:$1,0)-MATCH($C$1,[1]characters!$1:$1,0)+1),MATCH(F$1,[1]characters!$1:$1,0)-MATCH($C$1,[1]characters!$1:$1,0)+1,FALSE)</f>
        <v>DropWizS</v>
      </c>
      <c r="G72" s="194">
        <v>1588</v>
      </c>
      <c r="H72" s="53" t="str">
        <f ca="1">VLOOKUP($G72,OFFSET([1]characters!$A$1,0,0,COUNTA([1]characters!$A:$A),MATCH(H$1,[1]characters!$1:$1,0)-MATCH($C$1,[1]characters!$1:$1,0)+1),MATCH(H$1,[1]characters!$1:$1,0)-MATCH($C$1,[1]characters!$1:$1,0)+1,FALSE)</f>
        <v>Virgo02</v>
      </c>
      <c r="I72" s="193">
        <v>837</v>
      </c>
      <c r="J72" s="53" t="str">
        <f ca="1">VLOOKUP($I72,OFFSET([1]characters!$A$1,0,0,COUNTA([1]characters!$A:$A),MATCH(J$1,[1]characters!$1:$1,0)-MATCH($C$1,[1]characters!$1:$1,0)+1),MATCH(J$1,[1]characters!$1:$1,0)-MATCH($C$1,[1]characters!$1:$1,0)+1,FALSE)</f>
        <v>リトルハンプティ</v>
      </c>
      <c r="K72" s="191">
        <v>1</v>
      </c>
      <c r="L72" s="191">
        <v>1</v>
      </c>
      <c r="M72" s="192">
        <v>1000</v>
      </c>
      <c r="N72" s="2" t="s">
        <v>290</v>
      </c>
    </row>
    <row r="73" spans="1:14" ht="21" customHeight="1" x14ac:dyDescent="0.15">
      <c r="A73" s="61" t="str">
        <f t="shared" si="82"/>
        <v>1587_650</v>
      </c>
      <c r="B73" s="194">
        <v>1587</v>
      </c>
      <c r="C73" s="178">
        <f t="shared" si="83"/>
        <v>1587</v>
      </c>
      <c r="D73" s="53" t="str">
        <f ca="1">VLOOKUP($C73,OFFSET([1]characters!$A$1,0,0,COUNTA([1]characters!$A:$A),MATCH(D$1,[1]characters!$1:$1,0)-MATCH($C$1,[1]characters!$1:$1,0)+1),MATCH(D$1,[1]characters!$1:$1,0)-MATCH($C$1,[1]characters!$1:$1,0)+1,FALSE)</f>
        <v>Virgo01</v>
      </c>
      <c r="E73" s="53">
        <f ca="1">VLOOKUP($C73,OFFSET([1]characters!$A$1,0,0,COUNTA([1]characters!$A:$A),MATCH(E$1,[1]characters!$1:$1,0)-MATCH($C$1,[1]characters!$1:$1,0)+1),MATCH(E$1,[1]characters!$1:$1,0)-MATCH($C$1,[1]characters!$1:$1,0)+1,FALSE)</f>
        <v>5</v>
      </c>
      <c r="F73" s="53" t="str">
        <f ca="1">VLOOKUP($C73,OFFSET([1]characters!$A$1,0,0,COUNTA([1]characters!$A:$A),MATCH(F$1,[1]characters!$1:$1,0)-MATCH($C$1,[1]characters!$1:$1,0)+1),MATCH(F$1,[1]characters!$1:$1,0)-MATCH($C$1,[1]characters!$1:$1,0)+1,FALSE)</f>
        <v>DropWizS</v>
      </c>
      <c r="G73" s="194">
        <v>1588</v>
      </c>
      <c r="H73" s="53" t="str">
        <f ca="1">VLOOKUP($G73,OFFSET([1]characters!$A$1,0,0,COUNTA([1]characters!$A:$A),MATCH(H$1,[1]characters!$1:$1,0)-MATCH($C$1,[1]characters!$1:$1,0)+1),MATCH(H$1,[1]characters!$1:$1,0)-MATCH($C$1,[1]characters!$1:$1,0)+1,FALSE)</f>
        <v>Virgo02</v>
      </c>
      <c r="I73" s="193">
        <v>650</v>
      </c>
      <c r="J73" s="53" t="str">
        <f ca="1">VLOOKUP($I73,OFFSET([1]characters!$A$1,0,0,COUNTA([1]characters!$A:$A),MATCH(J$1,[1]characters!$1:$1,0)-MATCH($C$1,[1]characters!$1:$1,0)+1),MATCH(J$1,[1]characters!$1:$1,0)-MATCH($C$1,[1]characters!$1:$1,0)+1,FALSE)</f>
        <v>土蜘蛛 ユウヤ</v>
      </c>
      <c r="K73" s="191">
        <v>1</v>
      </c>
      <c r="L73" s="191">
        <v>2</v>
      </c>
      <c r="M73" s="192">
        <v>100</v>
      </c>
      <c r="N73" s="2" t="s">
        <v>290</v>
      </c>
    </row>
    <row r="74" spans="1:14" ht="21" customHeight="1" x14ac:dyDescent="0.15">
      <c r="A74" s="61" t="str">
        <f t="shared" ref="A74" si="84">B74&amp;"_"&amp;I74</f>
        <v>1587_1584</v>
      </c>
      <c r="B74" s="194">
        <v>1587</v>
      </c>
      <c r="C74" s="178">
        <f t="shared" ref="C74" si="85">B74</f>
        <v>1587</v>
      </c>
      <c r="D74" s="53" t="str">
        <f ca="1">VLOOKUP($C74,OFFSET([1]characters!$A$1,0,0,COUNTA([1]characters!$A:$A),MATCH(D$1,[1]characters!$1:$1,0)-MATCH($C$1,[1]characters!$1:$1,0)+1),MATCH(D$1,[1]characters!$1:$1,0)-MATCH($C$1,[1]characters!$1:$1,0)+1,FALSE)</f>
        <v>Virgo01</v>
      </c>
      <c r="E74" s="53">
        <f ca="1">VLOOKUP($C74,OFFSET([1]characters!$A$1,0,0,COUNTA([1]characters!$A:$A),MATCH(E$1,[1]characters!$1:$1,0)-MATCH($C$1,[1]characters!$1:$1,0)+1),MATCH(E$1,[1]characters!$1:$1,0)-MATCH($C$1,[1]characters!$1:$1,0)+1,FALSE)</f>
        <v>5</v>
      </c>
      <c r="F74" s="53" t="str">
        <f ca="1">VLOOKUP($C74,OFFSET([1]characters!$A$1,0,0,COUNTA([1]characters!$A:$A),MATCH(F$1,[1]characters!$1:$1,0)-MATCH($C$1,[1]characters!$1:$1,0)+1),MATCH(F$1,[1]characters!$1:$1,0)-MATCH($C$1,[1]characters!$1:$1,0)+1,FALSE)</f>
        <v>DropWizS</v>
      </c>
      <c r="G74" s="194">
        <v>1588</v>
      </c>
      <c r="H74" s="53" t="str">
        <f ca="1">VLOOKUP($G74,OFFSET([1]characters!$A$1,0,0,COUNTA([1]characters!$A:$A),MATCH(H$1,[1]characters!$1:$1,0)-MATCH($C$1,[1]characters!$1:$1,0)+1),MATCH(H$1,[1]characters!$1:$1,0)-MATCH($C$1,[1]characters!$1:$1,0)+1,FALSE)</f>
        <v>Virgo02</v>
      </c>
      <c r="I74" s="193">
        <v>1584</v>
      </c>
      <c r="J74" s="53" t="str">
        <f ca="1">VLOOKUP($I74,OFFSET([1]characters!$A$1,0,0,COUNTA([1]characters!$A:$A),MATCH(J$1,[1]characters!$1:$1,0)-MATCH($C$1,[1]characters!$1:$1,0)+1),MATCH(J$1,[1]characters!$1:$1,0)-MATCH($C$1,[1]characters!$1:$1,0)+1,FALSE)</f>
        <v>Sirius01</v>
      </c>
      <c r="K74" s="191">
        <v>1</v>
      </c>
      <c r="L74" s="191">
        <v>3</v>
      </c>
      <c r="M74" s="192">
        <v>100</v>
      </c>
      <c r="N74"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A2" sqref="A2:XFD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302</v>
      </c>
      <c r="B1" s="115" t="s">
        <v>303</v>
      </c>
      <c r="C1" s="116" t="s">
        <v>304</v>
      </c>
      <c r="D1" s="117" t="s">
        <v>305</v>
      </c>
      <c r="E1" s="117" t="s">
        <v>306</v>
      </c>
      <c r="F1" s="117" t="s">
        <v>307</v>
      </c>
      <c r="G1" s="117" t="s">
        <v>308</v>
      </c>
      <c r="H1" s="117" t="s">
        <v>309</v>
      </c>
      <c r="I1" s="173" t="s">
        <v>310</v>
      </c>
      <c r="J1" s="117" t="s">
        <v>344</v>
      </c>
      <c r="K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5"/>
  <sheetViews>
    <sheetView workbookViewId="0">
      <selection activeCell="C21" sqref="C21"/>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1552</v>
      </c>
      <c r="B2" s="172" t="str">
        <f>VLOOKUP(A2,[1]characters!$A:$C,3)</f>
        <v>Leo02</v>
      </c>
      <c r="C2" s="195">
        <v>1</v>
      </c>
      <c r="D2" s="195">
        <v>109</v>
      </c>
      <c r="E2" s="173" t="str">
        <f>IF(ISERROR(VLOOKUP(D2,[4]abilities!A:D,3,FALSE))=FALSE,VLOOKUP(D2,[4]abilities!A:D,3),IF(ISERROR(VLOOKUP(D2,abilities!A:D,3,FALSE))=FALSE,VLOOKUP(D2,abilities!A:D,3),"なし"))</f>
        <v>ダメージパネルブレイク</v>
      </c>
      <c r="F2" s="173" t="str">
        <f>IF(ISERROR(VLOOKUP(D2,[4]abilities!A:D,4,FALSE))=FALSE,VLOOKUP(D2,[4]abilities!A:D,4),IF(ISERROR(VLOOKUP(D2,abilities!A:D,4,FALSE))=FALSE,VLOOKUP(D2,abilities!A:D,4),"なし"))</f>
        <v>自身が先頭の時、ダメージを受けずにダメージパネルを破壊できる</v>
      </c>
      <c r="G2" s="174" t="s">
        <v>274</v>
      </c>
      <c r="H2" s="196" t="s">
        <v>354</v>
      </c>
    </row>
    <row r="3" spans="1:8" s="4" customFormat="1" ht="21" customHeight="1" x14ac:dyDescent="0.15">
      <c r="A3" s="169">
        <v>1552</v>
      </c>
      <c r="B3" s="172" t="str">
        <f>VLOOKUP(A3,[1]characters!$A:$C,3)</f>
        <v>Leo02</v>
      </c>
      <c r="C3" s="195">
        <v>2</v>
      </c>
      <c r="D3" s="195">
        <v>836</v>
      </c>
      <c r="E3" s="173" t="str">
        <f>IF(ISERROR(VLOOKUP(D3,[4]abilities!A:D,3,FALSE))=FALSE,VLOOKUP(D3,[4]abilities!A:D,3),IF(ISERROR(VLOOKUP(D3,abilities!A:D,3,FALSE))=FALSE,VLOOKUP(D3,abilities!A:D,3),"なし"))</f>
        <v>ボムパネルブレイク15 タップ回数UP</v>
      </c>
      <c r="F3" s="173" t="str">
        <f>IF(ISERROR(VLOOKUP(D3,[4]abilities!A:D,4,FALSE))=FALSE,VLOOKUP(D3,[4]abilities!A:D,4),IF(ISERROR(VLOOKUP(D3,abilities!A:D,4,FALSE))=FALSE,VLOOKUP(D3,abilities!A:D,4),"なし"))</f>
        <v>自身が先頭の時、1ターンの間に合計15個以上ボムパネルを破壊した場合にタップ回数を1回増加</v>
      </c>
      <c r="G3" s="174" t="s">
        <v>274</v>
      </c>
      <c r="H3" s="196" t="s">
        <v>354</v>
      </c>
    </row>
    <row r="4" spans="1:8" s="4" customFormat="1" ht="21" customHeight="1" x14ac:dyDescent="0.15">
      <c r="A4" s="169">
        <v>1552</v>
      </c>
      <c r="B4" s="172" t="str">
        <f>VLOOKUP(A4,[1]characters!$A:$C,3)</f>
        <v>Leo02</v>
      </c>
      <c r="C4" s="195">
        <v>3</v>
      </c>
      <c r="D4" s="195">
        <v>342</v>
      </c>
      <c r="E4" s="173" t="str">
        <f>IF(ISERROR(VLOOKUP(D4,[4]abilities!A:D,3,FALSE))=FALSE,VLOOKUP(D4,[4]abilities!A:D,3),IF(ISERROR(VLOOKUP(D4,abilities!A:D,3,FALSE))=FALSE,VLOOKUP(D4,abilities!A:D,3),"なし"))</f>
        <v>対八神チーム ダメージUP</v>
      </c>
      <c r="F4" s="173" t="str">
        <f>IF(ISERROR(VLOOKUP(D4,[4]abilities!A:D,4,FALSE))=FALSE,VLOOKUP(D4,[4]abilities!A:D,4),IF(ISERROR(VLOOKUP(D4,abilities!A:D,4,FALSE))=FALSE,VLOOKUP(D4,abilities!A:D,4),"なし"))</f>
        <v>庵襲来内のマチュア、バイス、庵に対してダメージUP</v>
      </c>
      <c r="G4" s="174" t="s">
        <v>274</v>
      </c>
      <c r="H4" s="196" t="s">
        <v>354</v>
      </c>
    </row>
    <row r="5" spans="1:8" s="4" customFormat="1" ht="21" customHeight="1" x14ac:dyDescent="0.15">
      <c r="A5" s="169">
        <v>1554</v>
      </c>
      <c r="B5" s="172" t="str">
        <f>VLOOKUP(A5,[1]characters!$A:$C,3)</f>
        <v>Andromeda02</v>
      </c>
      <c r="C5" s="195">
        <v>1</v>
      </c>
      <c r="D5" s="195">
        <v>103</v>
      </c>
      <c r="E5" s="173" t="str">
        <f>IF(ISERROR(VLOOKUP(D5,[4]abilities!A:D,3,FALSE))=FALSE,VLOOKUP(D5,[4]abilities!A:D,3),IF(ISERROR(VLOOKUP(D5,abilities!A:D,3,FALSE))=FALSE,VLOOKUP(D5,abilities!A:D,3),"なし"))</f>
        <v>お邪魔ブレイク</v>
      </c>
      <c r="F5" s="173" t="str">
        <f>IF(ISERROR(VLOOKUP(D5,[4]abilities!A:D,4,FALSE))=FALSE,VLOOKUP(D5,[4]abilities!A:D,4),IF(ISERROR(VLOOKUP(D5,abilities!A:D,4,FALSE))=FALSE,VLOOKUP(D5,abilities!A:D,4),"なし"))</f>
        <v>自身が先頭の時、お邪魔パネルを破壊できる</v>
      </c>
      <c r="G5" s="174" t="s">
        <v>274</v>
      </c>
      <c r="H5" s="196" t="s">
        <v>354</v>
      </c>
    </row>
    <row r="6" spans="1:8" s="4" customFormat="1" ht="21" customHeight="1" x14ac:dyDescent="0.15">
      <c r="A6" s="169">
        <v>1562</v>
      </c>
      <c r="B6" s="172" t="str">
        <f>VLOOKUP(A6,[1]characters!$A:$C,3)</f>
        <v>Sagittarius02</v>
      </c>
      <c r="C6" s="195">
        <v>1</v>
      </c>
      <c r="D6" s="195">
        <v>109</v>
      </c>
      <c r="E6" s="173" t="str">
        <f>IF(ISERROR(VLOOKUP(D6,[4]abilities!A:D,3,FALSE))=FALSE,VLOOKUP(D6,[4]abilities!A:D,3),IF(ISERROR(VLOOKUP(D6,abilities!A:D,3,FALSE))=FALSE,VLOOKUP(D6,abilities!A:D,3),"なし"))</f>
        <v>ダメージパネルブレイク</v>
      </c>
      <c r="F6" s="173" t="str">
        <f>IF(ISERROR(VLOOKUP(D6,[4]abilities!A:D,4,FALSE))=FALSE,VLOOKUP(D6,[4]abilities!A:D,4),IF(ISERROR(VLOOKUP(D6,abilities!A:D,4,FALSE))=FALSE,VLOOKUP(D6,abilities!A:D,4),"なし"))</f>
        <v>自身が先頭の時、ダメージを受けずにダメージパネルを破壊できる</v>
      </c>
      <c r="G6" s="174" t="s">
        <v>274</v>
      </c>
      <c r="H6" s="196" t="s">
        <v>354</v>
      </c>
    </row>
    <row r="7" spans="1:8" s="4" customFormat="1" ht="21" customHeight="1" x14ac:dyDescent="0.15">
      <c r="A7" s="169">
        <v>1564</v>
      </c>
      <c r="B7" s="172" t="str">
        <f>VLOOKUP(A7,[1]characters!$A:$C,3)</f>
        <v>Cassiopeia02</v>
      </c>
      <c r="C7" s="195">
        <v>1</v>
      </c>
      <c r="D7" s="195">
        <v>100</v>
      </c>
      <c r="E7" s="173" t="str">
        <f>IF(ISERROR(VLOOKUP(D7,[4]abilities!A:D,3,FALSE))=FALSE,VLOOKUP(D7,[4]abilities!A:D,3),IF(ISERROR(VLOOKUP(D7,abilities!A:D,3,FALSE))=FALSE,VLOOKUP(D7,abilities!A:D,3),"なし"))</f>
        <v>プロテクトブレイク</v>
      </c>
      <c r="F7" s="173" t="str">
        <f>IF(ISERROR(VLOOKUP(D7,[4]abilities!A:D,4,FALSE))=FALSE,VLOOKUP(D7,[4]abilities!A:D,4),IF(ISERROR(VLOOKUP(D7,abilities!A:D,4,FALSE))=FALSE,VLOOKUP(D7,abilities!A:D,4),"なし"))</f>
        <v>自身が先頭の時、プロテクトを無視してパネル破壊できる</v>
      </c>
      <c r="G7" s="174" t="s">
        <v>274</v>
      </c>
      <c r="H7" s="196" t="s">
        <v>354</v>
      </c>
    </row>
    <row r="8" spans="1:8" s="4" customFormat="1" ht="21" customHeight="1" x14ac:dyDescent="0.15">
      <c r="A8" s="169">
        <v>1557</v>
      </c>
      <c r="B8" s="172" t="str">
        <f>VLOOKUP(A8,[1]characters!$A:$C,3)</f>
        <v>Capricornus02</v>
      </c>
      <c r="C8" s="195">
        <v>1</v>
      </c>
      <c r="D8" s="195">
        <v>109</v>
      </c>
      <c r="E8" s="173" t="str">
        <f>IF(ISERROR(VLOOKUP(D8,[4]abilities!A:D,3,FALSE))=FALSE,VLOOKUP(D8,[4]abilities!A:D,3),IF(ISERROR(VLOOKUP(D8,abilities!A:D,3,FALSE))=FALSE,VLOOKUP(D8,abilities!A:D,3),"なし"))</f>
        <v>ダメージパネルブレイク</v>
      </c>
      <c r="F8" s="173" t="str">
        <f>IF(ISERROR(VLOOKUP(D8,[4]abilities!A:D,4,FALSE))=FALSE,VLOOKUP(D8,[4]abilities!A:D,4),IF(ISERROR(VLOOKUP(D8,abilities!A:D,4,FALSE))=FALSE,VLOOKUP(D8,abilities!A:D,4),"なし"))</f>
        <v>自身が先頭の時、ダメージを受けずにダメージパネルを破壊できる</v>
      </c>
      <c r="G8" s="174" t="s">
        <v>274</v>
      </c>
      <c r="H8" s="196" t="s">
        <v>354</v>
      </c>
    </row>
    <row r="9" spans="1:8" s="4" customFormat="1" ht="21" customHeight="1" x14ac:dyDescent="0.15">
      <c r="A9" s="169">
        <v>1559</v>
      </c>
      <c r="B9" s="172" t="str">
        <f>VLOOKUP(A9,[1]characters!$A:$C,3)</f>
        <v>Aries02</v>
      </c>
      <c r="C9" s="195">
        <v>1</v>
      </c>
      <c r="D9" s="195">
        <v>100</v>
      </c>
      <c r="E9" s="173" t="str">
        <f>IF(ISERROR(VLOOKUP(D9,[4]abilities!A:D,3,FALSE))=FALSE,VLOOKUP(D9,[4]abilities!A:D,3),IF(ISERROR(VLOOKUP(D9,abilities!A:D,3,FALSE))=FALSE,VLOOKUP(D9,abilities!A:D,3),"なし"))</f>
        <v>プロテクトブレイク</v>
      </c>
      <c r="F9" s="173" t="str">
        <f>IF(ISERROR(VLOOKUP(D9,[4]abilities!A:D,4,FALSE))=FALSE,VLOOKUP(D9,[4]abilities!A:D,4),IF(ISERROR(VLOOKUP(D9,abilities!A:D,4,FALSE))=FALSE,VLOOKUP(D9,abilities!A:D,4),"なし"))</f>
        <v>自身が先頭の時、プロテクトを無視してパネル破壊できる</v>
      </c>
      <c r="G9" s="174" t="s">
        <v>274</v>
      </c>
      <c r="H9" s="196" t="s">
        <v>354</v>
      </c>
    </row>
    <row r="10" spans="1:8" s="4" customFormat="1" ht="21" customHeight="1" x14ac:dyDescent="0.15">
      <c r="A10" s="169">
        <v>1567</v>
      </c>
      <c r="B10" s="172" t="str">
        <f>VLOOKUP(A10,[1]characters!$A:$C,3)</f>
        <v>Phoenix02</v>
      </c>
      <c r="C10" s="195">
        <v>1</v>
      </c>
      <c r="D10" s="195">
        <v>109</v>
      </c>
      <c r="E10" s="173" t="str">
        <f>IF(ISERROR(VLOOKUP(D10,[4]abilities!A:D,3,FALSE))=FALSE,VLOOKUP(D10,[4]abilities!A:D,3),IF(ISERROR(VLOOKUP(D10,abilities!A:D,3,FALSE))=FALSE,VLOOKUP(D10,abilities!A:D,3),"なし"))</f>
        <v>ダメージパネルブレイク</v>
      </c>
      <c r="F10" s="173" t="str">
        <f>IF(ISERROR(VLOOKUP(D10,[4]abilities!A:D,4,FALSE))=FALSE,VLOOKUP(D10,[4]abilities!A:D,4),IF(ISERROR(VLOOKUP(D10,abilities!A:D,4,FALSE))=FALSE,VLOOKUP(D10,abilities!A:D,4),"なし"))</f>
        <v>自身が先頭の時、ダメージを受けずにダメージパネルを破壊できる</v>
      </c>
      <c r="G10" s="174" t="s">
        <v>274</v>
      </c>
      <c r="H10" s="196" t="s">
        <v>354</v>
      </c>
    </row>
    <row r="11" spans="1:8" s="4" customFormat="1" ht="21" customHeight="1" x14ac:dyDescent="0.15">
      <c r="A11" s="169">
        <v>1567</v>
      </c>
      <c r="B11" s="172" t="str">
        <f>VLOOKUP(A11,[1]characters!$A:$C,3)</f>
        <v>Phoenix02</v>
      </c>
      <c r="C11" s="195">
        <v>2</v>
      </c>
      <c r="D11" s="195">
        <v>1800</v>
      </c>
      <c r="E11" s="173" t="str">
        <f>IF(ISERROR(VLOOKUP(D11,[4]abilities!A:D,3,FALSE))=FALSE,VLOOKUP(D11,[4]abilities!A:D,3),IF(ISERROR(VLOOKUP(D11,abilities!A:D,3,FALSE))=FALSE,VLOOKUP(D11,abilities!A:D,3),"なし"))</f>
        <v>フィーバー強化</v>
      </c>
      <c r="F11" s="173" t="str">
        <f>IF(ISERROR(VLOOKUP(D11,[4]abilities!A:D,4,FALSE))=FALSE,VLOOKUP(D11,[4]abilities!A:D,4),IF(ISERROR(VLOOKUP(D11,abilities!A:D,4,FALSE))=FALSE,VLOOKUP(D11,abilities!A:D,4),"なし"))</f>
        <v>フィーバー時自身の攻撃力、回復力を特大UP</v>
      </c>
      <c r="G11" s="174" t="s">
        <v>274</v>
      </c>
      <c r="H11" s="196" t="s">
        <v>354</v>
      </c>
    </row>
    <row r="12" spans="1:8" s="4" customFormat="1" ht="21" customHeight="1" x14ac:dyDescent="0.15">
      <c r="A12" s="169">
        <v>1567</v>
      </c>
      <c r="B12" s="172" t="str">
        <f>VLOOKUP(A12,[1]characters!$A:$C,3)</f>
        <v>Phoenix02</v>
      </c>
      <c r="C12" s="195">
        <v>3</v>
      </c>
      <c r="D12" s="195">
        <v>342</v>
      </c>
      <c r="E12" s="173" t="str">
        <f>IF(ISERROR(VLOOKUP(D12,[4]abilities!A:D,3,FALSE))=FALSE,VLOOKUP(D12,[4]abilities!A:D,3),IF(ISERROR(VLOOKUP(D12,abilities!A:D,3,FALSE))=FALSE,VLOOKUP(D12,abilities!A:D,3),"なし"))</f>
        <v>対八神チーム ダメージUP</v>
      </c>
      <c r="F12" s="173" t="str">
        <f>IF(ISERROR(VLOOKUP(D12,[4]abilities!A:D,4,FALSE))=FALSE,VLOOKUP(D12,[4]abilities!A:D,4),IF(ISERROR(VLOOKUP(D12,abilities!A:D,4,FALSE))=FALSE,VLOOKUP(D12,abilities!A:D,4),"なし"))</f>
        <v>庵襲来内のマチュア、バイス、庵に対してダメージUP</v>
      </c>
      <c r="G12" s="174" t="s">
        <v>274</v>
      </c>
      <c r="H12" s="196" t="s">
        <v>354</v>
      </c>
    </row>
    <row r="13" spans="1:8" s="4" customFormat="1" ht="21" customHeight="1" x14ac:dyDescent="0.15">
      <c r="A13" s="169">
        <v>1569</v>
      </c>
      <c r="B13" s="172" t="str">
        <f>VLOOKUP(A13,[1]characters!$A:$C,3)</f>
        <v>Orion02</v>
      </c>
      <c r="C13" s="195">
        <v>1</v>
      </c>
      <c r="D13" s="195">
        <v>109</v>
      </c>
      <c r="E13" s="173" t="str">
        <f>IF(ISERROR(VLOOKUP(D13,[4]abilities!A:D,3,FALSE))=FALSE,VLOOKUP(D13,[4]abilities!A:D,3),IF(ISERROR(VLOOKUP(D13,abilities!A:D,3,FALSE))=FALSE,VLOOKUP(D13,abilities!A:D,3),"なし"))</f>
        <v>ダメージパネルブレイク</v>
      </c>
      <c r="F13" s="173" t="str">
        <f>IF(ISERROR(VLOOKUP(D13,[4]abilities!A:D,4,FALSE))=FALSE,VLOOKUP(D13,[4]abilities!A:D,4),IF(ISERROR(VLOOKUP(D13,abilities!A:D,4,FALSE))=FALSE,VLOOKUP(D13,abilities!A:D,4),"なし"))</f>
        <v>自身が先頭の時、ダメージを受けずにダメージパネルを破壊できる</v>
      </c>
      <c r="G13" s="174" t="s">
        <v>274</v>
      </c>
      <c r="H13" s="196" t="s">
        <v>354</v>
      </c>
    </row>
    <row r="14" spans="1:8" s="4" customFormat="1" ht="21" customHeight="1" x14ac:dyDescent="0.15">
      <c r="A14" s="169">
        <v>1572</v>
      </c>
      <c r="B14" s="172" t="str">
        <f>VLOOKUP(A14,[1]characters!$A:$C,3)</f>
        <v>Lupus02</v>
      </c>
      <c r="C14" s="195">
        <v>1</v>
      </c>
      <c r="D14" s="195">
        <v>109</v>
      </c>
      <c r="E14" s="173" t="str">
        <f>IF(ISERROR(VLOOKUP(D14,[4]abilities!A:D,3,FALSE))=FALSE,VLOOKUP(D14,[4]abilities!A:D,3),IF(ISERROR(VLOOKUP(D14,abilities!A:D,3,FALSE))=FALSE,VLOOKUP(D14,abilities!A:D,3),"なし"))</f>
        <v>ダメージパネルブレイク</v>
      </c>
      <c r="F14" s="173" t="str">
        <f>IF(ISERROR(VLOOKUP(D14,[4]abilities!A:D,4,FALSE))=FALSE,VLOOKUP(D14,[4]abilities!A:D,4),IF(ISERROR(VLOOKUP(D14,abilities!A:D,4,FALSE))=FALSE,VLOOKUP(D14,abilities!A:D,4),"なし"))</f>
        <v>自身が先頭の時、ダメージを受けずにダメージパネルを破壊できる</v>
      </c>
      <c r="G14" s="174" t="s">
        <v>274</v>
      </c>
      <c r="H14" s="196" t="s">
        <v>354</v>
      </c>
    </row>
    <row r="15" spans="1:8" s="4" customFormat="1" ht="21" customHeight="1" x14ac:dyDescent="0.15">
      <c r="A15" s="169">
        <v>1572</v>
      </c>
      <c r="B15" s="172" t="str">
        <f>VLOOKUP(A15,[1]characters!$A:$C,3)</f>
        <v>Lupus02</v>
      </c>
      <c r="C15" s="195">
        <v>2</v>
      </c>
      <c r="D15" s="195">
        <v>1000</v>
      </c>
      <c r="E15" s="173" t="str">
        <f>IF(ISERROR(VLOOKUP(D15,[4]abilities!A:D,3,FALSE))=FALSE,VLOOKUP(D15,[4]abilities!A:D,3),IF(ISERROR(VLOOKUP(D15,abilities!A:D,3,FALSE))=FALSE,VLOOKUP(D15,abilities!A:D,3),"なし"))</f>
        <v>2種族カウンター</v>
      </c>
      <c r="F15" s="173" t="str">
        <f>IF(ISERROR(VLOOKUP(D15,[4]abilities!A:D,4,FALSE))=FALSE,VLOOKUP(D15,[4]abilities!A:D,4),IF(ISERROR(VLOOKUP(D15,abilities!A:D,4,FALSE))=FALSE,VLOOKUP(D15,abilities!A:D,4),"なし"))</f>
        <v>敵に種族ヒューマン・ゴッドがいる場合、自身に超大カウンター</v>
      </c>
      <c r="G15" s="174" t="s">
        <v>274</v>
      </c>
      <c r="H15" s="196" t="s">
        <v>423</v>
      </c>
    </row>
    <row r="16" spans="1:8" s="4" customFormat="1" ht="21" customHeight="1" x14ac:dyDescent="0.15">
      <c r="A16" s="169">
        <v>1576</v>
      </c>
      <c r="B16" s="172" t="str">
        <f>VLOOKUP(A16,[1]characters!$A:$C,3)</f>
        <v>Aquarius02</v>
      </c>
      <c r="C16" s="195">
        <v>1</v>
      </c>
      <c r="D16" s="195">
        <v>100</v>
      </c>
      <c r="E16" s="173" t="str">
        <f>IF(ISERROR(VLOOKUP(D16,[4]abilities!A:D,3,FALSE))=FALSE,VLOOKUP(D16,[4]abilities!A:D,3),IF(ISERROR(VLOOKUP(D16,abilities!A:D,3,FALSE))=FALSE,VLOOKUP(D16,abilities!A:D,3),"なし"))</f>
        <v>プロテクトブレイク</v>
      </c>
      <c r="F16" s="173" t="str">
        <f>IF(ISERROR(VLOOKUP(D16,[4]abilities!A:D,4,FALSE))=FALSE,VLOOKUP(D16,[4]abilities!A:D,4),IF(ISERROR(VLOOKUP(D16,abilities!A:D,4,FALSE))=FALSE,VLOOKUP(D16,abilities!A:D,4),"なし"))</f>
        <v>自身が先頭の時、プロテクトを無視してパネル破壊できる</v>
      </c>
      <c r="G16" s="174" t="s">
        <v>274</v>
      </c>
      <c r="H16" s="196" t="s">
        <v>354</v>
      </c>
    </row>
    <row r="17" spans="1:8" s="4" customFormat="1" ht="21" customHeight="1" x14ac:dyDescent="0.15">
      <c r="A17" s="169">
        <v>1576</v>
      </c>
      <c r="B17" s="172" t="str">
        <f>VLOOKUP(A17,[1]characters!$A:$C,3)</f>
        <v>Aquarius02</v>
      </c>
      <c r="C17" s="195">
        <v>2</v>
      </c>
      <c r="D17" s="195">
        <v>832</v>
      </c>
      <c r="E17" s="173" t="str">
        <f>IF(ISERROR(VLOOKUP(D17,[4]abilities!A:D,3,FALSE))=FALSE,VLOOKUP(D17,[4]abilities!A:D,3),IF(ISERROR(VLOOKUP(D17,abilities!A:D,3,FALSE))=FALSE,VLOOKUP(D17,abilities!A:D,3),"なし"))</f>
        <v>パネルブレイク30 2種族攻撃力UP</v>
      </c>
      <c r="F17" s="173" t="str">
        <f>IF(ISERROR(VLOOKUP(D17,[4]abilities!A:D,4,FALSE))=FALSE,VLOOKUP(D17,[4]abilities!A:D,4),IF(ISERROR(VLOOKUP(D17,abilities!A:D,4,FALSE))=FALSE,VLOOKUP(D17,abilities!A:D,4),"なし"))</f>
        <v>自身が先頭の時、1ターンの間に合計30個以上パネルを破壊した場合に種族ヒューマン・ヒーローの攻撃力UP</v>
      </c>
      <c r="G17" s="174" t="s">
        <v>274</v>
      </c>
      <c r="H17" s="196" t="s">
        <v>355</v>
      </c>
    </row>
    <row r="18" spans="1:8" s="4" customFormat="1" ht="21" customHeight="1" x14ac:dyDescent="0.15">
      <c r="A18" s="169">
        <v>1582</v>
      </c>
      <c r="B18" s="172" t="str">
        <f>VLOOKUP(A18,[1]characters!$A:$C,3)</f>
        <v>Gemini02</v>
      </c>
      <c r="C18" s="195">
        <v>1</v>
      </c>
      <c r="D18" s="195">
        <v>109</v>
      </c>
      <c r="E18" s="173" t="str">
        <f>IF(ISERROR(VLOOKUP(D18,[4]abilities!A:D,3,FALSE))=FALSE,VLOOKUP(D18,[4]abilities!A:D,3),IF(ISERROR(VLOOKUP(D18,abilities!A:D,3,FALSE))=FALSE,VLOOKUP(D18,abilities!A:D,3),"なし"))</f>
        <v>ダメージパネルブレイク</v>
      </c>
      <c r="F18" s="173" t="str">
        <f>IF(ISERROR(VLOOKUP(D18,[4]abilities!A:D,4,FALSE))=FALSE,VLOOKUP(D18,[4]abilities!A:D,4),IF(ISERROR(VLOOKUP(D18,abilities!A:D,4,FALSE))=FALSE,VLOOKUP(D18,abilities!A:D,4),"なし"))</f>
        <v>自身が先頭の時、ダメージを受けずにダメージパネルを破壊できる</v>
      </c>
      <c r="G18" s="174" t="s">
        <v>274</v>
      </c>
      <c r="H18" s="196" t="s">
        <v>354</v>
      </c>
    </row>
    <row r="19" spans="1:8" s="4" customFormat="1" ht="21" customHeight="1" x14ac:dyDescent="0.15">
      <c r="A19" s="169">
        <v>1582</v>
      </c>
      <c r="B19" s="172" t="str">
        <f>VLOOKUP(A19,[1]characters!$A:$C,3)</f>
        <v>Gemini02</v>
      </c>
      <c r="C19" s="195">
        <v>2</v>
      </c>
      <c r="D19" s="195">
        <v>833</v>
      </c>
      <c r="E19" s="173" t="str">
        <f>IF(ISERROR(VLOOKUP(D19,[4]abilities!A:D,3,FALSE))=FALSE,VLOOKUP(D19,[4]abilities!A:D,3),IF(ISERROR(VLOOKUP(D19,abilities!A:D,3,FALSE))=FALSE,VLOOKUP(D19,abilities!A:D,3),"なし"))</f>
        <v>ボムブレイク12 HP回復</v>
      </c>
      <c r="F19" s="173" t="str">
        <f>IF(ISERROR(VLOOKUP(D19,[4]abilities!A:D,4,FALSE))=FALSE,VLOOKUP(D19,[4]abilities!A:D,4),IF(ISERROR(VLOOKUP(D19,abilities!A:D,4,FALSE))=FALSE,VLOOKUP(D19,abilities!A:D,4),"なし"))</f>
        <v>自身または味方が1ターンの間に合計12個以上ボムパネルを破壊した場合にHP1200回復</v>
      </c>
      <c r="G19" s="174" t="s">
        <v>274</v>
      </c>
      <c r="H19" s="196" t="s">
        <v>355</v>
      </c>
    </row>
    <row r="20" spans="1:8" s="4" customFormat="1" ht="21" customHeight="1" x14ac:dyDescent="0.15">
      <c r="A20" s="169">
        <v>1583</v>
      </c>
      <c r="B20" s="172" t="str">
        <f>VLOOKUP(A20,[1]characters!$A:$C,3)</f>
        <v>Corvus01</v>
      </c>
      <c r="C20" s="195">
        <v>1</v>
      </c>
      <c r="D20" s="195">
        <v>109</v>
      </c>
      <c r="E20" s="173" t="str">
        <f>IF(ISERROR(VLOOKUP(D20,[4]abilities!A:D,3,FALSE))=FALSE,VLOOKUP(D20,[4]abilities!A:D,3),IF(ISERROR(VLOOKUP(D20,abilities!A:D,3,FALSE))=FALSE,VLOOKUP(D20,abilities!A:D,3),"なし"))</f>
        <v>ダメージパネルブレイク</v>
      </c>
      <c r="F20" s="173" t="str">
        <f>IF(ISERROR(VLOOKUP(D20,[4]abilities!A:D,4,FALSE))=FALSE,VLOOKUP(D20,[4]abilities!A:D,4),IF(ISERROR(VLOOKUP(D20,abilities!A:D,4,FALSE))=FALSE,VLOOKUP(D20,abilities!A:D,4),"なし"))</f>
        <v>自身が先頭の時、ダメージを受けずにダメージパネルを破壊できる</v>
      </c>
      <c r="G20" s="174" t="s">
        <v>274</v>
      </c>
      <c r="H20" s="196" t="s">
        <v>354</v>
      </c>
    </row>
    <row r="21" spans="1:8" s="4" customFormat="1" ht="21" customHeight="1" x14ac:dyDescent="0.15">
      <c r="A21" s="169">
        <v>1583</v>
      </c>
      <c r="B21" s="172" t="str">
        <f>VLOOKUP(A21,[1]characters!$A:$C,3)</f>
        <v>Corvus01</v>
      </c>
      <c r="C21" s="195">
        <v>2</v>
      </c>
      <c r="D21" s="195">
        <v>2514</v>
      </c>
      <c r="E21" s="173" t="str">
        <f>IF(ISERROR(VLOOKUP(D21,[4]abilities!A:D,3,FALSE))=FALSE,VLOOKUP(D21,[4]abilities!A:D,3),IF(ISERROR(VLOOKUP(D21,abilities!A:D,3,FALSE))=FALSE,VLOOKUP(D21,abilities!A:D,3),"なし"))</f>
        <v>赤ボムパネルドロップ</v>
      </c>
      <c r="F21" s="173" t="str">
        <f>IF(ISERROR(VLOOKUP(D21,[4]abilities!A:D,4,FALSE))=FALSE,VLOOKUP(D21,[4]abilities!A:D,4),IF(ISERROR(VLOOKUP(D21,abilities!A:D,4,FALSE))=FALSE,VLOOKUP(D21,abilities!A:D,4),"なし"))</f>
        <v>自身が先頭の時、青パネルを低確率で赤ボムパネルに変換しドロップ</v>
      </c>
      <c r="G21" s="174" t="s">
        <v>274</v>
      </c>
      <c r="H21" s="196" t="s">
        <v>355</v>
      </c>
    </row>
    <row r="22" spans="1:8" s="4" customFormat="1" ht="21" customHeight="1" x14ac:dyDescent="0.15">
      <c r="A22" s="169">
        <v>1580</v>
      </c>
      <c r="B22" s="172" t="str">
        <f>VLOOKUP(A22,[1]characters!$A:$C,3)</f>
        <v>Lyra02</v>
      </c>
      <c r="C22" s="195">
        <v>1</v>
      </c>
      <c r="D22" s="195">
        <v>109</v>
      </c>
      <c r="E22" s="173" t="str">
        <f>IF(ISERROR(VLOOKUP(D22,[4]abilities!A:D,3,FALSE))=FALSE,VLOOKUP(D22,[4]abilities!A:D,3),IF(ISERROR(VLOOKUP(D22,abilities!A:D,3,FALSE))=FALSE,VLOOKUP(D22,abilities!A:D,3),"なし"))</f>
        <v>ダメージパネルブレイク</v>
      </c>
      <c r="F22" s="173" t="str">
        <f>IF(ISERROR(VLOOKUP(D22,[4]abilities!A:D,4,FALSE))=FALSE,VLOOKUP(D22,[4]abilities!A:D,4),IF(ISERROR(VLOOKUP(D22,abilities!A:D,4,FALSE))=FALSE,VLOOKUP(D22,abilities!A:D,4),"なし"))</f>
        <v>自身が先頭の時、ダメージを受けずにダメージパネルを破壊できる</v>
      </c>
      <c r="G22" s="174" t="s">
        <v>274</v>
      </c>
      <c r="H22" s="196" t="s">
        <v>354</v>
      </c>
    </row>
    <row r="23" spans="1:8" s="4" customFormat="1" ht="21" customHeight="1" x14ac:dyDescent="0.15">
      <c r="A23" s="169">
        <v>1586</v>
      </c>
      <c r="B23" s="172" t="str">
        <f>VLOOKUP(A23,[1]characters!$A:$C,3)</f>
        <v>Sirius03</v>
      </c>
      <c r="C23" s="195">
        <v>1</v>
      </c>
      <c r="D23" s="195">
        <v>103</v>
      </c>
      <c r="E23" s="173" t="str">
        <f>IF(ISERROR(VLOOKUP(D23,[4]abilities!A:D,3,FALSE))=FALSE,VLOOKUP(D23,[4]abilities!A:D,3),IF(ISERROR(VLOOKUP(D23,abilities!A:D,3,FALSE))=FALSE,VLOOKUP(D23,abilities!A:D,3),"なし"))</f>
        <v>お邪魔ブレイク</v>
      </c>
      <c r="F23" s="173" t="str">
        <f>IF(ISERROR(VLOOKUP(D23,[4]abilities!A:D,4,FALSE))=FALSE,VLOOKUP(D23,[4]abilities!A:D,4),IF(ISERROR(VLOOKUP(D23,abilities!A:D,4,FALSE))=FALSE,VLOOKUP(D23,abilities!A:D,4),"なし"))</f>
        <v>自身が先頭の時、お邪魔パネルを破壊できる</v>
      </c>
      <c r="G23" s="174" t="s">
        <v>274</v>
      </c>
      <c r="H23" s="196" t="s">
        <v>354</v>
      </c>
    </row>
    <row r="24" spans="1:8" s="4" customFormat="1" ht="21" customHeight="1" x14ac:dyDescent="0.15">
      <c r="A24" s="169">
        <v>1586</v>
      </c>
      <c r="B24" s="172" t="str">
        <f>VLOOKUP(A24,[1]characters!$A:$C,3)</f>
        <v>Sirius03</v>
      </c>
      <c r="C24" s="195">
        <v>2</v>
      </c>
      <c r="D24" s="195">
        <v>918</v>
      </c>
      <c r="E24" s="173" t="str">
        <f>IF(ISERROR(VLOOKUP(D24,[4]abilities!A:D,3,FALSE))=FALSE,VLOOKUP(D24,[4]abilities!A:D,3),IF(ISERROR(VLOOKUP(D24,abilities!A:D,3,FALSE))=FALSE,VLOOKUP(D24,abilities!A:D,3),"なし"))</f>
        <v>チェイン18 HP回復</v>
      </c>
      <c r="F24" s="173" t="str">
        <f>IF(ISERROR(VLOOKUP(D24,[4]abilities!A:D,4,FALSE))=FALSE,VLOOKUP(D24,[4]abilities!A:D,4),IF(ISERROR(VLOOKUP(D24,abilities!A:D,4,FALSE))=FALSE,VLOOKUP(D24,abilities!A:D,4),"なし"))</f>
        <v>自身が先頭の時、1タップで18個以上パネルを繋げた場合にHPを1500回復(1ターンに1度だけ発動)</v>
      </c>
      <c r="G24" s="174" t="s">
        <v>274</v>
      </c>
      <c r="H24" s="196" t="s">
        <v>355</v>
      </c>
    </row>
    <row r="25" spans="1:8" s="4" customFormat="1" ht="21" customHeight="1" x14ac:dyDescent="0.15">
      <c r="A25" s="169">
        <v>1588</v>
      </c>
      <c r="B25" s="172" t="str">
        <f>VLOOKUP(A25,[1]characters!$A:$C,3)</f>
        <v>Virgo02</v>
      </c>
      <c r="C25" s="195">
        <v>1</v>
      </c>
      <c r="D25" s="195">
        <v>200</v>
      </c>
      <c r="E25" s="173" t="str">
        <f>IF(ISERROR(VLOOKUP(D25,[4]abilities!A:D,3,FALSE))=FALSE,VLOOKUP(D25,[4]abilities!A:D,3),IF(ISERROR(VLOOKUP(D25,abilities!A:D,3,FALSE))=FALSE,VLOOKUP(D25,abilities!A:D,3),"なし"))</f>
        <v>ウィルス無効</v>
      </c>
      <c r="F25" s="173" t="str">
        <f>IF(ISERROR(VLOOKUP(D25,[4]abilities!A:D,4,FALSE))=FALSE,VLOOKUP(D25,[4]abilities!A:D,4),IF(ISERROR(VLOOKUP(D25,abilities!A:D,4,FALSE))=FALSE,VLOOKUP(D25,abilities!A:D,4),"なし"))</f>
        <v>自身にかかるウィルスを無効化する</v>
      </c>
      <c r="G25" s="174" t="s">
        <v>274</v>
      </c>
      <c r="H25" s="196" t="s">
        <v>354</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F15" sqref="F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2017-06-09T07:08:39Z</dcterms:modified>
</cp:coreProperties>
</file>