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2600" yWindow="1700" windowWidth="25880" windowHeight="16160" tabRatio="775" activeTab="6"/>
  </bookViews>
  <sheets>
    <sheet name="output" sheetId="7" r:id="rId1"/>
    <sheet name="floors" sheetId="2" r:id="rId2"/>
    <sheet name="enemy_habitats" sheetId="1" r:id="rId3"/>
    <sheet name="enemy_habitat_S" sheetId="8" r:id="rId4"/>
    <sheet name="調整用" sheetId="12" r:id="rId5"/>
    <sheet name="enemy_skill_sets" sheetId="9" r:id="rId6"/>
    <sheet name="enemy_skills" sheetId="10" r:id="rId7"/>
    <sheet name="enemy_skill_triggers" sheetId="11" r:id="rId8"/>
    <sheet name="bugbonuses" sheetId="13" r:id="rId9"/>
    <sheet name="stage_hints" sheetId="14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enemy_habitat_S!$B$1:$Y$1</definedName>
    <definedName name="_xlnm._FilterDatabase" localSheetId="2" hidden="1">enemy_habitats!$B$1:$AH$1</definedName>
    <definedName name="_xlnm._FilterDatabase" localSheetId="5" hidden="1">enemy_skill_sets!$A$1:$S$1</definedName>
    <definedName name="_xlnm._FilterDatabase" localSheetId="7" hidden="1">enemy_skill_triggers!$A$1:$G$1</definedName>
    <definedName name="_xlnm._FilterDatabase" localSheetId="6" hidden="1">enemy_skills!$A$1:$I$1</definedName>
    <definedName name="_xlnm._FilterDatabase" localSheetId="9" hidden="1">stage_hints!$C$1:$N$2</definedName>
    <definedName name="Excel_BuiltIn__FilterDatabase_6_1" localSheetId="5">[1]unit_skills!#REF!</definedName>
    <definedName name="Excel_BuiltIn__FilterDatabase_6_1" localSheetId="7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0" i="1" l="1"/>
  <c r="AD20" i="1"/>
  <c r="AG20" i="1"/>
  <c r="AE20" i="1"/>
  <c r="AC20" i="1"/>
  <c r="E16" i="9"/>
  <c r="V20" i="1"/>
  <c r="Q20" i="1"/>
  <c r="P20" i="1"/>
  <c r="O20" i="1"/>
  <c r="N20" i="1"/>
  <c r="M20" i="1"/>
  <c r="H20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J20" i="1"/>
  <c r="I20" i="1"/>
  <c r="D20" i="1"/>
  <c r="F20" i="1"/>
  <c r="E20" i="1"/>
  <c r="A20" i="1"/>
  <c r="AB19" i="1"/>
  <c r="AD19" i="1"/>
  <c r="AG19" i="1"/>
  <c r="AE19" i="1"/>
  <c r="AC19" i="1"/>
  <c r="E15" i="9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E14" i="9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E13" i="9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E12" i="9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E11" i="9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K2" i="11"/>
  <c r="P16" i="9"/>
  <c r="J2" i="11"/>
  <c r="O16" i="9"/>
  <c r="N16" i="9"/>
  <c r="M16" i="9"/>
  <c r="L16" i="9"/>
  <c r="K16" i="9"/>
  <c r="J16" i="9"/>
  <c r="I16" i="9"/>
  <c r="H16" i="9"/>
  <c r="G16" i="9"/>
  <c r="D16" i="9"/>
  <c r="A16" i="9"/>
  <c r="P15" i="9"/>
  <c r="O15" i="9"/>
  <c r="N15" i="9"/>
  <c r="M15" i="9"/>
  <c r="L15" i="9"/>
  <c r="K15" i="9"/>
  <c r="J15" i="9"/>
  <c r="I15" i="9"/>
  <c r="H15" i="9"/>
  <c r="G15" i="9"/>
  <c r="D15" i="9"/>
  <c r="A15" i="9"/>
  <c r="P14" i="9"/>
  <c r="O14" i="9"/>
  <c r="N14" i="9"/>
  <c r="M14" i="9"/>
  <c r="L14" i="9"/>
  <c r="K14" i="9"/>
  <c r="J14" i="9"/>
  <c r="I14" i="9"/>
  <c r="H14" i="9"/>
  <c r="G14" i="9"/>
  <c r="D14" i="9"/>
  <c r="A14" i="9"/>
  <c r="P13" i="9"/>
  <c r="O13" i="9"/>
  <c r="N13" i="9"/>
  <c r="M13" i="9"/>
  <c r="L13" i="9"/>
  <c r="K13" i="9"/>
  <c r="J13" i="9"/>
  <c r="I13" i="9"/>
  <c r="H13" i="9"/>
  <c r="G13" i="9"/>
  <c r="D13" i="9"/>
  <c r="A13" i="9"/>
  <c r="P12" i="9"/>
  <c r="O12" i="9"/>
  <c r="N12" i="9"/>
  <c r="M12" i="9"/>
  <c r="L12" i="9"/>
  <c r="K12" i="9"/>
  <c r="J12" i="9"/>
  <c r="I12" i="9"/>
  <c r="H12" i="9"/>
  <c r="G12" i="9"/>
  <c r="D12" i="9"/>
  <c r="A12" i="9"/>
  <c r="P11" i="9"/>
  <c r="O11" i="9"/>
  <c r="N11" i="9"/>
  <c r="M11" i="9"/>
  <c r="L11" i="9"/>
  <c r="K11" i="9"/>
  <c r="J11" i="9"/>
  <c r="I11" i="9"/>
  <c r="H11" i="9"/>
  <c r="G11" i="9"/>
  <c r="D11" i="9"/>
  <c r="A11" i="9"/>
  <c r="V8" i="1"/>
  <c r="E10" i="9"/>
  <c r="V14" i="1"/>
  <c r="E9" i="9"/>
  <c r="V13" i="1"/>
  <c r="E8" i="9"/>
  <c r="V12" i="1"/>
  <c r="E7" i="9"/>
  <c r="V11" i="1"/>
  <c r="E6" i="9"/>
  <c r="V10" i="1"/>
  <c r="E5" i="9"/>
  <c r="V5" i="1"/>
  <c r="E4" i="9"/>
  <c r="V4" i="1"/>
  <c r="E3" i="9"/>
  <c r="V3" i="1"/>
  <c r="E2" i="9"/>
  <c r="V2" i="1"/>
  <c r="AB14" i="1"/>
  <c r="AD14" i="1"/>
  <c r="AG14" i="1"/>
  <c r="AE14" i="1"/>
  <c r="AC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Q11" i="1"/>
  <c r="P11" i="1"/>
  <c r="O11" i="1"/>
  <c r="N11" i="1"/>
  <c r="M11" i="1"/>
  <c r="H11" i="1"/>
  <c r="J11" i="1"/>
  <c r="I11" i="1"/>
  <c r="D11" i="1"/>
  <c r="F11" i="1"/>
  <c r="E11" i="1"/>
  <c r="A11" i="1"/>
  <c r="AB5" i="1"/>
  <c r="AD5" i="1"/>
  <c r="AG5" i="1"/>
  <c r="AE5" i="1"/>
  <c r="AC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H4" i="1"/>
  <c r="J4" i="1"/>
  <c r="I4" i="1"/>
  <c r="D4" i="1"/>
  <c r="F4" i="1"/>
  <c r="E4" i="1"/>
  <c r="A4" i="1"/>
  <c r="P10" i="9"/>
  <c r="O10" i="9"/>
  <c r="N10" i="9"/>
  <c r="M10" i="9"/>
  <c r="L10" i="9"/>
  <c r="K10" i="9"/>
  <c r="J10" i="9"/>
  <c r="I10" i="9"/>
  <c r="H10" i="9"/>
  <c r="G10" i="9"/>
  <c r="D10" i="9"/>
  <c r="A10" i="9"/>
  <c r="P9" i="9"/>
  <c r="J3" i="11"/>
  <c r="O9" i="9"/>
  <c r="N9" i="9"/>
  <c r="M9" i="9"/>
  <c r="L9" i="9"/>
  <c r="K9" i="9"/>
  <c r="J9" i="9"/>
  <c r="I9" i="9"/>
  <c r="H9" i="9"/>
  <c r="G9" i="9"/>
  <c r="D9" i="9"/>
  <c r="A9" i="9"/>
  <c r="P8" i="9"/>
  <c r="O8" i="9"/>
  <c r="N8" i="9"/>
  <c r="M8" i="9"/>
  <c r="L8" i="9"/>
  <c r="K8" i="9"/>
  <c r="J8" i="9"/>
  <c r="I8" i="9"/>
  <c r="H8" i="9"/>
  <c r="G8" i="9"/>
  <c r="D8" i="9"/>
  <c r="A8" i="9"/>
  <c r="P7" i="9"/>
  <c r="O7" i="9"/>
  <c r="N7" i="9"/>
  <c r="M7" i="9"/>
  <c r="L7" i="9"/>
  <c r="K7" i="9"/>
  <c r="J7" i="9"/>
  <c r="I7" i="9"/>
  <c r="H7" i="9"/>
  <c r="G7" i="9"/>
  <c r="D7" i="9"/>
  <c r="A7" i="9"/>
  <c r="P5" i="9"/>
  <c r="O5" i="9"/>
  <c r="N5" i="9"/>
  <c r="M5" i="9"/>
  <c r="L5" i="9"/>
  <c r="K5" i="9"/>
  <c r="J5" i="9"/>
  <c r="I5" i="9"/>
  <c r="H5" i="9"/>
  <c r="G5" i="9"/>
  <c r="D5" i="9"/>
  <c r="A5" i="9"/>
  <c r="P4" i="9"/>
  <c r="O4" i="9"/>
  <c r="N4" i="9"/>
  <c r="M4" i="9"/>
  <c r="L4" i="9"/>
  <c r="K4" i="9"/>
  <c r="J4" i="9"/>
  <c r="I4" i="9"/>
  <c r="H4" i="9"/>
  <c r="G4" i="9"/>
  <c r="D4" i="9"/>
  <c r="A4" i="9"/>
  <c r="J4" i="11"/>
  <c r="P6" i="9"/>
  <c r="O6" i="9"/>
  <c r="N6" i="9"/>
  <c r="M6" i="9"/>
  <c r="L6" i="9"/>
  <c r="K6" i="9"/>
  <c r="J6" i="9"/>
  <c r="I6" i="9"/>
  <c r="H6" i="9"/>
  <c r="G6" i="9"/>
  <c r="D6" i="9"/>
  <c r="A6" i="9"/>
  <c r="P3" i="9"/>
  <c r="O3" i="9"/>
  <c r="N3" i="9"/>
  <c r="M3" i="9"/>
  <c r="L3" i="9"/>
  <c r="K3" i="9"/>
  <c r="J3" i="9"/>
  <c r="I3" i="9"/>
  <c r="H3" i="9"/>
  <c r="G3" i="9"/>
  <c r="D3" i="9"/>
  <c r="A3" i="9"/>
  <c r="P2" i="9"/>
  <c r="O2" i="9"/>
  <c r="N2" i="9"/>
  <c r="M2" i="9"/>
  <c r="L2" i="9"/>
  <c r="K2" i="9"/>
  <c r="J2" i="9"/>
  <c r="I2" i="9"/>
  <c r="H2" i="9"/>
  <c r="G2" i="9"/>
  <c r="D2" i="9"/>
  <c r="A2" i="9"/>
  <c r="AB10" i="1"/>
  <c r="AD10" i="1"/>
  <c r="AG10" i="1"/>
  <c r="AE10" i="1"/>
  <c r="AC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W59" i="1"/>
  <c r="W58" i="1"/>
  <c r="W57" i="1"/>
  <c r="W56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39" i="1"/>
  <c r="W38" i="1"/>
  <c r="W37" i="1"/>
  <c r="W36" i="1"/>
  <c r="W35" i="1"/>
  <c r="W34" i="1"/>
  <c r="W33" i="1"/>
  <c r="W32" i="1"/>
  <c r="W28" i="1"/>
  <c r="W27" i="1"/>
  <c r="W26" i="1"/>
  <c r="W25" i="1"/>
  <c r="W24" i="1"/>
  <c r="W23" i="1"/>
  <c r="W22" i="1"/>
  <c r="AA49" i="1"/>
  <c r="AA48" i="1"/>
  <c r="AA47" i="1"/>
  <c r="AA46" i="1"/>
  <c r="AA45" i="1"/>
  <c r="AA44" i="1"/>
  <c r="AA43" i="1"/>
  <c r="AA42" i="1"/>
  <c r="AA41" i="1"/>
  <c r="AA39" i="1"/>
  <c r="AA38" i="1"/>
  <c r="AA37" i="1"/>
  <c r="AA36" i="1"/>
  <c r="AA35" i="1"/>
  <c r="AA34" i="1"/>
  <c r="AA33" i="1"/>
  <c r="AA32" i="1"/>
  <c r="AA28" i="1"/>
  <c r="AA27" i="1"/>
  <c r="AA26" i="1"/>
  <c r="AA25" i="1"/>
  <c r="AA24" i="1"/>
  <c r="AA23" i="1"/>
  <c r="AA22" i="1"/>
  <c r="H49" i="1"/>
  <c r="J49" i="1"/>
  <c r="I49" i="1"/>
  <c r="H48" i="1"/>
  <c r="J48" i="1"/>
  <c r="I48" i="1"/>
  <c r="H47" i="1"/>
  <c r="J47" i="1"/>
  <c r="I47" i="1"/>
  <c r="H46" i="1"/>
  <c r="J46" i="1"/>
  <c r="I46" i="1"/>
  <c r="H45" i="1"/>
  <c r="J45" i="1"/>
  <c r="I45" i="1"/>
  <c r="H44" i="1"/>
  <c r="J44" i="1"/>
  <c r="I44" i="1"/>
  <c r="H43" i="1"/>
  <c r="J43" i="1"/>
  <c r="I43" i="1"/>
  <c r="H42" i="1"/>
  <c r="J42" i="1"/>
  <c r="I42" i="1"/>
  <c r="H41" i="1"/>
  <c r="J41" i="1"/>
  <c r="I41" i="1"/>
  <c r="H40" i="1"/>
  <c r="J40" i="1"/>
  <c r="I40" i="1"/>
  <c r="H39" i="1"/>
  <c r="J39" i="1"/>
  <c r="I39" i="1"/>
  <c r="H38" i="1"/>
  <c r="J38" i="1"/>
  <c r="I38" i="1"/>
  <c r="H37" i="1"/>
  <c r="J37" i="1"/>
  <c r="I37" i="1"/>
  <c r="H36" i="1"/>
  <c r="J36" i="1"/>
  <c r="I36" i="1"/>
  <c r="H35" i="1"/>
  <c r="J35" i="1"/>
  <c r="I35" i="1"/>
  <c r="H34" i="1"/>
  <c r="J34" i="1"/>
  <c r="I34" i="1"/>
  <c r="H33" i="1"/>
  <c r="J33" i="1"/>
  <c r="I33" i="1"/>
  <c r="H32" i="1"/>
  <c r="J32" i="1"/>
  <c r="I32" i="1"/>
  <c r="H31" i="1"/>
  <c r="J31" i="1"/>
  <c r="I31" i="1"/>
  <c r="H30" i="1"/>
  <c r="J30" i="1"/>
  <c r="I30" i="1"/>
  <c r="H29" i="1"/>
  <c r="J29" i="1"/>
  <c r="I29" i="1"/>
  <c r="H28" i="1"/>
  <c r="J28" i="1"/>
  <c r="I28" i="1"/>
  <c r="H27" i="1"/>
  <c r="J27" i="1"/>
  <c r="I27" i="1"/>
  <c r="H26" i="1"/>
  <c r="J26" i="1"/>
  <c r="I26" i="1"/>
  <c r="H25" i="1"/>
  <c r="J25" i="1"/>
  <c r="I25" i="1"/>
  <c r="H24" i="1"/>
  <c r="J24" i="1"/>
  <c r="I24" i="1"/>
  <c r="H23" i="1"/>
  <c r="J23" i="1"/>
  <c r="I23" i="1"/>
  <c r="H22" i="1"/>
  <c r="J22" i="1"/>
  <c r="I22" i="1"/>
  <c r="AB49" i="1"/>
  <c r="AD49" i="1"/>
  <c r="AG49" i="1"/>
  <c r="AE49" i="1"/>
  <c r="AC49" i="1"/>
  <c r="V49" i="1"/>
  <c r="Q49" i="1"/>
  <c r="P49" i="1"/>
  <c r="O49" i="1"/>
  <c r="N49" i="1"/>
  <c r="M49" i="1"/>
  <c r="D49" i="1"/>
  <c r="F49" i="1"/>
  <c r="E49" i="1"/>
  <c r="A49" i="1"/>
  <c r="AB48" i="1"/>
  <c r="AD48" i="1"/>
  <c r="AG48" i="1"/>
  <c r="AE48" i="1"/>
  <c r="AC48" i="1"/>
  <c r="V48" i="1"/>
  <c r="Q48" i="1"/>
  <c r="P48" i="1"/>
  <c r="O48" i="1"/>
  <c r="N48" i="1"/>
  <c r="M48" i="1"/>
  <c r="D48" i="1"/>
  <c r="F48" i="1"/>
  <c r="E48" i="1"/>
  <c r="A48" i="1"/>
  <c r="AB47" i="1"/>
  <c r="AD47" i="1"/>
  <c r="AG47" i="1"/>
  <c r="AE47" i="1"/>
  <c r="AC47" i="1"/>
  <c r="V47" i="1"/>
  <c r="Q47" i="1"/>
  <c r="P47" i="1"/>
  <c r="O47" i="1"/>
  <c r="N47" i="1"/>
  <c r="M47" i="1"/>
  <c r="D47" i="1"/>
  <c r="F47" i="1"/>
  <c r="E47" i="1"/>
  <c r="A47" i="1"/>
  <c r="AB46" i="1"/>
  <c r="AD46" i="1"/>
  <c r="AG46" i="1"/>
  <c r="AE46" i="1"/>
  <c r="AC46" i="1"/>
  <c r="V46" i="1"/>
  <c r="Q46" i="1"/>
  <c r="P46" i="1"/>
  <c r="O46" i="1"/>
  <c r="N46" i="1"/>
  <c r="M46" i="1"/>
  <c r="D46" i="1"/>
  <c r="F46" i="1"/>
  <c r="E46" i="1"/>
  <c r="A46" i="1"/>
  <c r="AB45" i="1"/>
  <c r="AD45" i="1"/>
  <c r="AG45" i="1"/>
  <c r="AE45" i="1"/>
  <c r="AC45" i="1"/>
  <c r="V45" i="1"/>
  <c r="Q45" i="1"/>
  <c r="P45" i="1"/>
  <c r="O45" i="1"/>
  <c r="N45" i="1"/>
  <c r="M45" i="1"/>
  <c r="D45" i="1"/>
  <c r="F45" i="1"/>
  <c r="E45" i="1"/>
  <c r="A45" i="1"/>
  <c r="AB44" i="1"/>
  <c r="AD44" i="1"/>
  <c r="AG44" i="1"/>
  <c r="AE44" i="1"/>
  <c r="AC44" i="1"/>
  <c r="V44" i="1"/>
  <c r="Q44" i="1"/>
  <c r="P44" i="1"/>
  <c r="O44" i="1"/>
  <c r="N44" i="1"/>
  <c r="M44" i="1"/>
  <c r="D44" i="1"/>
  <c r="F44" i="1"/>
  <c r="E44" i="1"/>
  <c r="A44" i="1"/>
  <c r="AB43" i="1"/>
  <c r="AD43" i="1"/>
  <c r="AG43" i="1"/>
  <c r="AE43" i="1"/>
  <c r="AC43" i="1"/>
  <c r="V43" i="1"/>
  <c r="Q43" i="1"/>
  <c r="P43" i="1"/>
  <c r="O43" i="1"/>
  <c r="N43" i="1"/>
  <c r="M43" i="1"/>
  <c r="D43" i="1"/>
  <c r="F43" i="1"/>
  <c r="E43" i="1"/>
  <c r="A43" i="1"/>
  <c r="AB42" i="1"/>
  <c r="AD42" i="1"/>
  <c r="AG42" i="1"/>
  <c r="AE42" i="1"/>
  <c r="AC42" i="1"/>
  <c r="V42" i="1"/>
  <c r="Q42" i="1"/>
  <c r="P42" i="1"/>
  <c r="O42" i="1"/>
  <c r="N42" i="1"/>
  <c r="M42" i="1"/>
  <c r="D42" i="1"/>
  <c r="F42" i="1"/>
  <c r="E42" i="1"/>
  <c r="A42" i="1"/>
  <c r="AB41" i="1"/>
  <c r="AD41" i="1"/>
  <c r="AG41" i="1"/>
  <c r="AE41" i="1"/>
  <c r="AC41" i="1"/>
  <c r="V41" i="1"/>
  <c r="Q41" i="1"/>
  <c r="P41" i="1"/>
  <c r="O41" i="1"/>
  <c r="N41" i="1"/>
  <c r="M41" i="1"/>
  <c r="D41" i="1"/>
  <c r="F41" i="1"/>
  <c r="E41" i="1"/>
  <c r="A41" i="1"/>
  <c r="AB40" i="1"/>
  <c r="AD40" i="1"/>
  <c r="AG40" i="1"/>
  <c r="AE40" i="1"/>
  <c r="AC40" i="1"/>
  <c r="Q40" i="1"/>
  <c r="P40" i="1"/>
  <c r="O40" i="1"/>
  <c r="N40" i="1"/>
  <c r="M40" i="1"/>
  <c r="D40" i="1"/>
  <c r="F40" i="1"/>
  <c r="E40" i="1"/>
  <c r="A40" i="1"/>
  <c r="AB39" i="1"/>
  <c r="AD39" i="1"/>
  <c r="AG39" i="1"/>
  <c r="AE39" i="1"/>
  <c r="AC39" i="1"/>
  <c r="V39" i="1"/>
  <c r="Q39" i="1"/>
  <c r="P39" i="1"/>
  <c r="O39" i="1"/>
  <c r="N39" i="1"/>
  <c r="M39" i="1"/>
  <c r="D39" i="1"/>
  <c r="F39" i="1"/>
  <c r="E39" i="1"/>
  <c r="A39" i="1"/>
  <c r="AB38" i="1"/>
  <c r="AD38" i="1"/>
  <c r="AG38" i="1"/>
  <c r="AE38" i="1"/>
  <c r="AC38" i="1"/>
  <c r="V38" i="1"/>
  <c r="Q38" i="1"/>
  <c r="P38" i="1"/>
  <c r="O38" i="1"/>
  <c r="N38" i="1"/>
  <c r="M38" i="1"/>
  <c r="D38" i="1"/>
  <c r="F38" i="1"/>
  <c r="E38" i="1"/>
  <c r="A38" i="1"/>
  <c r="AB37" i="1"/>
  <c r="AD37" i="1"/>
  <c r="AG37" i="1"/>
  <c r="AE37" i="1"/>
  <c r="AC37" i="1"/>
  <c r="V37" i="1"/>
  <c r="Q37" i="1"/>
  <c r="P37" i="1"/>
  <c r="O37" i="1"/>
  <c r="N37" i="1"/>
  <c r="M37" i="1"/>
  <c r="D37" i="1"/>
  <c r="F37" i="1"/>
  <c r="E37" i="1"/>
  <c r="A37" i="1"/>
  <c r="AB36" i="1"/>
  <c r="AD36" i="1"/>
  <c r="AG36" i="1"/>
  <c r="AE36" i="1"/>
  <c r="AC36" i="1"/>
  <c r="V36" i="1"/>
  <c r="Q36" i="1"/>
  <c r="P36" i="1"/>
  <c r="O36" i="1"/>
  <c r="N36" i="1"/>
  <c r="M36" i="1"/>
  <c r="D36" i="1"/>
  <c r="F36" i="1"/>
  <c r="E36" i="1"/>
  <c r="A36" i="1"/>
  <c r="AB35" i="1"/>
  <c r="AD35" i="1"/>
  <c r="AG35" i="1"/>
  <c r="AE35" i="1"/>
  <c r="AC35" i="1"/>
  <c r="V35" i="1"/>
  <c r="Q35" i="1"/>
  <c r="P35" i="1"/>
  <c r="O35" i="1"/>
  <c r="N35" i="1"/>
  <c r="M35" i="1"/>
  <c r="D35" i="1"/>
  <c r="F35" i="1"/>
  <c r="E35" i="1"/>
  <c r="A35" i="1"/>
  <c r="AB34" i="1"/>
  <c r="AD34" i="1"/>
  <c r="AG34" i="1"/>
  <c r="AE34" i="1"/>
  <c r="AC34" i="1"/>
  <c r="V34" i="1"/>
  <c r="Q34" i="1"/>
  <c r="P34" i="1"/>
  <c r="O34" i="1"/>
  <c r="N34" i="1"/>
  <c r="M34" i="1"/>
  <c r="D34" i="1"/>
  <c r="F34" i="1"/>
  <c r="E34" i="1"/>
  <c r="A34" i="1"/>
  <c r="AB33" i="1"/>
  <c r="AD33" i="1"/>
  <c r="AG33" i="1"/>
  <c r="AE33" i="1"/>
  <c r="AC33" i="1"/>
  <c r="V33" i="1"/>
  <c r="Q33" i="1"/>
  <c r="P33" i="1"/>
  <c r="O33" i="1"/>
  <c r="N33" i="1"/>
  <c r="M33" i="1"/>
  <c r="D33" i="1"/>
  <c r="F33" i="1"/>
  <c r="E33" i="1"/>
  <c r="A33" i="1"/>
  <c r="AB32" i="1"/>
  <c r="AD32" i="1"/>
  <c r="AG32" i="1"/>
  <c r="AE32" i="1"/>
  <c r="AC32" i="1"/>
  <c r="V32" i="1"/>
  <c r="Q32" i="1"/>
  <c r="P32" i="1"/>
  <c r="O32" i="1"/>
  <c r="N32" i="1"/>
  <c r="M32" i="1"/>
  <c r="D32" i="1"/>
  <c r="F32" i="1"/>
  <c r="E32" i="1"/>
  <c r="A32" i="1"/>
  <c r="AB31" i="1"/>
  <c r="AD31" i="1"/>
  <c r="AG31" i="1"/>
  <c r="AE31" i="1"/>
  <c r="AC31" i="1"/>
  <c r="Q31" i="1"/>
  <c r="P31" i="1"/>
  <c r="O31" i="1"/>
  <c r="N31" i="1"/>
  <c r="M31" i="1"/>
  <c r="D31" i="1"/>
  <c r="F31" i="1"/>
  <c r="E31" i="1"/>
  <c r="A31" i="1"/>
  <c r="AB30" i="1"/>
  <c r="AD30" i="1"/>
  <c r="AG30" i="1"/>
  <c r="AE30" i="1"/>
  <c r="AC30" i="1"/>
  <c r="Q30" i="1"/>
  <c r="P30" i="1"/>
  <c r="O30" i="1"/>
  <c r="N30" i="1"/>
  <c r="M30" i="1"/>
  <c r="D30" i="1"/>
  <c r="F30" i="1"/>
  <c r="E30" i="1"/>
  <c r="A30" i="1"/>
  <c r="AB29" i="1"/>
  <c r="AD29" i="1"/>
  <c r="AG29" i="1"/>
  <c r="AE29" i="1"/>
  <c r="AC29" i="1"/>
  <c r="Q29" i="1"/>
  <c r="P29" i="1"/>
  <c r="O29" i="1"/>
  <c r="N29" i="1"/>
  <c r="M29" i="1"/>
  <c r="D29" i="1"/>
  <c r="F29" i="1"/>
  <c r="E29" i="1"/>
  <c r="A29" i="1"/>
  <c r="AB28" i="1"/>
  <c r="AD28" i="1"/>
  <c r="AG28" i="1"/>
  <c r="AE28" i="1"/>
  <c r="AC28" i="1"/>
  <c r="V28" i="1"/>
  <c r="Q28" i="1"/>
  <c r="P28" i="1"/>
  <c r="O28" i="1"/>
  <c r="N28" i="1"/>
  <c r="M28" i="1"/>
  <c r="D28" i="1"/>
  <c r="F28" i="1"/>
  <c r="E28" i="1"/>
  <c r="A28" i="1"/>
  <c r="AB27" i="1"/>
  <c r="AD27" i="1"/>
  <c r="AG27" i="1"/>
  <c r="AE27" i="1"/>
  <c r="AC27" i="1"/>
  <c r="V27" i="1"/>
  <c r="Q27" i="1"/>
  <c r="P27" i="1"/>
  <c r="O27" i="1"/>
  <c r="N27" i="1"/>
  <c r="M27" i="1"/>
  <c r="D27" i="1"/>
  <c r="F27" i="1"/>
  <c r="E27" i="1"/>
  <c r="A27" i="1"/>
  <c r="AB26" i="1"/>
  <c r="AD26" i="1"/>
  <c r="AG26" i="1"/>
  <c r="AE26" i="1"/>
  <c r="AC26" i="1"/>
  <c r="V26" i="1"/>
  <c r="Q26" i="1"/>
  <c r="P26" i="1"/>
  <c r="O26" i="1"/>
  <c r="N26" i="1"/>
  <c r="M26" i="1"/>
  <c r="D26" i="1"/>
  <c r="F26" i="1"/>
  <c r="E26" i="1"/>
  <c r="A26" i="1"/>
  <c r="AB25" i="1"/>
  <c r="AD25" i="1"/>
  <c r="AG25" i="1"/>
  <c r="AE25" i="1"/>
  <c r="AC25" i="1"/>
  <c r="V25" i="1"/>
  <c r="Q25" i="1"/>
  <c r="P25" i="1"/>
  <c r="O25" i="1"/>
  <c r="N25" i="1"/>
  <c r="M25" i="1"/>
  <c r="D25" i="1"/>
  <c r="F25" i="1"/>
  <c r="E25" i="1"/>
  <c r="A25" i="1"/>
  <c r="AB24" i="1"/>
  <c r="AD24" i="1"/>
  <c r="AG24" i="1"/>
  <c r="AE24" i="1"/>
  <c r="AC24" i="1"/>
  <c r="V24" i="1"/>
  <c r="Q24" i="1"/>
  <c r="P24" i="1"/>
  <c r="O24" i="1"/>
  <c r="N24" i="1"/>
  <c r="M24" i="1"/>
  <c r="D24" i="1"/>
  <c r="F24" i="1"/>
  <c r="E24" i="1"/>
  <c r="A24" i="1"/>
  <c r="AB23" i="1"/>
  <c r="AD23" i="1"/>
  <c r="AG23" i="1"/>
  <c r="AE23" i="1"/>
  <c r="AC23" i="1"/>
  <c r="V23" i="1"/>
  <c r="Q23" i="1"/>
  <c r="P23" i="1"/>
  <c r="O23" i="1"/>
  <c r="N23" i="1"/>
  <c r="M23" i="1"/>
  <c r="D23" i="1"/>
  <c r="F23" i="1"/>
  <c r="E23" i="1"/>
  <c r="A23" i="1"/>
  <c r="AB22" i="1"/>
  <c r="AD22" i="1"/>
  <c r="AG22" i="1"/>
  <c r="AE22" i="1"/>
  <c r="AC22" i="1"/>
  <c r="V22" i="1"/>
  <c r="Q22" i="1"/>
  <c r="P22" i="1"/>
  <c r="O22" i="1"/>
  <c r="N22" i="1"/>
  <c r="M22" i="1"/>
  <c r="D22" i="1"/>
  <c r="F22" i="1"/>
  <c r="E22" i="1"/>
  <c r="A22" i="1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AB72" i="1"/>
  <c r="AD72" i="1"/>
  <c r="AG72" i="1"/>
  <c r="AE72" i="1"/>
  <c r="AC72" i="1"/>
  <c r="E30" i="9"/>
  <c r="V72" i="1"/>
  <c r="Q72" i="1"/>
  <c r="P72" i="1"/>
  <c r="O72" i="1"/>
  <c r="N72" i="1"/>
  <c r="M72" i="1"/>
  <c r="H72" i="1"/>
  <c r="J72" i="1"/>
  <c r="I72" i="1"/>
  <c r="D72" i="1"/>
  <c r="F72" i="1"/>
  <c r="E72" i="1"/>
  <c r="A72" i="1"/>
  <c r="E29" i="9"/>
  <c r="K4" i="11"/>
  <c r="P30" i="9"/>
  <c r="O30" i="9"/>
  <c r="N30" i="9"/>
  <c r="M30" i="9"/>
  <c r="L30" i="9"/>
  <c r="K30" i="9"/>
  <c r="J30" i="9"/>
  <c r="I30" i="9"/>
  <c r="H30" i="9"/>
  <c r="G30" i="9"/>
  <c r="D30" i="9"/>
  <c r="A30" i="9"/>
  <c r="A68" i="1"/>
  <c r="D68" i="1"/>
  <c r="E68" i="1"/>
  <c r="F68" i="1"/>
  <c r="H68" i="1"/>
  <c r="I68" i="1"/>
  <c r="J68" i="1"/>
  <c r="M68" i="1"/>
  <c r="N68" i="1"/>
  <c r="O68" i="1"/>
  <c r="P68" i="1"/>
  <c r="Q68" i="1"/>
  <c r="E26" i="9"/>
  <c r="V68" i="1"/>
  <c r="AB68" i="1"/>
  <c r="AC68" i="1"/>
  <c r="AD68" i="1"/>
  <c r="AE68" i="1"/>
  <c r="AG68" i="1"/>
  <c r="A69" i="1"/>
  <c r="D69" i="1"/>
  <c r="E69" i="1"/>
  <c r="F69" i="1"/>
  <c r="H69" i="1"/>
  <c r="I69" i="1"/>
  <c r="J69" i="1"/>
  <c r="M69" i="1"/>
  <c r="N69" i="1"/>
  <c r="O69" i="1"/>
  <c r="P69" i="1"/>
  <c r="Q69" i="1"/>
  <c r="E27" i="9"/>
  <c r="V69" i="1"/>
  <c r="AB69" i="1"/>
  <c r="AC69" i="1"/>
  <c r="AD69" i="1"/>
  <c r="AE69" i="1"/>
  <c r="AG69" i="1"/>
  <c r="A70" i="1"/>
  <c r="D70" i="1"/>
  <c r="E70" i="1"/>
  <c r="F70" i="1"/>
  <c r="H70" i="1"/>
  <c r="I70" i="1"/>
  <c r="J70" i="1"/>
  <c r="M70" i="1"/>
  <c r="N70" i="1"/>
  <c r="O70" i="1"/>
  <c r="P70" i="1"/>
  <c r="Q70" i="1"/>
  <c r="E28" i="9"/>
  <c r="V70" i="1"/>
  <c r="AB70" i="1"/>
  <c r="AC70" i="1"/>
  <c r="AD70" i="1"/>
  <c r="AE70" i="1"/>
  <c r="AG70" i="1"/>
  <c r="A71" i="1"/>
  <c r="D71" i="1"/>
  <c r="E71" i="1"/>
  <c r="F71" i="1"/>
  <c r="H71" i="1"/>
  <c r="I71" i="1"/>
  <c r="J71" i="1"/>
  <c r="M71" i="1"/>
  <c r="N71" i="1"/>
  <c r="O71" i="1"/>
  <c r="P71" i="1"/>
  <c r="Q71" i="1"/>
  <c r="V71" i="1"/>
  <c r="AB71" i="1"/>
  <c r="AC71" i="1"/>
  <c r="AD71" i="1"/>
  <c r="AE71" i="1"/>
  <c r="AG71" i="1"/>
  <c r="E25" i="9"/>
  <c r="E24" i="9"/>
  <c r="E23" i="9"/>
  <c r="E22" i="9"/>
  <c r="P29" i="9"/>
  <c r="O29" i="9"/>
  <c r="N29" i="9"/>
  <c r="M29" i="9"/>
  <c r="L29" i="9"/>
  <c r="K29" i="9"/>
  <c r="J29" i="9"/>
  <c r="I29" i="9"/>
  <c r="H29" i="9"/>
  <c r="G29" i="9"/>
  <c r="D29" i="9"/>
  <c r="A29" i="9"/>
  <c r="P28" i="9"/>
  <c r="O28" i="9"/>
  <c r="N28" i="9"/>
  <c r="M28" i="9"/>
  <c r="L28" i="9"/>
  <c r="K28" i="9"/>
  <c r="J28" i="9"/>
  <c r="I28" i="9"/>
  <c r="H28" i="9"/>
  <c r="G28" i="9"/>
  <c r="D28" i="9"/>
  <c r="A28" i="9"/>
  <c r="P27" i="9"/>
  <c r="O27" i="9"/>
  <c r="N27" i="9"/>
  <c r="M27" i="9"/>
  <c r="L27" i="9"/>
  <c r="K27" i="9"/>
  <c r="J27" i="9"/>
  <c r="I27" i="9"/>
  <c r="H27" i="9"/>
  <c r="G27" i="9"/>
  <c r="D27" i="9"/>
  <c r="A27" i="9"/>
  <c r="P26" i="9"/>
  <c r="O26" i="9"/>
  <c r="N26" i="9"/>
  <c r="M26" i="9"/>
  <c r="L26" i="9"/>
  <c r="K26" i="9"/>
  <c r="J26" i="9"/>
  <c r="I26" i="9"/>
  <c r="H26" i="9"/>
  <c r="G26" i="9"/>
  <c r="D26" i="9"/>
  <c r="A26" i="9"/>
  <c r="O6" i="14"/>
  <c r="N6" i="14"/>
  <c r="M6" i="14"/>
  <c r="O5" i="14"/>
  <c r="N5" i="14"/>
  <c r="M5" i="14"/>
  <c r="P7" i="14"/>
  <c r="J7" i="14"/>
  <c r="K7" i="14"/>
  <c r="H7" i="14"/>
  <c r="G7" i="14"/>
  <c r="E7" i="14"/>
  <c r="D7" i="14"/>
  <c r="A7" i="14"/>
  <c r="P6" i="14"/>
  <c r="J6" i="14"/>
  <c r="K6" i="14"/>
  <c r="H6" i="14"/>
  <c r="G6" i="14"/>
  <c r="E6" i="14"/>
  <c r="D6" i="14"/>
  <c r="A6" i="14"/>
  <c r="P5" i="14"/>
  <c r="J5" i="14"/>
  <c r="K5" i="14"/>
  <c r="H5" i="14"/>
  <c r="G5" i="14"/>
  <c r="E5" i="14"/>
  <c r="D5" i="14"/>
  <c r="A5" i="14"/>
  <c r="C4" i="13"/>
  <c r="C3" i="13"/>
  <c r="AB67" i="1"/>
  <c r="AD67" i="1"/>
  <c r="AG67" i="1"/>
  <c r="AE67" i="1"/>
  <c r="AC67" i="1"/>
  <c r="V67" i="1"/>
  <c r="Q67" i="1"/>
  <c r="P67" i="1"/>
  <c r="O67" i="1"/>
  <c r="N67" i="1"/>
  <c r="M67" i="1"/>
  <c r="H67" i="1"/>
  <c r="J67" i="1"/>
  <c r="I67" i="1"/>
  <c r="D67" i="1"/>
  <c r="F67" i="1"/>
  <c r="E67" i="1"/>
  <c r="A67" i="1"/>
  <c r="AB66" i="1"/>
  <c r="AD66" i="1"/>
  <c r="AG66" i="1"/>
  <c r="AE66" i="1"/>
  <c r="AC66" i="1"/>
  <c r="V66" i="1"/>
  <c r="Q66" i="1"/>
  <c r="P66" i="1"/>
  <c r="O66" i="1"/>
  <c r="N66" i="1"/>
  <c r="M66" i="1"/>
  <c r="H66" i="1"/>
  <c r="J66" i="1"/>
  <c r="I66" i="1"/>
  <c r="D66" i="1"/>
  <c r="F66" i="1"/>
  <c r="E66" i="1"/>
  <c r="A66" i="1"/>
  <c r="AB65" i="1"/>
  <c r="AD65" i="1"/>
  <c r="AG65" i="1"/>
  <c r="AE65" i="1"/>
  <c r="AC65" i="1"/>
  <c r="V65" i="1"/>
  <c r="Q65" i="1"/>
  <c r="P65" i="1"/>
  <c r="O65" i="1"/>
  <c r="N65" i="1"/>
  <c r="M65" i="1"/>
  <c r="H65" i="1"/>
  <c r="J65" i="1"/>
  <c r="I65" i="1"/>
  <c r="D65" i="1"/>
  <c r="F65" i="1"/>
  <c r="E65" i="1"/>
  <c r="A65" i="1"/>
  <c r="AB64" i="1"/>
  <c r="AD64" i="1"/>
  <c r="AG64" i="1"/>
  <c r="AE64" i="1"/>
  <c r="AC64" i="1"/>
  <c r="V64" i="1"/>
  <c r="Q64" i="1"/>
  <c r="P64" i="1"/>
  <c r="O64" i="1"/>
  <c r="N64" i="1"/>
  <c r="M64" i="1"/>
  <c r="H64" i="1"/>
  <c r="J64" i="1"/>
  <c r="I64" i="1"/>
  <c r="D64" i="1"/>
  <c r="F64" i="1"/>
  <c r="E64" i="1"/>
  <c r="A64" i="1"/>
  <c r="AB63" i="1"/>
  <c r="AD63" i="1"/>
  <c r="AG63" i="1"/>
  <c r="AE63" i="1"/>
  <c r="AC63" i="1"/>
  <c r="E21" i="9"/>
  <c r="V63" i="1"/>
  <c r="Q63" i="1"/>
  <c r="P63" i="1"/>
  <c r="O63" i="1"/>
  <c r="N63" i="1"/>
  <c r="M63" i="1"/>
  <c r="H63" i="1"/>
  <c r="J63" i="1"/>
  <c r="I63" i="1"/>
  <c r="D63" i="1"/>
  <c r="F63" i="1"/>
  <c r="E63" i="1"/>
  <c r="A63" i="1"/>
  <c r="AB62" i="1"/>
  <c r="AD62" i="1"/>
  <c r="AG62" i="1"/>
  <c r="AE62" i="1"/>
  <c r="AC62" i="1"/>
  <c r="E20" i="9"/>
  <c r="V62" i="1"/>
  <c r="Q62" i="1"/>
  <c r="P62" i="1"/>
  <c r="O62" i="1"/>
  <c r="N62" i="1"/>
  <c r="M62" i="1"/>
  <c r="H62" i="1"/>
  <c r="J62" i="1"/>
  <c r="I62" i="1"/>
  <c r="D62" i="1"/>
  <c r="F62" i="1"/>
  <c r="E62" i="1"/>
  <c r="A62" i="1"/>
  <c r="AB61" i="1"/>
  <c r="AD61" i="1"/>
  <c r="AG61" i="1"/>
  <c r="AE61" i="1"/>
  <c r="AC61" i="1"/>
  <c r="E19" i="9"/>
  <c r="V61" i="1"/>
  <c r="Q61" i="1"/>
  <c r="P61" i="1"/>
  <c r="O61" i="1"/>
  <c r="N61" i="1"/>
  <c r="M61" i="1"/>
  <c r="H61" i="1"/>
  <c r="J61" i="1"/>
  <c r="I61" i="1"/>
  <c r="D61" i="1"/>
  <c r="F61" i="1"/>
  <c r="E61" i="1"/>
  <c r="A61" i="1"/>
  <c r="AB60" i="1"/>
  <c r="AD60" i="1"/>
  <c r="AG60" i="1"/>
  <c r="AE60" i="1"/>
  <c r="AC60" i="1"/>
  <c r="E18" i="9"/>
  <c r="V60" i="1"/>
  <c r="Q60" i="1"/>
  <c r="P60" i="1"/>
  <c r="O60" i="1"/>
  <c r="N60" i="1"/>
  <c r="M60" i="1"/>
  <c r="H60" i="1"/>
  <c r="J60" i="1"/>
  <c r="I60" i="1"/>
  <c r="D60" i="1"/>
  <c r="F60" i="1"/>
  <c r="E60" i="1"/>
  <c r="A60" i="1"/>
  <c r="AB59" i="1"/>
  <c r="AD59" i="1"/>
  <c r="AG59" i="1"/>
  <c r="AE59" i="1"/>
  <c r="AC59" i="1"/>
  <c r="V59" i="1"/>
  <c r="Q59" i="1"/>
  <c r="P59" i="1"/>
  <c r="O59" i="1"/>
  <c r="N59" i="1"/>
  <c r="M59" i="1"/>
  <c r="H59" i="1"/>
  <c r="J59" i="1"/>
  <c r="I59" i="1"/>
  <c r="D59" i="1"/>
  <c r="F59" i="1"/>
  <c r="E59" i="1"/>
  <c r="A59" i="1"/>
  <c r="AB58" i="1"/>
  <c r="AD58" i="1"/>
  <c r="AG58" i="1"/>
  <c r="AE58" i="1"/>
  <c r="AC58" i="1"/>
  <c r="V58" i="1"/>
  <c r="Q58" i="1"/>
  <c r="P58" i="1"/>
  <c r="O58" i="1"/>
  <c r="N58" i="1"/>
  <c r="M58" i="1"/>
  <c r="H58" i="1"/>
  <c r="J58" i="1"/>
  <c r="I58" i="1"/>
  <c r="D58" i="1"/>
  <c r="F58" i="1"/>
  <c r="E58" i="1"/>
  <c r="A58" i="1"/>
  <c r="AB57" i="1"/>
  <c r="AD57" i="1"/>
  <c r="AG57" i="1"/>
  <c r="AE57" i="1"/>
  <c r="AC57" i="1"/>
  <c r="V57" i="1"/>
  <c r="Q57" i="1"/>
  <c r="P57" i="1"/>
  <c r="O57" i="1"/>
  <c r="N57" i="1"/>
  <c r="M57" i="1"/>
  <c r="H57" i="1"/>
  <c r="J57" i="1"/>
  <c r="I57" i="1"/>
  <c r="D57" i="1"/>
  <c r="F57" i="1"/>
  <c r="E57" i="1"/>
  <c r="A57" i="1"/>
  <c r="AB56" i="1"/>
  <c r="AD56" i="1"/>
  <c r="AG56" i="1"/>
  <c r="AE56" i="1"/>
  <c r="AC56" i="1"/>
  <c r="V56" i="1"/>
  <c r="Q56" i="1"/>
  <c r="P56" i="1"/>
  <c r="O56" i="1"/>
  <c r="N56" i="1"/>
  <c r="M56" i="1"/>
  <c r="H56" i="1"/>
  <c r="J56" i="1"/>
  <c r="I56" i="1"/>
  <c r="D56" i="1"/>
  <c r="F56" i="1"/>
  <c r="E56" i="1"/>
  <c r="A56" i="1"/>
  <c r="AB55" i="1"/>
  <c r="AD55" i="1"/>
  <c r="AG55" i="1"/>
  <c r="AE55" i="1"/>
  <c r="AC55" i="1"/>
  <c r="E17" i="9"/>
  <c r="V55" i="1"/>
  <c r="Q55" i="1"/>
  <c r="P55" i="1"/>
  <c r="O55" i="1"/>
  <c r="N55" i="1"/>
  <c r="M55" i="1"/>
  <c r="H55" i="1"/>
  <c r="J55" i="1"/>
  <c r="I55" i="1"/>
  <c r="D55" i="1"/>
  <c r="F55" i="1"/>
  <c r="E55" i="1"/>
  <c r="A55" i="1"/>
  <c r="AB54" i="1"/>
  <c r="AD54" i="1"/>
  <c r="AG54" i="1"/>
  <c r="AE54" i="1"/>
  <c r="AC54" i="1"/>
  <c r="V54" i="1"/>
  <c r="Q54" i="1"/>
  <c r="P54" i="1"/>
  <c r="O54" i="1"/>
  <c r="N54" i="1"/>
  <c r="M54" i="1"/>
  <c r="H54" i="1"/>
  <c r="J54" i="1"/>
  <c r="I54" i="1"/>
  <c r="D54" i="1"/>
  <c r="F54" i="1"/>
  <c r="E54" i="1"/>
  <c r="A54" i="1"/>
  <c r="AB53" i="1"/>
  <c r="AD53" i="1"/>
  <c r="AG53" i="1"/>
  <c r="AE53" i="1"/>
  <c r="AC53" i="1"/>
  <c r="V53" i="1"/>
  <c r="Q53" i="1"/>
  <c r="P53" i="1"/>
  <c r="O53" i="1"/>
  <c r="N53" i="1"/>
  <c r="M53" i="1"/>
  <c r="H53" i="1"/>
  <c r="J53" i="1"/>
  <c r="I53" i="1"/>
  <c r="D53" i="1"/>
  <c r="F53" i="1"/>
  <c r="E53" i="1"/>
  <c r="A53" i="1"/>
  <c r="AB52" i="1"/>
  <c r="AD52" i="1"/>
  <c r="AG52" i="1"/>
  <c r="AE52" i="1"/>
  <c r="AC52" i="1"/>
  <c r="V52" i="1"/>
  <c r="Q52" i="1"/>
  <c r="P52" i="1"/>
  <c r="O52" i="1"/>
  <c r="N52" i="1"/>
  <c r="M52" i="1"/>
  <c r="H52" i="1"/>
  <c r="J52" i="1"/>
  <c r="I52" i="1"/>
  <c r="D52" i="1"/>
  <c r="F52" i="1"/>
  <c r="E52" i="1"/>
  <c r="A52" i="1"/>
  <c r="AB51" i="1"/>
  <c r="AD51" i="1"/>
  <c r="AG51" i="1"/>
  <c r="AE51" i="1"/>
  <c r="AC51" i="1"/>
  <c r="V51" i="1"/>
  <c r="Q51" i="1"/>
  <c r="P51" i="1"/>
  <c r="O51" i="1"/>
  <c r="N51" i="1"/>
  <c r="M51" i="1"/>
  <c r="H51" i="1"/>
  <c r="J51" i="1"/>
  <c r="I51" i="1"/>
  <c r="D51" i="1"/>
  <c r="F51" i="1"/>
  <c r="E51" i="1"/>
  <c r="A51" i="1"/>
  <c r="AB50" i="1"/>
  <c r="AD50" i="1"/>
  <c r="AG50" i="1"/>
  <c r="AE50" i="1"/>
  <c r="AC50" i="1"/>
  <c r="V50" i="1"/>
  <c r="Q50" i="1"/>
  <c r="P50" i="1"/>
  <c r="O50" i="1"/>
  <c r="N50" i="1"/>
  <c r="M50" i="1"/>
  <c r="H50" i="1"/>
  <c r="J50" i="1"/>
  <c r="I50" i="1"/>
  <c r="D50" i="1"/>
  <c r="F50" i="1"/>
  <c r="E50" i="1"/>
  <c r="A50" i="1"/>
  <c r="H15" i="2"/>
  <c r="E15" i="2"/>
  <c r="D15" i="2"/>
  <c r="H2" i="1"/>
  <c r="H3" i="1"/>
  <c r="H6" i="1"/>
  <c r="H8" i="1"/>
  <c r="H21" i="1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J4" i="14"/>
  <c r="J3" i="14"/>
  <c r="J2" i="14"/>
  <c r="P4" i="14"/>
  <c r="K4" i="14"/>
  <c r="H4" i="14"/>
  <c r="G4" i="14"/>
  <c r="E4" i="14"/>
  <c r="D4" i="14"/>
  <c r="A4" i="14"/>
  <c r="P3" i="14"/>
  <c r="K3" i="14"/>
  <c r="H3" i="14"/>
  <c r="G3" i="14"/>
  <c r="E3" i="14"/>
  <c r="D3" i="14"/>
  <c r="A3" i="14"/>
  <c r="P25" i="9"/>
  <c r="O25" i="9"/>
  <c r="N25" i="9"/>
  <c r="M25" i="9"/>
  <c r="L25" i="9"/>
  <c r="K25" i="9"/>
  <c r="J25" i="9"/>
  <c r="I25" i="9"/>
  <c r="H25" i="9"/>
  <c r="G25" i="9"/>
  <c r="D25" i="9"/>
  <c r="A25" i="9"/>
  <c r="P24" i="9"/>
  <c r="O24" i="9"/>
  <c r="N24" i="9"/>
  <c r="M24" i="9"/>
  <c r="L24" i="9"/>
  <c r="K24" i="9"/>
  <c r="J24" i="9"/>
  <c r="I24" i="9"/>
  <c r="H24" i="9"/>
  <c r="G24" i="9"/>
  <c r="D24" i="9"/>
  <c r="A24" i="9"/>
  <c r="P23" i="9"/>
  <c r="O23" i="9"/>
  <c r="N23" i="9"/>
  <c r="M23" i="9"/>
  <c r="L23" i="9"/>
  <c r="K23" i="9"/>
  <c r="J23" i="9"/>
  <c r="I23" i="9"/>
  <c r="H23" i="9"/>
  <c r="G23" i="9"/>
  <c r="D23" i="9"/>
  <c r="A23" i="9"/>
  <c r="P22" i="9"/>
  <c r="O22" i="9"/>
  <c r="N22" i="9"/>
  <c r="M22" i="9"/>
  <c r="L22" i="9"/>
  <c r="K22" i="9"/>
  <c r="J22" i="9"/>
  <c r="I22" i="9"/>
  <c r="H22" i="9"/>
  <c r="G22" i="9"/>
  <c r="D22" i="9"/>
  <c r="A22" i="9"/>
  <c r="P21" i="9"/>
  <c r="O21" i="9"/>
  <c r="N21" i="9"/>
  <c r="M21" i="9"/>
  <c r="L21" i="9"/>
  <c r="K21" i="9"/>
  <c r="J21" i="9"/>
  <c r="I21" i="9"/>
  <c r="H21" i="9"/>
  <c r="G21" i="9"/>
  <c r="D21" i="9"/>
  <c r="A21" i="9"/>
  <c r="P20" i="9"/>
  <c r="O20" i="9"/>
  <c r="N20" i="9"/>
  <c r="M20" i="9"/>
  <c r="L20" i="9"/>
  <c r="K20" i="9"/>
  <c r="J20" i="9"/>
  <c r="I20" i="9"/>
  <c r="H20" i="9"/>
  <c r="G20" i="9"/>
  <c r="D20" i="9"/>
  <c r="A20" i="9"/>
  <c r="P19" i="9"/>
  <c r="O19" i="9"/>
  <c r="N19" i="9"/>
  <c r="M19" i="9"/>
  <c r="L19" i="9"/>
  <c r="K19" i="9"/>
  <c r="J19" i="9"/>
  <c r="I19" i="9"/>
  <c r="H19" i="9"/>
  <c r="G19" i="9"/>
  <c r="D19" i="9"/>
  <c r="A19" i="9"/>
  <c r="V6" i="1"/>
  <c r="O6" i="12"/>
  <c r="N6" i="12"/>
  <c r="M6" i="12"/>
  <c r="AB3" i="1"/>
  <c r="AD3" i="1"/>
  <c r="AG3" i="1"/>
  <c r="AE3" i="1"/>
  <c r="AC3" i="1"/>
  <c r="Q3" i="1"/>
  <c r="P3" i="1"/>
  <c r="O3" i="1"/>
  <c r="N3" i="1"/>
  <c r="M3" i="1"/>
  <c r="J3" i="1"/>
  <c r="I3" i="1"/>
  <c r="D3" i="1"/>
  <c r="F3" i="1"/>
  <c r="E3" i="1"/>
  <c r="A3" i="1"/>
  <c r="AB8" i="1"/>
  <c r="AD8" i="1"/>
  <c r="AG8" i="1"/>
  <c r="AE8" i="1"/>
  <c r="AC8" i="1"/>
  <c r="Q8" i="1"/>
  <c r="P8" i="1"/>
  <c r="O8" i="1"/>
  <c r="N8" i="1"/>
  <c r="M8" i="1"/>
  <c r="J8" i="1"/>
  <c r="I8" i="1"/>
  <c r="D8" i="1"/>
  <c r="F8" i="1"/>
  <c r="E8" i="1"/>
  <c r="A8" i="1"/>
  <c r="AB2" i="1"/>
  <c r="AD2" i="1"/>
  <c r="AG2" i="1"/>
  <c r="AE2" i="1"/>
  <c r="AC2" i="1"/>
  <c r="Q2" i="1"/>
  <c r="P2" i="1"/>
  <c r="O2" i="1"/>
  <c r="N2" i="1"/>
  <c r="M2" i="1"/>
  <c r="J2" i="1"/>
  <c r="I2" i="1"/>
  <c r="D2" i="1"/>
  <c r="F2" i="1"/>
  <c r="E2" i="1"/>
  <c r="A2" i="1"/>
  <c r="AB21" i="1"/>
  <c r="AD21" i="1"/>
  <c r="AG21" i="1"/>
  <c r="AE21" i="1"/>
  <c r="AC21" i="1"/>
  <c r="V21" i="1"/>
  <c r="Q21" i="1"/>
  <c r="P21" i="1"/>
  <c r="O21" i="1"/>
  <c r="N21" i="1"/>
  <c r="M21" i="1"/>
  <c r="J21" i="1"/>
  <c r="I21" i="1"/>
  <c r="D21" i="1"/>
  <c r="F21" i="1"/>
  <c r="E21" i="1"/>
  <c r="A21" i="1"/>
  <c r="AB6" i="1"/>
  <c r="AD6" i="1"/>
  <c r="AG6" i="1"/>
  <c r="AE6" i="1"/>
  <c r="AC6" i="1"/>
  <c r="Q6" i="1"/>
  <c r="P6" i="1"/>
  <c r="O6" i="1"/>
  <c r="N6" i="1"/>
  <c r="M6" i="1"/>
  <c r="J6" i="1"/>
  <c r="I6" i="1"/>
  <c r="D6" i="1"/>
  <c r="F6" i="1"/>
  <c r="E6" i="1"/>
  <c r="A6" i="1"/>
  <c r="C11" i="7"/>
  <c r="E11" i="7"/>
  <c r="C10" i="7"/>
  <c r="E10" i="7"/>
  <c r="C9" i="7"/>
  <c r="E9" i="7"/>
  <c r="P2" i="14"/>
  <c r="K2" i="14"/>
  <c r="H2" i="14"/>
  <c r="G2" i="14"/>
  <c r="E2" i="14"/>
  <c r="D2" i="14"/>
  <c r="A2" i="14"/>
  <c r="C2" i="13"/>
  <c r="D2" i="13"/>
  <c r="C3" i="7"/>
  <c r="C4" i="7"/>
  <c r="C5" i="7"/>
  <c r="C6" i="7"/>
  <c r="C7" i="7"/>
  <c r="C8" i="7"/>
  <c r="O5" i="12"/>
  <c r="O4" i="12"/>
  <c r="O3" i="12"/>
  <c r="O2" i="12"/>
  <c r="N5" i="12"/>
  <c r="M5" i="12"/>
  <c r="N4" i="12"/>
  <c r="M4" i="12"/>
  <c r="N3" i="12"/>
  <c r="M3" i="12"/>
  <c r="N2" i="12"/>
  <c r="M2" i="12"/>
  <c r="O18" i="9"/>
  <c r="O17" i="9"/>
  <c r="K3" i="11"/>
  <c r="P18" i="9"/>
  <c r="N18" i="9"/>
  <c r="M18" i="9"/>
  <c r="L18" i="9"/>
  <c r="K18" i="9"/>
  <c r="J18" i="9"/>
  <c r="I18" i="9"/>
  <c r="H18" i="9"/>
  <c r="G18" i="9"/>
  <c r="P17" i="9"/>
  <c r="N17" i="9"/>
  <c r="M17" i="9"/>
  <c r="L17" i="9"/>
  <c r="K17" i="9"/>
  <c r="J17" i="9"/>
  <c r="I17" i="9"/>
  <c r="H17" i="9"/>
  <c r="G17" i="9"/>
  <c r="D18" i="9"/>
  <c r="D17" i="9"/>
  <c r="A18" i="9"/>
  <c r="H5" i="2"/>
  <c r="E5" i="2"/>
  <c r="D5" i="2"/>
  <c r="B5" i="2"/>
  <c r="H4" i="2"/>
  <c r="E4" i="2"/>
  <c r="D4" i="2"/>
  <c r="B4" i="2"/>
  <c r="H3" i="2"/>
  <c r="E3" i="2"/>
  <c r="D3" i="2"/>
  <c r="B3" i="2"/>
  <c r="H2" i="2"/>
  <c r="E2" i="2"/>
  <c r="D2" i="2"/>
  <c r="B2" i="2"/>
  <c r="A17" i="9"/>
  <c r="E8" i="7"/>
  <c r="E7" i="7"/>
  <c r="E6" i="7"/>
  <c r="E5" i="7"/>
  <c r="E4" i="7"/>
  <c r="E3" i="7"/>
  <c r="E2" i="7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P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K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<sst xmlns="http://schemas.openxmlformats.org/spreadsheetml/2006/main" count="552" uniqueCount="295">
  <si>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</si>
  <si>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</si>
  <si>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</si>
  <si>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</si>
  <si>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</si>
  <si>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</si>
  <si>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</si>
  <si>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</si>
  <si>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</si>
  <si>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</si>
  <si>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</si>
  <si>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</si>
  <si>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</si>
  <si>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</si>
  <si>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</si>
  <si>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</si>
  <si>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</si>
  <si>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</si>
  <si>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</si>
  <si>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</si>
  <si>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</si>
  <si>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</si>
  <si>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</si>
  <si>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</si>
  <si>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</si>
  <si>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</si>
  <si>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</si>
  <si>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</si>
  <si>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</si>
  <si>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</si>
  <si>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</si>
  <si>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</si>
  <si>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</si>
  <si>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</si>
  <si>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</si>
  <si>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</si>
  <si>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</si>
  <si>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</si>
  <si>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</si>
  <si>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</si>
  <si>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</si>
  <si>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</si>
  <si>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</si>
  <si>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</si>
  <si>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</si>
  <si>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</si>
  <si>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drop_label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</si>
  <si>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</si>
  <si>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</si>
  <si>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</si>
  <si>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</si>
  <si>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</si>
  <si>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</si>
  <si>
    <t>出力flg</t>
    <rPh sb="0" eb="2">
      <t>シュツリョク</t>
    </rPh>
    <phoneticPr fontId="4"/>
  </si>
  <si>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</si>
  <si>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</si>
  <si>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</si>
  <si>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</si>
  <si>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</si>
  <si>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</si>
  <si>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floors_</t>
    <phoneticPr fontId="4"/>
  </si>
  <si>
    <t>.tmp</t>
    <phoneticPr fontId="4"/>
  </si>
  <si>
    <t>floors</t>
    <phoneticPr fontId="4"/>
  </si>
  <si>
    <t>enemy_habitats_</t>
    <phoneticPr fontId="4"/>
  </si>
  <si>
    <t>enemy_habitats</t>
    <phoneticPr fontId="4"/>
  </si>
  <si>
    <t>seq_no</t>
    <phoneticPr fontId="4"/>
  </si>
  <si>
    <t>enemy_habitat_S_</t>
    <phoneticPr fontId="4"/>
  </si>
  <si>
    <t>enemy_habitat_S</t>
    <phoneticPr fontId="4"/>
  </si>
  <si>
    <t>state_no</t>
    <phoneticPr fontId="4"/>
  </si>
  <si>
    <t>character_id</t>
    <phoneticPr fontId="4"/>
  </si>
  <si>
    <t>level</t>
    <phoneticPr fontId="4"/>
  </si>
  <si>
    <t>speed</t>
    <phoneticPr fontId="4"/>
  </si>
  <si>
    <t>skill_set_id</t>
    <phoneticPr fontId="4"/>
  </si>
  <si>
    <t>enemy_skill_sets_</t>
    <phoneticPr fontId="4"/>
  </si>
  <si>
    <t>.tmp</t>
    <phoneticPr fontId="4"/>
  </si>
  <si>
    <t>enemy_skill_sets</t>
    <phoneticPr fontId="4"/>
  </si>
  <si>
    <t>skill_id</t>
  </si>
  <si>
    <t>skill_trigger_id</t>
  </si>
  <si>
    <t>enemy_skills_tmp_</t>
    <phoneticPr fontId="4"/>
  </si>
  <si>
    <t>.tmp</t>
    <phoneticPr fontId="4"/>
  </si>
  <si>
    <t>enemy_skills</t>
    <phoneticPr fontId="4"/>
  </si>
  <si>
    <t>enemy_skill_id</t>
  </si>
  <si>
    <t>effect_param</t>
    <phoneticPr fontId="4"/>
  </si>
  <si>
    <t>valid_flg</t>
  </si>
  <si>
    <t>enemy_skills_i18n_</t>
    <phoneticPr fontId="4"/>
  </si>
  <si>
    <t>.tmp</t>
    <phoneticPr fontId="4"/>
  </si>
  <si>
    <t>enemy_skills</t>
    <phoneticPr fontId="4"/>
  </si>
  <si>
    <t>language</t>
  </si>
  <si>
    <t>name</t>
  </si>
  <si>
    <t>comment</t>
  </si>
  <si>
    <t>enemy_skill_triggers_</t>
    <phoneticPr fontId="4"/>
  </si>
  <si>
    <t>.tmp</t>
    <phoneticPr fontId="4"/>
  </si>
  <si>
    <t>enemy_skill_triggers</t>
    <phoneticPr fontId="4"/>
  </si>
  <si>
    <t>first_time</t>
  </si>
  <si>
    <t>invoke_rate</t>
  </si>
  <si>
    <t>hp_threshold</t>
  </si>
  <si>
    <t>hp_termination</t>
    <phoneticPr fontId="4"/>
  </si>
  <si>
    <t>invoke_times</t>
  </si>
  <si>
    <t>invoke_weight</t>
    <phoneticPr fontId="4"/>
  </si>
  <si>
    <t>every_time_count</t>
    <phoneticPr fontId="4"/>
  </si>
  <si>
    <t>neighbor_dead_id</t>
    <phoneticPr fontId="4"/>
  </si>
  <si>
    <t>priority</t>
    <phoneticPr fontId="4"/>
  </si>
  <si>
    <t>temp_habitats</t>
    <phoneticPr fontId="4"/>
  </si>
  <si>
    <t>temp_stage</t>
    <phoneticPr fontId="4"/>
  </si>
  <si>
    <t>name</t>
    <phoneticPr fontId="4"/>
  </si>
  <si>
    <t>name</t>
    <phoneticPr fontId="4"/>
  </si>
  <si>
    <t>floor_id</t>
    <phoneticPr fontId="4"/>
  </si>
  <si>
    <t>temp_floor</t>
    <phoneticPr fontId="4"/>
  </si>
  <si>
    <t>seq_no</t>
    <phoneticPr fontId="4"/>
  </si>
  <si>
    <t>state_no</t>
    <phoneticPr fontId="4"/>
  </si>
  <si>
    <t>color</t>
    <phoneticPr fontId="4"/>
  </si>
  <si>
    <t>drop_label</t>
    <phoneticPr fontId="4"/>
  </si>
  <si>
    <t>character_main_tribe_id</t>
    <phoneticPr fontId="4"/>
  </si>
  <si>
    <t>temp_id</t>
    <phoneticPr fontId="4"/>
  </si>
  <si>
    <t>skill_set_id</t>
    <phoneticPr fontId="6"/>
  </si>
  <si>
    <t>skill_id</t>
    <phoneticPr fontId="6"/>
  </si>
  <si>
    <t>name</t>
    <phoneticPr fontId="6"/>
  </si>
  <si>
    <t>comment</t>
    <phoneticPr fontId="6"/>
  </si>
  <si>
    <t>skill_trigger_id</t>
    <phoneticPr fontId="6"/>
  </si>
  <si>
    <t>first_time</t>
    <phoneticPr fontId="4"/>
  </si>
  <si>
    <t>invoke_rate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</si>
  <si>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</si>
  <si>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</si>
  <si>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</si>
  <si>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</si>
  <si>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neighbor_dead_id</t>
    <phoneticPr fontId="4"/>
  </si>
  <si>
    <t>invoke_weight</t>
    <phoneticPr fontId="4"/>
  </si>
  <si>
    <t>作成者</t>
    <rPh sb="0" eb="3">
      <t>サクセイシャ</t>
    </rPh>
    <phoneticPr fontId="4"/>
  </si>
  <si>
    <t>更新日</t>
    <rPh sb="0" eb="3">
      <t>コウシンニチジ</t>
    </rPh>
    <phoneticPr fontId="4"/>
  </si>
  <si>
    <t>備考（使用箇所）</t>
    <rPh sb="0" eb="2">
      <t>ビコウ</t>
    </rPh>
    <rPh sb="3" eb="7">
      <t>シヨウカショ</t>
    </rPh>
    <phoneticPr fontId="4"/>
  </si>
  <si>
    <t>effect_param</t>
    <phoneticPr fontId="4"/>
  </si>
  <si>
    <t>language</t>
    <phoneticPr fontId="4"/>
  </si>
  <si>
    <t>name</t>
    <phoneticPr fontId="6"/>
  </si>
  <si>
    <t>comment</t>
    <phoneticPr fontId="6"/>
  </si>
  <si>
    <t>ja</t>
    <phoneticPr fontId="4"/>
  </si>
  <si>
    <t>skill_trigger_id</t>
    <phoneticPr fontId="6"/>
  </si>
  <si>
    <t>first_time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</si>
  <si>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</si>
  <si>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</si>
  <si>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</si>
  <si>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</si>
  <si>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invoke_weight</t>
    <phoneticPr fontId="4"/>
  </si>
  <si>
    <t>null</t>
    <phoneticPr fontId="4"/>
  </si>
  <si>
    <t>seq_no</t>
    <phoneticPr fontId="4"/>
  </si>
  <si>
    <t>null</t>
    <phoneticPr fontId="4"/>
  </si>
  <si>
    <t>吉澤</t>
    <rPh sb="0" eb="2">
      <t>ヨシザワ</t>
    </rPh>
    <phoneticPr fontId="4"/>
  </si>
  <si>
    <t>name</t>
    <phoneticPr fontId="4"/>
  </si>
  <si>
    <t>ピヨピヨ</t>
    <phoneticPr fontId="4"/>
  </si>
  <si>
    <t>チック</t>
    <phoneticPr fontId="4"/>
  </si>
  <si>
    <t>ダック</t>
    <phoneticPr fontId="4"/>
  </si>
  <si>
    <t>Lv.</t>
    <phoneticPr fontId="4"/>
  </si>
  <si>
    <t>HP</t>
    <phoneticPr fontId="4"/>
  </si>
  <si>
    <t>Attack</t>
    <phoneticPr fontId="4"/>
  </si>
  <si>
    <t>Defense</t>
    <phoneticPr fontId="4"/>
  </si>
  <si>
    <t>Speed</t>
    <phoneticPr fontId="4"/>
  </si>
  <si>
    <t>[effect:nothing]</t>
    <phoneticPr fontId="4"/>
  </si>
  <si>
    <t>quest_id</t>
    <phoneticPr fontId="4"/>
  </si>
  <si>
    <t>stage_id</t>
    <phoneticPr fontId="4"/>
  </si>
  <si>
    <t>temp_stage</t>
    <phoneticPr fontId="6"/>
  </si>
  <si>
    <t>stage_target</t>
    <phoneticPr fontId="4"/>
  </si>
  <si>
    <t>bonus_id</t>
    <phoneticPr fontId="4"/>
  </si>
  <si>
    <t>bonus_type</t>
    <phoneticPr fontId="4"/>
  </si>
  <si>
    <t>bonus_value</t>
    <phoneticPr fontId="4"/>
  </si>
  <si>
    <t>bonus_count</t>
    <phoneticPr fontId="4"/>
  </si>
  <si>
    <t>skill_level</t>
    <phoneticPr fontId="4"/>
  </si>
  <si>
    <t>weight</t>
    <phoneticPr fontId="4"/>
  </si>
  <si>
    <t>definite_start_date</t>
    <phoneticPr fontId="4"/>
  </si>
  <si>
    <t>definite_end_date</t>
    <phoneticPr fontId="4"/>
  </si>
  <si>
    <t>unit</t>
  </si>
  <si>
    <t>2015-03-27 00:00:00</t>
  </si>
  <si>
    <t>2970-01-01 09:00:00</t>
  </si>
  <si>
    <t>temp_id</t>
    <phoneticPr fontId="4"/>
  </si>
  <si>
    <t>hint_type</t>
    <phoneticPr fontId="4"/>
  </si>
  <si>
    <t>quest_id</t>
    <phoneticPr fontId="4"/>
  </si>
  <si>
    <t>name</t>
    <phoneticPr fontId="4"/>
  </si>
  <si>
    <t>stage_id</t>
    <phoneticPr fontId="4"/>
  </si>
  <si>
    <t>name</t>
    <phoneticPr fontId="4"/>
  </si>
  <si>
    <t>floor_id</t>
    <phoneticPr fontId="4"/>
  </si>
  <si>
    <t>tmp_hint_id</t>
    <phoneticPr fontId="4"/>
  </si>
  <si>
    <t>hint_id</t>
    <phoneticPr fontId="4"/>
  </si>
  <si>
    <t>language</t>
    <phoneticPr fontId="4"/>
  </si>
  <si>
    <t>title</t>
    <phoneticPr fontId="4"/>
  </si>
  <si>
    <t>hint</t>
    <phoneticPr fontId="4"/>
  </si>
  <si>
    <t>filename</t>
    <phoneticPr fontId="4"/>
  </si>
  <si>
    <t>complete</t>
  </si>
  <si>
    <t>ja</t>
    <phoneticPr fontId="4"/>
  </si>
  <si>
    <t>NULL</t>
    <phoneticPr fontId="4"/>
  </si>
  <si>
    <t>stage_bug_bonuses_</t>
    <phoneticPr fontId="4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</si>
  <si>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</si>
  <si>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t>bugbonuses</t>
    <phoneticPr fontId="4"/>
  </si>
  <si>
    <t>stage_id</t>
    <phoneticPr fontId="4"/>
  </si>
  <si>
    <t>stage_target</t>
    <phoneticPr fontId="4"/>
  </si>
  <si>
    <t>bonus_id</t>
    <phoneticPr fontId="4"/>
  </si>
  <si>
    <t>bonus_type</t>
    <phoneticPr fontId="4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</si>
  <si>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4"/>
  </si>
  <si>
    <t>stage_hints</t>
  </si>
  <si>
    <t>hint_id</t>
    <phoneticPr fontId="4"/>
  </si>
  <si>
    <t>floor_id</t>
    <phoneticPr fontId="4"/>
  </si>
  <si>
    <t>hint_type</t>
    <phoneticPr fontId="4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</si>
  <si>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4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</si>
  <si>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</si>
  <si>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t>hint_id</t>
    <phoneticPr fontId="4"/>
  </si>
  <si>
    <t>language</t>
    <phoneticPr fontId="4"/>
  </si>
  <si>
    <t>hint</t>
    <phoneticPr fontId="4"/>
  </si>
  <si>
    <t>filename</t>
  </si>
  <si>
    <t>title</t>
    <phoneticPr fontId="4"/>
  </si>
  <si>
    <t>old</t>
    <phoneticPr fontId="4"/>
  </si>
  <si>
    <t>skip</t>
    <phoneticPr fontId="4"/>
  </si>
  <si>
    <t>lockbit</t>
    <phoneticPr fontId="4"/>
  </si>
  <si>
    <t>キング</t>
    <phoneticPr fontId="4"/>
  </si>
  <si>
    <t>黄金の果実</t>
    <rPh sb="0" eb="2">
      <t>オウゴン</t>
    </rPh>
    <rPh sb="3" eb="5">
      <t>カジツ</t>
    </rPh>
    <phoneticPr fontId="4"/>
  </si>
  <si>
    <t>ラッキー！？</t>
    <phoneticPr fontId="4"/>
  </si>
  <si>
    <t>null</t>
    <phoneticPr fontId="4"/>
  </si>
  <si>
    <t>この果実はドロップしないが
倒すと大量ビットが手に入る！</t>
    <rPh sb="2" eb="4">
      <t>カジツ</t>
    </rPh>
    <rPh sb="14" eb="15">
      <t>タオ</t>
    </rPh>
    <rPh sb="17" eb="19">
      <t>タイリョウ</t>
    </rPh>
    <rPh sb="23" eb="24">
      <t>テ</t>
    </rPh>
    <rPh sb="25" eb="26">
      <t>ハイ</t>
    </rPh>
    <phoneticPr fontId="4"/>
  </si>
  <si>
    <t>「神は サイコロを振らない」グワッ</t>
    <rPh sb="1" eb="2">
      <t>カミ</t>
    </rPh>
    <rPh sb="9" eb="10">
      <t>フ</t>
    </rPh>
    <phoneticPr fontId="4"/>
  </si>
  <si>
    <t>「早起きは 三文の徳」だグワッ</t>
    <rPh sb="1" eb="3">
      <t>ハヤオ</t>
    </rPh>
    <phoneticPr fontId="4"/>
  </si>
  <si>
    <t>[effect:change_block, new_block:crack_bomb, target:block_all, color:block_yellow, count:3, val:12, animation:change_block]</t>
    <phoneticPr fontId="4"/>
  </si>
  <si>
    <t>「果報は寝て待て」グワッ</t>
    <rPh sb="1" eb="3">
      <t>カホウ</t>
    </rPh>
    <rPh sb="4" eb="5">
      <t>ネ</t>
    </rPh>
    <phoneticPr fontId="4"/>
  </si>
  <si>
    <t>[effect:sleep, target:enemy_all, turn:-1, rate:1]</t>
    <phoneticPr fontId="4"/>
  </si>
  <si>
    <t>null</t>
    <phoneticPr fontId="4"/>
  </si>
  <si>
    <t>[effect:change_block, new_block:time_bomb, target:block_all, count:3, val:0.1, min_time_count:3, max_time_count:3]</t>
    <phoneticPr fontId="4"/>
  </si>
  <si>
    <t>[effect:change_block, new_block:time_bomb, target:block_all, count:2, val:0.15, min_time_count:2, max_time_count:2]</t>
    <phoneticPr fontId="4"/>
  </si>
  <si>
    <t>[effect:change_block, new_block:time_bomb, target:block_all, count:1, val:0.3, min_time_count:1, max_time_count:1]</t>
    <phoneticPr fontId="4"/>
  </si>
  <si>
    <t>[effect:change_block, new_block:time_bomb, target:block_all, count:4, val:0.07, min_time_count:4, max_time_count:4]</t>
    <phoneticPr fontId="4"/>
  </si>
  <si>
    <t>[effect:change_block, new_block:time_bomb, target:block_all, count:5, val:0.06, min_time_count:5, max_time_count:5]</t>
    <phoneticPr fontId="4"/>
  </si>
  <si>
    <t>[effect:change_block, new_block:time_bomb, target:block_all, count:6, val:0.05, min_time_count:6, max_time_count:6]</t>
    <phoneticPr fontId="4"/>
  </si>
  <si>
    <t>ゴールドキングが あらわれて
全員で 眠りはじめた！</t>
    <rPh sb="15" eb="17">
      <t>ゼンイン</t>
    </rPh>
    <rPh sb="19" eb="20">
      <t>ネム</t>
    </rPh>
    <phoneticPr fontId="4"/>
  </si>
  <si>
    <t>ゴールドキングが あらわれて
時限式ダメージパネルを 1個つくった！</t>
    <rPh sb="15" eb="18">
      <t>ジゲンシキ</t>
    </rPh>
    <rPh sb="28" eb="29">
      <t>コ</t>
    </rPh>
    <phoneticPr fontId="4"/>
  </si>
  <si>
    <t>ゴールドキングが あらわれて
時限式ダメージパネルを 2個つくった！</t>
    <rPh sb="15" eb="18">
      <t>ジゲンシキ</t>
    </rPh>
    <rPh sb="28" eb="29">
      <t>コ</t>
    </rPh>
    <phoneticPr fontId="4"/>
  </si>
  <si>
    <t>ゴールドキングが あらわれて
ボムパネルを 3個つくった！</t>
    <rPh sb="23" eb="24">
      <t>コ</t>
    </rPh>
    <phoneticPr fontId="4"/>
  </si>
  <si>
    <t>ゴールドキングが あらわれて
時限式ダメージパネルを 6個つくった！</t>
    <rPh sb="15" eb="18">
      <t>ジゲンシキ</t>
    </rPh>
    <rPh sb="28" eb="29">
      <t>コ</t>
    </rPh>
    <phoneticPr fontId="4"/>
  </si>
  <si>
    <t>ゴールドキングが あらわれて
時限式ダメージパネルを 5個つくった！</t>
    <rPh sb="15" eb="18">
      <t>ジゲンシキ</t>
    </rPh>
    <rPh sb="28" eb="29">
      <t>コ</t>
    </rPh>
    <phoneticPr fontId="4"/>
  </si>
  <si>
    <t>ゴールドキングが あらわれて
時限式ダメージパネルを 4個つくった！</t>
    <rPh sb="15" eb="18">
      <t>ジゲンシキ</t>
    </rPh>
    <rPh sb="28" eb="29">
      <t>コ</t>
    </rPh>
    <phoneticPr fontId="4"/>
  </si>
  <si>
    <t>ゴールドキングが あらわれて
時限式ダメージパネルを 3個つくった！</t>
    <rPh sb="15" eb="18">
      <t>ジゲンシキ</t>
    </rPh>
    <rPh sb="28" eb="29">
      <t>コ</t>
    </rPh>
    <phoneticPr fontId="4"/>
  </si>
  <si>
    <t>ゴールドキングは 格言好き</t>
    <rPh sb="9" eb="12">
      <t>カクゲンズ</t>
    </rPh>
    <phoneticPr fontId="4"/>
  </si>
  <si>
    <t>１２３４５６７８９０１２３４５６７８９０</t>
    <phoneticPr fontId="4"/>
  </si>
  <si>
    <t>落ちない果実の都市伝説</t>
    <rPh sb="0" eb="1">
      <t>オ</t>
    </rPh>
    <rPh sb="4" eb="6">
      <t>カジツ</t>
    </rPh>
    <rPh sb="7" eb="11">
      <t>トシデンセツ</t>
    </rPh>
    <phoneticPr fontId="4"/>
  </si>
  <si>
    <t>ja</t>
    <phoneticPr fontId="4"/>
  </si>
  <si>
    <t>NULL</t>
    <phoneticPr fontId="4"/>
  </si>
  <si>
    <t>ソロプレイのロッククエスト</t>
    <phoneticPr fontId="4"/>
  </si>
  <si>
    <t>LINEマルチのロッククエスト</t>
    <phoneticPr fontId="4"/>
  </si>
  <si>
    <t>いつでも遊べるロッククエストは
LINEマルチの場合 1日3回プレイできます
マルチプレイに参加する場合
回数制限はありません</t>
    <rPh sb="4" eb="5">
      <t>アソ</t>
    </rPh>
    <rPh sb="24" eb="26">
      <t>バアイ</t>
    </rPh>
    <rPh sb="28" eb="29">
      <t>ニチ</t>
    </rPh>
    <rPh sb="30" eb="31">
      <t>カイ</t>
    </rPh>
    <rPh sb="47" eb="49">
      <t>サンカ</t>
    </rPh>
    <rPh sb="51" eb="53">
      <t>バアイ</t>
    </rPh>
    <rPh sb="54" eb="56">
      <t>カイスウ</t>
    </rPh>
    <rPh sb="56" eb="58">
      <t>カイスウセイゲン</t>
    </rPh>
    <phoneticPr fontId="4"/>
  </si>
  <si>
    <t>親分肌のゴールドキングは
覚えたてのことわざや格言を
やたらと使う習性があるようです</t>
    <rPh sb="0" eb="3">
      <t>オヤブンハダ</t>
    </rPh>
    <rPh sb="13" eb="14">
      <t>オボ</t>
    </rPh>
    <rPh sb="23" eb="25">
      <t>カクゲン</t>
    </rPh>
    <rPh sb="31" eb="32">
      <t>ツカ</t>
    </rPh>
    <rPh sb="33" eb="35">
      <t>シュウセイ</t>
    </rPh>
    <phoneticPr fontId="4"/>
  </si>
  <si>
    <t>multionly</t>
    <phoneticPr fontId="4"/>
  </si>
  <si>
    <t>「毒をクヮらば皿まで」だグワッ</t>
    <rPh sb="1" eb="2">
      <t>ドク</t>
    </rPh>
    <rPh sb="7" eb="8">
      <t>サラ</t>
    </rPh>
    <phoneticPr fontId="4"/>
  </si>
  <si>
    <t>「口は災いの元」だグワッ</t>
    <rPh sb="1" eb="2">
      <t>クチ</t>
    </rPh>
    <rPh sb="3" eb="4">
      <t>ワザワ</t>
    </rPh>
    <rPh sb="6" eb="7">
      <t>モト</t>
    </rPh>
    <phoneticPr fontId="4"/>
  </si>
  <si>
    <t>「一寸先は闇」だグワッ</t>
    <rPh sb="1" eb="4">
      <t>イッスンサキ</t>
    </rPh>
    <rPh sb="5" eb="6">
      <t>ヤミ</t>
    </rPh>
    <phoneticPr fontId="4"/>
  </si>
  <si>
    <t>[effect:dark, target:unit_all, turn:1, animation:enemy_dark]</t>
    <phoneticPr fontId="4"/>
  </si>
  <si>
    <t>ゴールドキングが あらわれて
毒を皿ごと食べてしまった！</t>
    <rPh sb="15" eb="16">
      <t>ドク</t>
    </rPh>
    <rPh sb="17" eb="18">
      <t>サラ</t>
    </rPh>
    <rPh sb="20" eb="21">
      <t>タ</t>
    </rPh>
    <phoneticPr fontId="4"/>
  </si>
  <si>
    <t>ゴールドキングが あらわれて
口を固く閉ざしてしまった！</t>
    <rPh sb="15" eb="16">
      <t>クチ</t>
    </rPh>
    <rPh sb="17" eb="18">
      <t>カタ</t>
    </rPh>
    <rPh sb="19" eb="20">
      <t>ト</t>
    </rPh>
    <phoneticPr fontId="4"/>
  </si>
  <si>
    <t>「病は気から」だグワッ</t>
    <rPh sb="1" eb="2">
      <t>ヤマイ</t>
    </rPh>
    <rPh sb="3" eb="4">
      <t>キ</t>
    </rPh>
    <phoneticPr fontId="4"/>
  </si>
  <si>
    <t>ゴールドキングが あらわれて
状態異常が効かない体質になった！</t>
    <rPh sb="15" eb="19">
      <t>ジョウタイイジョウ</t>
    </rPh>
    <rPh sb="20" eb="21">
      <t>キ</t>
    </rPh>
    <rPh sb="24" eb="26">
      <t>タイシツ</t>
    </rPh>
    <phoneticPr fontId="4"/>
  </si>
  <si>
    <t>[effect:hungup, target:enemy_all, turn:-1, rate:1]</t>
    <phoneticPr fontId="4"/>
  </si>
  <si>
    <t>[effect:tolerance, target:enemy_all, turn:-1, tolerance_effect:all, count:-1, animation:enemy_tolerance]</t>
    <phoneticPr fontId="4"/>
  </si>
  <si>
    <t>ゴールドキングが あらわれて
1ターンの間 を闇つくった！</t>
    <rPh sb="20" eb="21">
      <t>アイダ</t>
    </rPh>
    <rPh sb="23" eb="24">
      <t>ヤミ</t>
    </rPh>
    <phoneticPr fontId="4"/>
  </si>
  <si>
    <t>[effect:virus, target:enemy_all, turn:-1, rate:1, val:0.3]</t>
    <phoneticPr fontId="4"/>
  </si>
  <si>
    <t>「飛ぶ鳥、後を濁さず」だグワッ</t>
    <rPh sb="1" eb="2">
      <t>ト</t>
    </rPh>
    <rPh sb="3" eb="10">
      <t>トリアト</t>
    </rPh>
    <phoneticPr fontId="4"/>
  </si>
  <si>
    <t>仲間と共に 飛び去っていった…</t>
    <rPh sb="0" eb="2">
      <t>ナカマ</t>
    </rPh>
    <rPh sb="3" eb="4">
      <t>トモ</t>
    </rPh>
    <rPh sb="6" eb="7">
      <t>ト</t>
    </rPh>
    <rPh sb="8" eb="9">
      <t>サ</t>
    </rPh>
    <phoneticPr fontId="4"/>
  </si>
  <si>
    <t>ハイローラーのステージに
ドロップしない果実が出現するという
ミミよりなウワサを ミミにしました</t>
    <rPh sb="20" eb="22">
      <t>カジツ</t>
    </rPh>
    <rPh sb="23" eb="25">
      <t>シュツゲン</t>
    </rPh>
    <phoneticPr fontId="4"/>
  </si>
  <si>
    <t>[effect:suicide, val:1, dead_type:escape, target:enemy_all, animation:enemy_suicide][effect:sleep, target:unit_all, turn:1, rate:1]</t>
    <phoneticPr fontId="4"/>
  </si>
  <si>
    <t>いつでも遊べるロッククエストは
ソロの場合 1日5回プレイできます</t>
    <rPh sb="4" eb="5">
      <t>アソ</t>
    </rPh>
    <rPh sb="19" eb="21">
      <t>バアイ</t>
    </rPh>
    <rPh sb="23" eb="24">
      <t>ニチ</t>
    </rPh>
    <rPh sb="25" eb="26">
      <t>カイ</t>
    </rPh>
    <phoneticPr fontId="4"/>
  </si>
  <si>
    <t>今日の運勢は…</t>
  </si>
  <si>
    <t>[表示しない]</t>
  </si>
  <si>
    <t>大吉グワッ</t>
  </si>
  <si>
    <t>中吉グワッ</t>
  </si>
  <si>
    <t>「青天のへきれき」グワッ</t>
    <rPh sb="1" eb="3">
      <t>セイテン</t>
    </rPh>
    <phoneticPr fontId="1"/>
  </si>
  <si>
    <t>「朱に交われば赤くなる」グワッ</t>
    <rPh sb="1" eb="2">
      <t>シュ</t>
    </rPh>
    <rPh sb="3" eb="4">
      <t>マジ</t>
    </rPh>
    <phoneticPr fontId="1"/>
  </si>
  <si>
    <t>「くちばしが黄色い」グワッ</t>
  </si>
  <si>
    <t>「敵に塩を送る」グワッ</t>
    <rPh sb="1" eb="2">
      <t>テキ</t>
    </rPh>
    <rPh sb="3" eb="4">
      <t>シオ</t>
    </rPh>
    <rPh sb="5" eb="6">
      <t>オク</t>
    </rPh>
    <phoneticPr fontId="1"/>
  </si>
  <si>
    <t>[effect:enemy_message, val1:1.7, val2:0.0],[effect:nothing]</t>
    <phoneticPr fontId="4"/>
  </si>
  <si>
    <t>小吉グワッ</t>
    <phoneticPr fontId="4"/>
  </si>
  <si>
    <t>確率でボムパネルをドロップ</t>
    <phoneticPr fontId="4"/>
  </si>
  <si>
    <t>[effect:enemy_message, val1:1.2, val2:2.5],[effect:sleep, target:enemy_all, turn:-1, rate:1]</t>
  </si>
  <si>
    <t>[effect:enemy_message, val1:1.5, val2:2.8],[effect:change_block, new_block:crack_bomb, target:block_all, color:block_yellow, count:3, val:12, animation:change_block]</t>
  </si>
  <si>
    <t>[effect:enemy_message, val1:1.5, val2:2.7],[effect:virus, target:enemy_all, turn:-1, rate:1, val:0.3]</t>
  </si>
  <si>
    <t>[effect:enemy_message, val1:1.2, val2:2.7],[effect:hungup, target:enemy_all, turn:-1, rate:1]</t>
  </si>
  <si>
    <t>[effect:enemy_message, val1:1.2, val2:3.0],[effect:tolerance, target:enemy_all, turn:-1, tolerance_effect:all, count:-1, animation:enemy_tolerance]</t>
  </si>
  <si>
    <t>[effect:enemy_message, val1:1.5, val2:1.5],[effect:suicide, val:1, dead_type:escape, target:enemy_all, animation:enemy_suicide],[effect:sleep, target:unit_all, turn:1, rate:1]</t>
  </si>
  <si>
    <t>[effect:enemy_message, val1:1.2, val2:3.9],[effect:sp_boost, target:unit_all, val:1, animation:sp_boost_one02],[effect:drop_block, block_type:crash, color:block_all, val:8, rate:0.1, turn:-1, animation:crash_influence04]</t>
    <phoneticPr fontId="4"/>
  </si>
  <si>
    <t>「やなぎは緑 花はくれない」グワッ</t>
    <phoneticPr fontId="4"/>
  </si>
  <si>
    <t>「立つ鳥、後を濁さず」だグワッ</t>
    <rPh sb="3" eb="10">
      <t>トリアト</t>
    </rPh>
    <phoneticPr fontId="4"/>
  </si>
  <si>
    <t>ゴールドキングが あらわれて
全てのパネルを 青パネルにしてしまった！</t>
    <phoneticPr fontId="4"/>
  </si>
  <si>
    <t>ゴールドキングが あらわれて
全てのパネルを 赤パネルにしてしまった！</t>
    <phoneticPr fontId="4"/>
  </si>
  <si>
    <t>ゴールドキングが あらわれて
全てのパネルを 緑パネルにしてしまった！</t>
    <phoneticPr fontId="4"/>
  </si>
  <si>
    <t>ゴールドキングが あらわれて
全てのパネルを 黄パネルにしてしまった！</t>
    <phoneticPr fontId="4"/>
  </si>
  <si>
    <t>ゴールドキングの援助で
全ユニットがやる気になった！</t>
    <phoneticPr fontId="4"/>
  </si>
  <si>
    <t xml:space="preserve">[effect:enemy_message, val1:1.2, val2:3.4],[effect:force_change_block, new_block:block_blue, target:block_all, count:0, val:0]    </t>
  </si>
  <si>
    <t xml:space="preserve">[effect:enemy_message, val1:1.5, val2:3.4],[effect:force_change_block, new_block:block_red, target:block_all, count:0, val:0]    </t>
  </si>
  <si>
    <t xml:space="preserve">[effect:enemy_message, val1:1.7, val2:3.4],[effect:force_change_block, new_block:block_green, target:block_all, count:0, val:0]    </t>
  </si>
  <si>
    <t xml:space="preserve">[effect:enemy_message, val1:1.3, val2:3.4],[effect:force_change_block, new_block:block_yellow, target:block_all, count:0, val:0]    </t>
  </si>
  <si>
    <t xml:space="preserve">[effect:enemy_message, val1:1.2, val2:2.5],[effect:enhance_unit, target:unit_all, turn:-1, status:attack, val:0.5, calc:mul],[effect:enhance_unit, target:unit_all, turn:-1, status:heal, val:0.5, calc:mul],[effect:enhance_unit, target:unit_all, turn:-1, status:defense, val:1000, calc:add]     </t>
  </si>
  <si>
    <t>全ユニットのスキルゲージを1ターン減少+
確率で先頭ユニットのCパネルをドロップ</t>
    <phoneticPr fontId="4"/>
  </si>
  <si>
    <t>[effect:enemy_message, val1:1.2, val2:1.3],[effect:drop_block, block_type:crack_bomb, color:block_all, val:12, rate:0.1, turn:-1, animation:bomb_influence04]</t>
    <phoneticPr fontId="4"/>
  </si>
  <si>
    <t>全ユニットのスキルゲージMAX+
確率でボムパネル&amp;先頭ユニットのCパネル(大)をドロップ</t>
    <phoneticPr fontId="4"/>
  </si>
  <si>
    <t>[effect:enemy_message, val1:1.2, val2:4.4],[effect:sp_boost, target:unit_all, val:99, animation:sp_boost_one03],[effect:drop_block, block_type:crack_bomb, color:block_all, val:12, rate:0.05, turn:-1, animation:bomb_influence04],[effect:drop_block, block_type:crash, color:block_all, val:11, rate:0.05, turn:-1, animation:crash_influence04]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</si>
</sst>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2"/>
      <color indexed="52"/>
      <name val="ＭＳ Ｐゴシック"/>
      <family val="3"/>
      <charset val="128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1"/>
      <color theme="1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indexed="24"/>
      </patternFill>
    </fill>
    <fill>
      <patternFill patternType="solid">
        <fgColor theme="7" tint="0.79998168889431442"/>
        <bgColor indexed="2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/>
      <top style="thin">
        <color auto="1"/>
      </top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</borders>
  <cellStyleXfs count="1602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>
      <alignment vertical="center"/>
    </xf>
    <xf numFmtId="0" fontId="16" fillId="0" borderId="0"/>
    <xf numFmtId="38" fontId="17" fillId="0" borderId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12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  <xf numFmtId="0" fontId="31" fillId="17" borderId="12" applyNumberFormat="0" applyAlignment="0" applyProtection="0"/>
    <xf numFmtId="0" fontId="32" fillId="18" borderId="0" applyNumberFormat="0" applyBorder="0" applyAlignment="0" applyProtection="0"/>
    <xf numFmtId="0" fontId="33" fillId="19" borderId="13" applyNumberFormat="0" applyAlignment="0" applyProtection="0"/>
    <xf numFmtId="0" fontId="34" fillId="0" borderId="0" applyNumberFormat="0" applyFill="0" applyBorder="0" applyAlignment="0" applyProtection="0"/>
    <xf numFmtId="0" fontId="35" fillId="20" borderId="0" applyNumberFormat="0" applyBorder="0" applyAlignment="0" applyProtection="0"/>
    <xf numFmtId="0" fontId="36" fillId="21" borderId="14" applyNumberFormat="0" applyAlignment="0" applyProtection="0"/>
    <xf numFmtId="0" fontId="37" fillId="0" borderId="0" applyNumberFormat="0" applyFill="0" applyBorder="0" applyAlignment="0" applyProtection="0"/>
    <xf numFmtId="0" fontId="38" fillId="0" borderId="15" applyNumberFormat="0" applyFill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0" fillId="0" borderId="0" applyNumberFormat="0" applyFill="0" applyBorder="0" applyAlignment="0" applyProtection="0"/>
    <xf numFmtId="0" fontId="41" fillId="19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19" borderId="0" applyNumberFormat="0" applyBorder="0" applyAlignment="0" applyProtection="0"/>
    <xf numFmtId="0" fontId="41" fillId="23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4" borderId="0" applyNumberFormat="0" applyBorder="0" applyAlignment="0" applyProtection="0"/>
    <xf numFmtId="0" fontId="41" fillId="22" borderId="0" applyNumberFormat="0" applyBorder="0" applyAlignment="0" applyProtection="0"/>
    <xf numFmtId="0" fontId="41" fillId="19" borderId="0" applyNumberFormat="0" applyBorder="0" applyAlignment="0" applyProtection="0"/>
    <xf numFmtId="0" fontId="41" fillId="25" borderId="0" applyNumberFormat="0" applyBorder="0" applyAlignment="0" applyProtection="0"/>
    <xf numFmtId="0" fontId="41" fillId="18" borderId="0" applyNumberFormat="0" applyBorder="0" applyAlignment="0" applyProtection="0"/>
    <xf numFmtId="0" fontId="42" fillId="26" borderId="0" applyNumberFormat="0" applyBorder="0" applyAlignment="0" applyProtection="0"/>
    <xf numFmtId="0" fontId="42" fillId="24" borderId="0" applyNumberFormat="0" applyBorder="0" applyAlignment="0" applyProtection="0"/>
    <xf numFmtId="0" fontId="42" fillId="22" borderId="0" applyNumberFormat="0" applyBorder="0" applyAlignment="0" applyProtection="0"/>
    <xf numFmtId="0" fontId="42" fillId="19" borderId="0" applyNumberFormat="0" applyBorder="0" applyAlignment="0" applyProtection="0"/>
    <xf numFmtId="0" fontId="42" fillId="26" borderId="0" applyNumberFormat="0" applyBorder="0" applyAlignment="0" applyProtection="0"/>
    <xf numFmtId="0" fontId="42" fillId="18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6" borderId="0" applyNumberFormat="0" applyBorder="0" applyAlignment="0" applyProtection="0"/>
    <xf numFmtId="0" fontId="42" fillId="27" borderId="0" applyNumberFormat="0" applyBorder="0" applyAlignment="0" applyProtection="0"/>
    <xf numFmtId="0" fontId="42" fillId="22" borderId="0" applyNumberFormat="0" applyBorder="0" applyAlignment="0" applyProtection="0"/>
    <xf numFmtId="0" fontId="42" fillId="28" borderId="0" applyNumberFormat="0" applyBorder="0" applyAlignment="0" applyProtection="0"/>
    <xf numFmtId="0" fontId="42" fillId="26" borderId="0" applyNumberFormat="0" applyBorder="0" applyAlignment="0" applyProtection="0"/>
    <xf numFmtId="0" fontId="42" fillId="24" borderId="0" applyNumberFormat="0" applyBorder="0" applyAlignment="0" applyProtection="0"/>
    <xf numFmtId="0" fontId="43" fillId="29" borderId="0" applyNumberFormat="0" applyBorder="0" applyAlignment="0" applyProtection="0"/>
    <xf numFmtId="0" fontId="32" fillId="18" borderId="0" applyNumberFormat="0" applyBorder="0" applyAlignment="0" applyProtection="0"/>
    <xf numFmtId="0" fontId="44" fillId="0" borderId="18" applyNumberFormat="0" applyFill="0" applyAlignment="0" applyProtection="0"/>
    <xf numFmtId="0" fontId="45" fillId="19" borderId="19" applyNumberFormat="0" applyAlignment="0" applyProtection="0"/>
    <xf numFmtId="0" fontId="45" fillId="30" borderId="19" applyNumberFormat="0" applyAlignment="0" applyProtection="0"/>
    <xf numFmtId="0" fontId="33" fillId="18" borderId="13" applyNumberFormat="0" applyAlignment="0" applyProtection="0"/>
    <xf numFmtId="0" fontId="46" fillId="0" borderId="20" applyNumberFormat="0" applyFill="0" applyAlignment="0" applyProtection="0"/>
    <xf numFmtId="0" fontId="47" fillId="30" borderId="1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1" applyNumberFormat="0" applyFill="0" applyAlignment="0" applyProtection="0"/>
    <xf numFmtId="0" fontId="1" fillId="0" borderId="0"/>
    <xf numFmtId="0" fontId="1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218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7" fontId="7" fillId="0" borderId="4" xfId="0" applyNumberFormat="1" applyFont="1" applyBorder="1" applyAlignment="1">
      <alignment vertical="center"/>
    </xf>
    <xf numFmtId="0" fontId="12" fillId="8" borderId="7" xfId="530" applyFont="1" applyFill="1" applyBorder="1" applyAlignment="1"/>
    <xf numFmtId="0" fontId="12" fillId="8" borderId="7" xfId="0" applyFont="1" applyFill="1" applyBorder="1"/>
    <xf numFmtId="0" fontId="0" fillId="8" borderId="7" xfId="0" applyFill="1" applyBorder="1"/>
    <xf numFmtId="0" fontId="14" fillId="0" borderId="7" xfId="530" applyBorder="1" applyAlignment="1"/>
    <xf numFmtId="0" fontId="0" fillId="0" borderId="7" xfId="0" applyBorder="1"/>
    <xf numFmtId="0" fontId="0" fillId="6" borderId="7" xfId="0" applyFill="1" applyBorder="1"/>
    <xf numFmtId="0" fontId="15" fillId="9" borderId="7" xfId="0" applyFont="1" applyFill="1" applyBorder="1"/>
    <xf numFmtId="0" fontId="11" fillId="7" borderId="0" xfId="0" applyFont="1" applyFill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7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24" fillId="6" borderId="7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0" borderId="7" xfId="0" applyFont="1" applyFill="1" applyBorder="1" applyAlignment="1">
      <alignment vertical="center"/>
    </xf>
    <xf numFmtId="0" fontId="24" fillId="3" borderId="7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10" fillId="6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24" fillId="13" borderId="7" xfId="0" applyFont="1" applyFill="1" applyBorder="1" applyAlignment="1">
      <alignment vertical="center"/>
    </xf>
    <xf numFmtId="0" fontId="24" fillId="13" borderId="7" xfId="0" applyFont="1" applyFill="1" applyBorder="1" applyAlignment="1">
      <alignment horizontal="left" vertical="center"/>
    </xf>
    <xf numFmtId="0" fontId="24" fillId="13" borderId="7" xfId="0" applyFont="1" applyFill="1" applyBorder="1" applyAlignment="1">
      <alignment horizontal="left" vertical="center" wrapText="1"/>
    </xf>
    <xf numFmtId="14" fontId="24" fillId="13" borderId="7" xfId="0" applyNumberFormat="1" applyFont="1" applyFill="1" applyBorder="1" applyAlignment="1">
      <alignment horizontal="left" vertical="center"/>
    </xf>
    <xf numFmtId="0" fontId="24" fillId="13" borderId="0" xfId="0" applyFont="1" applyFill="1" applyAlignment="1">
      <alignment vertical="center"/>
    </xf>
    <xf numFmtId="0" fontId="24" fillId="6" borderId="7" xfId="1268" applyFont="1" applyFill="1" applyBorder="1" applyAlignment="1">
      <alignment horizontal="left"/>
    </xf>
    <xf numFmtId="0" fontId="13" fillId="7" borderId="0" xfId="1268" applyFont="1" applyFill="1" applyAlignment="1">
      <alignment horizontal="center" vertical="center"/>
    </xf>
    <xf numFmtId="0" fontId="24" fillId="3" borderId="7" xfId="1268" applyFont="1" applyFill="1" applyBorder="1" applyAlignment="1">
      <alignment horizontal="left"/>
    </xf>
    <xf numFmtId="0" fontId="0" fillId="6" borderId="7" xfId="1269" applyFont="1" applyFill="1" applyBorder="1"/>
    <xf numFmtId="0" fontId="0" fillId="3" borderId="7" xfId="0" applyFill="1" applyBorder="1"/>
    <xf numFmtId="0" fontId="0" fillId="0" borderId="7" xfId="0" applyFill="1" applyBorder="1"/>
    <xf numFmtId="0" fontId="12" fillId="7" borderId="0" xfId="0" applyFont="1" applyFill="1" applyAlignment="1">
      <alignment horizontal="center"/>
    </xf>
    <xf numFmtId="0" fontId="26" fillId="6" borderId="7" xfId="0" applyFont="1" applyFill="1" applyBorder="1" applyAlignment="1">
      <alignment horizontal="center"/>
    </xf>
    <xf numFmtId="0" fontId="24" fillId="6" borderId="7" xfId="0" applyFont="1" applyFill="1" applyBorder="1" applyAlignment="1">
      <alignment horizontal="center"/>
    </xf>
    <xf numFmtId="0" fontId="24" fillId="3" borderId="7" xfId="0" applyFont="1" applyFill="1" applyBorder="1" applyAlignment="1">
      <alignment horizontal="center"/>
    </xf>
    <xf numFmtId="0" fontId="24" fillId="14" borderId="7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6" borderId="7" xfId="0" applyFont="1" applyFill="1" applyBorder="1" applyAlignment="1">
      <alignment horizontal="center"/>
    </xf>
    <xf numFmtId="56" fontId="24" fillId="16" borderId="7" xfId="0" applyNumberFormat="1" applyFont="1" applyFill="1" applyBorder="1" applyAlignment="1">
      <alignment horizontal="center"/>
    </xf>
    <xf numFmtId="0" fontId="0" fillId="16" borderId="7" xfId="0" applyFill="1" applyBorder="1"/>
    <xf numFmtId="0" fontId="12" fillId="7" borderId="0" xfId="0" applyFont="1" applyFill="1"/>
    <xf numFmtId="0" fontId="26" fillId="0" borderId="7" xfId="0" applyFont="1" applyFill="1" applyBorder="1"/>
    <xf numFmtId="0" fontId="28" fillId="3" borderId="11" xfId="0" applyFont="1" applyFill="1" applyBorder="1" applyAlignment="1">
      <alignment vertical="center"/>
    </xf>
    <xf numFmtId="0" fontId="29" fillId="0" borderId="7" xfId="0" applyFont="1" applyFill="1" applyBorder="1"/>
    <xf numFmtId="0" fontId="28" fillId="0" borderId="11" xfId="0" applyFont="1" applyFill="1" applyBorder="1" applyAlignment="1">
      <alignment vertical="center"/>
    </xf>
    <xf numFmtId="0" fontId="29" fillId="14" borderId="7" xfId="0" applyFont="1" applyFill="1" applyBorder="1"/>
    <xf numFmtId="0" fontId="29" fillId="15" borderId="7" xfId="0" applyFont="1" applyFill="1" applyBorder="1"/>
    <xf numFmtId="0" fontId="26" fillId="0" borderId="0" xfId="0" applyFont="1" applyFill="1"/>
    <xf numFmtId="0" fontId="0" fillId="0" borderId="7" xfId="1269" applyFont="1" applyBorder="1"/>
    <xf numFmtId="0" fontId="1" fillId="8" borderId="7" xfId="1269" applyFill="1" applyBorder="1"/>
    <xf numFmtId="0" fontId="1" fillId="0" borderId="7" xfId="1269" applyBorder="1"/>
    <xf numFmtId="56" fontId="24" fillId="6" borderId="7" xfId="0" applyNumberFormat="1" applyFont="1" applyFill="1" applyBorder="1" applyAlignment="1">
      <alignment horizontal="center"/>
    </xf>
    <xf numFmtId="0" fontId="1" fillId="0" borderId="0" xfId="1269"/>
    <xf numFmtId="49" fontId="0" fillId="0" borderId="7" xfId="0" applyNumberFormat="1" applyFill="1" applyBorder="1"/>
    <xf numFmtId="0" fontId="1" fillId="6" borderId="7" xfId="1269" applyFill="1" applyBorder="1"/>
    <xf numFmtId="177" fontId="0" fillId="0" borderId="0" xfId="0" applyNumberFormat="1"/>
    <xf numFmtId="49" fontId="30" fillId="0" borderId="7" xfId="0" applyNumberFormat="1" applyFont="1" applyFill="1" applyBorder="1" applyAlignment="1">
      <alignment wrapText="1"/>
    </xf>
    <xf numFmtId="49" fontId="0" fillId="0" borderId="0" xfId="0" applyNumberFormat="1"/>
    <xf numFmtId="0" fontId="3" fillId="31" borderId="1" xfId="0" applyFont="1" applyFill="1" applyBorder="1" applyAlignment="1">
      <alignment vertical="center"/>
    </xf>
    <xf numFmtId="0" fontId="3" fillId="13" borderId="1" xfId="0" applyFont="1" applyFill="1" applyBorder="1" applyAlignment="1">
      <alignment vertical="center"/>
    </xf>
    <xf numFmtId="176" fontId="3" fillId="31" borderId="3" xfId="0" applyNumberFormat="1" applyFont="1" applyFill="1" applyBorder="1" applyAlignment="1">
      <alignment horizontal="center" vertical="center"/>
    </xf>
    <xf numFmtId="0" fontId="3" fillId="31" borderId="1" xfId="0" applyFont="1" applyFill="1" applyBorder="1" applyAlignment="1">
      <alignment horizontal="center" vertical="center"/>
    </xf>
    <xf numFmtId="0" fontId="5" fillId="32" borderId="3" xfId="0" applyFont="1" applyFill="1" applyBorder="1" applyAlignment="1">
      <alignment vertical="center"/>
    </xf>
    <xf numFmtId="0" fontId="0" fillId="31" borderId="7" xfId="0" applyFill="1" applyBorder="1"/>
    <xf numFmtId="0" fontId="0" fillId="13" borderId="7" xfId="0" applyFill="1" applyBorder="1"/>
    <xf numFmtId="0" fontId="27" fillId="13" borderId="7" xfId="0" applyFont="1" applyFill="1" applyBorder="1"/>
    <xf numFmtId="0" fontId="27" fillId="31" borderId="7" xfId="0" applyFont="1" applyFill="1" applyBorder="1"/>
    <xf numFmtId="49" fontId="30" fillId="3" borderId="7" xfId="0" applyNumberFormat="1" applyFont="1" applyFill="1" applyBorder="1" applyAlignment="1">
      <alignment wrapText="1"/>
    </xf>
    <xf numFmtId="0" fontId="3" fillId="33" borderId="5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3" borderId="7" xfId="0" applyFont="1" applyFill="1" applyBorder="1" applyAlignment="1">
      <alignment vertical="center"/>
    </xf>
    <xf numFmtId="0" fontId="5" fillId="5" borderId="22" xfId="0" applyFont="1" applyFill="1" applyBorder="1" applyAlignment="1">
      <alignment vertical="center"/>
    </xf>
    <xf numFmtId="0" fontId="21" fillId="0" borderId="7" xfId="0" applyFont="1" applyFill="1" applyBorder="1" applyAlignment="1">
      <alignment horizontal="center" vertical="center"/>
    </xf>
    <xf numFmtId="0" fontId="50" fillId="0" borderId="7" xfId="0" applyFont="1" applyFill="1" applyBorder="1" applyAlignment="1">
      <alignment horizontal="center" vertical="center"/>
    </xf>
    <xf numFmtId="0" fontId="3" fillId="0" borderId="23" xfId="0" applyFont="1" applyBorder="1" applyAlignment="1">
      <alignment vertical="center"/>
    </xf>
    <xf numFmtId="0" fontId="5" fillId="34" borderId="3" xfId="0" applyFont="1" applyFill="1" applyBorder="1" applyAlignment="1">
      <alignment vertical="center"/>
    </xf>
    <xf numFmtId="0" fontId="24" fillId="33" borderId="7" xfId="0" applyFont="1" applyFill="1" applyBorder="1" applyAlignment="1">
      <alignment vertical="center"/>
    </xf>
    <xf numFmtId="0" fontId="5" fillId="34" borderId="9" xfId="0" applyFont="1" applyFill="1" applyBorder="1" applyAlignment="1">
      <alignment vertical="center"/>
    </xf>
    <xf numFmtId="176" fontId="3" fillId="0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5" fillId="5" borderId="25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/>
    </xf>
    <xf numFmtId="0" fontId="3" fillId="0" borderId="11" xfId="0" applyFont="1" applyFill="1" applyBorder="1" applyAlignment="1">
      <alignment vertical="center"/>
    </xf>
    <xf numFmtId="0" fontId="3" fillId="0" borderId="11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29" xfId="0" applyFont="1" applyBorder="1" applyAlignment="1">
      <alignment vertical="center"/>
    </xf>
    <xf numFmtId="177" fontId="7" fillId="0" borderId="29" xfId="0" applyNumberFormat="1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3" fillId="0" borderId="30" xfId="0" applyFont="1" applyBorder="1" applyAlignment="1">
      <alignment vertical="center"/>
    </xf>
    <xf numFmtId="0" fontId="11" fillId="7" borderId="31" xfId="0" applyFont="1" applyFill="1" applyBorder="1" applyAlignment="1">
      <alignment vertical="center"/>
    </xf>
    <xf numFmtId="0" fontId="5" fillId="5" borderId="32" xfId="0" applyFont="1" applyFill="1" applyBorder="1" applyAlignment="1">
      <alignment vertical="center"/>
    </xf>
    <xf numFmtId="0" fontId="3" fillId="3" borderId="33" xfId="0" applyFont="1" applyFill="1" applyBorder="1" applyAlignment="1">
      <alignment horizontal="center" vertical="center"/>
    </xf>
    <xf numFmtId="0" fontId="3" fillId="0" borderId="33" xfId="0" applyFont="1" applyFill="1" applyBorder="1" applyAlignment="1">
      <alignment vertical="center"/>
    </xf>
    <xf numFmtId="0" fontId="3" fillId="3" borderId="33" xfId="0" applyFont="1" applyFill="1" applyBorder="1" applyAlignment="1">
      <alignment vertical="center"/>
    </xf>
    <xf numFmtId="0" fontId="5" fillId="5" borderId="37" xfId="0" applyFont="1" applyFill="1" applyBorder="1" applyAlignment="1">
      <alignment vertical="center"/>
    </xf>
    <xf numFmtId="0" fontId="5" fillId="5" borderId="38" xfId="0" applyFont="1" applyFill="1" applyBorder="1" applyAlignment="1">
      <alignment vertical="center"/>
    </xf>
    <xf numFmtId="0" fontId="24" fillId="13" borderId="11" xfId="0" applyFont="1" applyFill="1" applyBorder="1" applyAlignment="1">
      <alignment vertical="center"/>
    </xf>
    <xf numFmtId="0" fontId="24" fillId="0" borderId="11" xfId="0" applyFont="1" applyFill="1" applyBorder="1" applyAlignment="1">
      <alignment vertical="center"/>
    </xf>
    <xf numFmtId="0" fontId="13" fillId="7" borderId="39" xfId="0" applyFont="1" applyFill="1" applyBorder="1" applyAlignment="1">
      <alignment vertical="center"/>
    </xf>
    <xf numFmtId="0" fontId="24" fillId="13" borderId="11" xfId="0" applyFont="1" applyFill="1" applyBorder="1" applyAlignment="1">
      <alignment horizontal="left" vertical="center"/>
    </xf>
    <xf numFmtId="0" fontId="24" fillId="13" borderId="11" xfId="0" applyFont="1" applyFill="1" applyBorder="1" applyAlignment="1">
      <alignment horizontal="left" vertical="center" wrapText="1"/>
    </xf>
    <xf numFmtId="14" fontId="24" fillId="13" borderId="11" xfId="0" applyNumberFormat="1" applyFont="1" applyFill="1" applyBorder="1" applyAlignment="1">
      <alignment horizontal="left" vertical="center"/>
    </xf>
    <xf numFmtId="0" fontId="24" fillId="0" borderId="7" xfId="0" applyFont="1" applyFill="1" applyBorder="1" applyAlignment="1">
      <alignment horizontal="left" vertical="center"/>
    </xf>
    <xf numFmtId="0" fontId="24" fillId="0" borderId="7" xfId="0" applyFont="1" applyFill="1" applyBorder="1" applyAlignment="1">
      <alignment horizontal="left" vertical="center" wrapText="1"/>
    </xf>
    <xf numFmtId="14" fontId="24" fillId="0" borderId="7" xfId="0" applyNumberFormat="1" applyFont="1" applyFill="1" applyBorder="1" applyAlignment="1">
      <alignment horizontal="left" vertical="center"/>
    </xf>
    <xf numFmtId="0" fontId="24" fillId="33" borderId="7" xfId="0" applyFont="1" applyFill="1" applyBorder="1" applyAlignment="1">
      <alignment horizontal="left" vertical="center"/>
    </xf>
    <xf numFmtId="0" fontId="24" fillId="33" borderId="7" xfId="0" applyFont="1" applyFill="1" applyBorder="1" applyAlignment="1">
      <alignment horizontal="left" vertical="center" wrapText="1"/>
    </xf>
    <xf numFmtId="0" fontId="24" fillId="3" borderId="11" xfId="0" applyFont="1" applyFill="1" applyBorder="1" applyAlignment="1">
      <alignment vertical="center"/>
    </xf>
    <xf numFmtId="0" fontId="5" fillId="5" borderId="40" xfId="0" applyFont="1" applyFill="1" applyBorder="1" applyAlignment="1">
      <alignment vertical="center"/>
    </xf>
    <xf numFmtId="176" fontId="3" fillId="36" borderId="24" xfId="0" applyNumberFormat="1" applyFont="1" applyFill="1" applyBorder="1" applyAlignment="1">
      <alignment horizontal="center" vertical="center"/>
    </xf>
    <xf numFmtId="176" fontId="3" fillId="35" borderId="7" xfId="0" applyNumberFormat="1" applyFont="1" applyFill="1" applyBorder="1" applyAlignment="1">
      <alignment horizontal="center" vertical="center"/>
    </xf>
    <xf numFmtId="176" fontId="3" fillId="35" borderId="33" xfId="0" applyNumberFormat="1" applyFont="1" applyFill="1" applyBorder="1" applyAlignment="1">
      <alignment horizontal="center" vertical="center"/>
    </xf>
    <xf numFmtId="0" fontId="5" fillId="31" borderId="3" xfId="0" applyFont="1" applyFill="1" applyBorder="1" applyAlignment="1">
      <alignment vertical="center"/>
    </xf>
    <xf numFmtId="0" fontId="3" fillId="31" borderId="7" xfId="0" applyFont="1" applyFill="1" applyBorder="1" applyAlignment="1">
      <alignment horizontal="center" vertical="center"/>
    </xf>
    <xf numFmtId="0" fontId="3" fillId="36" borderId="1" xfId="0" applyFont="1" applyFill="1" applyBorder="1" applyAlignment="1">
      <alignment horizontal="center" vertical="center"/>
    </xf>
    <xf numFmtId="0" fontId="5" fillId="36" borderId="3" xfId="0" applyFont="1" applyFill="1" applyBorder="1" applyAlignment="1">
      <alignment vertical="center"/>
    </xf>
    <xf numFmtId="0" fontId="3" fillId="36" borderId="7" xfId="0" applyFont="1" applyFill="1" applyBorder="1" applyAlignment="1">
      <alignment horizontal="center" vertical="center"/>
    </xf>
    <xf numFmtId="0" fontId="5" fillId="37" borderId="3" xfId="0" applyFont="1" applyFill="1" applyBorder="1" applyAlignment="1">
      <alignment vertical="center"/>
    </xf>
    <xf numFmtId="0" fontId="3" fillId="36" borderId="1" xfId="0" applyFont="1" applyFill="1" applyBorder="1" applyAlignment="1">
      <alignment vertical="center"/>
    </xf>
    <xf numFmtId="0" fontId="5" fillId="36" borderId="24" xfId="0" applyFont="1" applyFill="1" applyBorder="1" applyAlignment="1">
      <alignment vertical="center"/>
    </xf>
    <xf numFmtId="0" fontId="3" fillId="31" borderId="5" xfId="0" applyFont="1" applyFill="1" applyBorder="1" applyAlignment="1">
      <alignment vertical="center"/>
    </xf>
    <xf numFmtId="0" fontId="5" fillId="31" borderId="9" xfId="0" applyFont="1" applyFill="1" applyBorder="1" applyAlignment="1">
      <alignment vertical="center"/>
    </xf>
    <xf numFmtId="0" fontId="3" fillId="36" borderId="27" xfId="0" applyFont="1" applyFill="1" applyBorder="1" applyAlignment="1">
      <alignment vertical="center"/>
    </xf>
    <xf numFmtId="0" fontId="5" fillId="36" borderId="25" xfId="0" applyFont="1" applyFill="1" applyBorder="1" applyAlignment="1">
      <alignment vertical="center"/>
    </xf>
    <xf numFmtId="0" fontId="3" fillId="36" borderId="28" xfId="0" applyFont="1" applyFill="1" applyBorder="1" applyAlignment="1">
      <alignment vertical="center"/>
    </xf>
    <xf numFmtId="0" fontId="3" fillId="31" borderId="6" xfId="0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1" fillId="0" borderId="3" xfId="0" applyFont="1" applyFill="1" applyBorder="1" applyAlignment="1">
      <alignment vertical="center"/>
    </xf>
    <xf numFmtId="0" fontId="51" fillId="0" borderId="7" xfId="0" applyFont="1" applyFill="1" applyBorder="1" applyAlignment="1">
      <alignment horizontal="center" vertical="center"/>
    </xf>
    <xf numFmtId="0" fontId="51" fillId="0" borderId="1" xfId="0" applyFont="1" applyFill="1" applyBorder="1" applyAlignment="1">
      <alignment vertical="center"/>
    </xf>
    <xf numFmtId="177" fontId="51" fillId="0" borderId="4" xfId="0" applyNumberFormat="1" applyFont="1" applyFill="1" applyBorder="1" applyAlignment="1">
      <alignment vertical="center"/>
    </xf>
    <xf numFmtId="0" fontId="51" fillId="0" borderId="4" xfId="0" applyFont="1" applyFill="1" applyBorder="1" applyAlignment="1">
      <alignment vertical="center"/>
    </xf>
    <xf numFmtId="0" fontId="51" fillId="0" borderId="5" xfId="0" applyFont="1" applyFill="1" applyBorder="1" applyAlignment="1">
      <alignment vertical="center"/>
    </xf>
    <xf numFmtId="0" fontId="51" fillId="0" borderId="9" xfId="0" applyFont="1" applyFill="1" applyBorder="1" applyAlignment="1">
      <alignment vertical="center"/>
    </xf>
    <xf numFmtId="0" fontId="3" fillId="35" borderId="7" xfId="0" applyFont="1" applyFill="1" applyBorder="1" applyAlignment="1">
      <alignment vertical="center"/>
    </xf>
    <xf numFmtId="0" fontId="3" fillId="35" borderId="35" xfId="0" applyFont="1" applyFill="1" applyBorder="1" applyAlignment="1">
      <alignment vertical="center"/>
    </xf>
    <xf numFmtId="0" fontId="51" fillId="35" borderId="7" xfId="0" applyFont="1" applyFill="1" applyBorder="1" applyAlignment="1">
      <alignment vertical="center"/>
    </xf>
    <xf numFmtId="0" fontId="51" fillId="0" borderId="6" xfId="0" applyFont="1" applyFill="1" applyBorder="1" applyAlignment="1">
      <alignment vertical="center"/>
    </xf>
    <xf numFmtId="0" fontId="5" fillId="35" borderId="7" xfId="0" applyFont="1" applyFill="1" applyBorder="1" applyAlignment="1">
      <alignment vertical="center"/>
    </xf>
    <xf numFmtId="0" fontId="3" fillId="35" borderId="38" xfId="0" applyFont="1" applyFill="1" applyBorder="1" applyAlignment="1">
      <alignment vertical="center"/>
    </xf>
    <xf numFmtId="0" fontId="3" fillId="35" borderId="32" xfId="0" applyFont="1" applyFill="1" applyBorder="1" applyAlignment="1">
      <alignment vertical="center"/>
    </xf>
    <xf numFmtId="0" fontId="5" fillId="35" borderId="34" xfId="0" applyFont="1" applyFill="1" applyBorder="1" applyAlignment="1">
      <alignment vertical="center"/>
    </xf>
    <xf numFmtId="0" fontId="51" fillId="35" borderId="3" xfId="0" applyFont="1" applyFill="1" applyBorder="1" applyAlignment="1">
      <alignment vertical="center"/>
    </xf>
    <xf numFmtId="0" fontId="5" fillId="35" borderId="38" xfId="0" applyFont="1" applyFill="1" applyBorder="1" applyAlignment="1">
      <alignment vertical="center"/>
    </xf>
    <xf numFmtId="0" fontId="7" fillId="31" borderId="4" xfId="0" applyFont="1" applyFill="1" applyBorder="1" applyAlignment="1">
      <alignment vertical="center"/>
    </xf>
    <xf numFmtId="177" fontId="7" fillId="31" borderId="4" xfId="0" applyNumberFormat="1" applyFont="1" applyFill="1" applyBorder="1" applyAlignment="1">
      <alignment vertical="center"/>
    </xf>
    <xf numFmtId="0" fontId="7" fillId="36" borderId="26" xfId="0" applyFont="1" applyFill="1" applyBorder="1" applyAlignment="1">
      <alignment vertical="center"/>
    </xf>
    <xf numFmtId="177" fontId="7" fillId="36" borderId="26" xfId="0" applyNumberFormat="1" applyFont="1" applyFill="1" applyBorder="1" applyAlignment="1">
      <alignment vertical="center"/>
    </xf>
    <xf numFmtId="0" fontId="7" fillId="35" borderId="7" xfId="0" applyFont="1" applyFill="1" applyBorder="1" applyAlignment="1">
      <alignment vertical="center"/>
    </xf>
    <xf numFmtId="177" fontId="7" fillId="35" borderId="7" xfId="0" applyNumberFormat="1" applyFont="1" applyFill="1" applyBorder="1" applyAlignment="1">
      <alignment vertical="center"/>
    </xf>
    <xf numFmtId="0" fontId="7" fillId="35" borderId="38" xfId="0" applyFont="1" applyFill="1" applyBorder="1" applyAlignment="1">
      <alignment vertical="center"/>
    </xf>
    <xf numFmtId="177" fontId="7" fillId="35" borderId="38" xfId="0" applyNumberFormat="1" applyFont="1" applyFill="1" applyBorder="1" applyAlignment="1">
      <alignment vertical="center"/>
    </xf>
    <xf numFmtId="177" fontId="51" fillId="35" borderId="7" xfId="0" applyNumberFormat="1" applyFont="1" applyFill="1" applyBorder="1" applyAlignment="1">
      <alignment vertical="center"/>
    </xf>
    <xf numFmtId="0" fontId="3" fillId="35" borderId="2" xfId="0" applyFont="1" applyFill="1" applyBorder="1" applyAlignment="1">
      <alignment horizontal="center" vertical="center"/>
    </xf>
    <xf numFmtId="0" fontId="5" fillId="35" borderId="24" xfId="0" applyFont="1" applyFill="1" applyBorder="1" applyAlignment="1">
      <alignment vertical="center"/>
    </xf>
    <xf numFmtId="0" fontId="5" fillId="38" borderId="24" xfId="0" applyFont="1" applyFill="1" applyBorder="1" applyAlignment="1">
      <alignment vertical="center"/>
    </xf>
    <xf numFmtId="0" fontId="3" fillId="35" borderId="2" xfId="0" applyFont="1" applyFill="1" applyBorder="1" applyAlignment="1">
      <alignment vertical="center"/>
    </xf>
    <xf numFmtId="0" fontId="3" fillId="35" borderId="36" xfId="0" applyFont="1" applyFill="1" applyBorder="1" applyAlignment="1">
      <alignment horizontal="center" vertical="center"/>
    </xf>
    <xf numFmtId="0" fontId="3" fillId="35" borderId="33" xfId="0" applyFont="1" applyFill="1" applyBorder="1" applyAlignment="1">
      <alignment horizontal="center" vertical="center"/>
    </xf>
    <xf numFmtId="0" fontId="5" fillId="38" borderId="32" xfId="0" applyFont="1" applyFill="1" applyBorder="1" applyAlignment="1">
      <alignment vertical="center"/>
    </xf>
    <xf numFmtId="0" fontId="3" fillId="35" borderId="33" xfId="0" applyFont="1" applyFill="1" applyBorder="1" applyAlignment="1">
      <alignment vertical="center"/>
    </xf>
    <xf numFmtId="0" fontId="51" fillId="35" borderId="2" xfId="0" applyFont="1" applyFill="1" applyBorder="1" applyAlignment="1">
      <alignment horizontal="center" vertical="center"/>
    </xf>
    <xf numFmtId="0" fontId="51" fillId="35" borderId="24" xfId="0" applyFont="1" applyFill="1" applyBorder="1" applyAlignment="1">
      <alignment vertical="center"/>
    </xf>
    <xf numFmtId="0" fontId="51" fillId="35" borderId="2" xfId="0" applyFont="1" applyFill="1" applyBorder="1" applyAlignment="1">
      <alignment vertical="center"/>
    </xf>
    <xf numFmtId="0" fontId="51" fillId="35" borderId="36" xfId="0" applyFont="1" applyFill="1" applyBorder="1" applyAlignment="1">
      <alignment horizontal="center" vertical="center"/>
    </xf>
    <xf numFmtId="0" fontId="24" fillId="13" borderId="41" xfId="0" applyFont="1" applyFill="1" applyBorder="1" applyAlignment="1">
      <alignment vertical="center"/>
    </xf>
    <xf numFmtId="0" fontId="5" fillId="5" borderId="42" xfId="0" applyFont="1" applyFill="1" applyBorder="1" applyAlignment="1">
      <alignment vertical="center"/>
    </xf>
    <xf numFmtId="0" fontId="24" fillId="0" borderId="0" xfId="0" applyFont="1" applyBorder="1" applyAlignment="1">
      <alignment vertical="center"/>
    </xf>
    <xf numFmtId="0" fontId="13" fillId="7" borderId="41" xfId="0" applyFont="1" applyFill="1" applyBorder="1" applyAlignment="1">
      <alignment vertical="center"/>
    </xf>
    <xf numFmtId="0" fontId="5" fillId="5" borderId="43" xfId="0" applyFont="1" applyFill="1" applyBorder="1" applyAlignment="1">
      <alignment vertical="center"/>
    </xf>
    <xf numFmtId="0" fontId="5" fillId="5" borderId="44" xfId="0" applyFont="1" applyFill="1" applyBorder="1" applyAlignment="1">
      <alignment vertical="center"/>
    </xf>
    <xf numFmtId="0" fontId="5" fillId="5" borderId="29" xfId="0" applyFont="1" applyFill="1" applyBorder="1" applyAlignment="1">
      <alignment vertical="center"/>
    </xf>
    <xf numFmtId="0" fontId="24" fillId="0" borderId="41" xfId="0" applyFont="1" applyBorder="1" applyAlignment="1">
      <alignment vertical="center"/>
    </xf>
    <xf numFmtId="0" fontId="24" fillId="0" borderId="2" xfId="0" applyFont="1" applyFill="1" applyBorder="1" applyAlignment="1">
      <alignment vertical="center"/>
    </xf>
  </cellXfs>
  <cellStyles count="1602">
    <cellStyle name="20% - ANZg1" xfId="1282"/>
    <cellStyle name="20% - ANZg2" xfId="1283"/>
    <cellStyle name="20% - ANZg3" xfId="1284"/>
    <cellStyle name="20% - ANZg4" xfId="1285"/>
    <cellStyle name="20% - ANZg5" xfId="1286"/>
    <cellStyle name="20% - ANZg6" xfId="1287"/>
    <cellStyle name="40% - ANZg1" xfId="1288"/>
    <cellStyle name="40% - ANZg2" xfId="1289"/>
    <cellStyle name="40% - ANZg3" xfId="1290"/>
    <cellStyle name="40% - ANZg4" xfId="1291"/>
    <cellStyle name="40% - ANZg5" xfId="1292"/>
    <cellStyle name="40% - ANZg6" xfId="1293"/>
    <cellStyle name="60% - ANZg1" xfId="1294"/>
    <cellStyle name="60% - ANZg2" xfId="1295"/>
    <cellStyle name="60% - ANZg3" xfId="1296"/>
    <cellStyle name="60% - ANZg4" xfId="1297"/>
    <cellStyle name="60% - ANZg5" xfId="1298"/>
    <cellStyle name="60% - ANZg6" xfId="1299"/>
    <cellStyle name="Excel Built-in Normal" xfId="531"/>
    <cellStyle name="^Cg" xfId="1277"/>
    <cellStyle name="`FbN Z" xfId="1276"/>
    <cellStyle name="ANZg 1" xfId="1301"/>
    <cellStyle name="ANZg 2" xfId="1302"/>
    <cellStyle name="ANZg 3" xfId="1303"/>
    <cellStyle name="ANZg 4" xfId="1304"/>
    <cellStyle name="ANZg 5" xfId="1305"/>
    <cellStyle name="ANZg 6" xfId="1306"/>
    <cellStyle name="" xfId="1271"/>
    <cellStyle name="N Z" xfId="1309"/>
    <cellStyle name="_" xfId="1272"/>
    <cellStyle name="«¢" xfId="1275"/>
    <cellStyle name="vZ" xfId="1314"/>
    <cellStyle name="x÷" xfId="1316"/>
    <cellStyle name="x¶" xfId="1315"/>
    <cellStyle name="ýo_ 1" xfId="1317"/>
    <cellStyle name="©oµ 1" xfId="1278"/>
    <cellStyle name="©oµ 2" xfId="1279"/>
    <cellStyle name="©oµ 3" xfId="1280"/>
    <cellStyle name="©oµ 4" xfId="1281"/>
    <cellStyle name="v" xfId="1313"/>
    <cellStyle name="o_" xfId="1310"/>
    <cellStyle name="oÍ" xfId="1311"/>
    <cellStyle name="__÷" xfId="1274"/>
    <cellStyle name="à¾¶" xfId="1300"/>
    <cellStyle name="__" xfId="1273"/>
    <cellStyle name="üÍ" xfId="1312"/>
    <cellStyle name="Ê" xfId="1308"/>
    <cellStyle name="Ç¢" xfId="1307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桁区切り 2" xfId="532"/>
    <cellStyle name="桁区切り 2 2" xfId="1270"/>
    <cellStyle name="標準" xfId="0" builtinId="0"/>
    <cellStyle name="標準 2" xfId="535"/>
    <cellStyle name="標準 2 2" xfId="536"/>
    <cellStyle name="標準 3" xfId="530"/>
    <cellStyle name="標準 4" xfId="11"/>
    <cellStyle name="標準 4 2" xfId="1268"/>
    <cellStyle name="標準 5" xfId="1318"/>
    <cellStyle name="標準 5 2" xfId="1319"/>
    <cellStyle name="標準 6" xfId="1269"/>
    <cellStyle name="無題1" xfId="537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赤字強調" xfId="534"/>
    <cellStyle name="青字強調" xfId="53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week_quests_1M_casin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_week_q_1Mc"/>
      <sheetName val="enemy_habitats_week_q_1Mc"/>
    </sheetNames>
    <sheetDataSet>
      <sheetData sheetId="0"/>
      <sheetData sheetId="1"/>
      <sheetData sheetId="2">
        <row r="1">
          <cell r="H1" t="str">
            <v>temp_floor</v>
          </cell>
        </row>
        <row r="2">
          <cell r="H2" t="str">
            <v>11016_1-1</v>
          </cell>
        </row>
        <row r="3">
          <cell r="H3" t="str">
            <v>11016_1-1</v>
          </cell>
        </row>
        <row r="4">
          <cell r="H4" t="str">
            <v>11016_1-1</v>
          </cell>
        </row>
        <row r="5">
          <cell r="H5" t="str">
            <v>11016_1-1</v>
          </cell>
        </row>
        <row r="6">
          <cell r="H6" t="str">
            <v>11016_1-1</v>
          </cell>
        </row>
        <row r="7">
          <cell r="H7" t="str">
            <v>11016_1-1</v>
          </cell>
        </row>
        <row r="8">
          <cell r="H8" t="str">
            <v>11016_1-2</v>
          </cell>
        </row>
        <row r="9">
          <cell r="H9" t="str">
            <v>11016_1-2</v>
          </cell>
        </row>
        <row r="10">
          <cell r="H10" t="str">
            <v>11016_1-2</v>
          </cell>
        </row>
        <row r="11">
          <cell r="H11" t="str">
            <v>11016_1-2</v>
          </cell>
        </row>
        <row r="12">
          <cell r="H12" t="str">
            <v>11016_1-2</v>
          </cell>
        </row>
        <row r="13">
          <cell r="H13" t="str">
            <v>11016_1-2</v>
          </cell>
        </row>
        <row r="14">
          <cell r="H14" t="str">
            <v>11016_1-2</v>
          </cell>
        </row>
        <row r="15">
          <cell r="H15" t="str">
            <v>11016_1-2</v>
          </cell>
        </row>
        <row r="16">
          <cell r="H16" t="str">
            <v>11016_1-2</v>
          </cell>
        </row>
        <row r="17">
          <cell r="H17" t="str">
            <v>11016_1-2</v>
          </cell>
        </row>
        <row r="18">
          <cell r="H18" t="str">
            <v>11016_1-3</v>
          </cell>
        </row>
        <row r="19">
          <cell r="H19" t="str">
            <v>11016_1-4</v>
          </cell>
        </row>
        <row r="20">
          <cell r="H20" t="str">
            <v>11016_1-4</v>
          </cell>
        </row>
        <row r="21">
          <cell r="H21" t="str">
            <v>11016_1-4</v>
          </cell>
        </row>
        <row r="22">
          <cell r="H22" t="str">
            <v>11016_1-4</v>
          </cell>
        </row>
        <row r="23">
          <cell r="H23" t="str">
            <v>11016_1-4</v>
          </cell>
        </row>
        <row r="24">
          <cell r="H24" t="str">
            <v>11016_1-4</v>
          </cell>
        </row>
        <row r="25">
          <cell r="H25" t="str">
            <v>11016_1-4</v>
          </cell>
        </row>
        <row r="26">
          <cell r="H26" t="str">
            <v>11016_1-4</v>
          </cell>
        </row>
        <row r="27">
          <cell r="H27" t="str">
            <v>11016_1-4</v>
          </cell>
        </row>
        <row r="28">
          <cell r="H28" t="str">
            <v>11016_1-5</v>
          </cell>
        </row>
        <row r="29">
          <cell r="H29" t="str">
            <v>11016_1-5</v>
          </cell>
        </row>
        <row r="30">
          <cell r="H30" t="str">
            <v>11018_1-1</v>
          </cell>
        </row>
        <row r="31">
          <cell r="H31" t="str">
            <v>11018_1-1</v>
          </cell>
        </row>
        <row r="32">
          <cell r="H32" t="str">
            <v>11018_1-1</v>
          </cell>
        </row>
        <row r="33">
          <cell r="H33" t="str">
            <v>11018_1-1</v>
          </cell>
        </row>
        <row r="34">
          <cell r="H34" t="str">
            <v>11018_1-1</v>
          </cell>
        </row>
        <row r="35">
          <cell r="H35" t="str">
            <v>11018_1-1</v>
          </cell>
        </row>
        <row r="36">
          <cell r="H36" t="str">
            <v>11018_1-2</v>
          </cell>
        </row>
        <row r="37">
          <cell r="H37" t="str">
            <v>11018_1-2</v>
          </cell>
        </row>
        <row r="38">
          <cell r="H38" t="str">
            <v>11018_1-2</v>
          </cell>
        </row>
        <row r="39">
          <cell r="H39" t="str">
            <v>11018_1-2</v>
          </cell>
        </row>
        <row r="40">
          <cell r="H40" t="str">
            <v>11018_1-2</v>
          </cell>
        </row>
        <row r="41">
          <cell r="H41" t="str">
            <v>11018_1-2</v>
          </cell>
        </row>
        <row r="42">
          <cell r="H42" t="str">
            <v>11018_1-2</v>
          </cell>
        </row>
        <row r="43">
          <cell r="H43" t="str">
            <v>11018_1-2</v>
          </cell>
        </row>
        <row r="44">
          <cell r="H44" t="str">
            <v>11018_1-2</v>
          </cell>
        </row>
        <row r="45">
          <cell r="H45" t="str">
            <v>11018_1-2</v>
          </cell>
        </row>
        <row r="46">
          <cell r="H46" t="str">
            <v>11018_1-3</v>
          </cell>
        </row>
        <row r="47">
          <cell r="H47" t="str">
            <v>11018_1-4</v>
          </cell>
        </row>
        <row r="48">
          <cell r="H48" t="str">
            <v>11018_1-4</v>
          </cell>
        </row>
        <row r="49">
          <cell r="H49" t="str">
            <v>11018_1-4</v>
          </cell>
        </row>
        <row r="50">
          <cell r="H50" t="str">
            <v>11018_1-4</v>
          </cell>
        </row>
        <row r="51">
          <cell r="H51" t="str">
            <v>11018_1-4</v>
          </cell>
        </row>
        <row r="52">
          <cell r="H52" t="str">
            <v>11018_1-4</v>
          </cell>
        </row>
        <row r="53">
          <cell r="H53" t="str">
            <v>11018_1-4</v>
          </cell>
        </row>
        <row r="54">
          <cell r="H54" t="str">
            <v>11018_1-4</v>
          </cell>
        </row>
        <row r="55">
          <cell r="H55" t="str">
            <v>11018_1-4</v>
          </cell>
        </row>
        <row r="56">
          <cell r="H56" t="str">
            <v>11018_1-5</v>
          </cell>
        </row>
        <row r="57">
          <cell r="H57" t="str">
            <v>11018_1-5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</row>
        <row r="1340">
          <cell r="A1340">
            <v>1466</v>
          </cell>
          <cell r="B1340" t="str">
            <v>sapphire01</v>
          </cell>
          <cell r="C1340">
            <v>5</v>
          </cell>
          <cell r="D1340" t="str">
            <v>blue</v>
          </cell>
          <cell r="E1340">
            <v>1</v>
          </cell>
          <cell r="F1340">
            <v>0.98</v>
          </cell>
          <cell r="G1340">
            <v>1</v>
          </cell>
          <cell r="H1340" t="str">
            <v>attack</v>
          </cell>
          <cell r="I1340" t="str">
            <v>攻撃タイプ</v>
          </cell>
          <cell r="J1340">
            <v>1</v>
          </cell>
          <cell r="K1340">
            <v>1.33</v>
          </cell>
          <cell r="L1340">
            <v>1</v>
          </cell>
          <cell r="M1340" t="str">
            <v>human</v>
          </cell>
          <cell r="N1340" t="str">
            <v>ヒューマン</v>
          </cell>
          <cell r="O1340">
            <v>0.94</v>
          </cell>
          <cell r="P1340">
            <v>0.99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60</v>
          </cell>
        </row>
        <row r="1341">
          <cell r="A1341">
            <v>1467</v>
          </cell>
          <cell r="B1341" t="str">
            <v>sapphire02</v>
          </cell>
          <cell r="C1341">
            <v>6</v>
          </cell>
          <cell r="D1341" t="str">
            <v>blue</v>
          </cell>
          <cell r="E1341">
            <v>1</v>
          </cell>
          <cell r="F1341">
            <v>0.98</v>
          </cell>
          <cell r="G1341">
            <v>1</v>
          </cell>
          <cell r="H1341" t="str">
            <v>attack</v>
          </cell>
          <cell r="I1341" t="str">
            <v>攻撃タイプ</v>
          </cell>
          <cell r="J1341">
            <v>1</v>
          </cell>
          <cell r="K1341">
            <v>1.33</v>
          </cell>
          <cell r="L1341">
            <v>1</v>
          </cell>
          <cell r="M1341" t="str">
            <v>human</v>
          </cell>
          <cell r="N1341" t="str">
            <v>ヒューマン</v>
          </cell>
          <cell r="O1341">
            <v>0.94</v>
          </cell>
          <cell r="P1341">
            <v>0.99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60</v>
          </cell>
        </row>
        <row r="1342">
          <cell r="A1342">
            <v>1468</v>
          </cell>
          <cell r="B1342" t="str">
            <v>emerald01</v>
          </cell>
          <cell r="C1342">
            <v>5</v>
          </cell>
          <cell r="D1342" t="str">
            <v>green</v>
          </cell>
          <cell r="E1342">
            <v>1.02</v>
          </cell>
          <cell r="F1342">
            <v>0.98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60</v>
          </cell>
        </row>
        <row r="1343">
          <cell r="A1343">
            <v>1469</v>
          </cell>
          <cell r="B1343" t="str">
            <v>aquamarine01</v>
          </cell>
          <cell r="C1343">
            <v>5</v>
          </cell>
          <cell r="D1343" t="str">
            <v>yellow</v>
          </cell>
          <cell r="E1343">
            <v>0.98</v>
          </cell>
          <cell r="F1343">
            <v>1.01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60</v>
          </cell>
        </row>
        <row r="1344">
          <cell r="A1344">
            <v>1470</v>
          </cell>
          <cell r="B1344" t="str">
            <v>amethyst01</v>
          </cell>
          <cell r="C1344">
            <v>5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60</v>
          </cell>
        </row>
        <row r="1345">
          <cell r="A1345">
            <v>1504</v>
          </cell>
          <cell r="B1345" t="str">
            <v>magenta01</v>
          </cell>
          <cell r="C1345">
            <v>1</v>
          </cell>
          <cell r="D1345" t="str">
            <v>red</v>
          </cell>
          <cell r="E1345">
            <v>1</v>
          </cell>
          <cell r="F1345">
            <v>1.02</v>
          </cell>
          <cell r="G1345">
            <v>1</v>
          </cell>
          <cell r="H1345" t="str">
            <v>balance</v>
          </cell>
          <cell r="I1345" t="str">
            <v>バランスタイプ</v>
          </cell>
          <cell r="J1345">
            <v>1</v>
          </cell>
          <cell r="K1345">
            <v>1</v>
          </cell>
          <cell r="L1345">
            <v>1</v>
          </cell>
          <cell r="M1345" t="str">
            <v>unknown</v>
          </cell>
          <cell r="N1345" t="str">
            <v>Unknown</v>
          </cell>
          <cell r="O1345">
            <v>1</v>
          </cell>
          <cell r="P1345">
            <v>1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15</v>
          </cell>
        </row>
        <row r="1346">
          <cell r="A1346">
            <v>1505</v>
          </cell>
          <cell r="B1346" t="str">
            <v>amber01</v>
          </cell>
          <cell r="C1346">
            <v>1</v>
          </cell>
          <cell r="D1346" t="str">
            <v>green</v>
          </cell>
          <cell r="E1346">
            <v>1.02</v>
          </cell>
          <cell r="F1346">
            <v>0.98</v>
          </cell>
          <cell r="G1346">
            <v>1</v>
          </cell>
          <cell r="H1346" t="str">
            <v>hp</v>
          </cell>
          <cell r="I1346" t="str">
            <v>体力タイプ</v>
          </cell>
          <cell r="J1346">
            <v>1.45</v>
          </cell>
          <cell r="K1346">
            <v>0.85</v>
          </cell>
          <cell r="L1346">
            <v>1</v>
          </cell>
          <cell r="M1346" t="str">
            <v>unknown</v>
          </cell>
          <cell r="N1346" t="str">
            <v>Unknown</v>
          </cell>
          <cell r="O1346">
            <v>1</v>
          </cell>
          <cell r="P1346">
            <v>1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15</v>
          </cell>
        </row>
        <row r="1347">
          <cell r="A1347">
            <v>1506</v>
          </cell>
          <cell r="B1347" t="str">
            <v>pumpkin01</v>
          </cell>
          <cell r="C1347">
            <v>2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attack</v>
          </cell>
          <cell r="I1347" t="str">
            <v>攻撃タイプ</v>
          </cell>
          <cell r="J1347">
            <v>1</v>
          </cell>
          <cell r="K1347">
            <v>1.33</v>
          </cell>
          <cell r="L1347">
            <v>1</v>
          </cell>
          <cell r="M1347" t="str">
            <v>unknown</v>
          </cell>
          <cell r="N1347" t="str">
            <v>Unknown</v>
          </cell>
          <cell r="O1347">
            <v>1</v>
          </cell>
          <cell r="P1347">
            <v>1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15</v>
          </cell>
        </row>
        <row r="1348">
          <cell r="A1348">
            <v>1507</v>
          </cell>
          <cell r="B1348" t="str">
            <v>rose01</v>
          </cell>
          <cell r="C1348">
            <v>3</v>
          </cell>
          <cell r="D1348" t="str">
            <v>blue</v>
          </cell>
          <cell r="E1348">
            <v>1</v>
          </cell>
          <cell r="F1348">
            <v>0.98</v>
          </cell>
          <cell r="G1348">
            <v>1</v>
          </cell>
          <cell r="H1348" t="str">
            <v>technical</v>
          </cell>
          <cell r="I1348" t="str">
            <v>テクニカルタイプ</v>
          </cell>
          <cell r="J1348">
            <v>0.9</v>
          </cell>
          <cell r="K1348">
            <v>0.9</v>
          </cell>
          <cell r="L1348">
            <v>1</v>
          </cell>
          <cell r="M1348" t="str">
            <v>unknown</v>
          </cell>
          <cell r="N1348" t="str">
            <v>Unknown</v>
          </cell>
          <cell r="O1348">
            <v>1</v>
          </cell>
          <cell r="P1348">
            <v>1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25</v>
          </cell>
        </row>
        <row r="1349">
          <cell r="A1349">
            <v>1508</v>
          </cell>
          <cell r="B1349" t="str">
            <v>burgundy01</v>
          </cell>
          <cell r="C1349">
            <v>4</v>
          </cell>
          <cell r="D1349" t="str">
            <v>red</v>
          </cell>
          <cell r="E1349">
            <v>1</v>
          </cell>
          <cell r="F1349">
            <v>1.02</v>
          </cell>
          <cell r="G1349">
            <v>1</v>
          </cell>
          <cell r="H1349" t="str">
            <v>balance</v>
          </cell>
          <cell r="I1349" t="str">
            <v>バランスタイプ</v>
          </cell>
          <cell r="J1349">
            <v>1</v>
          </cell>
          <cell r="K1349">
            <v>1</v>
          </cell>
          <cell r="L1349">
            <v>1</v>
          </cell>
          <cell r="M1349" t="str">
            <v>unknown</v>
          </cell>
          <cell r="N1349" t="str">
            <v>Unknown</v>
          </cell>
          <cell r="O1349">
            <v>1</v>
          </cell>
          <cell r="P1349">
            <v>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30</v>
          </cell>
        </row>
        <row r="1350">
          <cell r="A1350">
            <v>1509</v>
          </cell>
          <cell r="B1350" t="str">
            <v>cyan01</v>
          </cell>
          <cell r="C1350">
            <v>5</v>
          </cell>
          <cell r="D1350" t="str">
            <v>green</v>
          </cell>
          <cell r="E1350">
            <v>1.02</v>
          </cell>
          <cell r="F1350">
            <v>0.98</v>
          </cell>
          <cell r="G1350">
            <v>1</v>
          </cell>
          <cell r="H1350" t="str">
            <v>hp</v>
          </cell>
          <cell r="I1350" t="str">
            <v>体力タイプ</v>
          </cell>
          <cell r="J1350">
            <v>1.45</v>
          </cell>
          <cell r="K1350">
            <v>0.85</v>
          </cell>
          <cell r="L1350">
            <v>1</v>
          </cell>
          <cell r="M1350" t="str">
            <v>god</v>
          </cell>
          <cell r="N1350" t="str">
            <v>ゴッド</v>
          </cell>
          <cell r="O1350">
            <v>0.96</v>
          </cell>
          <cell r="P1350">
            <v>1.02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</row>
        <row r="1351">
          <cell r="A1351">
            <v>1510</v>
          </cell>
          <cell r="B1351" t="str">
            <v>scarlet01</v>
          </cell>
          <cell r="C1351">
            <v>4</v>
          </cell>
          <cell r="D1351" t="str">
            <v>yellow</v>
          </cell>
          <cell r="E1351">
            <v>0.98</v>
          </cell>
          <cell r="F1351">
            <v>1.01</v>
          </cell>
          <cell r="G1351">
            <v>1</v>
          </cell>
          <cell r="H1351" t="str">
            <v>balance</v>
          </cell>
          <cell r="I1351" t="str">
            <v>バランスタイプ</v>
          </cell>
          <cell r="J1351">
            <v>1</v>
          </cell>
          <cell r="K1351">
            <v>1</v>
          </cell>
          <cell r="L1351">
            <v>1</v>
          </cell>
          <cell r="M1351" t="str">
            <v>god</v>
          </cell>
          <cell r="N1351" t="str">
            <v>ゴッド</v>
          </cell>
          <cell r="O1351">
            <v>0.96</v>
          </cell>
          <cell r="P1351">
            <v>1.02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30</v>
          </cell>
        </row>
        <row r="1352">
          <cell r="A1352">
            <v>1511</v>
          </cell>
          <cell r="B1352" t="str">
            <v>scarlet02</v>
          </cell>
          <cell r="C1352">
            <v>5</v>
          </cell>
          <cell r="D1352" t="str">
            <v>yellow</v>
          </cell>
          <cell r="E1352">
            <v>0.98</v>
          </cell>
          <cell r="F1352">
            <v>1.01</v>
          </cell>
          <cell r="G1352">
            <v>1</v>
          </cell>
          <cell r="H1352" t="str">
            <v>balance</v>
          </cell>
          <cell r="I1352" t="str">
            <v>バランスタイプ</v>
          </cell>
          <cell r="J1352">
            <v>1</v>
          </cell>
          <cell r="K1352">
            <v>1</v>
          </cell>
          <cell r="L1352">
            <v>1</v>
          </cell>
          <cell r="M1352" t="str">
            <v>god</v>
          </cell>
          <cell r="N1352" t="str">
            <v>ゴッド</v>
          </cell>
          <cell r="O1352">
            <v>0.96</v>
          </cell>
          <cell r="P1352">
            <v>1.02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</row>
        <row r="1353">
          <cell r="A1353">
            <v>1512</v>
          </cell>
          <cell r="B1353" t="str">
            <v>scarlet03</v>
          </cell>
          <cell r="C1353">
            <v>6</v>
          </cell>
          <cell r="D1353" t="str">
            <v>yellow</v>
          </cell>
          <cell r="E1353">
            <v>0.98</v>
          </cell>
          <cell r="F1353">
            <v>1.01</v>
          </cell>
          <cell r="G1353">
            <v>1</v>
          </cell>
          <cell r="H1353" t="str">
            <v>balance</v>
          </cell>
          <cell r="I1353" t="str">
            <v>バランスタイプ</v>
          </cell>
          <cell r="J1353">
            <v>1</v>
          </cell>
          <cell r="K1353">
            <v>1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</row>
        <row r="1354">
          <cell r="A1354">
            <v>1523</v>
          </cell>
          <cell r="B1354" t="str">
            <v>olive01</v>
          </cell>
          <cell r="C1354">
            <v>5</v>
          </cell>
          <cell r="D1354" t="str">
            <v>blue</v>
          </cell>
          <cell r="E1354">
            <v>1</v>
          </cell>
          <cell r="F1354">
            <v>0.98</v>
          </cell>
          <cell r="G1354">
            <v>1</v>
          </cell>
          <cell r="H1354" t="str">
            <v>technical</v>
          </cell>
          <cell r="I1354" t="str">
            <v>テクニカルタイプ</v>
          </cell>
          <cell r="J1354">
            <v>0.9</v>
          </cell>
          <cell r="K1354">
            <v>0.9</v>
          </cell>
          <cell r="L1354">
            <v>1</v>
          </cell>
          <cell r="M1354" t="str">
            <v>animal</v>
          </cell>
          <cell r="N1354" t="str">
            <v>アニマル</v>
          </cell>
          <cell r="O1354">
            <v>1</v>
          </cell>
          <cell r="P1354">
            <v>1.1000000000000001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</row>
        <row r="1355">
          <cell r="A1355">
            <v>1524</v>
          </cell>
          <cell r="B1355" t="str">
            <v>olive02</v>
          </cell>
          <cell r="C1355">
            <v>6</v>
          </cell>
          <cell r="D1355" t="str">
            <v>blue</v>
          </cell>
          <cell r="E1355">
            <v>1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</row>
        <row r="1356">
          <cell r="A1356">
            <v>1525</v>
          </cell>
          <cell r="B1356" t="str">
            <v>white01</v>
          </cell>
          <cell r="C1356">
            <v>5</v>
          </cell>
          <cell r="D1356" t="str">
            <v>red</v>
          </cell>
          <cell r="E1356">
            <v>1</v>
          </cell>
          <cell r="F1356">
            <v>1.02</v>
          </cell>
          <cell r="G1356">
            <v>1</v>
          </cell>
          <cell r="H1356" t="str">
            <v>attack</v>
          </cell>
          <cell r="I1356" t="str">
            <v>攻撃タイプ</v>
          </cell>
          <cell r="J1356">
            <v>1</v>
          </cell>
          <cell r="K1356">
            <v>1.33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</row>
        <row r="1357">
          <cell r="A1357">
            <v>1526</v>
          </cell>
          <cell r="B1357" t="str">
            <v>white02</v>
          </cell>
          <cell r="C1357">
            <v>6</v>
          </cell>
          <cell r="D1357" t="str">
            <v>red</v>
          </cell>
          <cell r="E1357">
            <v>1</v>
          </cell>
          <cell r="F1357">
            <v>1.02</v>
          </cell>
          <cell r="G1357">
            <v>1</v>
          </cell>
          <cell r="H1357" t="str">
            <v>attack</v>
          </cell>
          <cell r="I1357" t="str">
            <v>攻撃タイプ</v>
          </cell>
          <cell r="J1357">
            <v>1</v>
          </cell>
          <cell r="K1357">
            <v>1.33</v>
          </cell>
          <cell r="L1357">
            <v>1</v>
          </cell>
          <cell r="M1357" t="str">
            <v>animal</v>
          </cell>
          <cell r="N1357" t="str">
            <v>アニマル</v>
          </cell>
          <cell r="O1357">
            <v>1</v>
          </cell>
          <cell r="P1357">
            <v>1.1000000000000001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</row>
        <row r="1358">
          <cell r="A1358">
            <v>5001</v>
          </cell>
          <cell r="B1358" t="str">
            <v>ガルーダ</v>
          </cell>
          <cell r="C1358">
            <v>5</v>
          </cell>
          <cell r="D1358" t="str">
            <v>red</v>
          </cell>
          <cell r="E1358">
            <v>1</v>
          </cell>
          <cell r="F1358">
            <v>1.02</v>
          </cell>
          <cell r="G1358">
            <v>1</v>
          </cell>
          <cell r="H1358" t="str">
            <v>attack</v>
          </cell>
          <cell r="I1358" t="str">
            <v>攻撃タイプ</v>
          </cell>
          <cell r="J1358">
            <v>1</v>
          </cell>
          <cell r="K1358">
            <v>1.33</v>
          </cell>
          <cell r="L1358">
            <v>1</v>
          </cell>
          <cell r="M1358" t="str">
            <v>god</v>
          </cell>
          <cell r="N1358" t="str">
            <v>ゴッド</v>
          </cell>
          <cell r="O1358">
            <v>0.96</v>
          </cell>
          <cell r="P1358">
            <v>1.02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</row>
        <row r="1359">
          <cell r="A1359">
            <v>5002</v>
          </cell>
          <cell r="B1359" t="str">
            <v>ガルーダ★６</v>
          </cell>
          <cell r="C1359">
            <v>6</v>
          </cell>
          <cell r="D1359" t="str">
            <v>red</v>
          </cell>
          <cell r="E1359">
            <v>1</v>
          </cell>
          <cell r="F1359">
            <v>1.02</v>
          </cell>
          <cell r="G1359">
            <v>1</v>
          </cell>
          <cell r="H1359" t="str">
            <v>attack</v>
          </cell>
          <cell r="I1359" t="str">
            <v>攻撃タイプ</v>
          </cell>
          <cell r="J1359">
            <v>1</v>
          </cell>
          <cell r="K1359">
            <v>1.33</v>
          </cell>
          <cell r="L1359">
            <v>1</v>
          </cell>
          <cell r="M1359" t="str">
            <v>god</v>
          </cell>
          <cell r="N1359" t="str">
            <v>ゴッド</v>
          </cell>
          <cell r="O1359">
            <v>0.96</v>
          </cell>
          <cell r="P1359">
            <v>1.02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</row>
        <row r="1360">
          <cell r="A1360">
            <v>5003</v>
          </cell>
          <cell r="B1360" t="str">
            <v>ナーガ</v>
          </cell>
          <cell r="C1360">
            <v>5</v>
          </cell>
          <cell r="D1360" t="str">
            <v>green</v>
          </cell>
          <cell r="E1360">
            <v>1.02</v>
          </cell>
          <cell r="F1360">
            <v>0.98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animal</v>
          </cell>
          <cell r="N1360" t="str">
            <v>アニマル</v>
          </cell>
          <cell r="O1360">
            <v>1</v>
          </cell>
          <cell r="P1360">
            <v>1.1000000000000001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</row>
        <row r="1361">
          <cell r="A1361">
            <v>5004</v>
          </cell>
          <cell r="B1361" t="str">
            <v>ナーガ★６</v>
          </cell>
          <cell r="C1361">
            <v>6</v>
          </cell>
          <cell r="D1361" t="str">
            <v>green</v>
          </cell>
          <cell r="E1361">
            <v>1.02</v>
          </cell>
          <cell r="F1361">
            <v>0.98</v>
          </cell>
          <cell r="G1361">
            <v>1</v>
          </cell>
          <cell r="H1361" t="str">
            <v>technical</v>
          </cell>
          <cell r="I1361" t="str">
            <v>テクニカルタイプ</v>
          </cell>
          <cell r="J1361">
            <v>0.9</v>
          </cell>
          <cell r="K1361">
            <v>0.9</v>
          </cell>
          <cell r="L1361">
            <v>1</v>
          </cell>
          <cell r="M1361" t="str">
            <v>animal</v>
          </cell>
          <cell r="N1361" t="str">
            <v>アニマル</v>
          </cell>
          <cell r="O1361">
            <v>1</v>
          </cell>
          <cell r="P1361">
            <v>1.1000000000000001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60</v>
          </cell>
        </row>
        <row r="1362">
          <cell r="A1362">
            <v>5005</v>
          </cell>
          <cell r="B1362" t="str">
            <v>カーミラ</v>
          </cell>
          <cell r="C1362">
            <v>5</v>
          </cell>
          <cell r="D1362" t="str">
            <v>green</v>
          </cell>
          <cell r="E1362">
            <v>1.02</v>
          </cell>
          <cell r="F1362">
            <v>0.98</v>
          </cell>
          <cell r="G1362">
            <v>1</v>
          </cell>
          <cell r="H1362" t="str">
            <v>balance</v>
          </cell>
          <cell r="I1362" t="str">
            <v>バランスタイプ</v>
          </cell>
          <cell r="J1362">
            <v>1</v>
          </cell>
          <cell r="K1362">
            <v>1</v>
          </cell>
          <cell r="L1362">
            <v>1</v>
          </cell>
          <cell r="M1362" t="str">
            <v>demon</v>
          </cell>
          <cell r="N1362" t="str">
            <v>デーモン</v>
          </cell>
          <cell r="O1362">
            <v>1</v>
          </cell>
          <cell r="P1362">
            <v>1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60</v>
          </cell>
        </row>
        <row r="1363">
          <cell r="A1363">
            <v>5006</v>
          </cell>
          <cell r="B1363" t="str">
            <v>カーミラ★６</v>
          </cell>
          <cell r="C1363">
            <v>6</v>
          </cell>
          <cell r="D1363" t="str">
            <v>green</v>
          </cell>
          <cell r="E1363">
            <v>1.02</v>
          </cell>
          <cell r="F1363">
            <v>0.98</v>
          </cell>
          <cell r="G1363">
            <v>1</v>
          </cell>
          <cell r="H1363" t="str">
            <v>balance</v>
          </cell>
          <cell r="I1363" t="str">
            <v>バランスタイプ</v>
          </cell>
          <cell r="J1363">
            <v>1</v>
          </cell>
          <cell r="K1363">
            <v>1</v>
          </cell>
          <cell r="L1363">
            <v>1</v>
          </cell>
          <cell r="M1363" t="str">
            <v>demon</v>
          </cell>
          <cell r="N1363" t="str">
            <v>デーモン</v>
          </cell>
          <cell r="O1363">
            <v>1</v>
          </cell>
          <cell r="P1363">
            <v>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60</v>
          </cell>
        </row>
        <row r="1364">
          <cell r="A1364">
            <v>5007</v>
          </cell>
          <cell r="B1364" t="str">
            <v>ヘルシング</v>
          </cell>
          <cell r="C1364">
            <v>5</v>
          </cell>
          <cell r="D1364" t="str">
            <v>yellow</v>
          </cell>
          <cell r="E1364">
            <v>0.98</v>
          </cell>
          <cell r="F1364">
            <v>1.01</v>
          </cell>
          <cell r="G1364">
            <v>1</v>
          </cell>
          <cell r="H1364" t="str">
            <v>technical</v>
          </cell>
          <cell r="I1364" t="str">
            <v>テクニカルタイプ</v>
          </cell>
          <cell r="J1364">
            <v>0.9</v>
          </cell>
          <cell r="K1364">
            <v>0.9</v>
          </cell>
          <cell r="L1364">
            <v>1</v>
          </cell>
          <cell r="M1364" t="str">
            <v>human</v>
          </cell>
          <cell r="N1364" t="str">
            <v>ヒューマン</v>
          </cell>
          <cell r="O1364">
            <v>0.94</v>
          </cell>
          <cell r="P1364">
            <v>0.99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60</v>
          </cell>
        </row>
        <row r="1365">
          <cell r="A1365">
            <v>5008</v>
          </cell>
          <cell r="B1365" t="str">
            <v>ヘルシング★６</v>
          </cell>
          <cell r="C1365">
            <v>6</v>
          </cell>
          <cell r="D1365" t="str">
            <v>yellow</v>
          </cell>
          <cell r="E1365">
            <v>0.98</v>
          </cell>
          <cell r="F1365">
            <v>1.01</v>
          </cell>
          <cell r="G1365">
            <v>1</v>
          </cell>
          <cell r="H1365" t="str">
            <v>technical</v>
          </cell>
          <cell r="I1365" t="str">
            <v>テクニカルタイプ</v>
          </cell>
          <cell r="J1365">
            <v>0.9</v>
          </cell>
          <cell r="K1365">
            <v>0.9</v>
          </cell>
          <cell r="L1365">
            <v>1</v>
          </cell>
          <cell r="M1365" t="str">
            <v>human</v>
          </cell>
          <cell r="N1365" t="str">
            <v>ヒューマン</v>
          </cell>
          <cell r="O1365">
            <v>0.94</v>
          </cell>
          <cell r="P1365">
            <v>0.99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60</v>
          </cell>
        </row>
        <row r="1366">
          <cell r="A1366">
            <v>6001</v>
          </cell>
          <cell r="B1366" t="str">
            <v>ジェリー</v>
          </cell>
          <cell r="C1366">
            <v>1</v>
          </cell>
          <cell r="D1366" t="str">
            <v>red</v>
          </cell>
          <cell r="E1366">
            <v>1</v>
          </cell>
          <cell r="F1366">
            <v>1.02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unknown</v>
          </cell>
          <cell r="N1366" t="str">
            <v>Unknown</v>
          </cell>
          <cell r="O1366">
            <v>1</v>
          </cell>
          <cell r="P1366">
            <v>1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15</v>
          </cell>
        </row>
        <row r="1367">
          <cell r="A1367">
            <v>6002</v>
          </cell>
          <cell r="B1367" t="str">
            <v>ヨシタカ</v>
          </cell>
          <cell r="C1367">
            <v>2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human</v>
          </cell>
          <cell r="N1367" t="str">
            <v>ヒューマン</v>
          </cell>
          <cell r="O1367">
            <v>0.94</v>
          </cell>
          <cell r="P1367">
            <v>0.99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15</v>
          </cell>
        </row>
        <row r="1368">
          <cell r="A1368">
            <v>6003</v>
          </cell>
          <cell r="B1368" t="str">
            <v>朱雀</v>
          </cell>
          <cell r="C1368">
            <v>3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animal</v>
          </cell>
          <cell r="N1368" t="str">
            <v>アニマル</v>
          </cell>
          <cell r="O1368">
            <v>1</v>
          </cell>
          <cell r="P1368">
            <v>1.1000000000000001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25</v>
          </cell>
        </row>
        <row r="1369">
          <cell r="A1369">
            <v>6004</v>
          </cell>
          <cell r="B1369" t="str">
            <v>ブレット</v>
          </cell>
          <cell r="C1369">
            <v>1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animal</v>
          </cell>
          <cell r="N1369" t="str">
            <v>アニマル</v>
          </cell>
          <cell r="O1369">
            <v>1</v>
          </cell>
          <cell r="P1369">
            <v>1.1000000000000001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15</v>
          </cell>
        </row>
        <row r="1370">
          <cell r="A1370">
            <v>6005</v>
          </cell>
          <cell r="B1370" t="str">
            <v>孤神 テティス</v>
          </cell>
          <cell r="C1370">
            <v>4</v>
          </cell>
          <cell r="D1370" t="str">
            <v>blue</v>
          </cell>
          <cell r="E1370">
            <v>1</v>
          </cell>
          <cell r="F1370">
            <v>0.98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god</v>
          </cell>
          <cell r="N1370" t="str">
            <v>ゴッド</v>
          </cell>
          <cell r="O1370">
            <v>0.96</v>
          </cell>
          <cell r="P1370">
            <v>1.02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30</v>
          </cell>
        </row>
        <row r="1371">
          <cell r="A1371">
            <v>6006</v>
          </cell>
          <cell r="B1371" t="str">
            <v>海底の孤高神 テティス</v>
          </cell>
          <cell r="C1371">
            <v>5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</v>
          </cell>
          <cell r="I1371" t="str">
            <v>ラグランジュチャレンジ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god</v>
          </cell>
          <cell r="N1371" t="str">
            <v>ゴッド</v>
          </cell>
          <cell r="O1371">
            <v>0.96</v>
          </cell>
          <cell r="P1371">
            <v>1.02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60</v>
          </cell>
        </row>
        <row r="1372">
          <cell r="A1372">
            <v>6007</v>
          </cell>
          <cell r="B1372" t="str">
            <v>番犬 ケルベロス</v>
          </cell>
          <cell r="C1372">
            <v>4</v>
          </cell>
          <cell r="D1372" t="str">
            <v>red</v>
          </cell>
          <cell r="E1372">
            <v>1</v>
          </cell>
          <cell r="F1372">
            <v>1.02</v>
          </cell>
          <cell r="G1372">
            <v>1</v>
          </cell>
          <cell r="H1372" t="str">
            <v>ra</v>
          </cell>
          <cell r="I1372" t="str">
            <v>ラグランジュチャレンジ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30</v>
          </cell>
        </row>
        <row r="1373">
          <cell r="A1373">
            <v>6008</v>
          </cell>
          <cell r="B1373" t="str">
            <v>焔神 プロメテウス</v>
          </cell>
          <cell r="C1373">
            <v>4</v>
          </cell>
          <cell r="D1373" t="str">
            <v>red</v>
          </cell>
          <cell r="E1373">
            <v>1</v>
          </cell>
          <cell r="F1373">
            <v>1.02</v>
          </cell>
          <cell r="G1373">
            <v>1</v>
          </cell>
          <cell r="H1373" t="str">
            <v>ra</v>
          </cell>
          <cell r="I1373" t="str">
            <v>ラグランジュチャレンジ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god</v>
          </cell>
          <cell r="N1373" t="str">
            <v>ゴッド</v>
          </cell>
          <cell r="O1373">
            <v>0.96</v>
          </cell>
          <cell r="P1373">
            <v>1.02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30</v>
          </cell>
        </row>
        <row r="1374">
          <cell r="A1374">
            <v>6009</v>
          </cell>
          <cell r="B1374" t="str">
            <v>超越自我 ラグランジュ</v>
          </cell>
          <cell r="C1374">
            <v>5</v>
          </cell>
          <cell r="D1374" t="str">
            <v>red</v>
          </cell>
          <cell r="E1374">
            <v>1</v>
          </cell>
          <cell r="F1374">
            <v>1.02</v>
          </cell>
          <cell r="G1374">
            <v>1</v>
          </cell>
          <cell r="H1374" t="str">
            <v>ra</v>
          </cell>
          <cell r="I1374" t="str">
            <v>ラグランジュチャレンジ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human</v>
          </cell>
          <cell r="N1374" t="str">
            <v>ヒューマン</v>
          </cell>
          <cell r="O1374">
            <v>0.94</v>
          </cell>
          <cell r="P1374">
            <v>0.99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60</v>
          </cell>
        </row>
        <row r="1375">
          <cell r="A1375">
            <v>6010</v>
          </cell>
          <cell r="B1375" t="str">
            <v>超越凌駕 ラグランジュ</v>
          </cell>
          <cell r="C1375">
            <v>6</v>
          </cell>
          <cell r="D1375" t="str">
            <v>red</v>
          </cell>
          <cell r="E1375">
            <v>1</v>
          </cell>
          <cell r="F1375">
            <v>1.02</v>
          </cell>
          <cell r="G1375">
            <v>1</v>
          </cell>
          <cell r="H1375" t="str">
            <v>ra</v>
          </cell>
          <cell r="I1375" t="str">
            <v>ラグランジュチャレンジ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human</v>
          </cell>
          <cell r="N1375" t="str">
            <v>ヒューマン</v>
          </cell>
          <cell r="O1375">
            <v>0.94</v>
          </cell>
          <cell r="P1375">
            <v>0.99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60</v>
          </cell>
        </row>
        <row r="1376">
          <cell r="A1376">
            <v>6011</v>
          </cell>
          <cell r="B1376" t="str">
            <v>パトドッグリーダー ポチ</v>
          </cell>
          <cell r="C1376">
            <v>2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unknown</v>
          </cell>
          <cell r="N1376" t="str">
            <v>Unknown</v>
          </cell>
          <cell r="O1376">
            <v>1</v>
          </cell>
          <cell r="P1376">
            <v>1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15</v>
          </cell>
        </row>
        <row r="1377">
          <cell r="A1377">
            <v>6012</v>
          </cell>
          <cell r="B1377" t="str">
            <v>ミミ</v>
          </cell>
          <cell r="C1377">
            <v>1</v>
          </cell>
          <cell r="D1377" t="str">
            <v>yellow</v>
          </cell>
          <cell r="E1377">
            <v>0.98</v>
          </cell>
          <cell r="F1377">
            <v>1.01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animal</v>
          </cell>
          <cell r="N1377" t="str">
            <v>アニマル</v>
          </cell>
          <cell r="O1377">
            <v>1</v>
          </cell>
          <cell r="P1377">
            <v>1.1000000000000001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15</v>
          </cell>
        </row>
        <row r="1378">
          <cell r="A1378">
            <v>6013</v>
          </cell>
          <cell r="B1378" t="str">
            <v>護衛機人 スケアクロウ</v>
          </cell>
          <cell r="C1378">
            <v>2</v>
          </cell>
          <cell r="D1378" t="str">
            <v>blue</v>
          </cell>
          <cell r="E1378">
            <v>1</v>
          </cell>
          <cell r="F1378">
            <v>0.98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machine</v>
          </cell>
          <cell r="N1378" t="str">
            <v>マシン</v>
          </cell>
          <cell r="O1378">
            <v>1</v>
          </cell>
          <cell r="P1378">
            <v>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15</v>
          </cell>
        </row>
        <row r="1379">
          <cell r="A1379">
            <v>6014</v>
          </cell>
          <cell r="B1379" t="str">
            <v>月下の人狼 ローレンス</v>
          </cell>
          <cell r="C1379">
            <v>4</v>
          </cell>
          <cell r="D1379" t="str">
            <v>blue</v>
          </cell>
          <cell r="E1379">
            <v>1</v>
          </cell>
          <cell r="F1379">
            <v>0.98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30</v>
          </cell>
        </row>
        <row r="1380">
          <cell r="A1380">
            <v>6015</v>
          </cell>
          <cell r="B1380" t="str">
            <v>フレイヤ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animal</v>
          </cell>
          <cell r="N1380" t="str">
            <v>アニマル</v>
          </cell>
          <cell r="O1380">
            <v>1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</row>
        <row r="1381">
          <cell r="A1381">
            <v>6016</v>
          </cell>
          <cell r="B1381" t="str">
            <v>根原論理 ユークリッド</v>
          </cell>
          <cell r="C1381">
            <v>5</v>
          </cell>
          <cell r="D1381" t="str">
            <v>blue</v>
          </cell>
          <cell r="E1381">
            <v>1</v>
          </cell>
          <cell r="F1381">
            <v>0.98</v>
          </cell>
          <cell r="G1381">
            <v>1</v>
          </cell>
          <cell r="H1381" t="str">
            <v>ra002</v>
          </cell>
          <cell r="I1381" t="str">
            <v>ユークリッドチャレンジ</v>
          </cell>
          <cell r="J1381">
            <v>1</v>
          </cell>
          <cell r="K1381">
            <v>1</v>
          </cell>
          <cell r="L1381">
            <v>1</v>
          </cell>
          <cell r="M1381" t="str">
            <v>human</v>
          </cell>
          <cell r="N1381" t="str">
            <v>ヒューマン</v>
          </cell>
          <cell r="O1381">
            <v>0.94</v>
          </cell>
          <cell r="P1381">
            <v>0.99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</row>
        <row r="1382">
          <cell r="A1382">
            <v>6017</v>
          </cell>
          <cell r="B1382" t="str">
            <v>不朽の極論 ユークリッド</v>
          </cell>
          <cell r="C1382">
            <v>6</v>
          </cell>
          <cell r="D1382" t="str">
            <v>blue</v>
          </cell>
          <cell r="E1382">
            <v>1</v>
          </cell>
          <cell r="F1382">
            <v>0.98</v>
          </cell>
          <cell r="G1382">
            <v>1</v>
          </cell>
          <cell r="H1382" t="str">
            <v>ra002</v>
          </cell>
          <cell r="I1382" t="str">
            <v>ユークリッドチャレンジ</v>
          </cell>
          <cell r="J1382">
            <v>1</v>
          </cell>
          <cell r="K1382">
            <v>1</v>
          </cell>
          <cell r="L1382">
            <v>1</v>
          </cell>
          <cell r="M1382" t="str">
            <v>human</v>
          </cell>
          <cell r="N1382" t="str">
            <v>ヒューマン</v>
          </cell>
          <cell r="O1382">
            <v>0.94</v>
          </cell>
          <cell r="P1382">
            <v>0.99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</row>
        <row r="1383">
          <cell r="A1383">
            <v>6018</v>
          </cell>
          <cell r="B1383" t="str">
            <v>ハヅル</v>
          </cell>
          <cell r="C1383">
            <v>4</v>
          </cell>
          <cell r="D1383" t="str">
            <v>red</v>
          </cell>
          <cell r="E1383">
            <v>1</v>
          </cell>
          <cell r="F1383">
            <v>1.02</v>
          </cell>
          <cell r="G1383">
            <v>1</v>
          </cell>
          <cell r="H1383" t="str">
            <v>ra002</v>
          </cell>
          <cell r="I1383" t="str">
            <v>ユークリッドチャレンジ</v>
          </cell>
          <cell r="J1383">
            <v>1</v>
          </cell>
          <cell r="K1383">
            <v>1</v>
          </cell>
          <cell r="L1383">
            <v>1</v>
          </cell>
          <cell r="M1383" t="str">
            <v>animal</v>
          </cell>
          <cell r="N1383" t="str">
            <v>アニマル</v>
          </cell>
          <cell r="O1383">
            <v>1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30</v>
          </cell>
        </row>
        <row r="1384">
          <cell r="A1384">
            <v>6019</v>
          </cell>
          <cell r="B1384" t="str">
            <v>天織羽鶴 ハヅル</v>
          </cell>
          <cell r="C1384">
            <v>5</v>
          </cell>
          <cell r="D1384" t="str">
            <v>red</v>
          </cell>
          <cell r="E1384">
            <v>1</v>
          </cell>
          <cell r="F1384">
            <v>1.02</v>
          </cell>
          <cell r="G1384">
            <v>1</v>
          </cell>
          <cell r="H1384" t="str">
            <v>ra002</v>
          </cell>
          <cell r="I1384" t="str">
            <v>ユークリッドチャレンジ</v>
          </cell>
          <cell r="J1384">
            <v>1</v>
          </cell>
          <cell r="K1384">
            <v>1</v>
          </cell>
          <cell r="L1384">
            <v>1</v>
          </cell>
          <cell r="M1384" t="str">
            <v>animal</v>
          </cell>
          <cell r="N1384" t="str">
            <v>アニマル</v>
          </cell>
          <cell r="O1384">
            <v>1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</row>
        <row r="1385">
          <cell r="A1385">
            <v>6020</v>
          </cell>
          <cell r="B1385" t="str">
            <v>ミズチ</v>
          </cell>
          <cell r="C1385">
            <v>4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ra002</v>
          </cell>
          <cell r="I1385" t="str">
            <v>ユークリッドチャレンジ</v>
          </cell>
          <cell r="J1385">
            <v>1</v>
          </cell>
          <cell r="K1385">
            <v>1</v>
          </cell>
          <cell r="L1385">
            <v>1</v>
          </cell>
          <cell r="M1385" t="str">
            <v>dragon</v>
          </cell>
          <cell r="N1385" t="str">
            <v>ドラゴン</v>
          </cell>
          <cell r="O1385">
            <v>1.1499999999999999</v>
          </cell>
          <cell r="P1385">
            <v>1.1000000000000001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30</v>
          </cell>
        </row>
        <row r="1386">
          <cell r="A1386">
            <v>8001</v>
          </cell>
          <cell r="B1386" t="str">
            <v>媽祖</v>
          </cell>
          <cell r="C1386">
            <v>5</v>
          </cell>
          <cell r="D1386" t="str">
            <v>yellow</v>
          </cell>
          <cell r="E1386">
            <v>0.98</v>
          </cell>
          <cell r="F1386">
            <v>1.01</v>
          </cell>
          <cell r="G1386">
            <v>1</v>
          </cell>
          <cell r="H1386" t="str">
            <v>attack</v>
          </cell>
          <cell r="I1386" t="str">
            <v>攻撃タイプ</v>
          </cell>
          <cell r="J1386">
            <v>1</v>
          </cell>
          <cell r="K1386">
            <v>1.33</v>
          </cell>
          <cell r="L1386">
            <v>1</v>
          </cell>
          <cell r="M1386" t="str">
            <v>god</v>
          </cell>
          <cell r="N1386" t="str">
            <v>ゴッド</v>
          </cell>
          <cell r="O1386">
            <v>0.96</v>
          </cell>
          <cell r="P1386">
            <v>1.02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</row>
        <row r="1387">
          <cell r="A1387">
            <v>8002</v>
          </cell>
          <cell r="B1387" t="str">
            <v>宣導する天海妃 媽祖</v>
          </cell>
          <cell r="C1387">
            <v>6</v>
          </cell>
          <cell r="D1387" t="str">
            <v>yellow</v>
          </cell>
          <cell r="E1387">
            <v>0.98</v>
          </cell>
          <cell r="F1387">
            <v>1.01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god</v>
          </cell>
          <cell r="N1387" t="str">
            <v>ゴッド</v>
          </cell>
          <cell r="O1387">
            <v>0.96</v>
          </cell>
          <cell r="P1387">
            <v>1.02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</row>
        <row r="1388">
          <cell r="A1388">
            <v>8003</v>
          </cell>
          <cell r="B1388" t="str">
            <v>蛟龍</v>
          </cell>
          <cell r="C1388">
            <v>5</v>
          </cell>
          <cell r="D1388" t="str">
            <v>blue</v>
          </cell>
          <cell r="E1388">
            <v>1</v>
          </cell>
          <cell r="F1388">
            <v>0.98</v>
          </cell>
          <cell r="G1388">
            <v>1</v>
          </cell>
          <cell r="H1388" t="str">
            <v>hp</v>
          </cell>
          <cell r="I1388" t="str">
            <v>体力タイプ</v>
          </cell>
          <cell r="J1388">
            <v>1.45</v>
          </cell>
          <cell r="K1388">
            <v>0.85</v>
          </cell>
          <cell r="L1388">
            <v>1</v>
          </cell>
          <cell r="M1388" t="str">
            <v>dragon</v>
          </cell>
          <cell r="N1388" t="str">
            <v>ドラゴン</v>
          </cell>
          <cell r="O1388">
            <v>1.1499999999999999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</row>
        <row r="1389">
          <cell r="A1389">
            <v>8004</v>
          </cell>
          <cell r="B1389" t="str">
            <v>呼嵐の蒼棲龍 蛟龍</v>
          </cell>
          <cell r="C1389">
            <v>6</v>
          </cell>
          <cell r="D1389" t="str">
            <v>blue</v>
          </cell>
          <cell r="E1389">
            <v>1</v>
          </cell>
          <cell r="F1389">
            <v>0.98</v>
          </cell>
          <cell r="G1389">
            <v>1</v>
          </cell>
          <cell r="H1389" t="str">
            <v>hp</v>
          </cell>
          <cell r="I1389" t="str">
            <v>体力タイプ</v>
          </cell>
          <cell r="J1389">
            <v>1.45</v>
          </cell>
          <cell r="K1389">
            <v>0.85</v>
          </cell>
          <cell r="L1389">
            <v>1</v>
          </cell>
          <cell r="M1389" t="str">
            <v>dragon</v>
          </cell>
          <cell r="N1389" t="str">
            <v>ドラゴン</v>
          </cell>
          <cell r="O1389">
            <v>1.1499999999999999</v>
          </cell>
          <cell r="P1389">
            <v>1.1000000000000001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</row>
        <row r="1390">
          <cell r="A1390">
            <v>8005</v>
          </cell>
          <cell r="B1390" t="str">
            <v>三蔵法師</v>
          </cell>
          <cell r="C1390">
            <v>5</v>
          </cell>
          <cell r="D1390" t="str">
            <v>blue</v>
          </cell>
          <cell r="E1390">
            <v>1</v>
          </cell>
          <cell r="F1390">
            <v>0.98</v>
          </cell>
          <cell r="G1390">
            <v>1</v>
          </cell>
          <cell r="H1390" t="str">
            <v>balance</v>
          </cell>
          <cell r="I1390" t="str">
            <v>バランスタイプ</v>
          </cell>
          <cell r="J1390">
            <v>1</v>
          </cell>
          <cell r="K1390">
            <v>1</v>
          </cell>
          <cell r="L1390">
            <v>1</v>
          </cell>
          <cell r="M1390" t="str">
            <v>human</v>
          </cell>
          <cell r="N1390" t="str">
            <v>ヒューマン</v>
          </cell>
          <cell r="O1390">
            <v>0.94</v>
          </cell>
          <cell r="P1390">
            <v>0.99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</row>
        <row r="1391">
          <cell r="A1391">
            <v>8006</v>
          </cell>
          <cell r="B1391" t="str">
            <v>慈戒の呪封使 三蔵法師</v>
          </cell>
          <cell r="C1391">
            <v>6</v>
          </cell>
          <cell r="D1391" t="str">
            <v>blue</v>
          </cell>
          <cell r="E1391">
            <v>1</v>
          </cell>
          <cell r="F1391">
            <v>0.98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human</v>
          </cell>
          <cell r="N1391" t="str">
            <v>ヒューマン</v>
          </cell>
          <cell r="O1391">
            <v>0.94</v>
          </cell>
          <cell r="P1391">
            <v>0.99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</row>
        <row r="1392">
          <cell r="A1392">
            <v>8007</v>
          </cell>
          <cell r="B1392" t="str">
            <v>孫悟空</v>
          </cell>
          <cell r="C1392">
            <v>5</v>
          </cell>
          <cell r="D1392" t="str">
            <v>red</v>
          </cell>
          <cell r="E1392">
            <v>1</v>
          </cell>
          <cell r="F1392">
            <v>1.02</v>
          </cell>
          <cell r="G1392">
            <v>1</v>
          </cell>
          <cell r="H1392" t="str">
            <v>attack</v>
          </cell>
          <cell r="I1392" t="str">
            <v>攻撃タイプ</v>
          </cell>
          <cell r="J1392">
            <v>1</v>
          </cell>
          <cell r="K1392">
            <v>1.33</v>
          </cell>
          <cell r="L1392">
            <v>1</v>
          </cell>
          <cell r="M1392" t="str">
            <v>animal</v>
          </cell>
          <cell r="N1392" t="str">
            <v>アニマル</v>
          </cell>
          <cell r="O1392">
            <v>1</v>
          </cell>
          <cell r="P1392">
            <v>1.1000000000000001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</row>
        <row r="1393">
          <cell r="A1393">
            <v>8008</v>
          </cell>
          <cell r="B1393" t="str">
            <v>花果の天猿仙人 孫悟空</v>
          </cell>
          <cell r="C1393">
            <v>6</v>
          </cell>
          <cell r="D1393" t="str">
            <v>red</v>
          </cell>
          <cell r="E1393">
            <v>1</v>
          </cell>
          <cell r="F1393">
            <v>1.02</v>
          </cell>
          <cell r="G1393">
            <v>1</v>
          </cell>
          <cell r="H1393" t="str">
            <v>attack</v>
          </cell>
          <cell r="I1393" t="str">
            <v>攻撃タイプ</v>
          </cell>
          <cell r="J1393">
            <v>1</v>
          </cell>
          <cell r="K1393">
            <v>1.33</v>
          </cell>
          <cell r="L1393">
            <v>1</v>
          </cell>
          <cell r="M1393" t="str">
            <v>animal</v>
          </cell>
          <cell r="N1393" t="str">
            <v>アニマル</v>
          </cell>
          <cell r="O1393">
            <v>1</v>
          </cell>
          <cell r="P1393">
            <v>1.1000000000000001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60</v>
          </cell>
        </row>
        <row r="1394">
          <cell r="A1394">
            <v>8009</v>
          </cell>
          <cell r="B1394" t="str">
            <v>西王娘娘</v>
          </cell>
          <cell r="C1394">
            <v>5</v>
          </cell>
          <cell r="D1394" t="str">
            <v>green</v>
          </cell>
          <cell r="E1394">
            <v>1.02</v>
          </cell>
          <cell r="F1394">
            <v>0.98</v>
          </cell>
          <cell r="G1394">
            <v>1</v>
          </cell>
          <cell r="H1394" t="str">
            <v>attack</v>
          </cell>
          <cell r="I1394" t="str">
            <v>攻撃タイプ</v>
          </cell>
          <cell r="J1394">
            <v>1</v>
          </cell>
          <cell r="K1394">
            <v>1.33</v>
          </cell>
          <cell r="L1394">
            <v>1</v>
          </cell>
          <cell r="M1394" t="str">
            <v>god</v>
          </cell>
          <cell r="N1394" t="str">
            <v>ゴッド</v>
          </cell>
          <cell r="O1394">
            <v>0.96</v>
          </cell>
          <cell r="P1394">
            <v>1.02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</row>
        <row r="1395">
          <cell r="A1395">
            <v>8010</v>
          </cell>
          <cell r="B1395" t="str">
            <v>極楽瑶池の聖母 西王娘娘</v>
          </cell>
          <cell r="C1395">
            <v>6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attack</v>
          </cell>
          <cell r="I1395" t="str">
            <v>攻撃タイプ</v>
          </cell>
          <cell r="J1395">
            <v>1</v>
          </cell>
          <cell r="K1395">
            <v>1.33</v>
          </cell>
          <cell r="L1395">
            <v>1</v>
          </cell>
          <cell r="M1395" t="str">
            <v>god</v>
          </cell>
          <cell r="N1395" t="str">
            <v>ゴッド</v>
          </cell>
          <cell r="O1395">
            <v>0.96</v>
          </cell>
          <cell r="P1395">
            <v>1.02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60</v>
          </cell>
        </row>
        <row r="1396">
          <cell r="A1396">
            <v>8011</v>
          </cell>
          <cell r="B1396" t="str">
            <v>月下老人</v>
          </cell>
          <cell r="C1396">
            <v>5</v>
          </cell>
          <cell r="D1396" t="str">
            <v>yellow</v>
          </cell>
          <cell r="E1396">
            <v>0.98</v>
          </cell>
          <cell r="F1396">
            <v>1.01</v>
          </cell>
          <cell r="G1396">
            <v>1</v>
          </cell>
          <cell r="H1396" t="str">
            <v>balance</v>
          </cell>
          <cell r="I1396" t="str">
            <v>バランスタイプ</v>
          </cell>
          <cell r="J1396">
            <v>1</v>
          </cell>
          <cell r="K1396">
            <v>1</v>
          </cell>
          <cell r="L1396">
            <v>1</v>
          </cell>
          <cell r="M1396" t="str">
            <v>god</v>
          </cell>
          <cell r="N1396" t="str">
            <v>ゴッド</v>
          </cell>
          <cell r="O1396">
            <v>0.96</v>
          </cell>
          <cell r="P1396">
            <v>1.02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</row>
        <row r="1397">
          <cell r="A1397">
            <v>8012</v>
          </cell>
          <cell r="B1397" t="str">
            <v>破戀斬る縁剣 月下老人</v>
          </cell>
          <cell r="C1397">
            <v>6</v>
          </cell>
          <cell r="D1397" t="str">
            <v>yellow</v>
          </cell>
          <cell r="E1397">
            <v>0.98</v>
          </cell>
          <cell r="F1397">
            <v>1.01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god</v>
          </cell>
          <cell r="N1397" t="str">
            <v>ゴッド</v>
          </cell>
          <cell r="O1397">
            <v>0.96</v>
          </cell>
          <cell r="P1397">
            <v>1.02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60</v>
          </cell>
        </row>
        <row r="1398">
          <cell r="A1398">
            <v>8013</v>
          </cell>
          <cell r="B1398" t="str">
            <v>初音ミクV3</v>
          </cell>
          <cell r="C1398">
            <v>4</v>
          </cell>
          <cell r="D1398" t="str">
            <v>yellow</v>
          </cell>
          <cell r="E1398">
            <v>0.98</v>
          </cell>
          <cell r="F1398">
            <v>1.01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30</v>
          </cell>
        </row>
        <row r="1399">
          <cell r="A1399">
            <v>8014</v>
          </cell>
          <cell r="B1399" t="str">
            <v>初音ミクV3</v>
          </cell>
          <cell r="C1399">
            <v>5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60</v>
          </cell>
        </row>
        <row r="1400">
          <cell r="A1400">
            <v>8015</v>
          </cell>
          <cell r="B1400" t="str">
            <v>初音ミク・アペンド</v>
          </cell>
          <cell r="C1400">
            <v>4</v>
          </cell>
          <cell r="D1400" t="str">
            <v>green</v>
          </cell>
          <cell r="E1400">
            <v>1.02</v>
          </cell>
          <cell r="F1400">
            <v>0.98</v>
          </cell>
          <cell r="G1400">
            <v>1</v>
          </cell>
          <cell r="H1400" t="str">
            <v>technical</v>
          </cell>
          <cell r="I1400" t="str">
            <v>テクニカルタイプ</v>
          </cell>
          <cell r="J1400">
            <v>0.9</v>
          </cell>
          <cell r="K1400">
            <v>0.9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30</v>
          </cell>
        </row>
        <row r="1401">
          <cell r="A1401">
            <v>8016</v>
          </cell>
          <cell r="B1401" t="str">
            <v>初音ミク・アペンド</v>
          </cell>
          <cell r="C1401">
            <v>5</v>
          </cell>
          <cell r="D1401" t="str">
            <v>green</v>
          </cell>
          <cell r="E1401">
            <v>1.02</v>
          </cell>
          <cell r="F1401">
            <v>0.98</v>
          </cell>
          <cell r="G1401">
            <v>1</v>
          </cell>
          <cell r="H1401" t="str">
            <v>technical</v>
          </cell>
          <cell r="I1401" t="str">
            <v>テクニカルタイプ</v>
          </cell>
          <cell r="J1401">
            <v>0.9</v>
          </cell>
          <cell r="K1401">
            <v>0.9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60</v>
          </cell>
        </row>
        <row r="1402">
          <cell r="A1402">
            <v>8017</v>
          </cell>
          <cell r="B1402" t="str">
            <v>初音ミク</v>
          </cell>
          <cell r="C1402">
            <v>4</v>
          </cell>
          <cell r="D1402" t="str">
            <v>green</v>
          </cell>
          <cell r="E1402">
            <v>1.02</v>
          </cell>
          <cell r="F1402">
            <v>0.98</v>
          </cell>
          <cell r="G1402">
            <v>1</v>
          </cell>
          <cell r="H1402" t="str">
            <v>balance</v>
          </cell>
          <cell r="I1402" t="str">
            <v>バランスタイプ</v>
          </cell>
          <cell r="J1402">
            <v>1</v>
          </cell>
          <cell r="K1402">
            <v>1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30</v>
          </cell>
        </row>
        <row r="1403">
          <cell r="A1403">
            <v>8018</v>
          </cell>
          <cell r="B1403" t="str">
            <v>初音ミク</v>
          </cell>
          <cell r="C1403">
            <v>5</v>
          </cell>
          <cell r="D1403" t="str">
            <v>green</v>
          </cell>
          <cell r="E1403">
            <v>1.02</v>
          </cell>
          <cell r="F1403">
            <v>0.98</v>
          </cell>
          <cell r="G1403">
            <v>1</v>
          </cell>
          <cell r="H1403" t="str">
            <v>balance</v>
          </cell>
          <cell r="I1403" t="str">
            <v>バランスタイプ</v>
          </cell>
          <cell r="J1403">
            <v>1</v>
          </cell>
          <cell r="K1403">
            <v>1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60</v>
          </cell>
        </row>
        <row r="1404">
          <cell r="A1404">
            <v>8019</v>
          </cell>
          <cell r="B1404" t="str">
            <v>鏡音リン</v>
          </cell>
          <cell r="C1404">
            <v>4</v>
          </cell>
          <cell r="D1404" t="str">
            <v>yellow</v>
          </cell>
          <cell r="E1404">
            <v>0.98</v>
          </cell>
          <cell r="F1404">
            <v>1.01</v>
          </cell>
          <cell r="G1404">
            <v>1</v>
          </cell>
          <cell r="H1404" t="str">
            <v>balance</v>
          </cell>
          <cell r="I1404" t="str">
            <v>バランスタイプ</v>
          </cell>
          <cell r="J1404">
            <v>1</v>
          </cell>
          <cell r="K1404">
            <v>1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</row>
        <row r="1405">
          <cell r="A1405">
            <v>8020</v>
          </cell>
          <cell r="B1405" t="str">
            <v>鏡音リン</v>
          </cell>
          <cell r="C1405">
            <v>5</v>
          </cell>
          <cell r="D1405" t="str">
            <v>yellow</v>
          </cell>
          <cell r="E1405">
            <v>0.98</v>
          </cell>
          <cell r="F1405">
            <v>1.01</v>
          </cell>
          <cell r="G1405">
            <v>1</v>
          </cell>
          <cell r="H1405" t="str">
            <v>balance</v>
          </cell>
          <cell r="I1405" t="str">
            <v>バランスタイプ</v>
          </cell>
          <cell r="J1405">
            <v>1</v>
          </cell>
          <cell r="K1405">
            <v>1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60</v>
          </cell>
        </row>
        <row r="1406">
          <cell r="A1406">
            <v>8021</v>
          </cell>
          <cell r="B1406" t="str">
            <v>鏡音レン</v>
          </cell>
          <cell r="C1406">
            <v>4</v>
          </cell>
          <cell r="D1406" t="str">
            <v>yellow</v>
          </cell>
          <cell r="E1406">
            <v>0.98</v>
          </cell>
          <cell r="F1406">
            <v>1.01</v>
          </cell>
          <cell r="G1406">
            <v>1</v>
          </cell>
          <cell r="H1406" t="str">
            <v>heal</v>
          </cell>
          <cell r="I1406" t="str">
            <v>回復タイプ</v>
          </cell>
          <cell r="J1406">
            <v>0.8</v>
          </cell>
          <cell r="K1406">
            <v>0.78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</row>
        <row r="1407">
          <cell r="A1407">
            <v>8022</v>
          </cell>
          <cell r="B1407" t="str">
            <v>鏡音レン</v>
          </cell>
          <cell r="C1407">
            <v>5</v>
          </cell>
          <cell r="D1407" t="str">
            <v>yellow</v>
          </cell>
          <cell r="E1407">
            <v>0.98</v>
          </cell>
          <cell r="F1407">
            <v>1.01</v>
          </cell>
          <cell r="G1407">
            <v>1</v>
          </cell>
          <cell r="H1407" t="str">
            <v>heal</v>
          </cell>
          <cell r="I1407" t="str">
            <v>回復タイプ</v>
          </cell>
          <cell r="J1407">
            <v>0.8</v>
          </cell>
          <cell r="K1407">
            <v>0.78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60</v>
          </cell>
        </row>
        <row r="1408">
          <cell r="A1408">
            <v>8023</v>
          </cell>
          <cell r="B1408" t="str">
            <v>巡音ルカ</v>
          </cell>
          <cell r="C1408">
            <v>3</v>
          </cell>
          <cell r="D1408" t="str">
            <v>red</v>
          </cell>
          <cell r="E1408">
            <v>1</v>
          </cell>
          <cell r="F1408">
            <v>1.02</v>
          </cell>
          <cell r="G1408">
            <v>1</v>
          </cell>
          <cell r="H1408" t="str">
            <v>attack</v>
          </cell>
          <cell r="I1408" t="str">
            <v>攻撃タイプ</v>
          </cell>
          <cell r="J1408">
            <v>1</v>
          </cell>
          <cell r="K1408">
            <v>1.33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25</v>
          </cell>
        </row>
        <row r="1409">
          <cell r="A1409">
            <v>8024</v>
          </cell>
          <cell r="B1409" t="str">
            <v>巡音ルカ</v>
          </cell>
          <cell r="C1409">
            <v>4</v>
          </cell>
          <cell r="D1409" t="str">
            <v>red</v>
          </cell>
          <cell r="E1409">
            <v>1</v>
          </cell>
          <cell r="F1409">
            <v>1.02</v>
          </cell>
          <cell r="G1409">
            <v>1</v>
          </cell>
          <cell r="H1409" t="str">
            <v>attack</v>
          </cell>
          <cell r="I1409" t="str">
            <v>攻撃タイプ</v>
          </cell>
          <cell r="J1409">
            <v>1</v>
          </cell>
          <cell r="K1409">
            <v>1.33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</row>
        <row r="1410">
          <cell r="A1410">
            <v>8025</v>
          </cell>
          <cell r="B1410" t="str">
            <v>MEIKO</v>
          </cell>
          <cell r="C1410">
            <v>3</v>
          </cell>
          <cell r="D1410" t="str">
            <v>red</v>
          </cell>
          <cell r="E1410">
            <v>1</v>
          </cell>
          <cell r="F1410">
            <v>1.02</v>
          </cell>
          <cell r="G1410">
            <v>1</v>
          </cell>
          <cell r="H1410" t="str">
            <v>hp</v>
          </cell>
          <cell r="I1410" t="str">
            <v>体力タイプ</v>
          </cell>
          <cell r="J1410">
            <v>1.45</v>
          </cell>
          <cell r="K1410">
            <v>0.85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25</v>
          </cell>
        </row>
        <row r="1411">
          <cell r="A1411">
            <v>8026</v>
          </cell>
          <cell r="B1411" t="str">
            <v>MEIKO</v>
          </cell>
          <cell r="C1411">
            <v>4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hp</v>
          </cell>
          <cell r="I1411" t="str">
            <v>体力タイプ</v>
          </cell>
          <cell r="J1411">
            <v>1.45</v>
          </cell>
          <cell r="K1411">
            <v>0.85</v>
          </cell>
          <cell r="L1411">
            <v>1</v>
          </cell>
          <cell r="M1411" t="str">
            <v>unknown</v>
          </cell>
          <cell r="N1411" t="str">
            <v>Unknown</v>
          </cell>
          <cell r="O1411">
            <v>1</v>
          </cell>
          <cell r="P1411">
            <v>1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30</v>
          </cell>
        </row>
        <row r="1412">
          <cell r="A1412">
            <v>8027</v>
          </cell>
          <cell r="B1412" t="str">
            <v>KAITO</v>
          </cell>
          <cell r="C1412">
            <v>3</v>
          </cell>
          <cell r="D1412" t="str">
            <v>blue</v>
          </cell>
          <cell r="E1412">
            <v>1</v>
          </cell>
          <cell r="F1412">
            <v>0.98</v>
          </cell>
          <cell r="G1412">
            <v>1</v>
          </cell>
          <cell r="H1412" t="str">
            <v>technical</v>
          </cell>
          <cell r="I1412" t="str">
            <v>テクニカルタイプ</v>
          </cell>
          <cell r="J1412">
            <v>0.9</v>
          </cell>
          <cell r="K1412">
            <v>0.9</v>
          </cell>
          <cell r="L1412">
            <v>1</v>
          </cell>
          <cell r="M1412" t="str">
            <v>unknown</v>
          </cell>
          <cell r="N1412" t="str">
            <v>Unknown</v>
          </cell>
          <cell r="O1412">
            <v>1</v>
          </cell>
          <cell r="P1412">
            <v>1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25</v>
          </cell>
        </row>
        <row r="1413">
          <cell r="A1413">
            <v>8028</v>
          </cell>
          <cell r="B1413" t="str">
            <v>KAITO</v>
          </cell>
          <cell r="C1413">
            <v>4</v>
          </cell>
          <cell r="D1413" t="str">
            <v>blue</v>
          </cell>
          <cell r="E1413">
            <v>1</v>
          </cell>
          <cell r="F1413">
            <v>0.98</v>
          </cell>
          <cell r="G1413">
            <v>1</v>
          </cell>
          <cell r="H1413" t="str">
            <v>technical</v>
          </cell>
          <cell r="I1413" t="str">
            <v>テクニカルタイプ</v>
          </cell>
          <cell r="J1413">
            <v>0.9</v>
          </cell>
          <cell r="K1413">
            <v>0.9</v>
          </cell>
          <cell r="L1413">
            <v>1</v>
          </cell>
          <cell r="M1413" t="str">
            <v>unknown</v>
          </cell>
          <cell r="N1413" t="str">
            <v>Unknown</v>
          </cell>
          <cell r="O1413">
            <v>1</v>
          </cell>
          <cell r="P1413">
            <v>1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30</v>
          </cell>
        </row>
        <row r="1414">
          <cell r="A1414">
            <v>8029</v>
          </cell>
          <cell r="B1414" t="str">
            <v>Expoミク</v>
          </cell>
          <cell r="C1414">
            <v>4</v>
          </cell>
          <cell r="D1414" t="str">
            <v>blue</v>
          </cell>
          <cell r="E1414">
            <v>1</v>
          </cell>
          <cell r="F1414">
            <v>0.98</v>
          </cell>
          <cell r="G1414">
            <v>1</v>
          </cell>
          <cell r="H1414" t="str">
            <v>heal</v>
          </cell>
          <cell r="I1414" t="str">
            <v>回復タイプ</v>
          </cell>
          <cell r="J1414">
            <v>0.8</v>
          </cell>
          <cell r="K1414">
            <v>0.78</v>
          </cell>
          <cell r="L1414">
            <v>1</v>
          </cell>
          <cell r="M1414" t="str">
            <v>unknown</v>
          </cell>
          <cell r="N1414" t="str">
            <v>Unknown</v>
          </cell>
          <cell r="O1414">
            <v>1</v>
          </cell>
          <cell r="P1414">
            <v>1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30</v>
          </cell>
        </row>
        <row r="1415">
          <cell r="A1415">
            <v>8030</v>
          </cell>
          <cell r="B1415" t="str">
            <v>Expoミク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unknown</v>
          </cell>
          <cell r="N1415" t="str">
            <v>Unknown</v>
          </cell>
          <cell r="O1415">
            <v>1</v>
          </cell>
          <cell r="P1415">
            <v>1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</row>
        <row r="1416">
          <cell r="A1416">
            <v>8031</v>
          </cell>
          <cell r="B1416" t="str">
            <v>閻羅王</v>
          </cell>
          <cell r="C1416">
            <v>5</v>
          </cell>
          <cell r="D1416" t="str">
            <v>red</v>
          </cell>
          <cell r="E1416">
            <v>1</v>
          </cell>
          <cell r="F1416">
            <v>1.02</v>
          </cell>
          <cell r="G1416">
            <v>1</v>
          </cell>
          <cell r="H1416" t="str">
            <v>balance</v>
          </cell>
          <cell r="I1416" t="str">
            <v>バランスタイプ</v>
          </cell>
          <cell r="J1416">
            <v>1</v>
          </cell>
          <cell r="K1416">
            <v>1</v>
          </cell>
          <cell r="L1416">
            <v>1</v>
          </cell>
          <cell r="M1416" t="str">
            <v>god</v>
          </cell>
          <cell r="N1416" t="str">
            <v>ゴッド</v>
          </cell>
          <cell r="O1416">
            <v>0.96</v>
          </cell>
          <cell r="P1416">
            <v>1.02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</row>
        <row r="1417">
          <cell r="A1417">
            <v>8032</v>
          </cell>
          <cell r="B1417" t="str">
            <v>六道輪廻の絶獄 閻羅王</v>
          </cell>
          <cell r="C1417">
            <v>6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balance</v>
          </cell>
          <cell r="I1417" t="str">
            <v>バランスタイプ</v>
          </cell>
          <cell r="J1417">
            <v>1</v>
          </cell>
          <cell r="K1417">
            <v>1</v>
          </cell>
          <cell r="L1417">
            <v>1</v>
          </cell>
          <cell r="M1417" t="str">
            <v>god</v>
          </cell>
          <cell r="N1417" t="str">
            <v>ゴッド</v>
          </cell>
          <cell r="O1417">
            <v>0.96</v>
          </cell>
          <cell r="P1417">
            <v>1.02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</row>
        <row r="1418">
          <cell r="A1418">
            <v>8033</v>
          </cell>
          <cell r="B1418" t="str">
            <v>牛頭馬面</v>
          </cell>
          <cell r="C1418">
            <v>5</v>
          </cell>
          <cell r="D1418" t="str">
            <v>green</v>
          </cell>
          <cell r="E1418">
            <v>1.02</v>
          </cell>
          <cell r="F1418">
            <v>0.98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god</v>
          </cell>
          <cell r="N1418" t="str">
            <v>ゴッド</v>
          </cell>
          <cell r="O1418">
            <v>0.96</v>
          </cell>
          <cell r="P1418">
            <v>1.02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</row>
        <row r="1419">
          <cell r="A1419">
            <v>8034</v>
          </cell>
          <cell r="B1419" t="str">
            <v>冥府狩る魂使 牛頭馬面</v>
          </cell>
          <cell r="C1419">
            <v>6</v>
          </cell>
          <cell r="D1419" t="str">
            <v>green</v>
          </cell>
          <cell r="E1419">
            <v>1.02</v>
          </cell>
          <cell r="F1419">
            <v>0.98</v>
          </cell>
          <cell r="G1419">
            <v>1</v>
          </cell>
          <cell r="H1419" t="str">
            <v>attack</v>
          </cell>
          <cell r="I1419" t="str">
            <v>攻撃タイプ</v>
          </cell>
          <cell r="J1419">
            <v>1</v>
          </cell>
          <cell r="K1419">
            <v>1.33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</row>
        <row r="1420">
          <cell r="A1420">
            <v>8035</v>
          </cell>
          <cell r="B1420" t="str">
            <v>飛衛</v>
          </cell>
          <cell r="C1420">
            <v>5</v>
          </cell>
          <cell r="D1420" t="str">
            <v>blue</v>
          </cell>
          <cell r="E1420">
            <v>1</v>
          </cell>
          <cell r="F1420">
            <v>0.98</v>
          </cell>
          <cell r="G1420">
            <v>1</v>
          </cell>
          <cell r="H1420" t="str">
            <v>heal</v>
          </cell>
          <cell r="I1420" t="str">
            <v>回復タイプ</v>
          </cell>
          <cell r="J1420">
            <v>0.8</v>
          </cell>
          <cell r="K1420">
            <v>0.78</v>
          </cell>
          <cell r="L1420">
            <v>1</v>
          </cell>
          <cell r="M1420" t="str">
            <v>human</v>
          </cell>
          <cell r="N1420" t="str">
            <v>ヒューマン</v>
          </cell>
          <cell r="O1420">
            <v>0.94</v>
          </cell>
          <cell r="P1420">
            <v>0.99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</row>
        <row r="1421">
          <cell r="A1421">
            <v>8036</v>
          </cell>
          <cell r="B1421" t="str">
            <v>レア６飛衛</v>
          </cell>
          <cell r="C1421">
            <v>6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heal</v>
          </cell>
          <cell r="I1421" t="str">
            <v>回復タイプ</v>
          </cell>
          <cell r="J1421">
            <v>0.8</v>
          </cell>
          <cell r="K1421">
            <v>0.78</v>
          </cell>
          <cell r="L1421">
            <v>1</v>
          </cell>
          <cell r="M1421" t="str">
            <v>human</v>
          </cell>
          <cell r="N1421" t="str">
            <v>ヒューマン</v>
          </cell>
          <cell r="O1421">
            <v>0.94</v>
          </cell>
          <cell r="P1421">
            <v>0.99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</row>
        <row r="1422">
          <cell r="A1422">
            <v>8037</v>
          </cell>
          <cell r="B1422" t="str">
            <v>紀昌</v>
          </cell>
          <cell r="C1422">
            <v>5</v>
          </cell>
          <cell r="D1422" t="str">
            <v>red</v>
          </cell>
          <cell r="E1422">
            <v>1</v>
          </cell>
          <cell r="F1422">
            <v>1.02</v>
          </cell>
          <cell r="G1422">
            <v>1</v>
          </cell>
          <cell r="H1422" t="str">
            <v>attack</v>
          </cell>
          <cell r="I1422" t="str">
            <v>攻撃タイプ</v>
          </cell>
          <cell r="J1422">
            <v>1</v>
          </cell>
          <cell r="K1422">
            <v>1.33</v>
          </cell>
          <cell r="L1422">
            <v>1</v>
          </cell>
          <cell r="M1422" t="str">
            <v>human</v>
          </cell>
          <cell r="N1422" t="str">
            <v>ヒューマン</v>
          </cell>
          <cell r="O1422">
            <v>0.94</v>
          </cell>
          <cell r="P1422">
            <v>0.99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</row>
        <row r="1423">
          <cell r="A1423">
            <v>8038</v>
          </cell>
          <cell r="B1423" t="str">
            <v>レア６紀昌</v>
          </cell>
          <cell r="C1423">
            <v>6</v>
          </cell>
          <cell r="D1423" t="str">
            <v>red</v>
          </cell>
          <cell r="E1423">
            <v>1</v>
          </cell>
          <cell r="F1423">
            <v>1.02</v>
          </cell>
          <cell r="G1423">
            <v>1</v>
          </cell>
          <cell r="H1423" t="str">
            <v>attack</v>
          </cell>
          <cell r="I1423" t="str">
            <v>攻撃タイプ</v>
          </cell>
          <cell r="J1423">
            <v>1</v>
          </cell>
          <cell r="K1423">
            <v>1.33</v>
          </cell>
          <cell r="L1423">
            <v>1</v>
          </cell>
          <cell r="M1423" t="str">
            <v>human</v>
          </cell>
          <cell r="N1423" t="str">
            <v>ヒューマン</v>
          </cell>
          <cell r="O1423">
            <v>0.94</v>
          </cell>
          <cell r="P1423">
            <v>0.99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</row>
        <row r="1424">
          <cell r="A1424">
            <v>8039</v>
          </cell>
          <cell r="B1424" t="str">
            <v>何仙姑</v>
          </cell>
          <cell r="C1424">
            <v>5</v>
          </cell>
          <cell r="D1424" t="str">
            <v>yellow</v>
          </cell>
          <cell r="E1424">
            <v>0.98</v>
          </cell>
          <cell r="F1424">
            <v>1.01</v>
          </cell>
          <cell r="G1424">
            <v>1</v>
          </cell>
          <cell r="H1424" t="str">
            <v>hp</v>
          </cell>
          <cell r="I1424" t="str">
            <v>体力タイプ</v>
          </cell>
          <cell r="J1424">
            <v>1.45</v>
          </cell>
          <cell r="K1424">
            <v>0.85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</row>
        <row r="1425">
          <cell r="A1425">
            <v>8040</v>
          </cell>
          <cell r="B1425" t="str">
            <v>レア６何仙姑</v>
          </cell>
          <cell r="C1425">
            <v>6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hp</v>
          </cell>
          <cell r="I1425" t="str">
            <v>体力タイプ</v>
          </cell>
          <cell r="J1425">
            <v>1.45</v>
          </cell>
          <cell r="K1425">
            <v>0.85</v>
          </cell>
          <cell r="L1425">
            <v>1</v>
          </cell>
          <cell r="M1425" t="str">
            <v>god</v>
          </cell>
          <cell r="N1425" t="str">
            <v>ゴッド</v>
          </cell>
          <cell r="O1425">
            <v>0.96</v>
          </cell>
          <cell r="P1425">
            <v>1.02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60</v>
          </cell>
        </row>
        <row r="1426">
          <cell r="A1426">
            <v>8041</v>
          </cell>
          <cell r="B1426" t="str">
            <v>藍采和</v>
          </cell>
          <cell r="C1426">
            <v>5</v>
          </cell>
          <cell r="D1426" t="str">
            <v>blue</v>
          </cell>
          <cell r="E1426">
            <v>1</v>
          </cell>
          <cell r="F1426">
            <v>0.98</v>
          </cell>
          <cell r="G1426">
            <v>1</v>
          </cell>
          <cell r="H1426" t="str">
            <v>balance</v>
          </cell>
          <cell r="I1426" t="str">
            <v>バランスタイプ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god</v>
          </cell>
          <cell r="N1426" t="str">
            <v>ゴッド</v>
          </cell>
          <cell r="O1426">
            <v>0.96</v>
          </cell>
          <cell r="P1426">
            <v>1.02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</row>
        <row r="1427">
          <cell r="A1427">
            <v>8042</v>
          </cell>
          <cell r="B1427" t="str">
            <v>レア６藍采和</v>
          </cell>
          <cell r="C1427">
            <v>6</v>
          </cell>
          <cell r="D1427" t="str">
            <v>blue</v>
          </cell>
          <cell r="E1427">
            <v>1</v>
          </cell>
          <cell r="F1427">
            <v>0.98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god</v>
          </cell>
          <cell r="N1427" t="str">
            <v>ゴッド</v>
          </cell>
          <cell r="O1427">
            <v>0.96</v>
          </cell>
          <cell r="P1427">
            <v>1.02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60</v>
          </cell>
        </row>
        <row r="1428">
          <cell r="A1428">
            <v>8043</v>
          </cell>
          <cell r="B1428" t="str">
            <v>サンリオキャラ大集合+アザゼル</v>
          </cell>
          <cell r="C1428">
            <v>5</v>
          </cell>
          <cell r="D1428" t="str">
            <v>green</v>
          </cell>
          <cell r="E1428">
            <v>1.02</v>
          </cell>
          <cell r="F1428">
            <v>0.98</v>
          </cell>
          <cell r="G1428">
            <v>1</v>
          </cell>
          <cell r="H1428" t="str">
            <v>technical</v>
          </cell>
          <cell r="I1428" t="str">
            <v>テクニカルタイプ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god</v>
          </cell>
          <cell r="N1428" t="str">
            <v>ゴッド</v>
          </cell>
          <cell r="O1428">
            <v>0.96</v>
          </cell>
          <cell r="P1428">
            <v>1.02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</row>
        <row r="1429">
          <cell r="A1429">
            <v>8044</v>
          </cell>
          <cell r="B1429" t="str">
            <v>サンリオキャラ大集合+アザゼル</v>
          </cell>
          <cell r="C1429">
            <v>6</v>
          </cell>
          <cell r="D1429" t="str">
            <v>green</v>
          </cell>
          <cell r="E1429">
            <v>1.02</v>
          </cell>
          <cell r="F1429">
            <v>0.98</v>
          </cell>
          <cell r="G1429">
            <v>1</v>
          </cell>
          <cell r="H1429" t="str">
            <v>technical</v>
          </cell>
          <cell r="I1429" t="str">
            <v>テクニカルタイプ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god</v>
          </cell>
          <cell r="N1429" t="str">
            <v>ゴッド</v>
          </cell>
          <cell r="O1429">
            <v>0.96</v>
          </cell>
          <cell r="P1429">
            <v>1.02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60</v>
          </cell>
        </row>
        <row r="1430">
          <cell r="A1430">
            <v>8045</v>
          </cell>
          <cell r="B1430" t="str">
            <v>ニムダ_サンリオキャラ混じり</v>
          </cell>
          <cell r="C1430">
            <v>4</v>
          </cell>
          <cell r="D1430" t="str">
            <v>yellow</v>
          </cell>
          <cell r="E1430">
            <v>0.98</v>
          </cell>
          <cell r="F1430">
            <v>1.01</v>
          </cell>
          <cell r="G1430">
            <v>1</v>
          </cell>
          <cell r="H1430" t="str">
            <v>technical</v>
          </cell>
          <cell r="I1430" t="str">
            <v>テクニカルタイプ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30</v>
          </cell>
        </row>
        <row r="1431">
          <cell r="A1431">
            <v>8046</v>
          </cell>
          <cell r="B1431" t="str">
            <v>ニムダ_サンリオキャラ混じり</v>
          </cell>
          <cell r="C1431">
            <v>5</v>
          </cell>
          <cell r="D1431" t="str">
            <v>yellow</v>
          </cell>
          <cell r="E1431">
            <v>0.98</v>
          </cell>
          <cell r="F1431">
            <v>1.01</v>
          </cell>
          <cell r="G1431">
            <v>1</v>
          </cell>
          <cell r="H1431" t="str">
            <v>technical</v>
          </cell>
          <cell r="I1431" t="str">
            <v>テクニカルタイプ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</row>
        <row r="1432">
          <cell r="A1432">
            <v>8047</v>
          </cell>
          <cell r="B1432" t="str">
            <v>ハローキティ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balance</v>
          </cell>
          <cell r="I1432" t="str">
            <v>バランスタイプ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</row>
        <row r="1433">
          <cell r="A1433">
            <v>8048</v>
          </cell>
          <cell r="B1433" t="str">
            <v>ハローキティ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unknown</v>
          </cell>
          <cell r="N1433" t="str">
            <v>Unknown</v>
          </cell>
          <cell r="O1433">
            <v>1</v>
          </cell>
          <cell r="P1433">
            <v>1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</row>
        <row r="1434">
          <cell r="A1434">
            <v>8049</v>
          </cell>
          <cell r="B1434" t="str">
            <v>KIRIMIちゃん</v>
          </cell>
          <cell r="C1434">
            <v>4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hp</v>
          </cell>
          <cell r="I1434" t="str">
            <v>体力タイプ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unknown</v>
          </cell>
          <cell r="N1434" t="str">
            <v>Unknown</v>
          </cell>
          <cell r="O1434">
            <v>1</v>
          </cell>
          <cell r="P1434">
            <v>1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30</v>
          </cell>
        </row>
        <row r="1435">
          <cell r="A1435">
            <v>8050</v>
          </cell>
          <cell r="B1435" t="str">
            <v>KIRIMIちゃん</v>
          </cell>
          <cell r="C1435">
            <v>5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hp</v>
          </cell>
          <cell r="I1435" t="str">
            <v>体力タイプ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60</v>
          </cell>
        </row>
        <row r="1436">
          <cell r="A1436">
            <v>8051</v>
          </cell>
          <cell r="B1436" t="str">
            <v>ハローキティのリボン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evolution</v>
          </cell>
          <cell r="I1436" t="str">
            <v>覚醒素材タイプ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</row>
        <row r="1437">
          <cell r="A1437">
            <v>8052</v>
          </cell>
          <cell r="B1437" t="str">
            <v>ママの作ったアップルパイ</v>
          </cell>
          <cell r="C1437">
            <v>4</v>
          </cell>
          <cell r="D1437" t="str">
            <v>red</v>
          </cell>
          <cell r="E1437">
            <v>1</v>
          </cell>
          <cell r="F1437">
            <v>1.02</v>
          </cell>
          <cell r="G1437">
            <v>1</v>
          </cell>
          <cell r="H1437" t="str">
            <v>evolution</v>
          </cell>
          <cell r="I1437" t="str">
            <v>覚醒素材タイプ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</row>
        <row r="1438">
          <cell r="A1438">
            <v>8053</v>
          </cell>
          <cell r="B1438" t="str">
            <v>D.R.T.H__キティコスプレ</v>
          </cell>
          <cell r="C1438">
            <v>5</v>
          </cell>
          <cell r="D1438" t="str">
            <v>red</v>
          </cell>
          <cell r="E1438">
            <v>1</v>
          </cell>
          <cell r="F1438">
            <v>1.02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human</v>
          </cell>
          <cell r="N1438" t="str">
            <v>ヒューマン</v>
          </cell>
          <cell r="O1438">
            <v>0.94</v>
          </cell>
          <cell r="P1438">
            <v>0.99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</row>
        <row r="1439">
          <cell r="A1439">
            <v>8054</v>
          </cell>
          <cell r="B1439" t="str">
            <v>D.R.T.H__キティコスプレ</v>
          </cell>
          <cell r="C1439">
            <v>6</v>
          </cell>
          <cell r="D1439" t="str">
            <v>red</v>
          </cell>
          <cell r="E1439">
            <v>1</v>
          </cell>
          <cell r="F1439">
            <v>1.02</v>
          </cell>
          <cell r="G1439">
            <v>1</v>
          </cell>
          <cell r="H1439" t="str">
            <v>balance</v>
          </cell>
          <cell r="I1439" t="str">
            <v>バランスタイプ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60</v>
          </cell>
        </row>
        <row r="1440">
          <cell r="A1440">
            <v>8055</v>
          </cell>
          <cell r="B1440" t="str">
            <v>マイメロディ</v>
          </cell>
          <cell r="C1440">
            <v>4</v>
          </cell>
          <cell r="D1440" t="str">
            <v>red</v>
          </cell>
          <cell r="E1440">
            <v>1</v>
          </cell>
          <cell r="F1440">
            <v>1.02</v>
          </cell>
          <cell r="G1440">
            <v>1</v>
          </cell>
          <cell r="H1440" t="str">
            <v>attack</v>
          </cell>
          <cell r="I1440" t="str">
            <v>攻撃タイプ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unknown</v>
          </cell>
          <cell r="N1440" t="str">
            <v>Unknown</v>
          </cell>
          <cell r="O1440">
            <v>1</v>
          </cell>
          <cell r="P1440">
            <v>1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30</v>
          </cell>
        </row>
        <row r="1441">
          <cell r="A1441">
            <v>8056</v>
          </cell>
          <cell r="B1441" t="str">
            <v>マイメロディ</v>
          </cell>
          <cell r="C1441">
            <v>5</v>
          </cell>
          <cell r="D1441" t="str">
            <v>red</v>
          </cell>
          <cell r="E1441">
            <v>1</v>
          </cell>
          <cell r="F1441">
            <v>1.02</v>
          </cell>
          <cell r="G1441">
            <v>1</v>
          </cell>
          <cell r="H1441" t="str">
            <v>attack</v>
          </cell>
          <cell r="I1441" t="str">
            <v>攻撃タイプ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60</v>
          </cell>
        </row>
        <row r="1442">
          <cell r="A1442">
            <v>8057</v>
          </cell>
          <cell r="B1442" t="str">
            <v>ニーベルゲン_シナモロールコスプレ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</row>
        <row r="1443">
          <cell r="A1443">
            <v>8058</v>
          </cell>
          <cell r="B1443" t="str">
            <v>ニーベルゲン_シナモロールコスプレ</v>
          </cell>
          <cell r="C1443">
            <v>5</v>
          </cell>
          <cell r="D1443" t="str">
            <v>green</v>
          </cell>
          <cell r="E1443">
            <v>1.02</v>
          </cell>
          <cell r="F1443">
            <v>0.98</v>
          </cell>
          <cell r="G1443">
            <v>1</v>
          </cell>
          <cell r="H1443" t="str">
            <v>balance</v>
          </cell>
          <cell r="I1443" t="str">
            <v>バランスタイプ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unknown</v>
          </cell>
          <cell r="N1443" t="str">
            <v>Unknown</v>
          </cell>
          <cell r="O1443">
            <v>1</v>
          </cell>
          <cell r="P1443">
            <v>1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</row>
        <row r="1444">
          <cell r="A1444">
            <v>8059</v>
          </cell>
          <cell r="B1444" t="str">
            <v>カカシ_マイメロディコスプレ</v>
          </cell>
          <cell r="C1444">
            <v>4</v>
          </cell>
          <cell r="D1444" t="str">
            <v>green</v>
          </cell>
          <cell r="E1444">
            <v>1.02</v>
          </cell>
          <cell r="F1444">
            <v>0.98</v>
          </cell>
          <cell r="G1444">
            <v>1</v>
          </cell>
          <cell r="H1444" t="str">
            <v>technical</v>
          </cell>
          <cell r="I1444" t="str">
            <v>テクニカルタイプ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30</v>
          </cell>
        </row>
        <row r="1445">
          <cell r="A1445">
            <v>8060</v>
          </cell>
          <cell r="B1445" t="str">
            <v>カカシ_マイメロディコスプレ</v>
          </cell>
          <cell r="C1445">
            <v>5</v>
          </cell>
          <cell r="D1445" t="str">
            <v>green</v>
          </cell>
          <cell r="E1445">
            <v>1.02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human</v>
          </cell>
          <cell r="N1445" t="str">
            <v>ヒューマン</v>
          </cell>
          <cell r="O1445">
            <v>0.94</v>
          </cell>
          <cell r="P1445">
            <v>0.99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60</v>
          </cell>
        </row>
        <row r="1446">
          <cell r="A1446">
            <v>8061</v>
          </cell>
          <cell r="B1446" t="str">
            <v>ケロケロけろっぴ</v>
          </cell>
          <cell r="C1446">
            <v>3</v>
          </cell>
          <cell r="D1446" t="str">
            <v>green</v>
          </cell>
          <cell r="E1446">
            <v>1.02</v>
          </cell>
          <cell r="F1446">
            <v>0.98</v>
          </cell>
          <cell r="G1446">
            <v>1</v>
          </cell>
          <cell r="H1446" t="str">
            <v>balance</v>
          </cell>
          <cell r="I1446" t="str">
            <v>バランスタイプ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25</v>
          </cell>
        </row>
        <row r="1447">
          <cell r="A1447">
            <v>8062</v>
          </cell>
          <cell r="B1447" t="str">
            <v>ケロケロけろっぴ</v>
          </cell>
          <cell r="C1447">
            <v>4</v>
          </cell>
          <cell r="D1447" t="str">
            <v>green</v>
          </cell>
          <cell r="E1447">
            <v>1.02</v>
          </cell>
          <cell r="F1447">
            <v>0.98</v>
          </cell>
          <cell r="G1447">
            <v>1</v>
          </cell>
          <cell r="H1447" t="str">
            <v>balance</v>
          </cell>
          <cell r="I1447" t="str">
            <v>バランスタイプ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30</v>
          </cell>
        </row>
        <row r="1448">
          <cell r="A1448">
            <v>8063</v>
          </cell>
          <cell r="B1448" t="str">
            <v>モルドレッド_ポムポムプリンコスプレ</v>
          </cell>
          <cell r="C1448">
            <v>5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heal</v>
          </cell>
          <cell r="I1448" t="str">
            <v>回復タイプ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human</v>
          </cell>
          <cell r="N1448" t="str">
            <v>ヒューマン</v>
          </cell>
          <cell r="O1448">
            <v>0.94</v>
          </cell>
          <cell r="P1448">
            <v>0.99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60</v>
          </cell>
        </row>
        <row r="1449">
          <cell r="A1449">
            <v>8064</v>
          </cell>
          <cell r="B1449" t="str">
            <v>モルドレッド_ポムポムプリンコスプレ</v>
          </cell>
          <cell r="C1449">
            <v>6</v>
          </cell>
          <cell r="D1449" t="str">
            <v>blue</v>
          </cell>
          <cell r="E1449">
            <v>1</v>
          </cell>
          <cell r="F1449">
            <v>0.98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human</v>
          </cell>
          <cell r="N1449" t="str">
            <v>ヒューマン</v>
          </cell>
          <cell r="O1449">
            <v>0.94</v>
          </cell>
          <cell r="P1449">
            <v>0.99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60</v>
          </cell>
        </row>
        <row r="1450">
          <cell r="A1450">
            <v>8065</v>
          </cell>
          <cell r="B1450" t="str">
            <v>クロミ</v>
          </cell>
          <cell r="C1450">
            <v>3</v>
          </cell>
          <cell r="D1450" t="str">
            <v>blue</v>
          </cell>
          <cell r="E1450">
            <v>1</v>
          </cell>
          <cell r="F1450">
            <v>0.98</v>
          </cell>
          <cell r="G1450">
            <v>1</v>
          </cell>
          <cell r="H1450" t="str">
            <v>technical</v>
          </cell>
          <cell r="I1450" t="str">
            <v>テクニカルタイプ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25</v>
          </cell>
        </row>
        <row r="1451">
          <cell r="A1451">
            <v>8066</v>
          </cell>
          <cell r="B1451" t="str">
            <v>クロミ</v>
          </cell>
          <cell r="C1451">
            <v>4</v>
          </cell>
          <cell r="D1451" t="str">
            <v>blue</v>
          </cell>
          <cell r="E1451">
            <v>1</v>
          </cell>
          <cell r="F1451">
            <v>0.98</v>
          </cell>
          <cell r="G1451">
            <v>1</v>
          </cell>
          <cell r="H1451" t="str">
            <v>technical</v>
          </cell>
          <cell r="I1451" t="str">
            <v>テクニカルタイプ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30</v>
          </cell>
        </row>
        <row r="1452">
          <cell r="A1452">
            <v>8067</v>
          </cell>
          <cell r="B1452" t="str">
            <v>バッドばつ丸</v>
          </cell>
          <cell r="C1452">
            <v>3</v>
          </cell>
          <cell r="D1452" t="str">
            <v>blue</v>
          </cell>
          <cell r="E1452">
            <v>1</v>
          </cell>
          <cell r="F1452">
            <v>0.98</v>
          </cell>
          <cell r="G1452">
            <v>1</v>
          </cell>
          <cell r="H1452" t="str">
            <v>attack</v>
          </cell>
          <cell r="I1452" t="str">
            <v>攻撃タイプ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25</v>
          </cell>
        </row>
        <row r="1453">
          <cell r="A1453">
            <v>8068</v>
          </cell>
          <cell r="B1453" t="str">
            <v>バッドばつ丸</v>
          </cell>
          <cell r="C1453">
            <v>4</v>
          </cell>
          <cell r="D1453" t="str">
            <v>blue</v>
          </cell>
          <cell r="E1453">
            <v>1</v>
          </cell>
          <cell r="F1453">
            <v>0.98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30</v>
          </cell>
        </row>
        <row r="1454">
          <cell r="A1454">
            <v>8069</v>
          </cell>
          <cell r="B1454" t="str">
            <v>シナモロール</v>
          </cell>
          <cell r="C1454">
            <v>4</v>
          </cell>
          <cell r="D1454" t="str">
            <v>yellow</v>
          </cell>
          <cell r="E1454">
            <v>0.98</v>
          </cell>
          <cell r="F1454">
            <v>1.01</v>
          </cell>
          <cell r="G1454">
            <v>1</v>
          </cell>
          <cell r="H1454" t="str">
            <v>heal</v>
          </cell>
          <cell r="I1454" t="str">
            <v>回復タイプ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30</v>
          </cell>
        </row>
        <row r="1455">
          <cell r="A1455">
            <v>8070</v>
          </cell>
          <cell r="B1455" t="str">
            <v>シナモロール</v>
          </cell>
          <cell r="C1455">
            <v>5</v>
          </cell>
          <cell r="D1455" t="str">
            <v>yellow</v>
          </cell>
          <cell r="E1455">
            <v>0.98</v>
          </cell>
          <cell r="F1455">
            <v>1.01</v>
          </cell>
          <cell r="G1455">
            <v>1</v>
          </cell>
          <cell r="H1455" t="str">
            <v>heal</v>
          </cell>
          <cell r="I1455" t="str">
            <v>回復タイプ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</row>
        <row r="1456">
          <cell r="A1456">
            <v>8071</v>
          </cell>
          <cell r="B1456" t="str">
            <v>ポムポムプリン</v>
          </cell>
          <cell r="C1456">
            <v>3</v>
          </cell>
          <cell r="D1456" t="str">
            <v>yellow</v>
          </cell>
          <cell r="E1456">
            <v>0.98</v>
          </cell>
          <cell r="F1456">
            <v>1.01</v>
          </cell>
          <cell r="G1456">
            <v>1</v>
          </cell>
          <cell r="H1456" t="str">
            <v>hp</v>
          </cell>
          <cell r="I1456" t="str">
            <v>体力タイプ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25</v>
          </cell>
        </row>
        <row r="1457">
          <cell r="A1457">
            <v>8072</v>
          </cell>
          <cell r="B1457" t="str">
            <v>ポムポムプリン</v>
          </cell>
          <cell r="C1457">
            <v>4</v>
          </cell>
          <cell r="D1457" t="str">
            <v>yellow</v>
          </cell>
          <cell r="E1457">
            <v>0.98</v>
          </cell>
          <cell r="F1457">
            <v>1.01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30</v>
          </cell>
        </row>
        <row r="1458">
          <cell r="A1458">
            <v>8073</v>
          </cell>
          <cell r="B1458" t="str">
            <v>星海祈る天光妃 媽祖</v>
          </cell>
          <cell r="C1458">
            <v>6</v>
          </cell>
          <cell r="D1458" t="str">
            <v>yellow</v>
          </cell>
          <cell r="E1458">
            <v>0.98</v>
          </cell>
          <cell r="F1458">
            <v>1.01</v>
          </cell>
          <cell r="G1458">
            <v>1</v>
          </cell>
          <cell r="H1458" t="str">
            <v>attack</v>
          </cell>
          <cell r="I1458" t="str">
            <v>攻撃タイプ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</row>
        <row r="1459">
          <cell r="A1459">
            <v>8074</v>
          </cell>
          <cell r="B1459" t="str">
            <v>海戀の絶龍姫 蛟龍</v>
          </cell>
          <cell r="C1459">
            <v>6</v>
          </cell>
          <cell r="D1459" t="str">
            <v>blue</v>
          </cell>
          <cell r="E1459">
            <v>1</v>
          </cell>
          <cell r="F1459">
            <v>0.98</v>
          </cell>
          <cell r="G1459">
            <v>1</v>
          </cell>
          <cell r="H1459" t="str">
            <v>hp</v>
          </cell>
          <cell r="I1459" t="str">
            <v>体力タイプ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</row>
        <row r="1460">
          <cell r="A1460">
            <v>8077</v>
          </cell>
          <cell r="B1460" t="str">
            <v>鄭成功</v>
          </cell>
          <cell r="C1460">
            <v>5</v>
          </cell>
          <cell r="D1460" t="str">
            <v>blue</v>
          </cell>
          <cell r="E1460">
            <v>1</v>
          </cell>
          <cell r="F1460">
            <v>0.98</v>
          </cell>
          <cell r="G1460">
            <v>1</v>
          </cell>
          <cell r="H1460" t="str">
            <v>attack</v>
          </cell>
          <cell r="I1460" t="str">
            <v>攻撃タイプ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</row>
        <row r="1461">
          <cell r="A1461">
            <v>8078</v>
          </cell>
          <cell r="B1461" t="str">
            <v>レア６鄭成功</v>
          </cell>
          <cell r="C1461">
            <v>6</v>
          </cell>
          <cell r="D1461" t="str">
            <v>blue</v>
          </cell>
          <cell r="E1461">
            <v>1</v>
          </cell>
          <cell r="F1461">
            <v>0.98</v>
          </cell>
          <cell r="G1461">
            <v>1</v>
          </cell>
          <cell r="H1461" t="str">
            <v>attack</v>
          </cell>
          <cell r="I1461" t="str">
            <v>攻撃タイプ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</row>
        <row r="1462">
          <cell r="A1462">
            <v>8079</v>
          </cell>
          <cell r="B1462" t="str">
            <v>赤鬼</v>
          </cell>
          <cell r="C1462">
            <v>5</v>
          </cell>
          <cell r="D1462" t="str">
            <v>red</v>
          </cell>
          <cell r="E1462">
            <v>1</v>
          </cell>
          <cell r="F1462">
            <v>1.02</v>
          </cell>
          <cell r="G1462">
            <v>1</v>
          </cell>
          <cell r="H1462" t="str">
            <v>hp</v>
          </cell>
          <cell r="I1462" t="str">
            <v>体力タイプ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</row>
        <row r="1463">
          <cell r="A1463">
            <v>8080</v>
          </cell>
          <cell r="B1463" t="str">
            <v>レア６赤鬼</v>
          </cell>
          <cell r="C1463">
            <v>6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hp</v>
          </cell>
          <cell r="I1463" t="str">
            <v>体力タイプ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</row>
        <row r="1464">
          <cell r="A1464">
            <v>8081</v>
          </cell>
          <cell r="B1464" t="str">
            <v>関羽</v>
          </cell>
          <cell r="C1464">
            <v>5</v>
          </cell>
          <cell r="D1464" t="str">
            <v>green</v>
          </cell>
          <cell r="E1464">
            <v>1.02</v>
          </cell>
          <cell r="F1464">
            <v>0.98</v>
          </cell>
          <cell r="G1464">
            <v>1</v>
          </cell>
          <cell r="H1464" t="str">
            <v>balance</v>
          </cell>
          <cell r="I1464" t="str">
            <v>バランスタイプ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</row>
        <row r="1465">
          <cell r="A1465">
            <v>8082</v>
          </cell>
          <cell r="B1465" t="str">
            <v>★６関羽</v>
          </cell>
          <cell r="C1465">
            <v>6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balance</v>
          </cell>
          <cell r="I1465" t="str">
            <v>バランスタイプ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</row>
        <row r="1466">
          <cell r="A1466">
            <v>8083</v>
          </cell>
          <cell r="B1466" t="str">
            <v>曹操</v>
          </cell>
          <cell r="C1466">
            <v>5</v>
          </cell>
          <cell r="D1466" t="str">
            <v>yellow</v>
          </cell>
          <cell r="E1466">
            <v>0.98</v>
          </cell>
          <cell r="F1466">
            <v>1.01</v>
          </cell>
          <cell r="G1466">
            <v>1</v>
          </cell>
          <cell r="H1466" t="str">
            <v>technical</v>
          </cell>
          <cell r="I1466" t="str">
            <v>テクニカルタイプ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</row>
        <row r="1467">
          <cell r="A1467">
            <v>8084</v>
          </cell>
          <cell r="B1467" t="str">
            <v>★６曹操</v>
          </cell>
          <cell r="C1467">
            <v>6</v>
          </cell>
          <cell r="D1467" t="str">
            <v>yellow</v>
          </cell>
          <cell r="E1467">
            <v>0.98</v>
          </cell>
          <cell r="F1467">
            <v>1.01</v>
          </cell>
          <cell r="G1467">
            <v>1</v>
          </cell>
          <cell r="H1467" t="str">
            <v>technical</v>
          </cell>
          <cell r="I1467" t="str">
            <v>テクニカルタイプ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60</v>
          </cell>
        </row>
        <row r="1468">
          <cell r="A1468">
            <v>8087</v>
          </cell>
          <cell r="B1468" t="str">
            <v>財神</v>
          </cell>
          <cell r="C1468">
            <v>5</v>
          </cell>
          <cell r="D1468" t="str">
            <v>red</v>
          </cell>
          <cell r="E1468">
            <v>1</v>
          </cell>
          <cell r="F1468">
            <v>1.02</v>
          </cell>
          <cell r="G1468">
            <v>1</v>
          </cell>
          <cell r="H1468" t="str">
            <v>technical</v>
          </cell>
          <cell r="I1468" t="str">
            <v>テクニカルタイプ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60</v>
          </cell>
        </row>
        <row r="1469">
          <cell r="A1469">
            <v>8088</v>
          </cell>
          <cell r="B1469" t="str">
            <v>★６財神</v>
          </cell>
          <cell r="C1469">
            <v>6</v>
          </cell>
          <cell r="D1469" t="str">
            <v>red</v>
          </cell>
          <cell r="E1469">
            <v>1</v>
          </cell>
          <cell r="F1469">
            <v>1.02</v>
          </cell>
          <cell r="G1469">
            <v>1</v>
          </cell>
          <cell r="H1469" t="str">
            <v>technical</v>
          </cell>
          <cell r="I1469" t="str">
            <v>テクニカルタイプ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60</v>
          </cell>
        </row>
        <row r="1470">
          <cell r="A1470">
            <v>8089</v>
          </cell>
          <cell r="B1470" t="str">
            <v>年獣</v>
          </cell>
          <cell r="C1470">
            <v>5</v>
          </cell>
          <cell r="D1470" t="str">
            <v>green</v>
          </cell>
          <cell r="E1470">
            <v>1.02</v>
          </cell>
          <cell r="F1470">
            <v>0.98</v>
          </cell>
          <cell r="G1470">
            <v>1</v>
          </cell>
          <cell r="H1470" t="str">
            <v>attack</v>
          </cell>
          <cell r="I1470" t="str">
            <v>攻撃タイプ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60</v>
          </cell>
        </row>
        <row r="1471">
          <cell r="A1471">
            <v>8090</v>
          </cell>
          <cell r="B1471" t="str">
            <v>★６年獣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attack</v>
          </cell>
          <cell r="I1471" t="str">
            <v>攻撃タイプ</v>
          </cell>
          <cell r="J1471">
            <v>1</v>
          </cell>
          <cell r="K1471">
            <v>1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</row>
        <row r="1472">
          <cell r="A1472">
            <v>8095</v>
          </cell>
          <cell r="B1472" t="str">
            <v>バハムートダック赤</v>
          </cell>
          <cell r="C1472">
            <v>6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exp</v>
          </cell>
          <cell r="I1472" t="str">
            <v>強化素材タイプ</v>
          </cell>
          <cell r="J1472">
            <v>1</v>
          </cell>
          <cell r="K1472">
            <v>1</v>
          </cell>
          <cell r="L1472">
            <v>1</v>
          </cell>
          <cell r="M1472" t="str">
            <v>unknown</v>
          </cell>
          <cell r="N1472" t="str">
            <v>Unknown</v>
          </cell>
          <cell r="O1472">
            <v>1</v>
          </cell>
          <cell r="P1472">
            <v>1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20</v>
          </cell>
        </row>
        <row r="1473">
          <cell r="A1473">
            <v>8096</v>
          </cell>
          <cell r="B1473" t="str">
            <v>バハムートダック緑</v>
          </cell>
          <cell r="C1473">
            <v>6</v>
          </cell>
          <cell r="D1473" t="str">
            <v>green</v>
          </cell>
          <cell r="E1473">
            <v>1.02</v>
          </cell>
          <cell r="F1473">
            <v>0.98</v>
          </cell>
          <cell r="G1473">
            <v>1</v>
          </cell>
          <cell r="H1473" t="str">
            <v>exp</v>
          </cell>
          <cell r="I1473" t="str">
            <v>強化素材タイプ</v>
          </cell>
          <cell r="J1473">
            <v>1</v>
          </cell>
          <cell r="K1473">
            <v>1</v>
          </cell>
          <cell r="L1473">
            <v>1</v>
          </cell>
          <cell r="M1473" t="str">
            <v>unknown</v>
          </cell>
          <cell r="N1473" t="str">
            <v>Unknown</v>
          </cell>
          <cell r="O1473">
            <v>1</v>
          </cell>
          <cell r="P1473">
            <v>1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20</v>
          </cell>
        </row>
        <row r="1474">
          <cell r="A1474">
            <v>8097</v>
          </cell>
          <cell r="B1474" t="str">
            <v>バハムートダック青</v>
          </cell>
          <cell r="C1474">
            <v>6</v>
          </cell>
          <cell r="D1474" t="str">
            <v>blue</v>
          </cell>
          <cell r="E1474">
            <v>1</v>
          </cell>
          <cell r="F1474">
            <v>0.98</v>
          </cell>
          <cell r="G1474">
            <v>1</v>
          </cell>
          <cell r="H1474" t="str">
            <v>exp</v>
          </cell>
          <cell r="I1474" t="str">
            <v>強化素材タイプ</v>
          </cell>
          <cell r="J1474">
            <v>1</v>
          </cell>
          <cell r="K1474">
            <v>1</v>
          </cell>
          <cell r="L1474">
            <v>1</v>
          </cell>
          <cell r="M1474" t="str">
            <v>unknown</v>
          </cell>
          <cell r="N1474" t="str">
            <v>Unknown</v>
          </cell>
          <cell r="O1474">
            <v>1</v>
          </cell>
          <cell r="P1474">
            <v>1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20</v>
          </cell>
        </row>
        <row r="1475">
          <cell r="A1475">
            <v>8098</v>
          </cell>
          <cell r="B1475" t="str">
            <v>バハムートダック黄</v>
          </cell>
          <cell r="C1475">
            <v>6</v>
          </cell>
          <cell r="D1475" t="str">
            <v>yellow</v>
          </cell>
          <cell r="E1475">
            <v>0.98</v>
          </cell>
          <cell r="F1475">
            <v>1.01</v>
          </cell>
          <cell r="G1475">
            <v>1</v>
          </cell>
          <cell r="H1475" t="str">
            <v>exp</v>
          </cell>
          <cell r="I1475" t="str">
            <v>強化素材タイプ</v>
          </cell>
          <cell r="J1475">
            <v>1</v>
          </cell>
          <cell r="K1475">
            <v>1</v>
          </cell>
          <cell r="L1475">
            <v>1</v>
          </cell>
          <cell r="M1475" t="str">
            <v>unknown</v>
          </cell>
          <cell r="N1475" t="str">
            <v>Unknown</v>
          </cell>
          <cell r="O1475">
            <v>1</v>
          </cell>
          <cell r="P1475">
            <v>1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20</v>
          </cell>
        </row>
        <row r="1476">
          <cell r="A1476">
            <v>8099</v>
          </cell>
          <cell r="B1476" t="str">
            <v>リトルハンプティ</v>
          </cell>
          <cell r="C1476">
            <v>6</v>
          </cell>
          <cell r="D1476" t="str">
            <v>green</v>
          </cell>
          <cell r="E1476">
            <v>1.02</v>
          </cell>
          <cell r="F1476">
            <v>0.98</v>
          </cell>
          <cell r="G1476">
            <v>1</v>
          </cell>
          <cell r="H1476" t="str">
            <v>evolution</v>
          </cell>
          <cell r="I1476" t="str">
            <v>覚醒素材タイプ</v>
          </cell>
          <cell r="J1476">
            <v>0.1</v>
          </cell>
          <cell r="K1476">
            <v>0.05</v>
          </cell>
          <cell r="L1476">
            <v>1</v>
          </cell>
          <cell r="M1476" t="str">
            <v>unknown</v>
          </cell>
          <cell r="N1476" t="str">
            <v>Unknown</v>
          </cell>
          <cell r="O1476">
            <v>1</v>
          </cell>
          <cell r="P1476">
            <v>1</v>
          </cell>
          <cell r="Q1476">
            <v>1</v>
          </cell>
          <cell r="R1476" t="str">
            <v>Boss</v>
          </cell>
          <cell r="S1476">
            <v>5</v>
          </cell>
          <cell r="T1476">
            <v>1.3</v>
          </cell>
          <cell r="U1476">
            <v>0.8</v>
          </cell>
          <cell r="V1476">
            <v>3</v>
          </cell>
          <cell r="W1476">
            <v>1</v>
          </cell>
          <cell r="X1476">
            <v>60</v>
          </cell>
        </row>
        <row r="1477">
          <cell r="A1477">
            <v>9001</v>
          </cell>
          <cell r="B1477" t="str">
            <v>春香</v>
          </cell>
          <cell r="C1477">
            <v>5</v>
          </cell>
          <cell r="D1477" t="str">
            <v>red</v>
          </cell>
          <cell r="E1477">
            <v>1</v>
          </cell>
          <cell r="F1477">
            <v>1.02</v>
          </cell>
          <cell r="G1477">
            <v>1</v>
          </cell>
          <cell r="H1477" t="str">
            <v>attack</v>
          </cell>
          <cell r="I1477" t="str">
            <v>攻撃タイプ</v>
          </cell>
          <cell r="J1477">
            <v>1</v>
          </cell>
          <cell r="K1477">
            <v>1.33</v>
          </cell>
          <cell r="L1477">
            <v>1</v>
          </cell>
          <cell r="M1477" t="str">
            <v>human</v>
          </cell>
          <cell r="N1477" t="str">
            <v>ヒューマン</v>
          </cell>
          <cell r="O1477">
            <v>0.94</v>
          </cell>
          <cell r="P1477">
            <v>0.99</v>
          </cell>
          <cell r="Q1477">
            <v>1</v>
          </cell>
          <cell r="R1477" t="str">
            <v>Boss</v>
          </cell>
          <cell r="S1477">
            <v>5</v>
          </cell>
          <cell r="T1477">
            <v>1.3</v>
          </cell>
          <cell r="U1477">
            <v>0.8</v>
          </cell>
          <cell r="V1477">
            <v>3</v>
          </cell>
          <cell r="W1477">
            <v>1</v>
          </cell>
          <cell r="X1477">
            <v>60</v>
          </cell>
        </row>
        <row r="1478">
          <cell r="A1478">
            <v>9002</v>
          </cell>
          <cell r="B1478" t="str">
            <v>春香★６</v>
          </cell>
          <cell r="C1478">
            <v>6</v>
          </cell>
          <cell r="D1478" t="str">
            <v>red</v>
          </cell>
          <cell r="E1478">
            <v>1</v>
          </cell>
          <cell r="F1478">
            <v>1.02</v>
          </cell>
          <cell r="G1478">
            <v>1</v>
          </cell>
          <cell r="H1478" t="str">
            <v>attack</v>
          </cell>
          <cell r="I1478" t="str">
            <v>攻撃タイプ</v>
          </cell>
          <cell r="J1478">
            <v>1</v>
          </cell>
          <cell r="K1478">
            <v>1.33</v>
          </cell>
          <cell r="L1478">
            <v>1</v>
          </cell>
          <cell r="M1478" t="str">
            <v>human</v>
          </cell>
          <cell r="N1478" t="str">
            <v>ヒューマン</v>
          </cell>
          <cell r="O1478">
            <v>0.94</v>
          </cell>
          <cell r="P1478">
            <v>0.99</v>
          </cell>
          <cell r="Q1478">
            <v>1</v>
          </cell>
          <cell r="R1478" t="str">
            <v>Boss</v>
          </cell>
          <cell r="S1478">
            <v>5</v>
          </cell>
          <cell r="T1478">
            <v>1.3</v>
          </cell>
          <cell r="U1478">
            <v>0.8</v>
          </cell>
          <cell r="V1478">
            <v>3</v>
          </cell>
          <cell r="W1478">
            <v>1</v>
          </cell>
          <cell r="X1478">
            <v>60</v>
          </cell>
        </row>
        <row r="1479">
          <cell r="A1479">
            <v>9003</v>
          </cell>
          <cell r="B1479" t="str">
            <v>夢龍</v>
          </cell>
          <cell r="C1479">
            <v>5</v>
          </cell>
          <cell r="D1479" t="str">
            <v>green</v>
          </cell>
          <cell r="E1479">
            <v>1.02</v>
          </cell>
          <cell r="F1479">
            <v>0.98</v>
          </cell>
          <cell r="G1479">
            <v>1</v>
          </cell>
          <cell r="H1479" t="str">
            <v>technical</v>
          </cell>
          <cell r="I1479" t="str">
            <v>テクニカルタイプ</v>
          </cell>
          <cell r="J1479">
            <v>0.9</v>
          </cell>
          <cell r="K1479">
            <v>0.9</v>
          </cell>
          <cell r="L1479">
            <v>1</v>
          </cell>
          <cell r="M1479" t="str">
            <v>human</v>
          </cell>
          <cell r="N1479" t="str">
            <v>ヒューマン</v>
          </cell>
          <cell r="O1479">
            <v>0.94</v>
          </cell>
          <cell r="P1479">
            <v>0.99</v>
          </cell>
          <cell r="Q1479">
            <v>1</v>
          </cell>
          <cell r="R1479" t="str">
            <v>Boss</v>
          </cell>
          <cell r="S1479">
            <v>5</v>
          </cell>
          <cell r="T1479">
            <v>1.3</v>
          </cell>
          <cell r="U1479">
            <v>0.8</v>
          </cell>
          <cell r="V1479">
            <v>3</v>
          </cell>
          <cell r="W1479">
            <v>1</v>
          </cell>
          <cell r="X1479">
            <v>60</v>
          </cell>
        </row>
        <row r="1480">
          <cell r="A1480">
            <v>9004</v>
          </cell>
          <cell r="B1480" t="str">
            <v>夢龍★６</v>
          </cell>
          <cell r="C1480">
            <v>6</v>
          </cell>
          <cell r="D1480" t="str">
            <v>green</v>
          </cell>
          <cell r="E1480">
            <v>1.02</v>
          </cell>
          <cell r="F1480">
            <v>0.98</v>
          </cell>
          <cell r="G1480">
            <v>1</v>
          </cell>
          <cell r="H1480" t="str">
            <v>technical</v>
          </cell>
          <cell r="I1480" t="str">
            <v>テクニカルタイプ</v>
          </cell>
          <cell r="J1480">
            <v>0.9</v>
          </cell>
          <cell r="K1480">
            <v>0.9</v>
          </cell>
          <cell r="L1480">
            <v>1</v>
          </cell>
          <cell r="M1480" t="str">
            <v>human</v>
          </cell>
          <cell r="N1480" t="str">
            <v>ヒューマン</v>
          </cell>
          <cell r="O1480">
            <v>0.94</v>
          </cell>
          <cell r="P1480">
            <v>0.99</v>
          </cell>
          <cell r="Q1480">
            <v>1</v>
          </cell>
          <cell r="R1480" t="str">
            <v>Boss</v>
          </cell>
          <cell r="S1480">
            <v>5</v>
          </cell>
          <cell r="T1480">
            <v>1.3</v>
          </cell>
          <cell r="U1480">
            <v>0.8</v>
          </cell>
          <cell r="V1480">
            <v>3</v>
          </cell>
          <cell r="W1480">
            <v>1</v>
          </cell>
          <cell r="X1480">
            <v>60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1452</v>
          </cell>
          <cell r="B1405" t="str">
            <v>ja</v>
          </cell>
          <cell r="C1405" t="str">
            <v>メルセンヌR5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5</v>
          </cell>
          <cell r="J1405" t="str">
            <v>PremiumSSS</v>
          </cell>
          <cell r="K1405" t="str">
            <v>hp</v>
          </cell>
          <cell r="L1405" t="str">
            <v>体力タイプ</v>
          </cell>
          <cell r="M1405" t="str">
            <v>academia</v>
          </cell>
        </row>
        <row r="1406">
          <cell r="A1406">
            <v>1453</v>
          </cell>
          <cell r="B1406" t="str">
            <v>ja</v>
          </cell>
          <cell r="C1406" t="str">
            <v>メルセンヌR6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6</v>
          </cell>
          <cell r="J1406" t="str">
            <v>PremiumSSS</v>
          </cell>
          <cell r="K1406" t="str">
            <v>hp</v>
          </cell>
          <cell r="L1406" t="str">
            <v>体力タイプ</v>
          </cell>
          <cell r="M1406" t="str">
            <v>academia</v>
          </cell>
        </row>
        <row r="1407">
          <cell r="A1407">
            <v>1454</v>
          </cell>
          <cell r="B1407" t="str">
            <v>ja</v>
          </cell>
          <cell r="C1407" t="str">
            <v>ストレングス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PremiumSSS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1455</v>
          </cell>
          <cell r="B1408" t="str">
            <v>ja</v>
          </cell>
          <cell r="C1408" t="str">
            <v>豪毅なる征獣師 ストレングス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god</v>
          </cell>
        </row>
        <row r="1409">
          <cell r="A1409">
            <v>1456</v>
          </cell>
          <cell r="B1409" t="str">
            <v>ja</v>
          </cell>
          <cell r="C1409" t="str">
            <v>ネセバル</v>
          </cell>
          <cell r="H1409" t="str">
            <v>blue</v>
          </cell>
          <cell r="I1409">
            <v>5</v>
          </cell>
          <cell r="J1409" t="str">
            <v>PremiumSSw</v>
          </cell>
          <cell r="K1409" t="str">
            <v>attack</v>
          </cell>
          <cell r="L1409" t="str">
            <v>攻撃タイプ</v>
          </cell>
          <cell r="M1409" t="str">
            <v>hero</v>
          </cell>
        </row>
        <row r="1410">
          <cell r="A1410">
            <v>1457</v>
          </cell>
          <cell r="B1410" t="str">
            <v>ja</v>
          </cell>
          <cell r="C1410" t="str">
            <v>碧影の聖跡 ネセバル</v>
          </cell>
          <cell r="H1410" t="str">
            <v>blue</v>
          </cell>
          <cell r="I1410">
            <v>6</v>
          </cell>
          <cell r="J1410" t="str">
            <v>PremiumSSw</v>
          </cell>
          <cell r="K1410" t="str">
            <v>attack</v>
          </cell>
          <cell r="L1410" t="str">
            <v>攻撃タイプ</v>
          </cell>
          <cell r="M1410" t="str">
            <v>hero</v>
          </cell>
        </row>
        <row r="1411">
          <cell r="A1411">
            <v>1458</v>
          </cell>
          <cell r="B1411" t="str">
            <v>ja</v>
          </cell>
          <cell r="C1411" t="str">
            <v>diamond01</v>
          </cell>
          <cell r="H1411" t="str">
            <v>red</v>
          </cell>
          <cell r="I1411">
            <v>5</v>
          </cell>
          <cell r="J1411" t="str">
            <v>PremiumSS</v>
          </cell>
          <cell r="K1411" t="str">
            <v>attack</v>
          </cell>
          <cell r="L1411" t="str">
            <v>攻撃タイプ</v>
          </cell>
          <cell r="M1411" t="str">
            <v>human</v>
          </cell>
        </row>
        <row r="1412">
          <cell r="A1412">
            <v>1459</v>
          </cell>
          <cell r="B1412" t="str">
            <v>ja</v>
          </cell>
          <cell r="C1412" t="str">
            <v>diamond02</v>
          </cell>
          <cell r="H1412" t="str">
            <v>red</v>
          </cell>
          <cell r="I1412">
            <v>6</v>
          </cell>
          <cell r="J1412" t="str">
            <v>PremiumSS</v>
          </cell>
          <cell r="K1412" t="str">
            <v>attack</v>
          </cell>
          <cell r="L1412" t="str">
            <v>攻撃タイプ</v>
          </cell>
          <cell r="M1412" t="str">
            <v>human</v>
          </cell>
        </row>
        <row r="1413">
          <cell r="A1413">
            <v>1460</v>
          </cell>
          <cell r="B1413" t="str">
            <v>ja</v>
          </cell>
          <cell r="C1413" t="str">
            <v>opal01</v>
          </cell>
          <cell r="H1413" t="str">
            <v>blue</v>
          </cell>
          <cell r="I1413">
            <v>4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human</v>
          </cell>
        </row>
        <row r="1414">
          <cell r="A1414">
            <v>1461</v>
          </cell>
          <cell r="B1414" t="str">
            <v>ja</v>
          </cell>
          <cell r="C1414" t="str">
            <v>opal02</v>
          </cell>
          <cell r="H1414" t="str">
            <v>blue</v>
          </cell>
          <cell r="I1414">
            <v>5</v>
          </cell>
          <cell r="J1414" t="str">
            <v>PremiumS</v>
          </cell>
          <cell r="K1414" t="str">
            <v>balance</v>
          </cell>
          <cell r="L1414" t="str">
            <v>バランスタイプ</v>
          </cell>
          <cell r="M1414" t="str">
            <v>human</v>
          </cell>
        </row>
        <row r="1415">
          <cell r="A1415">
            <v>1462</v>
          </cell>
          <cell r="B1415" t="str">
            <v>ja</v>
          </cell>
          <cell r="C1415" t="str">
            <v>ruby01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technical</v>
          </cell>
          <cell r="L1415" t="str">
            <v>テクニカルタイプ</v>
          </cell>
          <cell r="M1415" t="str">
            <v>human</v>
          </cell>
        </row>
        <row r="1416">
          <cell r="A1416">
            <v>1463</v>
          </cell>
          <cell r="B1416" t="str">
            <v>ja</v>
          </cell>
          <cell r="C1416" t="str">
            <v>ruby02</v>
          </cell>
          <cell r="H1416" t="str">
            <v>yellow</v>
          </cell>
          <cell r="I1416">
            <v>6</v>
          </cell>
          <cell r="J1416" t="str">
            <v>PremiumSS</v>
          </cell>
          <cell r="K1416" t="str">
            <v>technical</v>
          </cell>
          <cell r="L1416" t="str">
            <v>テクニカルタイプ</v>
          </cell>
          <cell r="M1416" t="str">
            <v>human</v>
          </cell>
        </row>
        <row r="1417">
          <cell r="A1417">
            <v>1464</v>
          </cell>
          <cell r="B1417" t="str">
            <v>ja</v>
          </cell>
          <cell r="C1417" t="str">
            <v>garnet01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hp</v>
          </cell>
          <cell r="L1417" t="str">
            <v>体力タイプ</v>
          </cell>
          <cell r="M1417" t="str">
            <v>human</v>
          </cell>
        </row>
        <row r="1418">
          <cell r="A1418">
            <v>1465</v>
          </cell>
          <cell r="B1418" t="str">
            <v>ja</v>
          </cell>
          <cell r="C1418" t="str">
            <v>garnet02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hp</v>
          </cell>
          <cell r="L1418" t="str">
            <v>体力タイプ</v>
          </cell>
          <cell r="M1418" t="str">
            <v>human</v>
          </cell>
        </row>
        <row r="1419">
          <cell r="A1419">
            <v>1466</v>
          </cell>
          <cell r="B1419" t="str">
            <v>ja</v>
          </cell>
          <cell r="C1419" t="str">
            <v>sapphire01</v>
          </cell>
          <cell r="H1419" t="str">
            <v>blue</v>
          </cell>
          <cell r="I1419">
            <v>5</v>
          </cell>
          <cell r="J1419" t="str">
            <v>DropWizS</v>
          </cell>
          <cell r="K1419" t="str">
            <v>attack</v>
          </cell>
          <cell r="L1419" t="str">
            <v>攻撃タイプ</v>
          </cell>
          <cell r="M1419" t="str">
            <v>human</v>
          </cell>
        </row>
        <row r="1420">
          <cell r="A1420">
            <v>1467</v>
          </cell>
          <cell r="B1420" t="str">
            <v>ja</v>
          </cell>
          <cell r="C1420" t="str">
            <v>sapphire02</v>
          </cell>
          <cell r="H1420" t="str">
            <v>blue</v>
          </cell>
          <cell r="I1420">
            <v>6</v>
          </cell>
          <cell r="J1420" t="str">
            <v>DropWizS</v>
          </cell>
          <cell r="K1420" t="str">
            <v>attack</v>
          </cell>
          <cell r="L1420" t="str">
            <v>攻撃タイプ</v>
          </cell>
          <cell r="M1420" t="str">
            <v>human</v>
          </cell>
        </row>
        <row r="1421">
          <cell r="A1421">
            <v>1468</v>
          </cell>
          <cell r="B1421" t="str">
            <v>ja</v>
          </cell>
          <cell r="C1421" t="str">
            <v>emerald01</v>
          </cell>
          <cell r="H1421" t="str">
            <v>green</v>
          </cell>
          <cell r="I1421">
            <v>5</v>
          </cell>
          <cell r="J1421" t="str">
            <v>Drop2N</v>
          </cell>
          <cell r="K1421" t="str">
            <v>attack</v>
          </cell>
          <cell r="L1421" t="str">
            <v>攻撃タイプ</v>
          </cell>
          <cell r="M1421" t="str">
            <v>unknown</v>
          </cell>
        </row>
        <row r="1422">
          <cell r="A1422">
            <v>1469</v>
          </cell>
          <cell r="B1422" t="str">
            <v>ja</v>
          </cell>
          <cell r="C1422" t="str">
            <v>aquamarine01</v>
          </cell>
          <cell r="H1422" t="str">
            <v>yellow</v>
          </cell>
          <cell r="I1422">
            <v>5</v>
          </cell>
          <cell r="J1422" t="str">
            <v>Drop2N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1470</v>
          </cell>
          <cell r="B1423" t="str">
            <v>ja</v>
          </cell>
          <cell r="C1423" t="str">
            <v>amethyst01</v>
          </cell>
          <cell r="H1423" t="str">
            <v>red</v>
          </cell>
          <cell r="I1423">
            <v>5</v>
          </cell>
          <cell r="J1423" t="str">
            <v>Drop2N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1488</v>
          </cell>
          <cell r="B1424" t="str">
            <v>ja</v>
          </cell>
          <cell r="C1424" t="str">
            <v>バクR5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green</v>
          </cell>
          <cell r="I1424">
            <v>5</v>
          </cell>
          <cell r="J1424" t="str">
            <v>PremiumSSS</v>
          </cell>
          <cell r="K1424" t="str">
            <v>attack</v>
          </cell>
          <cell r="L1424" t="str">
            <v>攻撃タイプ</v>
          </cell>
          <cell r="M1424" t="str">
            <v>academia</v>
          </cell>
        </row>
        <row r="1425">
          <cell r="A1425">
            <v>1489</v>
          </cell>
          <cell r="B1425" t="str">
            <v>ja</v>
          </cell>
          <cell r="C1425" t="str">
            <v>バクR6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green</v>
          </cell>
          <cell r="I1425">
            <v>6</v>
          </cell>
          <cell r="J1425" t="str">
            <v>PremiumSSS</v>
          </cell>
          <cell r="K1425" t="str">
            <v>attack</v>
          </cell>
          <cell r="L1425" t="str">
            <v>攻撃タイプ</v>
          </cell>
          <cell r="M1425" t="str">
            <v>academia</v>
          </cell>
        </row>
        <row r="1426">
          <cell r="A1426">
            <v>1504</v>
          </cell>
          <cell r="B1426" t="str">
            <v>ja</v>
          </cell>
          <cell r="C1426" t="str">
            <v>magenta01</v>
          </cell>
          <cell r="H1426" t="str">
            <v>red</v>
          </cell>
          <cell r="I1426">
            <v>1</v>
          </cell>
          <cell r="J1426" t="str">
            <v>Drop1T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1505</v>
          </cell>
          <cell r="B1427" t="str">
            <v>ja</v>
          </cell>
          <cell r="C1427" t="str">
            <v>amber01</v>
          </cell>
          <cell r="H1427" t="str">
            <v>green</v>
          </cell>
          <cell r="I1427">
            <v>1</v>
          </cell>
          <cell r="J1427" t="str">
            <v>Drop1T</v>
          </cell>
          <cell r="K1427" t="str">
            <v>hp</v>
          </cell>
          <cell r="L1427" t="str">
            <v>体力タイプ</v>
          </cell>
          <cell r="M1427" t="str">
            <v>unknown</v>
          </cell>
        </row>
        <row r="1428">
          <cell r="A1428">
            <v>1506</v>
          </cell>
          <cell r="B1428" t="str">
            <v>ja</v>
          </cell>
          <cell r="C1428" t="str">
            <v>pumpkin01</v>
          </cell>
          <cell r="H1428" t="str">
            <v>yellow</v>
          </cell>
          <cell r="I1428">
            <v>2</v>
          </cell>
          <cell r="J1428" t="str">
            <v>Drop1S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1507</v>
          </cell>
          <cell r="B1429" t="str">
            <v>ja</v>
          </cell>
          <cell r="C1429" t="str">
            <v>rose01</v>
          </cell>
          <cell r="H1429" t="str">
            <v>blue</v>
          </cell>
          <cell r="I1429">
            <v>3</v>
          </cell>
          <cell r="J1429" t="str">
            <v>Drop2N</v>
          </cell>
          <cell r="K1429" t="str">
            <v>technical</v>
          </cell>
          <cell r="L1429" t="str">
            <v>テクニカルタイプ</v>
          </cell>
          <cell r="M1429" t="str">
            <v>unknown</v>
          </cell>
        </row>
        <row r="1430">
          <cell r="A1430">
            <v>1508</v>
          </cell>
          <cell r="B1430" t="str">
            <v>ja</v>
          </cell>
          <cell r="C1430" t="str">
            <v>burgundy01</v>
          </cell>
          <cell r="H1430" t="str">
            <v>red</v>
          </cell>
          <cell r="I1430">
            <v>4</v>
          </cell>
          <cell r="J1430" t="str">
            <v>Drop2N</v>
          </cell>
          <cell r="K1430" t="str">
            <v>balance</v>
          </cell>
          <cell r="L1430" t="str">
            <v>バランスタイプ</v>
          </cell>
          <cell r="M1430" t="str">
            <v>unknown</v>
          </cell>
        </row>
        <row r="1431">
          <cell r="A1431">
            <v>1509</v>
          </cell>
          <cell r="B1431" t="str">
            <v>ja</v>
          </cell>
          <cell r="C1431" t="str">
            <v>cyan01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god</v>
          </cell>
        </row>
        <row r="1432">
          <cell r="A1432">
            <v>1510</v>
          </cell>
          <cell r="B1432" t="str">
            <v>ja</v>
          </cell>
          <cell r="C1432" t="str">
            <v>scarlet01</v>
          </cell>
          <cell r="H1432" t="str">
            <v>yellow</v>
          </cell>
          <cell r="I1432">
            <v>4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1511</v>
          </cell>
          <cell r="B1433" t="str">
            <v>ja</v>
          </cell>
          <cell r="C1433" t="str">
            <v>scarlet02</v>
          </cell>
          <cell r="H1433" t="str">
            <v>yellow</v>
          </cell>
          <cell r="I1433">
            <v>5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god</v>
          </cell>
        </row>
        <row r="1434">
          <cell r="A1434">
            <v>1512</v>
          </cell>
          <cell r="B1434" t="str">
            <v>ja</v>
          </cell>
          <cell r="C1434" t="str">
            <v>scarlet03</v>
          </cell>
          <cell r="H1434" t="str">
            <v>yellow</v>
          </cell>
          <cell r="I1434">
            <v>6</v>
          </cell>
          <cell r="J1434" t="str">
            <v>DropWizS</v>
          </cell>
          <cell r="K1434" t="str">
            <v>balance</v>
          </cell>
          <cell r="L1434" t="str">
            <v>バランスタイプ</v>
          </cell>
          <cell r="M1434" t="str">
            <v>god</v>
          </cell>
        </row>
        <row r="1435">
          <cell r="A1435">
            <v>1513</v>
          </cell>
          <cell r="B1435" t="str">
            <v>ja</v>
          </cell>
          <cell r="C1435" t="str">
            <v>gold01</v>
          </cell>
          <cell r="H1435" t="str">
            <v>yellow</v>
          </cell>
          <cell r="I1435">
            <v>4</v>
          </cell>
          <cell r="J1435" t="str">
            <v>Material</v>
          </cell>
          <cell r="K1435" t="str">
            <v>coin</v>
          </cell>
          <cell r="L1435" t="str">
            <v>コインタイプ</v>
          </cell>
          <cell r="M1435" t="str">
            <v>unknown</v>
          </cell>
        </row>
        <row r="1436">
          <cell r="A1436">
            <v>1514</v>
          </cell>
          <cell r="B1436" t="str">
            <v>ja</v>
          </cell>
          <cell r="C1436" t="str">
            <v>gold02</v>
          </cell>
          <cell r="H1436" t="str">
            <v>yellow</v>
          </cell>
          <cell r="I1436">
            <v>5</v>
          </cell>
          <cell r="J1436" t="str">
            <v>Material</v>
          </cell>
          <cell r="K1436" t="str">
            <v>coin</v>
          </cell>
          <cell r="L1436" t="str">
            <v>コインタイプ</v>
          </cell>
          <cell r="M1436" t="str">
            <v>unknown</v>
          </cell>
        </row>
        <row r="1437">
          <cell r="A1437">
            <v>1515</v>
          </cell>
          <cell r="B1437" t="str">
            <v>ja</v>
          </cell>
          <cell r="C1437" t="str">
            <v>red01</v>
          </cell>
          <cell r="H1437" t="str">
            <v>red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1516</v>
          </cell>
          <cell r="B1438" t="str">
            <v>ja</v>
          </cell>
          <cell r="C1438" t="str">
            <v>red02</v>
          </cell>
          <cell r="H1438" t="str">
            <v>red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1517</v>
          </cell>
          <cell r="B1439" t="str">
            <v>ja</v>
          </cell>
          <cell r="C1439" t="str">
            <v>blue01</v>
          </cell>
          <cell r="H1439" t="str">
            <v>blue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1518</v>
          </cell>
          <cell r="B1440" t="str">
            <v>ja</v>
          </cell>
          <cell r="C1440" t="str">
            <v>blue02</v>
          </cell>
          <cell r="H1440" t="str">
            <v>blue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1519</v>
          </cell>
          <cell r="B1441" t="str">
            <v>ja</v>
          </cell>
          <cell r="C1441" t="str">
            <v>green01</v>
          </cell>
          <cell r="H1441" t="str">
            <v>green</v>
          </cell>
          <cell r="I1441">
            <v>4</v>
          </cell>
          <cell r="J1441" t="str">
            <v>Material</v>
          </cell>
          <cell r="K1441" t="str">
            <v>exp</v>
          </cell>
          <cell r="L1441" t="str">
            <v>強化素材タイプ</v>
          </cell>
          <cell r="M1441" t="str">
            <v>unknown</v>
          </cell>
        </row>
        <row r="1442">
          <cell r="A1442">
            <v>1520</v>
          </cell>
          <cell r="B1442" t="str">
            <v>ja</v>
          </cell>
          <cell r="C1442" t="str">
            <v>green02</v>
          </cell>
          <cell r="H1442" t="str">
            <v>green</v>
          </cell>
          <cell r="I1442">
            <v>5</v>
          </cell>
          <cell r="J1442" t="str">
            <v>Material</v>
          </cell>
          <cell r="K1442" t="str">
            <v>exp</v>
          </cell>
          <cell r="L1442" t="str">
            <v>強化素材タイプ</v>
          </cell>
          <cell r="M1442" t="str">
            <v>unknown</v>
          </cell>
        </row>
        <row r="1443">
          <cell r="A1443">
            <v>1521</v>
          </cell>
          <cell r="B1443" t="str">
            <v>ja</v>
          </cell>
          <cell r="C1443" t="str">
            <v>yellow01</v>
          </cell>
          <cell r="H1443" t="str">
            <v>yellow</v>
          </cell>
          <cell r="I1443">
            <v>4</v>
          </cell>
          <cell r="J1443" t="str">
            <v>Material</v>
          </cell>
          <cell r="K1443" t="str">
            <v>exp</v>
          </cell>
          <cell r="L1443" t="str">
            <v>強化素材タイプ</v>
          </cell>
          <cell r="M1443" t="str">
            <v>unknown</v>
          </cell>
        </row>
        <row r="1444">
          <cell r="A1444">
            <v>1522</v>
          </cell>
          <cell r="B1444" t="str">
            <v>ja</v>
          </cell>
          <cell r="C1444" t="str">
            <v>yellow02</v>
          </cell>
          <cell r="H1444" t="str">
            <v>yellow</v>
          </cell>
          <cell r="I1444">
            <v>5</v>
          </cell>
          <cell r="J1444" t="str">
            <v>Material</v>
          </cell>
          <cell r="K1444" t="str">
            <v>exp</v>
          </cell>
          <cell r="L1444" t="str">
            <v>強化素材タイプ</v>
          </cell>
          <cell r="M1444" t="str">
            <v>unknown</v>
          </cell>
        </row>
        <row r="1445">
          <cell r="A1445">
            <v>1523</v>
          </cell>
          <cell r="B1445" t="str">
            <v>ja</v>
          </cell>
          <cell r="C1445" t="str">
            <v>olive01</v>
          </cell>
          <cell r="H1445" t="str">
            <v>blue</v>
          </cell>
          <cell r="I1445">
            <v>5</v>
          </cell>
          <cell r="J1445" t="str">
            <v>DropWizS</v>
          </cell>
          <cell r="K1445" t="str">
            <v>technical</v>
          </cell>
          <cell r="L1445" t="str">
            <v>テクニカルタイプ</v>
          </cell>
          <cell r="M1445" t="str">
            <v>animal</v>
          </cell>
        </row>
        <row r="1446">
          <cell r="A1446">
            <v>1524</v>
          </cell>
          <cell r="B1446" t="str">
            <v>ja</v>
          </cell>
          <cell r="C1446" t="str">
            <v>olive02</v>
          </cell>
          <cell r="H1446" t="str">
            <v>blue</v>
          </cell>
          <cell r="I1446">
            <v>6</v>
          </cell>
          <cell r="J1446" t="str">
            <v>DropWizS</v>
          </cell>
          <cell r="K1446" t="str">
            <v>technical</v>
          </cell>
          <cell r="L1446" t="str">
            <v>テクニカルタイプ</v>
          </cell>
          <cell r="M1446" t="str">
            <v>animal</v>
          </cell>
        </row>
        <row r="1447">
          <cell r="A1447">
            <v>1525</v>
          </cell>
          <cell r="B1447" t="str">
            <v>ja</v>
          </cell>
          <cell r="C1447" t="str">
            <v>white01</v>
          </cell>
          <cell r="H1447" t="str">
            <v>red</v>
          </cell>
          <cell r="I1447">
            <v>5</v>
          </cell>
          <cell r="J1447" t="str">
            <v>DropWizSS</v>
          </cell>
          <cell r="K1447" t="str">
            <v>attack</v>
          </cell>
          <cell r="L1447" t="str">
            <v>攻撃タイプ</v>
          </cell>
          <cell r="M1447" t="str">
            <v>animal</v>
          </cell>
        </row>
        <row r="1448">
          <cell r="A1448">
            <v>1526</v>
          </cell>
          <cell r="B1448" t="str">
            <v>ja</v>
          </cell>
          <cell r="C1448" t="str">
            <v>white02</v>
          </cell>
          <cell r="H1448" t="str">
            <v>red</v>
          </cell>
          <cell r="I1448">
            <v>6</v>
          </cell>
          <cell r="J1448" t="str">
            <v>DropWizSS</v>
          </cell>
          <cell r="K1448" t="str">
            <v>attack</v>
          </cell>
          <cell r="L1448" t="str">
            <v>攻撃タイプ</v>
          </cell>
          <cell r="M1448" t="str">
            <v>animal</v>
          </cell>
        </row>
        <row r="1449">
          <cell r="A1449">
            <v>1527</v>
          </cell>
          <cell r="B1449" t="str">
            <v>ja</v>
          </cell>
          <cell r="C1449" t="str">
            <v>violet01</v>
          </cell>
          <cell r="H1449" t="str">
            <v>red</v>
          </cell>
          <cell r="I1449">
            <v>4</v>
          </cell>
          <cell r="J1449" t="str">
            <v>PremiumS</v>
          </cell>
          <cell r="K1449" t="str">
            <v>attack</v>
          </cell>
          <cell r="L1449" t="str">
            <v>攻撃タイプ</v>
          </cell>
          <cell r="M1449" t="str">
            <v>animal</v>
          </cell>
        </row>
        <row r="1450">
          <cell r="A1450">
            <v>1528</v>
          </cell>
          <cell r="B1450" t="str">
            <v>ja</v>
          </cell>
          <cell r="C1450" t="str">
            <v>violet02</v>
          </cell>
          <cell r="H1450" t="str">
            <v>red</v>
          </cell>
          <cell r="I1450">
            <v>5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animal</v>
          </cell>
        </row>
        <row r="1451">
          <cell r="A1451">
            <v>1529</v>
          </cell>
          <cell r="B1451" t="str">
            <v>ja</v>
          </cell>
          <cell r="C1451" t="str">
            <v>mint01</v>
          </cell>
          <cell r="H1451" t="str">
            <v>blue</v>
          </cell>
          <cell r="I1451">
            <v>4</v>
          </cell>
          <cell r="J1451" t="str">
            <v>PremiumS</v>
          </cell>
          <cell r="K1451" t="str">
            <v>balance</v>
          </cell>
          <cell r="L1451" t="str">
            <v>バランスタイプ</v>
          </cell>
          <cell r="M1451" t="str">
            <v>unknown</v>
          </cell>
        </row>
        <row r="1452">
          <cell r="A1452">
            <v>1530</v>
          </cell>
          <cell r="B1452" t="str">
            <v>ja</v>
          </cell>
          <cell r="C1452" t="str">
            <v>mint02</v>
          </cell>
          <cell r="H1452" t="str">
            <v>blue</v>
          </cell>
          <cell r="I1452">
            <v>5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unknown</v>
          </cell>
        </row>
        <row r="1453">
          <cell r="A1453">
            <v>1531</v>
          </cell>
          <cell r="B1453" t="str">
            <v>ja</v>
          </cell>
          <cell r="C1453" t="str">
            <v>gray01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technical</v>
          </cell>
          <cell r="L1453" t="str">
            <v>テクニカルタイプ</v>
          </cell>
          <cell r="M1453" t="str">
            <v>animal</v>
          </cell>
        </row>
        <row r="1454">
          <cell r="A1454">
            <v>1532</v>
          </cell>
          <cell r="B1454" t="str">
            <v>ja</v>
          </cell>
          <cell r="C1454" t="str">
            <v>gray02</v>
          </cell>
          <cell r="H1454" t="str">
            <v>green</v>
          </cell>
          <cell r="I1454">
            <v>5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animal</v>
          </cell>
        </row>
        <row r="1455">
          <cell r="A1455">
            <v>1533</v>
          </cell>
          <cell r="B1455" t="str">
            <v>ja</v>
          </cell>
          <cell r="C1455" t="str">
            <v>maroon01</v>
          </cell>
          <cell r="H1455" t="str">
            <v>yellow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animal</v>
          </cell>
        </row>
        <row r="1456">
          <cell r="A1456">
            <v>1534</v>
          </cell>
          <cell r="B1456" t="str">
            <v>ja</v>
          </cell>
          <cell r="C1456" t="str">
            <v>maroon02</v>
          </cell>
          <cell r="H1456" t="str">
            <v>yellow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animal</v>
          </cell>
        </row>
        <row r="1457">
          <cell r="A1457">
            <v>1535</v>
          </cell>
          <cell r="B1457" t="str">
            <v>ja</v>
          </cell>
          <cell r="C1457" t="str">
            <v>pink01</v>
          </cell>
          <cell r="H1457" t="str">
            <v>red</v>
          </cell>
          <cell r="I1457">
            <v>5</v>
          </cell>
          <cell r="J1457" t="str">
            <v>PremiumSS</v>
          </cell>
          <cell r="K1457" t="str">
            <v>technical</v>
          </cell>
          <cell r="L1457" t="str">
            <v>テクニカルタイプ</v>
          </cell>
          <cell r="M1457" t="str">
            <v>god</v>
          </cell>
        </row>
        <row r="1458">
          <cell r="A1458">
            <v>1536</v>
          </cell>
          <cell r="B1458" t="str">
            <v>ja</v>
          </cell>
          <cell r="C1458" t="str">
            <v>pink02</v>
          </cell>
          <cell r="H1458" t="str">
            <v>red</v>
          </cell>
          <cell r="I1458">
            <v>6</v>
          </cell>
          <cell r="J1458" t="str">
            <v>PremiumSS</v>
          </cell>
          <cell r="K1458" t="str">
            <v>technical</v>
          </cell>
          <cell r="L1458" t="str">
            <v>テクニカルタイプ</v>
          </cell>
          <cell r="M1458" t="str">
            <v>god</v>
          </cell>
        </row>
        <row r="1459">
          <cell r="A1459">
            <v>1537</v>
          </cell>
          <cell r="B1459" t="str">
            <v>ja</v>
          </cell>
          <cell r="C1459" t="str">
            <v>black01</v>
          </cell>
          <cell r="H1459" t="str">
            <v>blue</v>
          </cell>
          <cell r="I1459">
            <v>5</v>
          </cell>
          <cell r="J1459" t="str">
            <v>PremiumSSS</v>
          </cell>
          <cell r="K1459" t="str">
            <v>attack</v>
          </cell>
          <cell r="L1459" t="str">
            <v>攻撃タイプ</v>
          </cell>
          <cell r="M1459" t="str">
            <v>unknown</v>
          </cell>
        </row>
        <row r="1460">
          <cell r="A1460">
            <v>1538</v>
          </cell>
          <cell r="B1460" t="str">
            <v>ja</v>
          </cell>
          <cell r="C1460" t="str">
            <v>black02</v>
          </cell>
          <cell r="H1460" t="str">
            <v>blue</v>
          </cell>
          <cell r="I1460">
            <v>6</v>
          </cell>
          <cell r="J1460" t="str">
            <v>PremiumSSS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1539</v>
          </cell>
          <cell r="B1461" t="str">
            <v>ja</v>
          </cell>
          <cell r="C1461" t="str">
            <v>brown01</v>
          </cell>
          <cell r="H1461" t="str">
            <v>yellow</v>
          </cell>
          <cell r="I1461">
            <v>5</v>
          </cell>
          <cell r="J1461" t="str">
            <v>PremiumSS</v>
          </cell>
          <cell r="K1461" t="str">
            <v>attack</v>
          </cell>
          <cell r="L1461" t="str">
            <v>攻撃タイプ</v>
          </cell>
          <cell r="M1461" t="str">
            <v>god</v>
          </cell>
        </row>
        <row r="1462">
          <cell r="A1462">
            <v>1540</v>
          </cell>
          <cell r="B1462" t="str">
            <v>ja</v>
          </cell>
          <cell r="C1462" t="str">
            <v>brown02</v>
          </cell>
          <cell r="H1462" t="str">
            <v>yellow</v>
          </cell>
          <cell r="I1462">
            <v>6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1541</v>
          </cell>
          <cell r="B1463" t="str">
            <v>ja</v>
          </cell>
          <cell r="C1463" t="str">
            <v>purple01</v>
          </cell>
          <cell r="H1463" t="str">
            <v>red</v>
          </cell>
          <cell r="I1463">
            <v>5</v>
          </cell>
          <cell r="J1463" t="str">
            <v>PremiumSSS</v>
          </cell>
          <cell r="K1463" t="str">
            <v>technical</v>
          </cell>
          <cell r="L1463" t="str">
            <v>テクニカルタイプ</v>
          </cell>
          <cell r="M1463" t="str">
            <v>god</v>
          </cell>
        </row>
        <row r="1464">
          <cell r="A1464">
            <v>1542</v>
          </cell>
          <cell r="B1464" t="str">
            <v>ja</v>
          </cell>
          <cell r="C1464" t="str">
            <v>purple02</v>
          </cell>
          <cell r="H1464" t="str">
            <v>red</v>
          </cell>
          <cell r="I1464">
            <v>6</v>
          </cell>
          <cell r="J1464" t="str">
            <v>PremiumSSS</v>
          </cell>
          <cell r="K1464" t="str">
            <v>technical</v>
          </cell>
          <cell r="L1464" t="str">
            <v>テクニカルタイプ</v>
          </cell>
          <cell r="M1464" t="str">
            <v>god</v>
          </cell>
        </row>
        <row r="1465">
          <cell r="A1465">
            <v>1543</v>
          </cell>
          <cell r="B1465" t="str">
            <v>ja</v>
          </cell>
          <cell r="C1465" t="str">
            <v>vanilla01</v>
          </cell>
          <cell r="H1465" t="str">
            <v>red</v>
          </cell>
          <cell r="I1465">
            <v>5</v>
          </cell>
          <cell r="J1465" t="str">
            <v>PremiumSS</v>
          </cell>
          <cell r="K1465" t="str">
            <v>balance</v>
          </cell>
          <cell r="L1465" t="str">
            <v>バランスタイプ</v>
          </cell>
          <cell r="M1465" t="str">
            <v>hero</v>
          </cell>
        </row>
        <row r="1466">
          <cell r="A1466">
            <v>1544</v>
          </cell>
          <cell r="B1466" t="str">
            <v>ja</v>
          </cell>
          <cell r="C1466" t="str">
            <v>vanilla02</v>
          </cell>
          <cell r="H1466" t="str">
            <v>red</v>
          </cell>
          <cell r="I1466">
            <v>6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hero</v>
          </cell>
        </row>
        <row r="1467">
          <cell r="A1467">
            <v>1545</v>
          </cell>
          <cell r="B1467" t="str">
            <v>ja</v>
          </cell>
          <cell r="C1467" t="str">
            <v>silver01</v>
          </cell>
          <cell r="H1467" t="str">
            <v>green</v>
          </cell>
          <cell r="I1467">
            <v>5</v>
          </cell>
          <cell r="J1467" t="str">
            <v>PremiumSS</v>
          </cell>
          <cell r="K1467" t="str">
            <v>hp</v>
          </cell>
          <cell r="L1467" t="str">
            <v>体力タイプ</v>
          </cell>
          <cell r="M1467" t="str">
            <v>unknown</v>
          </cell>
        </row>
        <row r="1468">
          <cell r="A1468">
            <v>1546</v>
          </cell>
          <cell r="B1468" t="str">
            <v>ja</v>
          </cell>
          <cell r="C1468" t="str">
            <v>silver02</v>
          </cell>
          <cell r="H1468" t="str">
            <v>green</v>
          </cell>
          <cell r="I1468">
            <v>6</v>
          </cell>
          <cell r="J1468" t="str">
            <v>PremiumSS</v>
          </cell>
          <cell r="K1468" t="str">
            <v>hp</v>
          </cell>
          <cell r="L1468" t="str">
            <v>体力タイプ</v>
          </cell>
          <cell r="M1468" t="str">
            <v>unknown</v>
          </cell>
        </row>
        <row r="1469">
          <cell r="A1469">
            <v>1547</v>
          </cell>
          <cell r="B1469" t="str">
            <v>ja</v>
          </cell>
          <cell r="C1469" t="str">
            <v>mauve01</v>
          </cell>
          <cell r="H1469" t="str">
            <v>green</v>
          </cell>
          <cell r="I1469">
            <v>4</v>
          </cell>
          <cell r="J1469" t="str">
            <v>Drop2N</v>
          </cell>
          <cell r="K1469" t="str">
            <v>hp</v>
          </cell>
          <cell r="L1469" t="str">
            <v>体力タイプ</v>
          </cell>
          <cell r="M1469" t="str">
            <v>animal</v>
          </cell>
        </row>
        <row r="1470">
          <cell r="A1470">
            <v>1548</v>
          </cell>
          <cell r="B1470" t="str">
            <v>ja</v>
          </cell>
          <cell r="C1470" t="str">
            <v>mauve02</v>
          </cell>
          <cell r="H1470" t="str">
            <v>green</v>
          </cell>
          <cell r="I1470">
            <v>5</v>
          </cell>
          <cell r="J1470" t="str">
            <v>Drop2N</v>
          </cell>
          <cell r="K1470" t="str">
            <v>hp</v>
          </cell>
          <cell r="L1470" t="str">
            <v>体力タイプ</v>
          </cell>
          <cell r="M1470" t="str">
            <v>animal</v>
          </cell>
        </row>
        <row r="1471">
          <cell r="A1471">
            <v>1549</v>
          </cell>
          <cell r="B1471" t="str">
            <v>ja</v>
          </cell>
          <cell r="C1471" t="str">
            <v>ochre01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balance</v>
          </cell>
          <cell r="L1471" t="str">
            <v>バランスタイプ</v>
          </cell>
          <cell r="M1471" t="str">
            <v>unknown</v>
          </cell>
        </row>
        <row r="1472">
          <cell r="A1472">
            <v>1550</v>
          </cell>
          <cell r="B1472" t="str">
            <v>ja</v>
          </cell>
          <cell r="C1472" t="str">
            <v>ochre02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unknown</v>
          </cell>
        </row>
        <row r="1473">
          <cell r="A1473">
            <v>5001</v>
          </cell>
          <cell r="B1473" t="str">
            <v>ja</v>
          </cell>
          <cell r="C1473" t="str">
            <v>ガルーダ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red</v>
          </cell>
          <cell r="I1473">
            <v>5</v>
          </cell>
          <cell r="J1473" t="str">
            <v>PremiumSSw</v>
          </cell>
          <cell r="K1473" t="str">
            <v>attack</v>
          </cell>
          <cell r="L1473" t="str">
            <v>攻撃タイプ</v>
          </cell>
          <cell r="M1473" t="str">
            <v>god</v>
          </cell>
        </row>
        <row r="1474">
          <cell r="A1474">
            <v>5002</v>
          </cell>
          <cell r="B1474" t="str">
            <v>ja</v>
          </cell>
          <cell r="C1474" t="str">
            <v>ガルーダ★６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red</v>
          </cell>
          <cell r="I1474">
            <v>6</v>
          </cell>
          <cell r="J1474" t="str">
            <v>PremiumSSw</v>
          </cell>
          <cell r="K1474" t="str">
            <v>attack</v>
          </cell>
          <cell r="L1474" t="str">
            <v>攻撃タイプ</v>
          </cell>
          <cell r="M1474" t="str">
            <v>god</v>
          </cell>
        </row>
        <row r="1475">
          <cell r="A1475">
            <v>5003</v>
          </cell>
          <cell r="B1475" t="str">
            <v>ja</v>
          </cell>
          <cell r="C1475" t="str">
            <v>ナーガ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green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animal</v>
          </cell>
        </row>
        <row r="1476">
          <cell r="A1476">
            <v>5004</v>
          </cell>
          <cell r="B1476" t="str">
            <v>ja</v>
          </cell>
          <cell r="C1476" t="str">
            <v>ナーガ★６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green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animal</v>
          </cell>
        </row>
        <row r="1477">
          <cell r="A1477">
            <v>5005</v>
          </cell>
          <cell r="B1477" t="str">
            <v>ja</v>
          </cell>
          <cell r="C1477" t="str">
            <v>カーミラ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green</v>
          </cell>
          <cell r="I1477">
            <v>5</v>
          </cell>
          <cell r="J1477" t="str">
            <v>PremiumSSw</v>
          </cell>
          <cell r="K1477" t="str">
            <v>balance</v>
          </cell>
          <cell r="L1477" t="str">
            <v>バランスタイプ</v>
          </cell>
          <cell r="M1477" t="str">
            <v>demon</v>
          </cell>
        </row>
        <row r="1478">
          <cell r="A1478">
            <v>5006</v>
          </cell>
          <cell r="B1478" t="str">
            <v>ja</v>
          </cell>
          <cell r="C1478" t="str">
            <v>カーミラ★６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green</v>
          </cell>
          <cell r="I1478">
            <v>6</v>
          </cell>
          <cell r="J1478" t="str">
            <v>PremiumSSw</v>
          </cell>
          <cell r="K1478" t="str">
            <v>balance</v>
          </cell>
          <cell r="L1478" t="str">
            <v>バランスタイプ</v>
          </cell>
          <cell r="M1478" t="str">
            <v>demon</v>
          </cell>
        </row>
        <row r="1479">
          <cell r="A1479">
            <v>5007</v>
          </cell>
          <cell r="B1479" t="str">
            <v>ja</v>
          </cell>
          <cell r="C1479" t="str">
            <v>ヘルシング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yellow</v>
          </cell>
          <cell r="I1479">
            <v>5</v>
          </cell>
          <cell r="J1479" t="str">
            <v>DropWizS</v>
          </cell>
          <cell r="K1479" t="str">
            <v>technical</v>
          </cell>
          <cell r="L1479" t="str">
            <v>テクニカルタイプ</v>
          </cell>
          <cell r="M1479" t="str">
            <v>human</v>
          </cell>
        </row>
        <row r="1480">
          <cell r="A1480">
            <v>5008</v>
          </cell>
          <cell r="B1480" t="str">
            <v>ja</v>
          </cell>
          <cell r="C1480" t="str">
            <v>ヘルシング★６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yellow</v>
          </cell>
          <cell r="I1480">
            <v>6</v>
          </cell>
          <cell r="J1480" t="str">
            <v>DropWizS</v>
          </cell>
          <cell r="K1480" t="str">
            <v>technical</v>
          </cell>
          <cell r="L1480" t="str">
            <v>テクニカルタイプ</v>
          </cell>
          <cell r="M1480" t="str">
            <v>human</v>
          </cell>
        </row>
        <row r="1481">
          <cell r="A1481">
            <v>6001</v>
          </cell>
          <cell r="B1481" t="str">
            <v>ja</v>
          </cell>
          <cell r="C1481" t="str">
            <v>ジェリー</v>
          </cell>
          <cell r="D1481" t="str">
            <v>ノーマルクエスト</v>
          </cell>
          <cell r="E1481" t="str">
            <v>QoH</v>
          </cell>
          <cell r="F1481" t="str">
            <v>世界観</v>
          </cell>
          <cell r="G1481" t="str">
            <v>不明</v>
          </cell>
          <cell r="H1481" t="str">
            <v>red</v>
          </cell>
          <cell r="I1481">
            <v>1</v>
          </cell>
          <cell r="J1481" t="str">
            <v>Drop1T</v>
          </cell>
          <cell r="K1481" t="str">
            <v>ra</v>
          </cell>
          <cell r="L1481" t="str">
            <v>ラグランジュチャレンジ</v>
          </cell>
          <cell r="M1481" t="str">
            <v>unknown</v>
          </cell>
        </row>
        <row r="1482">
          <cell r="A1482">
            <v>6002</v>
          </cell>
          <cell r="B1482" t="str">
            <v>ja</v>
          </cell>
          <cell r="C1482" t="str">
            <v>ヨシタカ</v>
          </cell>
          <cell r="D1482" t="str">
            <v>ノーマルクエスト</v>
          </cell>
          <cell r="E1482" t="str">
            <v>アバター</v>
          </cell>
          <cell r="F1482" t="str">
            <v>世界観</v>
          </cell>
          <cell r="G1482" t="str">
            <v>男性</v>
          </cell>
          <cell r="H1482" t="str">
            <v>red</v>
          </cell>
          <cell r="I1482">
            <v>2</v>
          </cell>
          <cell r="J1482" t="str">
            <v>Drop1N</v>
          </cell>
          <cell r="K1482" t="str">
            <v>ra</v>
          </cell>
          <cell r="L1482" t="str">
            <v>ラグランジュチャレンジ</v>
          </cell>
          <cell r="M1482" t="str">
            <v>human</v>
          </cell>
        </row>
        <row r="1483">
          <cell r="A1483">
            <v>6003</v>
          </cell>
          <cell r="B1483" t="str">
            <v>ja</v>
          </cell>
          <cell r="C1483" t="str">
            <v>朱雀</v>
          </cell>
          <cell r="D1483" t="str">
            <v>リンクガチャ:4神</v>
          </cell>
          <cell r="E1483" t="str">
            <v>守護神</v>
          </cell>
          <cell r="F1483" t="str">
            <v>格好いい</v>
          </cell>
          <cell r="G1483" t="str">
            <v>不明</v>
          </cell>
          <cell r="H1483" t="str">
            <v>red</v>
          </cell>
          <cell r="I1483">
            <v>3</v>
          </cell>
          <cell r="J1483" t="str">
            <v>Drop2N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6004</v>
          </cell>
          <cell r="B1484" t="str">
            <v>ja</v>
          </cell>
          <cell r="C1484" t="str">
            <v>ブレット</v>
          </cell>
          <cell r="D1484" t="str">
            <v>ノーマルクエスト</v>
          </cell>
          <cell r="E1484" t="str">
            <v>アバター</v>
          </cell>
          <cell r="F1484" t="str">
            <v>世界観</v>
          </cell>
          <cell r="G1484" t="str">
            <v>不明</v>
          </cell>
          <cell r="H1484" t="str">
            <v>red</v>
          </cell>
          <cell r="I1484">
            <v>1</v>
          </cell>
          <cell r="J1484" t="str">
            <v>Drop1W</v>
          </cell>
          <cell r="K1484" t="str">
            <v>ra</v>
          </cell>
          <cell r="L1484" t="str">
            <v>ラグランジュチャレンジ</v>
          </cell>
          <cell r="M1484" t="str">
            <v>animal</v>
          </cell>
        </row>
        <row r="1485">
          <cell r="A1485">
            <v>6005</v>
          </cell>
          <cell r="B1485" t="str">
            <v>ja</v>
          </cell>
          <cell r="C1485" t="str">
            <v>孤神 テティス</v>
          </cell>
          <cell r="D1485" t="str">
            <v>初期ガチャ</v>
          </cell>
          <cell r="E1485" t="str">
            <v>管理者</v>
          </cell>
          <cell r="F1485" t="str">
            <v>美しい</v>
          </cell>
          <cell r="G1485" t="str">
            <v>女性</v>
          </cell>
          <cell r="H1485" t="str">
            <v>blue</v>
          </cell>
          <cell r="I1485">
            <v>4</v>
          </cell>
          <cell r="J1485" t="str">
            <v>PremiumN</v>
          </cell>
          <cell r="K1485" t="str">
            <v>ra</v>
          </cell>
          <cell r="L1485" t="str">
            <v>ラグランジュチャレンジ</v>
          </cell>
          <cell r="M1485" t="str">
            <v>god</v>
          </cell>
        </row>
        <row r="1486">
          <cell r="A1486">
            <v>6006</v>
          </cell>
          <cell r="B1486" t="str">
            <v>ja</v>
          </cell>
          <cell r="C1486" t="str">
            <v>海底の孤高神 テティス</v>
          </cell>
          <cell r="D1486" t="str">
            <v>初期ガチャ</v>
          </cell>
          <cell r="E1486" t="str">
            <v>管理者</v>
          </cell>
          <cell r="F1486" t="str">
            <v>美しい</v>
          </cell>
          <cell r="G1486" t="str">
            <v>女性</v>
          </cell>
          <cell r="H1486" t="str">
            <v>blue</v>
          </cell>
          <cell r="I1486">
            <v>5</v>
          </cell>
          <cell r="J1486" t="str">
            <v>PremiumN</v>
          </cell>
          <cell r="K1486" t="str">
            <v>ra</v>
          </cell>
          <cell r="L1486" t="str">
            <v>ラグランジュチャレンジ</v>
          </cell>
          <cell r="M1486" t="str">
            <v>god</v>
          </cell>
        </row>
        <row r="1487">
          <cell r="A1487">
            <v>6007</v>
          </cell>
          <cell r="B1487" t="str">
            <v>ja</v>
          </cell>
          <cell r="C1487" t="str">
            <v>番犬 ケルベロス</v>
          </cell>
          <cell r="D1487" t="str">
            <v>初期ガチャ</v>
          </cell>
          <cell r="E1487" t="str">
            <v>破界者</v>
          </cell>
          <cell r="F1487" t="str">
            <v>可愛い</v>
          </cell>
          <cell r="G1487" t="str">
            <v>女性</v>
          </cell>
          <cell r="H1487" t="str">
            <v>red</v>
          </cell>
          <cell r="I1487">
            <v>4</v>
          </cell>
          <cell r="J1487" t="str">
            <v>PremiumN</v>
          </cell>
          <cell r="K1487" t="str">
            <v>ra</v>
          </cell>
          <cell r="L1487" t="str">
            <v>ラグランジュチャレンジ</v>
          </cell>
          <cell r="M1487" t="str">
            <v>animal</v>
          </cell>
        </row>
        <row r="1488">
          <cell r="A1488">
            <v>6008</v>
          </cell>
          <cell r="B1488" t="str">
            <v>ja</v>
          </cell>
          <cell r="C1488" t="str">
            <v>焔神 プロメテウス</v>
          </cell>
          <cell r="D1488" t="str">
            <v>初期ガチャ</v>
          </cell>
          <cell r="E1488" t="str">
            <v>管理者</v>
          </cell>
          <cell r="F1488" t="str">
            <v>格好いい</v>
          </cell>
          <cell r="G1488" t="str">
            <v>男性</v>
          </cell>
          <cell r="H1488" t="str">
            <v>red</v>
          </cell>
          <cell r="I1488">
            <v>4</v>
          </cell>
          <cell r="J1488" t="str">
            <v>PremiumN</v>
          </cell>
          <cell r="K1488" t="str">
            <v>ra</v>
          </cell>
          <cell r="L1488" t="str">
            <v>ラグランジュチャレンジ</v>
          </cell>
          <cell r="M1488" t="str">
            <v>god</v>
          </cell>
        </row>
        <row r="1489">
          <cell r="A1489">
            <v>6009</v>
          </cell>
          <cell r="B1489" t="str">
            <v>ja</v>
          </cell>
          <cell r="C1489" t="str">
            <v>超越自我 ラグランジュ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red</v>
          </cell>
          <cell r="I1489">
            <v>5</v>
          </cell>
          <cell r="J1489" t="str">
            <v>PremiumSSS</v>
          </cell>
          <cell r="K1489" t="str">
            <v>ra</v>
          </cell>
          <cell r="L1489" t="str">
            <v>ラグランジュチャレンジ</v>
          </cell>
          <cell r="M1489" t="str">
            <v>human</v>
          </cell>
        </row>
        <row r="1490">
          <cell r="A1490">
            <v>6010</v>
          </cell>
          <cell r="B1490" t="str">
            <v>ja</v>
          </cell>
          <cell r="C1490" t="str">
            <v>超越凌駕 ラグランジュ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red</v>
          </cell>
          <cell r="I1490">
            <v>6</v>
          </cell>
          <cell r="J1490" t="str">
            <v>PremiumSSS</v>
          </cell>
          <cell r="K1490" t="str">
            <v>ra</v>
          </cell>
          <cell r="L1490" t="str">
            <v>ラグランジュチャレンジ</v>
          </cell>
          <cell r="M1490" t="str">
            <v>human</v>
          </cell>
        </row>
        <row r="1491">
          <cell r="A1491">
            <v>6011</v>
          </cell>
          <cell r="B1491" t="str">
            <v>ja</v>
          </cell>
          <cell r="C1491" t="str">
            <v>パトドッグリーダー ポチ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2</v>
          </cell>
          <cell r="J1491" t="str">
            <v>Drop1T</v>
          </cell>
          <cell r="K1491" t="str">
            <v>ra002</v>
          </cell>
          <cell r="L1491" t="str">
            <v>ユークリッドチャレンジ</v>
          </cell>
          <cell r="M1491" t="str">
            <v>unknown</v>
          </cell>
        </row>
        <row r="1492">
          <cell r="A1492">
            <v>6012</v>
          </cell>
          <cell r="B1492" t="str">
            <v>ja</v>
          </cell>
          <cell r="C1492" t="str">
            <v>ミミ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yellow</v>
          </cell>
          <cell r="I1492">
            <v>1</v>
          </cell>
          <cell r="J1492" t="str">
            <v>Drop1W</v>
          </cell>
          <cell r="K1492" t="str">
            <v>ra002</v>
          </cell>
          <cell r="L1492" t="str">
            <v>ユークリッドチャレンジ</v>
          </cell>
          <cell r="M1492" t="str">
            <v>animal</v>
          </cell>
        </row>
        <row r="1493">
          <cell r="A1493">
            <v>6013</v>
          </cell>
          <cell r="B1493" t="str">
            <v>ja</v>
          </cell>
          <cell r="C1493" t="str">
            <v>護衛機人 スケアクロウ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2</v>
          </cell>
          <cell r="J1493" t="str">
            <v>Drop1N</v>
          </cell>
          <cell r="K1493" t="str">
            <v>ra002</v>
          </cell>
          <cell r="L1493" t="str">
            <v>ユークリッドチャレンジ</v>
          </cell>
          <cell r="M1493" t="str">
            <v>machine</v>
          </cell>
        </row>
        <row r="1494">
          <cell r="A1494">
            <v>6014</v>
          </cell>
          <cell r="B1494" t="str">
            <v>ja</v>
          </cell>
          <cell r="C1494" t="str">
            <v>月下の人狼 ローレンス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blue</v>
          </cell>
          <cell r="I1494">
            <v>4</v>
          </cell>
          <cell r="J1494" t="str">
            <v>PremiumW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6015</v>
          </cell>
          <cell r="B1495" t="str">
            <v>ja</v>
          </cell>
          <cell r="C1495" t="str">
            <v>フレイヤ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blue</v>
          </cell>
          <cell r="I1495">
            <v>4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6016</v>
          </cell>
          <cell r="B1496" t="str">
            <v>ja</v>
          </cell>
          <cell r="C1496" t="str">
            <v>根原論理 ユークリッド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5</v>
          </cell>
          <cell r="J1496" t="str">
            <v>PremiumSSS</v>
          </cell>
          <cell r="K1496" t="str">
            <v>ra002</v>
          </cell>
          <cell r="L1496" t="str">
            <v>ユークリッドチャレンジ</v>
          </cell>
          <cell r="M1496" t="str">
            <v>human</v>
          </cell>
        </row>
        <row r="1497">
          <cell r="A1497">
            <v>6017</v>
          </cell>
          <cell r="B1497" t="str">
            <v>ja</v>
          </cell>
          <cell r="C1497" t="str">
            <v>不朽の極論 ユークリッド</v>
          </cell>
          <cell r="D1497" t="str">
            <v>ガチャ:フィーバーフェス02</v>
          </cell>
          <cell r="E1497" t="str">
            <v>執行者</v>
          </cell>
          <cell r="F1497" t="str">
            <v>格好いい</v>
          </cell>
          <cell r="G1497" t="str">
            <v>男性</v>
          </cell>
          <cell r="H1497" t="str">
            <v>blue</v>
          </cell>
          <cell r="I1497">
            <v>6</v>
          </cell>
          <cell r="J1497" t="str">
            <v>PremiumSSS</v>
          </cell>
          <cell r="K1497" t="str">
            <v>ra002</v>
          </cell>
          <cell r="L1497" t="str">
            <v>ユークリッドチャレンジ</v>
          </cell>
          <cell r="M1497" t="str">
            <v>human</v>
          </cell>
        </row>
        <row r="1498">
          <cell r="A1498">
            <v>6018</v>
          </cell>
          <cell r="B1498" t="str">
            <v>ja</v>
          </cell>
          <cell r="C1498" t="str">
            <v>ハヅル</v>
          </cell>
          <cell r="D1498" t="str">
            <v>ガチャ:フィーバーフェス02</v>
          </cell>
          <cell r="E1498" t="str">
            <v>執行者</v>
          </cell>
          <cell r="F1498" t="str">
            <v>格好いい</v>
          </cell>
          <cell r="G1498" t="str">
            <v>男性</v>
          </cell>
          <cell r="H1498" t="str">
            <v>red</v>
          </cell>
          <cell r="I1498">
            <v>4</v>
          </cell>
          <cell r="J1498" t="str">
            <v>PremiumSS</v>
          </cell>
          <cell r="K1498" t="str">
            <v>ra002</v>
          </cell>
          <cell r="L1498" t="str">
            <v>ユークリッドチャレンジ</v>
          </cell>
          <cell r="M1498" t="str">
            <v>animal</v>
          </cell>
        </row>
        <row r="1499">
          <cell r="A1499">
            <v>6019</v>
          </cell>
          <cell r="B1499" t="str">
            <v>ja</v>
          </cell>
          <cell r="C1499" t="str">
            <v>天織羽鶴 ハヅル</v>
          </cell>
          <cell r="D1499" t="str">
            <v>ガチャ:フィーバーフェス02</v>
          </cell>
          <cell r="E1499" t="str">
            <v>執行者</v>
          </cell>
          <cell r="F1499" t="str">
            <v>格好いい</v>
          </cell>
          <cell r="G1499" t="str">
            <v>男性</v>
          </cell>
          <cell r="H1499" t="str">
            <v>red</v>
          </cell>
          <cell r="I1499">
            <v>5</v>
          </cell>
          <cell r="J1499" t="str">
            <v>PremiumSS</v>
          </cell>
          <cell r="K1499" t="str">
            <v>ra002</v>
          </cell>
          <cell r="L1499" t="str">
            <v>ユークリッドチャレンジ</v>
          </cell>
          <cell r="M1499" t="str">
            <v>animal</v>
          </cell>
        </row>
        <row r="1500">
          <cell r="A1500">
            <v>6020</v>
          </cell>
          <cell r="B1500" t="str">
            <v>ja</v>
          </cell>
          <cell r="C1500" t="str">
            <v>ミズチ</v>
          </cell>
          <cell r="D1500" t="str">
            <v>ガチャ:フィーバーフェス02</v>
          </cell>
          <cell r="E1500" t="str">
            <v>執行者</v>
          </cell>
          <cell r="F1500" t="str">
            <v>格好いい</v>
          </cell>
          <cell r="G1500" t="str">
            <v>男性</v>
          </cell>
          <cell r="H1500" t="str">
            <v>blue</v>
          </cell>
          <cell r="I1500">
            <v>4</v>
          </cell>
          <cell r="J1500" t="str">
            <v>PremiumS</v>
          </cell>
          <cell r="K1500" t="str">
            <v>ra002</v>
          </cell>
          <cell r="L1500" t="str">
            <v>ユークリッドチャレンジ</v>
          </cell>
          <cell r="M1500" t="str">
            <v>dragon</v>
          </cell>
        </row>
        <row r="1501">
          <cell r="A1501">
            <v>8001</v>
          </cell>
          <cell r="B1501" t="str">
            <v>ja</v>
          </cell>
          <cell r="C1501" t="str">
            <v>媽祖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5</v>
          </cell>
          <cell r="J1501" t="str">
            <v>PremiumSS</v>
          </cell>
          <cell r="K1501" t="str">
            <v>attack</v>
          </cell>
          <cell r="L1501" t="str">
            <v>攻撃タイプ</v>
          </cell>
          <cell r="M1501" t="str">
            <v>god</v>
          </cell>
        </row>
        <row r="1502">
          <cell r="A1502">
            <v>8002</v>
          </cell>
          <cell r="B1502" t="str">
            <v>ja</v>
          </cell>
          <cell r="C1502" t="str">
            <v>宣導する天海妃 媽祖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yellow</v>
          </cell>
          <cell r="I1502">
            <v>6</v>
          </cell>
          <cell r="J1502" t="str">
            <v>PremiumSS</v>
          </cell>
          <cell r="K1502" t="str">
            <v>attack</v>
          </cell>
          <cell r="L1502" t="str">
            <v>攻撃タイプ</v>
          </cell>
          <cell r="M1502" t="str">
            <v>god</v>
          </cell>
        </row>
        <row r="1503">
          <cell r="A1503">
            <v>8003</v>
          </cell>
          <cell r="B1503" t="str">
            <v>ja</v>
          </cell>
          <cell r="C1503" t="str">
            <v>蛟龍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blue</v>
          </cell>
          <cell r="I1503">
            <v>5</v>
          </cell>
          <cell r="J1503" t="str">
            <v>DropWizS</v>
          </cell>
          <cell r="K1503" t="str">
            <v>hp</v>
          </cell>
          <cell r="L1503" t="str">
            <v>体力タイプ</v>
          </cell>
          <cell r="M1503" t="str">
            <v>dragon</v>
          </cell>
        </row>
        <row r="1504">
          <cell r="A1504">
            <v>8004</v>
          </cell>
          <cell r="B1504" t="str">
            <v>ja</v>
          </cell>
          <cell r="C1504" t="str">
            <v>呼嵐の蒼棲龍 蛟龍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blue</v>
          </cell>
          <cell r="I1504">
            <v>6</v>
          </cell>
          <cell r="J1504" t="str">
            <v>DropWizS</v>
          </cell>
          <cell r="K1504" t="str">
            <v>hp</v>
          </cell>
          <cell r="L1504" t="str">
            <v>体力タイプ</v>
          </cell>
          <cell r="M1504" t="str">
            <v>dragon</v>
          </cell>
        </row>
        <row r="1505">
          <cell r="A1505">
            <v>8005</v>
          </cell>
          <cell r="B1505" t="str">
            <v>ja</v>
          </cell>
          <cell r="C1505" t="str">
            <v>三蔵法師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blue</v>
          </cell>
          <cell r="I1505">
            <v>5</v>
          </cell>
          <cell r="J1505" t="str">
            <v>PremiumSS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8006</v>
          </cell>
          <cell r="B1506" t="str">
            <v>ja</v>
          </cell>
          <cell r="C1506" t="str">
            <v>慈戒の呪封使 三蔵法師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blue</v>
          </cell>
          <cell r="I1506">
            <v>6</v>
          </cell>
          <cell r="J1506" t="str">
            <v>PremiumSS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8007</v>
          </cell>
          <cell r="B1507" t="str">
            <v>ja</v>
          </cell>
          <cell r="C1507" t="str">
            <v>孫悟空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不明</v>
          </cell>
          <cell r="H1507" t="str">
            <v>red</v>
          </cell>
          <cell r="I1507">
            <v>5</v>
          </cell>
          <cell r="J1507" t="str">
            <v>DropWizS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8008</v>
          </cell>
          <cell r="B1508" t="str">
            <v>ja</v>
          </cell>
          <cell r="C1508" t="str">
            <v>花果の天猿仙人 孫悟空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不明</v>
          </cell>
          <cell r="H1508" t="str">
            <v>red</v>
          </cell>
          <cell r="I1508">
            <v>6</v>
          </cell>
          <cell r="J1508" t="str">
            <v>DropWizS</v>
          </cell>
          <cell r="K1508" t="str">
            <v>attack</v>
          </cell>
          <cell r="L1508" t="str">
            <v>攻撃タイプ</v>
          </cell>
          <cell r="M1508" t="str">
            <v>animal</v>
          </cell>
        </row>
        <row r="1509">
          <cell r="A1509">
            <v>8009</v>
          </cell>
          <cell r="B1509" t="str">
            <v>ja</v>
          </cell>
          <cell r="C1509" t="str">
            <v>西王娘娘</v>
          </cell>
          <cell r="D1509" t="str">
            <v>イベント:ミクコラボ01</v>
          </cell>
          <cell r="E1509" t="str">
            <v>執行者</v>
          </cell>
          <cell r="F1509" t="str">
            <v>格好いい</v>
          </cell>
          <cell r="G1509" t="str">
            <v>不明</v>
          </cell>
          <cell r="H1509" t="str">
            <v>green</v>
          </cell>
          <cell r="I1509">
            <v>5</v>
          </cell>
          <cell r="J1509" t="str">
            <v>PremiumSS</v>
          </cell>
          <cell r="K1509" t="str">
            <v>attack</v>
          </cell>
          <cell r="L1509" t="str">
            <v>攻撃タイプ</v>
          </cell>
          <cell r="M1509" t="str">
            <v>god</v>
          </cell>
        </row>
        <row r="1510">
          <cell r="A1510">
            <v>8010</v>
          </cell>
          <cell r="B1510" t="str">
            <v>ja</v>
          </cell>
          <cell r="C1510" t="str">
            <v>極楽瑶池の聖母 西王娘娘</v>
          </cell>
          <cell r="D1510" t="str">
            <v>イベント:ミクコラボ01</v>
          </cell>
          <cell r="E1510" t="str">
            <v>執行者</v>
          </cell>
          <cell r="F1510" t="str">
            <v>格好いい</v>
          </cell>
          <cell r="G1510" t="str">
            <v>不明</v>
          </cell>
          <cell r="H1510" t="str">
            <v>green</v>
          </cell>
          <cell r="I1510">
            <v>6</v>
          </cell>
          <cell r="J1510" t="str">
            <v>PremiumSS</v>
          </cell>
          <cell r="K1510" t="str">
            <v>attack</v>
          </cell>
          <cell r="L1510" t="str">
            <v>攻撃タイプ</v>
          </cell>
          <cell r="M1510" t="str">
            <v>god</v>
          </cell>
        </row>
        <row r="1511">
          <cell r="A1511">
            <v>8011</v>
          </cell>
          <cell r="B1511" t="str">
            <v>ja</v>
          </cell>
          <cell r="C1511" t="str">
            <v>月下老人</v>
          </cell>
          <cell r="D1511" t="str">
            <v>イベント:ミクコラボ01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yellow</v>
          </cell>
          <cell r="I1511">
            <v>5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god</v>
          </cell>
        </row>
        <row r="1512">
          <cell r="A1512">
            <v>8012</v>
          </cell>
          <cell r="B1512" t="str">
            <v>ja</v>
          </cell>
          <cell r="C1512" t="str">
            <v>破戀斬る縁剣 月下老人</v>
          </cell>
          <cell r="D1512" t="str">
            <v>イベント:ミクコラボ01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yellow</v>
          </cell>
          <cell r="I1512">
            <v>6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god</v>
          </cell>
        </row>
        <row r="1513">
          <cell r="A1513">
            <v>8013</v>
          </cell>
          <cell r="B1513" t="str">
            <v>ja</v>
          </cell>
          <cell r="C1513" t="str">
            <v>初音ミクV3</v>
          </cell>
          <cell r="D1513" t="str">
            <v>初音ミクV3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yellow</v>
          </cell>
          <cell r="I1513">
            <v>4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8014</v>
          </cell>
          <cell r="B1514" t="str">
            <v>ja</v>
          </cell>
          <cell r="C1514" t="str">
            <v>初音ミクV3</v>
          </cell>
          <cell r="D1514" t="str">
            <v>初音ミクV3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8015</v>
          </cell>
          <cell r="B1515" t="str">
            <v>ja</v>
          </cell>
          <cell r="C1515" t="str">
            <v>初音ミク・アペンド</v>
          </cell>
          <cell r="D1515" t="str">
            <v>初音ミク・アペンド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green</v>
          </cell>
          <cell r="I1515">
            <v>4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unknown</v>
          </cell>
        </row>
        <row r="1516">
          <cell r="A1516">
            <v>8016</v>
          </cell>
          <cell r="B1516" t="str">
            <v>ja</v>
          </cell>
          <cell r="C1516" t="str">
            <v>初音ミク・アペンド</v>
          </cell>
          <cell r="D1516" t="str">
            <v>初音ミク・アペンド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green</v>
          </cell>
          <cell r="I1516">
            <v>5</v>
          </cell>
          <cell r="J1516" t="str">
            <v>PremiumSSS</v>
          </cell>
          <cell r="K1516" t="str">
            <v>technical</v>
          </cell>
          <cell r="L1516" t="str">
            <v>テクニカルタイプ</v>
          </cell>
          <cell r="M1516" t="str">
            <v>unknown</v>
          </cell>
        </row>
        <row r="1517">
          <cell r="A1517">
            <v>8017</v>
          </cell>
          <cell r="B1517" t="str">
            <v>ja</v>
          </cell>
          <cell r="C1517" t="str">
            <v>初音ミク</v>
          </cell>
          <cell r="D1517" t="str">
            <v>初音ミク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green</v>
          </cell>
          <cell r="I1517">
            <v>4</v>
          </cell>
          <cell r="J1517" t="str">
            <v>PremiumSSS</v>
          </cell>
          <cell r="K1517" t="str">
            <v>balance</v>
          </cell>
          <cell r="L1517" t="str">
            <v>バランスタイプ</v>
          </cell>
          <cell r="M1517" t="str">
            <v>unknown</v>
          </cell>
        </row>
        <row r="1518">
          <cell r="A1518">
            <v>8018</v>
          </cell>
          <cell r="B1518" t="str">
            <v>ja</v>
          </cell>
          <cell r="C1518" t="str">
            <v>初音ミク</v>
          </cell>
          <cell r="D1518" t="str">
            <v>初音ミク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5</v>
          </cell>
          <cell r="J1518" t="str">
            <v>PremiumSSS</v>
          </cell>
          <cell r="K1518" t="str">
            <v>balance</v>
          </cell>
          <cell r="L1518" t="str">
            <v>バランスタイプ</v>
          </cell>
          <cell r="M1518" t="str">
            <v>unknown</v>
          </cell>
        </row>
        <row r="1519">
          <cell r="A1519">
            <v>8019</v>
          </cell>
          <cell r="B1519" t="str">
            <v>ja</v>
          </cell>
          <cell r="C1519" t="str">
            <v>鏡音リン</v>
          </cell>
          <cell r="D1519" t="str">
            <v>鏡音リン</v>
          </cell>
          <cell r="E1519" t="str">
            <v>執行者</v>
          </cell>
          <cell r="F1519" t="str">
            <v>格好いい</v>
          </cell>
          <cell r="G1519" t="str">
            <v>男性</v>
          </cell>
          <cell r="H1519" t="str">
            <v>yellow</v>
          </cell>
          <cell r="I1519">
            <v>4</v>
          </cell>
          <cell r="J1519" t="str">
            <v>PremiumSS</v>
          </cell>
          <cell r="K1519" t="str">
            <v>balance</v>
          </cell>
          <cell r="L1519" t="str">
            <v>バランスタイプ</v>
          </cell>
          <cell r="M1519" t="str">
            <v>unknown</v>
          </cell>
        </row>
        <row r="1520">
          <cell r="A1520">
            <v>8020</v>
          </cell>
          <cell r="B1520" t="str">
            <v>ja</v>
          </cell>
          <cell r="C1520" t="str">
            <v>鏡音リン</v>
          </cell>
          <cell r="D1520" t="str">
            <v>鏡音リン</v>
          </cell>
          <cell r="E1520" t="str">
            <v>執行者</v>
          </cell>
          <cell r="F1520" t="str">
            <v>格好いい</v>
          </cell>
          <cell r="G1520" t="str">
            <v>男性</v>
          </cell>
          <cell r="H1520" t="str">
            <v>yellow</v>
          </cell>
          <cell r="I1520">
            <v>5</v>
          </cell>
          <cell r="J1520" t="str">
            <v>PremiumSS</v>
          </cell>
          <cell r="K1520" t="str">
            <v>balance</v>
          </cell>
          <cell r="L1520" t="str">
            <v>バランスタイプ</v>
          </cell>
          <cell r="M1520" t="str">
            <v>unknown</v>
          </cell>
        </row>
        <row r="1521">
          <cell r="A1521">
            <v>8021</v>
          </cell>
          <cell r="B1521" t="str">
            <v>ja</v>
          </cell>
          <cell r="C1521" t="str">
            <v>鏡音レン</v>
          </cell>
          <cell r="D1521" t="str">
            <v>鏡音レン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yellow</v>
          </cell>
          <cell r="I1521">
            <v>4</v>
          </cell>
          <cell r="J1521" t="str">
            <v>PremiumSS</v>
          </cell>
          <cell r="K1521" t="str">
            <v>heal</v>
          </cell>
          <cell r="L1521" t="str">
            <v>回復タイプ</v>
          </cell>
          <cell r="M1521" t="str">
            <v>unknown</v>
          </cell>
        </row>
        <row r="1522">
          <cell r="A1522">
            <v>8022</v>
          </cell>
          <cell r="B1522" t="str">
            <v>ja</v>
          </cell>
          <cell r="C1522" t="str">
            <v>鏡音レン</v>
          </cell>
          <cell r="D1522" t="str">
            <v>鏡音レン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yellow</v>
          </cell>
          <cell r="I1522">
            <v>5</v>
          </cell>
          <cell r="J1522" t="str">
            <v>PremiumSS</v>
          </cell>
          <cell r="K1522" t="str">
            <v>heal</v>
          </cell>
          <cell r="L1522" t="str">
            <v>回復タイプ</v>
          </cell>
          <cell r="M1522" t="str">
            <v>unknown</v>
          </cell>
        </row>
        <row r="1523">
          <cell r="A1523">
            <v>8023</v>
          </cell>
          <cell r="B1523" t="str">
            <v>ja</v>
          </cell>
          <cell r="C1523" t="str">
            <v>巡音ルカ</v>
          </cell>
          <cell r="D1523" t="str">
            <v>巡音ルカ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red</v>
          </cell>
          <cell r="I1523">
            <v>3</v>
          </cell>
          <cell r="J1523" t="str">
            <v>PremiumS</v>
          </cell>
          <cell r="K1523" t="str">
            <v>attack</v>
          </cell>
          <cell r="L1523" t="str">
            <v>攻撃タイプ</v>
          </cell>
          <cell r="M1523" t="str">
            <v>unknown</v>
          </cell>
        </row>
        <row r="1524">
          <cell r="A1524">
            <v>8024</v>
          </cell>
          <cell r="B1524" t="str">
            <v>ja</v>
          </cell>
          <cell r="C1524" t="str">
            <v>巡音ルカ</v>
          </cell>
          <cell r="D1524" t="str">
            <v>巡音ルカ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red</v>
          </cell>
          <cell r="I1524">
            <v>4</v>
          </cell>
          <cell r="J1524" t="str">
            <v>PremiumS</v>
          </cell>
          <cell r="K1524" t="str">
            <v>attack</v>
          </cell>
          <cell r="L1524" t="str">
            <v>攻撃タイプ</v>
          </cell>
          <cell r="M1524" t="str">
            <v>unknown</v>
          </cell>
        </row>
        <row r="1525">
          <cell r="A1525">
            <v>8025</v>
          </cell>
          <cell r="B1525" t="str">
            <v>ja</v>
          </cell>
          <cell r="C1525" t="str">
            <v>MEIKO</v>
          </cell>
          <cell r="D1525" t="str">
            <v>MEIKO</v>
          </cell>
          <cell r="E1525" t="str">
            <v>執行者</v>
          </cell>
          <cell r="F1525" t="str">
            <v>格好いい</v>
          </cell>
          <cell r="G1525" t="str">
            <v>男性</v>
          </cell>
          <cell r="H1525" t="str">
            <v>red</v>
          </cell>
          <cell r="I1525">
            <v>3</v>
          </cell>
          <cell r="J1525" t="str">
            <v>PremiumS</v>
          </cell>
          <cell r="K1525" t="str">
            <v>hp</v>
          </cell>
          <cell r="L1525" t="str">
            <v>体力タイプ</v>
          </cell>
          <cell r="M1525" t="str">
            <v>unknown</v>
          </cell>
        </row>
        <row r="1526">
          <cell r="A1526">
            <v>8026</v>
          </cell>
          <cell r="B1526" t="str">
            <v>ja</v>
          </cell>
          <cell r="C1526" t="str">
            <v>MEIKO</v>
          </cell>
          <cell r="D1526" t="str">
            <v>MEIKO</v>
          </cell>
          <cell r="E1526" t="str">
            <v>執行者</v>
          </cell>
          <cell r="F1526" t="str">
            <v>格好いい</v>
          </cell>
          <cell r="G1526" t="str">
            <v>男性</v>
          </cell>
          <cell r="H1526" t="str">
            <v>red</v>
          </cell>
          <cell r="I1526">
            <v>4</v>
          </cell>
          <cell r="J1526" t="str">
            <v>PremiumS</v>
          </cell>
          <cell r="K1526" t="str">
            <v>hp</v>
          </cell>
          <cell r="L1526" t="str">
            <v>体力タイプ</v>
          </cell>
          <cell r="M1526" t="str">
            <v>unknown</v>
          </cell>
        </row>
        <row r="1527">
          <cell r="A1527">
            <v>8027</v>
          </cell>
          <cell r="B1527" t="str">
            <v>ja</v>
          </cell>
          <cell r="C1527" t="str">
            <v>KAITO</v>
          </cell>
          <cell r="D1527" t="str">
            <v>KAITO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3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unknown</v>
          </cell>
        </row>
        <row r="1528">
          <cell r="A1528">
            <v>8028</v>
          </cell>
          <cell r="B1528" t="str">
            <v>ja</v>
          </cell>
          <cell r="C1528" t="str">
            <v>KAITO</v>
          </cell>
          <cell r="D1528" t="str">
            <v>KAITO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technical</v>
          </cell>
          <cell r="L1528" t="str">
            <v>テクニカルタイプ</v>
          </cell>
          <cell r="M1528" t="str">
            <v>unknown</v>
          </cell>
        </row>
        <row r="1529">
          <cell r="A1529">
            <v>8029</v>
          </cell>
          <cell r="B1529" t="str">
            <v>ja</v>
          </cell>
          <cell r="C1529" t="str">
            <v>Expoミク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Drop2N</v>
          </cell>
          <cell r="K1529" t="str">
            <v>heal</v>
          </cell>
          <cell r="L1529" t="str">
            <v>回復タイプ</v>
          </cell>
          <cell r="M1529" t="str">
            <v>unknown</v>
          </cell>
        </row>
        <row r="1530">
          <cell r="A1530">
            <v>8030</v>
          </cell>
          <cell r="B1530" t="str">
            <v>ja</v>
          </cell>
          <cell r="C1530" t="str">
            <v>Expoミク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blue</v>
          </cell>
          <cell r="I1530">
            <v>5</v>
          </cell>
          <cell r="J1530" t="str">
            <v>Drop2N</v>
          </cell>
          <cell r="K1530" t="str">
            <v>heal</v>
          </cell>
          <cell r="L1530" t="str">
            <v>回復タイプ</v>
          </cell>
          <cell r="M1530" t="str">
            <v>unknown</v>
          </cell>
        </row>
        <row r="1531">
          <cell r="A1531">
            <v>8031</v>
          </cell>
          <cell r="B1531" t="str">
            <v>ja</v>
          </cell>
          <cell r="C1531" t="str">
            <v>閻羅王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red</v>
          </cell>
          <cell r="I1531">
            <v>5</v>
          </cell>
          <cell r="J1531" t="str">
            <v>PremiumSS</v>
          </cell>
          <cell r="K1531" t="str">
            <v>balance</v>
          </cell>
          <cell r="L1531" t="str">
            <v>バランスタイプ</v>
          </cell>
          <cell r="M1531" t="str">
            <v>god</v>
          </cell>
        </row>
        <row r="1532">
          <cell r="A1532">
            <v>8032</v>
          </cell>
          <cell r="B1532" t="str">
            <v>ja</v>
          </cell>
          <cell r="C1532" t="str">
            <v>六道輪廻の絶獄 閻羅王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red</v>
          </cell>
          <cell r="I1532">
            <v>6</v>
          </cell>
          <cell r="J1532" t="str">
            <v>PremiumSS</v>
          </cell>
          <cell r="K1532" t="str">
            <v>balance</v>
          </cell>
          <cell r="L1532" t="str">
            <v>バランスタイプ</v>
          </cell>
          <cell r="M1532" t="str">
            <v>god</v>
          </cell>
        </row>
        <row r="1533">
          <cell r="A1533">
            <v>8033</v>
          </cell>
          <cell r="B1533" t="str">
            <v>ja</v>
          </cell>
          <cell r="C1533" t="str">
            <v>牛頭馬面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green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god</v>
          </cell>
        </row>
        <row r="1534">
          <cell r="A1534">
            <v>8034</v>
          </cell>
          <cell r="B1534" t="str">
            <v>ja</v>
          </cell>
          <cell r="C1534" t="str">
            <v>冥府狩る魂使 牛頭馬面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green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god</v>
          </cell>
        </row>
        <row r="1535">
          <cell r="A1535">
            <v>8035</v>
          </cell>
          <cell r="B1535" t="str">
            <v>ja</v>
          </cell>
          <cell r="C1535" t="str">
            <v>飛衛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5</v>
          </cell>
          <cell r="J1535" t="str">
            <v>PremiumSS</v>
          </cell>
          <cell r="K1535" t="str">
            <v>heal</v>
          </cell>
          <cell r="L1535" t="str">
            <v>回復タイプ</v>
          </cell>
          <cell r="M1535" t="str">
            <v>human</v>
          </cell>
        </row>
        <row r="1536">
          <cell r="A1536">
            <v>8036</v>
          </cell>
          <cell r="B1536" t="str">
            <v>ja</v>
          </cell>
          <cell r="C1536" t="str">
            <v>レア６飛衛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heal</v>
          </cell>
          <cell r="L1536" t="str">
            <v>回復タイプ</v>
          </cell>
          <cell r="M1536" t="str">
            <v>human</v>
          </cell>
        </row>
        <row r="1537">
          <cell r="A1537">
            <v>8037</v>
          </cell>
          <cell r="B1537" t="str">
            <v>ja</v>
          </cell>
          <cell r="C1537" t="str">
            <v>紀昌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5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human</v>
          </cell>
        </row>
        <row r="1538">
          <cell r="A1538">
            <v>8038</v>
          </cell>
          <cell r="B1538" t="str">
            <v>ja</v>
          </cell>
          <cell r="C1538" t="str">
            <v>レア６紀昌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red</v>
          </cell>
          <cell r="I1538">
            <v>6</v>
          </cell>
          <cell r="J1538" t="str">
            <v>DropWizS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8039</v>
          </cell>
          <cell r="B1539" t="str">
            <v>ja</v>
          </cell>
          <cell r="C1539" t="str">
            <v>何仙姑</v>
          </cell>
          <cell r="D1539" t="str">
            <v>Expoミク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yellow</v>
          </cell>
          <cell r="I1539">
            <v>5</v>
          </cell>
          <cell r="J1539" t="str">
            <v>PremiumSSw</v>
          </cell>
          <cell r="K1539" t="str">
            <v>hp</v>
          </cell>
          <cell r="L1539" t="str">
            <v>体力タイプ</v>
          </cell>
          <cell r="M1539" t="str">
            <v>god</v>
          </cell>
        </row>
        <row r="1540">
          <cell r="A1540">
            <v>8040</v>
          </cell>
          <cell r="B1540" t="str">
            <v>ja</v>
          </cell>
          <cell r="C1540" t="str">
            <v>レア６何仙姑</v>
          </cell>
          <cell r="D1540" t="str">
            <v>Expoミク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yellow</v>
          </cell>
          <cell r="I1540">
            <v>6</v>
          </cell>
          <cell r="J1540" t="str">
            <v>PremiumSSw</v>
          </cell>
          <cell r="K1540" t="str">
            <v>hp</v>
          </cell>
          <cell r="L1540" t="str">
            <v>体力タイプ</v>
          </cell>
          <cell r="M1540" t="str">
            <v>god</v>
          </cell>
        </row>
        <row r="1541">
          <cell r="A1541">
            <v>8041</v>
          </cell>
          <cell r="B1541" t="str">
            <v>ja</v>
          </cell>
          <cell r="C1541" t="str">
            <v>藍采和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blue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god</v>
          </cell>
        </row>
        <row r="1542">
          <cell r="A1542">
            <v>8042</v>
          </cell>
          <cell r="B1542" t="str">
            <v>ja</v>
          </cell>
          <cell r="C1542" t="str">
            <v>レア６藍采和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blue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god</v>
          </cell>
        </row>
        <row r="1543">
          <cell r="A1543">
            <v>8043</v>
          </cell>
          <cell r="B1543" t="str">
            <v>ja</v>
          </cell>
          <cell r="C1543" t="str">
            <v>サンリオキャラ大集合+アザゼル</v>
          </cell>
          <cell r="D1543" t="str">
            <v>サンリオキャラ大集合+アザゼル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green</v>
          </cell>
          <cell r="I1543">
            <v>5</v>
          </cell>
          <cell r="J1543" t="str">
            <v>DropWizS</v>
          </cell>
          <cell r="K1543" t="str">
            <v>technical</v>
          </cell>
          <cell r="L1543" t="str">
            <v>テクニカルタイプ</v>
          </cell>
          <cell r="M1543" t="str">
            <v>ss</v>
          </cell>
        </row>
        <row r="1544">
          <cell r="A1544">
            <v>8044</v>
          </cell>
          <cell r="B1544" t="str">
            <v>ja</v>
          </cell>
          <cell r="C1544" t="str">
            <v>サンリオキャラ大集合+アザゼル</v>
          </cell>
          <cell r="D1544" t="str">
            <v>サンリオキャラ大集合+アザゼル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green</v>
          </cell>
          <cell r="I1544">
            <v>6</v>
          </cell>
          <cell r="J1544" t="str">
            <v>DropWizS</v>
          </cell>
          <cell r="K1544" t="str">
            <v>technical</v>
          </cell>
          <cell r="L1544" t="str">
            <v>テクニカルタイプ</v>
          </cell>
          <cell r="M1544" t="str">
            <v>ss</v>
          </cell>
        </row>
        <row r="1545">
          <cell r="A1545">
            <v>8045</v>
          </cell>
          <cell r="B1545" t="str">
            <v>ja</v>
          </cell>
          <cell r="C1545" t="str">
            <v>ニムダ_サンリオキャラ混じり</v>
          </cell>
          <cell r="D1545" t="str">
            <v>ニムダ_サンリオキャラ混じり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yellow</v>
          </cell>
          <cell r="I1545">
            <v>4</v>
          </cell>
          <cell r="J1545" t="str">
            <v>Drop2N</v>
          </cell>
          <cell r="K1545" t="str">
            <v>technical</v>
          </cell>
          <cell r="L1545" t="str">
            <v>テクニカルタイプ</v>
          </cell>
          <cell r="M1545" t="str">
            <v>ss</v>
          </cell>
        </row>
        <row r="1546">
          <cell r="A1546">
            <v>8046</v>
          </cell>
          <cell r="B1546" t="str">
            <v>ja</v>
          </cell>
          <cell r="C1546" t="str">
            <v>ニムダ_サンリオキャラ混じり</v>
          </cell>
          <cell r="D1546" t="str">
            <v>ニムダ_サンリオキャラ混じり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yellow</v>
          </cell>
          <cell r="I1546">
            <v>5</v>
          </cell>
          <cell r="J1546" t="str">
            <v>Drop2N</v>
          </cell>
          <cell r="K1546" t="str">
            <v>technical</v>
          </cell>
          <cell r="L1546" t="str">
            <v>テクニカルタイプ</v>
          </cell>
          <cell r="M1546" t="str">
            <v>ss</v>
          </cell>
        </row>
        <row r="1547">
          <cell r="A1547">
            <v>8047</v>
          </cell>
          <cell r="B1547" t="str">
            <v>ja</v>
          </cell>
          <cell r="C1547" t="str">
            <v>ハローキティ</v>
          </cell>
          <cell r="D1547" t="str">
            <v>ハローキティ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4</v>
          </cell>
          <cell r="J1547" t="str">
            <v>Drop2N</v>
          </cell>
          <cell r="K1547" t="str">
            <v>balance</v>
          </cell>
          <cell r="L1547" t="str">
            <v>バランスタイプ</v>
          </cell>
          <cell r="M1547" t="str">
            <v>ss</v>
          </cell>
        </row>
        <row r="1548">
          <cell r="A1548">
            <v>8048</v>
          </cell>
          <cell r="B1548" t="str">
            <v>ja</v>
          </cell>
          <cell r="C1548" t="str">
            <v>ハローキティ</v>
          </cell>
          <cell r="D1548" t="str">
            <v>ハローキティ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5</v>
          </cell>
          <cell r="J1548" t="str">
            <v>Drop2N</v>
          </cell>
          <cell r="K1548" t="str">
            <v>balance</v>
          </cell>
          <cell r="L1548" t="str">
            <v>バランスタイプ</v>
          </cell>
          <cell r="M1548" t="str">
            <v>ss</v>
          </cell>
        </row>
        <row r="1549">
          <cell r="A1549">
            <v>8049</v>
          </cell>
          <cell r="B1549" t="str">
            <v>ja</v>
          </cell>
          <cell r="C1549" t="str">
            <v>KIRIMIちゃん</v>
          </cell>
          <cell r="D1549" t="str">
            <v>KIRIMIちゃん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4</v>
          </cell>
          <cell r="J1549" t="str">
            <v>Drop2N</v>
          </cell>
          <cell r="K1549" t="str">
            <v>hp</v>
          </cell>
          <cell r="L1549" t="str">
            <v>体力タイプ</v>
          </cell>
          <cell r="M1549" t="str">
            <v>ss</v>
          </cell>
        </row>
        <row r="1550">
          <cell r="A1550">
            <v>8050</v>
          </cell>
          <cell r="B1550" t="str">
            <v>ja</v>
          </cell>
          <cell r="C1550" t="str">
            <v>KIRIMIちゃん</v>
          </cell>
          <cell r="D1550" t="str">
            <v>KIRIMIちゃん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5</v>
          </cell>
          <cell r="J1550" t="str">
            <v>Drop2N</v>
          </cell>
          <cell r="K1550" t="str">
            <v>hp</v>
          </cell>
          <cell r="L1550" t="str">
            <v>体力タイプ</v>
          </cell>
          <cell r="M1550" t="str">
            <v>ss</v>
          </cell>
        </row>
        <row r="1551">
          <cell r="A1551">
            <v>8051</v>
          </cell>
          <cell r="B1551" t="str">
            <v>ja</v>
          </cell>
          <cell r="C1551" t="str">
            <v>ハローキティのリボン</v>
          </cell>
          <cell r="D1551" t="str">
            <v>ハローキティのリボン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5</v>
          </cell>
          <cell r="J1551" t="str">
            <v>Drop2N</v>
          </cell>
          <cell r="K1551" t="str">
            <v>evolution</v>
          </cell>
          <cell r="L1551" t="str">
            <v>覚醒素材タイプ</v>
          </cell>
          <cell r="M1551" t="str">
            <v>ss</v>
          </cell>
        </row>
        <row r="1552">
          <cell r="A1552">
            <v>8052</v>
          </cell>
          <cell r="B1552" t="str">
            <v>ja</v>
          </cell>
          <cell r="C1552" t="str">
            <v>ママの作ったアップルパイ</v>
          </cell>
          <cell r="D1552" t="str">
            <v>ママの作ったアップルパイ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4</v>
          </cell>
          <cell r="J1552" t="str">
            <v>Drop2N</v>
          </cell>
          <cell r="K1552" t="str">
            <v>evolution</v>
          </cell>
          <cell r="L1552" t="str">
            <v>覚醒素材タイプ</v>
          </cell>
          <cell r="M1552" t="str">
            <v>ss</v>
          </cell>
        </row>
        <row r="1553">
          <cell r="A1553">
            <v>8053</v>
          </cell>
          <cell r="B1553" t="str">
            <v>ja</v>
          </cell>
          <cell r="C1553" t="str">
            <v>D.R.T.H__キティコスプレ</v>
          </cell>
          <cell r="D1553" t="str">
            <v>D.R.T.H__キティコスプレ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red</v>
          </cell>
          <cell r="I1553">
            <v>5</v>
          </cell>
          <cell r="J1553" t="str">
            <v>PremiumSS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8054</v>
          </cell>
          <cell r="B1554" t="str">
            <v>ja</v>
          </cell>
          <cell r="C1554" t="str">
            <v>D.R.T.H__キティコスプレ</v>
          </cell>
          <cell r="D1554" t="str">
            <v>D.R.T.H__キティコスプレ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red</v>
          </cell>
          <cell r="I1554">
            <v>6</v>
          </cell>
          <cell r="J1554" t="str">
            <v>PremiumSS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8055</v>
          </cell>
          <cell r="B1555" t="str">
            <v>ja</v>
          </cell>
          <cell r="C1555" t="str">
            <v>マイメロディ</v>
          </cell>
          <cell r="D1555" t="str">
            <v>マイメロディ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red</v>
          </cell>
          <cell r="I1555">
            <v>4</v>
          </cell>
          <cell r="J1555" t="str">
            <v>PremiumS</v>
          </cell>
          <cell r="K1555" t="str">
            <v>attack</v>
          </cell>
          <cell r="L1555" t="str">
            <v>攻撃タイプ</v>
          </cell>
          <cell r="M1555" t="str">
            <v>ss</v>
          </cell>
        </row>
        <row r="1556">
          <cell r="A1556">
            <v>8056</v>
          </cell>
          <cell r="B1556" t="str">
            <v>ja</v>
          </cell>
          <cell r="C1556" t="str">
            <v>マイメロディ</v>
          </cell>
          <cell r="D1556" t="str">
            <v>マイメロディ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red</v>
          </cell>
          <cell r="I1556">
            <v>5</v>
          </cell>
          <cell r="J1556" t="str">
            <v>PremiumS</v>
          </cell>
          <cell r="K1556" t="str">
            <v>attack</v>
          </cell>
          <cell r="L1556" t="str">
            <v>攻撃タイプ</v>
          </cell>
          <cell r="M1556" t="str">
            <v>ss</v>
          </cell>
        </row>
        <row r="1557">
          <cell r="A1557">
            <v>8057</v>
          </cell>
          <cell r="B1557" t="str">
            <v>ja</v>
          </cell>
          <cell r="C1557" t="str">
            <v>ニーベルゲン_シナモロールコスプレ</v>
          </cell>
          <cell r="D1557" t="str">
            <v>ニーベルゲン_シナモロールコスプレ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4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8058</v>
          </cell>
          <cell r="B1558" t="str">
            <v>ja</v>
          </cell>
          <cell r="C1558" t="str">
            <v>ニーベルゲン_シナモロールコスプレ</v>
          </cell>
          <cell r="D1558" t="str">
            <v>ニーベルゲン_シナモロールコスプレ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5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8059</v>
          </cell>
          <cell r="B1559" t="str">
            <v>ja</v>
          </cell>
          <cell r="C1559" t="str">
            <v>カカシ_マイメロディコスプレ</v>
          </cell>
          <cell r="D1559" t="str">
            <v>カカシ_マイメロディコスプレ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green</v>
          </cell>
          <cell r="I1559">
            <v>4</v>
          </cell>
          <cell r="J1559" t="str">
            <v>PremiumS</v>
          </cell>
          <cell r="K1559" t="str">
            <v>technical</v>
          </cell>
          <cell r="L1559" t="str">
            <v>テクニカルタイプ</v>
          </cell>
          <cell r="M1559" t="str">
            <v>ss</v>
          </cell>
        </row>
        <row r="1560">
          <cell r="A1560">
            <v>8060</v>
          </cell>
          <cell r="B1560" t="str">
            <v>ja</v>
          </cell>
          <cell r="C1560" t="str">
            <v>カカシ_マイメロディコスプレ</v>
          </cell>
          <cell r="D1560" t="str">
            <v>カカシ_マイメロディコスプレ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green</v>
          </cell>
          <cell r="I1560">
            <v>5</v>
          </cell>
          <cell r="J1560" t="str">
            <v>PremiumS</v>
          </cell>
          <cell r="K1560" t="str">
            <v>technical</v>
          </cell>
          <cell r="L1560" t="str">
            <v>テクニカルタイプ</v>
          </cell>
          <cell r="M1560" t="str">
            <v>ss</v>
          </cell>
        </row>
        <row r="1561">
          <cell r="A1561">
            <v>8061</v>
          </cell>
          <cell r="B1561" t="str">
            <v>ja</v>
          </cell>
          <cell r="C1561" t="str">
            <v>ケロケロけろっぴ</v>
          </cell>
          <cell r="D1561" t="str">
            <v>ケロケロけろっぴ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green</v>
          </cell>
          <cell r="I1561">
            <v>3</v>
          </cell>
          <cell r="J1561" t="str">
            <v>PremiumS</v>
          </cell>
          <cell r="K1561" t="str">
            <v>balance</v>
          </cell>
          <cell r="L1561" t="str">
            <v>バランスタイプ</v>
          </cell>
          <cell r="M1561" t="str">
            <v>ss</v>
          </cell>
        </row>
        <row r="1562">
          <cell r="A1562">
            <v>8062</v>
          </cell>
          <cell r="B1562" t="str">
            <v>ja</v>
          </cell>
          <cell r="C1562" t="str">
            <v>ケロケロけろっぴ</v>
          </cell>
          <cell r="D1562" t="str">
            <v>ケロケロけろっぴ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green</v>
          </cell>
          <cell r="I1562">
            <v>4</v>
          </cell>
          <cell r="J1562" t="str">
            <v>PremiumS</v>
          </cell>
          <cell r="K1562" t="str">
            <v>balance</v>
          </cell>
          <cell r="L1562" t="str">
            <v>バランスタイプ</v>
          </cell>
          <cell r="M1562" t="str">
            <v>ss</v>
          </cell>
        </row>
        <row r="1563">
          <cell r="A1563">
            <v>8063</v>
          </cell>
          <cell r="B1563" t="str">
            <v>ja</v>
          </cell>
          <cell r="C1563" t="str">
            <v>モルドレッド_ポムポムプリンコスプレ</v>
          </cell>
          <cell r="D1563" t="str">
            <v>モルドレッド_ポムポムプリンコスプレ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5</v>
          </cell>
          <cell r="J1563" t="str">
            <v>PremiumSS</v>
          </cell>
          <cell r="K1563" t="str">
            <v>heal</v>
          </cell>
          <cell r="L1563" t="str">
            <v>回復タイプ</v>
          </cell>
          <cell r="M1563" t="str">
            <v>ss</v>
          </cell>
        </row>
        <row r="1564">
          <cell r="A1564">
            <v>8064</v>
          </cell>
          <cell r="B1564" t="str">
            <v>ja</v>
          </cell>
          <cell r="C1564" t="str">
            <v>モルドレッド_ポムポムプリンコスプレ</v>
          </cell>
          <cell r="D1564" t="str">
            <v>モルドレッド_ポムポムプリンコスプレ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6</v>
          </cell>
          <cell r="J1564" t="str">
            <v>PremiumSS</v>
          </cell>
          <cell r="K1564" t="str">
            <v>heal</v>
          </cell>
          <cell r="L1564" t="str">
            <v>回復タイプ</v>
          </cell>
          <cell r="M1564" t="str">
            <v>ss</v>
          </cell>
        </row>
        <row r="1565">
          <cell r="A1565">
            <v>8065</v>
          </cell>
          <cell r="B1565" t="str">
            <v>ja</v>
          </cell>
          <cell r="C1565" t="str">
            <v>クロミ</v>
          </cell>
          <cell r="D1565" t="str">
            <v>クロミ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blue</v>
          </cell>
          <cell r="I1565">
            <v>3</v>
          </cell>
          <cell r="J1565" t="str">
            <v>PremiumS</v>
          </cell>
          <cell r="K1565" t="str">
            <v>technical</v>
          </cell>
          <cell r="L1565" t="str">
            <v>テクニカルタイプ</v>
          </cell>
          <cell r="M1565" t="str">
            <v>ss</v>
          </cell>
        </row>
        <row r="1566">
          <cell r="A1566">
            <v>8066</v>
          </cell>
          <cell r="B1566" t="str">
            <v>ja</v>
          </cell>
          <cell r="C1566" t="str">
            <v>クロミ</v>
          </cell>
          <cell r="D1566" t="str">
            <v>クロミ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blue</v>
          </cell>
          <cell r="I1566">
            <v>4</v>
          </cell>
          <cell r="J1566" t="str">
            <v>PremiumS</v>
          </cell>
          <cell r="K1566" t="str">
            <v>technical</v>
          </cell>
          <cell r="L1566" t="str">
            <v>テクニカルタイプ</v>
          </cell>
          <cell r="M1566" t="str">
            <v>ss</v>
          </cell>
        </row>
        <row r="1567">
          <cell r="A1567">
            <v>8067</v>
          </cell>
          <cell r="B1567" t="str">
            <v>ja</v>
          </cell>
          <cell r="C1567" t="str">
            <v>バッドばつ丸</v>
          </cell>
          <cell r="D1567" t="str">
            <v>バッドばつ丸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3</v>
          </cell>
          <cell r="J1567" t="str">
            <v>PremiumS</v>
          </cell>
          <cell r="K1567" t="str">
            <v>attack</v>
          </cell>
          <cell r="L1567" t="str">
            <v>攻撃タイプ</v>
          </cell>
          <cell r="M1567" t="str">
            <v>ss</v>
          </cell>
        </row>
        <row r="1568">
          <cell r="A1568">
            <v>8068</v>
          </cell>
          <cell r="B1568" t="str">
            <v>ja</v>
          </cell>
          <cell r="C1568" t="str">
            <v>バッドばつ丸</v>
          </cell>
          <cell r="D1568" t="str">
            <v>バッドばつ丸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4</v>
          </cell>
          <cell r="J1568" t="str">
            <v>PremiumS</v>
          </cell>
          <cell r="K1568" t="str">
            <v>attack</v>
          </cell>
          <cell r="L1568" t="str">
            <v>攻撃タイプ</v>
          </cell>
          <cell r="M1568" t="str">
            <v>ss</v>
          </cell>
        </row>
        <row r="1569">
          <cell r="A1569">
            <v>8069</v>
          </cell>
          <cell r="B1569" t="str">
            <v>ja</v>
          </cell>
          <cell r="C1569" t="str">
            <v>シナモロール</v>
          </cell>
          <cell r="D1569" t="str">
            <v>シナモロール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4</v>
          </cell>
          <cell r="J1569" t="str">
            <v>PremiumS</v>
          </cell>
          <cell r="K1569" t="str">
            <v>heal</v>
          </cell>
          <cell r="L1569" t="str">
            <v>回復タイプ</v>
          </cell>
          <cell r="M1569" t="str">
            <v>ss</v>
          </cell>
        </row>
        <row r="1570">
          <cell r="A1570">
            <v>8070</v>
          </cell>
          <cell r="B1570" t="str">
            <v>ja</v>
          </cell>
          <cell r="C1570" t="str">
            <v>シナモロール</v>
          </cell>
          <cell r="D1570" t="str">
            <v>シナモロール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yellow</v>
          </cell>
          <cell r="I1570">
            <v>5</v>
          </cell>
          <cell r="J1570" t="str">
            <v>PremiumS</v>
          </cell>
          <cell r="K1570" t="str">
            <v>heal</v>
          </cell>
          <cell r="L1570" t="str">
            <v>回復タイプ</v>
          </cell>
          <cell r="M1570" t="str">
            <v>ss</v>
          </cell>
        </row>
        <row r="1571">
          <cell r="A1571">
            <v>8071</v>
          </cell>
          <cell r="B1571" t="str">
            <v>ja</v>
          </cell>
          <cell r="C1571" t="str">
            <v>ポムポムプリン</v>
          </cell>
          <cell r="D1571" t="str">
            <v>ポムポムプリン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yellow</v>
          </cell>
          <cell r="I1571">
            <v>3</v>
          </cell>
          <cell r="J1571" t="str">
            <v>PremiumS</v>
          </cell>
          <cell r="K1571" t="str">
            <v>hp</v>
          </cell>
          <cell r="L1571" t="str">
            <v>体力タイプ</v>
          </cell>
          <cell r="M1571" t="str">
            <v>ss</v>
          </cell>
        </row>
        <row r="1572">
          <cell r="A1572">
            <v>8072</v>
          </cell>
          <cell r="B1572" t="str">
            <v>ja</v>
          </cell>
          <cell r="C1572" t="str">
            <v>ポムポムプリン</v>
          </cell>
          <cell r="D1572" t="str">
            <v>ポムポムプリン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yellow</v>
          </cell>
          <cell r="I1572">
            <v>4</v>
          </cell>
          <cell r="J1572" t="str">
            <v>PremiumS</v>
          </cell>
          <cell r="K1572" t="str">
            <v>hp</v>
          </cell>
          <cell r="L1572" t="str">
            <v>体力タイプ</v>
          </cell>
          <cell r="M1572" t="str">
            <v>ss</v>
          </cell>
        </row>
        <row r="1573">
          <cell r="A1573">
            <v>8073</v>
          </cell>
          <cell r="B1573" t="str">
            <v>ja</v>
          </cell>
          <cell r="C1573" t="str">
            <v>星海祈る天光妃 媽祖</v>
          </cell>
          <cell r="D1573" t="str">
            <v>Expoミク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8074</v>
          </cell>
          <cell r="B1574" t="str">
            <v>ja</v>
          </cell>
          <cell r="C1574" t="str">
            <v>海戀の絶龍姫 蛟龍</v>
          </cell>
          <cell r="D1574" t="str">
            <v>Expoミク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DropWizS</v>
          </cell>
          <cell r="K1574" t="str">
            <v>hp</v>
          </cell>
          <cell r="L1574" t="str">
            <v>体力タイプ</v>
          </cell>
          <cell r="M1574" t="str">
            <v>dragon</v>
          </cell>
        </row>
        <row r="1575">
          <cell r="A1575">
            <v>8075</v>
          </cell>
          <cell r="B1575" t="str">
            <v>ja</v>
          </cell>
          <cell r="C1575" t="str">
            <v>三蔵法師_超覚醒</v>
          </cell>
          <cell r="D1575" t="str">
            <v>Expoミク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blue</v>
          </cell>
          <cell r="I1575">
            <v>6</v>
          </cell>
          <cell r="J1575" t="str">
            <v>PremiumSS</v>
          </cell>
          <cell r="K1575" t="str">
            <v>balance</v>
          </cell>
          <cell r="L1575" t="str">
            <v>バランスタイプ</v>
          </cell>
          <cell r="M1575" t="str">
            <v>god</v>
          </cell>
        </row>
        <row r="1576">
          <cell r="A1576">
            <v>8076</v>
          </cell>
          <cell r="B1576" t="str">
            <v>ja</v>
          </cell>
          <cell r="C1576" t="str">
            <v>孫悟空_超覚醒</v>
          </cell>
          <cell r="D1576" t="str">
            <v>Expoミク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attack</v>
          </cell>
          <cell r="L1576" t="str">
            <v>攻撃タイプ</v>
          </cell>
          <cell r="M1576" t="str">
            <v>unknown</v>
          </cell>
        </row>
        <row r="1577">
          <cell r="A1577">
            <v>8077</v>
          </cell>
          <cell r="B1577" t="str">
            <v>ja</v>
          </cell>
          <cell r="C1577" t="str">
            <v>鄭成功</v>
          </cell>
          <cell r="D1577" t="str">
            <v>ポムポムプリン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attack</v>
          </cell>
          <cell r="L1577" t="str">
            <v>攻撃タイプ</v>
          </cell>
          <cell r="M1577" t="str">
            <v>human</v>
          </cell>
        </row>
        <row r="1578">
          <cell r="A1578">
            <v>8078</v>
          </cell>
          <cell r="B1578" t="str">
            <v>ja</v>
          </cell>
          <cell r="C1578" t="str">
            <v>レア６鄭成功</v>
          </cell>
          <cell r="D1578" t="str">
            <v>ポムポムプリン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attack</v>
          </cell>
          <cell r="L1578" t="str">
            <v>攻撃タイプ</v>
          </cell>
          <cell r="M1578" t="str">
            <v>human</v>
          </cell>
        </row>
        <row r="1579">
          <cell r="A1579">
            <v>8079</v>
          </cell>
          <cell r="B1579" t="str">
            <v>ja</v>
          </cell>
          <cell r="C1579" t="str">
            <v>赤鬼</v>
          </cell>
          <cell r="D1579" t="str">
            <v>ポムポムプリン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hp</v>
          </cell>
          <cell r="L1579" t="str">
            <v>体力タイプ</v>
          </cell>
          <cell r="M1579" t="str">
            <v>dragon</v>
          </cell>
        </row>
        <row r="1580">
          <cell r="A1580">
            <v>8080</v>
          </cell>
          <cell r="B1580" t="str">
            <v>ja</v>
          </cell>
          <cell r="C1580" t="str">
            <v>レア６赤鬼</v>
          </cell>
          <cell r="D1580" t="str">
            <v>ポムポムプリン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hp</v>
          </cell>
          <cell r="L1580" t="str">
            <v>体力タイプ</v>
          </cell>
          <cell r="M1580" t="str">
            <v>dragon</v>
          </cell>
        </row>
        <row r="1581">
          <cell r="A1581">
            <v>8081</v>
          </cell>
          <cell r="B1581" t="str">
            <v>ja</v>
          </cell>
          <cell r="C1581" t="str">
            <v>関羽</v>
          </cell>
          <cell r="H1581" t="str">
            <v>green</v>
          </cell>
          <cell r="I1581">
            <v>5</v>
          </cell>
          <cell r="J1581" t="str">
            <v>PremiumSSS</v>
          </cell>
          <cell r="K1581" t="str">
            <v>balance</v>
          </cell>
          <cell r="L1581" t="str">
            <v>バランスタイプ</v>
          </cell>
          <cell r="M1581" t="str">
            <v>samurai</v>
          </cell>
        </row>
        <row r="1582">
          <cell r="A1582">
            <v>8082</v>
          </cell>
          <cell r="B1582" t="str">
            <v>ja</v>
          </cell>
          <cell r="C1582" t="str">
            <v>★６関羽</v>
          </cell>
          <cell r="H1582" t="str">
            <v>green</v>
          </cell>
          <cell r="I1582">
            <v>6</v>
          </cell>
          <cell r="J1582" t="str">
            <v>PremiumSSS</v>
          </cell>
          <cell r="K1582" t="str">
            <v>balance</v>
          </cell>
          <cell r="L1582" t="str">
            <v>バランスタイプ</v>
          </cell>
          <cell r="M1582" t="str">
            <v>samurai</v>
          </cell>
        </row>
        <row r="1583">
          <cell r="A1583">
            <v>8083</v>
          </cell>
          <cell r="B1583" t="str">
            <v>ja</v>
          </cell>
          <cell r="C1583" t="str">
            <v>曹操</v>
          </cell>
          <cell r="H1583" t="str">
            <v>yellow</v>
          </cell>
          <cell r="I1583">
            <v>5</v>
          </cell>
          <cell r="J1583" t="str">
            <v>DropWizSS</v>
          </cell>
          <cell r="K1583" t="str">
            <v>technical</v>
          </cell>
          <cell r="L1583" t="str">
            <v>テクニカルタイプ</v>
          </cell>
          <cell r="M1583" t="str">
            <v>samurai</v>
          </cell>
        </row>
        <row r="1584">
          <cell r="A1584">
            <v>8084</v>
          </cell>
          <cell r="B1584" t="str">
            <v>ja</v>
          </cell>
          <cell r="C1584" t="str">
            <v>★６曹操</v>
          </cell>
          <cell r="H1584" t="str">
            <v>yellow</v>
          </cell>
          <cell r="I1584">
            <v>6</v>
          </cell>
          <cell r="J1584" t="str">
            <v>DropWizSS</v>
          </cell>
          <cell r="K1584" t="str">
            <v>technical</v>
          </cell>
          <cell r="L1584" t="str">
            <v>テクニカルタイプ</v>
          </cell>
          <cell r="M1584" t="str">
            <v>samurai</v>
          </cell>
        </row>
        <row r="1585">
          <cell r="A1585">
            <v>8087</v>
          </cell>
          <cell r="B1585" t="str">
            <v>ja</v>
          </cell>
          <cell r="C1585" t="str">
            <v>財神</v>
          </cell>
          <cell r="H1585" t="str">
            <v>red</v>
          </cell>
          <cell r="I1585">
            <v>5</v>
          </cell>
          <cell r="J1585" t="str">
            <v>PremiumSSS</v>
          </cell>
          <cell r="K1585" t="str">
            <v>technical</v>
          </cell>
          <cell r="L1585" t="str">
            <v>テクニカルタイプ</v>
          </cell>
          <cell r="M1585" t="str">
            <v>god</v>
          </cell>
        </row>
        <row r="1586">
          <cell r="A1586">
            <v>8088</v>
          </cell>
          <cell r="B1586" t="str">
            <v>ja</v>
          </cell>
          <cell r="C1586" t="str">
            <v>★６財神</v>
          </cell>
          <cell r="H1586" t="str">
            <v>red</v>
          </cell>
          <cell r="I1586">
            <v>6</v>
          </cell>
          <cell r="J1586" t="str">
            <v>PremiumSSS</v>
          </cell>
          <cell r="K1586" t="str">
            <v>technical</v>
          </cell>
          <cell r="L1586" t="str">
            <v>テクニカルタイプ</v>
          </cell>
          <cell r="M1586" t="str">
            <v>god</v>
          </cell>
        </row>
        <row r="1587">
          <cell r="A1587">
            <v>8089</v>
          </cell>
          <cell r="B1587" t="str">
            <v>ja</v>
          </cell>
          <cell r="C1587" t="str">
            <v>年獣</v>
          </cell>
          <cell r="H1587" t="str">
            <v>green</v>
          </cell>
          <cell r="I1587">
            <v>5</v>
          </cell>
          <cell r="J1587" t="str">
            <v>DropWizS</v>
          </cell>
          <cell r="K1587" t="str">
            <v>attack</v>
          </cell>
          <cell r="L1587" t="str">
            <v>攻撃タイプ</v>
          </cell>
          <cell r="M1587" t="str">
            <v>animal</v>
          </cell>
        </row>
        <row r="1588">
          <cell r="A1588">
            <v>8090</v>
          </cell>
          <cell r="B1588" t="str">
            <v>ja</v>
          </cell>
          <cell r="C1588" t="str">
            <v>★６年獣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attack</v>
          </cell>
          <cell r="L1588" t="str">
            <v>攻撃タイプ</v>
          </cell>
          <cell r="M1588" t="str">
            <v>animal</v>
          </cell>
        </row>
        <row r="1589">
          <cell r="A1589">
            <v>8095</v>
          </cell>
          <cell r="B1589" t="str">
            <v>ja</v>
          </cell>
          <cell r="C1589" t="str">
            <v>バハムートダック赤</v>
          </cell>
          <cell r="D1589" t="str">
            <v>ポムポムプリン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red</v>
          </cell>
          <cell r="I1589">
            <v>6</v>
          </cell>
          <cell r="J1589" t="str">
            <v>Material</v>
          </cell>
          <cell r="K1589" t="str">
            <v>exp</v>
          </cell>
          <cell r="L1589" t="str">
            <v>強化素材タイプ</v>
          </cell>
          <cell r="M1589" t="str">
            <v>unknown</v>
          </cell>
        </row>
        <row r="1590">
          <cell r="A1590">
            <v>8096</v>
          </cell>
          <cell r="B1590" t="str">
            <v>ja</v>
          </cell>
          <cell r="C1590" t="str">
            <v>バハムートダック緑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6</v>
          </cell>
          <cell r="J1590" t="str">
            <v>Material</v>
          </cell>
          <cell r="K1590" t="str">
            <v>exp</v>
          </cell>
          <cell r="L1590" t="str">
            <v>強化素材タイプ</v>
          </cell>
          <cell r="M1590" t="str">
            <v>unknown</v>
          </cell>
        </row>
        <row r="1591">
          <cell r="A1591">
            <v>8097</v>
          </cell>
          <cell r="B1591" t="str">
            <v>ja</v>
          </cell>
          <cell r="C1591" t="str">
            <v>バハムートダック青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blue</v>
          </cell>
          <cell r="I1591">
            <v>6</v>
          </cell>
          <cell r="J1591" t="str">
            <v>Material</v>
          </cell>
          <cell r="K1591" t="str">
            <v>exp</v>
          </cell>
          <cell r="L1591" t="str">
            <v>強化素材タイプ</v>
          </cell>
          <cell r="M1591" t="str">
            <v>unknown</v>
          </cell>
        </row>
        <row r="1592">
          <cell r="A1592">
            <v>8098</v>
          </cell>
          <cell r="B1592" t="str">
            <v>ja</v>
          </cell>
          <cell r="C1592" t="str">
            <v>バハムートダック黄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6</v>
          </cell>
          <cell r="J1592" t="str">
            <v>Material</v>
          </cell>
          <cell r="K1592" t="str">
            <v>exp</v>
          </cell>
          <cell r="L1592" t="str">
            <v>強化素材タイプ</v>
          </cell>
          <cell r="M1592" t="str">
            <v>unknown</v>
          </cell>
        </row>
        <row r="1593">
          <cell r="A1593">
            <v>8099</v>
          </cell>
          <cell r="B1593" t="str">
            <v>ja</v>
          </cell>
          <cell r="C1593" t="str">
            <v>リトルハンプティ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Material</v>
          </cell>
          <cell r="K1593" t="str">
            <v>evolution</v>
          </cell>
          <cell r="L1593" t="str">
            <v>覚醒素材タイプ</v>
          </cell>
          <cell r="M1593" t="str">
            <v>unknown</v>
          </cell>
        </row>
        <row r="1594">
          <cell r="A1594">
            <v>9001</v>
          </cell>
          <cell r="B1594" t="str">
            <v>ja</v>
          </cell>
          <cell r="C1594" t="str">
            <v>春香</v>
          </cell>
          <cell r="D1594" t="str">
            <v>ポムポムプリン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red</v>
          </cell>
          <cell r="I1594">
            <v>5</v>
          </cell>
          <cell r="J1594" t="str">
            <v>PremiumSSw</v>
          </cell>
          <cell r="K1594" t="str">
            <v>attack</v>
          </cell>
          <cell r="L1594" t="str">
            <v>攻撃タイプ</v>
          </cell>
          <cell r="M1594" t="str">
            <v>human</v>
          </cell>
        </row>
        <row r="1595">
          <cell r="A1595">
            <v>9002</v>
          </cell>
          <cell r="B1595" t="str">
            <v>ja</v>
          </cell>
          <cell r="C1595" t="str">
            <v>春香★６</v>
          </cell>
          <cell r="D1595" t="str">
            <v>ポムポムプリン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6</v>
          </cell>
          <cell r="J1595" t="str">
            <v>PremiumSSw</v>
          </cell>
          <cell r="K1595" t="str">
            <v>attack</v>
          </cell>
          <cell r="L1595" t="str">
            <v>攻撃タイプ</v>
          </cell>
          <cell r="M1595" t="str">
            <v>human</v>
          </cell>
        </row>
        <row r="1596">
          <cell r="A1596">
            <v>9003</v>
          </cell>
          <cell r="B1596" t="str">
            <v>ja</v>
          </cell>
          <cell r="C1596" t="str">
            <v>夢龍</v>
          </cell>
          <cell r="D1596" t="str">
            <v>ポムポムプリン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green</v>
          </cell>
          <cell r="I1596">
            <v>5</v>
          </cell>
          <cell r="J1596" t="str">
            <v>DropWizS</v>
          </cell>
          <cell r="K1596" t="str">
            <v>technical</v>
          </cell>
          <cell r="L1596" t="str">
            <v>テクニカルタイプ</v>
          </cell>
          <cell r="M1596" t="str">
            <v>human</v>
          </cell>
        </row>
        <row r="1597">
          <cell r="A1597">
            <v>9004</v>
          </cell>
          <cell r="B1597" t="str">
            <v>ja</v>
          </cell>
          <cell r="C1597" t="str">
            <v>夢龍★６</v>
          </cell>
          <cell r="D1597" t="str">
            <v>各属性相性良3・黄・R455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green</v>
          </cell>
          <cell r="I1597">
            <v>6</v>
          </cell>
          <cell r="J1597" t="str">
            <v>DropWizS</v>
          </cell>
          <cell r="K1597" t="str">
            <v>technical</v>
          </cell>
          <cell r="L1597" t="str">
            <v>テクニカルタイプ</v>
          </cell>
          <cell r="M1597" t="str">
            <v>human</v>
          </cell>
        </row>
        <row r="1598">
          <cell r="A1598">
            <v>10001</v>
          </cell>
          <cell r="B1598" t="str">
            <v>ja</v>
          </cell>
          <cell r="C1598" t="str">
            <v>テストユニット01</v>
          </cell>
          <cell r="H1598" t="str">
            <v>yellow</v>
          </cell>
          <cell r="I1598">
            <v>6</v>
          </cell>
          <cell r="J1598" t="str">
            <v>PremiumSS</v>
          </cell>
          <cell r="K1598" t="str">
            <v>balance</v>
          </cell>
          <cell r="L1598" t="str">
            <v>バランスタイプ</v>
          </cell>
          <cell r="M1598" t="str">
            <v>god</v>
          </cell>
        </row>
        <row r="1599">
          <cell r="A1599">
            <v>10002</v>
          </cell>
          <cell r="B1599" t="str">
            <v>ja</v>
          </cell>
          <cell r="C1599" t="str">
            <v>テストユニット02</v>
          </cell>
          <cell r="H1599" t="str">
            <v>yellow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demon</v>
          </cell>
        </row>
        <row r="1600">
          <cell r="A1600">
            <v>10003</v>
          </cell>
          <cell r="B1600" t="str">
            <v>ja</v>
          </cell>
          <cell r="C1600" t="str">
            <v>テストユニット03</v>
          </cell>
          <cell r="H1600" t="str">
            <v>red</v>
          </cell>
          <cell r="I1600">
            <v>5</v>
          </cell>
          <cell r="J1600" t="str">
            <v>PremiumSSS</v>
          </cell>
          <cell r="K1600" t="str">
            <v>technical</v>
          </cell>
          <cell r="L1600" t="str">
            <v>テクニカルタイプ</v>
          </cell>
          <cell r="M1600" t="str">
            <v>academia</v>
          </cell>
        </row>
        <row r="1601">
          <cell r="A1601">
            <v>10004</v>
          </cell>
          <cell r="B1601" t="str">
            <v>ja</v>
          </cell>
          <cell r="C1601" t="str">
            <v>テストユニット04</v>
          </cell>
          <cell r="H1601" t="str">
            <v>red</v>
          </cell>
          <cell r="I1601">
            <v>6</v>
          </cell>
          <cell r="J1601" t="str">
            <v>PremiumSSS</v>
          </cell>
          <cell r="K1601" t="str">
            <v>technical</v>
          </cell>
          <cell r="L1601" t="str">
            <v>テクニカルタイプ</v>
          </cell>
          <cell r="M1601" t="str">
            <v>academia</v>
          </cell>
        </row>
        <row r="1602">
          <cell r="A1602">
            <v>10005</v>
          </cell>
          <cell r="B1602" t="str">
            <v>ja</v>
          </cell>
          <cell r="C1602" t="str">
            <v>テストユニット05</v>
          </cell>
          <cell r="H1602" t="str">
            <v>green</v>
          </cell>
          <cell r="I1602">
            <v>5</v>
          </cell>
          <cell r="J1602" t="str">
            <v>PremiumSSS</v>
          </cell>
          <cell r="K1602" t="str">
            <v>hp</v>
          </cell>
          <cell r="L1602" t="str">
            <v>体力タイプ</v>
          </cell>
          <cell r="M1602" t="str">
            <v>god</v>
          </cell>
        </row>
        <row r="1603">
          <cell r="A1603">
            <v>10006</v>
          </cell>
          <cell r="B1603" t="str">
            <v>ja</v>
          </cell>
          <cell r="C1603" t="str">
            <v>テストユニット06</v>
          </cell>
          <cell r="H1603" t="str">
            <v>green</v>
          </cell>
          <cell r="I1603">
            <v>6</v>
          </cell>
          <cell r="J1603" t="str">
            <v>PremiumSSS</v>
          </cell>
          <cell r="K1603" t="str">
            <v>hp</v>
          </cell>
          <cell r="L1603" t="str">
            <v>体力タイプ</v>
          </cell>
          <cell r="M1603" t="str">
            <v>god</v>
          </cell>
        </row>
        <row r="1604">
          <cell r="A1604">
            <v>10007</v>
          </cell>
          <cell r="B1604" t="str">
            <v>ja</v>
          </cell>
          <cell r="C1604" t="str">
            <v>テストユニット07</v>
          </cell>
          <cell r="H1604" t="str">
            <v>yellow</v>
          </cell>
          <cell r="I1604">
            <v>5</v>
          </cell>
          <cell r="J1604" t="str">
            <v>PremiumSSS</v>
          </cell>
          <cell r="K1604" t="str">
            <v>technical</v>
          </cell>
          <cell r="L1604" t="str">
            <v>テクニカルタイプ</v>
          </cell>
          <cell r="M1604" t="str">
            <v>machine</v>
          </cell>
        </row>
        <row r="1605">
          <cell r="A1605">
            <v>10008</v>
          </cell>
          <cell r="B1605" t="str">
            <v>ja</v>
          </cell>
          <cell r="C1605" t="str">
            <v>テストユニット08</v>
          </cell>
          <cell r="H1605" t="str">
            <v>yellow</v>
          </cell>
          <cell r="I1605">
            <v>6</v>
          </cell>
          <cell r="J1605" t="str">
            <v>PremiumSSS</v>
          </cell>
          <cell r="K1605" t="str">
            <v>technical</v>
          </cell>
          <cell r="L1605" t="str">
            <v>テクニカルタイプ</v>
          </cell>
          <cell r="M1605" t="str">
            <v>machine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C11"/>
  <sheetViews>
    <sheetView zoomScale="75" zoomScaleNormal="75" zoomScalePageLayoutView="75" workbookViewId="0">
      <selection activeCell="B3" sqref="B3"/>
    </sheetView>
  </sheetViews>
  <sheetFormatPr baseColWidth="12" defaultRowHeight="15" x14ac:dyDescent="0.15"/>
  <cols>
    <col min="2" max="2" width="18.1640625" bestFit="1" customWidth="1"/>
    <col min="5" max="5" width="29.33203125" bestFit="1" customWidth="1"/>
    <col min="6" max="6" width="22.1640625" bestFit="1" customWidth="1"/>
  </cols>
  <sheetData>
    <row r="1" spans="1:29" x14ac:dyDescent="0.15">
      <c r="A1" s="30" t="s">
        <v>53</v>
      </c>
      <c r="B1" s="31" t="s">
        <v>54</v>
      </c>
      <c r="C1" s="31" t="s">
        <v>55</v>
      </c>
      <c r="D1" s="31" t="s">
        <v>56</v>
      </c>
      <c r="E1" s="31" t="s">
        <v>57</v>
      </c>
      <c r="F1" s="31" t="s">
        <v>58</v>
      </c>
      <c r="G1" s="31" t="s">
        <v>59</v>
      </c>
      <c r="H1" s="31"/>
      <c r="I1" s="31"/>
      <c r="J1" s="31"/>
      <c r="K1" s="31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</row>
    <row r="2" spans="1:29" x14ac:dyDescent="0.15">
      <c r="A2" s="33" t="s">
        <v>206</v>
      </c>
      <c r="B2" s="34" t="s">
        <v>60</v>
      </c>
      <c r="C2" s="34" t="s">
        <v>208</v>
      </c>
      <c r="D2" s="34" t="s">
        <v>61</v>
      </c>
      <c r="E2" s="32" t="str">
        <f>B2&amp;C2&amp;D2</f>
        <v>floors_lockbit.tmp</v>
      </c>
      <c r="F2" s="34" t="s">
        <v>62</v>
      </c>
      <c r="G2" s="35" t="s">
        <v>0</v>
      </c>
      <c r="H2" s="35" t="s">
        <v>1</v>
      </c>
      <c r="I2" s="35" t="s">
        <v>13</v>
      </c>
      <c r="J2" s="35" t="s">
        <v>14</v>
      </c>
      <c r="K2" s="35" t="s">
        <v>15</v>
      </c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</row>
    <row r="3" spans="1:29" x14ac:dyDescent="0.15">
      <c r="A3" s="33" t="s">
        <v>206</v>
      </c>
      <c r="B3" s="34" t="s">
        <v>63</v>
      </c>
      <c r="C3" s="34" t="str">
        <f>C2</f>
        <v>lockbit</v>
      </c>
      <c r="D3" s="34" t="s">
        <v>61</v>
      </c>
      <c r="E3" s="32" t="str">
        <f>B3&amp;C3&amp;D3</f>
        <v>enemy_habitats_lockbit.tmp</v>
      </c>
      <c r="F3" s="34" t="s">
        <v>64</v>
      </c>
      <c r="G3" s="35" t="s">
        <v>0</v>
      </c>
      <c r="H3" s="35" t="s">
        <v>1</v>
      </c>
      <c r="I3" s="35" t="s">
        <v>13</v>
      </c>
      <c r="J3" s="35" t="s">
        <v>2</v>
      </c>
      <c r="K3" s="35" t="s">
        <v>3</v>
      </c>
      <c r="L3" s="35" t="s">
        <v>50</v>
      </c>
      <c r="M3" s="35" t="s">
        <v>51</v>
      </c>
      <c r="N3" s="35" t="s">
        <v>52</v>
      </c>
      <c r="O3" s="35" t="s">
        <v>22</v>
      </c>
      <c r="P3" s="35" t="s">
        <v>5</v>
      </c>
      <c r="Q3" s="35" t="s">
        <v>6</v>
      </c>
      <c r="R3" s="35" t="s">
        <v>7</v>
      </c>
      <c r="S3" s="35" t="s">
        <v>8</v>
      </c>
      <c r="T3" s="35" t="s">
        <v>9</v>
      </c>
      <c r="U3" s="35" t="s">
        <v>10</v>
      </c>
      <c r="V3" s="35" t="s">
        <v>11</v>
      </c>
      <c r="W3" s="35" t="s">
        <v>12</v>
      </c>
      <c r="X3" s="35" t="s">
        <v>36</v>
      </c>
      <c r="Y3" s="35" t="s">
        <v>38</v>
      </c>
      <c r="Z3" s="35" t="s">
        <v>40</v>
      </c>
      <c r="AA3" s="35" t="s">
        <v>42</v>
      </c>
      <c r="AB3" s="35" t="s">
        <v>44</v>
      </c>
      <c r="AC3" s="35" t="s">
        <v>65</v>
      </c>
    </row>
    <row r="4" spans="1:29" x14ac:dyDescent="0.15">
      <c r="A4" s="33" t="s">
        <v>207</v>
      </c>
      <c r="B4" s="34" t="s">
        <v>66</v>
      </c>
      <c r="C4" s="34" t="str">
        <f t="shared" ref="C4:C8" si="0">C3</f>
        <v>lockbit</v>
      </c>
      <c r="D4" s="34" t="s">
        <v>61</v>
      </c>
      <c r="E4" s="32" t="str">
        <f>B4&amp;C4&amp;D4</f>
        <v>enemy_habitat_S_lockbit.tmp</v>
      </c>
      <c r="F4" s="34" t="s">
        <v>67</v>
      </c>
      <c r="G4" s="35" t="s">
        <v>0</v>
      </c>
      <c r="H4" s="35" t="s">
        <v>1</v>
      </c>
      <c r="I4" s="35" t="s">
        <v>13</v>
      </c>
      <c r="J4" s="35" t="s">
        <v>65</v>
      </c>
      <c r="K4" s="35" t="s">
        <v>68</v>
      </c>
      <c r="L4" s="35" t="s">
        <v>69</v>
      </c>
      <c r="M4" s="35" t="s">
        <v>70</v>
      </c>
      <c r="N4" s="35" t="s">
        <v>71</v>
      </c>
      <c r="O4" s="35" t="s">
        <v>72</v>
      </c>
      <c r="P4" s="35" t="s">
        <v>47</v>
      </c>
      <c r="Q4" s="35" t="s">
        <v>48</v>
      </c>
      <c r="R4" s="35" t="s">
        <v>49</v>
      </c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1:29" x14ac:dyDescent="0.15">
      <c r="A5" s="33" t="s">
        <v>206</v>
      </c>
      <c r="B5" s="34" t="s">
        <v>73</v>
      </c>
      <c r="C5" s="34" t="str">
        <f t="shared" si="0"/>
        <v>lockbit</v>
      </c>
      <c r="D5" s="34" t="s">
        <v>74</v>
      </c>
      <c r="E5" s="32" t="str">
        <f>B5&amp;C5&amp;D5</f>
        <v>enemy_skill_sets_lockbit.tmp</v>
      </c>
      <c r="F5" s="34" t="s">
        <v>75</v>
      </c>
      <c r="G5" s="36" t="s">
        <v>22</v>
      </c>
      <c r="H5" s="36" t="s">
        <v>76</v>
      </c>
      <c r="I5" s="36" t="s">
        <v>77</v>
      </c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</row>
    <row r="6" spans="1:29" x14ac:dyDescent="0.15">
      <c r="A6" s="33" t="s">
        <v>206</v>
      </c>
      <c r="B6" s="34" t="s">
        <v>78</v>
      </c>
      <c r="C6" s="34" t="str">
        <f t="shared" si="0"/>
        <v>lockbit</v>
      </c>
      <c r="D6" s="34" t="s">
        <v>79</v>
      </c>
      <c r="E6" s="32" t="str">
        <f t="shared" ref="E6:E11" si="1">B6&amp;C6&amp;D6</f>
        <v>enemy_skills_tmp_lockbit.tmp</v>
      </c>
      <c r="F6" s="34" t="s">
        <v>80</v>
      </c>
      <c r="G6" s="35" t="s">
        <v>81</v>
      </c>
      <c r="H6" s="35" t="s">
        <v>82</v>
      </c>
      <c r="I6" s="35" t="s">
        <v>83</v>
      </c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</row>
    <row r="7" spans="1:29" x14ac:dyDescent="0.15">
      <c r="A7" s="33" t="s">
        <v>206</v>
      </c>
      <c r="B7" s="34" t="s">
        <v>84</v>
      </c>
      <c r="C7" s="34" t="str">
        <f t="shared" si="0"/>
        <v>lockbit</v>
      </c>
      <c r="D7" s="34" t="s">
        <v>85</v>
      </c>
      <c r="E7" s="32" t="str">
        <f>B7&amp;C7&amp;D7</f>
        <v>enemy_skills_i18n_lockbit.tmp</v>
      </c>
      <c r="F7" s="34" t="s">
        <v>86</v>
      </c>
      <c r="G7" s="35" t="s">
        <v>81</v>
      </c>
      <c r="H7" s="35" t="s">
        <v>87</v>
      </c>
      <c r="I7" s="35" t="s">
        <v>88</v>
      </c>
      <c r="J7" s="35" t="s">
        <v>89</v>
      </c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</row>
    <row r="8" spans="1:29" x14ac:dyDescent="0.15">
      <c r="A8" s="33" t="s">
        <v>206</v>
      </c>
      <c r="B8" s="34" t="s">
        <v>90</v>
      </c>
      <c r="C8" s="34" t="str">
        <f t="shared" si="0"/>
        <v>lockbit</v>
      </c>
      <c r="D8" s="34" t="s">
        <v>91</v>
      </c>
      <c r="E8" s="32" t="str">
        <f t="shared" si="1"/>
        <v>enemy_skill_triggers_lockbit.tmp</v>
      </c>
      <c r="F8" s="34" t="s">
        <v>92</v>
      </c>
      <c r="G8" s="35" t="s">
        <v>77</v>
      </c>
      <c r="H8" s="35" t="s">
        <v>93</v>
      </c>
      <c r="I8" s="35" t="s">
        <v>94</v>
      </c>
      <c r="J8" s="35" t="s">
        <v>95</v>
      </c>
      <c r="K8" s="35" t="s">
        <v>96</v>
      </c>
      <c r="L8" s="35" t="s">
        <v>97</v>
      </c>
      <c r="M8" s="35" t="s">
        <v>98</v>
      </c>
      <c r="N8" s="35" t="s">
        <v>99</v>
      </c>
      <c r="O8" s="35" t="s">
        <v>100</v>
      </c>
      <c r="P8" s="35" t="s">
        <v>101</v>
      </c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</row>
    <row r="9" spans="1:29" x14ac:dyDescent="0.15">
      <c r="A9" s="33" t="s">
        <v>206</v>
      </c>
      <c r="B9" s="87" t="s">
        <v>187</v>
      </c>
      <c r="C9" s="92" t="str">
        <f t="shared" ref="C9:C11" si="2">C$2</f>
        <v>lockbit</v>
      </c>
      <c r="D9" s="87" t="s">
        <v>188</v>
      </c>
      <c r="E9" s="88" t="str">
        <f t="shared" si="1"/>
        <v>stage_bug_bonuses_lockbit.tmp</v>
      </c>
      <c r="F9" s="87" t="s">
        <v>189</v>
      </c>
      <c r="G9" s="64" t="s">
        <v>156</v>
      </c>
      <c r="H9" s="64" t="s">
        <v>190</v>
      </c>
      <c r="I9" s="64" t="s">
        <v>191</v>
      </c>
      <c r="J9" s="67" t="s">
        <v>192</v>
      </c>
      <c r="K9" s="64" t="s">
        <v>193</v>
      </c>
      <c r="L9" s="64" t="s">
        <v>162</v>
      </c>
      <c r="M9" s="64" t="s">
        <v>163</v>
      </c>
      <c r="N9" s="64" t="s">
        <v>70</v>
      </c>
      <c r="O9" s="64" t="s">
        <v>164</v>
      </c>
      <c r="P9" s="64" t="s">
        <v>37</v>
      </c>
      <c r="Q9" s="64" t="s">
        <v>39</v>
      </c>
      <c r="R9" s="64" t="s">
        <v>41</v>
      </c>
      <c r="S9" s="64" t="s">
        <v>43</v>
      </c>
      <c r="T9" s="64" t="s">
        <v>45</v>
      </c>
      <c r="U9" s="64" t="s">
        <v>165</v>
      </c>
      <c r="V9" s="64" t="s">
        <v>166</v>
      </c>
      <c r="W9" s="64" t="s">
        <v>167</v>
      </c>
    </row>
    <row r="10" spans="1:29" s="91" customFormat="1" x14ac:dyDescent="0.15">
      <c r="A10" s="33" t="s">
        <v>206</v>
      </c>
      <c r="B10" s="87" t="s">
        <v>194</v>
      </c>
      <c r="C10" s="92" t="str">
        <f t="shared" si="2"/>
        <v>lockbit</v>
      </c>
      <c r="D10" s="87" t="s">
        <v>188</v>
      </c>
      <c r="E10" s="88" t="str">
        <f t="shared" si="1"/>
        <v>stage_hints_data_lockbit.tmp</v>
      </c>
      <c r="F10" s="89" t="s">
        <v>195</v>
      </c>
      <c r="G10" s="72" t="s">
        <v>156</v>
      </c>
      <c r="H10" s="72" t="s">
        <v>190</v>
      </c>
      <c r="I10" s="90" t="s">
        <v>196</v>
      </c>
      <c r="J10" s="67" t="s">
        <v>197</v>
      </c>
      <c r="K10" s="67" t="s">
        <v>198</v>
      </c>
    </row>
    <row r="11" spans="1:29" s="91" customFormat="1" x14ac:dyDescent="0.15">
      <c r="A11" s="33" t="s">
        <v>206</v>
      </c>
      <c r="B11" s="87" t="s">
        <v>199</v>
      </c>
      <c r="C11" s="92" t="str">
        <f t="shared" si="2"/>
        <v>lockbit</v>
      </c>
      <c r="D11" s="87" t="s">
        <v>200</v>
      </c>
      <c r="E11" s="88" t="str">
        <f t="shared" si="1"/>
        <v>stage_hints_i18n_lockbit.tmp</v>
      </c>
      <c r="F11" s="89" t="s">
        <v>195</v>
      </c>
      <c r="G11" s="90" t="s">
        <v>201</v>
      </c>
      <c r="H11" s="64" t="s">
        <v>202</v>
      </c>
      <c r="I11" s="72" t="s">
        <v>203</v>
      </c>
      <c r="J11" s="93" t="s">
        <v>204</v>
      </c>
      <c r="K11" s="67" t="s">
        <v>205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15"/>
  <sheetViews>
    <sheetView showGridLines="0" zoomScale="75" zoomScaleNormal="75" zoomScalePageLayoutView="75" workbookViewId="0">
      <pane ySplit="1" topLeftCell="A2" activePane="bottomLeft" state="frozen"/>
      <selection activeCell="V2" sqref="V2:X34"/>
      <selection pane="bottomLeft" activeCell="J4" sqref="J4"/>
    </sheetView>
  </sheetViews>
  <sheetFormatPr baseColWidth="12" defaultColWidth="13" defaultRowHeight="21" customHeight="1" outlineLevelCol="1" x14ac:dyDescent="0.15"/>
  <cols>
    <col min="1" max="1" width="8.83203125" style="23" bestFit="1" customWidth="1"/>
    <col min="2" max="2" width="5" style="23" bestFit="1" customWidth="1"/>
    <col min="3" max="3" width="7.1640625" style="4" bestFit="1" customWidth="1"/>
    <col min="4" max="4" width="21.6640625" style="4" bestFit="1" customWidth="1" outlineLevel="1"/>
    <col min="5" max="5" width="11.33203125" style="4" bestFit="1" customWidth="1" outlineLevel="1"/>
    <col min="6" max="6" width="7" style="4" bestFit="1" customWidth="1"/>
    <col min="7" max="7" width="9.33203125" style="23" bestFit="1" customWidth="1" outlineLevel="1"/>
    <col min="8" max="8" width="34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29</v>
      </c>
      <c r="B1" s="17" t="s">
        <v>35</v>
      </c>
      <c r="C1" s="1" t="s">
        <v>0</v>
      </c>
      <c r="D1" s="2" t="s">
        <v>18</v>
      </c>
      <c r="E1" s="16" t="s">
        <v>32</v>
      </c>
      <c r="F1" s="1" t="s">
        <v>1</v>
      </c>
      <c r="G1" s="26" t="s">
        <v>31</v>
      </c>
      <c r="H1" s="16" t="s">
        <v>33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" si="0">G2&amp;"-"&amp;I2</f>
        <v>14002_1-1</v>
      </c>
      <c r="B2" s="17" t="str">
        <f>IF(COUNTIF(enemy_habitats!$H:$H,A2),"OK","NG")</f>
        <v>OK</v>
      </c>
      <c r="C2" s="98">
        <v>14002</v>
      </c>
      <c r="D2" s="12" t="str">
        <f ca="1">VLOOKUP($C2,OFFSET([2]quests!$A$1,0,0,COUNTA([2]quests!$A:$A),MATCH(D$1,[2]quests!$1:$1,0)-MATCH($C$1,[2]quests!$1:$1,0)+1),MATCH(D$1,[2]quests!$1:$1,0)-MATCH($C$1,[2]quests!$1:$1,0)+1,FALSE)</f>
        <v>【ロック】ビット/ソロ</v>
      </c>
      <c r="E2" s="22" t="str">
        <f ca="1">VLOOKUP($C2,OFFSET([2]quests!$A$1,0,0,COUNTA([2]quests!$A:$A),MATCH(E$1,[2]quests!$1:$1,0)-MATCH($C$1,[2]quests!$1:$1,0)+1),MATCH(E$1,[2]quests!$1:$1,0)-MATCH($C$1,[2]quests!$1:$1,0)+1,FALSE)</f>
        <v>【ロック】ビット/ソロ</v>
      </c>
      <c r="F2" s="25">
        <v>1</v>
      </c>
      <c r="G2" s="26" t="str">
        <f t="shared" ref="G2" si="1">C2&amp;"_"&amp;F2</f>
        <v>14002_1</v>
      </c>
      <c r="H2" s="16" t="str">
        <f ca="1">VLOOKUP($G2,OFFSET([2]stages!$A$1,0,0,COUNTA([2]stages!$A:$A),MATCH(H$1,[2]stages!$2:$2,0)-MATCH($G$1,[2]stages!$2:$2,0)+1),MATCH(H$1,[2]stages!$2:$2,0)-MATCH($G$1,[2]stages!$2:$2,0)+1,FALSE)</f>
        <v>【超級】ハイローラー（ハートなし）</v>
      </c>
      <c r="I2" s="25">
        <v>1</v>
      </c>
      <c r="J2" s="13">
        <v>40</v>
      </c>
      <c r="K2" s="13">
        <v>40</v>
      </c>
    </row>
    <row r="3" spans="1:11" ht="21" customHeight="1" x14ac:dyDescent="0.15">
      <c r="A3" s="17" t="str">
        <f t="shared" ref="A3:A11" si="2">G3&amp;"-"&amp;I3</f>
        <v>14002_1-2</v>
      </c>
      <c r="B3" s="17" t="str">
        <f>IF(COUNTIF(enemy_habitats!$H:$H,A3),"OK","NG")</f>
        <v>OK</v>
      </c>
      <c r="C3" s="98">
        <v>14002</v>
      </c>
      <c r="D3" s="12" t="str">
        <f ca="1">VLOOKUP($C3,OFFSET([2]quests!$A$1,0,0,COUNTA([2]quests!$A:$A),MATCH(D$1,[2]quests!$1:$1,0)-MATCH($C$1,[2]quests!$1:$1,0)+1),MATCH(D$1,[2]quests!$1:$1,0)-MATCH($C$1,[2]quests!$1:$1,0)+1,FALSE)</f>
        <v>【ロック】ビット/ソロ</v>
      </c>
      <c r="E3" s="22" t="str">
        <f ca="1">VLOOKUP($C3,OFFSET([2]quests!$A$1,0,0,COUNTA([2]quests!$A:$A),MATCH(E$1,[2]quests!$1:$1,0)-MATCH($C$1,[2]quests!$1:$1,0)+1),MATCH(E$1,[2]quests!$1:$1,0)-MATCH($C$1,[2]quests!$1:$1,0)+1,FALSE)</f>
        <v>【ロック】ビット/ソロ</v>
      </c>
      <c r="F3" s="25">
        <v>1</v>
      </c>
      <c r="G3" s="26" t="str">
        <f t="shared" ref="G3:G11" si="3">C3&amp;"_"&amp;F3</f>
        <v>14002_1</v>
      </c>
      <c r="H3" s="16" t="str">
        <f ca="1">VLOOKUP($G3,OFFSET([2]stages!$A$1,0,0,COUNTA([2]stages!$A:$A),MATCH(H$1,[2]stages!$2:$2,0)-MATCH($G$1,[2]stages!$2:$2,0)+1),MATCH(H$1,[2]stages!$2:$2,0)-MATCH($G$1,[2]stages!$2:$2,0)+1,FALSE)</f>
        <v>【超級】ハイローラー（ハートなし）</v>
      </c>
      <c r="I3" s="25">
        <v>2</v>
      </c>
      <c r="J3" s="13">
        <v>60</v>
      </c>
      <c r="K3" s="13">
        <v>60</v>
      </c>
    </row>
    <row r="4" spans="1:11" ht="21" customHeight="1" x14ac:dyDescent="0.15">
      <c r="A4" s="17" t="str">
        <f t="shared" si="2"/>
        <v>14002_1-3</v>
      </c>
      <c r="B4" s="17" t="str">
        <f>IF(COUNTIF(enemy_habitats!$H:$H,A4),"OK","NG")</f>
        <v>OK</v>
      </c>
      <c r="C4" s="98">
        <v>14002</v>
      </c>
      <c r="D4" s="12" t="str">
        <f ca="1">VLOOKUP($C4,OFFSET([2]quests!$A$1,0,0,COUNTA([2]quests!$A:$A),MATCH(D$1,[2]quests!$1:$1,0)-MATCH($C$1,[2]quests!$1:$1,0)+1),MATCH(D$1,[2]quests!$1:$1,0)-MATCH($C$1,[2]quests!$1:$1,0)+1,FALSE)</f>
        <v>【ロック】ビット/ソロ</v>
      </c>
      <c r="E4" s="22" t="str">
        <f ca="1">VLOOKUP($C4,OFFSET([2]quests!$A$1,0,0,COUNTA([2]quests!$A:$A),MATCH(E$1,[2]quests!$1:$1,0)-MATCH($C$1,[2]quests!$1:$1,0)+1),MATCH(E$1,[2]quests!$1:$1,0)-MATCH($C$1,[2]quests!$1:$1,0)+1,FALSE)</f>
        <v>【ロック】ビット/ソロ</v>
      </c>
      <c r="F4" s="25">
        <v>1</v>
      </c>
      <c r="G4" s="26" t="str">
        <f t="shared" si="3"/>
        <v>14002_1</v>
      </c>
      <c r="H4" s="16" t="str">
        <f ca="1">VLOOKUP($G4,OFFSET([2]stages!$A$1,0,0,COUNTA([2]stages!$A:$A),MATCH(H$1,[2]stages!$2:$2,0)-MATCH($G$1,[2]stages!$2:$2,0)+1),MATCH(H$1,[2]stages!$2:$2,0)-MATCH($G$1,[2]stages!$2:$2,0)+1,FALSE)</f>
        <v>【超級】ハイローラー（ハートなし）</v>
      </c>
      <c r="I4" s="25">
        <v>3</v>
      </c>
      <c r="J4" s="13">
        <v>40</v>
      </c>
      <c r="K4" s="13">
        <v>40</v>
      </c>
    </row>
    <row r="5" spans="1:11" ht="21" customHeight="1" x14ac:dyDescent="0.15">
      <c r="A5" s="17" t="str">
        <f t="shared" si="2"/>
        <v>14002_1-4</v>
      </c>
      <c r="B5" s="17" t="str">
        <f>IF(COUNTIF(enemy_habitats!$H:$H,A5),"OK","NG")</f>
        <v>OK</v>
      </c>
      <c r="C5" s="98">
        <v>14002</v>
      </c>
      <c r="D5" s="12" t="str">
        <f ca="1">VLOOKUP($C5,OFFSET([2]quests!$A$1,0,0,COUNTA([2]quests!$A:$A),MATCH(D$1,[2]quests!$1:$1,0)-MATCH($C$1,[2]quests!$1:$1,0)+1),MATCH(D$1,[2]quests!$1:$1,0)-MATCH($C$1,[2]quests!$1:$1,0)+1,FALSE)</f>
        <v>【ロック】ビット/ソロ</v>
      </c>
      <c r="E5" s="22" t="str">
        <f ca="1">VLOOKUP($C5,OFFSET([2]quests!$A$1,0,0,COUNTA([2]quests!$A:$A),MATCH(E$1,[2]quests!$1:$1,0)-MATCH($C$1,[2]quests!$1:$1,0)+1),MATCH(E$1,[2]quests!$1:$1,0)-MATCH($C$1,[2]quests!$1:$1,0)+1,FALSE)</f>
        <v>【ロック】ビット/ソロ</v>
      </c>
      <c r="F5" s="25">
        <v>1</v>
      </c>
      <c r="G5" s="26" t="str">
        <f t="shared" si="3"/>
        <v>14002_1</v>
      </c>
      <c r="H5" s="16" t="str">
        <f ca="1">VLOOKUP($G5,OFFSET([2]stages!$A$1,0,0,COUNTA([2]stages!$A:$A),MATCH(H$1,[2]stages!$2:$2,0)-MATCH($G$1,[2]stages!$2:$2,0)+1),MATCH(H$1,[2]stages!$2:$2,0)-MATCH($G$1,[2]stages!$2:$2,0)+1,FALSE)</f>
        <v>【超級】ハイローラー（ハートなし）</v>
      </c>
      <c r="I5" s="25">
        <v>4</v>
      </c>
      <c r="J5" s="13">
        <v>60</v>
      </c>
      <c r="K5" s="13">
        <v>60</v>
      </c>
    </row>
    <row r="6" spans="1:11" ht="21" customHeight="1" x14ac:dyDescent="0.15">
      <c r="A6" s="17" t="str">
        <f>G6&amp;"-"&amp;I6</f>
        <v>14002_2-1</v>
      </c>
      <c r="B6" s="17" t="e">
        <f>IF(COUNTIF([3]enemy_habitats_week_q_1Mc!$H:$H,A6),"OK","NG")</f>
        <v>#VALUE!</v>
      </c>
      <c r="C6" s="108">
        <v>14002</v>
      </c>
      <c r="D6" s="22" t="str">
        <f ca="1">VLOOKUP($C6,OFFSET([2]quests!$A$1,0,0,COUNTA([2]quests!$A:$A),MATCH(D$1,[2]quests!$1:$1,0)-MATCH($C$1,[2]quests!$1:$1,0)+1),MATCH(D$1,[2]quests!$1:$1,0)-MATCH($C$1,[2]quests!$1:$1,0)+1,FALSE)</f>
        <v>【ロック】ビット/ソロ</v>
      </c>
      <c r="E6" s="22" t="str">
        <f ca="1">VLOOKUP($C6,OFFSET([2]quests!$A$1,0,0,COUNTA([2]quests!$A:$A),MATCH(E$1,[2]quests!$1:$1,0)-MATCH($C$1,[2]quests!$1:$1,0)+1),MATCH(E$1,[2]quests!$1:$1,0)-MATCH($C$1,[2]quests!$1:$1,0)+1,FALSE)</f>
        <v>【ロック】ビット/ソロ</v>
      </c>
      <c r="F6" s="43">
        <v>2</v>
      </c>
      <c r="G6" s="26" t="str">
        <f>C6&amp;"_"&amp;F6</f>
        <v>14002_2</v>
      </c>
      <c r="H6" s="16" t="str">
        <f ca="1">VLOOKUP($G6,OFFSET([2]stages!$A$1,0,0,COUNTA([2]stages!$A:$A),MATCH(H$1,[2]stages!$2:$2,0)-MATCH($G$1,[2]stages!$2:$2,0)+1),MATCH(H$1,[2]stages!$2:$2,0)-MATCH($G$1,[2]stages!$2:$2,0)+1,FALSE)</f>
        <v>【上級】ゴールドカジノ （ハートなし）</v>
      </c>
      <c r="I6" s="43">
        <v>1</v>
      </c>
      <c r="J6" s="44">
        <v>30</v>
      </c>
      <c r="K6" s="44">
        <v>55</v>
      </c>
    </row>
    <row r="7" spans="1:11" ht="21" customHeight="1" x14ac:dyDescent="0.15">
      <c r="A7" s="17" t="str">
        <f>G7&amp;"-"&amp;I7</f>
        <v>14002_2-2</v>
      </c>
      <c r="B7" s="17" t="e">
        <f>IF(COUNTIF([3]enemy_habitats_week_q_1Mc!$H:$H,A7),"OK","NG")</f>
        <v>#VALUE!</v>
      </c>
      <c r="C7" s="108">
        <v>14002</v>
      </c>
      <c r="D7" s="22" t="str">
        <f ca="1">VLOOKUP($C7,OFFSET([2]quests!$A$1,0,0,COUNTA([2]quests!$A:$A),MATCH(D$1,[2]quests!$1:$1,0)-MATCH($C$1,[2]quests!$1:$1,0)+1),MATCH(D$1,[2]quests!$1:$1,0)-MATCH($C$1,[2]quests!$1:$1,0)+1,FALSE)</f>
        <v>【ロック】ビット/ソロ</v>
      </c>
      <c r="E7" s="22" t="str">
        <f ca="1">VLOOKUP($C7,OFFSET([2]quests!$A$1,0,0,COUNTA([2]quests!$A:$A),MATCH(E$1,[2]quests!$1:$1,0)-MATCH($C$1,[2]quests!$1:$1,0)+1),MATCH(E$1,[2]quests!$1:$1,0)-MATCH($C$1,[2]quests!$1:$1,0)+1,FALSE)</f>
        <v>【ロック】ビット/ソロ</v>
      </c>
      <c r="F7" s="43">
        <v>2</v>
      </c>
      <c r="G7" s="26" t="str">
        <f>C7&amp;"_"&amp;F7</f>
        <v>14002_2</v>
      </c>
      <c r="H7" s="16" t="str">
        <f ca="1">VLOOKUP($G7,OFFSET([2]stages!$A$1,0,0,COUNTA([2]stages!$A:$A),MATCH(H$1,[2]stages!$2:$2,0)-MATCH($G$1,[2]stages!$2:$2,0)+1),MATCH(H$1,[2]stages!$2:$2,0)-MATCH($G$1,[2]stages!$2:$2,0)+1,FALSE)</f>
        <v>【上級】ゴールドカジノ （ハートなし）</v>
      </c>
      <c r="I7" s="43">
        <v>2</v>
      </c>
      <c r="J7" s="44">
        <v>35</v>
      </c>
      <c r="K7" s="44">
        <v>50</v>
      </c>
    </row>
    <row r="8" spans="1:11" ht="21" customHeight="1" x14ac:dyDescent="0.15">
      <c r="A8" s="17" t="str">
        <f>G8&amp;"-"&amp;I8</f>
        <v>14002_2-3</v>
      </c>
      <c r="B8" s="17" t="e">
        <f>IF(COUNTIF([3]enemy_habitats_week_q_1Mc!$H:$H,A8),"OK","NG")</f>
        <v>#VALUE!</v>
      </c>
      <c r="C8" s="108">
        <v>14002</v>
      </c>
      <c r="D8" s="22" t="str">
        <f ca="1">VLOOKUP($C8,OFFSET([2]quests!$A$1,0,0,COUNTA([2]quests!$A:$A),MATCH(D$1,[2]quests!$1:$1,0)-MATCH($C$1,[2]quests!$1:$1,0)+1),MATCH(D$1,[2]quests!$1:$1,0)-MATCH($C$1,[2]quests!$1:$1,0)+1,FALSE)</f>
        <v>【ロック】ビット/ソロ</v>
      </c>
      <c r="E8" s="22" t="str">
        <f ca="1">VLOOKUP($C8,OFFSET([2]quests!$A$1,0,0,COUNTA([2]quests!$A:$A),MATCH(E$1,[2]quests!$1:$1,0)-MATCH($C$1,[2]quests!$1:$1,0)+1),MATCH(E$1,[2]quests!$1:$1,0)-MATCH($C$1,[2]quests!$1:$1,0)+1,FALSE)</f>
        <v>【ロック】ビット/ソロ</v>
      </c>
      <c r="F8" s="43">
        <v>2</v>
      </c>
      <c r="G8" s="26" t="str">
        <f>C8&amp;"_"&amp;F8</f>
        <v>14002_2</v>
      </c>
      <c r="H8" s="16" t="str">
        <f ca="1">VLOOKUP($G8,OFFSET([2]stages!$A$1,0,0,COUNTA([2]stages!$A:$A),MATCH(H$1,[2]stages!$2:$2,0)-MATCH($G$1,[2]stages!$2:$2,0)+1),MATCH(H$1,[2]stages!$2:$2,0)-MATCH($G$1,[2]stages!$2:$2,0)+1,FALSE)</f>
        <v>【上級】ゴールドカジノ （ハートなし）</v>
      </c>
      <c r="I8" s="43">
        <v>3</v>
      </c>
      <c r="J8" s="44">
        <v>20</v>
      </c>
      <c r="K8" s="44">
        <v>20</v>
      </c>
    </row>
    <row r="9" spans="1:11" ht="21" customHeight="1" x14ac:dyDescent="0.15">
      <c r="A9" s="17" t="str">
        <f>G9&amp;"-"&amp;I9</f>
        <v>14002_2-4</v>
      </c>
      <c r="B9" s="17" t="e">
        <f>IF(COUNTIF([3]enemy_habitats_week_q_1Mc!$H:$H,A9),"OK","NG")</f>
        <v>#VALUE!</v>
      </c>
      <c r="C9" s="108">
        <v>14002</v>
      </c>
      <c r="D9" s="22" t="str">
        <f ca="1">VLOOKUP($C9,OFFSET([2]quests!$A$1,0,0,COUNTA([2]quests!$A:$A),MATCH(D$1,[2]quests!$1:$1,0)-MATCH($C$1,[2]quests!$1:$1,0)+1),MATCH(D$1,[2]quests!$1:$1,0)-MATCH($C$1,[2]quests!$1:$1,0)+1,FALSE)</f>
        <v>【ロック】ビット/ソロ</v>
      </c>
      <c r="E9" s="22" t="str">
        <f ca="1">VLOOKUP($C9,OFFSET([2]quests!$A$1,0,0,COUNTA([2]quests!$A:$A),MATCH(E$1,[2]quests!$1:$1,0)-MATCH($C$1,[2]quests!$1:$1,0)+1),MATCH(E$1,[2]quests!$1:$1,0)-MATCH($C$1,[2]quests!$1:$1,0)+1,FALSE)</f>
        <v>【ロック】ビット/ソロ</v>
      </c>
      <c r="F9" s="43">
        <v>2</v>
      </c>
      <c r="G9" s="26" t="str">
        <f>C9&amp;"_"&amp;F9</f>
        <v>14002_2</v>
      </c>
      <c r="H9" s="16" t="str">
        <f ca="1">VLOOKUP($G9,OFFSET([2]stages!$A$1,0,0,COUNTA([2]stages!$A:$A),MATCH(H$1,[2]stages!$2:$2,0)-MATCH($G$1,[2]stages!$2:$2,0)+1),MATCH(H$1,[2]stages!$2:$2,0)-MATCH($G$1,[2]stages!$2:$2,0)+1,FALSE)</f>
        <v>【上級】ゴールドカジノ （ハートなし）</v>
      </c>
      <c r="I9" s="43">
        <v>4</v>
      </c>
      <c r="J9" s="44">
        <v>35</v>
      </c>
      <c r="K9" s="44">
        <v>60</v>
      </c>
    </row>
    <row r="10" spans="1:11" ht="21" customHeight="1" x14ac:dyDescent="0.15">
      <c r="A10" s="17" t="str">
        <f>G10&amp;"-"&amp;I10</f>
        <v>14002_2-5</v>
      </c>
      <c r="B10" s="17" t="e">
        <f>IF(COUNTIF([3]enemy_habitats_week_q_1Mc!$H:$H,A10),"OK","NG")</f>
        <v>#VALUE!</v>
      </c>
      <c r="C10" s="108">
        <v>14002</v>
      </c>
      <c r="D10" s="22" t="str">
        <f ca="1">VLOOKUP($C10,OFFSET([2]quests!$A$1,0,0,COUNTA([2]quests!$A:$A),MATCH(D$1,[2]quests!$1:$1,0)-MATCH($C$1,[2]quests!$1:$1,0)+1),MATCH(D$1,[2]quests!$1:$1,0)-MATCH($C$1,[2]quests!$1:$1,0)+1,FALSE)</f>
        <v>【ロック】ビット/ソロ</v>
      </c>
      <c r="E10" s="22" t="str">
        <f ca="1">VLOOKUP($C10,OFFSET([2]quests!$A$1,0,0,COUNTA([2]quests!$A:$A),MATCH(E$1,[2]quests!$1:$1,0)-MATCH($C$1,[2]quests!$1:$1,0)+1),MATCH(E$1,[2]quests!$1:$1,0)-MATCH($C$1,[2]quests!$1:$1,0)+1,FALSE)</f>
        <v>【ロック】ビット/ソロ</v>
      </c>
      <c r="F10" s="43">
        <v>2</v>
      </c>
      <c r="G10" s="26" t="str">
        <f>C10&amp;"_"&amp;F10</f>
        <v>14002_2</v>
      </c>
      <c r="H10" s="16" t="str">
        <f ca="1">VLOOKUP($G10,OFFSET([2]stages!$A$1,0,0,COUNTA([2]stages!$A:$A),MATCH(H$1,[2]stages!$2:$2,0)-MATCH($G$1,[2]stages!$2:$2,0)+1),MATCH(H$1,[2]stages!$2:$2,0)-MATCH($G$1,[2]stages!$2:$2,0)+1,FALSE)</f>
        <v>【上級】ゴールドカジノ （ハートなし）</v>
      </c>
      <c r="I10" s="43">
        <v>5</v>
      </c>
      <c r="J10" s="44">
        <v>50</v>
      </c>
      <c r="K10" s="44">
        <v>50</v>
      </c>
    </row>
    <row r="11" spans="1:11" ht="21" customHeight="1" x14ac:dyDescent="0.15">
      <c r="A11" s="17" t="str">
        <f t="shared" si="2"/>
        <v>14005_1-1</v>
      </c>
      <c r="B11" s="17" t="str">
        <f>IF(COUNTIF(enemy_habitats!$H:$H,A11),"OK","NG")</f>
        <v>OK</v>
      </c>
      <c r="C11" s="97">
        <v>14005</v>
      </c>
      <c r="D11" s="12" t="str">
        <f ca="1">VLOOKUP($C11,OFFSET([2]quests!$A$1,0,0,COUNTA([2]quests!$A:$A),MATCH(D$1,[2]quests!$1:$1,0)-MATCH($C$1,[2]quests!$1:$1,0)+1),MATCH(D$1,[2]quests!$1:$1,0)-MATCH($C$1,[2]quests!$1:$1,0)+1,FALSE)</f>
        <v>【ロック】ビット/LINEマルチ</v>
      </c>
      <c r="E11" s="22" t="str">
        <f ca="1">VLOOKUP($C11,OFFSET([2]quests!$A$1,0,0,COUNTA([2]quests!$A:$A),MATCH(E$1,[2]quests!$1:$1,0)-MATCH($C$1,[2]quests!$1:$1,0)+1),MATCH(E$1,[2]quests!$1:$1,0)-MATCH($C$1,[2]quests!$1:$1,0)+1,FALSE)</f>
        <v>【ロック】ビット/LINEマルチ</v>
      </c>
      <c r="F11" s="25">
        <v>1</v>
      </c>
      <c r="G11" s="26" t="str">
        <f t="shared" si="3"/>
        <v>14005_1</v>
      </c>
      <c r="H11" s="16" t="str">
        <f ca="1">VLOOKUP($G11,OFFSET([2]stages!$A$1,0,0,COUNTA([2]stages!$A:$A),MATCH(H$1,[2]stages!$2:$2,0)-MATCH($G$1,[2]stages!$2:$2,0)+1),MATCH(H$1,[2]stages!$2:$2,0)-MATCH($G$1,[2]stages!$2:$2,0)+1,FALSE)</f>
        <v>【超級】ハイローラー（ハートなし）</v>
      </c>
      <c r="I11" s="25">
        <v>1</v>
      </c>
      <c r="J11" s="13">
        <v>60</v>
      </c>
      <c r="K11" s="13">
        <v>60</v>
      </c>
    </row>
    <row r="12" spans="1:11" ht="21" customHeight="1" x14ac:dyDescent="0.15">
      <c r="A12" s="17" t="str">
        <f t="shared" ref="A12:A15" si="4">G12&amp;"-"&amp;I12</f>
        <v>14005_1-2</v>
      </c>
      <c r="B12" s="17" t="str">
        <f>IF(COUNTIF(enemy_habitats!$H:$H,A12),"OK","NG")</f>
        <v>OK</v>
      </c>
      <c r="C12" s="97">
        <v>14005</v>
      </c>
      <c r="D12" s="12" t="str">
        <f ca="1">VLOOKUP($C12,OFFSET([2]quests!$A$1,0,0,COUNTA([2]quests!$A:$A),MATCH(D$1,[2]quests!$1:$1,0)-MATCH($C$1,[2]quests!$1:$1,0)+1),MATCH(D$1,[2]quests!$1:$1,0)-MATCH($C$1,[2]quests!$1:$1,0)+1,FALSE)</f>
        <v>【ロック】ビット/LINEマルチ</v>
      </c>
      <c r="E12" s="22" t="str">
        <f ca="1">VLOOKUP($C12,OFFSET([2]quests!$A$1,0,0,COUNTA([2]quests!$A:$A),MATCH(E$1,[2]quests!$1:$1,0)-MATCH($C$1,[2]quests!$1:$1,0)+1),MATCH(E$1,[2]quests!$1:$1,0)-MATCH($C$1,[2]quests!$1:$1,0)+1,FALSE)</f>
        <v>【ロック】ビット/LINEマルチ</v>
      </c>
      <c r="F12" s="25">
        <v>1</v>
      </c>
      <c r="G12" s="26" t="str">
        <f t="shared" ref="G12:G15" si="5">C12&amp;"_"&amp;F12</f>
        <v>14005_1</v>
      </c>
      <c r="H12" s="16" t="str">
        <f ca="1">VLOOKUP($G12,OFFSET([2]stages!$A$1,0,0,COUNTA([2]stages!$A:$A),MATCH(H$1,[2]stages!$2:$2,0)-MATCH($G$1,[2]stages!$2:$2,0)+1),MATCH(H$1,[2]stages!$2:$2,0)-MATCH($G$1,[2]stages!$2:$2,0)+1,FALSE)</f>
        <v>【超級】ハイローラー（ハートなし）</v>
      </c>
      <c r="I12" s="25">
        <v>2</v>
      </c>
      <c r="J12" s="13">
        <v>30</v>
      </c>
      <c r="K12" s="13">
        <v>60</v>
      </c>
    </row>
    <row r="13" spans="1:11" ht="21" customHeight="1" x14ac:dyDescent="0.15">
      <c r="A13" s="17" t="str">
        <f t="shared" si="4"/>
        <v>14005_1-3</v>
      </c>
      <c r="B13" s="17" t="str">
        <f>IF(COUNTIF(enemy_habitats!$H:$H,A13),"OK","NG")</f>
        <v>OK</v>
      </c>
      <c r="C13" s="97">
        <v>14005</v>
      </c>
      <c r="D13" s="12" t="str">
        <f ca="1">VLOOKUP($C13,OFFSET([2]quests!$A$1,0,0,COUNTA([2]quests!$A:$A),MATCH(D$1,[2]quests!$1:$1,0)-MATCH($C$1,[2]quests!$1:$1,0)+1),MATCH(D$1,[2]quests!$1:$1,0)-MATCH($C$1,[2]quests!$1:$1,0)+1,FALSE)</f>
        <v>【ロック】ビット/LINEマルチ</v>
      </c>
      <c r="E13" s="22" t="str">
        <f ca="1">VLOOKUP($C13,OFFSET([2]quests!$A$1,0,0,COUNTA([2]quests!$A:$A),MATCH(E$1,[2]quests!$1:$1,0)-MATCH($C$1,[2]quests!$1:$1,0)+1),MATCH(E$1,[2]quests!$1:$1,0)-MATCH($C$1,[2]quests!$1:$1,0)+1,FALSE)</f>
        <v>【ロック】ビット/LINEマルチ</v>
      </c>
      <c r="F13" s="25">
        <v>1</v>
      </c>
      <c r="G13" s="26" t="str">
        <f t="shared" si="5"/>
        <v>14005_1</v>
      </c>
      <c r="H13" s="16" t="str">
        <f ca="1">VLOOKUP($G13,OFFSET([2]stages!$A$1,0,0,COUNTA([2]stages!$A:$A),MATCH(H$1,[2]stages!$2:$2,0)-MATCH($G$1,[2]stages!$2:$2,0)+1),MATCH(H$1,[2]stages!$2:$2,0)-MATCH($G$1,[2]stages!$2:$2,0)+1,FALSE)</f>
        <v>【超級】ハイローラー（ハートなし）</v>
      </c>
      <c r="I13" s="25">
        <v>3</v>
      </c>
      <c r="J13" s="13">
        <v>30</v>
      </c>
      <c r="K13" s="13">
        <v>40</v>
      </c>
    </row>
    <row r="14" spans="1:11" ht="21" customHeight="1" x14ac:dyDescent="0.15">
      <c r="A14" s="17" t="str">
        <f t="shared" si="4"/>
        <v>14005_1-4</v>
      </c>
      <c r="B14" s="17" t="str">
        <f>IF(COUNTIF(enemy_habitats!$H:$H,A14),"OK","NG")</f>
        <v>OK</v>
      </c>
      <c r="C14" s="97">
        <v>14005</v>
      </c>
      <c r="D14" s="12" t="str">
        <f ca="1">VLOOKUP($C14,OFFSET([2]quests!$A$1,0,0,COUNTA([2]quests!$A:$A),MATCH(D$1,[2]quests!$1:$1,0)-MATCH($C$1,[2]quests!$1:$1,0)+1),MATCH(D$1,[2]quests!$1:$1,0)-MATCH($C$1,[2]quests!$1:$1,0)+1,FALSE)</f>
        <v>【ロック】ビット/LINEマルチ</v>
      </c>
      <c r="E14" s="22" t="str">
        <f ca="1">VLOOKUP($C14,OFFSET([2]quests!$A$1,0,0,COUNTA([2]quests!$A:$A),MATCH(E$1,[2]quests!$1:$1,0)-MATCH($C$1,[2]quests!$1:$1,0)+1),MATCH(E$1,[2]quests!$1:$1,0)-MATCH($C$1,[2]quests!$1:$1,0)+1,FALSE)</f>
        <v>【ロック】ビット/LINEマルチ</v>
      </c>
      <c r="F14" s="25">
        <v>1</v>
      </c>
      <c r="G14" s="26" t="str">
        <f t="shared" si="5"/>
        <v>14005_1</v>
      </c>
      <c r="H14" s="16" t="str">
        <f ca="1">VLOOKUP($G14,OFFSET([2]stages!$A$1,0,0,COUNTA([2]stages!$A:$A),MATCH(H$1,[2]stages!$2:$2,0)-MATCH($G$1,[2]stages!$2:$2,0)+1),MATCH(H$1,[2]stages!$2:$2,0)-MATCH($G$1,[2]stages!$2:$2,0)+1,FALSE)</f>
        <v>【超級】ハイローラー（ハートなし）</v>
      </c>
      <c r="I14" s="25">
        <v>4</v>
      </c>
      <c r="J14" s="13">
        <v>40</v>
      </c>
      <c r="K14" s="13">
        <v>40</v>
      </c>
    </row>
    <row r="15" spans="1:11" ht="21" customHeight="1" x14ac:dyDescent="0.15">
      <c r="A15" s="17" t="str">
        <f t="shared" si="4"/>
        <v>14005_1-5</v>
      </c>
      <c r="B15" s="17" t="str">
        <f>IF(COUNTIF(enemy_habitats!$H:$H,A15),"OK","NG")</f>
        <v>OK</v>
      </c>
      <c r="C15" s="97">
        <v>14005</v>
      </c>
      <c r="D15" s="12" t="str">
        <f ca="1">VLOOKUP($C15,OFFSET([2]quests!$A$1,0,0,COUNTA([2]quests!$A:$A),MATCH(D$1,[2]quests!$1:$1,0)-MATCH($C$1,[2]quests!$1:$1,0)+1),MATCH(D$1,[2]quests!$1:$1,0)-MATCH($C$1,[2]quests!$1:$1,0)+1,FALSE)</f>
        <v>【ロック】ビット/LINEマルチ</v>
      </c>
      <c r="E15" s="22" t="str">
        <f ca="1">VLOOKUP($C15,OFFSET([2]quests!$A$1,0,0,COUNTA([2]quests!$A:$A),MATCH(E$1,[2]quests!$1:$1,0)-MATCH($C$1,[2]quests!$1:$1,0)+1),MATCH(E$1,[2]quests!$1:$1,0)-MATCH($C$1,[2]quests!$1:$1,0)+1,FALSE)</f>
        <v>【ロック】ビット/LINEマルチ</v>
      </c>
      <c r="F15" s="25">
        <v>1</v>
      </c>
      <c r="G15" s="26" t="str">
        <f t="shared" si="5"/>
        <v>14005_1</v>
      </c>
      <c r="H15" s="16" t="str">
        <f ca="1">VLOOKUP($G15,OFFSET([2]stages!$A$1,0,0,COUNTA([2]stages!$A:$A),MATCH(H$1,[2]stages!$2:$2,0)-MATCH($G$1,[2]stages!$2:$2,0)+1),MATCH(H$1,[2]stages!$2:$2,0)-MATCH($G$1,[2]stages!$2:$2,0)+1,FALSE)</f>
        <v>【超級】ハイローラー（ハートなし）</v>
      </c>
      <c r="I15" s="25">
        <v>5</v>
      </c>
      <c r="J15" s="13">
        <v>60</v>
      </c>
      <c r="K15" s="13">
        <v>60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M72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K8" sqref="K8"/>
    </sheetView>
  </sheetViews>
  <sheetFormatPr baseColWidth="12" defaultColWidth="13" defaultRowHeight="21" customHeight="1" outlineLevelCol="1" x14ac:dyDescent="0.15"/>
  <cols>
    <col min="1" max="1" width="12.5" style="23" bestFit="1" customWidth="1"/>
    <col min="2" max="2" width="12.5" style="4" bestFit="1" customWidth="1"/>
    <col min="3" max="3" width="12.33203125" style="4" bestFit="1" customWidth="1" collapsed="1"/>
    <col min="4" max="4" width="14.6640625" style="15" hidden="1" customWidth="1" outlineLevel="1"/>
    <col min="5" max="6" width="15.6640625" style="4" hidden="1" customWidth="1" outlineLevel="1"/>
    <col min="7" max="7" width="11.83203125" style="4" bestFit="1" customWidth="1" collapsed="1"/>
    <col min="8" max="8" width="11.83203125" style="4" hidden="1" customWidth="1" outlineLevel="1"/>
    <col min="9" max="10" width="12.33203125" style="4" hidden="1" customWidth="1" outlineLevel="1"/>
    <col min="11" max="11" width="13" style="4"/>
    <col min="12" max="12" width="15.33203125" style="10" bestFit="1" customWidth="1"/>
    <col min="13" max="13" width="17.6640625" style="4" customWidth="1"/>
    <col min="14" max="14" width="10.33203125" style="4" customWidth="1" outlineLevel="1"/>
    <col min="15" max="15" width="13.6640625" style="4" customWidth="1" outlineLevel="1"/>
    <col min="16" max="16" width="24.6640625" style="4" customWidth="1" outlineLevel="1"/>
    <col min="17" max="17" width="11.6640625" style="4" customWidth="1" outlineLevel="1"/>
    <col min="18" max="18" width="10.1640625" style="4" bestFit="1" customWidth="1"/>
    <col min="19" max="19" width="14.83203125" style="4" bestFit="1" customWidth="1"/>
    <col min="20" max="20" width="17.5" style="4" bestFit="1" customWidth="1"/>
    <col min="21" max="21" width="18.33203125" style="4" bestFit="1" customWidth="1"/>
    <col min="22" max="22" width="39.33203125" style="4" customWidth="1"/>
    <col min="23" max="23" width="14" style="4" customWidth="1" outlineLevel="1"/>
    <col min="24" max="24" width="13" style="4" bestFit="1" customWidth="1"/>
    <col min="25" max="25" width="13.5" style="4" bestFit="1" customWidth="1"/>
    <col min="26" max="26" width="12.33203125" style="4" bestFit="1" customWidth="1"/>
    <col min="27" max="27" width="11" style="4" bestFit="1" customWidth="1"/>
    <col min="28" max="28" width="14.83203125" style="4" bestFit="1" customWidth="1"/>
    <col min="29" max="29" width="17.6640625" style="14" customWidth="1" outlineLevel="1"/>
    <col min="30" max="31" width="13.6640625" style="15" customWidth="1" outlineLevel="1"/>
    <col min="32" max="32" width="16.83203125" style="11" bestFit="1" customWidth="1" collapsed="1"/>
    <col min="33" max="34" width="16.5" style="4" bestFit="1" customWidth="1"/>
    <col min="35" max="35" width="15.33203125" style="4" customWidth="1"/>
    <col min="36" max="16384" width="13" style="4"/>
  </cols>
  <sheetData>
    <row r="1" spans="1:39" ht="21" customHeight="1" x14ac:dyDescent="0.15">
      <c r="A1" s="17" t="s">
        <v>28</v>
      </c>
      <c r="B1" s="1" t="s">
        <v>0</v>
      </c>
      <c r="C1" s="1" t="s">
        <v>1</v>
      </c>
      <c r="D1" s="16" t="s">
        <v>27</v>
      </c>
      <c r="E1" s="2" t="s">
        <v>20</v>
      </c>
      <c r="F1" s="2" t="s">
        <v>20</v>
      </c>
      <c r="G1" s="1" t="s">
        <v>19</v>
      </c>
      <c r="H1" s="16" t="s">
        <v>34</v>
      </c>
      <c r="I1" s="38" t="s">
        <v>14</v>
      </c>
      <c r="J1" s="38" t="s">
        <v>15</v>
      </c>
      <c r="K1" s="1" t="s">
        <v>143</v>
      </c>
      <c r="L1" s="1" t="s">
        <v>2</v>
      </c>
      <c r="M1" s="19" t="s">
        <v>21</v>
      </c>
      <c r="N1" s="16" t="s">
        <v>23</v>
      </c>
      <c r="O1" s="16" t="s">
        <v>46</v>
      </c>
      <c r="P1" s="21" t="s">
        <v>25</v>
      </c>
      <c r="Q1" s="2" t="s">
        <v>24</v>
      </c>
      <c r="R1" s="1" t="s">
        <v>3</v>
      </c>
      <c r="S1" s="28" t="s">
        <v>47</v>
      </c>
      <c r="T1" s="28" t="s">
        <v>48</v>
      </c>
      <c r="U1" s="28" t="s">
        <v>49</v>
      </c>
      <c r="V1" s="16" t="s">
        <v>30</v>
      </c>
      <c r="W1" s="1" t="s">
        <v>4</v>
      </c>
      <c r="X1" s="1" t="s">
        <v>5</v>
      </c>
      <c r="Y1" s="1" t="s">
        <v>6</v>
      </c>
      <c r="Z1" s="1" t="s">
        <v>7</v>
      </c>
      <c r="AA1" s="1" t="s">
        <v>8</v>
      </c>
      <c r="AB1" s="3" t="s">
        <v>9</v>
      </c>
      <c r="AC1" s="18" t="s">
        <v>16</v>
      </c>
      <c r="AD1" s="18" t="s">
        <v>17</v>
      </c>
      <c r="AE1" s="18" t="s">
        <v>26</v>
      </c>
      <c r="AF1" s="3" t="s">
        <v>10</v>
      </c>
      <c r="AG1" s="1" t="s">
        <v>11</v>
      </c>
      <c r="AH1" s="1" t="s">
        <v>12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45</v>
      </c>
    </row>
    <row r="2" spans="1:39" ht="21" customHeight="1" x14ac:dyDescent="0.15">
      <c r="A2" s="17" t="str">
        <f t="shared" ref="A2:A3" si="0">B2&amp;"_"&amp;C2&amp;"-"&amp;G2&amp;"/"&amp;L2&amp;"&lt;lv"&amp;R2&amp;"&gt;s"&amp;AA2</f>
        <v>14002_1-1/119&lt;lv1&gt;s2</v>
      </c>
      <c r="B2" s="117">
        <v>14002</v>
      </c>
      <c r="C2" s="25">
        <v>1</v>
      </c>
      <c r="D2" s="25" t="str">
        <f t="shared" ref="D2:D3" si="1">B2&amp;"_"&amp;C2</f>
        <v>14002_1</v>
      </c>
      <c r="E2" s="57" t="str">
        <f ca="1">VLOOKUP($B2,OFFSET([2]quests!$A$1,0,0,COUNTA([2]quests!$A:$A),MATCH(E$1,[2]quests!$1:$1,0)-MATCH($B$1,[2]quests!$1:$1,0)+1),MATCH(E$1,[2]quests!$1:$1,0)-MATCH($B$1,[2]quests!$1:$1,0)+1,FALSE)</f>
        <v>【ロック】ビット/ソロ</v>
      </c>
      <c r="F2" s="57" t="str">
        <f ca="1">VLOOKUP($D2,OFFSET([2]stages!$A$1,0,0,COUNTA([2]stages!$A:$A),MATCH(F$1,[2]stages!$2:$2,0)-MATCH($D$1,[2]stages!$2:$2,0)+1),MATCH(F$1,[2]stages!$2:$2,0)-MATCH($D$1,[2]stages!$2:$2,0)+1,FALSE)</f>
        <v>【超級】ハイローラー（ハートなし）</v>
      </c>
      <c r="G2" s="25">
        <v>1</v>
      </c>
      <c r="H2" s="16" t="str">
        <f t="shared" ref="H2:H3" si="2">B2&amp;"_"&amp;C2&amp;"-"&amp;G2</f>
        <v>14002_1-1</v>
      </c>
      <c r="I2" s="5">
        <f ca="1">VLOOKUP($H2,OFFSET(floors!$A$1,0,0,COUNTA(floors!$A:$A),MATCH(I$1,floors!$1:$1,0)-MATCH($H$1,floors!$1:$1,0)+1),MATCH(I$1,floors!$1:$1,0)-MATCH($H$1,floors!$1:$1,0)+1,FALSE)</f>
        <v>40</v>
      </c>
      <c r="J2" s="5">
        <f ca="1">VLOOKUP($H2,OFFSET(floors!$A$1,0,0,COUNTA(floors!$A:$A),MATCH(J$1,floors!$1:$1,0)-MATCH($H$1,floors!$1:$1,0)+1),MATCH(J$1,floors!$1:$1,0)-MATCH($H$1,floors!$1:$1,0)+1,FALSE)</f>
        <v>40</v>
      </c>
      <c r="K2" s="8" t="s">
        <v>142</v>
      </c>
      <c r="L2" s="24">
        <v>119</v>
      </c>
      <c r="M2" s="20" t="str">
        <f ca="1">VLOOKUP($L2,OFFSET([4]enemies!$A$1,0,0,COUNTA([4]enemies!$A:$A),MATCH(M$1,[4]enemies!$1:$1,0)-MATCH($L$1,[4]enemies!$1:$1,0)+1),MATCH(M$1,[4]enemies!$1:$1,0)-MATCH($L$1,[4]enemies!$1:$1,0)+1,FALSE)</f>
        <v>ゴールドダック</v>
      </c>
      <c r="N2" s="20" t="str">
        <f ca="1">VLOOKUP($L2,OFFSET([4]enemies!$A$1,0,0,COUNTA([4]enemies!$A:$A),MATCH(N$1,[4]enemies!$1:$1,0)-MATCH($L$1,[4]enemies!$1:$1,0)+1),MATCH(N$1,[4]enemies!$1:$1,0)-MATCH($L$1,[4]enemies!$1:$1,0)+1,FALSE)</f>
        <v>yellow</v>
      </c>
      <c r="O2" s="20" t="str">
        <f ca="1">VLOOKUP($L2,OFFSET([5]characters!$A$1,0,0,COUNTA([5]characters!$A:$A),MATCH(O$1,[5]characters!$1:$1,0)-MATCH($L$1,[5]characters!$1:$1,0)+1),MATCH(O$1,[5]characters!$1:$1,0)-MATCH($L$1,[5]characters!$1:$1,0)+1,FALSE)</f>
        <v>Material</v>
      </c>
      <c r="P2" s="20" t="str">
        <f ca="1">VLOOKUP($L2,OFFSET([4]enemies!$A$1,0,0,COUNTA([4]enemies!$A:$A),MATCH(P$1,[4]enemies!$1:$1,0)-MATCH($L$1,[4]enemies!$1:$1,0)+1),MATCH(P$1,[4]enemies!$1:$1,0)-MATCH($L$1,[4]enemies!$1:$1,0)+1,FALSE)</f>
        <v>unknown</v>
      </c>
      <c r="Q2" s="20">
        <f ca="1">VLOOKUP($L2,OFFSET([4]enemies!$A$1,0,0,COUNTA([4]enemies!$A:$A),MATCH(Q$1,[4]enemies!$1:$1,0)-MATCH($L$1,[4]enemies!$1:$1,0)+1),MATCH(Q$1,[4]enemies!$1:$1,0)-MATCH($L$1,[4]enemies!$1:$1,0)+1,FALSE)</f>
        <v>20</v>
      </c>
      <c r="R2" s="6">
        <v>1</v>
      </c>
      <c r="S2" s="29">
        <v>99.9</v>
      </c>
      <c r="T2" s="29">
        <v>99.9</v>
      </c>
      <c r="U2" s="6">
        <v>0</v>
      </c>
      <c r="V2" s="5" t="str">
        <f ca="1">VLOOKUP($W2,OFFSET(enemy_skill_sets!$B$1,0,0,COUNTA(enemy_skill_sets!$B:$B),MATCH(M$1,enemy_skill_sets!$1:$1,0)-MATCH($W$1,enemy_skill_sets!$1:$1,0)+2),MATCH(M$1,enemy_skill_sets!$1:$1,0)-MATCH($W$1,enemy_skill_sets!$1:$1,0)+2,FALSE)</f>
        <v>[表示しない]</v>
      </c>
      <c r="W2" s="57">
        <v>14002200</v>
      </c>
      <c r="X2" s="7">
        <v>1</v>
      </c>
      <c r="Y2" s="7">
        <v>100</v>
      </c>
      <c r="Z2" s="7">
        <v>0</v>
      </c>
      <c r="AA2" s="58">
        <v>2</v>
      </c>
      <c r="AB2" s="2">
        <f t="shared" ref="AB2:AB3" si="3">L2</f>
        <v>119</v>
      </c>
      <c r="AC2" s="5" t="str">
        <f ca="1">VLOOKUP($AB2,OFFSET([5]characters!$A$1,0,0,COUNTA([5]characters!$A:$A),MATCH(AC$1,[5]characters!$1:$1,0)-MATCH("character_id",[5]characters!$1:$1,0)+1),MATCH(AC$1,[5]characters!$1:$1,0)-MATCH("character_id",[5]characters!$1:$1,0)+1,FALSE)</f>
        <v>ゴールドダック</v>
      </c>
      <c r="AD2" s="5">
        <f ca="1">VLOOKUP($AB2,OFFSET([5]characters!$A$1,0,0,COUNTA([5]characters!$A:$A),MATCH(AD$1,[5]characters!$1:$1,0)-MATCH("character_id",[5]characters!$1:$1,0)+1),MATCH(AD$1,[5]characters!$1:$1,0)-MATCH("character_id",[5]characters!$1:$1,0)+1,FALSE)</f>
        <v>5</v>
      </c>
      <c r="AE2" s="5" t="str">
        <f ca="1">VLOOKUP($AB2,OFFSET([5]characters!$A$1,0,0,COUNTA([5]characters!$A:$A),MATCH(AE$1,[5]characters!$1:$1,0)-MATCH("character_id",[5]characters!$1:$1,0)+1),MATCH(AE$1,[5]characters!$1:$1,0)-MATCH("character_id",[5]characters!$1:$1,0)+1,FALSE)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2" s="8">
        <v>1</v>
      </c>
      <c r="AG2" s="27">
        <f t="shared" ref="AG2:AG3" ca="1" si="4">AD2</f>
        <v>5</v>
      </c>
      <c r="AH2" s="9">
        <v>100</v>
      </c>
      <c r="AI2" s="8">
        <v>0</v>
      </c>
      <c r="AJ2" s="8">
        <v>0</v>
      </c>
      <c r="AK2" s="8">
        <v>0</v>
      </c>
      <c r="AL2" s="8">
        <v>0</v>
      </c>
      <c r="AM2" s="8">
        <v>1</v>
      </c>
    </row>
    <row r="3" spans="1:39" ht="21" customHeight="1" x14ac:dyDescent="0.15">
      <c r="A3" s="17" t="str">
        <f t="shared" si="0"/>
        <v>14002_1-1/119&lt;lv2&gt;s2</v>
      </c>
      <c r="B3" s="117">
        <v>14002</v>
      </c>
      <c r="C3" s="170">
        <v>1</v>
      </c>
      <c r="D3" s="170" t="str">
        <f t="shared" si="1"/>
        <v>14002_1</v>
      </c>
      <c r="E3" s="171" t="str">
        <f ca="1">VLOOKUP($B3,OFFSET([2]quests!$A$1,0,0,COUNTA([2]quests!$A:$A),MATCH(E$1,[2]quests!$1:$1,0)-MATCH($B$1,[2]quests!$1:$1,0)+1),MATCH(E$1,[2]quests!$1:$1,0)-MATCH($B$1,[2]quests!$1:$1,0)+1,FALSE)</f>
        <v>【ロック】ビット/ソロ</v>
      </c>
      <c r="F3" s="171" t="str">
        <f ca="1">VLOOKUP($D3,OFFSET([2]stages!$A$1,0,0,COUNTA([2]stages!$A:$A),MATCH(F$1,[2]stages!$2:$2,0)-MATCH($D$1,[2]stages!$2:$2,0)+1),MATCH(F$1,[2]stages!$2:$2,0)-MATCH($D$1,[2]stages!$2:$2,0)+1,FALSE)</f>
        <v>【超級】ハイローラー（ハートなし）</v>
      </c>
      <c r="G3" s="170">
        <v>1</v>
      </c>
      <c r="H3" s="172" t="str">
        <f t="shared" si="2"/>
        <v>14002_1-1</v>
      </c>
      <c r="I3" s="171">
        <f ca="1">VLOOKUP($H3,OFFSET(floors!$A$1,0,0,COUNTA(floors!$A:$A),MATCH(I$1,floors!$1:$1,0)-MATCH($H$1,floors!$1:$1,0)+1),MATCH(I$1,floors!$1:$1,0)-MATCH($H$1,floors!$1:$1,0)+1,FALSE)</f>
        <v>40</v>
      </c>
      <c r="J3" s="171">
        <f ca="1">VLOOKUP($H3,OFFSET(floors!$A$1,0,0,COUNTA(floors!$A:$A),MATCH(J$1,floors!$1:$1,0)-MATCH($H$1,floors!$1:$1,0)+1),MATCH(J$1,floors!$1:$1,0)-MATCH($H$1,floors!$1:$1,0)+1,FALSE)</f>
        <v>40</v>
      </c>
      <c r="K3" s="173" t="s">
        <v>142</v>
      </c>
      <c r="L3" s="170">
        <v>119</v>
      </c>
      <c r="M3" s="20" t="str">
        <f ca="1">VLOOKUP($L3,OFFSET([4]enemies!$A$1,0,0,COUNTA([4]enemies!$A:$A),MATCH(M$1,[4]enemies!$1:$1,0)-MATCH($L$1,[4]enemies!$1:$1,0)+1),MATCH(M$1,[4]enemies!$1:$1,0)-MATCH($L$1,[4]enemies!$1:$1,0)+1,FALSE)</f>
        <v>ゴールドダック</v>
      </c>
      <c r="N3" s="20" t="str">
        <f ca="1">VLOOKUP($L3,OFFSET([4]enemies!$A$1,0,0,COUNTA([4]enemies!$A:$A),MATCH(N$1,[4]enemies!$1:$1,0)-MATCH($L$1,[4]enemies!$1:$1,0)+1),MATCH(N$1,[4]enemies!$1:$1,0)-MATCH($L$1,[4]enemies!$1:$1,0)+1,FALSE)</f>
        <v>yellow</v>
      </c>
      <c r="O3" s="20" t="str">
        <f ca="1">VLOOKUP($L3,OFFSET([5]characters!$A$1,0,0,COUNTA([5]characters!$A:$A),MATCH(O$1,[5]characters!$1:$1,0)-MATCH($L$1,[5]characters!$1:$1,0)+1),MATCH(O$1,[5]characters!$1:$1,0)-MATCH($L$1,[5]characters!$1:$1,0)+1,FALSE)</f>
        <v>Material</v>
      </c>
      <c r="P3" s="20" t="str">
        <f ca="1">VLOOKUP($L3,OFFSET([4]enemies!$A$1,0,0,COUNTA([4]enemies!$A:$A),MATCH(P$1,[4]enemies!$1:$1,0)-MATCH($L$1,[4]enemies!$1:$1,0)+1),MATCH(P$1,[4]enemies!$1:$1,0)-MATCH($L$1,[4]enemies!$1:$1,0)+1,FALSE)</f>
        <v>unknown</v>
      </c>
      <c r="Q3" s="20">
        <f ca="1">VLOOKUP($L3,OFFSET([4]enemies!$A$1,0,0,COUNTA([4]enemies!$A:$A),MATCH(Q$1,[4]enemies!$1:$1,0)-MATCH($L$1,[4]enemies!$1:$1,0)+1),MATCH(Q$1,[4]enemies!$1:$1,0)-MATCH($L$1,[4]enemies!$1:$1,0)+1,FALSE)</f>
        <v>20</v>
      </c>
      <c r="R3" s="175">
        <v>2</v>
      </c>
      <c r="S3" s="174">
        <v>70</v>
      </c>
      <c r="T3" s="174">
        <v>70</v>
      </c>
      <c r="U3" s="175">
        <v>0</v>
      </c>
      <c r="V3" s="5" t="str">
        <f ca="1">VLOOKUP($W3,OFFSET(enemy_skill_sets!$B$1,0,0,COUNTA(enemy_skill_sets!$B:$B),MATCH(M$1,enemy_skill_sets!$1:$1,0)-MATCH($W$1,enemy_skill_sets!$1:$1,0)+2),MATCH(M$1,enemy_skill_sets!$1:$1,0)-MATCH($W$1,enemy_skill_sets!$1:$1,0)+2,FALSE)</f>
        <v>確率でボムパネルをドロップ</v>
      </c>
      <c r="W3" s="171">
        <v>14002210</v>
      </c>
      <c r="X3" s="176">
        <v>0</v>
      </c>
      <c r="Y3" s="176">
        <v>52</v>
      </c>
      <c r="Z3" s="176">
        <v>1</v>
      </c>
      <c r="AA3" s="177">
        <v>2</v>
      </c>
      <c r="AB3" s="2">
        <f t="shared" si="3"/>
        <v>119</v>
      </c>
      <c r="AC3" s="5" t="str">
        <f ca="1">VLOOKUP($AB3,OFFSET([5]characters!$A$1,0,0,COUNTA([5]characters!$A:$A),MATCH(AC$1,[5]characters!$1:$1,0)-MATCH("character_id",[5]characters!$1:$1,0)+1),MATCH(AC$1,[5]characters!$1:$1,0)-MATCH("character_id",[5]characters!$1:$1,0)+1,FALSE)</f>
        <v>ゴールドダック</v>
      </c>
      <c r="AD3" s="5">
        <f ca="1">VLOOKUP($AB3,OFFSET([5]characters!$A$1,0,0,COUNTA([5]characters!$A:$A),MATCH(AD$1,[5]characters!$1:$1,0)-MATCH("character_id",[5]characters!$1:$1,0)+1),MATCH(AD$1,[5]characters!$1:$1,0)-MATCH("character_id",[5]characters!$1:$1,0)+1,FALSE)</f>
        <v>5</v>
      </c>
      <c r="AE3" s="5" t="str">
        <f ca="1">VLOOKUP($AB3,OFFSET([5]characters!$A$1,0,0,COUNTA([5]characters!$A:$A),MATCH(AE$1,[5]characters!$1:$1,0)-MATCH("character_id",[5]characters!$1:$1,0)+1),MATCH(AE$1,[5]characters!$1:$1,0)-MATCH("character_id",[5]characters!$1:$1,0)+1,FALSE)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3" s="8">
        <v>1</v>
      </c>
      <c r="AG3" s="27">
        <f t="shared" ca="1" si="4"/>
        <v>5</v>
      </c>
      <c r="AH3" s="181">
        <v>0</v>
      </c>
      <c r="AI3" s="8">
        <v>0</v>
      </c>
      <c r="AJ3" s="8">
        <v>0</v>
      </c>
      <c r="AK3" s="8">
        <v>0</v>
      </c>
      <c r="AL3" s="8">
        <v>0</v>
      </c>
      <c r="AM3" s="8">
        <v>1</v>
      </c>
    </row>
    <row r="4" spans="1:39" ht="21" customHeight="1" x14ac:dyDescent="0.15">
      <c r="A4" s="17" t="str">
        <f t="shared" ref="A4:A5" si="5">B4&amp;"_"&amp;C4&amp;"-"&amp;G4&amp;"/"&amp;L4&amp;"&lt;lv"&amp;R4&amp;"&gt;s"&amp;AA4</f>
        <v>14002_1-1/119&lt;lv3&gt;s2</v>
      </c>
      <c r="B4" s="117">
        <v>14002</v>
      </c>
      <c r="C4" s="170">
        <v>1</v>
      </c>
      <c r="D4" s="170" t="str">
        <f t="shared" ref="D4:D5" si="6">B4&amp;"_"&amp;C4</f>
        <v>14002_1</v>
      </c>
      <c r="E4" s="171" t="str">
        <f ca="1">VLOOKUP($B4,OFFSET([2]quests!$A$1,0,0,COUNTA([2]quests!$A:$A),MATCH(E$1,[2]quests!$1:$1,0)-MATCH($B$1,[2]quests!$1:$1,0)+1),MATCH(E$1,[2]quests!$1:$1,0)-MATCH($B$1,[2]quests!$1:$1,0)+1,FALSE)</f>
        <v>【ロック】ビット/ソロ</v>
      </c>
      <c r="F4" s="171" t="str">
        <f ca="1">VLOOKUP($D4,OFFSET([2]stages!$A$1,0,0,COUNTA([2]stages!$A:$A),MATCH(F$1,[2]stages!$2:$2,0)-MATCH($D$1,[2]stages!$2:$2,0)+1),MATCH(F$1,[2]stages!$2:$2,0)-MATCH($D$1,[2]stages!$2:$2,0)+1,FALSE)</f>
        <v>【超級】ハイローラー（ハートなし）</v>
      </c>
      <c r="G4" s="170">
        <v>1</v>
      </c>
      <c r="H4" s="172" t="str">
        <f t="shared" ref="H4:H5" si="7">B4&amp;"_"&amp;C4&amp;"-"&amp;G4</f>
        <v>14002_1-1</v>
      </c>
      <c r="I4" s="171">
        <f ca="1">VLOOKUP($H4,OFFSET(floors!$A$1,0,0,COUNTA(floors!$A:$A),MATCH(I$1,floors!$1:$1,0)-MATCH($H$1,floors!$1:$1,0)+1),MATCH(I$1,floors!$1:$1,0)-MATCH($H$1,floors!$1:$1,0)+1,FALSE)</f>
        <v>40</v>
      </c>
      <c r="J4" s="171">
        <f ca="1">VLOOKUP($H4,OFFSET(floors!$A$1,0,0,COUNTA(floors!$A:$A),MATCH(J$1,floors!$1:$1,0)-MATCH($H$1,floors!$1:$1,0)+1),MATCH(J$1,floors!$1:$1,0)-MATCH($H$1,floors!$1:$1,0)+1,FALSE)</f>
        <v>40</v>
      </c>
      <c r="K4" s="173" t="s">
        <v>142</v>
      </c>
      <c r="L4" s="170">
        <v>119</v>
      </c>
      <c r="M4" s="20" t="str">
        <f ca="1">VLOOKUP($L4,OFFSET([4]enemies!$A$1,0,0,COUNTA([4]enemies!$A:$A),MATCH(M$1,[4]enemies!$1:$1,0)-MATCH($L$1,[4]enemies!$1:$1,0)+1),MATCH(M$1,[4]enemies!$1:$1,0)-MATCH($L$1,[4]enemies!$1:$1,0)+1,FALSE)</f>
        <v>ゴールドダック</v>
      </c>
      <c r="N4" s="20" t="str">
        <f ca="1">VLOOKUP($L4,OFFSET([4]enemies!$A$1,0,0,COUNTA([4]enemies!$A:$A),MATCH(N$1,[4]enemies!$1:$1,0)-MATCH($L$1,[4]enemies!$1:$1,0)+1),MATCH(N$1,[4]enemies!$1:$1,0)-MATCH($L$1,[4]enemies!$1:$1,0)+1,FALSE)</f>
        <v>yellow</v>
      </c>
      <c r="O4" s="20" t="str">
        <f ca="1">VLOOKUP($L4,OFFSET([5]characters!$A$1,0,0,COUNTA([5]characters!$A:$A),MATCH(O$1,[5]characters!$1:$1,0)-MATCH($L$1,[5]characters!$1:$1,0)+1),MATCH(O$1,[5]characters!$1:$1,0)-MATCH($L$1,[5]characters!$1:$1,0)+1,FALSE)</f>
        <v>Material</v>
      </c>
      <c r="P4" s="20" t="str">
        <f ca="1">VLOOKUP($L4,OFFSET([4]enemies!$A$1,0,0,COUNTA([4]enemies!$A:$A),MATCH(P$1,[4]enemies!$1:$1,0)-MATCH($L$1,[4]enemies!$1:$1,0)+1),MATCH(P$1,[4]enemies!$1:$1,0)-MATCH($L$1,[4]enemies!$1:$1,0)+1,FALSE)</f>
        <v>unknown</v>
      </c>
      <c r="Q4" s="20">
        <f ca="1">VLOOKUP($L4,OFFSET([4]enemies!$A$1,0,0,COUNTA([4]enemies!$A:$A),MATCH(Q$1,[4]enemies!$1:$1,0)-MATCH($L$1,[4]enemies!$1:$1,0)+1),MATCH(Q$1,[4]enemies!$1:$1,0)-MATCH($L$1,[4]enemies!$1:$1,0)+1,FALSE)</f>
        <v>20</v>
      </c>
      <c r="R4" s="175">
        <v>3</v>
      </c>
      <c r="S4" s="174">
        <v>55</v>
      </c>
      <c r="T4" s="174">
        <v>53</v>
      </c>
      <c r="U4" s="175">
        <v>0</v>
      </c>
      <c r="V4" s="5" t="str">
        <f ca="1">VLOOKUP($W4,OFFSET(enemy_skill_sets!$B$1,0,0,COUNTA(enemy_skill_sets!$B:$B),MATCH(M$1,enemy_skill_sets!$1:$1,0)-MATCH($W$1,enemy_skill_sets!$1:$1,0)+2),MATCH(M$1,enemy_skill_sets!$1:$1,0)-MATCH($W$1,enemy_skill_sets!$1:$1,0)+2,FALSE)</f>
        <v>全ユニットのスキルゲージを1ターン減少+_x000D_確率で先頭ユニットのCパネルをドロップ</v>
      </c>
      <c r="W4" s="171">
        <v>14002220</v>
      </c>
      <c r="X4" s="176">
        <v>0</v>
      </c>
      <c r="Y4" s="176">
        <v>33</v>
      </c>
      <c r="Z4" s="176">
        <v>1</v>
      </c>
      <c r="AA4" s="177">
        <v>2</v>
      </c>
      <c r="AB4" s="2">
        <f t="shared" ref="AB4:AB5" si="8">L4</f>
        <v>119</v>
      </c>
      <c r="AC4" s="5" t="str">
        <f ca="1">VLOOKUP($AB4,OFFSET([5]characters!$A$1,0,0,COUNTA([5]characters!$A:$A),MATCH(AC$1,[5]characters!$1:$1,0)-MATCH("character_id",[5]characters!$1:$1,0)+1),MATCH(AC$1,[5]characters!$1:$1,0)-MATCH("character_id",[5]characters!$1:$1,0)+1,FALSE)</f>
        <v>ゴールドダック</v>
      </c>
      <c r="AD4" s="5">
        <f ca="1">VLOOKUP($AB4,OFFSET([5]characters!$A$1,0,0,COUNTA([5]characters!$A:$A),MATCH(AD$1,[5]characters!$1:$1,0)-MATCH("character_id",[5]characters!$1:$1,0)+1),MATCH(AD$1,[5]characters!$1:$1,0)-MATCH("character_id",[5]characters!$1:$1,0)+1,FALSE)</f>
        <v>5</v>
      </c>
      <c r="AE4" s="5" t="str">
        <f ca="1">VLOOKUP($AB4,OFFSET([5]characters!$A$1,0,0,COUNTA([5]characters!$A:$A),MATCH(AE$1,[5]characters!$1:$1,0)-MATCH("character_id",[5]characters!$1:$1,0)+1),MATCH(AE$1,[5]characters!$1:$1,0)-MATCH("character_id",[5]characters!$1:$1,0)+1,FALSE)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4" s="8">
        <v>1</v>
      </c>
      <c r="AG4" s="27">
        <f t="shared" ref="AG4:AG5" ca="1" si="9">AD4</f>
        <v>5</v>
      </c>
      <c r="AH4" s="181">
        <v>0</v>
      </c>
      <c r="AI4" s="8">
        <v>0</v>
      </c>
      <c r="AJ4" s="8">
        <v>0</v>
      </c>
      <c r="AK4" s="8">
        <v>0</v>
      </c>
      <c r="AL4" s="8">
        <v>0</v>
      </c>
      <c r="AM4" s="8">
        <v>1</v>
      </c>
    </row>
    <row r="5" spans="1:39" ht="21" customHeight="1" x14ac:dyDescent="0.15">
      <c r="A5" s="17" t="str">
        <f t="shared" si="5"/>
        <v>14002_1-1/119&lt;lv4&gt;s2</v>
      </c>
      <c r="B5" s="117">
        <v>14002</v>
      </c>
      <c r="C5" s="170">
        <v>1</v>
      </c>
      <c r="D5" s="170" t="str">
        <f t="shared" si="6"/>
        <v>14002_1</v>
      </c>
      <c r="E5" s="171" t="str">
        <f ca="1">VLOOKUP($B5,OFFSET([2]quests!$A$1,0,0,COUNTA([2]quests!$A:$A),MATCH(E$1,[2]quests!$1:$1,0)-MATCH($B$1,[2]quests!$1:$1,0)+1),MATCH(E$1,[2]quests!$1:$1,0)-MATCH($B$1,[2]quests!$1:$1,0)+1,FALSE)</f>
        <v>【ロック】ビット/ソロ</v>
      </c>
      <c r="F5" s="171" t="str">
        <f ca="1">VLOOKUP($D5,OFFSET([2]stages!$A$1,0,0,COUNTA([2]stages!$A:$A),MATCH(F$1,[2]stages!$2:$2,0)-MATCH($D$1,[2]stages!$2:$2,0)+1),MATCH(F$1,[2]stages!$2:$2,0)-MATCH($D$1,[2]stages!$2:$2,0)+1,FALSE)</f>
        <v>【超級】ハイローラー（ハートなし）</v>
      </c>
      <c r="G5" s="170">
        <v>1</v>
      </c>
      <c r="H5" s="172" t="str">
        <f t="shared" si="7"/>
        <v>14002_1-1</v>
      </c>
      <c r="I5" s="171">
        <f ca="1">VLOOKUP($H5,OFFSET(floors!$A$1,0,0,COUNTA(floors!$A:$A),MATCH(I$1,floors!$1:$1,0)-MATCH($H$1,floors!$1:$1,0)+1),MATCH(I$1,floors!$1:$1,0)-MATCH($H$1,floors!$1:$1,0)+1,FALSE)</f>
        <v>40</v>
      </c>
      <c r="J5" s="171">
        <f ca="1">VLOOKUP($H5,OFFSET(floors!$A$1,0,0,COUNTA(floors!$A:$A),MATCH(J$1,floors!$1:$1,0)-MATCH($H$1,floors!$1:$1,0)+1),MATCH(J$1,floors!$1:$1,0)-MATCH($H$1,floors!$1:$1,0)+1,FALSE)</f>
        <v>40</v>
      </c>
      <c r="K5" s="173" t="s">
        <v>142</v>
      </c>
      <c r="L5" s="170">
        <v>119</v>
      </c>
      <c r="M5" s="20" t="str">
        <f ca="1">VLOOKUP($L5,OFFSET([4]enemies!$A$1,0,0,COUNTA([4]enemies!$A:$A),MATCH(M$1,[4]enemies!$1:$1,0)-MATCH($L$1,[4]enemies!$1:$1,0)+1),MATCH(M$1,[4]enemies!$1:$1,0)-MATCH($L$1,[4]enemies!$1:$1,0)+1,FALSE)</f>
        <v>ゴールドダック</v>
      </c>
      <c r="N5" s="20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20" t="str">
        <f ca="1">VLOOKUP($L5,OFFSET([5]characters!$A$1,0,0,COUNTA([5]characters!$A:$A),MATCH(O$1,[5]characters!$1:$1,0)-MATCH($L$1,[5]characters!$1:$1,0)+1),MATCH(O$1,[5]characters!$1:$1,0)-MATCH($L$1,[5]characters!$1:$1,0)+1,FALSE)</f>
        <v>Material</v>
      </c>
      <c r="P5" s="20" t="str">
        <f ca="1">VLOOKUP($L5,OFFSET([4]enemies!$A$1,0,0,COUNTA([4]enemies!$A:$A),MATCH(P$1,[4]enemies!$1:$1,0)-MATCH($L$1,[4]enemies!$1:$1,0)+1),MATCH(P$1,[4]enemies!$1:$1,0)-MATCH($L$1,[4]enemies!$1:$1,0)+1,FALSE)</f>
        <v>unknown</v>
      </c>
      <c r="Q5" s="20">
        <f ca="1">VLOOKUP($L5,OFFSET([4]enemies!$A$1,0,0,COUNTA([4]enemies!$A:$A),MATCH(Q$1,[4]enemies!$1:$1,0)-MATCH($L$1,[4]enemies!$1:$1,0)+1),MATCH(Q$1,[4]enemies!$1:$1,0)-MATCH($L$1,[4]enemies!$1:$1,0)+1,FALSE)</f>
        <v>20</v>
      </c>
      <c r="R5" s="175">
        <v>4</v>
      </c>
      <c r="S5" s="174">
        <v>45</v>
      </c>
      <c r="T5" s="174">
        <v>45</v>
      </c>
      <c r="U5" s="175">
        <v>0</v>
      </c>
      <c r="V5" s="5" t="str">
        <f ca="1">VLOOKUP($W5,OFFSET(enemy_skill_sets!$B$1,0,0,COUNTA(enemy_skill_sets!$B:$B),MATCH(M$1,enemy_skill_sets!$1:$1,0)-MATCH($W$1,enemy_skill_sets!$1:$1,0)+2),MATCH(M$1,enemy_skill_sets!$1:$1,0)-MATCH($W$1,enemy_skill_sets!$1:$1,0)+2,FALSE)</f>
        <v>全ユニットのスキルゲージMAX+_x000D_確率でボムパネル&amp;先頭ユニットのCパネル(大)をドロップ</v>
      </c>
      <c r="W5" s="171">
        <v>14002230</v>
      </c>
      <c r="X5" s="176">
        <v>0</v>
      </c>
      <c r="Y5" s="176">
        <v>15</v>
      </c>
      <c r="Z5" s="176">
        <v>1</v>
      </c>
      <c r="AA5" s="177">
        <v>2</v>
      </c>
      <c r="AB5" s="2">
        <f t="shared" si="8"/>
        <v>119</v>
      </c>
      <c r="AC5" s="5" t="str">
        <f ca="1">VLOOKUP($AB5,OFFSET([5]characters!$A$1,0,0,COUNTA([5]characters!$A:$A),MATCH(AC$1,[5]characters!$1:$1,0)-MATCH("character_id",[5]characters!$1:$1,0)+1),MATCH(AC$1,[5]characters!$1:$1,0)-MATCH("character_id",[5]characters!$1:$1,0)+1,FALSE)</f>
        <v>ゴールドダック</v>
      </c>
      <c r="AD5" s="5">
        <f ca="1">VLOOKUP($AB5,OFFSET([5]characters!$A$1,0,0,COUNTA([5]characters!$A:$A),MATCH(AD$1,[5]characters!$1:$1,0)-MATCH("character_id",[5]characters!$1:$1,0)+1),MATCH(AD$1,[5]characters!$1:$1,0)-MATCH("character_id",[5]characters!$1:$1,0)+1,FALSE)</f>
        <v>5</v>
      </c>
      <c r="AE5" s="5" t="str">
        <f ca="1">VLOOKUP($AB5,OFFSET([5]characters!$A$1,0,0,COUNTA([5]characters!$A:$A),MATCH(AE$1,[5]characters!$1:$1,0)-MATCH("character_id",[5]characters!$1:$1,0)+1),MATCH(AE$1,[5]characters!$1:$1,0)-MATCH("character_id",[5]characters!$1:$1,0)+1,FALSE)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5" s="8">
        <v>1</v>
      </c>
      <c r="AG5" s="27">
        <f t="shared" ca="1" si="9"/>
        <v>5</v>
      </c>
      <c r="AH5" s="181">
        <v>0</v>
      </c>
      <c r="AI5" s="8">
        <v>0</v>
      </c>
      <c r="AJ5" s="8">
        <v>0</v>
      </c>
      <c r="AK5" s="8">
        <v>0</v>
      </c>
      <c r="AL5" s="8">
        <v>0</v>
      </c>
      <c r="AM5" s="8">
        <v>1</v>
      </c>
    </row>
    <row r="6" spans="1:39" ht="21" customHeight="1" x14ac:dyDescent="0.15">
      <c r="A6" s="17" t="str">
        <f t="shared" ref="A6" si="10">B6&amp;"_"&amp;C6&amp;"-"&amp;G6&amp;"/"&amp;L6&amp;"&lt;lv"&amp;R6&amp;"&gt;s"&amp;AA6</f>
        <v>14002_1-2/119&lt;lv1&gt;s2</v>
      </c>
      <c r="B6" s="99">
        <v>14002</v>
      </c>
      <c r="C6" s="100">
        <v>1</v>
      </c>
      <c r="D6" s="100" t="str">
        <f t="shared" ref="D6" si="11">B6&amp;"_"&amp;C6</f>
        <v>14002_1</v>
      </c>
      <c r="E6" s="156" t="str">
        <f ca="1">VLOOKUP($B6,OFFSET([2]quests!$A$1,0,0,COUNTA([2]quests!$A:$A),MATCH(E$1,[2]quests!$1:$1,0)-MATCH($B$1,[2]quests!$1:$1,0)+1),MATCH(E$1,[2]quests!$1:$1,0)-MATCH($B$1,[2]quests!$1:$1,0)+1,FALSE)</f>
        <v>【ロック】ビット/ソロ</v>
      </c>
      <c r="F6" s="156" t="str">
        <f ca="1">VLOOKUP($D6,OFFSET([2]stages!$A$1,0,0,COUNTA([2]stages!$A:$A),MATCH(F$1,[2]stages!$2:$2,0)-MATCH($D$1,[2]stages!$2:$2,0)+1),MATCH(F$1,[2]stages!$2:$2,0)-MATCH($D$1,[2]stages!$2:$2,0)+1,FALSE)</f>
        <v>【超級】ハイローラー（ハートなし）</v>
      </c>
      <c r="G6" s="100">
        <v>2</v>
      </c>
      <c r="H6" s="157" t="str">
        <f t="shared" ref="H6" si="12">B6&amp;"_"&amp;C6&amp;"-"&amp;G6</f>
        <v>14002_1-2</v>
      </c>
      <c r="I6" s="156">
        <f ca="1">VLOOKUP($H6,OFFSET(floors!$A$1,0,0,COUNTA(floors!$A:$A),MATCH(I$1,floors!$1:$1,0)-MATCH($H$1,floors!$1:$1,0)+1),MATCH(I$1,floors!$1:$1,0)-MATCH($H$1,floors!$1:$1,0)+1,FALSE)</f>
        <v>60</v>
      </c>
      <c r="J6" s="156">
        <f ca="1">VLOOKUP($H6,OFFSET(floors!$A$1,0,0,COUNTA(floors!$A:$A),MATCH(J$1,floors!$1:$1,0)-MATCH($H$1,floors!$1:$1,0)+1),MATCH(J$1,floors!$1:$1,0)-MATCH($H$1,floors!$1:$1,0)+1,FALSE)</f>
        <v>60</v>
      </c>
      <c r="K6" s="97" t="s">
        <v>142</v>
      </c>
      <c r="L6" s="100">
        <v>119</v>
      </c>
      <c r="M6" s="20" t="str">
        <f ca="1">VLOOKUP($L6,OFFSET([4]enemies!$A$1,0,0,COUNTA([4]enemies!$A:$A),MATCH(M$1,[4]enemies!$1:$1,0)-MATCH($L$1,[4]enemies!$1:$1,0)+1),MATCH(M$1,[4]enemies!$1:$1,0)-MATCH($L$1,[4]enemies!$1:$1,0)+1,FALSE)</f>
        <v>ゴールドダック</v>
      </c>
      <c r="N6" s="20" t="str">
        <f ca="1">VLOOKUP($L6,OFFSET([4]enemies!$A$1,0,0,COUNTA([4]enemies!$A:$A),MATCH(N$1,[4]enemies!$1:$1,0)-MATCH($L$1,[4]enemies!$1:$1,0)+1),MATCH(N$1,[4]enemies!$1:$1,0)-MATCH($L$1,[4]enemies!$1:$1,0)+1,FALSE)</f>
        <v>yellow</v>
      </c>
      <c r="O6" s="20" t="str">
        <f ca="1">VLOOKUP($L6,OFFSET([5]characters!$A$1,0,0,COUNTA([5]characters!$A:$A),MATCH(O$1,[5]characters!$1:$1,0)-MATCH($L$1,[5]characters!$1:$1,0)+1),MATCH(O$1,[5]characters!$1:$1,0)-MATCH($L$1,[5]characters!$1:$1,0)+1,FALSE)</f>
        <v>Material</v>
      </c>
      <c r="P6" s="20" t="str">
        <f ca="1">VLOOKUP($L6,OFFSET([4]enemies!$A$1,0,0,COUNTA([4]enemies!$A:$A),MATCH(P$1,[4]enemies!$1:$1,0)-MATCH($L$1,[4]enemies!$1:$1,0)+1),MATCH(P$1,[4]enemies!$1:$1,0)-MATCH($L$1,[4]enemies!$1:$1,0)+1,FALSE)</f>
        <v>unknown</v>
      </c>
      <c r="Q6" s="20">
        <f ca="1">VLOOKUP($L6,OFFSET([4]enemies!$A$1,0,0,COUNTA([4]enemies!$A:$A),MATCH(Q$1,[4]enemies!$1:$1,0)-MATCH($L$1,[4]enemies!$1:$1,0)+1),MATCH(Q$1,[4]enemies!$1:$1,0)-MATCH($L$1,[4]enemies!$1:$1,0)+1,FALSE)</f>
        <v>20</v>
      </c>
      <c r="R6" s="188">
        <v>1</v>
      </c>
      <c r="S6" s="189">
        <v>99.9</v>
      </c>
      <c r="T6" s="189">
        <v>99.9</v>
      </c>
      <c r="U6" s="188">
        <v>0</v>
      </c>
      <c r="V6" s="5" t="e">
        <f ca="1">VLOOKUP($W6,OFFSET([6]enemy_skill_sets!$B$1,0,0,COUNTA([6]enemy_skill_sets!$B:$B),MATCH(M$1,[6]enemy_skill_sets!$1:$1,0)-MATCH($W$1,[6]enemy_skill_sets!$1:$1,0)+2),MATCH(M$1,[6]enemy_skill_sets!$1:$1,0)-MATCH($W$1,[6]enemy_skill_sets!$1:$1,0)+2,FALSE)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6" s="156">
        <v>0</v>
      </c>
      <c r="X6" s="164">
        <v>0</v>
      </c>
      <c r="Y6" s="164">
        <v>100</v>
      </c>
      <c r="Z6" s="164">
        <v>0</v>
      </c>
      <c r="AA6" s="165">
        <v>2</v>
      </c>
      <c r="AB6" s="2">
        <f t="shared" ref="AB6" si="13">L6</f>
        <v>119</v>
      </c>
      <c r="AC6" s="5" t="str">
        <f ca="1">VLOOKUP($AB6,OFFSET([5]characters!$A$1,0,0,COUNTA([5]characters!$A:$A),MATCH(AC$1,[5]characters!$1:$1,0)-MATCH("character_id",[5]characters!$1:$1,0)+1),MATCH(AC$1,[5]characters!$1:$1,0)-MATCH("character_id",[5]characters!$1:$1,0)+1,FALSE)</f>
        <v>ゴールドダック</v>
      </c>
      <c r="AD6" s="5">
        <f ca="1">VLOOKUP($AB6,OFFSET([5]characters!$A$1,0,0,COUNTA([5]characters!$A:$A),MATCH(AD$1,[5]characters!$1:$1,0)-MATCH("character_id",[5]characters!$1:$1,0)+1),MATCH(AD$1,[5]characters!$1:$1,0)-MATCH("character_id",[5]characters!$1:$1,0)+1,FALSE)</f>
        <v>5</v>
      </c>
      <c r="AE6" s="5" t="str">
        <f ca="1">VLOOKUP($AB6,OFFSET([5]characters!$A$1,0,0,COUNTA([5]characters!$A:$A),MATCH(AE$1,[5]characters!$1:$1,0)-MATCH("character_id",[5]characters!$1:$1,0)+1),MATCH(AE$1,[5]characters!$1:$1,0)-MATCH("character_id",[5]characters!$1:$1,0)+1,FALSE)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6" s="8">
        <v>1</v>
      </c>
      <c r="AG6" s="27">
        <f t="shared" ref="AG6" ca="1" si="14">AD6</f>
        <v>5</v>
      </c>
      <c r="AH6" s="169">
        <v>100</v>
      </c>
      <c r="AI6" s="8">
        <v>0</v>
      </c>
      <c r="AJ6" s="8">
        <v>0</v>
      </c>
      <c r="AK6" s="8">
        <v>0</v>
      </c>
      <c r="AL6" s="8">
        <v>0</v>
      </c>
      <c r="AM6" s="8">
        <v>1</v>
      </c>
    </row>
    <row r="7" spans="1:39" ht="21" customHeight="1" x14ac:dyDescent="0.15">
      <c r="A7" s="17" t="str">
        <f t="shared" ref="A7" si="15">B7&amp;"_"&amp;C7&amp;"-"&amp;G7&amp;"/"&amp;L7&amp;"&lt;lv"&amp;R7&amp;"&gt;s"&amp;AA7</f>
        <v>14002_1-2/124&lt;lv31&gt;s2</v>
      </c>
      <c r="B7" s="99">
        <v>14002</v>
      </c>
      <c r="C7" s="100">
        <v>1</v>
      </c>
      <c r="D7" s="100" t="str">
        <f t="shared" ref="D7" si="16">B7&amp;"_"&amp;C7</f>
        <v>14002_1</v>
      </c>
      <c r="E7" s="156" t="str">
        <f ca="1">VLOOKUP($B7,OFFSET([2]quests!$A$1,0,0,COUNTA([2]quests!$A:$A),MATCH(E$1,[2]quests!$1:$1,0)-MATCH($B$1,[2]quests!$1:$1,0)+1),MATCH(E$1,[2]quests!$1:$1,0)-MATCH($B$1,[2]quests!$1:$1,0)+1,FALSE)</f>
        <v>【ロック】ビット/ソロ</v>
      </c>
      <c r="F7" s="156" t="str">
        <f ca="1">VLOOKUP($D7,OFFSET([2]stages!$A$1,0,0,COUNTA([2]stages!$A:$A),MATCH(F$1,[2]stages!$2:$2,0)-MATCH($D$1,[2]stages!$2:$2,0)+1),MATCH(F$1,[2]stages!$2:$2,0)-MATCH($D$1,[2]stages!$2:$2,0)+1,FALSE)</f>
        <v>【超級】ハイローラー（ハートなし）</v>
      </c>
      <c r="G7" s="100">
        <v>2</v>
      </c>
      <c r="H7" s="157" t="str">
        <f t="shared" ref="H7" si="17">B7&amp;"_"&amp;C7&amp;"-"&amp;G7</f>
        <v>14002_1-2</v>
      </c>
      <c r="I7" s="156">
        <f ca="1">VLOOKUP($H7,OFFSET(floors!$A$1,0,0,COUNTA(floors!$A:$A),MATCH(I$1,floors!$1:$1,0)-MATCH($H$1,floors!$1:$1,0)+1),MATCH(I$1,floors!$1:$1,0)-MATCH($H$1,floors!$1:$1,0)+1,FALSE)</f>
        <v>60</v>
      </c>
      <c r="J7" s="156">
        <f ca="1">VLOOKUP($H7,OFFSET(floors!$A$1,0,0,COUNTA(floors!$A:$A),MATCH(J$1,floors!$1:$1,0)-MATCH($H$1,floors!$1:$1,0)+1),MATCH(J$1,floors!$1:$1,0)-MATCH($H$1,floors!$1:$1,0)+1,FALSE)</f>
        <v>60</v>
      </c>
      <c r="K7" s="97" t="s">
        <v>142</v>
      </c>
      <c r="L7" s="100">
        <v>124</v>
      </c>
      <c r="M7" s="20" t="str">
        <f ca="1">VLOOKUP($L7,OFFSET([4]enemies!$A$1,0,0,COUNTA([4]enemies!$A:$A),MATCH(M$1,[4]enemies!$1:$1,0)-MATCH($L$1,[4]enemies!$1:$1,0)+1),MATCH(M$1,[4]enemies!$1:$1,0)-MATCH($L$1,[4]enemies!$1:$1,0)+1,FALSE)</f>
        <v>黄金の果実</v>
      </c>
      <c r="N7" s="20" t="str">
        <f ca="1">VLOOKUP($L7,OFFSET([4]enemies!$A$1,0,0,COUNTA([4]enemies!$A:$A),MATCH(N$1,[4]enemies!$1:$1,0)-MATCH($L$1,[4]enemies!$1:$1,0)+1),MATCH(N$1,[4]enemies!$1:$1,0)-MATCH($L$1,[4]enemies!$1:$1,0)+1,FALSE)</f>
        <v>yellow</v>
      </c>
      <c r="O7" s="20" t="str">
        <f ca="1">VLOOKUP($L7,OFFSET([5]characters!$A$1,0,0,COUNTA([5]characters!$A:$A),MATCH(O$1,[5]characters!$1:$1,0)-MATCH($L$1,[5]characters!$1:$1,0)+1),MATCH(O$1,[5]characters!$1:$1,0)-MATCH($L$1,[5]characters!$1:$1,0)+1,FALSE)</f>
        <v>Material</v>
      </c>
      <c r="P7" s="20" t="str">
        <f ca="1">VLOOKUP($L7,OFFSET([4]enemies!$A$1,0,0,COUNTA([4]enemies!$A:$A),MATCH(P$1,[4]enemies!$1:$1,0)-MATCH($L$1,[4]enemies!$1:$1,0)+1),MATCH(P$1,[4]enemies!$1:$1,0)-MATCH($L$1,[4]enemies!$1:$1,0)+1,FALSE)</f>
        <v>unknown</v>
      </c>
      <c r="Q7" s="20">
        <f ca="1">VLOOKUP($L7,OFFSET([4]enemies!$A$1,0,0,COUNTA([4]enemies!$A:$A),MATCH(Q$1,[4]enemies!$1:$1,0)-MATCH($L$1,[4]enemies!$1:$1,0)+1),MATCH(Q$1,[4]enemies!$1:$1,0)-MATCH($L$1,[4]enemies!$1:$1,0)+1,FALSE)</f>
        <v>20</v>
      </c>
      <c r="R7" s="188">
        <v>31</v>
      </c>
      <c r="S7" s="189">
        <v>3.4</v>
      </c>
      <c r="T7" s="189">
        <v>1.2</v>
      </c>
      <c r="U7" s="188">
        <v>0</v>
      </c>
      <c r="V7" s="5" t="e">
        <f ca="1">VLOOKUP($W7,OFFSET([6]enemy_skill_sets!$B$1,0,0,COUNTA([6]enemy_skill_sets!$B:$B),MATCH(M$1,[6]enemy_skill_sets!$1:$1,0)-MATCH($W$1,[6]enemy_skill_sets!$1:$1,0)+2),MATCH(M$1,[6]enemy_skill_sets!$1:$1,0)-MATCH($W$1,[6]enemy_skill_sets!$1:$1,0)+2,FALSE)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7" s="156">
        <v>0</v>
      </c>
      <c r="X7" s="164">
        <v>1</v>
      </c>
      <c r="Y7" s="164">
        <v>100</v>
      </c>
      <c r="Z7" s="164">
        <v>1</v>
      </c>
      <c r="AA7" s="165">
        <v>2</v>
      </c>
      <c r="AB7" s="2">
        <f t="shared" ref="AB7" si="18">L7</f>
        <v>124</v>
      </c>
      <c r="AC7" s="5" t="str">
        <f ca="1">VLOOKUP($AB7,OFFSET([5]characters!$A$1,0,0,COUNTA([5]characters!$A:$A),MATCH(AC$1,[5]characters!$1:$1,0)-MATCH("character_id",[5]characters!$1:$1,0)+1),MATCH(AC$1,[5]characters!$1:$1,0)-MATCH("character_id",[5]characters!$1:$1,0)+1,FALSE)</f>
        <v>黄金の果実</v>
      </c>
      <c r="AD7" s="5">
        <f ca="1">VLOOKUP($AB7,OFFSET([5]characters!$A$1,0,0,COUNTA([5]characters!$A:$A),MATCH(AD$1,[5]characters!$1:$1,0)-MATCH("character_id",[5]characters!$1:$1,0)+1),MATCH(AD$1,[5]characters!$1:$1,0)-MATCH("character_id",[5]characters!$1:$1,0)+1,FALSE)</f>
        <v>3</v>
      </c>
      <c r="AE7" s="5" t="str">
        <f ca="1">VLOOKUP($AB7,OFFSET([5]characters!$A$1,0,0,COUNTA([5]characters!$A:$A),MATCH(AE$1,[5]characters!$1:$1,0)-MATCH("character_id",[5]characters!$1:$1,0)+1),MATCH(AE$1,[5]characters!$1:$1,0)-MATCH("character_id",[5]characters!$1:$1,0)+1,FALSE)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7" s="8">
        <v>1</v>
      </c>
      <c r="AG7" s="27">
        <f t="shared" ref="AG7" ca="1" si="19">AD7</f>
        <v>3</v>
      </c>
      <c r="AH7" s="169">
        <v>0</v>
      </c>
      <c r="AI7" s="8">
        <v>0</v>
      </c>
      <c r="AJ7" s="8">
        <v>0</v>
      </c>
      <c r="AK7" s="8">
        <v>0</v>
      </c>
      <c r="AL7" s="8">
        <v>0</v>
      </c>
      <c r="AM7" s="8">
        <v>1</v>
      </c>
    </row>
    <row r="8" spans="1:39" ht="21" customHeight="1" x14ac:dyDescent="0.15">
      <c r="A8" s="17" t="str">
        <f>B8&amp;"_"&amp;C8&amp;"-"&amp;G8&amp;"/"&amp;L8&amp;"&lt;lv"&amp;R8&amp;"&gt;s"&amp;AA8</f>
        <v>14002_1-3/124&lt;lv31&gt;s2</v>
      </c>
      <c r="B8" s="153">
        <v>14002</v>
      </c>
      <c r="C8" s="158">
        <v>1</v>
      </c>
      <c r="D8" s="158" t="str">
        <f>B8&amp;"_"&amp;C8</f>
        <v>14002_1</v>
      </c>
      <c r="E8" s="159" t="str">
        <f ca="1">VLOOKUP($B8,OFFSET([2]quests!$A$1,0,0,COUNTA([2]quests!$A:$A),MATCH(E$1,[2]quests!$1:$1,0)-MATCH($B$1,[2]quests!$1:$1,0)+1),MATCH(E$1,[2]quests!$1:$1,0)-MATCH($B$1,[2]quests!$1:$1,0)+1,FALSE)</f>
        <v>【ロック】ビット/ソロ</v>
      </c>
      <c r="F8" s="159" t="str">
        <f ca="1">VLOOKUP($D8,OFFSET([2]stages!$A$1,0,0,COUNTA([2]stages!$A:$A),MATCH(F$1,[2]stages!$2:$2,0)-MATCH($D$1,[2]stages!$2:$2,0)+1),MATCH(F$1,[2]stages!$2:$2,0)-MATCH($D$1,[2]stages!$2:$2,0)+1,FALSE)</f>
        <v>【超級】ハイローラー（ハートなし）</v>
      </c>
      <c r="G8" s="158">
        <v>3</v>
      </c>
      <c r="H8" s="160" t="str">
        <f>B8&amp;"_"&amp;C8&amp;"-"&amp;G8</f>
        <v>14002_1-3</v>
      </c>
      <c r="I8" s="161">
        <f ca="1">VLOOKUP($H8,OFFSET(floors!$A$1,0,0,COUNTA(floors!$A:$A),MATCH(I$1,floors!$1:$1,0)-MATCH($H$1,floors!$1:$1,0)+1),MATCH(I$1,floors!$1:$1,0)-MATCH($H$1,floors!$1:$1,0)+1,FALSE)</f>
        <v>40</v>
      </c>
      <c r="J8" s="161">
        <f ca="1">VLOOKUP($H8,OFFSET(floors!$A$1,0,0,COUNTA(floors!$A:$A),MATCH(J$1,floors!$1:$1,0)-MATCH($H$1,floors!$1:$1,0)+1),MATCH(J$1,floors!$1:$1,0)-MATCH($H$1,floors!$1:$1,0)+1,FALSE)</f>
        <v>40</v>
      </c>
      <c r="K8" s="162" t="s">
        <v>142</v>
      </c>
      <c r="L8" s="158">
        <v>124</v>
      </c>
      <c r="M8" s="121" t="str">
        <f ca="1">VLOOKUP($L8,OFFSET([4]enemies!$A$1,0,0,COUNTA([4]enemies!$A:$A),MATCH(M$1,[4]enemies!$1:$1,0)-MATCH($L$1,[4]enemies!$1:$1,0)+1),MATCH(M$1,[4]enemies!$1:$1,0)-MATCH($L$1,[4]enemies!$1:$1,0)+1,FALSE)</f>
        <v>黄金の果実</v>
      </c>
      <c r="N8" s="121" t="str">
        <f ca="1">VLOOKUP($L8,OFFSET([4]enemies!$A$1,0,0,COUNTA([4]enemies!$A:$A),MATCH(N$1,[4]enemies!$1:$1,0)-MATCH($L$1,[4]enemies!$1:$1,0)+1),MATCH(N$1,[4]enemies!$1:$1,0)-MATCH($L$1,[4]enemies!$1:$1,0)+1,FALSE)</f>
        <v>yellow</v>
      </c>
      <c r="O8" s="121" t="str">
        <f ca="1">VLOOKUP($L8,OFFSET([5]characters!$A$1,0,0,COUNTA([5]characters!$A:$A),MATCH(O$1,[5]characters!$1:$1,0)-MATCH($L$1,[5]characters!$1:$1,0)+1),MATCH(O$1,[5]characters!$1:$1,0)-MATCH($L$1,[5]characters!$1:$1,0)+1,FALSE)</f>
        <v>Material</v>
      </c>
      <c r="P8" s="121" t="str">
        <f ca="1">VLOOKUP($L8,OFFSET([4]enemies!$A$1,0,0,COUNTA([4]enemies!$A:$A),MATCH(P$1,[4]enemies!$1:$1,0)-MATCH($L$1,[4]enemies!$1:$1,0)+1),MATCH(P$1,[4]enemies!$1:$1,0)-MATCH($L$1,[4]enemies!$1:$1,0)+1,FALSE)</f>
        <v>unknown</v>
      </c>
      <c r="Q8" s="121">
        <f ca="1">VLOOKUP($L8,OFFSET([4]enemies!$A$1,0,0,COUNTA([4]enemies!$A:$A),MATCH(Q$1,[4]enemies!$1:$1,0)-MATCH($L$1,[4]enemies!$1:$1,0)+1),MATCH(Q$1,[4]enemies!$1:$1,0)-MATCH($L$1,[4]enemies!$1:$1,0)+1,FALSE)</f>
        <v>20</v>
      </c>
      <c r="R8" s="190">
        <v>31</v>
      </c>
      <c r="S8" s="191">
        <v>3.4</v>
      </c>
      <c r="T8" s="191">
        <v>1.2</v>
      </c>
      <c r="U8" s="190">
        <v>0</v>
      </c>
      <c r="V8" s="5" t="e">
        <f ca="1">VLOOKUP($W8,OFFSET([6]enemy_skill_sets!$B$1,0,0,COUNTA([6]enemy_skill_sets!$B:$B),MATCH(M$1,[6]enemy_skill_sets!$1:$1,0)-MATCH($W$1,[6]enemy_skill_sets!$1:$1,0)+2),MATCH(M$1,[6]enemy_skill_sets!$1:$1,0)-MATCH($W$1,[6]enemy_skill_sets!$1:$1,0)+2,FALSE)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8" s="163">
        <v>0</v>
      </c>
      <c r="X8" s="166">
        <v>0</v>
      </c>
      <c r="Y8" s="166">
        <v>100</v>
      </c>
      <c r="Z8" s="166">
        <v>0</v>
      </c>
      <c r="AA8" s="167">
        <v>2</v>
      </c>
      <c r="AB8" s="118">
        <f>L8</f>
        <v>124</v>
      </c>
      <c r="AC8" s="119" t="str">
        <f ca="1">VLOOKUP($AB8,OFFSET([5]characters!$A$1,0,0,COUNTA([5]characters!$A:$A),MATCH(AC$1,[5]characters!$1:$1,0)-MATCH("character_id",[5]characters!$1:$1,0)+1),MATCH(AC$1,[5]characters!$1:$1,0)-MATCH("character_id",[5]characters!$1:$1,0)+1,FALSE)</f>
        <v>黄金の果実</v>
      </c>
      <c r="AD8" s="119">
        <f ca="1">VLOOKUP($AB8,OFFSET([5]characters!$A$1,0,0,COUNTA([5]characters!$A:$A),MATCH(AD$1,[5]characters!$1:$1,0)-MATCH("character_id",[5]characters!$1:$1,0)+1),MATCH(AD$1,[5]characters!$1:$1,0)-MATCH("character_id",[5]characters!$1:$1,0)+1,FALSE)</f>
        <v>3</v>
      </c>
      <c r="AE8" s="119" t="str">
        <f ca="1">VLOOKUP($AB8,OFFSET([5]characters!$A$1,0,0,COUNTA([5]characters!$A:$A),MATCH(AE$1,[5]characters!$1:$1,0)-MATCH("character_id",[5]characters!$1:$1,0)+1),MATCH(AE$1,[5]characters!$1:$1,0)-MATCH("character_id",[5]characters!$1:$1,0)+1,FALSE)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8" s="120">
        <v>1</v>
      </c>
      <c r="AG8" s="122">
        <f ca="1">AD8</f>
        <v>3</v>
      </c>
      <c r="AH8" s="168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1</v>
      </c>
    </row>
    <row r="9" spans="1:39" ht="21" customHeight="1" x14ac:dyDescent="0.15">
      <c r="A9" s="17" t="str">
        <f t="shared" ref="A9:A10" si="20">B9&amp;"_"&amp;C9&amp;"-"&amp;G9&amp;"/"&amp;L9&amp;"&lt;lv"&amp;R9&amp;"&gt;s"&amp;AA9</f>
        <v>14002_1-4/124&lt;lv31&gt;s2</v>
      </c>
      <c r="B9" s="154">
        <v>14002</v>
      </c>
      <c r="C9" s="197">
        <v>1</v>
      </c>
      <c r="D9" s="197" t="str">
        <f t="shared" ref="D9:D10" si="21">B9&amp;"_"&amp;C9</f>
        <v>14002_1</v>
      </c>
      <c r="E9" s="198" t="str">
        <f ca="1">VLOOKUP($B9,OFFSET([2]quests!$A$1,0,0,COUNTA([2]quests!$A:$A),MATCH(E$1,[2]quests!$1:$1,0)-MATCH($B$1,[2]quests!$1:$1,0)+1),MATCH(E$1,[2]quests!$1:$1,0)-MATCH($B$1,[2]quests!$1:$1,0)+1,FALSE)</f>
        <v>【ロック】ビット/ソロ</v>
      </c>
      <c r="F9" s="198" t="str">
        <f ca="1">VLOOKUP($D9,OFFSET([2]stages!$A$1,0,0,COUNTA([2]stages!$A:$A),MATCH(F$1,[2]stages!$2:$2,0)-MATCH($D$1,[2]stages!$2:$2,0)+1),MATCH(F$1,[2]stages!$2:$2,0)-MATCH($D$1,[2]stages!$2:$2,0)+1,FALSE)</f>
        <v>【超級】ハイローラー（ハートなし）</v>
      </c>
      <c r="G9" s="197">
        <v>4</v>
      </c>
      <c r="H9" s="197" t="str">
        <f t="shared" ref="H9:H10" si="22">B9&amp;"_"&amp;C9&amp;"-"&amp;G9</f>
        <v>14002_1-4</v>
      </c>
      <c r="I9" s="199">
        <f ca="1">VLOOKUP($H9,OFFSET(floors!$A$1,0,0,COUNTA(floors!$A:$A),MATCH(I$1,floors!$1:$1,0)-MATCH($H$1,floors!$1:$1,0)+1),MATCH(I$1,floors!$1:$1,0)-MATCH($H$1,floors!$1:$1,0)+1,FALSE)</f>
        <v>60</v>
      </c>
      <c r="J9" s="199">
        <f ca="1">VLOOKUP($H9,OFFSET(floors!$A$1,0,0,COUNTA(floors!$A:$A),MATCH(J$1,floors!$1:$1,0)-MATCH($H$1,floors!$1:$1,0)+1),MATCH(J$1,floors!$1:$1,0)-MATCH($H$1,floors!$1:$1,0)+1,FALSE)</f>
        <v>60</v>
      </c>
      <c r="K9" s="200" t="s">
        <v>142</v>
      </c>
      <c r="L9" s="201">
        <v>124</v>
      </c>
      <c r="M9" s="22" t="str">
        <f ca="1">VLOOKUP($L9,OFFSET([4]enemies!$A$1,0,0,COUNTA([4]enemies!$A:$A),MATCH(M$1,[4]enemies!$1:$1,0)-MATCH($L$1,[4]enemies!$1:$1,0)+1),MATCH(M$1,[4]enemies!$1:$1,0)-MATCH($L$1,[4]enemies!$1:$1,0)+1,FALSE)</f>
        <v>黄金の果実</v>
      </c>
      <c r="N9" s="22" t="str">
        <f ca="1">VLOOKUP($L9,OFFSET([4]enemies!$A$1,0,0,COUNTA([4]enemies!$A:$A),MATCH(N$1,[4]enemies!$1:$1,0)-MATCH($L$1,[4]enemies!$1:$1,0)+1),MATCH(N$1,[4]enemies!$1:$1,0)-MATCH($L$1,[4]enemies!$1:$1,0)+1,FALSE)</f>
        <v>yellow</v>
      </c>
      <c r="O9" s="22" t="str">
        <f ca="1">VLOOKUP($L9,OFFSET([5]characters!$A$1,0,0,COUNTA([5]characters!$A:$A),MATCH(O$1,[5]characters!$1:$1,0)-MATCH($L$1,[5]characters!$1:$1,0)+1),MATCH(O$1,[5]characters!$1:$1,0)-MATCH($L$1,[5]characters!$1:$1,0)+1,FALSE)</f>
        <v>Material</v>
      </c>
      <c r="P9" s="22" t="str">
        <f ca="1">VLOOKUP($L9,OFFSET([4]enemies!$A$1,0,0,COUNTA([4]enemies!$A:$A),MATCH(P$1,[4]enemies!$1:$1,0)-MATCH($L$1,[4]enemies!$1:$1,0)+1),MATCH(P$1,[4]enemies!$1:$1,0)-MATCH($L$1,[4]enemies!$1:$1,0)+1,FALSE)</f>
        <v>unknown</v>
      </c>
      <c r="Q9" s="22">
        <f ca="1">VLOOKUP($L9,OFFSET([4]enemies!$A$1,0,0,COUNTA([4]enemies!$A:$A),MATCH(Q$1,[4]enemies!$1:$1,0)-MATCH($L$1,[4]enemies!$1:$1,0)+1),MATCH(Q$1,[4]enemies!$1:$1,0)-MATCH($L$1,[4]enemies!$1:$1,0)+1,FALSE)</f>
        <v>20</v>
      </c>
      <c r="R9" s="192">
        <v>31</v>
      </c>
      <c r="S9" s="193">
        <v>3.4</v>
      </c>
      <c r="T9" s="193">
        <v>1.2</v>
      </c>
      <c r="U9" s="192">
        <v>0</v>
      </c>
      <c r="V9" s="22" t="e">
        <f ca="1">VLOOKUP($W9,OFFSET([6]enemy_skill_sets!$B$1,0,0,COUNTA([6]enemy_skill_sets!$B:$B),MATCH(M$1,[6]enemy_skill_sets!$1:$1,0)-MATCH($W$1,[6]enemy_skill_sets!$1:$1,0)+2),MATCH(M$1,[6]enemy_skill_sets!$1:$1,0)-MATCH($W$1,[6]enemy_skill_sets!$1:$1,0)+2,FALSE)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9" s="182">
        <v>0</v>
      </c>
      <c r="X9" s="178">
        <v>1</v>
      </c>
      <c r="Y9" s="178">
        <v>100</v>
      </c>
      <c r="Z9" s="178">
        <v>0</v>
      </c>
      <c r="AA9" s="182">
        <v>2</v>
      </c>
      <c r="AB9" s="16">
        <f t="shared" ref="AB9:AB10" si="23">L9</f>
        <v>124</v>
      </c>
      <c r="AC9" s="22" t="str">
        <f ca="1">VLOOKUP($AB9,OFFSET([5]characters!$A$1,0,0,COUNTA([5]characters!$A:$A),MATCH(AC$1,[5]characters!$1:$1,0)-MATCH("character_id",[5]characters!$1:$1,0)+1),MATCH(AC$1,[5]characters!$1:$1,0)-MATCH("character_id",[5]characters!$1:$1,0)+1,FALSE)</f>
        <v>黄金の果実</v>
      </c>
      <c r="AD9" s="22">
        <f ca="1">VLOOKUP($AB9,OFFSET([5]characters!$A$1,0,0,COUNTA([5]characters!$A:$A),MATCH(AD$1,[5]characters!$1:$1,0)-MATCH("character_id",[5]characters!$1:$1,0)+1),MATCH(AD$1,[5]characters!$1:$1,0)-MATCH("character_id",[5]characters!$1:$1,0)+1,FALSE)</f>
        <v>3</v>
      </c>
      <c r="AE9" s="22" t="str">
        <f ca="1">VLOOKUP($AB9,OFFSET([5]characters!$A$1,0,0,COUNTA([5]characters!$A:$A),MATCH(AE$1,[5]characters!$1:$1,0)-MATCH("character_id",[5]characters!$1:$1,0)+1),MATCH(AE$1,[5]characters!$1:$1,0)-MATCH("character_id",[5]characters!$1:$1,0)+1,FALSE)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9" s="108">
        <v>1</v>
      </c>
      <c r="AG9" s="109">
        <f t="shared" ref="AG9:AG10" ca="1" si="24">AD9</f>
        <v>3</v>
      </c>
      <c r="AH9" s="178">
        <v>0</v>
      </c>
      <c r="AI9" s="108">
        <v>0</v>
      </c>
      <c r="AJ9" s="108">
        <v>0</v>
      </c>
      <c r="AK9" s="108">
        <v>0</v>
      </c>
      <c r="AL9" s="108">
        <v>0</v>
      </c>
      <c r="AM9" s="108">
        <v>1</v>
      </c>
    </row>
    <row r="10" spans="1:39" ht="21" customHeight="1" x14ac:dyDescent="0.15">
      <c r="A10" s="17" t="str">
        <f t="shared" si="20"/>
        <v>14002_1-4/120&lt;lv45&gt;s3</v>
      </c>
      <c r="B10" s="154">
        <v>14002</v>
      </c>
      <c r="C10" s="205">
        <v>1</v>
      </c>
      <c r="D10" s="205" t="str">
        <f t="shared" si="21"/>
        <v>14002_1</v>
      </c>
      <c r="E10" s="206" t="str">
        <f ca="1">VLOOKUP($B10,OFFSET([2]quests!$A$1,0,0,COUNTA([2]quests!$A:$A),MATCH(E$1,[2]quests!$1:$1,0)-MATCH($B$1,[2]quests!$1:$1,0)+1),MATCH(E$1,[2]quests!$1:$1,0)-MATCH($B$1,[2]quests!$1:$1,0)+1,FALSE)</f>
        <v>【ロック】ビット/ソロ</v>
      </c>
      <c r="F10" s="206" t="str">
        <f ca="1">VLOOKUP($D10,OFFSET([2]stages!$A$1,0,0,COUNTA([2]stages!$A:$A),MATCH(F$1,[2]stages!$2:$2,0)-MATCH($D$1,[2]stages!$2:$2,0)+1),MATCH(F$1,[2]stages!$2:$2,0)-MATCH($D$1,[2]stages!$2:$2,0)+1,FALSE)</f>
        <v>【超級】ハイローラー（ハートなし）</v>
      </c>
      <c r="G10" s="205">
        <v>4</v>
      </c>
      <c r="H10" s="205" t="str">
        <f t="shared" si="22"/>
        <v>14002_1-4</v>
      </c>
      <c r="I10" s="206">
        <f ca="1">VLOOKUP($H10,OFFSET(floors!$A$1,0,0,COUNTA(floors!$A:$A),MATCH(I$1,floors!$1:$1,0)-MATCH($H$1,floors!$1:$1,0)+1),MATCH(I$1,floors!$1:$1,0)-MATCH($H$1,floors!$1:$1,0)+1,FALSE)</f>
        <v>60</v>
      </c>
      <c r="J10" s="206">
        <f ca="1">VLOOKUP($H10,OFFSET(floors!$A$1,0,0,COUNTA(floors!$A:$A),MATCH(J$1,floors!$1:$1,0)-MATCH($H$1,floors!$1:$1,0)+1),MATCH(J$1,floors!$1:$1,0)-MATCH($H$1,floors!$1:$1,0)+1,FALSE)</f>
        <v>60</v>
      </c>
      <c r="K10" s="207" t="s">
        <v>142</v>
      </c>
      <c r="L10" s="208">
        <v>120</v>
      </c>
      <c r="M10" s="22" t="str">
        <f ca="1">VLOOKUP($L10,OFFSET([4]enemies!$A$1,0,0,COUNTA([4]enemies!$A:$A),MATCH(M$1,[4]enemies!$1:$1,0)-MATCH($L$1,[4]enemies!$1:$1,0)+1),MATCH(M$1,[4]enemies!$1:$1,0)-MATCH($L$1,[4]enemies!$1:$1,0)+1,FALSE)</f>
        <v>ゴールドキング</v>
      </c>
      <c r="N10" s="22" t="str">
        <f ca="1">VLOOKUP($L10,OFFSET([4]enemies!$A$1,0,0,COUNTA([4]enemies!$A:$A),MATCH(N$1,[4]enemies!$1:$1,0)-MATCH($L$1,[4]enemies!$1:$1,0)+1),MATCH(N$1,[4]enemies!$1:$1,0)-MATCH($L$1,[4]enemies!$1:$1,0)+1,FALSE)</f>
        <v>yellow</v>
      </c>
      <c r="O10" s="22" t="str">
        <f ca="1">VLOOKUP($L10,OFFSET([5]characters!$A$1,0,0,COUNTA([5]characters!$A:$A),MATCH(O$1,[5]characters!$1:$1,0)-MATCH($L$1,[5]characters!$1:$1,0)+1),MATCH(O$1,[5]characters!$1:$1,0)-MATCH($L$1,[5]characters!$1:$1,0)+1,FALSE)</f>
        <v>Material</v>
      </c>
      <c r="P10" s="22" t="str">
        <f ca="1">VLOOKUP($L10,OFFSET([4]enemies!$A$1,0,0,COUNTA([4]enemies!$A:$A),MATCH(P$1,[4]enemies!$1:$1,0)-MATCH($L$1,[4]enemies!$1:$1,0)+1),MATCH(P$1,[4]enemies!$1:$1,0)-MATCH($L$1,[4]enemies!$1:$1,0)+1,FALSE)</f>
        <v>unknown</v>
      </c>
      <c r="Q10" s="22">
        <f ca="1">VLOOKUP($L10,OFFSET([4]enemies!$A$1,0,0,COUNTA([4]enemies!$A:$A),MATCH(Q$1,[4]enemies!$1:$1,0)-MATCH($L$1,[4]enemies!$1:$1,0)+1),MATCH(Q$1,[4]enemies!$1:$1,0)-MATCH($L$1,[4]enemies!$1:$1,0)+1,FALSE)</f>
        <v>20</v>
      </c>
      <c r="R10" s="180">
        <v>45</v>
      </c>
      <c r="S10" s="196">
        <v>18</v>
      </c>
      <c r="T10" s="196">
        <v>10</v>
      </c>
      <c r="U10" s="180">
        <v>0</v>
      </c>
      <c r="V10" s="5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あらわれて_x000D_全てのパネルを 青パネルにしてしまった！</v>
      </c>
      <c r="W10" s="186">
        <v>14002240</v>
      </c>
      <c r="X10" s="180">
        <v>0</v>
      </c>
      <c r="Y10" s="180">
        <v>9</v>
      </c>
      <c r="Z10" s="180">
        <v>1</v>
      </c>
      <c r="AA10" s="180">
        <v>3</v>
      </c>
      <c r="AB10" s="16">
        <f t="shared" si="23"/>
        <v>120</v>
      </c>
      <c r="AC10" s="22" t="str">
        <f ca="1">VLOOKUP($AB10,OFFSET([5]characters!$A$1,0,0,COUNTA([5]characters!$A:$A),MATCH(AC$1,[5]characters!$1:$1,0)-MATCH("character_id",[5]characters!$1:$1,0)+1),MATCH(AC$1,[5]characters!$1:$1,0)-MATCH("character_id",[5]characters!$1:$1,0)+1,FALSE)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10" s="22">
        <f ca="1">VLOOKUP($AB10,OFFSET([5]characters!$A$1,0,0,COUNTA([5]characters!$A:$A),MATCH(AD$1,[5]characters!$1:$1,0)-MATCH("character_id",[5]characters!$1:$1,0)+1),MATCH(AD$1,[5]characters!$1:$1,0)-MATCH("character_id",[5]characters!$1:$1,0)+1,FALSE)</f>
        <v>6</v>
      </c>
      <c r="AE10" s="22" t="str">
        <f ca="1">VLOOKUP($AB10,OFFSET([5]characters!$A$1,0,0,COUNTA([5]characters!$A:$A),MATCH(AE$1,[5]characters!$1:$1,0)-MATCH("character_id",[5]characters!$1:$1,0)+1),MATCH(AE$1,[5]characters!$1:$1,0)-MATCH("character_id",[5]characters!$1:$1,0)+1,FALSE)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10" s="108">
        <v>1</v>
      </c>
      <c r="AG10" s="109">
        <f t="shared" ca="1" si="24"/>
        <v>6</v>
      </c>
      <c r="AH10" s="180">
        <v>100</v>
      </c>
      <c r="AI10" s="108">
        <v>0</v>
      </c>
      <c r="AJ10" s="108">
        <v>0</v>
      </c>
      <c r="AK10" s="108">
        <v>0</v>
      </c>
      <c r="AL10" s="108">
        <v>0</v>
      </c>
      <c r="AM10" s="108">
        <v>1</v>
      </c>
    </row>
    <row r="11" spans="1:39" ht="21" customHeight="1" x14ac:dyDescent="0.15">
      <c r="A11" s="17" t="str">
        <f t="shared" ref="A11:A14" si="25">B11&amp;"_"&amp;C11&amp;"-"&amp;G11&amp;"/"&amp;L11&amp;"&lt;lv"&amp;R11&amp;"&gt;s"&amp;AA11</f>
        <v>14002_1-4/120&lt;lv46&gt;s3</v>
      </c>
      <c r="B11" s="154">
        <v>14002</v>
      </c>
      <c r="C11" s="205">
        <v>1</v>
      </c>
      <c r="D11" s="205" t="str">
        <f t="shared" ref="D11:D14" si="26">B11&amp;"_"&amp;C11</f>
        <v>14002_1</v>
      </c>
      <c r="E11" s="206" t="str">
        <f ca="1">VLOOKUP($B11,OFFSET([2]quests!$A$1,0,0,COUNTA([2]quests!$A:$A),MATCH(E$1,[2]quests!$1:$1,0)-MATCH($B$1,[2]quests!$1:$1,0)+1),MATCH(E$1,[2]quests!$1:$1,0)-MATCH($B$1,[2]quests!$1:$1,0)+1,FALSE)</f>
        <v>【ロック】ビット/ソロ</v>
      </c>
      <c r="F11" s="206" t="str">
        <f ca="1">VLOOKUP($D11,OFFSET([2]stages!$A$1,0,0,COUNTA([2]stages!$A:$A),MATCH(F$1,[2]stages!$2:$2,0)-MATCH($D$1,[2]stages!$2:$2,0)+1),MATCH(F$1,[2]stages!$2:$2,0)-MATCH($D$1,[2]stages!$2:$2,0)+1,FALSE)</f>
        <v>【超級】ハイローラー（ハートなし）</v>
      </c>
      <c r="G11" s="205">
        <v>4</v>
      </c>
      <c r="H11" s="205" t="str">
        <f t="shared" ref="H11:H14" si="27">B11&amp;"_"&amp;C11&amp;"-"&amp;G11</f>
        <v>14002_1-4</v>
      </c>
      <c r="I11" s="206">
        <f ca="1">VLOOKUP($H11,OFFSET(floors!$A$1,0,0,COUNTA(floors!$A:$A),MATCH(I$1,floors!$1:$1,0)-MATCH($H$1,floors!$1:$1,0)+1),MATCH(I$1,floors!$1:$1,0)-MATCH($H$1,floors!$1:$1,0)+1,FALSE)</f>
        <v>60</v>
      </c>
      <c r="J11" s="206">
        <f ca="1">VLOOKUP($H11,OFFSET(floors!$A$1,0,0,COUNTA(floors!$A:$A),MATCH(J$1,floors!$1:$1,0)-MATCH($H$1,floors!$1:$1,0)+1),MATCH(J$1,floors!$1:$1,0)-MATCH($H$1,floors!$1:$1,0)+1,FALSE)</f>
        <v>60</v>
      </c>
      <c r="K11" s="207" t="s">
        <v>142</v>
      </c>
      <c r="L11" s="208">
        <v>120</v>
      </c>
      <c r="M11" s="22" t="str">
        <f ca="1">VLOOKUP($L11,OFFSET([4]enemies!$A$1,0,0,COUNTA([4]enemies!$A:$A),MATCH(M$1,[4]enemies!$1:$1,0)-MATCH($L$1,[4]enemies!$1:$1,0)+1),MATCH(M$1,[4]enemies!$1:$1,0)-MATCH($L$1,[4]enemies!$1:$1,0)+1,FALSE)</f>
        <v>ゴールドキング</v>
      </c>
      <c r="N11" s="22" t="str">
        <f ca="1">VLOOKUP($L11,OFFSET([4]enemies!$A$1,0,0,COUNTA([4]enemies!$A:$A),MATCH(N$1,[4]enemies!$1:$1,0)-MATCH($L$1,[4]enemies!$1:$1,0)+1),MATCH(N$1,[4]enemies!$1:$1,0)-MATCH($L$1,[4]enemies!$1:$1,0)+1,FALSE)</f>
        <v>yellow</v>
      </c>
      <c r="O11" s="22" t="str">
        <f ca="1">VLOOKUP($L11,OFFSET([5]characters!$A$1,0,0,COUNTA([5]characters!$A:$A),MATCH(O$1,[5]characters!$1:$1,0)-MATCH($L$1,[5]characters!$1:$1,0)+1),MATCH(O$1,[5]characters!$1:$1,0)-MATCH($L$1,[5]characters!$1:$1,0)+1,FALSE)</f>
        <v>Material</v>
      </c>
      <c r="P11" s="22" t="str">
        <f ca="1">VLOOKUP($L11,OFFSET([4]enemies!$A$1,0,0,COUNTA([4]enemies!$A:$A),MATCH(P$1,[4]enemies!$1:$1,0)-MATCH($L$1,[4]enemies!$1:$1,0)+1),MATCH(P$1,[4]enemies!$1:$1,0)-MATCH($L$1,[4]enemies!$1:$1,0)+1,FALSE)</f>
        <v>unknown</v>
      </c>
      <c r="Q11" s="22">
        <f ca="1">VLOOKUP($L11,OFFSET([4]enemies!$A$1,0,0,COUNTA([4]enemies!$A:$A),MATCH(Q$1,[4]enemies!$1:$1,0)-MATCH($L$1,[4]enemies!$1:$1,0)+1),MATCH(Q$1,[4]enemies!$1:$1,0)-MATCH($L$1,[4]enemies!$1:$1,0)+1,FALSE)</f>
        <v>20</v>
      </c>
      <c r="R11" s="180">
        <v>46</v>
      </c>
      <c r="S11" s="196">
        <v>18</v>
      </c>
      <c r="T11" s="196">
        <v>10</v>
      </c>
      <c r="U11" s="180">
        <v>0</v>
      </c>
      <c r="V11" s="5" t="str">
        <f ca="1">VLOOKUP($W11,OFFSET(enemy_skill_sets!$B$1,0,0,COUNTA(enemy_skill_sets!$B:$B),MATCH(M$1,enemy_skill_sets!$1:$1,0)-MATCH($W$1,enemy_skill_sets!$1:$1,0)+2),MATCH(M$1,enemy_skill_sets!$1:$1,0)-MATCH($W$1,enemy_skill_sets!$1:$1,0)+2,FALSE)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あらわれて_x000D_全てのパネルを 赤パネルにしてしまった！</v>
      </c>
      <c r="W11" s="186">
        <v>14002241</v>
      </c>
      <c r="X11" s="180">
        <v>0</v>
      </c>
      <c r="Y11" s="180">
        <v>9</v>
      </c>
      <c r="Z11" s="180">
        <v>1</v>
      </c>
      <c r="AA11" s="180">
        <v>3</v>
      </c>
      <c r="AB11" s="16">
        <f t="shared" ref="AB11:AB14" si="28">L11</f>
        <v>120</v>
      </c>
      <c r="AC11" s="22" t="str">
        <f ca="1">VLOOKUP($AB11,OFFSET([5]characters!$A$1,0,0,COUNTA([5]characters!$A:$A),MATCH(AC$1,[5]characters!$1:$1,0)-MATCH("character_id",[5]characters!$1:$1,0)+1),MATCH(AC$1,[5]characters!$1:$1,0)-MATCH("character_id",[5]characters!$1:$1,0)+1,FALSE)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11" s="22">
        <f ca="1">VLOOKUP($AB11,OFFSET([5]characters!$A$1,0,0,COUNTA([5]characters!$A:$A),MATCH(AD$1,[5]characters!$1:$1,0)-MATCH("character_id",[5]characters!$1:$1,0)+1),MATCH(AD$1,[5]characters!$1:$1,0)-MATCH("character_id",[5]characters!$1:$1,0)+1,FALSE)</f>
        <v>6</v>
      </c>
      <c r="AE11" s="22" t="str">
        <f ca="1">VLOOKUP($AB11,OFFSET([5]characters!$A$1,0,0,COUNTA([5]characters!$A:$A),MATCH(AE$1,[5]characters!$1:$1,0)-MATCH("character_id",[5]characters!$1:$1,0)+1),MATCH(AE$1,[5]characters!$1:$1,0)-MATCH("character_id",[5]characters!$1:$1,0)+1,FALSE)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11" s="108">
        <v>1</v>
      </c>
      <c r="AG11" s="109">
        <f t="shared" ref="AG11:AG14" ca="1" si="29">AD11</f>
        <v>6</v>
      </c>
      <c r="AH11" s="180">
        <v>100</v>
      </c>
      <c r="AI11" s="108">
        <v>0</v>
      </c>
      <c r="AJ11" s="108">
        <v>0</v>
      </c>
      <c r="AK11" s="108">
        <v>0</v>
      </c>
      <c r="AL11" s="108">
        <v>0</v>
      </c>
      <c r="AM11" s="108">
        <v>1</v>
      </c>
    </row>
    <row r="12" spans="1:39" ht="21" customHeight="1" x14ac:dyDescent="0.15">
      <c r="A12" s="17" t="str">
        <f t="shared" si="25"/>
        <v>14002_1-4/120&lt;lv47&gt;s3</v>
      </c>
      <c r="B12" s="154">
        <v>14002</v>
      </c>
      <c r="C12" s="205">
        <v>1</v>
      </c>
      <c r="D12" s="205" t="str">
        <f t="shared" si="26"/>
        <v>14002_1</v>
      </c>
      <c r="E12" s="206" t="str">
        <f ca="1">VLOOKUP($B12,OFFSET([2]quests!$A$1,0,0,COUNTA([2]quests!$A:$A),MATCH(E$1,[2]quests!$1:$1,0)-MATCH($B$1,[2]quests!$1:$1,0)+1),MATCH(E$1,[2]quests!$1:$1,0)-MATCH($B$1,[2]quests!$1:$1,0)+1,FALSE)</f>
        <v>【ロック】ビット/ソロ</v>
      </c>
      <c r="F12" s="206" t="str">
        <f ca="1">VLOOKUP($D12,OFFSET([2]stages!$A$1,0,0,COUNTA([2]stages!$A:$A),MATCH(F$1,[2]stages!$2:$2,0)-MATCH($D$1,[2]stages!$2:$2,0)+1),MATCH(F$1,[2]stages!$2:$2,0)-MATCH($D$1,[2]stages!$2:$2,0)+1,FALSE)</f>
        <v>【超級】ハイローラー（ハートなし）</v>
      </c>
      <c r="G12" s="205">
        <v>4</v>
      </c>
      <c r="H12" s="205" t="str">
        <f t="shared" si="27"/>
        <v>14002_1-4</v>
      </c>
      <c r="I12" s="206">
        <f ca="1">VLOOKUP($H12,OFFSET(floors!$A$1,0,0,COUNTA(floors!$A:$A),MATCH(I$1,floors!$1:$1,0)-MATCH($H$1,floors!$1:$1,0)+1),MATCH(I$1,floors!$1:$1,0)-MATCH($H$1,floors!$1:$1,0)+1,FALSE)</f>
        <v>60</v>
      </c>
      <c r="J12" s="206">
        <f ca="1">VLOOKUP($H12,OFFSET(floors!$A$1,0,0,COUNTA(floors!$A:$A),MATCH(J$1,floors!$1:$1,0)-MATCH($H$1,floors!$1:$1,0)+1),MATCH(J$1,floors!$1:$1,0)-MATCH($H$1,floors!$1:$1,0)+1,FALSE)</f>
        <v>60</v>
      </c>
      <c r="K12" s="207" t="s">
        <v>142</v>
      </c>
      <c r="L12" s="208">
        <v>120</v>
      </c>
      <c r="M12" s="22" t="str">
        <f ca="1">VLOOKUP($L12,OFFSET([4]enemies!$A$1,0,0,COUNTA([4]enemies!$A:$A),MATCH(M$1,[4]enemies!$1:$1,0)-MATCH($L$1,[4]enemies!$1:$1,0)+1),MATCH(M$1,[4]enemies!$1:$1,0)-MATCH($L$1,[4]enemies!$1:$1,0)+1,FALSE)</f>
        <v>ゴールドキング</v>
      </c>
      <c r="N12" s="22" t="str">
        <f ca="1">VLOOKUP($L12,OFFSET([4]enemies!$A$1,0,0,COUNTA([4]enemies!$A:$A),MATCH(N$1,[4]enemies!$1:$1,0)-MATCH($L$1,[4]enemies!$1:$1,0)+1),MATCH(N$1,[4]enemies!$1:$1,0)-MATCH($L$1,[4]enemies!$1:$1,0)+1,FALSE)</f>
        <v>yellow</v>
      </c>
      <c r="O12" s="22" t="str">
        <f ca="1">VLOOKUP($L12,OFFSET([5]characters!$A$1,0,0,COUNTA([5]characters!$A:$A),MATCH(O$1,[5]characters!$1:$1,0)-MATCH($L$1,[5]characters!$1:$1,0)+1),MATCH(O$1,[5]characters!$1:$1,0)-MATCH($L$1,[5]characters!$1:$1,0)+1,FALSE)</f>
        <v>Material</v>
      </c>
      <c r="P12" s="22" t="str">
        <f ca="1">VLOOKUP($L12,OFFSET([4]enemies!$A$1,0,0,COUNTA([4]enemies!$A:$A),MATCH(P$1,[4]enemies!$1:$1,0)-MATCH($L$1,[4]enemies!$1:$1,0)+1),MATCH(P$1,[4]enemies!$1:$1,0)-MATCH($L$1,[4]enemies!$1:$1,0)+1,FALSE)</f>
        <v>unknown</v>
      </c>
      <c r="Q12" s="22">
        <f ca="1">VLOOKUP($L12,OFFSET([4]enemies!$A$1,0,0,COUNTA([4]enemies!$A:$A),MATCH(Q$1,[4]enemies!$1:$1,0)-MATCH($L$1,[4]enemies!$1:$1,0)+1),MATCH(Q$1,[4]enemies!$1:$1,0)-MATCH($L$1,[4]enemies!$1:$1,0)+1,FALSE)</f>
        <v>20</v>
      </c>
      <c r="R12" s="180">
        <v>47</v>
      </c>
      <c r="S12" s="196">
        <v>18</v>
      </c>
      <c r="T12" s="196">
        <v>10</v>
      </c>
      <c r="U12" s="180">
        <v>0</v>
      </c>
      <c r="V12" s="5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あらわれて_x000D_全てのパネルを 緑パネルにしてしまった！</v>
      </c>
      <c r="W12" s="186">
        <v>14002242</v>
      </c>
      <c r="X12" s="180">
        <v>0</v>
      </c>
      <c r="Y12" s="180">
        <v>9</v>
      </c>
      <c r="Z12" s="180">
        <v>1</v>
      </c>
      <c r="AA12" s="180">
        <v>3</v>
      </c>
      <c r="AB12" s="16">
        <f t="shared" si="28"/>
        <v>120</v>
      </c>
      <c r="AC12" s="22" t="str">
        <f ca="1">VLOOKUP($AB12,OFFSET([5]characters!$A$1,0,0,COUNTA([5]characters!$A:$A),MATCH(AC$1,[5]characters!$1:$1,0)-MATCH("character_id",[5]characters!$1:$1,0)+1),MATCH(AC$1,[5]characters!$1:$1,0)-MATCH("character_id",[5]characters!$1:$1,0)+1,FALSE)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12" s="22">
        <f ca="1">VLOOKUP($AB12,OFFSET([5]characters!$A$1,0,0,COUNTA([5]characters!$A:$A),MATCH(AD$1,[5]characters!$1:$1,0)-MATCH("character_id",[5]characters!$1:$1,0)+1),MATCH(AD$1,[5]characters!$1:$1,0)-MATCH("character_id",[5]characters!$1:$1,0)+1,FALSE)</f>
        <v>6</v>
      </c>
      <c r="AE12" s="22" t="str">
        <f ca="1">VLOOKUP($AB12,OFFSET([5]characters!$A$1,0,0,COUNTA([5]characters!$A:$A),MATCH(AE$1,[5]characters!$1:$1,0)-MATCH("character_id",[5]characters!$1:$1,0)+1),MATCH(AE$1,[5]characters!$1:$1,0)-MATCH("character_id",[5]characters!$1:$1,0)+1,FALSE)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12" s="108">
        <v>1</v>
      </c>
      <c r="AG12" s="109">
        <f t="shared" ca="1" si="29"/>
        <v>6</v>
      </c>
      <c r="AH12" s="180">
        <v>100</v>
      </c>
      <c r="AI12" s="108">
        <v>0</v>
      </c>
      <c r="AJ12" s="108">
        <v>0</v>
      </c>
      <c r="AK12" s="108">
        <v>0</v>
      </c>
      <c r="AL12" s="108">
        <v>0</v>
      </c>
      <c r="AM12" s="108">
        <v>1</v>
      </c>
    </row>
    <row r="13" spans="1:39" ht="21" customHeight="1" x14ac:dyDescent="0.15">
      <c r="A13" s="17" t="str">
        <f t="shared" si="25"/>
        <v>14002_1-4/120&lt;lv48&gt;s3</v>
      </c>
      <c r="B13" s="154">
        <v>14002</v>
      </c>
      <c r="C13" s="205">
        <v>1</v>
      </c>
      <c r="D13" s="205" t="str">
        <f t="shared" si="26"/>
        <v>14002_1</v>
      </c>
      <c r="E13" s="206" t="str">
        <f ca="1">VLOOKUP($B13,OFFSET([2]quests!$A$1,0,0,COUNTA([2]quests!$A:$A),MATCH(E$1,[2]quests!$1:$1,0)-MATCH($B$1,[2]quests!$1:$1,0)+1),MATCH(E$1,[2]quests!$1:$1,0)-MATCH($B$1,[2]quests!$1:$1,0)+1,FALSE)</f>
        <v>【ロック】ビット/ソロ</v>
      </c>
      <c r="F13" s="206" t="str">
        <f ca="1">VLOOKUP($D13,OFFSET([2]stages!$A$1,0,0,COUNTA([2]stages!$A:$A),MATCH(F$1,[2]stages!$2:$2,0)-MATCH($D$1,[2]stages!$2:$2,0)+1),MATCH(F$1,[2]stages!$2:$2,0)-MATCH($D$1,[2]stages!$2:$2,0)+1,FALSE)</f>
        <v>【超級】ハイローラー（ハートなし）</v>
      </c>
      <c r="G13" s="205">
        <v>4</v>
      </c>
      <c r="H13" s="205" t="str">
        <f t="shared" si="27"/>
        <v>14002_1-4</v>
      </c>
      <c r="I13" s="206">
        <f ca="1">VLOOKUP($H13,OFFSET(floors!$A$1,0,0,COUNTA(floors!$A:$A),MATCH(I$1,floors!$1:$1,0)-MATCH($H$1,floors!$1:$1,0)+1),MATCH(I$1,floors!$1:$1,0)-MATCH($H$1,floors!$1:$1,0)+1,FALSE)</f>
        <v>60</v>
      </c>
      <c r="J13" s="206">
        <f ca="1">VLOOKUP($H13,OFFSET(floors!$A$1,0,0,COUNTA(floors!$A:$A),MATCH(J$1,floors!$1:$1,0)-MATCH($H$1,floors!$1:$1,0)+1),MATCH(J$1,floors!$1:$1,0)-MATCH($H$1,floors!$1:$1,0)+1,FALSE)</f>
        <v>60</v>
      </c>
      <c r="K13" s="207" t="s">
        <v>142</v>
      </c>
      <c r="L13" s="208">
        <v>120</v>
      </c>
      <c r="M13" s="22" t="str">
        <f ca="1">VLOOKUP($L13,OFFSET([4]enemies!$A$1,0,0,COUNTA([4]enemies!$A:$A),MATCH(M$1,[4]enemies!$1:$1,0)-MATCH($L$1,[4]enemies!$1:$1,0)+1),MATCH(M$1,[4]enemies!$1:$1,0)-MATCH($L$1,[4]enemies!$1:$1,0)+1,FALSE)</f>
        <v>ゴールドキング</v>
      </c>
      <c r="N13" s="22" t="str">
        <f ca="1">VLOOKUP($L13,OFFSET([4]enemies!$A$1,0,0,COUNTA([4]enemies!$A:$A),MATCH(N$1,[4]enemies!$1:$1,0)-MATCH($L$1,[4]enemies!$1:$1,0)+1),MATCH(N$1,[4]enemies!$1:$1,0)-MATCH($L$1,[4]enemies!$1:$1,0)+1,FALSE)</f>
        <v>yellow</v>
      </c>
      <c r="O13" s="22" t="str">
        <f ca="1">VLOOKUP($L13,OFFSET([5]characters!$A$1,0,0,COUNTA([5]characters!$A:$A),MATCH(O$1,[5]characters!$1:$1,0)-MATCH($L$1,[5]characters!$1:$1,0)+1),MATCH(O$1,[5]characters!$1:$1,0)-MATCH($L$1,[5]characters!$1:$1,0)+1,FALSE)</f>
        <v>Material</v>
      </c>
      <c r="P13" s="22" t="str">
        <f ca="1">VLOOKUP($L13,OFFSET([4]enemies!$A$1,0,0,COUNTA([4]enemies!$A:$A),MATCH(P$1,[4]enemies!$1:$1,0)-MATCH($L$1,[4]enemies!$1:$1,0)+1),MATCH(P$1,[4]enemies!$1:$1,0)-MATCH($L$1,[4]enemies!$1:$1,0)+1,FALSE)</f>
        <v>unknown</v>
      </c>
      <c r="Q13" s="22">
        <f ca="1">VLOOKUP($L13,OFFSET([4]enemies!$A$1,0,0,COUNTA([4]enemies!$A:$A),MATCH(Q$1,[4]enemies!$1:$1,0)-MATCH($L$1,[4]enemies!$1:$1,0)+1),MATCH(Q$1,[4]enemies!$1:$1,0)-MATCH($L$1,[4]enemies!$1:$1,0)+1,FALSE)</f>
        <v>20</v>
      </c>
      <c r="R13" s="180">
        <v>48</v>
      </c>
      <c r="S13" s="196">
        <v>18</v>
      </c>
      <c r="T13" s="196">
        <v>10</v>
      </c>
      <c r="U13" s="180">
        <v>0</v>
      </c>
      <c r="V13" s="5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あらわれて_x000D_全てのパネルを 黄パネルにしてしまった！</v>
      </c>
      <c r="W13" s="186">
        <v>14002243</v>
      </c>
      <c r="X13" s="180">
        <v>0</v>
      </c>
      <c r="Y13" s="180">
        <v>9</v>
      </c>
      <c r="Z13" s="180">
        <v>1</v>
      </c>
      <c r="AA13" s="180">
        <v>3</v>
      </c>
      <c r="AB13" s="16">
        <f t="shared" si="28"/>
        <v>120</v>
      </c>
      <c r="AC13" s="22" t="str">
        <f ca="1">VLOOKUP($AB13,OFFSET([5]characters!$A$1,0,0,COUNTA([5]characters!$A:$A),MATCH(AC$1,[5]characters!$1:$1,0)-MATCH("character_id",[5]characters!$1:$1,0)+1),MATCH(AC$1,[5]characters!$1:$1,0)-MATCH("character_id",[5]characters!$1:$1,0)+1,FALSE)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13" s="22">
        <f ca="1">VLOOKUP($AB13,OFFSET([5]characters!$A$1,0,0,COUNTA([5]characters!$A:$A),MATCH(AD$1,[5]characters!$1:$1,0)-MATCH("character_id",[5]characters!$1:$1,0)+1),MATCH(AD$1,[5]characters!$1:$1,0)-MATCH("character_id",[5]characters!$1:$1,0)+1,FALSE)</f>
        <v>6</v>
      </c>
      <c r="AE13" s="22" t="str">
        <f ca="1">VLOOKUP($AB13,OFFSET([5]characters!$A$1,0,0,COUNTA([5]characters!$A:$A),MATCH(AE$1,[5]characters!$1:$1,0)-MATCH("character_id",[5]characters!$1:$1,0)+1),MATCH(AE$1,[5]characters!$1:$1,0)-MATCH("character_id",[5]characters!$1:$1,0)+1,FALSE)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13" s="108">
        <v>1</v>
      </c>
      <c r="AG13" s="109">
        <f t="shared" ca="1" si="29"/>
        <v>6</v>
      </c>
      <c r="AH13" s="180">
        <v>100</v>
      </c>
      <c r="AI13" s="108">
        <v>0</v>
      </c>
      <c r="AJ13" s="108">
        <v>0</v>
      </c>
      <c r="AK13" s="108">
        <v>0</v>
      </c>
      <c r="AL13" s="108">
        <v>0</v>
      </c>
      <c r="AM13" s="108">
        <v>1</v>
      </c>
    </row>
    <row r="14" spans="1:39" ht="21" customHeight="1" x14ac:dyDescent="0.15">
      <c r="A14" s="17" t="str">
        <f t="shared" si="25"/>
        <v>14002_1-4/120&lt;lv49&gt;s3</v>
      </c>
      <c r="B14" s="154">
        <v>14002</v>
      </c>
      <c r="C14" s="205">
        <v>1</v>
      </c>
      <c r="D14" s="205" t="str">
        <f t="shared" si="26"/>
        <v>14002_1</v>
      </c>
      <c r="E14" s="206" t="str">
        <f ca="1">VLOOKUP($B14,OFFSET([2]quests!$A$1,0,0,COUNTA([2]quests!$A:$A),MATCH(E$1,[2]quests!$1:$1,0)-MATCH($B$1,[2]quests!$1:$1,0)+1),MATCH(E$1,[2]quests!$1:$1,0)-MATCH($B$1,[2]quests!$1:$1,0)+1,FALSE)</f>
        <v>【ロック】ビット/ソロ</v>
      </c>
      <c r="F14" s="206" t="str">
        <f ca="1">VLOOKUP($D14,OFFSET([2]stages!$A$1,0,0,COUNTA([2]stages!$A:$A),MATCH(F$1,[2]stages!$2:$2,0)-MATCH($D$1,[2]stages!$2:$2,0)+1),MATCH(F$1,[2]stages!$2:$2,0)-MATCH($D$1,[2]stages!$2:$2,0)+1,FALSE)</f>
        <v>【超級】ハイローラー（ハートなし）</v>
      </c>
      <c r="G14" s="205">
        <v>4</v>
      </c>
      <c r="H14" s="205" t="str">
        <f t="shared" si="27"/>
        <v>14002_1-4</v>
      </c>
      <c r="I14" s="206">
        <f ca="1">VLOOKUP($H14,OFFSET(floors!$A$1,0,0,COUNTA(floors!$A:$A),MATCH(I$1,floors!$1:$1,0)-MATCH($H$1,floors!$1:$1,0)+1),MATCH(I$1,floors!$1:$1,0)-MATCH($H$1,floors!$1:$1,0)+1,FALSE)</f>
        <v>60</v>
      </c>
      <c r="J14" s="206">
        <f ca="1">VLOOKUP($H14,OFFSET(floors!$A$1,0,0,COUNTA(floors!$A:$A),MATCH(J$1,floors!$1:$1,0)-MATCH($H$1,floors!$1:$1,0)+1),MATCH(J$1,floors!$1:$1,0)-MATCH($H$1,floors!$1:$1,0)+1,FALSE)</f>
        <v>60</v>
      </c>
      <c r="K14" s="207" t="s">
        <v>142</v>
      </c>
      <c r="L14" s="208">
        <v>120</v>
      </c>
      <c r="M14" s="22" t="str">
        <f ca="1">VLOOKUP($L14,OFFSET([4]enemies!$A$1,0,0,COUNTA([4]enemies!$A:$A),MATCH(M$1,[4]enemies!$1:$1,0)-MATCH($L$1,[4]enemies!$1:$1,0)+1),MATCH(M$1,[4]enemies!$1:$1,0)-MATCH($L$1,[4]enemies!$1:$1,0)+1,FALSE)</f>
        <v>ゴールドキング</v>
      </c>
      <c r="N14" s="22" t="str">
        <f ca="1">VLOOKUP($L14,OFFSET([4]enemies!$A$1,0,0,COUNTA([4]enemies!$A:$A),MATCH(N$1,[4]enemies!$1:$1,0)-MATCH($L$1,[4]enemies!$1:$1,0)+1),MATCH(N$1,[4]enemies!$1:$1,0)-MATCH($L$1,[4]enemies!$1:$1,0)+1,FALSE)</f>
        <v>yellow</v>
      </c>
      <c r="O14" s="22" t="str">
        <f ca="1">VLOOKUP($L14,OFFSET([5]characters!$A$1,0,0,COUNTA([5]characters!$A:$A),MATCH(O$1,[5]characters!$1:$1,0)-MATCH($L$1,[5]characters!$1:$1,0)+1),MATCH(O$1,[5]characters!$1:$1,0)-MATCH($L$1,[5]characters!$1:$1,0)+1,FALSE)</f>
        <v>Material</v>
      </c>
      <c r="P14" s="22" t="str">
        <f ca="1">VLOOKUP($L14,OFFSET([4]enemies!$A$1,0,0,COUNTA([4]enemies!$A:$A),MATCH(P$1,[4]enemies!$1:$1,0)-MATCH($L$1,[4]enemies!$1:$1,0)+1),MATCH(P$1,[4]enemies!$1:$1,0)-MATCH($L$1,[4]enemies!$1:$1,0)+1,FALSE)</f>
        <v>unknown</v>
      </c>
      <c r="Q14" s="22">
        <f ca="1">VLOOKUP($L14,OFFSET([4]enemies!$A$1,0,0,COUNTA([4]enemies!$A:$A),MATCH(Q$1,[4]enemies!$1:$1,0)-MATCH($L$1,[4]enemies!$1:$1,0)+1),MATCH(Q$1,[4]enemies!$1:$1,0)-MATCH($L$1,[4]enemies!$1:$1,0)+1,FALSE)</f>
        <v>20</v>
      </c>
      <c r="R14" s="180">
        <v>49</v>
      </c>
      <c r="S14" s="196">
        <v>18</v>
      </c>
      <c r="T14" s="196">
        <v>10</v>
      </c>
      <c r="U14" s="180">
        <v>0</v>
      </c>
      <c r="V14" s="5" t="str">
        <f ca="1">VLOOKUP($W14,OFFSET(enemy_skill_sets!$B$1,0,0,COUNTA(enemy_skill_sets!$B:$B),MATCH(M$1,enemy_skill_sets!$1:$1,0)-MATCH($W$1,enemy_skill_sets!$1:$1,0)+2),MATCH(M$1,enemy_skill_sets!$1:$1,0)-MATCH($W$1,enemy_skill_sets!$1:$1,0)+2,FALSE)</f>
        <v>ゴールドキングの援助で_x000D_全ユニットがやる気になった！</v>
      </c>
      <c r="W14" s="186">
        <v>14002244</v>
      </c>
      <c r="X14" s="180">
        <v>0</v>
      </c>
      <c r="Y14" s="180">
        <v>9</v>
      </c>
      <c r="Z14" s="180">
        <v>1</v>
      </c>
      <c r="AA14" s="180">
        <v>3</v>
      </c>
      <c r="AB14" s="16">
        <f t="shared" si="28"/>
        <v>120</v>
      </c>
      <c r="AC14" s="22" t="str">
        <f ca="1">VLOOKUP($AB14,OFFSET([5]characters!$A$1,0,0,COUNTA([5]characters!$A:$A),MATCH(AC$1,[5]characters!$1:$1,0)-MATCH("character_id",[5]characters!$1:$1,0)+1),MATCH(AC$1,[5]characters!$1:$1,0)-MATCH("character_id",[5]characters!$1:$1,0)+1,FALSE)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14" s="22">
        <f ca="1">VLOOKUP($AB14,OFFSET([5]characters!$A$1,0,0,COUNTA([5]characters!$A:$A),MATCH(AD$1,[5]characters!$1:$1,0)-MATCH("character_id",[5]characters!$1:$1,0)+1),MATCH(AD$1,[5]characters!$1:$1,0)-MATCH("character_id",[5]characters!$1:$1,0)+1,FALSE)</f>
        <v>6</v>
      </c>
      <c r="AE14" s="22" t="str">
        <f ca="1">VLOOKUP($AB14,OFFSET([5]characters!$A$1,0,0,COUNTA([5]characters!$A:$A),MATCH(AE$1,[5]characters!$1:$1,0)-MATCH("character_id",[5]characters!$1:$1,0)+1),MATCH(AE$1,[5]characters!$1:$1,0)-MATCH("character_id",[5]characters!$1:$1,0)+1,FALSE)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14" s="108">
        <v>1</v>
      </c>
      <c r="AG14" s="109">
        <f t="shared" ca="1" si="29"/>
        <v>6</v>
      </c>
      <c r="AH14" s="180">
        <v>100</v>
      </c>
      <c r="AI14" s="108">
        <v>0</v>
      </c>
      <c r="AJ14" s="108">
        <v>0</v>
      </c>
      <c r="AK14" s="108">
        <v>0</v>
      </c>
      <c r="AL14" s="108">
        <v>0</v>
      </c>
      <c r="AM14" s="108">
        <v>1</v>
      </c>
    </row>
    <row r="15" spans="1:39" ht="21" customHeight="1" x14ac:dyDescent="0.15">
      <c r="A15" s="17" t="str">
        <f t="shared" ref="A15:A20" si="30">B15&amp;"_"&amp;C15&amp;"-"&amp;G15&amp;"/"&amp;L15&amp;"&lt;lv"&amp;R15&amp;"&gt;s"&amp;AA15</f>
        <v>14002_1-4/120&lt;lv51&gt;s3</v>
      </c>
      <c r="B15" s="154">
        <v>14002</v>
      </c>
      <c r="C15" s="205">
        <v>1</v>
      </c>
      <c r="D15" s="205" t="str">
        <f t="shared" ref="D15:D20" si="31">B15&amp;"_"&amp;C15</f>
        <v>14002_1</v>
      </c>
      <c r="E15" s="206" t="str">
        <f ca="1">VLOOKUP($B15,OFFSET([2]quests!$A$1,0,0,COUNTA([2]quests!$A:$A),MATCH(E$1,[2]quests!$1:$1,0)-MATCH($B$1,[2]quests!$1:$1,0)+1),MATCH(E$1,[2]quests!$1:$1,0)-MATCH($B$1,[2]quests!$1:$1,0)+1,FALSE)</f>
        <v>【ロック】ビット/ソロ</v>
      </c>
      <c r="F15" s="206" t="str">
        <f ca="1">VLOOKUP($D15,OFFSET([2]stages!$A$1,0,0,COUNTA([2]stages!$A:$A),MATCH(F$1,[2]stages!$2:$2,0)-MATCH($D$1,[2]stages!$2:$2,0)+1),MATCH(F$1,[2]stages!$2:$2,0)-MATCH($D$1,[2]stages!$2:$2,0)+1,FALSE)</f>
        <v>【超級】ハイローラー（ハートなし）</v>
      </c>
      <c r="G15" s="205">
        <v>4</v>
      </c>
      <c r="H15" s="205" t="str">
        <f t="shared" ref="H15:H20" si="32">B15&amp;"_"&amp;C15&amp;"-"&amp;G15</f>
        <v>14002_1-4</v>
      </c>
      <c r="I15" s="206">
        <f ca="1">VLOOKUP($H15,OFFSET(floors!$A$1,0,0,COUNTA(floors!$A:$A),MATCH(I$1,floors!$1:$1,0)-MATCH($H$1,floors!$1:$1,0)+1),MATCH(I$1,floors!$1:$1,0)-MATCH($H$1,floors!$1:$1,0)+1,FALSE)</f>
        <v>60</v>
      </c>
      <c r="J15" s="206">
        <f ca="1">VLOOKUP($H15,OFFSET(floors!$A$1,0,0,COUNTA(floors!$A:$A),MATCH(J$1,floors!$1:$1,0)-MATCH($H$1,floors!$1:$1,0)+1),MATCH(J$1,floors!$1:$1,0)-MATCH($H$1,floors!$1:$1,0)+1,FALSE)</f>
        <v>60</v>
      </c>
      <c r="K15" s="207" t="s">
        <v>142</v>
      </c>
      <c r="L15" s="208">
        <v>120</v>
      </c>
      <c r="M15" s="22" t="str">
        <f ca="1">VLOOKUP($L15,OFFSET([4]enemies!$A$1,0,0,COUNTA([4]enemies!$A:$A),MATCH(M$1,[4]enemies!$1:$1,0)-MATCH($L$1,[4]enemies!$1:$1,0)+1),MATCH(M$1,[4]enemies!$1:$1,0)-MATCH($L$1,[4]enemies!$1:$1,0)+1,FALSE)</f>
        <v>ゴールドキング</v>
      </c>
      <c r="N15" s="22" t="str">
        <f ca="1">VLOOKUP($L15,OFFSET([4]enemies!$A$1,0,0,COUNTA([4]enemies!$A:$A),MATCH(N$1,[4]enemies!$1:$1,0)-MATCH($L$1,[4]enemies!$1:$1,0)+1),MATCH(N$1,[4]enemies!$1:$1,0)-MATCH($L$1,[4]enemies!$1:$1,0)+1,FALSE)</f>
        <v>yellow</v>
      </c>
      <c r="O15" s="22" t="str">
        <f ca="1">VLOOKUP($L15,OFFSET([5]characters!$A$1,0,0,COUNTA([5]characters!$A:$A),MATCH(O$1,[5]characters!$1:$1,0)-MATCH($L$1,[5]characters!$1:$1,0)+1),MATCH(O$1,[5]characters!$1:$1,0)-MATCH($L$1,[5]characters!$1:$1,0)+1,FALSE)</f>
        <v>Material</v>
      </c>
      <c r="P15" s="22" t="str">
        <f ca="1">VLOOKUP($L15,OFFSET([4]enemies!$A$1,0,0,COUNTA([4]enemies!$A:$A),MATCH(P$1,[4]enemies!$1:$1,0)-MATCH($L$1,[4]enemies!$1:$1,0)+1),MATCH(P$1,[4]enemies!$1:$1,0)-MATCH($L$1,[4]enemies!$1:$1,0)+1,FALSE)</f>
        <v>unknown</v>
      </c>
      <c r="Q15" s="22">
        <f ca="1">VLOOKUP($L15,OFFSET([4]enemies!$A$1,0,0,COUNTA([4]enemies!$A:$A),MATCH(Q$1,[4]enemies!$1:$1,0)-MATCH($L$1,[4]enemies!$1:$1,0)+1),MATCH(Q$1,[4]enemies!$1:$1,0)-MATCH($L$1,[4]enemies!$1:$1,0)+1,FALSE)</f>
        <v>20</v>
      </c>
      <c r="R15" s="180">
        <v>51</v>
      </c>
      <c r="S15" s="196">
        <v>18</v>
      </c>
      <c r="T15" s="196">
        <v>10</v>
      </c>
      <c r="U15" s="180">
        <v>0</v>
      </c>
      <c r="V15" s="5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あらわれて_x000D_全員で 眠りはじめた！</v>
      </c>
      <c r="W15" s="186">
        <v>14002245</v>
      </c>
      <c r="X15" s="180">
        <v>0</v>
      </c>
      <c r="Y15" s="180">
        <v>9</v>
      </c>
      <c r="Z15" s="180">
        <v>1</v>
      </c>
      <c r="AA15" s="180">
        <v>3</v>
      </c>
      <c r="AB15" s="16">
        <f t="shared" ref="AB15:AB20" si="33">L15</f>
        <v>120</v>
      </c>
      <c r="AC15" s="22" t="str">
        <f ca="1">VLOOKUP($AB15,OFFSET([5]characters!$A$1,0,0,COUNTA([5]characters!$A:$A),MATCH(AC$1,[5]characters!$1:$1,0)-MATCH("character_id",[5]characters!$1:$1,0)+1),MATCH(AC$1,[5]characters!$1:$1,0)-MATCH("character_id",[5]characters!$1:$1,0)+1,FALSE)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15" s="22">
        <f ca="1">VLOOKUP($AB15,OFFSET([5]characters!$A$1,0,0,COUNTA([5]characters!$A:$A),MATCH(AD$1,[5]characters!$1:$1,0)-MATCH("character_id",[5]characters!$1:$1,0)+1),MATCH(AD$1,[5]characters!$1:$1,0)-MATCH("character_id",[5]characters!$1:$1,0)+1,FALSE)</f>
        <v>6</v>
      </c>
      <c r="AE15" s="22" t="str">
        <f ca="1">VLOOKUP($AB15,OFFSET([5]characters!$A$1,0,0,COUNTA([5]characters!$A:$A),MATCH(AE$1,[5]characters!$1:$1,0)-MATCH("character_id",[5]characters!$1:$1,0)+1),MATCH(AE$1,[5]characters!$1:$1,0)-MATCH("character_id",[5]characters!$1:$1,0)+1,FALSE)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15" s="108">
        <v>1</v>
      </c>
      <c r="AG15" s="109">
        <f t="shared" ref="AG15:AG20" ca="1" si="34">AD15</f>
        <v>6</v>
      </c>
      <c r="AH15" s="180">
        <v>100</v>
      </c>
      <c r="AI15" s="108">
        <v>0</v>
      </c>
      <c r="AJ15" s="108">
        <v>0</v>
      </c>
      <c r="AK15" s="108">
        <v>0</v>
      </c>
      <c r="AL15" s="108">
        <v>0</v>
      </c>
      <c r="AM15" s="108">
        <v>1</v>
      </c>
    </row>
    <row r="16" spans="1:39" ht="21" customHeight="1" x14ac:dyDescent="0.15">
      <c r="A16" s="17" t="str">
        <f t="shared" si="30"/>
        <v>14002_1-4/120&lt;lv52&gt;s3</v>
      </c>
      <c r="B16" s="154">
        <v>14002</v>
      </c>
      <c r="C16" s="205">
        <v>1</v>
      </c>
      <c r="D16" s="205" t="str">
        <f t="shared" si="31"/>
        <v>14002_1</v>
      </c>
      <c r="E16" s="206" t="str">
        <f ca="1">VLOOKUP($B16,OFFSET([2]quests!$A$1,0,0,COUNTA([2]quests!$A:$A),MATCH(E$1,[2]quests!$1:$1,0)-MATCH($B$1,[2]quests!$1:$1,0)+1),MATCH(E$1,[2]quests!$1:$1,0)-MATCH($B$1,[2]quests!$1:$1,0)+1,FALSE)</f>
        <v>【ロック】ビット/ソロ</v>
      </c>
      <c r="F16" s="206" t="str">
        <f ca="1">VLOOKUP($D16,OFFSET([2]stages!$A$1,0,0,COUNTA([2]stages!$A:$A),MATCH(F$1,[2]stages!$2:$2,0)-MATCH($D$1,[2]stages!$2:$2,0)+1),MATCH(F$1,[2]stages!$2:$2,0)-MATCH($D$1,[2]stages!$2:$2,0)+1,FALSE)</f>
        <v>【超級】ハイローラー（ハートなし）</v>
      </c>
      <c r="G16" s="205">
        <v>4</v>
      </c>
      <c r="H16" s="205" t="str">
        <f t="shared" si="32"/>
        <v>14002_1-4</v>
      </c>
      <c r="I16" s="206">
        <f ca="1">VLOOKUP($H16,OFFSET(floors!$A$1,0,0,COUNTA(floors!$A:$A),MATCH(I$1,floors!$1:$1,0)-MATCH($H$1,floors!$1:$1,0)+1),MATCH(I$1,floors!$1:$1,0)-MATCH($H$1,floors!$1:$1,0)+1,FALSE)</f>
        <v>60</v>
      </c>
      <c r="J16" s="206">
        <f ca="1">VLOOKUP($H16,OFFSET(floors!$A$1,0,0,COUNTA(floors!$A:$A),MATCH(J$1,floors!$1:$1,0)-MATCH($H$1,floors!$1:$1,0)+1),MATCH(J$1,floors!$1:$1,0)-MATCH($H$1,floors!$1:$1,0)+1,FALSE)</f>
        <v>60</v>
      </c>
      <c r="K16" s="207" t="s">
        <v>142</v>
      </c>
      <c r="L16" s="208">
        <v>120</v>
      </c>
      <c r="M16" s="22" t="str">
        <f ca="1">VLOOKUP($L16,OFFSET([4]enemies!$A$1,0,0,COUNTA([4]enemies!$A:$A),MATCH(M$1,[4]enemies!$1:$1,0)-MATCH($L$1,[4]enemies!$1:$1,0)+1),MATCH(M$1,[4]enemies!$1:$1,0)-MATCH($L$1,[4]enemies!$1:$1,0)+1,FALSE)</f>
        <v>ゴールドキング</v>
      </c>
      <c r="N16" s="22" t="str">
        <f ca="1">VLOOKUP($L16,OFFSET([4]enemies!$A$1,0,0,COUNTA([4]enemies!$A:$A),MATCH(N$1,[4]enemies!$1:$1,0)-MATCH($L$1,[4]enemies!$1:$1,0)+1),MATCH(N$1,[4]enemies!$1:$1,0)-MATCH($L$1,[4]enemies!$1:$1,0)+1,FALSE)</f>
        <v>yellow</v>
      </c>
      <c r="O16" s="22" t="str">
        <f ca="1">VLOOKUP($L16,OFFSET([5]characters!$A$1,0,0,COUNTA([5]characters!$A:$A),MATCH(O$1,[5]characters!$1:$1,0)-MATCH($L$1,[5]characters!$1:$1,0)+1),MATCH(O$1,[5]characters!$1:$1,0)-MATCH($L$1,[5]characters!$1:$1,0)+1,FALSE)</f>
        <v>Material</v>
      </c>
      <c r="P16" s="22" t="str">
        <f ca="1">VLOOKUP($L16,OFFSET([4]enemies!$A$1,0,0,COUNTA([4]enemies!$A:$A),MATCH(P$1,[4]enemies!$1:$1,0)-MATCH($L$1,[4]enemies!$1:$1,0)+1),MATCH(P$1,[4]enemies!$1:$1,0)-MATCH($L$1,[4]enemies!$1:$1,0)+1,FALSE)</f>
        <v>unknown</v>
      </c>
      <c r="Q16" s="22">
        <f ca="1">VLOOKUP($L16,OFFSET([4]enemies!$A$1,0,0,COUNTA([4]enemies!$A:$A),MATCH(Q$1,[4]enemies!$1:$1,0)-MATCH($L$1,[4]enemies!$1:$1,0)+1),MATCH(Q$1,[4]enemies!$1:$1,0)-MATCH($L$1,[4]enemies!$1:$1,0)+1,FALSE)</f>
        <v>20</v>
      </c>
      <c r="R16" s="180">
        <v>52</v>
      </c>
      <c r="S16" s="196">
        <v>18</v>
      </c>
      <c r="T16" s="196">
        <v>10</v>
      </c>
      <c r="U16" s="180">
        <v>0</v>
      </c>
      <c r="V16" s="5" t="str">
        <f ca="1">VLOOKUP($W16,OFFSET(enemy_skill_sets!$B$1,0,0,COUNTA(enemy_skill_sets!$B:$B),MATCH(M$1,enemy_skill_sets!$1:$1,0)-MATCH($W$1,enemy_skill_sets!$1:$1,0)+2),MATCH(M$1,enemy_skill_sets!$1:$1,0)-MATCH($W$1,enemy_skill_sets!$1:$1,0)+2,FALSE)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あらわれて_x000D_ボムパネルを 3個つくった！</v>
      </c>
      <c r="W16" s="186">
        <v>14002246</v>
      </c>
      <c r="X16" s="180">
        <v>0</v>
      </c>
      <c r="Y16" s="180">
        <v>9</v>
      </c>
      <c r="Z16" s="180">
        <v>1</v>
      </c>
      <c r="AA16" s="180">
        <v>3</v>
      </c>
      <c r="AB16" s="16">
        <f t="shared" si="33"/>
        <v>120</v>
      </c>
      <c r="AC16" s="22" t="str">
        <f ca="1">VLOOKUP($AB16,OFFSET([5]characters!$A$1,0,0,COUNTA([5]characters!$A:$A),MATCH(AC$1,[5]characters!$1:$1,0)-MATCH("character_id",[5]characters!$1:$1,0)+1),MATCH(AC$1,[5]characters!$1:$1,0)-MATCH("character_id",[5]characters!$1:$1,0)+1,FALSE)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16" s="22">
        <f ca="1">VLOOKUP($AB16,OFFSET([5]characters!$A$1,0,0,COUNTA([5]characters!$A:$A),MATCH(AD$1,[5]characters!$1:$1,0)-MATCH("character_id",[5]characters!$1:$1,0)+1),MATCH(AD$1,[5]characters!$1:$1,0)-MATCH("character_id",[5]characters!$1:$1,0)+1,FALSE)</f>
        <v>6</v>
      </c>
      <c r="AE16" s="22" t="str">
        <f ca="1">VLOOKUP($AB16,OFFSET([5]characters!$A$1,0,0,COUNTA([5]characters!$A:$A),MATCH(AE$1,[5]characters!$1:$1,0)-MATCH("character_id",[5]characters!$1:$1,0)+1),MATCH(AE$1,[5]characters!$1:$1,0)-MATCH("character_id",[5]characters!$1:$1,0)+1,FALSE)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16" s="108">
        <v>1</v>
      </c>
      <c r="AG16" s="109">
        <f t="shared" ca="1" si="34"/>
        <v>6</v>
      </c>
      <c r="AH16" s="180">
        <v>100</v>
      </c>
      <c r="AI16" s="108">
        <v>0</v>
      </c>
      <c r="AJ16" s="108">
        <v>0</v>
      </c>
      <c r="AK16" s="108">
        <v>0</v>
      </c>
      <c r="AL16" s="108">
        <v>0</v>
      </c>
      <c r="AM16" s="108">
        <v>1</v>
      </c>
    </row>
    <row r="17" spans="1:39" ht="21" customHeight="1" x14ac:dyDescent="0.15">
      <c r="A17" s="17" t="str">
        <f t="shared" si="30"/>
        <v>14002_1-4/120&lt;lv53&gt;s3</v>
      </c>
      <c r="B17" s="154">
        <v>14002</v>
      </c>
      <c r="C17" s="205">
        <v>1</v>
      </c>
      <c r="D17" s="205" t="str">
        <f t="shared" si="31"/>
        <v>14002_1</v>
      </c>
      <c r="E17" s="206" t="str">
        <f ca="1">VLOOKUP($B17,OFFSET([2]quests!$A$1,0,0,COUNTA([2]quests!$A:$A),MATCH(E$1,[2]quests!$1:$1,0)-MATCH($B$1,[2]quests!$1:$1,0)+1),MATCH(E$1,[2]quests!$1:$1,0)-MATCH($B$1,[2]quests!$1:$1,0)+1,FALSE)</f>
        <v>【ロック】ビット/ソロ</v>
      </c>
      <c r="F17" s="206" t="str">
        <f ca="1">VLOOKUP($D17,OFFSET([2]stages!$A$1,0,0,COUNTA([2]stages!$A:$A),MATCH(F$1,[2]stages!$2:$2,0)-MATCH($D$1,[2]stages!$2:$2,0)+1),MATCH(F$1,[2]stages!$2:$2,0)-MATCH($D$1,[2]stages!$2:$2,0)+1,FALSE)</f>
        <v>【超級】ハイローラー（ハートなし）</v>
      </c>
      <c r="G17" s="205">
        <v>4</v>
      </c>
      <c r="H17" s="205" t="str">
        <f t="shared" si="32"/>
        <v>14002_1-4</v>
      </c>
      <c r="I17" s="206">
        <f ca="1">VLOOKUP($H17,OFFSET(floors!$A$1,0,0,COUNTA(floors!$A:$A),MATCH(I$1,floors!$1:$1,0)-MATCH($H$1,floors!$1:$1,0)+1),MATCH(I$1,floors!$1:$1,0)-MATCH($H$1,floors!$1:$1,0)+1,FALSE)</f>
        <v>60</v>
      </c>
      <c r="J17" s="206">
        <f ca="1">VLOOKUP($H17,OFFSET(floors!$A$1,0,0,COUNTA(floors!$A:$A),MATCH(J$1,floors!$1:$1,0)-MATCH($H$1,floors!$1:$1,0)+1),MATCH(J$1,floors!$1:$1,0)-MATCH($H$1,floors!$1:$1,0)+1,FALSE)</f>
        <v>60</v>
      </c>
      <c r="K17" s="207" t="s">
        <v>142</v>
      </c>
      <c r="L17" s="208">
        <v>120</v>
      </c>
      <c r="M17" s="22" t="str">
        <f ca="1">VLOOKUP($L17,OFFSET([4]enemies!$A$1,0,0,COUNTA([4]enemies!$A:$A),MATCH(M$1,[4]enemies!$1:$1,0)-MATCH($L$1,[4]enemies!$1:$1,0)+1),MATCH(M$1,[4]enemies!$1:$1,0)-MATCH($L$1,[4]enemies!$1:$1,0)+1,FALSE)</f>
        <v>ゴールドキング</v>
      </c>
      <c r="N17" s="22" t="str">
        <f ca="1">VLOOKUP($L17,OFFSET([4]enemies!$A$1,0,0,COUNTA([4]enemies!$A:$A),MATCH(N$1,[4]enemies!$1:$1,0)-MATCH($L$1,[4]enemies!$1:$1,0)+1),MATCH(N$1,[4]enemies!$1:$1,0)-MATCH($L$1,[4]enemies!$1:$1,0)+1,FALSE)</f>
        <v>yellow</v>
      </c>
      <c r="O17" s="22" t="str">
        <f ca="1">VLOOKUP($L17,OFFSET([5]characters!$A$1,0,0,COUNTA([5]characters!$A:$A),MATCH(O$1,[5]characters!$1:$1,0)-MATCH($L$1,[5]characters!$1:$1,0)+1),MATCH(O$1,[5]characters!$1:$1,0)-MATCH($L$1,[5]characters!$1:$1,0)+1,FALSE)</f>
        <v>Material</v>
      </c>
      <c r="P17" s="22" t="str">
        <f ca="1">VLOOKUP($L17,OFFSET([4]enemies!$A$1,0,0,COUNTA([4]enemies!$A:$A),MATCH(P$1,[4]enemies!$1:$1,0)-MATCH($L$1,[4]enemies!$1:$1,0)+1),MATCH(P$1,[4]enemies!$1:$1,0)-MATCH($L$1,[4]enemies!$1:$1,0)+1,FALSE)</f>
        <v>unknown</v>
      </c>
      <c r="Q17" s="22">
        <f ca="1">VLOOKUP($L17,OFFSET([4]enemies!$A$1,0,0,COUNTA([4]enemies!$A:$A),MATCH(Q$1,[4]enemies!$1:$1,0)-MATCH($L$1,[4]enemies!$1:$1,0)+1),MATCH(Q$1,[4]enemies!$1:$1,0)-MATCH($L$1,[4]enemies!$1:$1,0)+1,FALSE)</f>
        <v>20</v>
      </c>
      <c r="R17" s="180">
        <v>53</v>
      </c>
      <c r="S17" s="196">
        <v>18</v>
      </c>
      <c r="T17" s="196">
        <v>10</v>
      </c>
      <c r="U17" s="180">
        <v>0</v>
      </c>
      <c r="V17" s="5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あらわれて_x000D_毒を皿ごと食べてしまった！</v>
      </c>
      <c r="W17" s="186">
        <v>14002247</v>
      </c>
      <c r="X17" s="180">
        <v>0</v>
      </c>
      <c r="Y17" s="180">
        <v>9</v>
      </c>
      <c r="Z17" s="180">
        <v>1</v>
      </c>
      <c r="AA17" s="180">
        <v>3</v>
      </c>
      <c r="AB17" s="16">
        <f t="shared" si="33"/>
        <v>120</v>
      </c>
      <c r="AC17" s="22" t="str">
        <f ca="1">VLOOKUP($AB17,OFFSET([5]characters!$A$1,0,0,COUNTA([5]characters!$A:$A),MATCH(AC$1,[5]characters!$1:$1,0)-MATCH("character_id",[5]characters!$1:$1,0)+1),MATCH(AC$1,[5]characters!$1:$1,0)-MATCH("character_id",[5]characters!$1:$1,0)+1,FALSE)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17" s="22">
        <f ca="1">VLOOKUP($AB17,OFFSET([5]characters!$A$1,0,0,COUNTA([5]characters!$A:$A),MATCH(AD$1,[5]characters!$1:$1,0)-MATCH("character_id",[5]characters!$1:$1,0)+1),MATCH(AD$1,[5]characters!$1:$1,0)-MATCH("character_id",[5]characters!$1:$1,0)+1,FALSE)</f>
        <v>6</v>
      </c>
      <c r="AE17" s="22" t="str">
        <f ca="1">VLOOKUP($AB17,OFFSET([5]characters!$A$1,0,0,COUNTA([5]characters!$A:$A),MATCH(AE$1,[5]characters!$1:$1,0)-MATCH("character_id",[5]characters!$1:$1,0)+1),MATCH(AE$1,[5]characters!$1:$1,0)-MATCH("character_id",[5]characters!$1:$1,0)+1,FALSE)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17" s="108">
        <v>1</v>
      </c>
      <c r="AG17" s="109">
        <f t="shared" ca="1" si="34"/>
        <v>6</v>
      </c>
      <c r="AH17" s="180">
        <v>100</v>
      </c>
      <c r="AI17" s="108">
        <v>0</v>
      </c>
      <c r="AJ17" s="108">
        <v>0</v>
      </c>
      <c r="AK17" s="108">
        <v>0</v>
      </c>
      <c r="AL17" s="108">
        <v>0</v>
      </c>
      <c r="AM17" s="108">
        <v>1</v>
      </c>
    </row>
    <row r="18" spans="1:39" ht="21" customHeight="1" x14ac:dyDescent="0.15">
      <c r="A18" s="17" t="str">
        <f t="shared" si="30"/>
        <v>14002_1-4/120&lt;lv54&gt;s3</v>
      </c>
      <c r="B18" s="154">
        <v>14002</v>
      </c>
      <c r="C18" s="205">
        <v>1</v>
      </c>
      <c r="D18" s="205" t="str">
        <f t="shared" si="31"/>
        <v>14002_1</v>
      </c>
      <c r="E18" s="206" t="str">
        <f ca="1">VLOOKUP($B18,OFFSET([2]quests!$A$1,0,0,COUNTA([2]quests!$A:$A),MATCH(E$1,[2]quests!$1:$1,0)-MATCH($B$1,[2]quests!$1:$1,0)+1),MATCH(E$1,[2]quests!$1:$1,0)-MATCH($B$1,[2]quests!$1:$1,0)+1,FALSE)</f>
        <v>【ロック】ビット/ソロ</v>
      </c>
      <c r="F18" s="206" t="str">
        <f ca="1">VLOOKUP($D18,OFFSET([2]stages!$A$1,0,0,COUNTA([2]stages!$A:$A),MATCH(F$1,[2]stages!$2:$2,0)-MATCH($D$1,[2]stages!$2:$2,0)+1),MATCH(F$1,[2]stages!$2:$2,0)-MATCH($D$1,[2]stages!$2:$2,0)+1,FALSE)</f>
        <v>【超級】ハイローラー（ハートなし）</v>
      </c>
      <c r="G18" s="205">
        <v>4</v>
      </c>
      <c r="H18" s="205" t="str">
        <f t="shared" si="32"/>
        <v>14002_1-4</v>
      </c>
      <c r="I18" s="206">
        <f ca="1">VLOOKUP($H18,OFFSET(floors!$A$1,0,0,COUNTA(floors!$A:$A),MATCH(I$1,floors!$1:$1,0)-MATCH($H$1,floors!$1:$1,0)+1),MATCH(I$1,floors!$1:$1,0)-MATCH($H$1,floors!$1:$1,0)+1,FALSE)</f>
        <v>60</v>
      </c>
      <c r="J18" s="206">
        <f ca="1">VLOOKUP($H18,OFFSET(floors!$A$1,0,0,COUNTA(floors!$A:$A),MATCH(J$1,floors!$1:$1,0)-MATCH($H$1,floors!$1:$1,0)+1),MATCH(J$1,floors!$1:$1,0)-MATCH($H$1,floors!$1:$1,0)+1,FALSE)</f>
        <v>60</v>
      </c>
      <c r="K18" s="207" t="s">
        <v>142</v>
      </c>
      <c r="L18" s="208">
        <v>120</v>
      </c>
      <c r="M18" s="22" t="str">
        <f ca="1">VLOOKUP($L18,OFFSET([4]enemies!$A$1,0,0,COUNTA([4]enemies!$A:$A),MATCH(M$1,[4]enemies!$1:$1,0)-MATCH($L$1,[4]enemies!$1:$1,0)+1),MATCH(M$1,[4]enemies!$1:$1,0)-MATCH($L$1,[4]enemies!$1:$1,0)+1,FALSE)</f>
        <v>ゴールドキング</v>
      </c>
      <c r="N18" s="22" t="str">
        <f ca="1">VLOOKUP($L18,OFFSET([4]enemies!$A$1,0,0,COUNTA([4]enemies!$A:$A),MATCH(N$1,[4]enemies!$1:$1,0)-MATCH($L$1,[4]enemies!$1:$1,0)+1),MATCH(N$1,[4]enemies!$1:$1,0)-MATCH($L$1,[4]enemies!$1:$1,0)+1,FALSE)</f>
        <v>yellow</v>
      </c>
      <c r="O18" s="22" t="str">
        <f ca="1">VLOOKUP($L18,OFFSET([5]characters!$A$1,0,0,COUNTA([5]characters!$A:$A),MATCH(O$1,[5]characters!$1:$1,0)-MATCH($L$1,[5]characters!$1:$1,0)+1),MATCH(O$1,[5]characters!$1:$1,0)-MATCH($L$1,[5]characters!$1:$1,0)+1,FALSE)</f>
        <v>Material</v>
      </c>
      <c r="P18" s="22" t="str">
        <f ca="1">VLOOKUP($L18,OFFSET([4]enemies!$A$1,0,0,COUNTA([4]enemies!$A:$A),MATCH(P$1,[4]enemies!$1:$1,0)-MATCH($L$1,[4]enemies!$1:$1,0)+1),MATCH(P$1,[4]enemies!$1:$1,0)-MATCH($L$1,[4]enemies!$1:$1,0)+1,FALSE)</f>
        <v>unknown</v>
      </c>
      <c r="Q18" s="22">
        <f ca="1">VLOOKUP($L18,OFFSET([4]enemies!$A$1,0,0,COUNTA([4]enemies!$A:$A),MATCH(Q$1,[4]enemies!$1:$1,0)-MATCH($L$1,[4]enemies!$1:$1,0)+1),MATCH(Q$1,[4]enemies!$1:$1,0)-MATCH($L$1,[4]enemies!$1:$1,0)+1,FALSE)</f>
        <v>20</v>
      </c>
      <c r="R18" s="180">
        <v>54</v>
      </c>
      <c r="S18" s="196">
        <v>18</v>
      </c>
      <c r="T18" s="196">
        <v>10</v>
      </c>
      <c r="U18" s="180">
        <v>0</v>
      </c>
      <c r="V18" s="5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あらわれて_x000D_口を固く閉ざしてしまった！</v>
      </c>
      <c r="W18" s="186">
        <v>14002248</v>
      </c>
      <c r="X18" s="180">
        <v>0</v>
      </c>
      <c r="Y18" s="180">
        <v>9</v>
      </c>
      <c r="Z18" s="180">
        <v>1</v>
      </c>
      <c r="AA18" s="180">
        <v>3</v>
      </c>
      <c r="AB18" s="16">
        <f t="shared" si="33"/>
        <v>120</v>
      </c>
      <c r="AC18" s="22" t="str">
        <f ca="1">VLOOKUP($AB18,OFFSET([5]characters!$A$1,0,0,COUNTA([5]characters!$A:$A),MATCH(AC$1,[5]characters!$1:$1,0)-MATCH("character_id",[5]characters!$1:$1,0)+1),MATCH(AC$1,[5]characters!$1:$1,0)-MATCH("character_id",[5]characters!$1:$1,0)+1,FALSE)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18" s="22">
        <f ca="1">VLOOKUP($AB18,OFFSET([5]characters!$A$1,0,0,COUNTA([5]characters!$A:$A),MATCH(AD$1,[5]characters!$1:$1,0)-MATCH("character_id",[5]characters!$1:$1,0)+1),MATCH(AD$1,[5]characters!$1:$1,0)-MATCH("character_id",[5]characters!$1:$1,0)+1,FALSE)</f>
        <v>6</v>
      </c>
      <c r="AE18" s="22" t="str">
        <f ca="1">VLOOKUP($AB18,OFFSET([5]characters!$A$1,0,0,COUNTA([5]characters!$A:$A),MATCH(AE$1,[5]characters!$1:$1,0)-MATCH("character_id",[5]characters!$1:$1,0)+1),MATCH(AE$1,[5]characters!$1:$1,0)-MATCH("character_id",[5]characters!$1:$1,0)+1,FALSE)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18" s="108">
        <v>1</v>
      </c>
      <c r="AG18" s="109">
        <f t="shared" ca="1" si="34"/>
        <v>6</v>
      </c>
      <c r="AH18" s="180">
        <v>100</v>
      </c>
      <c r="AI18" s="108">
        <v>0</v>
      </c>
      <c r="AJ18" s="108">
        <v>0</v>
      </c>
      <c r="AK18" s="108">
        <v>0</v>
      </c>
      <c r="AL18" s="108">
        <v>0</v>
      </c>
      <c r="AM18" s="108">
        <v>1</v>
      </c>
    </row>
    <row r="19" spans="1:39" ht="21" customHeight="1" x14ac:dyDescent="0.15">
      <c r="A19" s="17" t="str">
        <f t="shared" si="30"/>
        <v>14002_1-4/120&lt;lv55&gt;s3</v>
      </c>
      <c r="B19" s="154">
        <v>14002</v>
      </c>
      <c r="C19" s="205">
        <v>1</v>
      </c>
      <c r="D19" s="205" t="str">
        <f t="shared" si="31"/>
        <v>14002_1</v>
      </c>
      <c r="E19" s="206" t="str">
        <f ca="1">VLOOKUP($B19,OFFSET([2]quests!$A$1,0,0,COUNTA([2]quests!$A:$A),MATCH(E$1,[2]quests!$1:$1,0)-MATCH($B$1,[2]quests!$1:$1,0)+1),MATCH(E$1,[2]quests!$1:$1,0)-MATCH($B$1,[2]quests!$1:$1,0)+1,FALSE)</f>
        <v>【ロック】ビット/ソロ</v>
      </c>
      <c r="F19" s="206" t="str">
        <f ca="1">VLOOKUP($D19,OFFSET([2]stages!$A$1,0,0,COUNTA([2]stages!$A:$A),MATCH(F$1,[2]stages!$2:$2,0)-MATCH($D$1,[2]stages!$2:$2,0)+1),MATCH(F$1,[2]stages!$2:$2,0)-MATCH($D$1,[2]stages!$2:$2,0)+1,FALSE)</f>
        <v>【超級】ハイローラー（ハートなし）</v>
      </c>
      <c r="G19" s="205">
        <v>4</v>
      </c>
      <c r="H19" s="205" t="str">
        <f t="shared" si="32"/>
        <v>14002_1-4</v>
      </c>
      <c r="I19" s="206">
        <f ca="1">VLOOKUP($H19,OFFSET(floors!$A$1,0,0,COUNTA(floors!$A:$A),MATCH(I$1,floors!$1:$1,0)-MATCH($H$1,floors!$1:$1,0)+1),MATCH(I$1,floors!$1:$1,0)-MATCH($H$1,floors!$1:$1,0)+1,FALSE)</f>
        <v>60</v>
      </c>
      <c r="J19" s="206">
        <f ca="1">VLOOKUP($H19,OFFSET(floors!$A$1,0,0,COUNTA(floors!$A:$A),MATCH(J$1,floors!$1:$1,0)-MATCH($H$1,floors!$1:$1,0)+1),MATCH(J$1,floors!$1:$1,0)-MATCH($H$1,floors!$1:$1,0)+1,FALSE)</f>
        <v>60</v>
      </c>
      <c r="K19" s="207" t="s">
        <v>142</v>
      </c>
      <c r="L19" s="208">
        <v>120</v>
      </c>
      <c r="M19" s="22" t="str">
        <f ca="1">VLOOKUP($L19,OFFSET([4]enemies!$A$1,0,0,COUNTA([4]enemies!$A:$A),MATCH(M$1,[4]enemies!$1:$1,0)-MATCH($L$1,[4]enemies!$1:$1,0)+1),MATCH(M$1,[4]enemies!$1:$1,0)-MATCH($L$1,[4]enemies!$1:$1,0)+1,FALSE)</f>
        <v>ゴールドキング</v>
      </c>
      <c r="N19" s="22" t="str">
        <f ca="1">VLOOKUP($L19,OFFSET([4]enemies!$A$1,0,0,COUNTA([4]enemies!$A:$A),MATCH(N$1,[4]enemies!$1:$1,0)-MATCH($L$1,[4]enemies!$1:$1,0)+1),MATCH(N$1,[4]enemies!$1:$1,0)-MATCH($L$1,[4]enemies!$1:$1,0)+1,FALSE)</f>
        <v>yellow</v>
      </c>
      <c r="O19" s="22" t="str">
        <f ca="1">VLOOKUP($L19,OFFSET([5]characters!$A$1,0,0,COUNTA([5]characters!$A:$A),MATCH(O$1,[5]characters!$1:$1,0)-MATCH($L$1,[5]characters!$1:$1,0)+1),MATCH(O$1,[5]characters!$1:$1,0)-MATCH($L$1,[5]characters!$1:$1,0)+1,FALSE)</f>
        <v>Material</v>
      </c>
      <c r="P19" s="22" t="str">
        <f ca="1">VLOOKUP($L19,OFFSET([4]enemies!$A$1,0,0,COUNTA([4]enemies!$A:$A),MATCH(P$1,[4]enemies!$1:$1,0)-MATCH($L$1,[4]enemies!$1:$1,0)+1),MATCH(P$1,[4]enemies!$1:$1,0)-MATCH($L$1,[4]enemies!$1:$1,0)+1,FALSE)</f>
        <v>unknown</v>
      </c>
      <c r="Q19" s="22">
        <f ca="1">VLOOKUP($L19,OFFSET([4]enemies!$A$1,0,0,COUNTA([4]enemies!$A:$A),MATCH(Q$1,[4]enemies!$1:$1,0)-MATCH($L$1,[4]enemies!$1:$1,0)+1),MATCH(Q$1,[4]enemies!$1:$1,0)-MATCH($L$1,[4]enemies!$1:$1,0)+1,FALSE)</f>
        <v>20</v>
      </c>
      <c r="R19" s="180">
        <v>55</v>
      </c>
      <c r="S19" s="196">
        <v>18</v>
      </c>
      <c r="T19" s="196">
        <v>10</v>
      </c>
      <c r="U19" s="180">
        <v>0</v>
      </c>
      <c r="V19" s="5" t="str">
        <f ca="1">VLOOKUP($W19,OFFSET(enemy_skill_sets!$B$1,0,0,COUNTA(enemy_skill_sets!$B:$B),MATCH(M$1,enemy_skill_sets!$1:$1,0)-MATCH($W$1,enemy_skill_sets!$1:$1,0)+2),MATCH(M$1,enemy_skill_sets!$1:$1,0)-MATCH($W$1,enemy_skill_sets!$1:$1,0)+2,FALSE)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あらわれて_x000D_状態異常が効かない体質になった！</v>
      </c>
      <c r="W19" s="186">
        <v>14002249</v>
      </c>
      <c r="X19" s="180">
        <v>0</v>
      </c>
      <c r="Y19" s="180">
        <v>20</v>
      </c>
      <c r="Z19" s="180">
        <v>1</v>
      </c>
      <c r="AA19" s="180">
        <v>3</v>
      </c>
      <c r="AB19" s="16">
        <f t="shared" si="33"/>
        <v>120</v>
      </c>
      <c r="AC19" s="22" t="str">
        <f ca="1">VLOOKUP($AB19,OFFSET([5]characters!$A$1,0,0,COUNTA([5]characters!$A:$A),MATCH(AC$1,[5]characters!$1:$1,0)-MATCH("character_id",[5]characters!$1:$1,0)+1),MATCH(AC$1,[5]characters!$1:$1,0)-MATCH("character_id",[5]characters!$1:$1,0)+1,FALSE)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19" s="22">
        <f ca="1">VLOOKUP($AB19,OFFSET([5]characters!$A$1,0,0,COUNTA([5]characters!$A:$A),MATCH(AD$1,[5]characters!$1:$1,0)-MATCH("character_id",[5]characters!$1:$1,0)+1),MATCH(AD$1,[5]characters!$1:$1,0)-MATCH("character_id",[5]characters!$1:$1,0)+1,FALSE)</f>
        <v>6</v>
      </c>
      <c r="AE19" s="22" t="str">
        <f ca="1">VLOOKUP($AB19,OFFSET([5]characters!$A$1,0,0,COUNTA([5]characters!$A:$A),MATCH(AE$1,[5]characters!$1:$1,0)-MATCH("character_id",[5]characters!$1:$1,0)+1),MATCH(AE$1,[5]characters!$1:$1,0)-MATCH("character_id",[5]characters!$1:$1,0)+1,FALSE)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19" s="108">
        <v>1</v>
      </c>
      <c r="AG19" s="109">
        <f t="shared" ca="1" si="34"/>
        <v>6</v>
      </c>
      <c r="AH19" s="180">
        <v>100</v>
      </c>
      <c r="AI19" s="108">
        <v>0</v>
      </c>
      <c r="AJ19" s="108">
        <v>0</v>
      </c>
      <c r="AK19" s="108">
        <v>0</v>
      </c>
      <c r="AL19" s="108">
        <v>0</v>
      </c>
      <c r="AM19" s="108">
        <v>1</v>
      </c>
    </row>
    <row r="20" spans="1:39" ht="21" customHeight="1" x14ac:dyDescent="0.15">
      <c r="A20" s="17" t="str">
        <f t="shared" si="30"/>
        <v>14002_1-4/120&lt;lv56&gt;s3</v>
      </c>
      <c r="B20" s="154">
        <v>14002</v>
      </c>
      <c r="C20" s="205">
        <v>1</v>
      </c>
      <c r="D20" s="205" t="str">
        <f t="shared" si="31"/>
        <v>14002_1</v>
      </c>
      <c r="E20" s="206" t="str">
        <f ca="1">VLOOKUP($B20,OFFSET([2]quests!$A$1,0,0,COUNTA([2]quests!$A:$A),MATCH(E$1,[2]quests!$1:$1,0)-MATCH($B$1,[2]quests!$1:$1,0)+1),MATCH(E$1,[2]quests!$1:$1,0)-MATCH($B$1,[2]quests!$1:$1,0)+1,FALSE)</f>
        <v>【ロック】ビット/ソロ</v>
      </c>
      <c r="F20" s="206" t="str">
        <f ca="1">VLOOKUP($D20,OFFSET([2]stages!$A$1,0,0,COUNTA([2]stages!$A:$A),MATCH(F$1,[2]stages!$2:$2,0)-MATCH($D$1,[2]stages!$2:$2,0)+1),MATCH(F$1,[2]stages!$2:$2,0)-MATCH($D$1,[2]stages!$2:$2,0)+1,FALSE)</f>
        <v>【超級】ハイローラー（ハートなし）</v>
      </c>
      <c r="G20" s="205">
        <v>4</v>
      </c>
      <c r="H20" s="205" t="str">
        <f t="shared" si="32"/>
        <v>14002_1-4</v>
      </c>
      <c r="I20" s="206">
        <f ca="1">VLOOKUP($H20,OFFSET(floors!$A$1,0,0,COUNTA(floors!$A:$A),MATCH(I$1,floors!$1:$1,0)-MATCH($H$1,floors!$1:$1,0)+1),MATCH(I$1,floors!$1:$1,0)-MATCH($H$1,floors!$1:$1,0)+1,FALSE)</f>
        <v>60</v>
      </c>
      <c r="J20" s="206">
        <f ca="1">VLOOKUP($H20,OFFSET(floors!$A$1,0,0,COUNTA(floors!$A:$A),MATCH(J$1,floors!$1:$1,0)-MATCH($H$1,floors!$1:$1,0)+1),MATCH(J$1,floors!$1:$1,0)-MATCH($H$1,floors!$1:$1,0)+1,FALSE)</f>
        <v>60</v>
      </c>
      <c r="K20" s="207" t="s">
        <v>142</v>
      </c>
      <c r="L20" s="208">
        <v>120</v>
      </c>
      <c r="M20" s="22" t="str">
        <f ca="1">VLOOKUP($L20,OFFSET([4]enemies!$A$1,0,0,COUNTA([4]enemies!$A:$A),MATCH(M$1,[4]enemies!$1:$1,0)-MATCH($L$1,[4]enemies!$1:$1,0)+1),MATCH(M$1,[4]enemies!$1:$1,0)-MATCH($L$1,[4]enemies!$1:$1,0)+1,FALSE)</f>
        <v>ゴールドキング</v>
      </c>
      <c r="N20" s="22" t="str">
        <f ca="1">VLOOKUP($L20,OFFSET([4]enemies!$A$1,0,0,COUNTA([4]enemies!$A:$A),MATCH(N$1,[4]enemies!$1:$1,0)-MATCH($L$1,[4]enemies!$1:$1,0)+1),MATCH(N$1,[4]enemies!$1:$1,0)-MATCH($L$1,[4]enemies!$1:$1,0)+1,FALSE)</f>
        <v>yellow</v>
      </c>
      <c r="O20" s="22" t="str">
        <f ca="1">VLOOKUP($L20,OFFSET([5]characters!$A$1,0,0,COUNTA([5]characters!$A:$A),MATCH(O$1,[5]characters!$1:$1,0)-MATCH($L$1,[5]characters!$1:$1,0)+1),MATCH(O$1,[5]characters!$1:$1,0)-MATCH($L$1,[5]characters!$1:$1,0)+1,FALSE)</f>
        <v>Material</v>
      </c>
      <c r="P20" s="22" t="str">
        <f ca="1">VLOOKUP($L20,OFFSET([4]enemies!$A$1,0,0,COUNTA([4]enemies!$A:$A),MATCH(P$1,[4]enemies!$1:$1,0)-MATCH($L$1,[4]enemies!$1:$1,0)+1),MATCH(P$1,[4]enemies!$1:$1,0)-MATCH($L$1,[4]enemies!$1:$1,0)+1,FALSE)</f>
        <v>unknown</v>
      </c>
      <c r="Q20" s="22">
        <f ca="1">VLOOKUP($L20,OFFSET([4]enemies!$A$1,0,0,COUNTA([4]enemies!$A:$A),MATCH(Q$1,[4]enemies!$1:$1,0)-MATCH($L$1,[4]enemies!$1:$1,0)+1),MATCH(Q$1,[4]enemies!$1:$1,0)-MATCH($L$1,[4]enemies!$1:$1,0)+1,FALSE)</f>
        <v>20</v>
      </c>
      <c r="R20" s="180">
        <v>56</v>
      </c>
      <c r="S20" s="196">
        <v>18</v>
      </c>
      <c r="T20" s="196">
        <v>10</v>
      </c>
      <c r="U20" s="180">
        <v>0</v>
      </c>
      <c r="V20" s="5" t="str">
        <f ca="1">VLOOKUP($W20,OFFSET(enemy_skill_sets!$B$1,0,0,COUNTA(enemy_skill_sets!$B:$B),MATCH(M$1,enemy_skill_sets!$1:$1,0)-MATCH($W$1,enemy_skill_sets!$1:$1,0)+2),MATCH(M$1,enemy_skill_sets!$1:$1,0)-MATCH($W$1,enemy_skill_sets!$1:$1,0)+2,FALSE)</f>
        <v>仲間と共に 飛び去っていった…</v>
      </c>
      <c r="W20" s="186">
        <v>14002250</v>
      </c>
      <c r="X20" s="180">
        <v>0</v>
      </c>
      <c r="Y20" s="180">
        <v>10</v>
      </c>
      <c r="Z20" s="180">
        <v>1</v>
      </c>
      <c r="AA20" s="180">
        <v>3</v>
      </c>
      <c r="AB20" s="16">
        <f t="shared" si="33"/>
        <v>120</v>
      </c>
      <c r="AC20" s="22" t="str">
        <f ca="1">VLOOKUP($AB20,OFFSET([5]characters!$A$1,0,0,COUNTA([5]characters!$A:$A),MATCH(AC$1,[5]characters!$1:$1,0)-MATCH("character_id",[5]characters!$1:$1,0)+1),MATCH(AC$1,[5]characters!$1:$1,0)-MATCH("character_id",[5]characters!$1:$1,0)+1,FALSE)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20" s="22">
        <f ca="1">VLOOKUP($AB20,OFFSET([5]characters!$A$1,0,0,COUNTA([5]characters!$A:$A),MATCH(AD$1,[5]characters!$1:$1,0)-MATCH("character_id",[5]characters!$1:$1,0)+1),MATCH(AD$1,[5]characters!$1:$1,0)-MATCH("character_id",[5]characters!$1:$1,0)+1,FALSE)</f>
        <v>6</v>
      </c>
      <c r="AE20" s="22" t="str">
        <f ca="1">VLOOKUP($AB20,OFFSET([5]characters!$A$1,0,0,COUNTA([5]characters!$A:$A),MATCH(AE$1,[5]characters!$1:$1,0)-MATCH("character_id",[5]characters!$1:$1,0)+1),MATCH(AE$1,[5]characters!$1:$1,0)-MATCH("character_id",[5]characters!$1:$1,0)+1,FALSE)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20" s="108">
        <v>1</v>
      </c>
      <c r="AG20" s="109">
        <f t="shared" ca="1" si="34"/>
        <v>6</v>
      </c>
      <c r="AH20" s="180">
        <v>100</v>
      </c>
      <c r="AI20" s="108">
        <v>0</v>
      </c>
      <c r="AJ20" s="108">
        <v>0</v>
      </c>
      <c r="AK20" s="108">
        <v>0</v>
      </c>
      <c r="AL20" s="108">
        <v>0</v>
      </c>
      <c r="AM20" s="108">
        <v>1</v>
      </c>
    </row>
    <row r="21" spans="1:39" ht="21" customHeight="1" thickBot="1" x14ac:dyDescent="0.2">
      <c r="A21" s="133" t="str">
        <f t="shared" ref="A21" si="35">B21&amp;"_"&amp;C21&amp;"-"&amp;G21&amp;"/"&amp;L21&amp;"&lt;lv"&amp;R21&amp;"&gt;s"&amp;AA21</f>
        <v>14002_1-4/120&lt;lv50&gt;s3</v>
      </c>
      <c r="B21" s="155">
        <v>14002</v>
      </c>
      <c r="C21" s="202">
        <v>1</v>
      </c>
      <c r="D21" s="202" t="str">
        <f t="shared" ref="D21" si="36">B21&amp;"_"&amp;C21</f>
        <v>14002_1</v>
      </c>
      <c r="E21" s="203" t="str">
        <f ca="1">VLOOKUP($B21,OFFSET([2]quests!$A$1,0,0,COUNTA([2]quests!$A:$A),MATCH(E$1,[2]quests!$1:$1,0)-MATCH($B$1,[2]quests!$1:$1,0)+1),MATCH(E$1,[2]quests!$1:$1,0)-MATCH($B$1,[2]quests!$1:$1,0)+1,FALSE)</f>
        <v>【ロック】ビット/ソロ</v>
      </c>
      <c r="F21" s="203" t="str">
        <f ca="1">VLOOKUP($D21,OFFSET([2]stages!$A$1,0,0,COUNTA([2]stages!$A:$A),MATCH(F$1,[2]stages!$2:$2,0)-MATCH($D$1,[2]stages!$2:$2,0)+1),MATCH(F$1,[2]stages!$2:$2,0)-MATCH($D$1,[2]stages!$2:$2,0)+1,FALSE)</f>
        <v>【超級】ハイローラー（ハートなし）</v>
      </c>
      <c r="G21" s="202">
        <v>4</v>
      </c>
      <c r="H21" s="202" t="str">
        <f t="shared" ref="H21" si="37">B21&amp;"_"&amp;C21&amp;"-"&amp;G21</f>
        <v>14002_1-4</v>
      </c>
      <c r="I21" s="203">
        <f ca="1">VLOOKUP($H21,OFFSET(floors!$A$1,0,0,COUNTA(floors!$A:$A),MATCH(I$1,floors!$1:$1,0)-MATCH($H$1,floors!$1:$1,0)+1),MATCH(I$1,floors!$1:$1,0)-MATCH($H$1,floors!$1:$1,0)+1,FALSE)</f>
        <v>60</v>
      </c>
      <c r="J21" s="203">
        <f ca="1">VLOOKUP($H21,OFFSET(floors!$A$1,0,0,COUNTA(floors!$A:$A),MATCH(J$1,floors!$1:$1,0)-MATCH($H$1,floors!$1:$1,0)+1),MATCH(J$1,floors!$1:$1,0)-MATCH($H$1,floors!$1:$1,0)+1,FALSE)</f>
        <v>60</v>
      </c>
      <c r="K21" s="204" t="s">
        <v>142</v>
      </c>
      <c r="L21" s="202">
        <v>120</v>
      </c>
      <c r="M21" s="138" t="str">
        <f ca="1">VLOOKUP($L21,OFFSET([4]enemies!$A$1,0,0,COUNTA([4]enemies!$A:$A),MATCH(M$1,[4]enemies!$1:$1,0)-MATCH($L$1,[4]enemies!$1:$1,0)+1),MATCH(M$1,[4]enemies!$1:$1,0)-MATCH($L$1,[4]enemies!$1:$1,0)+1,FALSE)</f>
        <v>ゴールドキング</v>
      </c>
      <c r="N21" s="138" t="str">
        <f ca="1">VLOOKUP($L21,OFFSET([4]enemies!$A$1,0,0,COUNTA([4]enemies!$A:$A),MATCH(N$1,[4]enemies!$1:$1,0)-MATCH($L$1,[4]enemies!$1:$1,0)+1),MATCH(N$1,[4]enemies!$1:$1,0)-MATCH($L$1,[4]enemies!$1:$1,0)+1,FALSE)</f>
        <v>yellow</v>
      </c>
      <c r="O21" s="138" t="str">
        <f ca="1">VLOOKUP($L21,OFFSET([5]characters!$A$1,0,0,COUNTA([5]characters!$A:$A),MATCH(O$1,[5]characters!$1:$1,0)-MATCH($L$1,[5]characters!$1:$1,0)+1),MATCH(O$1,[5]characters!$1:$1,0)-MATCH($L$1,[5]characters!$1:$1,0)+1,FALSE)</f>
        <v>Material</v>
      </c>
      <c r="P21" s="138" t="str">
        <f ca="1">VLOOKUP($L21,OFFSET([4]enemies!$A$1,0,0,COUNTA([4]enemies!$A:$A),MATCH(P$1,[4]enemies!$1:$1,0)-MATCH($L$1,[4]enemies!$1:$1,0)+1),MATCH(P$1,[4]enemies!$1:$1,0)-MATCH($L$1,[4]enemies!$1:$1,0)+1,FALSE)</f>
        <v>unknown</v>
      </c>
      <c r="Q21" s="138">
        <f ca="1">VLOOKUP($L21,OFFSET([4]enemies!$A$1,0,0,COUNTA([4]enemies!$A:$A),MATCH(Q$1,[4]enemies!$1:$1,0)-MATCH($L$1,[4]enemies!$1:$1,0)+1),MATCH(Q$1,[4]enemies!$1:$1,0)-MATCH($L$1,[4]enemies!$1:$1,0)+1,FALSE)</f>
        <v>20</v>
      </c>
      <c r="R21" s="194">
        <v>50</v>
      </c>
      <c r="S21" s="195">
        <v>18</v>
      </c>
      <c r="T21" s="195">
        <v>10</v>
      </c>
      <c r="U21" s="194">
        <v>0</v>
      </c>
      <c r="V21" s="139" t="e">
        <f ca="1">VLOOKUP($W21,OFFSET([6]enemy_skill_sets!$B$1,0,0,COUNTA([6]enemy_skill_sets!$B:$B),MATCH(M$1,[6]enemy_skill_sets!$1:$1,0)-MATCH($W$1,[6]enemy_skill_sets!$1:$1,0)+2),MATCH(M$1,[6]enemy_skill_sets!$1:$1,0)-MATCH($W$1,[6]enemy_skill_sets!$1:$1,0)+2,FALSE)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21" s="187">
        <v>0</v>
      </c>
      <c r="X21" s="183">
        <v>1</v>
      </c>
      <c r="Y21" s="184">
        <v>100</v>
      </c>
      <c r="Z21" s="184">
        <v>0</v>
      </c>
      <c r="AA21" s="185">
        <v>3</v>
      </c>
      <c r="AB21" s="135">
        <f t="shared" ref="AB21" si="38">L21</f>
        <v>120</v>
      </c>
      <c r="AC21" s="134" t="str">
        <f ca="1">VLOOKUP($AB21,OFFSET([5]characters!$A$1,0,0,COUNTA([5]characters!$A:$A),MATCH(AC$1,[5]characters!$1:$1,0)-MATCH("character_id",[5]characters!$1:$1,0)+1),MATCH(AC$1,[5]characters!$1:$1,0)-MATCH("character_id",[5]characters!$1:$1,0)+1,FALSE)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21" s="134">
        <f ca="1">VLOOKUP($AB21,OFFSET([5]characters!$A$1,0,0,COUNTA([5]characters!$A:$A),MATCH(AD$1,[5]characters!$1:$1,0)-MATCH("character_id",[5]characters!$1:$1,0)+1),MATCH(AD$1,[5]characters!$1:$1,0)-MATCH("character_id",[5]characters!$1:$1,0)+1,FALSE)</f>
        <v>6</v>
      </c>
      <c r="AE21" s="134" t="str">
        <f ca="1">VLOOKUP($AB21,OFFSET([5]characters!$A$1,0,0,COUNTA([5]characters!$A:$A),MATCH(AE$1,[5]characters!$1:$1,0)-MATCH("character_id",[5]characters!$1:$1,0)+1),MATCH(AE$1,[5]characters!$1:$1,0)-MATCH("character_id",[5]characters!$1:$1,0)+1,FALSE)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21" s="136">
        <v>1</v>
      </c>
      <c r="AG21" s="137">
        <f t="shared" ref="AG21" ca="1" si="39">AD21</f>
        <v>6</v>
      </c>
      <c r="AH21" s="179">
        <v>0</v>
      </c>
      <c r="AI21" s="136">
        <v>0</v>
      </c>
      <c r="AJ21" s="136">
        <v>0</v>
      </c>
      <c r="AK21" s="136">
        <v>0</v>
      </c>
      <c r="AL21" s="136">
        <v>0</v>
      </c>
      <c r="AM21" s="136">
        <v>1</v>
      </c>
    </row>
    <row r="22" spans="1:39" ht="21" customHeight="1" x14ac:dyDescent="0.15">
      <c r="A22" s="17" t="str">
        <f t="shared" ref="A22:A50" ca="1" si="40">B22&amp;"_"&amp;C22&amp;"-"&amp;G22&amp;"/"&amp;L22&amp;"&lt;lv"&amp;R22&amp;"&gt;s"&amp;AA22</f>
        <v>14002_2-1/118&lt;lv1&gt;s2</v>
      </c>
      <c r="B22" s="123">
        <v>14002</v>
      </c>
      <c r="C22" s="124">
        <v>2</v>
      </c>
      <c r="D22" s="125" t="str">
        <f t="shared" ref="D22:D49" si="41">B22&amp;"_"&amp;C22</f>
        <v>14002_2</v>
      </c>
      <c r="E22" s="5" t="str">
        <f ca="1">VLOOKUP($B22,OFFSET([2]quests!$A$1,0,0,COUNTA([2]quests!$A:$A),MATCH(E$1,[2]quests!$1:$1,0)-MATCH($B$1,[2]quests!$1:$1,0)+1),MATCH(E$1,[2]quests!$1:$1,0)-MATCH($B$1,[2]quests!$1:$1,0)+1,FALSE)</f>
        <v>【ロック】ビット/ソロ</v>
      </c>
      <c r="F22" s="126" t="str">
        <f ca="1">VLOOKUP($D22,OFFSET([2]stages!$A$1,0,0,COUNTA([2]stages!$A:$A),MATCH(F$1,[2]stages!$2:$2,0)-MATCH($D$1,[2]stages!$2:$2,0)+1),MATCH(F$1,[2]stages!$2:$2,0)-MATCH($D$1,[2]stages!$2:$2,0)+1,FALSE)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22" s="124">
        <v>1</v>
      </c>
      <c r="H22" s="125" t="str">
        <f t="shared" ref="H22:H49" si="42">B22&amp;"_"&amp;C22&amp;"-"&amp;G22</f>
        <v>14002_2-1</v>
      </c>
      <c r="I22" s="5">
        <f ca="1">VLOOKUP($H22,OFFSET(floors!$A$1,0,0,COUNTA(floors!$A:$A),MATCH(I$1,floors!$1:$1,0)-MATCH($H$1,floors!$1:$1,0)+1),MATCH(I$1,floors!$1:$1,0)-MATCH($H$1,floors!$1:$1,0)+1,FALSE)</f>
        <v>30</v>
      </c>
      <c r="J22" s="5">
        <f ca="1">VLOOKUP($H22,OFFSET(floors!$A$1,0,0,COUNTA(floors!$A:$A),MATCH(J$1,floors!$1:$1,0)-MATCH($H$1,floors!$1:$1,0)+1),MATCH(J$1,floors!$1:$1,0)-MATCH($H$1,floors!$1:$1,0)+1,FALSE)</f>
        <v>55</v>
      </c>
      <c r="K22" s="123" t="s">
        <v>142</v>
      </c>
      <c r="L22" s="127">
        <v>118</v>
      </c>
      <c r="M22" s="20" t="str">
        <f ca="1">VLOOKUP(L22,[4]enemies!$A:$B,2,FALSE)</f>
        <v>ゴールドチック</v>
      </c>
      <c r="N22" s="126" t="str">
        <f ca="1">VLOOKUP(L22,[4]enemies!$A:$D,4,FALSE)</f>
        <v>yellow</v>
      </c>
      <c r="O22" s="126" t="str">
        <f>VLOOKUP(L22,[5]characters!$A:$J,10,FALSE)</f>
        <v>Material</v>
      </c>
      <c r="P22" s="110" t="str">
        <f>VLOOKUP(L22,[5]characters!$A:$M,13,FALSE)</f>
        <v>unknown</v>
      </c>
      <c r="Q22" s="5">
        <f ca="1">VLOOKUP(L22,[4]enemies!$A:$X,24,FALSE)</f>
        <v>15</v>
      </c>
      <c r="R22" s="128">
        <v>1</v>
      </c>
      <c r="S22" s="129">
        <v>16.5</v>
      </c>
      <c r="T22" s="129">
        <v>15.75</v>
      </c>
      <c r="U22" s="128">
        <v>0</v>
      </c>
      <c r="V22" s="5" t="e">
        <f ca="1">VLOOKUP($W22,OFFSET([6]enemy_skill_sets!$B$1,0,0,COUNTA([6]enemy_skill_sets!$B:$B),MATCH(L$1,[6]enemy_skill_sets!$1:$1,0)-MATCH($V$1,[6]enemy_skill_sets!$1:$1,0)+2),MATCH(L$1,[6]enemy_skill_sets!$1:$1,0)-MATCH($V$1,[6]enemy_skill_sets!$1:$1,0)+2,FALSE)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22" s="5">
        <f ca="1">VLOOKUP($L22,OFFSET([4]enemies!$A$1,0,0,COUNTA([4]enemies!$A:$A),MATCH(W$1,[4]enemies!$1:$1,0)-MATCH($L$1,[4]enemies!$1:$1,0)+1),MATCH(W$1,[4]enemies!$1:$1,0)-MATCH($L$1,[4]enemies!$1:$1,0)+1,FALSE)</f>
        <v>0</v>
      </c>
      <c r="X22" s="130">
        <v>1</v>
      </c>
      <c r="Y22" s="130">
        <v>0</v>
      </c>
      <c r="Z22" s="130">
        <v>1</v>
      </c>
      <c r="AA22" s="20">
        <f ca="1">VLOOKUP($L22,OFFSET([4]enemies!$A$1,0,0,COUNTA([4]enemies!$A:$A),MATCH(AA$1,[4]enemies!$1:$1,0)-MATCH($L$1,[4]enemies!$1:$1,0)+1),MATCH(AA$1,[4]enemies!$1:$1,0)-MATCH($L$1,[4]enemies!$1:$1,0)+1,FALSE)</f>
        <v>2</v>
      </c>
      <c r="AB22" s="125">
        <f t="shared" ref="AB22:AB37" si="43">L22</f>
        <v>118</v>
      </c>
      <c r="AC22" s="5" t="str">
        <f ca="1">VLOOKUP(AB22,[4]enemies!$A:$B,2,FALSE)</f>
        <v>ゴールドチック</v>
      </c>
      <c r="AD22" s="5">
        <f ca="1">VLOOKUP(AB22,[4]enemies!$A:$E,3,FALSE)</f>
        <v>4</v>
      </c>
      <c r="AE22" s="5" t="str">
        <f>VLOOKUP(AB22,[5]characters!$A:$J,10,FALSE)</f>
        <v>Material</v>
      </c>
      <c r="AF22" s="123">
        <v>1</v>
      </c>
      <c r="AG22" s="131">
        <f t="shared" ref="AG22:AG36" ca="1" si="44">AD22</f>
        <v>4</v>
      </c>
      <c r="AH22" s="132">
        <v>100</v>
      </c>
      <c r="AI22" s="123">
        <v>0</v>
      </c>
      <c r="AJ22" s="123">
        <v>0</v>
      </c>
      <c r="AK22" s="123">
        <v>0</v>
      </c>
      <c r="AL22" s="123">
        <v>0</v>
      </c>
      <c r="AM22" s="123">
        <v>1</v>
      </c>
    </row>
    <row r="23" spans="1:39" ht="21" customHeight="1" x14ac:dyDescent="0.15">
      <c r="A23" s="17" t="str">
        <f t="shared" ca="1" si="40"/>
        <v>14002_2-1/117&lt;lv1&gt;s1</v>
      </c>
      <c r="B23" s="108">
        <v>14002</v>
      </c>
      <c r="C23" s="43">
        <v>2</v>
      </c>
      <c r="D23" s="16" t="str">
        <f t="shared" si="41"/>
        <v>14002_2</v>
      </c>
      <c r="E23" s="5" t="str">
        <f ca="1">VLOOKUP($B23,OFFSET([2]quests!$A$1,0,0,COUNTA([2]quests!$A:$A),MATCH(E$1,[2]quests!$1:$1,0)-MATCH($B$1,[2]quests!$1:$1,0)+1),MATCH(E$1,[2]quests!$1:$1,0)-MATCH($B$1,[2]quests!$1:$1,0)+1,FALSE)</f>
        <v>【ロック】ビット/ソロ</v>
      </c>
      <c r="F23" s="5" t="str">
        <f ca="1">VLOOKUP($D23,OFFSET([2]stages!$A$1,0,0,COUNTA([2]stages!$A:$A),MATCH(F$1,[2]stages!$2:$2,0)-MATCH($D$1,[2]stages!$2:$2,0)+1),MATCH(F$1,[2]stages!$2:$2,0)-MATCH($D$1,[2]stages!$2:$2,0)+1,FALSE)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23" s="43">
        <v>1</v>
      </c>
      <c r="H23" s="16" t="str">
        <f t="shared" si="42"/>
        <v>14002_2-1</v>
      </c>
      <c r="I23" s="5">
        <f ca="1">VLOOKUP($H23,OFFSET(floors!$A$1,0,0,COUNTA(floors!$A:$A),MATCH(I$1,floors!$1:$1,0)-MATCH($H$1,floors!$1:$1,0)+1),MATCH(I$1,floors!$1:$1,0)-MATCH($H$1,floors!$1:$1,0)+1,FALSE)</f>
        <v>30</v>
      </c>
      <c r="J23" s="5">
        <f ca="1">VLOOKUP($H23,OFFSET(floors!$A$1,0,0,COUNTA(floors!$A:$A),MATCH(J$1,floors!$1:$1,0)-MATCH($H$1,floors!$1:$1,0)+1),MATCH(J$1,floors!$1:$1,0)-MATCH($H$1,floors!$1:$1,0)+1,FALSE)</f>
        <v>55</v>
      </c>
      <c r="K23" s="8" t="s">
        <v>142</v>
      </c>
      <c r="L23" s="45">
        <v>117</v>
      </c>
      <c r="M23" s="20" t="str">
        <f ca="1">VLOOKUP(L23,[4]enemies!$A:$B,2,FALSE)</f>
        <v>ゴールドピヨピヨ</v>
      </c>
      <c r="N23" s="22" t="str">
        <f ca="1">VLOOKUP(L23,[4]enemies!$A:$D,4,FALSE)</f>
        <v>yellow</v>
      </c>
      <c r="O23" s="22" t="str">
        <f>VLOOKUP(L23,[5]characters!$A:$J,10,FALSE)</f>
        <v>Material</v>
      </c>
      <c r="P23" s="110" t="str">
        <f>VLOOKUP(L23,[5]characters!$A:$M,13,FALSE)</f>
        <v>unknown</v>
      </c>
      <c r="Q23" s="5">
        <f ca="1">VLOOKUP(L23,[4]enemies!$A:$X,24,FALSE)</f>
        <v>15</v>
      </c>
      <c r="R23" s="6">
        <v>1</v>
      </c>
      <c r="S23" s="29">
        <v>40.5</v>
      </c>
      <c r="T23" s="29">
        <v>42.25</v>
      </c>
      <c r="U23" s="6">
        <v>0</v>
      </c>
      <c r="V23" s="5" t="e">
        <f ca="1">VLOOKUP($W23,OFFSET([6]enemy_skill_sets!$B$1,0,0,COUNTA([6]enemy_skill_sets!$B:$B),MATCH(L$1,[6]enemy_skill_sets!$1:$1,0)-MATCH($V$1,[6]enemy_skill_sets!$1:$1,0)+2),MATCH(L$1,[6]enemy_skill_sets!$1:$1,0)-MATCH($V$1,[6]enemy_skill_sets!$1:$1,0)+2,FALSE)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23" s="5">
        <f ca="1">VLOOKUP($L23,OFFSET([4]enemies!$A$1,0,0,COUNTA([4]enemies!$A:$A),MATCH(W$1,[4]enemies!$1:$1,0)-MATCH($L$1,[4]enemies!$1:$1,0)+1),MATCH(W$1,[4]enemies!$1:$1,0)-MATCH($L$1,[4]enemies!$1:$1,0)+1,FALSE)</f>
        <v>0</v>
      </c>
      <c r="X23" s="7">
        <v>1</v>
      </c>
      <c r="Y23" s="7">
        <v>20</v>
      </c>
      <c r="Z23" s="7">
        <v>2</v>
      </c>
      <c r="AA23" s="20">
        <f ca="1">VLOOKUP($L23,OFFSET([4]enemies!$A$1,0,0,COUNTA([4]enemies!$A:$A),MATCH(AA$1,[4]enemies!$1:$1,0)-MATCH($L$1,[4]enemies!$1:$1,0)+1),MATCH(AA$1,[4]enemies!$1:$1,0)-MATCH($L$1,[4]enemies!$1:$1,0)+1,FALSE)</f>
        <v>1</v>
      </c>
      <c r="AB23" s="16">
        <f t="shared" si="43"/>
        <v>117</v>
      </c>
      <c r="AC23" s="5" t="str">
        <f ca="1">VLOOKUP(AB23,[4]enemies!$A:$B,2,FALSE)</f>
        <v>ゴールドピヨピヨ</v>
      </c>
      <c r="AD23" s="5">
        <f ca="1">VLOOKUP(AB23,[4]enemies!$A:$E,3,FALSE)</f>
        <v>3</v>
      </c>
      <c r="AE23" s="5" t="str">
        <f>VLOOKUP(AB23,[5]characters!$A:$J,10,FALSE)</f>
        <v>Material</v>
      </c>
      <c r="AF23" s="108">
        <v>1</v>
      </c>
      <c r="AG23" s="109">
        <f t="shared" ca="1" si="44"/>
        <v>3</v>
      </c>
      <c r="AH23" s="9">
        <v>0</v>
      </c>
      <c r="AI23" s="108">
        <v>0</v>
      </c>
      <c r="AJ23" s="108">
        <v>0</v>
      </c>
      <c r="AK23" s="108">
        <v>0</v>
      </c>
      <c r="AL23" s="108">
        <v>0</v>
      </c>
      <c r="AM23" s="108">
        <v>1</v>
      </c>
    </row>
    <row r="24" spans="1:39" ht="21" customHeight="1" x14ac:dyDescent="0.15">
      <c r="A24" s="17" t="str">
        <f t="shared" ca="1" si="40"/>
        <v>14002_2-1/63&lt;lv32&gt;s2</v>
      </c>
      <c r="B24" s="108">
        <v>14002</v>
      </c>
      <c r="C24" s="43">
        <v>2</v>
      </c>
      <c r="D24" s="16" t="str">
        <f t="shared" si="41"/>
        <v>14002_2</v>
      </c>
      <c r="E24" s="5" t="str">
        <f ca="1">VLOOKUP($B24,OFFSET([2]quests!$A$1,0,0,COUNTA([2]quests!$A:$A),MATCH(E$1,[2]quests!$1:$1,0)-MATCH($B$1,[2]quests!$1:$1,0)+1),MATCH(E$1,[2]quests!$1:$1,0)-MATCH($B$1,[2]quests!$1:$1,0)+1,FALSE)</f>
        <v>【ロック】ビット/ソロ</v>
      </c>
      <c r="F24" s="5" t="str">
        <f ca="1">VLOOKUP($D24,OFFSET([2]stages!$A$1,0,0,COUNTA([2]stages!$A:$A),MATCH(F$1,[2]stages!$2:$2,0)-MATCH($D$1,[2]stages!$2:$2,0)+1),MATCH(F$1,[2]stages!$2:$2,0)-MATCH($D$1,[2]stages!$2:$2,0)+1,FALSE)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24" s="111">
        <v>1</v>
      </c>
      <c r="H24" s="16" t="str">
        <f t="shared" si="42"/>
        <v>14002_2-1</v>
      </c>
      <c r="I24" s="5">
        <f ca="1">VLOOKUP($H24,OFFSET(floors!$A$1,0,0,COUNTA(floors!$A:$A),MATCH(I$1,floors!$1:$1,0)-MATCH($H$1,floors!$1:$1,0)+1),MATCH(I$1,floors!$1:$1,0)-MATCH($H$1,floors!$1:$1,0)+1,FALSE)</f>
        <v>30</v>
      </c>
      <c r="J24" s="5">
        <f ca="1">VLOOKUP($H24,OFFSET(floors!$A$1,0,0,COUNTA(floors!$A:$A),MATCH(J$1,floors!$1:$1,0)-MATCH($H$1,floors!$1:$1,0)+1),MATCH(J$1,floors!$1:$1,0)-MATCH($H$1,floors!$1:$1,0)+1,FALSE)</f>
        <v>55</v>
      </c>
      <c r="K24" s="8" t="s">
        <v>142</v>
      </c>
      <c r="L24" s="112">
        <v>63</v>
      </c>
      <c r="M24" s="20" t="str">
        <f ca="1">VLOOKUP(L24,[4]enemies!$A:$B,2,FALSE)</f>
        <v>トニー</v>
      </c>
      <c r="N24" s="22" t="str">
        <f ca="1">VLOOKUP(L24,[4]enemies!$A:$D,4,FALSE)</f>
        <v>yellow</v>
      </c>
      <c r="O24" s="22" t="str">
        <f>VLOOKUP(L24,[5]characters!$A:$J,10,FALSE)</f>
        <v>Drop1N</v>
      </c>
      <c r="P24" s="110" t="str">
        <f>VLOOKUP(L24,[5]characters!$A:$M,13,FALSE)</f>
        <v>animal</v>
      </c>
      <c r="Q24" s="5">
        <f ca="1">VLOOKUP(L24,[4]enemies!$A:$X,24,FALSE)</f>
        <v>15</v>
      </c>
      <c r="R24" s="6">
        <v>32</v>
      </c>
      <c r="S24" s="29">
        <v>1</v>
      </c>
      <c r="T24" s="29">
        <v>1</v>
      </c>
      <c r="U24" s="6">
        <v>0</v>
      </c>
      <c r="V24" s="5" t="e">
        <f ca="1">VLOOKUP($W24,OFFSET([6]enemy_skill_sets!$B$1,0,0,COUNTA([6]enemy_skill_sets!$B:$B),MATCH(L$1,[6]enemy_skill_sets!$1:$1,0)-MATCH($V$1,[6]enemy_skill_sets!$1:$1,0)+2),MATCH(L$1,[6]enemy_skill_sets!$1:$1,0)-MATCH($V$1,[6]enemy_skill_sets!$1:$1,0)+2,FALSE)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24" s="5">
        <f ca="1">VLOOKUP($L24,OFFSET([4]enemies!$A$1,0,0,COUNTA([4]enemies!$A:$A),MATCH(W$1,[4]enemies!$1:$1,0)-MATCH($L$1,[4]enemies!$1:$1,0)+1),MATCH(W$1,[4]enemies!$1:$1,0)-MATCH($L$1,[4]enemies!$1:$1,0)+1,FALSE)</f>
        <v>63</v>
      </c>
      <c r="X24" s="113">
        <v>0</v>
      </c>
      <c r="Y24" s="7">
        <v>20</v>
      </c>
      <c r="Z24" s="113">
        <v>0</v>
      </c>
      <c r="AA24" s="20">
        <f ca="1">VLOOKUP($L24,OFFSET([4]enemies!$A$1,0,0,COUNTA([4]enemies!$A:$A),MATCH(AA$1,[4]enemies!$1:$1,0)-MATCH($L$1,[4]enemies!$1:$1,0)+1),MATCH(AA$1,[4]enemies!$1:$1,0)-MATCH($L$1,[4]enemies!$1:$1,0)+1,FALSE)</f>
        <v>2</v>
      </c>
      <c r="AB24" s="16">
        <f t="shared" si="43"/>
        <v>63</v>
      </c>
      <c r="AC24" s="5" t="str">
        <f ca="1">VLOOKUP(AB24,[4]enemies!$A:$B,2,FALSE)</f>
        <v>トニー</v>
      </c>
      <c r="AD24" s="5">
        <f ca="1">VLOOKUP(AB24,[4]enemies!$A:$E,3,FALSE)</f>
        <v>2</v>
      </c>
      <c r="AE24" s="5" t="str">
        <f>VLOOKUP(AB24,[5]characters!$A:$J,10,FALSE)</f>
        <v>Drop1N</v>
      </c>
      <c r="AF24" s="108">
        <v>1</v>
      </c>
      <c r="AG24" s="109">
        <f t="shared" ca="1" si="44"/>
        <v>2</v>
      </c>
      <c r="AH24" s="9">
        <v>0</v>
      </c>
      <c r="AI24" s="108">
        <v>0</v>
      </c>
      <c r="AJ24" s="108">
        <v>0</v>
      </c>
      <c r="AK24" s="108">
        <v>0</v>
      </c>
      <c r="AL24" s="108">
        <v>0</v>
      </c>
      <c r="AM24" s="108">
        <v>1</v>
      </c>
    </row>
    <row r="25" spans="1:39" ht="21" customHeight="1" x14ac:dyDescent="0.15">
      <c r="A25" s="17" t="str">
        <f t="shared" ca="1" si="40"/>
        <v>14002_2-1/61&lt;lv32&gt;s2</v>
      </c>
      <c r="B25" s="108">
        <v>14002</v>
      </c>
      <c r="C25" s="43">
        <v>2</v>
      </c>
      <c r="D25" s="16" t="str">
        <f t="shared" si="41"/>
        <v>14002_2</v>
      </c>
      <c r="E25" s="5" t="str">
        <f ca="1">VLOOKUP($B25,OFFSET([2]quests!$A$1,0,0,COUNTA([2]quests!$A:$A),MATCH(E$1,[2]quests!$1:$1,0)-MATCH($B$1,[2]quests!$1:$1,0)+1),MATCH(E$1,[2]quests!$1:$1,0)-MATCH($B$1,[2]quests!$1:$1,0)+1,FALSE)</f>
        <v>【ロック】ビット/ソロ</v>
      </c>
      <c r="F25" s="5" t="str">
        <f ca="1">VLOOKUP($D25,OFFSET([2]stages!$A$1,0,0,COUNTA([2]stages!$A:$A),MATCH(F$1,[2]stages!$2:$2,0)-MATCH($D$1,[2]stages!$2:$2,0)+1),MATCH(F$1,[2]stages!$2:$2,0)-MATCH($D$1,[2]stages!$2:$2,0)+1,FALSE)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25" s="111">
        <v>1</v>
      </c>
      <c r="H25" s="16" t="str">
        <f t="shared" si="42"/>
        <v>14002_2-1</v>
      </c>
      <c r="I25" s="5">
        <f ca="1">VLOOKUP($H25,OFFSET(floors!$A$1,0,0,COUNTA(floors!$A:$A),MATCH(I$1,floors!$1:$1,0)-MATCH($H$1,floors!$1:$1,0)+1),MATCH(I$1,floors!$1:$1,0)-MATCH($H$1,floors!$1:$1,0)+1,FALSE)</f>
        <v>30</v>
      </c>
      <c r="J25" s="5">
        <f ca="1">VLOOKUP($H25,OFFSET(floors!$A$1,0,0,COUNTA(floors!$A:$A),MATCH(J$1,floors!$1:$1,0)-MATCH($H$1,floors!$1:$1,0)+1),MATCH(J$1,floors!$1:$1,0)-MATCH($H$1,floors!$1:$1,0)+1,FALSE)</f>
        <v>55</v>
      </c>
      <c r="K25" s="8" t="s">
        <v>142</v>
      </c>
      <c r="L25" s="112">
        <v>61</v>
      </c>
      <c r="M25" s="20" t="str">
        <f ca="1">VLOOKUP(L25,[4]enemies!$A:$B,2,FALSE)</f>
        <v>クロウ</v>
      </c>
      <c r="N25" s="22" t="str">
        <f ca="1">VLOOKUP(L25,[4]enemies!$A:$D,4,FALSE)</f>
        <v>blue</v>
      </c>
      <c r="O25" s="22" t="str">
        <f>VLOOKUP(L25,[5]characters!$A:$J,10,FALSE)</f>
        <v>Drop1N</v>
      </c>
      <c r="P25" s="110" t="str">
        <f>VLOOKUP(L25,[5]characters!$A:$M,13,FALSE)</f>
        <v>animal</v>
      </c>
      <c r="Q25" s="5">
        <f ca="1">VLOOKUP(L25,[4]enemies!$A:$X,24,FALSE)</f>
        <v>15</v>
      </c>
      <c r="R25" s="6">
        <v>32</v>
      </c>
      <c r="S25" s="29">
        <v>1</v>
      </c>
      <c r="T25" s="29">
        <v>1</v>
      </c>
      <c r="U25" s="6">
        <v>0</v>
      </c>
      <c r="V25" s="5" t="e">
        <f ca="1">VLOOKUP($W25,OFFSET([6]enemy_skill_sets!$B$1,0,0,COUNTA([6]enemy_skill_sets!$B:$B),MATCH(L$1,[6]enemy_skill_sets!$1:$1,0)-MATCH($V$1,[6]enemy_skill_sets!$1:$1,0)+2),MATCH(L$1,[6]enemy_skill_sets!$1:$1,0)-MATCH($V$1,[6]enemy_skill_sets!$1:$1,0)+2,FALSE)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25" s="5">
        <f ca="1">VLOOKUP($L25,OFFSET([4]enemies!$A$1,0,0,COUNTA([4]enemies!$A:$A),MATCH(W$1,[4]enemies!$1:$1,0)-MATCH($L$1,[4]enemies!$1:$1,0)+1),MATCH(W$1,[4]enemies!$1:$1,0)-MATCH($L$1,[4]enemies!$1:$1,0)+1,FALSE)</f>
        <v>61</v>
      </c>
      <c r="X25" s="113">
        <v>0</v>
      </c>
      <c r="Y25" s="7">
        <v>20</v>
      </c>
      <c r="Z25" s="113">
        <v>0</v>
      </c>
      <c r="AA25" s="20">
        <f ca="1">VLOOKUP($L25,OFFSET([4]enemies!$A$1,0,0,COUNTA([4]enemies!$A:$A),MATCH(AA$1,[4]enemies!$1:$1,0)-MATCH($L$1,[4]enemies!$1:$1,0)+1),MATCH(AA$1,[4]enemies!$1:$1,0)-MATCH($L$1,[4]enemies!$1:$1,0)+1,FALSE)</f>
        <v>2</v>
      </c>
      <c r="AB25" s="16">
        <f t="shared" si="43"/>
        <v>61</v>
      </c>
      <c r="AC25" s="5" t="str">
        <f ca="1">VLOOKUP(AB25,[4]enemies!$A:$B,2,FALSE)</f>
        <v>クロウ</v>
      </c>
      <c r="AD25" s="5">
        <f ca="1">VLOOKUP(AB25,[4]enemies!$A:$E,3,FALSE)</f>
        <v>2</v>
      </c>
      <c r="AE25" s="5" t="str">
        <f>VLOOKUP(AB25,[5]characters!$A:$J,10,FALSE)</f>
        <v>Drop1N</v>
      </c>
      <c r="AF25" s="108">
        <v>1</v>
      </c>
      <c r="AG25" s="109">
        <f t="shared" ca="1" si="44"/>
        <v>2</v>
      </c>
      <c r="AH25" s="9">
        <v>0</v>
      </c>
      <c r="AI25" s="108">
        <v>0</v>
      </c>
      <c r="AJ25" s="108">
        <v>0</v>
      </c>
      <c r="AK25" s="108">
        <v>0</v>
      </c>
      <c r="AL25" s="108">
        <v>0</v>
      </c>
      <c r="AM25" s="108">
        <v>1</v>
      </c>
    </row>
    <row r="26" spans="1:39" ht="21" customHeight="1" x14ac:dyDescent="0.15">
      <c r="A26" s="17" t="str">
        <f t="shared" ca="1" si="40"/>
        <v>14002_2-1/57&lt;lv32&gt;s2</v>
      </c>
      <c r="B26" s="108">
        <v>14002</v>
      </c>
      <c r="C26" s="43">
        <v>2</v>
      </c>
      <c r="D26" s="16" t="str">
        <f t="shared" si="41"/>
        <v>14002_2</v>
      </c>
      <c r="E26" s="5" t="str">
        <f ca="1">VLOOKUP($B26,OFFSET([2]quests!$A$1,0,0,COUNTA([2]quests!$A:$A),MATCH(E$1,[2]quests!$1:$1,0)-MATCH($B$1,[2]quests!$1:$1,0)+1),MATCH(E$1,[2]quests!$1:$1,0)-MATCH($B$1,[2]quests!$1:$1,0)+1,FALSE)</f>
        <v>【ロック】ビット/ソロ</v>
      </c>
      <c r="F26" s="5" t="str">
        <f ca="1">VLOOKUP($D26,OFFSET([2]stages!$A$1,0,0,COUNTA([2]stages!$A:$A),MATCH(F$1,[2]stages!$2:$2,0)-MATCH($D$1,[2]stages!$2:$2,0)+1),MATCH(F$1,[2]stages!$2:$2,0)-MATCH($D$1,[2]stages!$2:$2,0)+1,FALSE)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26" s="111">
        <v>1</v>
      </c>
      <c r="H26" s="16" t="str">
        <f t="shared" si="42"/>
        <v>14002_2-1</v>
      </c>
      <c r="I26" s="5">
        <f ca="1">VLOOKUP($H26,OFFSET(floors!$A$1,0,0,COUNTA(floors!$A:$A),MATCH(I$1,floors!$1:$1,0)-MATCH($H$1,floors!$1:$1,0)+1),MATCH(I$1,floors!$1:$1,0)-MATCH($H$1,floors!$1:$1,0)+1,FALSE)</f>
        <v>30</v>
      </c>
      <c r="J26" s="5">
        <f ca="1">VLOOKUP($H26,OFFSET(floors!$A$1,0,0,COUNTA(floors!$A:$A),MATCH(J$1,floors!$1:$1,0)-MATCH($H$1,floors!$1:$1,0)+1),MATCH(J$1,floors!$1:$1,0)-MATCH($H$1,floors!$1:$1,0)+1,FALSE)</f>
        <v>55</v>
      </c>
      <c r="K26" s="8" t="s">
        <v>142</v>
      </c>
      <c r="L26" s="112">
        <v>57</v>
      </c>
      <c r="M26" s="20" t="str">
        <f ca="1">VLOOKUP(L26,[4]enemies!$A:$B,2,FALSE)</f>
        <v>チェン・リー</v>
      </c>
      <c r="N26" s="22" t="str">
        <f ca="1">VLOOKUP(L26,[4]enemies!$A:$D,4,FALSE)</f>
        <v>red</v>
      </c>
      <c r="O26" s="22" t="str">
        <f>VLOOKUP(L26,[5]characters!$A:$J,10,FALSE)</f>
        <v>Drop1N</v>
      </c>
      <c r="P26" s="110" t="str">
        <f>VLOOKUP(L26,[5]characters!$A:$M,13,FALSE)</f>
        <v>animal</v>
      </c>
      <c r="Q26" s="5">
        <f ca="1">VLOOKUP(L26,[4]enemies!$A:$X,24,FALSE)</f>
        <v>15</v>
      </c>
      <c r="R26" s="6">
        <v>32</v>
      </c>
      <c r="S26" s="29">
        <v>1</v>
      </c>
      <c r="T26" s="29">
        <v>1</v>
      </c>
      <c r="U26" s="6">
        <v>0</v>
      </c>
      <c r="V26" s="5" t="e">
        <f ca="1">VLOOKUP($W26,OFFSET([6]enemy_skill_sets!$B$1,0,0,COUNTA([6]enemy_skill_sets!$B:$B),MATCH(L$1,[6]enemy_skill_sets!$1:$1,0)-MATCH($V$1,[6]enemy_skill_sets!$1:$1,0)+2),MATCH(L$1,[6]enemy_skill_sets!$1:$1,0)-MATCH($V$1,[6]enemy_skill_sets!$1:$1,0)+2,FALSE)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26" s="5">
        <f ca="1">VLOOKUP($L26,OFFSET([4]enemies!$A$1,0,0,COUNTA([4]enemies!$A:$A),MATCH(W$1,[4]enemies!$1:$1,0)-MATCH($L$1,[4]enemies!$1:$1,0)+1),MATCH(W$1,[4]enemies!$1:$1,0)-MATCH($L$1,[4]enemies!$1:$1,0)+1,FALSE)</f>
        <v>57</v>
      </c>
      <c r="X26" s="113">
        <v>0</v>
      </c>
      <c r="Y26" s="7">
        <v>20</v>
      </c>
      <c r="Z26" s="113">
        <v>0</v>
      </c>
      <c r="AA26" s="20">
        <f ca="1">VLOOKUP($L26,OFFSET([4]enemies!$A$1,0,0,COUNTA([4]enemies!$A:$A),MATCH(AA$1,[4]enemies!$1:$1,0)-MATCH($L$1,[4]enemies!$1:$1,0)+1),MATCH(AA$1,[4]enemies!$1:$1,0)-MATCH($L$1,[4]enemies!$1:$1,0)+1,FALSE)</f>
        <v>2</v>
      </c>
      <c r="AB26" s="16">
        <f t="shared" si="43"/>
        <v>57</v>
      </c>
      <c r="AC26" s="5" t="str">
        <f ca="1">VLOOKUP(AB26,[4]enemies!$A:$B,2,FALSE)</f>
        <v>チェン・リー</v>
      </c>
      <c r="AD26" s="5">
        <f ca="1">VLOOKUP(AB26,[4]enemies!$A:$E,3,FALSE)</f>
        <v>2</v>
      </c>
      <c r="AE26" s="5" t="str">
        <f>VLOOKUP(AB26,[5]characters!$A:$J,10,FALSE)</f>
        <v>Drop1N</v>
      </c>
      <c r="AF26" s="108">
        <v>1</v>
      </c>
      <c r="AG26" s="109">
        <f t="shared" ca="1" si="44"/>
        <v>2</v>
      </c>
      <c r="AH26" s="9">
        <v>0</v>
      </c>
      <c r="AI26" s="108">
        <v>0</v>
      </c>
      <c r="AJ26" s="108">
        <v>0</v>
      </c>
      <c r="AK26" s="108">
        <v>0</v>
      </c>
      <c r="AL26" s="108">
        <v>0</v>
      </c>
      <c r="AM26" s="108">
        <v>1</v>
      </c>
    </row>
    <row r="27" spans="1:39" ht="21" customHeight="1" x14ac:dyDescent="0.15">
      <c r="A27" s="17" t="str">
        <f t="shared" ca="1" si="40"/>
        <v>14002_2-1/59&lt;lv32&gt;s2</v>
      </c>
      <c r="B27" s="108">
        <v>14002</v>
      </c>
      <c r="C27" s="43">
        <v>2</v>
      </c>
      <c r="D27" s="16" t="str">
        <f t="shared" si="41"/>
        <v>14002_2</v>
      </c>
      <c r="E27" s="5" t="str">
        <f ca="1">VLOOKUP($B27,OFFSET([2]quests!$A$1,0,0,COUNTA([2]quests!$A:$A),MATCH(E$1,[2]quests!$1:$1,0)-MATCH($B$1,[2]quests!$1:$1,0)+1),MATCH(E$1,[2]quests!$1:$1,0)-MATCH($B$1,[2]quests!$1:$1,0)+1,FALSE)</f>
        <v>【ロック】ビット/ソロ</v>
      </c>
      <c r="F27" s="5" t="str">
        <f ca="1">VLOOKUP($D27,OFFSET([2]stages!$A$1,0,0,COUNTA([2]stages!$A:$A),MATCH(F$1,[2]stages!$2:$2,0)-MATCH($D$1,[2]stages!$2:$2,0)+1),MATCH(F$1,[2]stages!$2:$2,0)-MATCH($D$1,[2]stages!$2:$2,0)+1,FALSE)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27" s="111">
        <v>1</v>
      </c>
      <c r="H27" s="16" t="str">
        <f t="shared" si="42"/>
        <v>14002_2-1</v>
      </c>
      <c r="I27" s="5">
        <f ca="1">VLOOKUP($H27,OFFSET(floors!$A$1,0,0,COUNTA(floors!$A:$A),MATCH(I$1,floors!$1:$1,0)-MATCH($H$1,floors!$1:$1,0)+1),MATCH(I$1,floors!$1:$1,0)-MATCH($H$1,floors!$1:$1,0)+1,FALSE)</f>
        <v>30</v>
      </c>
      <c r="J27" s="5">
        <f ca="1">VLOOKUP($H27,OFFSET(floors!$A$1,0,0,COUNTA(floors!$A:$A),MATCH(J$1,floors!$1:$1,0)-MATCH($H$1,floors!$1:$1,0)+1),MATCH(J$1,floors!$1:$1,0)-MATCH($H$1,floors!$1:$1,0)+1,FALSE)</f>
        <v>55</v>
      </c>
      <c r="K27" s="8" t="s">
        <v>142</v>
      </c>
      <c r="L27" s="112">
        <v>59</v>
      </c>
      <c r="M27" s="20" t="str">
        <f ca="1">VLOOKUP(L27,[4]enemies!$A:$B,2,FALSE)</f>
        <v>マーチ</v>
      </c>
      <c r="N27" s="22" t="str">
        <f ca="1">VLOOKUP(L27,[4]enemies!$A:$D,4,FALSE)</f>
        <v>green</v>
      </c>
      <c r="O27" s="22" t="str">
        <f>VLOOKUP(L27,[5]characters!$A:$J,10,FALSE)</f>
        <v>Drop1N</v>
      </c>
      <c r="P27" s="110" t="str">
        <f>VLOOKUP(L27,[5]characters!$A:$M,13,FALSE)</f>
        <v>animal</v>
      </c>
      <c r="Q27" s="5">
        <f ca="1">VLOOKUP(L27,[4]enemies!$A:$X,24,FALSE)</f>
        <v>15</v>
      </c>
      <c r="R27" s="6">
        <v>32</v>
      </c>
      <c r="S27" s="29">
        <v>1</v>
      </c>
      <c r="T27" s="29">
        <v>1</v>
      </c>
      <c r="U27" s="6">
        <v>0</v>
      </c>
      <c r="V27" s="5" t="e">
        <f ca="1">VLOOKUP($W27,OFFSET([6]enemy_skill_sets!$B$1,0,0,COUNTA([6]enemy_skill_sets!$B:$B),MATCH(L$1,[6]enemy_skill_sets!$1:$1,0)-MATCH($V$1,[6]enemy_skill_sets!$1:$1,0)+2),MATCH(L$1,[6]enemy_skill_sets!$1:$1,0)-MATCH($V$1,[6]enemy_skill_sets!$1:$1,0)+2,FALSE)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27" s="5">
        <f ca="1">VLOOKUP($L27,OFFSET([4]enemies!$A$1,0,0,COUNTA([4]enemies!$A:$A),MATCH(W$1,[4]enemies!$1:$1,0)-MATCH($L$1,[4]enemies!$1:$1,0)+1),MATCH(W$1,[4]enemies!$1:$1,0)-MATCH($L$1,[4]enemies!$1:$1,0)+1,FALSE)</f>
        <v>59</v>
      </c>
      <c r="X27" s="113">
        <v>0</v>
      </c>
      <c r="Y27" s="7">
        <v>20</v>
      </c>
      <c r="Z27" s="113">
        <v>0</v>
      </c>
      <c r="AA27" s="20">
        <f ca="1">VLOOKUP($L27,OFFSET([4]enemies!$A$1,0,0,COUNTA([4]enemies!$A:$A),MATCH(AA$1,[4]enemies!$1:$1,0)-MATCH($L$1,[4]enemies!$1:$1,0)+1),MATCH(AA$1,[4]enemies!$1:$1,0)-MATCH($L$1,[4]enemies!$1:$1,0)+1,FALSE)</f>
        <v>2</v>
      </c>
      <c r="AB27" s="16">
        <f t="shared" si="43"/>
        <v>59</v>
      </c>
      <c r="AC27" s="5" t="str">
        <f ca="1">VLOOKUP(AB27,[4]enemies!$A:$B,2,FALSE)</f>
        <v>マーチ</v>
      </c>
      <c r="AD27" s="5">
        <f ca="1">VLOOKUP(AB27,[4]enemies!$A:$E,3,FALSE)</f>
        <v>2</v>
      </c>
      <c r="AE27" s="5" t="str">
        <f>VLOOKUP(AB27,[5]characters!$A:$J,10,FALSE)</f>
        <v>Drop1N</v>
      </c>
      <c r="AF27" s="108">
        <v>1</v>
      </c>
      <c r="AG27" s="109">
        <f t="shared" ca="1" si="44"/>
        <v>2</v>
      </c>
      <c r="AH27" s="9">
        <v>0</v>
      </c>
      <c r="AI27" s="108">
        <v>0</v>
      </c>
      <c r="AJ27" s="108">
        <v>0</v>
      </c>
      <c r="AK27" s="108">
        <v>0</v>
      </c>
      <c r="AL27" s="108">
        <v>0</v>
      </c>
      <c r="AM27" s="108">
        <v>1</v>
      </c>
    </row>
    <row r="28" spans="1:39" ht="21" customHeight="1" x14ac:dyDescent="0.15">
      <c r="A28" s="17" t="str">
        <f t="shared" ca="1" si="40"/>
        <v>14002_2-2/118&lt;lv3&gt;s2</v>
      </c>
      <c r="B28" s="108">
        <v>14002</v>
      </c>
      <c r="C28" s="43">
        <v>2</v>
      </c>
      <c r="D28" s="16" t="str">
        <f t="shared" si="41"/>
        <v>14002_2</v>
      </c>
      <c r="E28" s="5" t="str">
        <f ca="1">VLOOKUP($B28,OFFSET([2]quests!$A$1,0,0,COUNTA([2]quests!$A:$A),MATCH(E$1,[2]quests!$1:$1,0)-MATCH($B$1,[2]quests!$1:$1,0)+1),MATCH(E$1,[2]quests!$1:$1,0)-MATCH($B$1,[2]quests!$1:$1,0)+1,FALSE)</f>
        <v>【ロック】ビット/ソロ</v>
      </c>
      <c r="F28" s="5" t="str">
        <f ca="1">VLOOKUP($D28,OFFSET([2]stages!$A$1,0,0,COUNTA([2]stages!$A:$A),MATCH(F$1,[2]stages!$2:$2,0)-MATCH($D$1,[2]stages!$2:$2,0)+1),MATCH(F$1,[2]stages!$2:$2,0)-MATCH($D$1,[2]stages!$2:$2,0)+1,FALSE)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28" s="43">
        <v>2</v>
      </c>
      <c r="H28" s="16" t="str">
        <f t="shared" si="42"/>
        <v>14002_2-2</v>
      </c>
      <c r="I28" s="5">
        <f ca="1">VLOOKUP($H28,OFFSET(floors!$A$1,0,0,COUNTA(floors!$A:$A),MATCH(I$1,floors!$1:$1,0)-MATCH($H$1,floors!$1:$1,0)+1),MATCH(I$1,floors!$1:$1,0)-MATCH($H$1,floors!$1:$1,0)+1,FALSE)</f>
        <v>35</v>
      </c>
      <c r="J28" s="5">
        <f ca="1">VLOOKUP($H28,OFFSET(floors!$A$1,0,0,COUNTA(floors!$A:$A),MATCH(J$1,floors!$1:$1,0)-MATCH($H$1,floors!$1:$1,0)+1),MATCH(J$1,floors!$1:$1,0)-MATCH($H$1,floors!$1:$1,0)+1,FALSE)</f>
        <v>50</v>
      </c>
      <c r="K28" s="8" t="s">
        <v>142</v>
      </c>
      <c r="L28" s="45">
        <v>118</v>
      </c>
      <c r="M28" s="20" t="str">
        <f ca="1">VLOOKUP(L28,[4]enemies!$A:$B,2,FALSE)</f>
        <v>ゴールドチック</v>
      </c>
      <c r="N28" s="22" t="str">
        <f ca="1">VLOOKUP(L28,[4]enemies!$A:$D,4,FALSE)</f>
        <v>yellow</v>
      </c>
      <c r="O28" s="22" t="str">
        <f>VLOOKUP(L28,[5]characters!$A:$J,10,FALSE)</f>
        <v>Material</v>
      </c>
      <c r="P28" s="110" t="str">
        <f>VLOOKUP(L28,[5]characters!$A:$M,13,FALSE)</f>
        <v>unknown</v>
      </c>
      <c r="Q28" s="5">
        <f ca="1">VLOOKUP(L28,[4]enemies!$A:$X,24,FALSE)</f>
        <v>15</v>
      </c>
      <c r="R28" s="6">
        <v>3</v>
      </c>
      <c r="S28" s="29">
        <v>28.8</v>
      </c>
      <c r="T28" s="29">
        <v>38.5</v>
      </c>
      <c r="U28" s="6">
        <v>0</v>
      </c>
      <c r="V28" s="5" t="e">
        <f ca="1">VLOOKUP($W28,OFFSET([6]enemy_skill_sets!$B$1,0,0,COUNTA([6]enemy_skill_sets!$B:$B),MATCH(L$1,[6]enemy_skill_sets!$1:$1,0)-MATCH($V$1,[6]enemy_skill_sets!$1:$1,0)+2),MATCH(L$1,[6]enemy_skill_sets!$1:$1,0)-MATCH($V$1,[6]enemy_skill_sets!$1:$1,0)+2,FALSE)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28" s="5">
        <f ca="1">VLOOKUP($L28,OFFSET([4]enemies!$A$1,0,0,COUNTA([4]enemies!$A:$A),MATCH(W$1,[4]enemies!$1:$1,0)-MATCH($L$1,[4]enemies!$1:$1,0)+1),MATCH(W$1,[4]enemies!$1:$1,0)-MATCH($L$1,[4]enemies!$1:$1,0)+1,FALSE)</f>
        <v>0</v>
      </c>
      <c r="X28" s="7">
        <v>0</v>
      </c>
      <c r="Y28" s="7">
        <v>50</v>
      </c>
      <c r="Z28" s="7">
        <v>1</v>
      </c>
      <c r="AA28" s="20">
        <f ca="1">VLOOKUP($L28,OFFSET([4]enemies!$A$1,0,0,COUNTA([4]enemies!$A:$A),MATCH(AA$1,[4]enemies!$1:$1,0)-MATCH($L$1,[4]enemies!$1:$1,0)+1),MATCH(AA$1,[4]enemies!$1:$1,0)-MATCH($L$1,[4]enemies!$1:$1,0)+1,FALSE)</f>
        <v>2</v>
      </c>
      <c r="AB28" s="16">
        <f t="shared" si="43"/>
        <v>118</v>
      </c>
      <c r="AC28" s="5" t="str">
        <f ca="1">VLOOKUP(AB28,[4]enemies!$A:$B,2,FALSE)</f>
        <v>ゴールドチック</v>
      </c>
      <c r="AD28" s="5">
        <f ca="1">VLOOKUP(AB28,[4]enemies!$A:$E,3,FALSE)</f>
        <v>4</v>
      </c>
      <c r="AE28" s="5" t="str">
        <f>VLOOKUP(AB28,[5]characters!$A:$J,10,FALSE)</f>
        <v>Material</v>
      </c>
      <c r="AF28" s="108">
        <v>1</v>
      </c>
      <c r="AG28" s="109">
        <f t="shared" ca="1" si="44"/>
        <v>4</v>
      </c>
      <c r="AH28" s="9">
        <v>100</v>
      </c>
      <c r="AI28" s="108">
        <v>0</v>
      </c>
      <c r="AJ28" s="108">
        <v>0</v>
      </c>
      <c r="AK28" s="108">
        <v>0</v>
      </c>
      <c r="AL28" s="108">
        <v>0</v>
      </c>
      <c r="AM28" s="108">
        <v>1</v>
      </c>
    </row>
    <row r="29" spans="1:39" ht="21" customHeight="1" x14ac:dyDescent="0.15">
      <c r="A29" s="17" t="str">
        <f t="shared" si="40"/>
        <v>14002_2-2/121&lt;lv32&gt;s3</v>
      </c>
      <c r="B29" s="108">
        <v>14002</v>
      </c>
      <c r="C29" s="43">
        <v>2</v>
      </c>
      <c r="D29" s="16" t="str">
        <f t="shared" si="41"/>
        <v>14002_2</v>
      </c>
      <c r="E29" s="5" t="str">
        <f ca="1">VLOOKUP($B29,OFFSET([2]quests!$A$1,0,0,COUNTA([2]quests!$A:$A),MATCH(E$1,[2]quests!$1:$1,0)-MATCH($B$1,[2]quests!$1:$1,0)+1),MATCH(E$1,[2]quests!$1:$1,0)-MATCH($B$1,[2]quests!$1:$1,0)+1,FALSE)</f>
        <v>【ロック】ビット/ソロ</v>
      </c>
      <c r="F29" s="5" t="str">
        <f ca="1">VLOOKUP($D29,OFFSET([2]stages!$A$1,0,0,COUNTA([2]stages!$A:$A),MATCH(F$1,[2]stages!$2:$2,0)-MATCH($D$1,[2]stages!$2:$2,0)+1),MATCH(F$1,[2]stages!$2:$2,0)-MATCH($D$1,[2]stages!$2:$2,0)+1,FALSE)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29" s="43">
        <v>2</v>
      </c>
      <c r="H29" s="16" t="str">
        <f t="shared" si="42"/>
        <v>14002_2-2</v>
      </c>
      <c r="I29" s="5">
        <f ca="1">VLOOKUP($H29,OFFSET(floors!$A$1,0,0,COUNTA(floors!$A:$A),MATCH(I$1,floors!$1:$1,0)-MATCH($H$1,floors!$1:$1,0)+1),MATCH(I$1,floors!$1:$1,0)-MATCH($H$1,floors!$1:$1,0)+1,FALSE)</f>
        <v>35</v>
      </c>
      <c r="J29" s="5">
        <f ca="1">VLOOKUP($H29,OFFSET(floors!$A$1,0,0,COUNTA(floors!$A:$A),MATCH(J$1,floors!$1:$1,0)-MATCH($H$1,floors!$1:$1,0)+1),MATCH(J$1,floors!$1:$1,0)-MATCH($H$1,floors!$1:$1,0)+1,FALSE)</f>
        <v>50</v>
      </c>
      <c r="K29" s="8" t="s">
        <v>142</v>
      </c>
      <c r="L29" s="45">
        <v>121</v>
      </c>
      <c r="M29" s="20" t="str">
        <f ca="1">VLOOKUP(L29,[4]enemies!$A:$B,2,FALSE)</f>
        <v>攻めの果実</v>
      </c>
      <c r="N29" s="22" t="str">
        <f ca="1">VLOOKUP(L29,[4]enemies!$A:$D,4,FALSE)</f>
        <v>red</v>
      </c>
      <c r="O29" s="22" t="str">
        <f>VLOOKUP(L29,[5]characters!$A:$J,10,FALSE)</f>
        <v>Material</v>
      </c>
      <c r="P29" s="110" t="str">
        <f>VLOOKUP(L29,[5]characters!$A:$M,13,FALSE)</f>
        <v>unknown</v>
      </c>
      <c r="Q29" s="5">
        <f ca="1">VLOOKUP(L29,[4]enemies!$A:$X,24,FALSE)</f>
        <v>20</v>
      </c>
      <c r="R29" s="6">
        <v>32</v>
      </c>
      <c r="S29" s="29">
        <v>0.4</v>
      </c>
      <c r="T29" s="29">
        <v>1</v>
      </c>
      <c r="U29" s="6">
        <v>0</v>
      </c>
      <c r="V29" s="114"/>
      <c r="W29" s="115">
        <v>11006010</v>
      </c>
      <c r="X29" s="7">
        <v>0</v>
      </c>
      <c r="Y29" s="7">
        <v>10</v>
      </c>
      <c r="Z29" s="7">
        <v>1</v>
      </c>
      <c r="AA29" s="116">
        <v>3</v>
      </c>
      <c r="AB29" s="16">
        <f t="shared" si="43"/>
        <v>121</v>
      </c>
      <c r="AC29" s="5" t="str">
        <f ca="1">VLOOKUP(AB29,[4]enemies!$A:$B,2,FALSE)</f>
        <v>攻めの果実</v>
      </c>
      <c r="AD29" s="5">
        <f ca="1">VLOOKUP(AB29,[4]enemies!$A:$E,3,FALSE)</f>
        <v>3</v>
      </c>
      <c r="AE29" s="5" t="str">
        <f>VLOOKUP(AB29,[5]characters!$A:$J,10,FALSE)</f>
        <v>Material</v>
      </c>
      <c r="AF29" s="108">
        <v>1</v>
      </c>
      <c r="AG29" s="109">
        <f t="shared" ca="1" si="44"/>
        <v>3</v>
      </c>
      <c r="AH29" s="9">
        <v>100</v>
      </c>
      <c r="AI29" s="108">
        <v>0</v>
      </c>
      <c r="AJ29" s="108">
        <v>0</v>
      </c>
      <c r="AK29" s="108">
        <v>0</v>
      </c>
      <c r="AL29" s="108">
        <v>0</v>
      </c>
      <c r="AM29" s="108">
        <v>1</v>
      </c>
    </row>
    <row r="30" spans="1:39" ht="21" customHeight="1" x14ac:dyDescent="0.15">
      <c r="A30" s="17" t="str">
        <f t="shared" si="40"/>
        <v>14002_2-2/122&lt;lv32&gt;s3</v>
      </c>
      <c r="B30" s="108">
        <v>14002</v>
      </c>
      <c r="C30" s="43">
        <v>2</v>
      </c>
      <c r="D30" s="16" t="str">
        <f t="shared" si="41"/>
        <v>14002_2</v>
      </c>
      <c r="E30" s="5" t="str">
        <f ca="1">VLOOKUP($B30,OFFSET([2]quests!$A$1,0,0,COUNTA([2]quests!$A:$A),MATCH(E$1,[2]quests!$1:$1,0)-MATCH($B$1,[2]quests!$1:$1,0)+1),MATCH(E$1,[2]quests!$1:$1,0)-MATCH($B$1,[2]quests!$1:$1,0)+1,FALSE)</f>
        <v>【ロック】ビット/ソロ</v>
      </c>
      <c r="F30" s="5" t="str">
        <f ca="1">VLOOKUP($D30,OFFSET([2]stages!$A$1,0,0,COUNTA([2]stages!$A:$A),MATCH(F$1,[2]stages!$2:$2,0)-MATCH($D$1,[2]stages!$2:$2,0)+1),MATCH(F$1,[2]stages!$2:$2,0)-MATCH($D$1,[2]stages!$2:$2,0)+1,FALSE)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30" s="43">
        <v>2</v>
      </c>
      <c r="H30" s="16" t="str">
        <f t="shared" si="42"/>
        <v>14002_2-2</v>
      </c>
      <c r="I30" s="5">
        <f ca="1">VLOOKUP($H30,OFFSET(floors!$A$1,0,0,COUNTA(floors!$A:$A),MATCH(I$1,floors!$1:$1,0)-MATCH($H$1,floors!$1:$1,0)+1),MATCH(I$1,floors!$1:$1,0)-MATCH($H$1,floors!$1:$1,0)+1,FALSE)</f>
        <v>35</v>
      </c>
      <c r="J30" s="5">
        <f ca="1">VLOOKUP($H30,OFFSET(floors!$A$1,0,0,COUNTA(floors!$A:$A),MATCH(J$1,floors!$1:$1,0)-MATCH($H$1,floors!$1:$1,0)+1),MATCH(J$1,floors!$1:$1,0)-MATCH($H$1,floors!$1:$1,0)+1,FALSE)</f>
        <v>50</v>
      </c>
      <c r="K30" s="8" t="s">
        <v>142</v>
      </c>
      <c r="L30" s="45">
        <v>122</v>
      </c>
      <c r="M30" s="20" t="str">
        <f ca="1">VLOOKUP(L30,[4]enemies!$A:$B,2,FALSE)</f>
        <v>生命の果実</v>
      </c>
      <c r="N30" s="22" t="str">
        <f ca="1">VLOOKUP(L30,[4]enemies!$A:$D,4,FALSE)</f>
        <v>green</v>
      </c>
      <c r="O30" s="22" t="str">
        <f>VLOOKUP(L30,[5]characters!$A:$J,10,FALSE)</f>
        <v>Material</v>
      </c>
      <c r="P30" s="110" t="str">
        <f>VLOOKUP(L30,[5]characters!$A:$M,13,FALSE)</f>
        <v>unknown</v>
      </c>
      <c r="Q30" s="5">
        <f ca="1">VLOOKUP(L30,[4]enemies!$A:$X,24,FALSE)</f>
        <v>20</v>
      </c>
      <c r="R30" s="6">
        <v>32</v>
      </c>
      <c r="S30" s="29">
        <v>0.4</v>
      </c>
      <c r="T30" s="29">
        <v>1</v>
      </c>
      <c r="U30" s="6">
        <v>0</v>
      </c>
      <c r="V30" s="114"/>
      <c r="W30" s="115">
        <v>11006020</v>
      </c>
      <c r="X30" s="7">
        <v>0</v>
      </c>
      <c r="Y30" s="7">
        <v>20</v>
      </c>
      <c r="Z30" s="7">
        <v>1</v>
      </c>
      <c r="AA30" s="116">
        <v>3</v>
      </c>
      <c r="AB30" s="16">
        <f t="shared" si="43"/>
        <v>122</v>
      </c>
      <c r="AC30" s="5" t="str">
        <f ca="1">VLOOKUP(AB30,[4]enemies!$A:$B,2,FALSE)</f>
        <v>生命の果実</v>
      </c>
      <c r="AD30" s="5">
        <f ca="1">VLOOKUP(AB30,[4]enemies!$A:$E,3,FALSE)</f>
        <v>3</v>
      </c>
      <c r="AE30" s="5" t="str">
        <f>VLOOKUP(AB30,[5]characters!$A:$J,10,FALSE)</f>
        <v>Material</v>
      </c>
      <c r="AF30" s="108">
        <v>1</v>
      </c>
      <c r="AG30" s="109">
        <f t="shared" ca="1" si="44"/>
        <v>3</v>
      </c>
      <c r="AH30" s="9">
        <v>100</v>
      </c>
      <c r="AI30" s="108">
        <v>0</v>
      </c>
      <c r="AJ30" s="108">
        <v>0</v>
      </c>
      <c r="AK30" s="108">
        <v>0</v>
      </c>
      <c r="AL30" s="108">
        <v>0</v>
      </c>
      <c r="AM30" s="108">
        <v>1</v>
      </c>
    </row>
    <row r="31" spans="1:39" ht="21" customHeight="1" x14ac:dyDescent="0.15">
      <c r="A31" s="17" t="str">
        <f t="shared" si="40"/>
        <v>14002_2-2/123&lt;lv32&gt;s3</v>
      </c>
      <c r="B31" s="108">
        <v>14002</v>
      </c>
      <c r="C31" s="43">
        <v>2</v>
      </c>
      <c r="D31" s="16" t="str">
        <f t="shared" si="41"/>
        <v>14002_2</v>
      </c>
      <c r="E31" s="5" t="str">
        <f ca="1">VLOOKUP($B31,OFFSET([2]quests!$A$1,0,0,COUNTA([2]quests!$A:$A),MATCH(E$1,[2]quests!$1:$1,0)-MATCH($B$1,[2]quests!$1:$1,0)+1),MATCH(E$1,[2]quests!$1:$1,0)-MATCH($B$1,[2]quests!$1:$1,0)+1,FALSE)</f>
        <v>【ロック】ビット/ソロ</v>
      </c>
      <c r="F31" s="5" t="str">
        <f ca="1">VLOOKUP($D31,OFFSET([2]stages!$A$1,0,0,COUNTA([2]stages!$A:$A),MATCH(F$1,[2]stages!$2:$2,0)-MATCH($D$1,[2]stages!$2:$2,0)+1),MATCH(F$1,[2]stages!$2:$2,0)-MATCH($D$1,[2]stages!$2:$2,0)+1,FALSE)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31" s="43">
        <v>2</v>
      </c>
      <c r="H31" s="16" t="str">
        <f t="shared" si="42"/>
        <v>14002_2-2</v>
      </c>
      <c r="I31" s="5">
        <f ca="1">VLOOKUP($H31,OFFSET(floors!$A$1,0,0,COUNTA(floors!$A:$A),MATCH(I$1,floors!$1:$1,0)-MATCH($H$1,floors!$1:$1,0)+1),MATCH(I$1,floors!$1:$1,0)-MATCH($H$1,floors!$1:$1,0)+1,FALSE)</f>
        <v>35</v>
      </c>
      <c r="J31" s="5">
        <f ca="1">VLOOKUP($H31,OFFSET(floors!$A$1,0,0,COUNTA(floors!$A:$A),MATCH(J$1,floors!$1:$1,0)-MATCH($H$1,floors!$1:$1,0)+1),MATCH(J$1,floors!$1:$1,0)-MATCH($H$1,floors!$1:$1,0)+1,FALSE)</f>
        <v>50</v>
      </c>
      <c r="K31" s="8" t="s">
        <v>142</v>
      </c>
      <c r="L31" s="45">
        <v>123</v>
      </c>
      <c r="M31" s="20" t="str">
        <f ca="1">VLOOKUP(L31,[4]enemies!$A:$B,2,FALSE)</f>
        <v>癒しの果実</v>
      </c>
      <c r="N31" s="22" t="str">
        <f ca="1">VLOOKUP(L31,[4]enemies!$A:$D,4,FALSE)</f>
        <v>blue</v>
      </c>
      <c r="O31" s="22" t="str">
        <f>VLOOKUP(L31,[5]characters!$A:$J,10,FALSE)</f>
        <v>Material</v>
      </c>
      <c r="P31" s="110" t="str">
        <f>VLOOKUP(L31,[5]characters!$A:$M,13,FALSE)</f>
        <v>unknown</v>
      </c>
      <c r="Q31" s="5">
        <f ca="1">VLOOKUP(L31,[4]enemies!$A:$X,24,FALSE)</f>
        <v>20</v>
      </c>
      <c r="R31" s="6">
        <v>32</v>
      </c>
      <c r="S31" s="29">
        <v>0.4</v>
      </c>
      <c r="T31" s="29">
        <v>1</v>
      </c>
      <c r="U31" s="6">
        <v>0</v>
      </c>
      <c r="V31" s="114"/>
      <c r="W31" s="115">
        <v>11006030</v>
      </c>
      <c r="X31" s="7">
        <v>0</v>
      </c>
      <c r="Y31" s="7">
        <v>20</v>
      </c>
      <c r="Z31" s="7">
        <v>1</v>
      </c>
      <c r="AA31" s="116">
        <v>3</v>
      </c>
      <c r="AB31" s="16">
        <f t="shared" si="43"/>
        <v>123</v>
      </c>
      <c r="AC31" s="5" t="str">
        <f ca="1">VLOOKUP(AB31,[4]enemies!$A:$B,2,FALSE)</f>
        <v>癒しの果実</v>
      </c>
      <c r="AD31" s="5">
        <f ca="1">VLOOKUP(AB31,[4]enemies!$A:$E,3,FALSE)</f>
        <v>3</v>
      </c>
      <c r="AE31" s="5" t="str">
        <f>VLOOKUP(AB31,[5]characters!$A:$J,10,FALSE)</f>
        <v>Material</v>
      </c>
      <c r="AF31" s="108">
        <v>1</v>
      </c>
      <c r="AG31" s="109">
        <f t="shared" ca="1" si="44"/>
        <v>3</v>
      </c>
      <c r="AH31" s="9">
        <v>100</v>
      </c>
      <c r="AI31" s="108">
        <v>0</v>
      </c>
      <c r="AJ31" s="108">
        <v>0</v>
      </c>
      <c r="AK31" s="108">
        <v>0</v>
      </c>
      <c r="AL31" s="108">
        <v>0</v>
      </c>
      <c r="AM31" s="108">
        <v>1</v>
      </c>
    </row>
    <row r="32" spans="1:39" ht="21" customHeight="1" x14ac:dyDescent="0.15">
      <c r="A32" s="17" t="str">
        <f t="shared" ca="1" si="40"/>
        <v>14002_2-2/118&lt;lv1&gt;s2</v>
      </c>
      <c r="B32" s="108">
        <v>14002</v>
      </c>
      <c r="C32" s="43">
        <v>2</v>
      </c>
      <c r="D32" s="16" t="str">
        <f t="shared" si="41"/>
        <v>14002_2</v>
      </c>
      <c r="E32" s="5" t="str">
        <f ca="1">VLOOKUP($B32,OFFSET([2]quests!$A$1,0,0,COUNTA([2]quests!$A:$A),MATCH(E$1,[2]quests!$1:$1,0)-MATCH($B$1,[2]quests!$1:$1,0)+1),MATCH(E$1,[2]quests!$1:$1,0)-MATCH($B$1,[2]quests!$1:$1,0)+1,FALSE)</f>
        <v>【ロック】ビット/ソロ</v>
      </c>
      <c r="F32" s="5" t="str">
        <f ca="1">VLOOKUP($D32,OFFSET([2]stages!$A$1,0,0,COUNTA([2]stages!$A:$A),MATCH(F$1,[2]stages!$2:$2,0)-MATCH($D$1,[2]stages!$2:$2,0)+1),MATCH(F$1,[2]stages!$2:$2,0)-MATCH($D$1,[2]stages!$2:$2,0)+1,FALSE)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32" s="43">
        <v>2</v>
      </c>
      <c r="H32" s="16" t="str">
        <f t="shared" si="42"/>
        <v>14002_2-2</v>
      </c>
      <c r="I32" s="5">
        <f ca="1">VLOOKUP($H32,OFFSET(floors!$A$1,0,0,COUNTA(floors!$A:$A),MATCH(I$1,floors!$1:$1,0)-MATCH($H$1,floors!$1:$1,0)+1),MATCH(I$1,floors!$1:$1,0)-MATCH($H$1,floors!$1:$1,0)+1,FALSE)</f>
        <v>35</v>
      </c>
      <c r="J32" s="5">
        <f ca="1">VLOOKUP($H32,OFFSET(floors!$A$1,0,0,COUNTA(floors!$A:$A),MATCH(J$1,floors!$1:$1,0)-MATCH($H$1,floors!$1:$1,0)+1),MATCH(J$1,floors!$1:$1,0)-MATCH($H$1,floors!$1:$1,0)+1,FALSE)</f>
        <v>50</v>
      </c>
      <c r="K32" s="8" t="s">
        <v>142</v>
      </c>
      <c r="L32" s="45">
        <v>118</v>
      </c>
      <c r="M32" s="20" t="str">
        <f ca="1">VLOOKUP(L32,[4]enemies!$A:$B,2,FALSE)</f>
        <v>ゴールドチック</v>
      </c>
      <c r="N32" s="22" t="str">
        <f ca="1">VLOOKUP(L32,[4]enemies!$A:$D,4,FALSE)</f>
        <v>yellow</v>
      </c>
      <c r="O32" s="22" t="str">
        <f>VLOOKUP(L32,[5]characters!$A:$J,10,FALSE)</f>
        <v>Material</v>
      </c>
      <c r="P32" s="110" t="str">
        <f>VLOOKUP(L32,[5]characters!$A:$M,13,FALSE)</f>
        <v>unknown</v>
      </c>
      <c r="Q32" s="5">
        <f ca="1">VLOOKUP(L32,[4]enemies!$A:$X,24,FALSE)</f>
        <v>15</v>
      </c>
      <c r="R32" s="6">
        <v>1</v>
      </c>
      <c r="S32" s="29">
        <v>28.8</v>
      </c>
      <c r="T32" s="29">
        <v>38.5</v>
      </c>
      <c r="U32" s="6">
        <v>0</v>
      </c>
      <c r="V32" s="5" t="e">
        <f ca="1">VLOOKUP($W32,OFFSET([6]enemy_skill_sets!$B$1,0,0,COUNTA([6]enemy_skill_sets!$B:$B),MATCH(L$1,[6]enemy_skill_sets!$1:$1,0)-MATCH($V$1,[6]enemy_skill_sets!$1:$1,0)+2),MATCH(L$1,[6]enemy_skill_sets!$1:$1,0)-MATCH($V$1,[6]enemy_skill_sets!$1:$1,0)+2,FALSE)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32" s="5">
        <f ca="1">VLOOKUP($L32,OFFSET([4]enemies!$A$1,0,0,COUNTA([4]enemies!$A:$A),MATCH(W$1,[4]enemies!$1:$1,0)-MATCH($L$1,[4]enemies!$1:$1,0)+1),MATCH(W$1,[4]enemies!$1:$1,0)-MATCH($L$1,[4]enemies!$1:$1,0)+1,FALSE)</f>
        <v>0</v>
      </c>
      <c r="X32" s="7">
        <v>1</v>
      </c>
      <c r="Y32" s="7">
        <v>0</v>
      </c>
      <c r="Z32" s="7">
        <v>2</v>
      </c>
      <c r="AA32" s="20">
        <f ca="1">VLOOKUP($L32,OFFSET([4]enemies!$A$1,0,0,COUNTA([4]enemies!$A:$A),MATCH(AA$1,[4]enemies!$1:$1,0)-MATCH($L$1,[4]enemies!$1:$1,0)+1),MATCH(AA$1,[4]enemies!$1:$1,0)-MATCH($L$1,[4]enemies!$1:$1,0)+1,FALSE)</f>
        <v>2</v>
      </c>
      <c r="AB32" s="16">
        <f t="shared" si="43"/>
        <v>118</v>
      </c>
      <c r="AC32" s="5" t="str">
        <f ca="1">VLOOKUP(AB32,[4]enemies!$A:$B,2,FALSE)</f>
        <v>ゴールドチック</v>
      </c>
      <c r="AD32" s="5">
        <f ca="1">VLOOKUP(AB32,[4]enemies!$A:$E,3,FALSE)</f>
        <v>4</v>
      </c>
      <c r="AE32" s="5" t="str">
        <f>VLOOKUP(AB32,[5]characters!$A:$J,10,FALSE)</f>
        <v>Material</v>
      </c>
      <c r="AF32" s="108">
        <v>1</v>
      </c>
      <c r="AG32" s="109">
        <f t="shared" ca="1" si="44"/>
        <v>4</v>
      </c>
      <c r="AH32" s="9">
        <v>100</v>
      </c>
      <c r="AI32" s="108">
        <v>0</v>
      </c>
      <c r="AJ32" s="108">
        <v>0</v>
      </c>
      <c r="AK32" s="108">
        <v>0</v>
      </c>
      <c r="AL32" s="108">
        <v>0</v>
      </c>
      <c r="AM32" s="108">
        <v>1</v>
      </c>
    </row>
    <row r="33" spans="1:39" ht="21" customHeight="1" x14ac:dyDescent="0.15">
      <c r="A33" s="17" t="str">
        <f t="shared" ca="1" si="40"/>
        <v>14002_2-2/118&lt;lv2&gt;s2</v>
      </c>
      <c r="B33" s="108">
        <v>14002</v>
      </c>
      <c r="C33" s="43">
        <v>2</v>
      </c>
      <c r="D33" s="16" t="str">
        <f t="shared" si="41"/>
        <v>14002_2</v>
      </c>
      <c r="E33" s="5" t="str">
        <f ca="1">VLOOKUP($B33,OFFSET([2]quests!$A$1,0,0,COUNTA([2]quests!$A:$A),MATCH(E$1,[2]quests!$1:$1,0)-MATCH($B$1,[2]quests!$1:$1,0)+1),MATCH(E$1,[2]quests!$1:$1,0)-MATCH($B$1,[2]quests!$1:$1,0)+1,FALSE)</f>
        <v>【ロック】ビット/ソロ</v>
      </c>
      <c r="F33" s="5" t="str">
        <f ca="1">VLOOKUP($D33,OFFSET([2]stages!$A$1,0,0,COUNTA([2]stages!$A:$A),MATCH(F$1,[2]stages!$2:$2,0)-MATCH($D$1,[2]stages!$2:$2,0)+1),MATCH(F$1,[2]stages!$2:$2,0)-MATCH($D$1,[2]stages!$2:$2,0)+1,FALSE)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33" s="43">
        <v>2</v>
      </c>
      <c r="H33" s="16" t="str">
        <f t="shared" si="42"/>
        <v>14002_2-2</v>
      </c>
      <c r="I33" s="5">
        <f ca="1">VLOOKUP($H33,OFFSET(floors!$A$1,0,0,COUNTA(floors!$A:$A),MATCH(I$1,floors!$1:$1,0)-MATCH($H$1,floors!$1:$1,0)+1),MATCH(I$1,floors!$1:$1,0)-MATCH($H$1,floors!$1:$1,0)+1,FALSE)</f>
        <v>35</v>
      </c>
      <c r="J33" s="5">
        <f ca="1">VLOOKUP($H33,OFFSET(floors!$A$1,0,0,COUNTA(floors!$A:$A),MATCH(J$1,floors!$1:$1,0)-MATCH($H$1,floors!$1:$1,0)+1),MATCH(J$1,floors!$1:$1,0)-MATCH($H$1,floors!$1:$1,0)+1,FALSE)</f>
        <v>50</v>
      </c>
      <c r="K33" s="8" t="s">
        <v>142</v>
      </c>
      <c r="L33" s="45">
        <v>118</v>
      </c>
      <c r="M33" s="20" t="str">
        <f ca="1">VLOOKUP(L33,[4]enemies!$A:$B,2,FALSE)</f>
        <v>ゴールドチック</v>
      </c>
      <c r="N33" s="22" t="str">
        <f ca="1">VLOOKUP(L33,[4]enemies!$A:$D,4,FALSE)</f>
        <v>yellow</v>
      </c>
      <c r="O33" s="22" t="str">
        <f>VLOOKUP(L33,[5]characters!$A:$J,10,FALSE)</f>
        <v>Material</v>
      </c>
      <c r="P33" s="110" t="str">
        <f>VLOOKUP(L33,[5]characters!$A:$M,13,FALSE)</f>
        <v>unknown</v>
      </c>
      <c r="Q33" s="5">
        <f ca="1">VLOOKUP(L33,[4]enemies!$A:$X,24,FALSE)</f>
        <v>15</v>
      </c>
      <c r="R33" s="6">
        <v>2</v>
      </c>
      <c r="S33" s="29">
        <v>28.8</v>
      </c>
      <c r="T33" s="29">
        <v>38.5</v>
      </c>
      <c r="U33" s="6">
        <v>0</v>
      </c>
      <c r="V33" s="5" t="e">
        <f ca="1">VLOOKUP($W33,OFFSET([6]enemy_skill_sets!$B$1,0,0,COUNTA([6]enemy_skill_sets!$B:$B),MATCH(L$1,[6]enemy_skill_sets!$1:$1,0)-MATCH($V$1,[6]enemy_skill_sets!$1:$1,0)+2),MATCH(L$1,[6]enemy_skill_sets!$1:$1,0)-MATCH($V$1,[6]enemy_skill_sets!$1:$1,0)+2,FALSE)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33" s="5">
        <f ca="1">VLOOKUP($L33,OFFSET([4]enemies!$A$1,0,0,COUNTA([4]enemies!$A:$A),MATCH(W$1,[4]enemies!$1:$1,0)-MATCH($L$1,[4]enemies!$1:$1,0)+1),MATCH(W$1,[4]enemies!$1:$1,0)-MATCH($L$1,[4]enemies!$1:$1,0)+1,FALSE)</f>
        <v>0</v>
      </c>
      <c r="X33" s="7">
        <v>0</v>
      </c>
      <c r="Y33" s="7">
        <v>10</v>
      </c>
      <c r="Z33" s="7">
        <v>0</v>
      </c>
      <c r="AA33" s="20">
        <f ca="1">VLOOKUP($L33,OFFSET([4]enemies!$A$1,0,0,COUNTA([4]enemies!$A:$A),MATCH(AA$1,[4]enemies!$1:$1,0)-MATCH($L$1,[4]enemies!$1:$1,0)+1),MATCH(AA$1,[4]enemies!$1:$1,0)-MATCH($L$1,[4]enemies!$1:$1,0)+1,FALSE)</f>
        <v>2</v>
      </c>
      <c r="AB33" s="16">
        <f t="shared" si="43"/>
        <v>118</v>
      </c>
      <c r="AC33" s="5" t="str">
        <f ca="1">VLOOKUP(AB33,[4]enemies!$A:$B,2,FALSE)</f>
        <v>ゴールドチック</v>
      </c>
      <c r="AD33" s="5">
        <f ca="1">VLOOKUP(AB33,[4]enemies!$A:$E,3,FALSE)</f>
        <v>4</v>
      </c>
      <c r="AE33" s="5" t="str">
        <f>VLOOKUP(AB33,[5]characters!$A:$J,10,FALSE)</f>
        <v>Material</v>
      </c>
      <c r="AF33" s="108">
        <v>1</v>
      </c>
      <c r="AG33" s="109">
        <f t="shared" ca="1" si="44"/>
        <v>4</v>
      </c>
      <c r="AH33" s="9">
        <v>0</v>
      </c>
      <c r="AI33" s="108">
        <v>0</v>
      </c>
      <c r="AJ33" s="108">
        <v>0</v>
      </c>
      <c r="AK33" s="108">
        <v>0</v>
      </c>
      <c r="AL33" s="108">
        <v>0</v>
      </c>
      <c r="AM33" s="108">
        <v>1</v>
      </c>
    </row>
    <row r="34" spans="1:39" ht="21" customHeight="1" x14ac:dyDescent="0.15">
      <c r="A34" s="17" t="str">
        <f t="shared" ca="1" si="40"/>
        <v>14002_2-2/63&lt;lv32&gt;s2</v>
      </c>
      <c r="B34" s="108">
        <v>14002</v>
      </c>
      <c r="C34" s="43">
        <v>2</v>
      </c>
      <c r="D34" s="16" t="str">
        <f t="shared" si="41"/>
        <v>14002_2</v>
      </c>
      <c r="E34" s="5" t="str">
        <f ca="1">VLOOKUP($B34,OFFSET([2]quests!$A$1,0,0,COUNTA([2]quests!$A:$A),MATCH(E$1,[2]quests!$1:$1,0)-MATCH($B$1,[2]quests!$1:$1,0)+1),MATCH(E$1,[2]quests!$1:$1,0)-MATCH($B$1,[2]quests!$1:$1,0)+1,FALSE)</f>
        <v>【ロック】ビット/ソロ</v>
      </c>
      <c r="F34" s="5" t="str">
        <f ca="1">VLOOKUP($D34,OFFSET([2]stages!$A$1,0,0,COUNTA([2]stages!$A:$A),MATCH(F$1,[2]stages!$2:$2,0)-MATCH($D$1,[2]stages!$2:$2,0)+1),MATCH(F$1,[2]stages!$2:$2,0)-MATCH($D$1,[2]stages!$2:$2,0)+1,FALSE)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34" s="43">
        <v>2</v>
      </c>
      <c r="H34" s="16" t="str">
        <f t="shared" si="42"/>
        <v>14002_2-2</v>
      </c>
      <c r="I34" s="5">
        <f ca="1">VLOOKUP($H34,OFFSET(floors!$A$1,0,0,COUNTA(floors!$A:$A),MATCH(I$1,floors!$1:$1,0)-MATCH($H$1,floors!$1:$1,0)+1),MATCH(I$1,floors!$1:$1,0)-MATCH($H$1,floors!$1:$1,0)+1,FALSE)</f>
        <v>35</v>
      </c>
      <c r="J34" s="5">
        <f ca="1">VLOOKUP($H34,OFFSET(floors!$A$1,0,0,COUNTA(floors!$A:$A),MATCH(J$1,floors!$1:$1,0)-MATCH($H$1,floors!$1:$1,0)+1),MATCH(J$1,floors!$1:$1,0)-MATCH($H$1,floors!$1:$1,0)+1,FALSE)</f>
        <v>50</v>
      </c>
      <c r="K34" s="8" t="s">
        <v>142</v>
      </c>
      <c r="L34" s="112">
        <v>63</v>
      </c>
      <c r="M34" s="20" t="str">
        <f ca="1">VLOOKUP(L34,[4]enemies!$A:$B,2,FALSE)</f>
        <v>トニー</v>
      </c>
      <c r="N34" s="22" t="str">
        <f ca="1">VLOOKUP(L34,[4]enemies!$A:$D,4,FALSE)</f>
        <v>yellow</v>
      </c>
      <c r="O34" s="22" t="str">
        <f>VLOOKUP(L34,[5]characters!$A:$J,10,FALSE)</f>
        <v>Drop1N</v>
      </c>
      <c r="P34" s="110" t="str">
        <f>VLOOKUP(L34,[5]characters!$A:$M,13,FALSE)</f>
        <v>animal</v>
      </c>
      <c r="Q34" s="5">
        <f ca="1">VLOOKUP(L34,[4]enemies!$A:$X,24,FALSE)</f>
        <v>15</v>
      </c>
      <c r="R34" s="6">
        <v>32</v>
      </c>
      <c r="S34" s="29">
        <v>1</v>
      </c>
      <c r="T34" s="29">
        <v>1</v>
      </c>
      <c r="U34" s="6">
        <v>0</v>
      </c>
      <c r="V34" s="5" t="e">
        <f ca="1">VLOOKUP($W34,OFFSET([6]enemy_skill_sets!$B$1,0,0,COUNTA([6]enemy_skill_sets!$B:$B),MATCH(L$1,[6]enemy_skill_sets!$1:$1,0)-MATCH($V$1,[6]enemy_skill_sets!$1:$1,0)+2),MATCH(L$1,[6]enemy_skill_sets!$1:$1,0)-MATCH($V$1,[6]enemy_skill_sets!$1:$1,0)+2,FALSE)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34" s="5">
        <f ca="1">VLOOKUP($L34,OFFSET([4]enemies!$A$1,0,0,COUNTA([4]enemies!$A:$A),MATCH(W$1,[4]enemies!$1:$1,0)-MATCH($L$1,[4]enemies!$1:$1,0)+1),MATCH(W$1,[4]enemies!$1:$1,0)-MATCH($L$1,[4]enemies!$1:$1,0)+1,FALSE)</f>
        <v>63</v>
      </c>
      <c r="X34" s="113">
        <v>0</v>
      </c>
      <c r="Y34" s="7">
        <v>10</v>
      </c>
      <c r="Z34" s="113">
        <v>0</v>
      </c>
      <c r="AA34" s="20">
        <f ca="1">VLOOKUP($L34,OFFSET([4]enemies!$A$1,0,0,COUNTA([4]enemies!$A:$A),MATCH(AA$1,[4]enemies!$1:$1,0)-MATCH($L$1,[4]enemies!$1:$1,0)+1),MATCH(AA$1,[4]enemies!$1:$1,0)-MATCH($L$1,[4]enemies!$1:$1,0)+1,FALSE)</f>
        <v>2</v>
      </c>
      <c r="AB34" s="16">
        <f t="shared" si="43"/>
        <v>63</v>
      </c>
      <c r="AC34" s="5" t="str">
        <f ca="1">VLOOKUP(AB34,[4]enemies!$A:$B,2,FALSE)</f>
        <v>トニー</v>
      </c>
      <c r="AD34" s="5">
        <f ca="1">VLOOKUP(AB34,[4]enemies!$A:$E,3,FALSE)</f>
        <v>2</v>
      </c>
      <c r="AE34" s="5" t="str">
        <f>VLOOKUP(AB34,[5]characters!$A:$J,10,FALSE)</f>
        <v>Drop1N</v>
      </c>
      <c r="AF34" s="108">
        <v>1</v>
      </c>
      <c r="AG34" s="109">
        <f t="shared" ca="1" si="44"/>
        <v>2</v>
      </c>
      <c r="AH34" s="9">
        <v>0</v>
      </c>
      <c r="AI34" s="108">
        <v>0</v>
      </c>
      <c r="AJ34" s="108">
        <v>0</v>
      </c>
      <c r="AK34" s="108">
        <v>0</v>
      </c>
      <c r="AL34" s="108">
        <v>0</v>
      </c>
      <c r="AM34" s="108">
        <v>1</v>
      </c>
    </row>
    <row r="35" spans="1:39" ht="21" customHeight="1" x14ac:dyDescent="0.15">
      <c r="A35" s="17" t="str">
        <f t="shared" ca="1" si="40"/>
        <v>14002_2-2/61&lt;lv32&gt;s2</v>
      </c>
      <c r="B35" s="108">
        <v>14002</v>
      </c>
      <c r="C35" s="43">
        <v>2</v>
      </c>
      <c r="D35" s="16" t="str">
        <f t="shared" si="41"/>
        <v>14002_2</v>
      </c>
      <c r="E35" s="5" t="str">
        <f ca="1">VLOOKUP($B35,OFFSET([2]quests!$A$1,0,0,COUNTA([2]quests!$A:$A),MATCH(E$1,[2]quests!$1:$1,0)-MATCH($B$1,[2]quests!$1:$1,0)+1),MATCH(E$1,[2]quests!$1:$1,0)-MATCH($B$1,[2]quests!$1:$1,0)+1,FALSE)</f>
        <v>【ロック】ビット/ソロ</v>
      </c>
      <c r="F35" s="5" t="str">
        <f ca="1">VLOOKUP($D35,OFFSET([2]stages!$A$1,0,0,COUNTA([2]stages!$A:$A),MATCH(F$1,[2]stages!$2:$2,0)-MATCH($D$1,[2]stages!$2:$2,0)+1),MATCH(F$1,[2]stages!$2:$2,0)-MATCH($D$1,[2]stages!$2:$2,0)+1,FALSE)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35" s="43">
        <v>2</v>
      </c>
      <c r="H35" s="16" t="str">
        <f t="shared" si="42"/>
        <v>14002_2-2</v>
      </c>
      <c r="I35" s="5">
        <f ca="1">VLOOKUP($H35,OFFSET(floors!$A$1,0,0,COUNTA(floors!$A:$A),MATCH(I$1,floors!$1:$1,0)-MATCH($H$1,floors!$1:$1,0)+1),MATCH(I$1,floors!$1:$1,0)-MATCH($H$1,floors!$1:$1,0)+1,FALSE)</f>
        <v>35</v>
      </c>
      <c r="J35" s="5">
        <f ca="1">VLOOKUP($H35,OFFSET(floors!$A$1,0,0,COUNTA(floors!$A:$A),MATCH(J$1,floors!$1:$1,0)-MATCH($H$1,floors!$1:$1,0)+1),MATCH(J$1,floors!$1:$1,0)-MATCH($H$1,floors!$1:$1,0)+1,FALSE)</f>
        <v>50</v>
      </c>
      <c r="K35" s="8" t="s">
        <v>142</v>
      </c>
      <c r="L35" s="112">
        <v>61</v>
      </c>
      <c r="M35" s="20" t="str">
        <f ca="1">VLOOKUP(L35,[4]enemies!$A:$B,2,FALSE)</f>
        <v>クロウ</v>
      </c>
      <c r="N35" s="22" t="str">
        <f ca="1">VLOOKUP(L35,[4]enemies!$A:$D,4,FALSE)</f>
        <v>blue</v>
      </c>
      <c r="O35" s="22" t="str">
        <f>VLOOKUP(L35,[5]characters!$A:$J,10,FALSE)</f>
        <v>Drop1N</v>
      </c>
      <c r="P35" s="110" t="str">
        <f>VLOOKUP(L35,[5]characters!$A:$M,13,FALSE)</f>
        <v>animal</v>
      </c>
      <c r="Q35" s="5">
        <f ca="1">VLOOKUP(L35,[4]enemies!$A:$X,24,FALSE)</f>
        <v>15</v>
      </c>
      <c r="R35" s="6">
        <v>32</v>
      </c>
      <c r="S35" s="29">
        <v>1</v>
      </c>
      <c r="T35" s="29">
        <v>1</v>
      </c>
      <c r="U35" s="6">
        <v>0</v>
      </c>
      <c r="V35" s="5" t="e">
        <f ca="1">VLOOKUP($W35,OFFSET([6]enemy_skill_sets!$B$1,0,0,COUNTA([6]enemy_skill_sets!$B:$B),MATCH(L$1,[6]enemy_skill_sets!$1:$1,0)-MATCH($V$1,[6]enemy_skill_sets!$1:$1,0)+2),MATCH(L$1,[6]enemy_skill_sets!$1:$1,0)-MATCH($V$1,[6]enemy_skill_sets!$1:$1,0)+2,FALSE)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35" s="5">
        <f ca="1">VLOOKUP($L35,OFFSET([4]enemies!$A$1,0,0,COUNTA([4]enemies!$A:$A),MATCH(W$1,[4]enemies!$1:$1,0)-MATCH($L$1,[4]enemies!$1:$1,0)+1),MATCH(W$1,[4]enemies!$1:$1,0)-MATCH($L$1,[4]enemies!$1:$1,0)+1,FALSE)</f>
        <v>61</v>
      </c>
      <c r="X35" s="113">
        <v>0</v>
      </c>
      <c r="Y35" s="7">
        <v>10</v>
      </c>
      <c r="Z35" s="113">
        <v>0</v>
      </c>
      <c r="AA35" s="20">
        <f ca="1">VLOOKUP($L35,OFFSET([4]enemies!$A$1,0,0,COUNTA([4]enemies!$A:$A),MATCH(AA$1,[4]enemies!$1:$1,0)-MATCH($L$1,[4]enemies!$1:$1,0)+1),MATCH(AA$1,[4]enemies!$1:$1,0)-MATCH($L$1,[4]enemies!$1:$1,0)+1,FALSE)</f>
        <v>2</v>
      </c>
      <c r="AB35" s="16">
        <f t="shared" si="43"/>
        <v>61</v>
      </c>
      <c r="AC35" s="5" t="str">
        <f ca="1">VLOOKUP(AB35,[4]enemies!$A:$B,2,FALSE)</f>
        <v>クロウ</v>
      </c>
      <c r="AD35" s="5">
        <f ca="1">VLOOKUP(AB35,[4]enemies!$A:$E,3,FALSE)</f>
        <v>2</v>
      </c>
      <c r="AE35" s="5" t="str">
        <f>VLOOKUP(AB35,[5]characters!$A:$J,10,FALSE)</f>
        <v>Drop1N</v>
      </c>
      <c r="AF35" s="108">
        <v>1</v>
      </c>
      <c r="AG35" s="109">
        <f t="shared" ca="1" si="44"/>
        <v>2</v>
      </c>
      <c r="AH35" s="9">
        <v>0</v>
      </c>
      <c r="AI35" s="108">
        <v>0</v>
      </c>
      <c r="AJ35" s="108">
        <v>0</v>
      </c>
      <c r="AK35" s="108">
        <v>0</v>
      </c>
      <c r="AL35" s="108">
        <v>0</v>
      </c>
      <c r="AM35" s="108">
        <v>1</v>
      </c>
    </row>
    <row r="36" spans="1:39" ht="21" customHeight="1" x14ac:dyDescent="0.15">
      <c r="A36" s="17" t="str">
        <f t="shared" ca="1" si="40"/>
        <v>14002_2-2/57&lt;lv32&gt;s2</v>
      </c>
      <c r="B36" s="108">
        <v>14002</v>
      </c>
      <c r="C36" s="43">
        <v>2</v>
      </c>
      <c r="D36" s="16" t="str">
        <f t="shared" si="41"/>
        <v>14002_2</v>
      </c>
      <c r="E36" s="5" t="str">
        <f ca="1">VLOOKUP($B36,OFFSET([2]quests!$A$1,0,0,COUNTA([2]quests!$A:$A),MATCH(E$1,[2]quests!$1:$1,0)-MATCH($B$1,[2]quests!$1:$1,0)+1),MATCH(E$1,[2]quests!$1:$1,0)-MATCH($B$1,[2]quests!$1:$1,0)+1,FALSE)</f>
        <v>【ロック】ビット/ソロ</v>
      </c>
      <c r="F36" s="5" t="str">
        <f ca="1">VLOOKUP($D36,OFFSET([2]stages!$A$1,0,0,COUNTA([2]stages!$A:$A),MATCH(F$1,[2]stages!$2:$2,0)-MATCH($D$1,[2]stages!$2:$2,0)+1),MATCH(F$1,[2]stages!$2:$2,0)-MATCH($D$1,[2]stages!$2:$2,0)+1,FALSE)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36" s="43">
        <v>2</v>
      </c>
      <c r="H36" s="16" t="str">
        <f t="shared" si="42"/>
        <v>14002_2-2</v>
      </c>
      <c r="I36" s="5">
        <f ca="1">VLOOKUP($H36,OFFSET(floors!$A$1,0,0,COUNTA(floors!$A:$A),MATCH(I$1,floors!$1:$1,0)-MATCH($H$1,floors!$1:$1,0)+1),MATCH(I$1,floors!$1:$1,0)-MATCH($H$1,floors!$1:$1,0)+1,FALSE)</f>
        <v>35</v>
      </c>
      <c r="J36" s="5">
        <f ca="1">VLOOKUP($H36,OFFSET(floors!$A$1,0,0,COUNTA(floors!$A:$A),MATCH(J$1,floors!$1:$1,0)-MATCH($H$1,floors!$1:$1,0)+1),MATCH(J$1,floors!$1:$1,0)-MATCH($H$1,floors!$1:$1,0)+1,FALSE)</f>
        <v>50</v>
      </c>
      <c r="K36" s="8" t="s">
        <v>142</v>
      </c>
      <c r="L36" s="112">
        <v>57</v>
      </c>
      <c r="M36" s="20" t="str">
        <f ca="1">VLOOKUP(L36,[4]enemies!$A:$B,2,FALSE)</f>
        <v>チェン・リー</v>
      </c>
      <c r="N36" s="22" t="str">
        <f ca="1">VLOOKUP(L36,[4]enemies!$A:$D,4,FALSE)</f>
        <v>red</v>
      </c>
      <c r="O36" s="22" t="str">
        <f>VLOOKUP(L36,[5]characters!$A:$J,10,FALSE)</f>
        <v>Drop1N</v>
      </c>
      <c r="P36" s="110" t="str">
        <f>VLOOKUP(L36,[5]characters!$A:$M,13,FALSE)</f>
        <v>animal</v>
      </c>
      <c r="Q36" s="5">
        <f ca="1">VLOOKUP(L36,[4]enemies!$A:$X,24,FALSE)</f>
        <v>15</v>
      </c>
      <c r="R36" s="6">
        <v>32</v>
      </c>
      <c r="S36" s="29">
        <v>1</v>
      </c>
      <c r="T36" s="29">
        <v>1</v>
      </c>
      <c r="U36" s="6">
        <v>0</v>
      </c>
      <c r="V36" s="5" t="e">
        <f ca="1">VLOOKUP($W36,OFFSET([6]enemy_skill_sets!$B$1,0,0,COUNTA([6]enemy_skill_sets!$B:$B),MATCH(L$1,[6]enemy_skill_sets!$1:$1,0)-MATCH($V$1,[6]enemy_skill_sets!$1:$1,0)+2),MATCH(L$1,[6]enemy_skill_sets!$1:$1,0)-MATCH($V$1,[6]enemy_skill_sets!$1:$1,0)+2,FALSE)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36" s="5">
        <f ca="1">VLOOKUP($L36,OFFSET([4]enemies!$A$1,0,0,COUNTA([4]enemies!$A:$A),MATCH(W$1,[4]enemies!$1:$1,0)-MATCH($L$1,[4]enemies!$1:$1,0)+1),MATCH(W$1,[4]enemies!$1:$1,0)-MATCH($L$1,[4]enemies!$1:$1,0)+1,FALSE)</f>
        <v>57</v>
      </c>
      <c r="X36" s="113">
        <v>0</v>
      </c>
      <c r="Y36" s="7">
        <v>10</v>
      </c>
      <c r="Z36" s="113">
        <v>0</v>
      </c>
      <c r="AA36" s="20">
        <f ca="1">VLOOKUP($L36,OFFSET([4]enemies!$A$1,0,0,COUNTA([4]enemies!$A:$A),MATCH(AA$1,[4]enemies!$1:$1,0)-MATCH($L$1,[4]enemies!$1:$1,0)+1),MATCH(AA$1,[4]enemies!$1:$1,0)-MATCH($L$1,[4]enemies!$1:$1,0)+1,FALSE)</f>
        <v>2</v>
      </c>
      <c r="AB36" s="16">
        <f t="shared" si="43"/>
        <v>57</v>
      </c>
      <c r="AC36" s="5" t="str">
        <f ca="1">VLOOKUP(AB36,[4]enemies!$A:$B,2,FALSE)</f>
        <v>チェン・リー</v>
      </c>
      <c r="AD36" s="5">
        <f ca="1">VLOOKUP(AB36,[4]enemies!$A:$E,3,FALSE)</f>
        <v>2</v>
      </c>
      <c r="AE36" s="5" t="str">
        <f>VLOOKUP(AB36,[5]characters!$A:$J,10,FALSE)</f>
        <v>Drop1N</v>
      </c>
      <c r="AF36" s="108">
        <v>1</v>
      </c>
      <c r="AG36" s="109">
        <f t="shared" ca="1" si="44"/>
        <v>2</v>
      </c>
      <c r="AH36" s="9">
        <v>0</v>
      </c>
      <c r="AI36" s="108">
        <v>0</v>
      </c>
      <c r="AJ36" s="108">
        <v>0</v>
      </c>
      <c r="AK36" s="108">
        <v>0</v>
      </c>
      <c r="AL36" s="108">
        <v>0</v>
      </c>
      <c r="AM36" s="108">
        <v>1</v>
      </c>
    </row>
    <row r="37" spans="1:39" ht="21" customHeight="1" x14ac:dyDescent="0.15">
      <c r="A37" s="17" t="str">
        <f t="shared" ca="1" si="40"/>
        <v>14002_2-2/59&lt;lv32&gt;s2</v>
      </c>
      <c r="B37" s="108">
        <v>14002</v>
      </c>
      <c r="C37" s="43">
        <v>2</v>
      </c>
      <c r="D37" s="16" t="str">
        <f t="shared" si="41"/>
        <v>14002_2</v>
      </c>
      <c r="E37" s="5" t="str">
        <f ca="1">VLOOKUP($B37,OFFSET([2]quests!$A$1,0,0,COUNTA([2]quests!$A:$A),MATCH(E$1,[2]quests!$1:$1,0)-MATCH($B$1,[2]quests!$1:$1,0)+1),MATCH(E$1,[2]quests!$1:$1,0)-MATCH($B$1,[2]quests!$1:$1,0)+1,FALSE)</f>
        <v>【ロック】ビット/ソロ</v>
      </c>
      <c r="F37" s="5" t="str">
        <f ca="1">VLOOKUP($D37,OFFSET([2]stages!$A$1,0,0,COUNTA([2]stages!$A:$A),MATCH(F$1,[2]stages!$2:$2,0)-MATCH($D$1,[2]stages!$2:$2,0)+1),MATCH(F$1,[2]stages!$2:$2,0)-MATCH($D$1,[2]stages!$2:$2,0)+1,FALSE)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37" s="43">
        <v>2</v>
      </c>
      <c r="H37" s="16" t="str">
        <f t="shared" si="42"/>
        <v>14002_2-2</v>
      </c>
      <c r="I37" s="5">
        <f ca="1">VLOOKUP($H37,OFFSET(floors!$A$1,0,0,COUNTA(floors!$A:$A),MATCH(I$1,floors!$1:$1,0)-MATCH($H$1,floors!$1:$1,0)+1),MATCH(I$1,floors!$1:$1,0)-MATCH($H$1,floors!$1:$1,0)+1,FALSE)</f>
        <v>35</v>
      </c>
      <c r="J37" s="5">
        <f ca="1">VLOOKUP($H37,OFFSET(floors!$A$1,0,0,COUNTA(floors!$A:$A),MATCH(J$1,floors!$1:$1,0)-MATCH($H$1,floors!$1:$1,0)+1),MATCH(J$1,floors!$1:$1,0)-MATCH($H$1,floors!$1:$1,0)+1,FALSE)</f>
        <v>50</v>
      </c>
      <c r="K37" s="8" t="s">
        <v>142</v>
      </c>
      <c r="L37" s="112">
        <v>59</v>
      </c>
      <c r="M37" s="20" t="str">
        <f ca="1">VLOOKUP(L37,[4]enemies!$A:$B,2,FALSE)</f>
        <v>マーチ</v>
      </c>
      <c r="N37" s="22" t="str">
        <f ca="1">VLOOKUP(L37,[4]enemies!$A:$D,4,FALSE)</f>
        <v>green</v>
      </c>
      <c r="O37" s="22" t="str">
        <f>VLOOKUP(L37,[5]characters!$A:$J,10,FALSE)</f>
        <v>Drop1N</v>
      </c>
      <c r="P37" s="110" t="str">
        <f>VLOOKUP(L37,[5]characters!$A:$M,13,FALSE)</f>
        <v>animal</v>
      </c>
      <c r="Q37" s="5">
        <f ca="1">VLOOKUP(L37,[4]enemies!$A:$X,24,FALSE)</f>
        <v>15</v>
      </c>
      <c r="R37" s="6">
        <v>32</v>
      </c>
      <c r="S37" s="29">
        <v>1</v>
      </c>
      <c r="T37" s="29">
        <v>1</v>
      </c>
      <c r="U37" s="6">
        <v>0</v>
      </c>
      <c r="V37" s="5" t="e">
        <f ca="1">VLOOKUP($W37,OFFSET([6]enemy_skill_sets!$B$1,0,0,COUNTA([6]enemy_skill_sets!$B:$B),MATCH(L$1,[6]enemy_skill_sets!$1:$1,0)-MATCH($V$1,[6]enemy_skill_sets!$1:$1,0)+2),MATCH(L$1,[6]enemy_skill_sets!$1:$1,0)-MATCH($V$1,[6]enemy_skill_sets!$1:$1,0)+2,FALSE)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37" s="5">
        <f ca="1">VLOOKUP($L37,OFFSET([4]enemies!$A$1,0,0,COUNTA([4]enemies!$A:$A),MATCH(W$1,[4]enemies!$1:$1,0)-MATCH($L$1,[4]enemies!$1:$1,0)+1),MATCH(W$1,[4]enemies!$1:$1,0)-MATCH($L$1,[4]enemies!$1:$1,0)+1,FALSE)</f>
        <v>59</v>
      </c>
      <c r="X37" s="113">
        <v>0</v>
      </c>
      <c r="Y37" s="7">
        <v>10</v>
      </c>
      <c r="Z37" s="113">
        <v>0</v>
      </c>
      <c r="AA37" s="20">
        <f ca="1">VLOOKUP($L37,OFFSET([4]enemies!$A$1,0,0,COUNTA([4]enemies!$A:$A),MATCH(AA$1,[4]enemies!$1:$1,0)-MATCH($L$1,[4]enemies!$1:$1,0)+1),MATCH(AA$1,[4]enemies!$1:$1,0)-MATCH($L$1,[4]enemies!$1:$1,0)+1,FALSE)</f>
        <v>2</v>
      </c>
      <c r="AB37" s="16">
        <f t="shared" si="43"/>
        <v>59</v>
      </c>
      <c r="AC37" s="5" t="str">
        <f ca="1">VLOOKUP(AB37,[4]enemies!$A:$B,2,FALSE)</f>
        <v>マーチ</v>
      </c>
      <c r="AD37" s="5">
        <f ca="1">VLOOKUP(AB37,[4]enemies!$A:$E,3,FALSE)</f>
        <v>2</v>
      </c>
      <c r="AE37" s="5" t="str">
        <f>VLOOKUP(AB37,[5]characters!$A:$J,10,FALSE)</f>
        <v>Drop1N</v>
      </c>
      <c r="AF37" s="108">
        <v>1</v>
      </c>
      <c r="AG37" s="109">
        <f ca="1">AD37</f>
        <v>2</v>
      </c>
      <c r="AH37" s="9">
        <v>0</v>
      </c>
      <c r="AI37" s="108">
        <v>0</v>
      </c>
      <c r="AJ37" s="108">
        <v>0</v>
      </c>
      <c r="AK37" s="108">
        <v>0</v>
      </c>
      <c r="AL37" s="108">
        <v>0</v>
      </c>
      <c r="AM37" s="108">
        <v>1</v>
      </c>
    </row>
    <row r="38" spans="1:39" ht="21" customHeight="1" x14ac:dyDescent="0.15">
      <c r="A38" s="17" t="str">
        <f t="shared" ca="1" si="40"/>
        <v>14002_2-3/119&lt;lv1&gt;s3</v>
      </c>
      <c r="B38" s="108">
        <v>14002</v>
      </c>
      <c r="C38" s="43">
        <v>2</v>
      </c>
      <c r="D38" s="16" t="str">
        <f>B38&amp;"_"&amp;C38</f>
        <v>14002_2</v>
      </c>
      <c r="E38" s="5" t="str">
        <f ca="1">VLOOKUP($B38,OFFSET([2]quests!$A$1,0,0,COUNTA([2]quests!$A:$A),MATCH(E$1,[2]quests!$1:$1,0)-MATCH($B$1,[2]quests!$1:$1,0)+1),MATCH(E$1,[2]quests!$1:$1,0)-MATCH($B$1,[2]quests!$1:$1,0)+1,FALSE)</f>
        <v>【ロック】ビット/ソロ</v>
      </c>
      <c r="F38" s="5" t="str">
        <f ca="1">VLOOKUP($D38,OFFSET([2]stages!$A$1,0,0,COUNTA([2]stages!$A:$A),MATCH(F$1,[2]stages!$2:$2,0)-MATCH($D$1,[2]stages!$2:$2,0)+1),MATCH(F$1,[2]stages!$2:$2,0)-MATCH($D$1,[2]stages!$2:$2,0)+1,FALSE)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38" s="43">
        <v>3</v>
      </c>
      <c r="H38" s="16" t="str">
        <f>B38&amp;"_"&amp;C38&amp;"-"&amp;G38</f>
        <v>14002_2-3</v>
      </c>
      <c r="I38" s="5">
        <f ca="1">VLOOKUP($H38,OFFSET(floors!$A$1,0,0,COUNTA(floors!$A:$A),MATCH(I$1,floors!$1:$1,0)-MATCH($H$1,floors!$1:$1,0)+1),MATCH(I$1,floors!$1:$1,0)-MATCH($H$1,floors!$1:$1,0)+1,FALSE)</f>
        <v>20</v>
      </c>
      <c r="J38" s="5">
        <f ca="1">VLOOKUP($H38,OFFSET(floors!$A$1,0,0,COUNTA(floors!$A:$A),MATCH(J$1,floors!$1:$1,0)-MATCH($H$1,floors!$1:$1,0)+1),MATCH(J$1,floors!$1:$1,0)-MATCH($H$1,floors!$1:$1,0)+1,FALSE)</f>
        <v>20</v>
      </c>
      <c r="K38" s="8" t="s">
        <v>142</v>
      </c>
      <c r="L38" s="45">
        <v>119</v>
      </c>
      <c r="M38" s="20" t="str">
        <f ca="1">VLOOKUP(L38,[4]enemies!$A:$B,2,FALSE)</f>
        <v>ゴールドダック</v>
      </c>
      <c r="N38" s="22" t="str">
        <f ca="1">VLOOKUP(L38,[4]enemies!$A:$D,4,FALSE)</f>
        <v>yellow</v>
      </c>
      <c r="O38" s="22" t="str">
        <f>VLOOKUP(L38,[5]characters!$A:$J,10,FALSE)</f>
        <v>Material</v>
      </c>
      <c r="P38" s="110" t="str">
        <f>VLOOKUP(L38,[5]characters!$A:$M,13,FALSE)</f>
        <v>unknown</v>
      </c>
      <c r="Q38" s="5">
        <f ca="1">VLOOKUP(L38,[4]enemies!$A:$X,24,FALSE)</f>
        <v>20</v>
      </c>
      <c r="R38" s="6">
        <v>1</v>
      </c>
      <c r="S38" s="29">
        <v>93.3</v>
      </c>
      <c r="T38" s="29">
        <v>41</v>
      </c>
      <c r="U38" s="6">
        <v>0</v>
      </c>
      <c r="V38" s="5" t="e">
        <f ca="1">VLOOKUP($W38,OFFSET([6]enemy_skill_sets!$B$1,0,0,COUNTA([6]enemy_skill_sets!$B:$B),MATCH(L$1,[6]enemy_skill_sets!$1:$1,0)-MATCH($V$1,[6]enemy_skill_sets!$1:$1,0)+2),MATCH(L$1,[6]enemy_skill_sets!$1:$1,0)-MATCH($V$1,[6]enemy_skill_sets!$1:$1,0)+2,FALSE)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38" s="5">
        <f ca="1">VLOOKUP($L38,OFFSET([4]enemies!$A$1,0,0,COUNTA([4]enemies!$A:$A),MATCH(W$1,[4]enemies!$1:$1,0)-MATCH($L$1,[4]enemies!$1:$1,0)+1),MATCH(W$1,[4]enemies!$1:$1,0)-MATCH($L$1,[4]enemies!$1:$1,0)+1,FALSE)</f>
        <v>0</v>
      </c>
      <c r="X38" s="7">
        <v>1</v>
      </c>
      <c r="Y38" s="7">
        <v>0</v>
      </c>
      <c r="Z38" s="7">
        <v>0</v>
      </c>
      <c r="AA38" s="20">
        <f ca="1">VLOOKUP($L38,OFFSET([4]enemies!$A$1,0,0,COUNTA([4]enemies!$A:$A),MATCH(AA$1,[4]enemies!$1:$1,0)-MATCH($L$1,[4]enemies!$1:$1,0)+1),MATCH(AA$1,[4]enemies!$1:$1,0)-MATCH($L$1,[4]enemies!$1:$1,0)+1,FALSE)</f>
        <v>3</v>
      </c>
      <c r="AB38" s="16">
        <f>L38</f>
        <v>119</v>
      </c>
      <c r="AC38" s="5" t="str">
        <f ca="1">VLOOKUP(AB38,[4]enemies!$A:$B,2,FALSE)</f>
        <v>ゴールドダック</v>
      </c>
      <c r="AD38" s="5">
        <f ca="1">VLOOKUP(AB38,[4]enemies!$A:$E,3,FALSE)</f>
        <v>5</v>
      </c>
      <c r="AE38" s="5" t="str">
        <f>VLOOKUP(AB38,[5]characters!$A:$J,10,FALSE)</f>
        <v>Material</v>
      </c>
      <c r="AF38" s="108">
        <v>1</v>
      </c>
      <c r="AG38" s="109">
        <f ca="1">AD38</f>
        <v>5</v>
      </c>
      <c r="AH38" s="9">
        <v>100</v>
      </c>
      <c r="AI38" s="108">
        <v>0</v>
      </c>
      <c r="AJ38" s="108">
        <v>0</v>
      </c>
      <c r="AK38" s="108">
        <v>0</v>
      </c>
      <c r="AL38" s="108">
        <v>0</v>
      </c>
      <c r="AM38" s="108">
        <v>1</v>
      </c>
    </row>
    <row r="39" spans="1:39" ht="21" customHeight="1" x14ac:dyDescent="0.15">
      <c r="A39" s="17" t="str">
        <f t="shared" ca="1" si="40"/>
        <v>14002_2-4/119&lt;lv1&gt;s3</v>
      </c>
      <c r="B39" s="108">
        <v>14002</v>
      </c>
      <c r="C39" s="43">
        <v>2</v>
      </c>
      <c r="D39" s="16" t="str">
        <f>B39&amp;"_"&amp;C39</f>
        <v>14002_2</v>
      </c>
      <c r="E39" s="5" t="str">
        <f ca="1">VLOOKUP($B39,OFFSET([2]quests!$A$1,0,0,COUNTA([2]quests!$A:$A),MATCH(E$1,[2]quests!$1:$1,0)-MATCH($B$1,[2]quests!$1:$1,0)+1),MATCH(E$1,[2]quests!$1:$1,0)-MATCH($B$1,[2]quests!$1:$1,0)+1,FALSE)</f>
        <v>【ロック】ビット/ソロ</v>
      </c>
      <c r="F39" s="5" t="str">
        <f ca="1">VLOOKUP($D39,OFFSET([2]stages!$A$1,0,0,COUNTA([2]stages!$A:$A),MATCH(F$1,[2]stages!$2:$2,0)-MATCH($D$1,[2]stages!$2:$2,0)+1),MATCH(F$1,[2]stages!$2:$2,0)-MATCH($D$1,[2]stages!$2:$2,0)+1,FALSE)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39" s="43">
        <v>4</v>
      </c>
      <c r="H39" s="16" t="str">
        <f>B39&amp;"_"&amp;C39&amp;"-"&amp;G39</f>
        <v>14002_2-4</v>
      </c>
      <c r="I39" s="5">
        <f ca="1">VLOOKUP($H39,OFFSET(floors!$A$1,0,0,COUNTA(floors!$A:$A),MATCH(I$1,floors!$1:$1,0)-MATCH($H$1,floors!$1:$1,0)+1),MATCH(I$1,floors!$1:$1,0)-MATCH($H$1,floors!$1:$1,0)+1,FALSE)</f>
        <v>35</v>
      </c>
      <c r="J39" s="5">
        <f ca="1">VLOOKUP($H39,OFFSET(floors!$A$1,0,0,COUNTA(floors!$A:$A),MATCH(J$1,floors!$1:$1,0)-MATCH($H$1,floors!$1:$1,0)+1),MATCH(J$1,floors!$1:$1,0)-MATCH($H$1,floors!$1:$1,0)+1,FALSE)</f>
        <v>60</v>
      </c>
      <c r="K39" s="8" t="s">
        <v>142</v>
      </c>
      <c r="L39" s="45">
        <v>119</v>
      </c>
      <c r="M39" s="20" t="str">
        <f ca="1">VLOOKUP(L39,[4]enemies!$A:$B,2,FALSE)</f>
        <v>ゴールドダック</v>
      </c>
      <c r="N39" s="22" t="str">
        <f ca="1">VLOOKUP(L39,[4]enemies!$A:$D,4,FALSE)</f>
        <v>yellow</v>
      </c>
      <c r="O39" s="22" t="str">
        <f>VLOOKUP(L39,[5]characters!$A:$J,10,FALSE)</f>
        <v>Material</v>
      </c>
      <c r="P39" s="110" t="str">
        <f>VLOOKUP(L39,[5]characters!$A:$M,13,FALSE)</f>
        <v>unknown</v>
      </c>
      <c r="Q39" s="5">
        <f ca="1">VLOOKUP(L39,[4]enemies!$A:$X,24,FALSE)</f>
        <v>20</v>
      </c>
      <c r="R39" s="6">
        <v>1</v>
      </c>
      <c r="S39" s="29">
        <v>93.3</v>
      </c>
      <c r="T39" s="29">
        <v>41</v>
      </c>
      <c r="U39" s="6">
        <v>0</v>
      </c>
      <c r="V39" s="5" t="e">
        <f ca="1">VLOOKUP($W39,OFFSET([6]enemy_skill_sets!$B$1,0,0,COUNTA([6]enemy_skill_sets!$B:$B),MATCH(L$1,[6]enemy_skill_sets!$1:$1,0)-MATCH($V$1,[6]enemy_skill_sets!$1:$1,0)+2),MATCH(L$1,[6]enemy_skill_sets!$1:$1,0)-MATCH($V$1,[6]enemy_skill_sets!$1:$1,0)+2,FALSE)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39" s="5">
        <f ca="1">VLOOKUP($L39,OFFSET([4]enemies!$A$1,0,0,COUNTA([4]enemies!$A:$A),MATCH(W$1,[4]enemies!$1:$1,0)-MATCH($L$1,[4]enemies!$1:$1,0)+1),MATCH(W$1,[4]enemies!$1:$1,0)-MATCH($L$1,[4]enemies!$1:$1,0)+1,FALSE)</f>
        <v>0</v>
      </c>
      <c r="X39" s="7">
        <v>0</v>
      </c>
      <c r="Y39" s="7">
        <v>50</v>
      </c>
      <c r="Z39" s="7">
        <v>1</v>
      </c>
      <c r="AA39" s="20">
        <f ca="1">VLOOKUP($L39,OFFSET([4]enemies!$A$1,0,0,COUNTA([4]enemies!$A:$A),MATCH(AA$1,[4]enemies!$1:$1,0)-MATCH($L$1,[4]enemies!$1:$1,0)+1),MATCH(AA$1,[4]enemies!$1:$1,0)-MATCH($L$1,[4]enemies!$1:$1,0)+1,FALSE)</f>
        <v>3</v>
      </c>
      <c r="AB39" s="16">
        <f>L39</f>
        <v>119</v>
      </c>
      <c r="AC39" s="5" t="str">
        <f ca="1">VLOOKUP(AB39,[4]enemies!$A:$B,2,FALSE)</f>
        <v>ゴールドダック</v>
      </c>
      <c r="AD39" s="5">
        <f ca="1">VLOOKUP(AB39,[4]enemies!$A:$E,3,FALSE)</f>
        <v>5</v>
      </c>
      <c r="AE39" s="5" t="str">
        <f>VLOOKUP(AB39,[5]characters!$A:$J,10,FALSE)</f>
        <v>Material</v>
      </c>
      <c r="AF39" s="108">
        <v>1</v>
      </c>
      <c r="AG39" s="109">
        <f ca="1">AD39</f>
        <v>5</v>
      </c>
      <c r="AH39" s="9">
        <v>100</v>
      </c>
      <c r="AI39" s="108">
        <v>0</v>
      </c>
      <c r="AJ39" s="108">
        <v>0</v>
      </c>
      <c r="AK39" s="108">
        <v>0</v>
      </c>
      <c r="AL39" s="108">
        <v>0</v>
      </c>
      <c r="AM39" s="108">
        <v>1</v>
      </c>
    </row>
    <row r="40" spans="1:39" ht="21" customHeight="1" x14ac:dyDescent="0.15">
      <c r="A40" s="17" t="str">
        <f t="shared" si="40"/>
        <v>14002_2-4/125&lt;lv32&gt;s3</v>
      </c>
      <c r="B40" s="108">
        <v>14002</v>
      </c>
      <c r="C40" s="43">
        <v>2</v>
      </c>
      <c r="D40" s="16" t="str">
        <f>B40&amp;"_"&amp;C40</f>
        <v>14002_2</v>
      </c>
      <c r="E40" s="5" t="str">
        <f ca="1">VLOOKUP($B40,OFFSET([2]quests!$A$1,0,0,COUNTA([2]quests!$A:$A),MATCH(E$1,[2]quests!$1:$1,0)-MATCH($B$1,[2]quests!$1:$1,0)+1),MATCH(E$1,[2]quests!$1:$1,0)-MATCH($B$1,[2]quests!$1:$1,0)+1,FALSE)</f>
        <v>【ロック】ビット/ソロ</v>
      </c>
      <c r="F40" s="5" t="str">
        <f ca="1">VLOOKUP($D40,OFFSET([2]stages!$A$1,0,0,COUNTA([2]stages!$A:$A),MATCH(F$1,[2]stages!$2:$2,0)-MATCH($D$1,[2]stages!$2:$2,0)+1),MATCH(F$1,[2]stages!$2:$2,0)-MATCH($D$1,[2]stages!$2:$2,0)+1,FALSE)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40" s="43">
        <v>4</v>
      </c>
      <c r="H40" s="16" t="str">
        <f>B40&amp;"_"&amp;C40&amp;"-"&amp;G40</f>
        <v>14002_2-4</v>
      </c>
      <c r="I40" s="5">
        <f ca="1">VLOOKUP($H40,OFFSET(floors!$A$1,0,0,COUNTA(floors!$A:$A),MATCH(I$1,floors!$1:$1,0)-MATCH($H$1,floors!$1:$1,0)+1),MATCH(I$1,floors!$1:$1,0)-MATCH($H$1,floors!$1:$1,0)+1,FALSE)</f>
        <v>35</v>
      </c>
      <c r="J40" s="5">
        <f ca="1">VLOOKUP($H40,OFFSET(floors!$A$1,0,0,COUNTA(floors!$A:$A),MATCH(J$1,floors!$1:$1,0)-MATCH($H$1,floors!$1:$1,0)+1),MATCH(J$1,floors!$1:$1,0)-MATCH($H$1,floors!$1:$1,0)+1,FALSE)</f>
        <v>60</v>
      </c>
      <c r="K40" s="8" t="s">
        <v>142</v>
      </c>
      <c r="L40" s="45">
        <v>125</v>
      </c>
      <c r="M40" s="20" t="str">
        <f ca="1">VLOOKUP(L40,[4]enemies!$A:$B,2,FALSE)</f>
        <v>秘術の果実</v>
      </c>
      <c r="N40" s="22" t="str">
        <f ca="1">VLOOKUP(L40,[4]enemies!$A:$D,4,FALSE)</f>
        <v>blue</v>
      </c>
      <c r="O40" s="22" t="str">
        <f>VLOOKUP(L40,[5]characters!$A:$J,10,FALSE)</f>
        <v>Material</v>
      </c>
      <c r="P40" s="110" t="str">
        <f>VLOOKUP(L40,[5]characters!$A:$M,13,FALSE)</f>
        <v>unknown</v>
      </c>
      <c r="Q40" s="5">
        <f ca="1">VLOOKUP(L40,[4]enemies!$A:$X,24,FALSE)</f>
        <v>20</v>
      </c>
      <c r="R40" s="6">
        <v>32</v>
      </c>
      <c r="S40" s="29">
        <v>0.4</v>
      </c>
      <c r="T40" s="29">
        <v>1</v>
      </c>
      <c r="U40" s="6">
        <v>0</v>
      </c>
      <c r="V40" s="114"/>
      <c r="W40" s="115">
        <v>11006040</v>
      </c>
      <c r="X40" s="7">
        <v>0</v>
      </c>
      <c r="Y40" s="7">
        <v>10</v>
      </c>
      <c r="Z40" s="7">
        <v>1</v>
      </c>
      <c r="AA40" s="116">
        <v>3</v>
      </c>
      <c r="AB40" s="16">
        <f>L40</f>
        <v>125</v>
      </c>
      <c r="AC40" s="5" t="str">
        <f ca="1">VLOOKUP(AB40,[4]enemies!$A:$B,2,FALSE)</f>
        <v>秘術の果実</v>
      </c>
      <c r="AD40" s="5">
        <f ca="1">VLOOKUP(AB40,[4]enemies!$A:$E,3,FALSE)</f>
        <v>3</v>
      </c>
      <c r="AE40" s="5" t="str">
        <f>VLOOKUP(AB40,[5]characters!$A:$J,10,FALSE)</f>
        <v>Material</v>
      </c>
      <c r="AF40" s="108">
        <v>1</v>
      </c>
      <c r="AG40" s="109">
        <f t="shared" ref="AG40:AG49" ca="1" si="45">AD40</f>
        <v>3</v>
      </c>
      <c r="AH40" s="9">
        <v>100</v>
      </c>
      <c r="AI40" s="108">
        <v>0</v>
      </c>
      <c r="AJ40" s="108">
        <v>0</v>
      </c>
      <c r="AK40" s="108">
        <v>0</v>
      </c>
      <c r="AL40" s="108">
        <v>0</v>
      </c>
      <c r="AM40" s="108">
        <v>1</v>
      </c>
    </row>
    <row r="41" spans="1:39" ht="21" customHeight="1" x14ac:dyDescent="0.15">
      <c r="A41" s="17" t="str">
        <f t="shared" ca="1" si="40"/>
        <v>14002_2-4/118&lt;lv3&gt;s2</v>
      </c>
      <c r="B41" s="108">
        <v>14002</v>
      </c>
      <c r="C41" s="43">
        <v>2</v>
      </c>
      <c r="D41" s="16" t="str">
        <f t="shared" ref="D41:D47" si="46">B41&amp;"_"&amp;C41</f>
        <v>14002_2</v>
      </c>
      <c r="E41" s="5" t="str">
        <f ca="1">VLOOKUP($B41,OFFSET([2]quests!$A$1,0,0,COUNTA([2]quests!$A:$A),MATCH(E$1,[2]quests!$1:$1,0)-MATCH($B$1,[2]quests!$1:$1,0)+1),MATCH(E$1,[2]quests!$1:$1,0)-MATCH($B$1,[2]quests!$1:$1,0)+1,FALSE)</f>
        <v>【ロック】ビット/ソロ</v>
      </c>
      <c r="F41" s="5" t="str">
        <f ca="1">VLOOKUP($D41,OFFSET([2]stages!$A$1,0,0,COUNTA([2]stages!$A:$A),MATCH(F$1,[2]stages!$2:$2,0)-MATCH($D$1,[2]stages!$2:$2,0)+1),MATCH(F$1,[2]stages!$2:$2,0)-MATCH($D$1,[2]stages!$2:$2,0)+1,FALSE)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41" s="43">
        <v>4</v>
      </c>
      <c r="H41" s="16" t="str">
        <f t="shared" ref="H41:H44" si="47">B41&amp;"_"&amp;C41&amp;"-"&amp;G41</f>
        <v>14002_2-4</v>
      </c>
      <c r="I41" s="5">
        <f ca="1">VLOOKUP($H41,OFFSET(floors!$A$1,0,0,COUNTA(floors!$A:$A),MATCH(I$1,floors!$1:$1,0)-MATCH($H$1,floors!$1:$1,0)+1),MATCH(I$1,floors!$1:$1,0)-MATCH($H$1,floors!$1:$1,0)+1,FALSE)</f>
        <v>35</v>
      </c>
      <c r="J41" s="5">
        <f ca="1">VLOOKUP($H41,OFFSET(floors!$A$1,0,0,COUNTA(floors!$A:$A),MATCH(J$1,floors!$1:$1,0)-MATCH($H$1,floors!$1:$1,0)+1),MATCH(J$1,floors!$1:$1,0)-MATCH($H$1,floors!$1:$1,0)+1,FALSE)</f>
        <v>60</v>
      </c>
      <c r="K41" s="8" t="s">
        <v>142</v>
      </c>
      <c r="L41" s="45">
        <v>118</v>
      </c>
      <c r="M41" s="20" t="str">
        <f ca="1">VLOOKUP(L41,[4]enemies!$A:$B,2,FALSE)</f>
        <v>ゴールドチック</v>
      </c>
      <c r="N41" s="22" t="str">
        <f ca="1">VLOOKUP(L41,[4]enemies!$A:$D,4,FALSE)</f>
        <v>yellow</v>
      </c>
      <c r="O41" s="22" t="str">
        <f>VLOOKUP(L41,[5]characters!$A:$J,10,FALSE)</f>
        <v>Material</v>
      </c>
      <c r="P41" s="110" t="str">
        <f>VLOOKUP(L41,[5]characters!$A:$M,13,FALSE)</f>
        <v>unknown</v>
      </c>
      <c r="Q41" s="5">
        <f ca="1">VLOOKUP(L41,[4]enemies!$A:$X,24,FALSE)</f>
        <v>15</v>
      </c>
      <c r="R41" s="6">
        <v>3</v>
      </c>
      <c r="S41" s="29">
        <v>28.8</v>
      </c>
      <c r="T41" s="29">
        <v>38.5</v>
      </c>
      <c r="U41" s="6">
        <v>0</v>
      </c>
      <c r="V41" s="5" t="e">
        <f ca="1">VLOOKUP($W41,OFFSET([6]enemy_skill_sets!$B$1,0,0,COUNTA([6]enemy_skill_sets!$B:$B),MATCH(L$1,[6]enemy_skill_sets!$1:$1,0)-MATCH($V$1,[6]enemy_skill_sets!$1:$1,0)+2),MATCH(L$1,[6]enemy_skill_sets!$1:$1,0)-MATCH($V$1,[6]enemy_skill_sets!$1:$1,0)+2,FALSE)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41" s="5">
        <f ca="1">VLOOKUP($L41,OFFSET([4]enemies!$A$1,0,0,COUNTA([4]enemies!$A:$A),MATCH(W$1,[4]enemies!$1:$1,0)-MATCH($L$1,[4]enemies!$1:$1,0)+1),MATCH(W$1,[4]enemies!$1:$1,0)-MATCH($L$1,[4]enemies!$1:$1,0)+1,FALSE)</f>
        <v>0</v>
      </c>
      <c r="X41" s="7">
        <v>0</v>
      </c>
      <c r="Y41" s="7">
        <v>40</v>
      </c>
      <c r="Z41" s="7">
        <v>1</v>
      </c>
      <c r="AA41" s="20">
        <f ca="1">VLOOKUP($L41,OFFSET([4]enemies!$A$1,0,0,COUNTA([4]enemies!$A:$A),MATCH(AA$1,[4]enemies!$1:$1,0)-MATCH($L$1,[4]enemies!$1:$1,0)+1),MATCH(AA$1,[4]enemies!$1:$1,0)-MATCH($L$1,[4]enemies!$1:$1,0)+1,FALSE)</f>
        <v>2</v>
      </c>
      <c r="AB41" s="16">
        <f t="shared" ref="AB41:AB47" si="48">L41</f>
        <v>118</v>
      </c>
      <c r="AC41" s="5" t="str">
        <f ca="1">VLOOKUP(AB41,[4]enemies!$A:$B,2,FALSE)</f>
        <v>ゴールドチック</v>
      </c>
      <c r="AD41" s="5">
        <f ca="1">VLOOKUP(AB41,[4]enemies!$A:$E,3,FALSE)</f>
        <v>4</v>
      </c>
      <c r="AE41" s="5" t="str">
        <f>VLOOKUP(AB41,[5]characters!$A:$J,10,FALSE)</f>
        <v>Material</v>
      </c>
      <c r="AF41" s="108">
        <v>1</v>
      </c>
      <c r="AG41" s="109">
        <f t="shared" ca="1" si="45"/>
        <v>4</v>
      </c>
      <c r="AH41" s="9">
        <v>100</v>
      </c>
      <c r="AI41" s="108">
        <v>0</v>
      </c>
      <c r="AJ41" s="108">
        <v>0</v>
      </c>
      <c r="AK41" s="108">
        <v>0</v>
      </c>
      <c r="AL41" s="108">
        <v>0</v>
      </c>
      <c r="AM41" s="108">
        <v>1</v>
      </c>
    </row>
    <row r="42" spans="1:39" ht="21" customHeight="1" x14ac:dyDescent="0.15">
      <c r="A42" s="17" t="str">
        <f t="shared" ca="1" si="40"/>
        <v>14002_2-4/118&lt;lv1&gt;s2</v>
      </c>
      <c r="B42" s="108">
        <v>14002</v>
      </c>
      <c r="C42" s="43">
        <v>2</v>
      </c>
      <c r="D42" s="16" t="str">
        <f>B42&amp;"_"&amp;C42</f>
        <v>14002_2</v>
      </c>
      <c r="E42" s="5" t="str">
        <f ca="1">VLOOKUP($B42,OFFSET([2]quests!$A$1,0,0,COUNTA([2]quests!$A:$A),MATCH(E$1,[2]quests!$1:$1,0)-MATCH($B$1,[2]quests!$1:$1,0)+1),MATCH(E$1,[2]quests!$1:$1,0)-MATCH($B$1,[2]quests!$1:$1,0)+1,FALSE)</f>
        <v>【ロック】ビット/ソロ</v>
      </c>
      <c r="F42" s="5" t="str">
        <f ca="1">VLOOKUP($D42,OFFSET([2]stages!$A$1,0,0,COUNTA([2]stages!$A:$A),MATCH(F$1,[2]stages!$2:$2,0)-MATCH($D$1,[2]stages!$2:$2,0)+1),MATCH(F$1,[2]stages!$2:$2,0)-MATCH($D$1,[2]stages!$2:$2,0)+1,FALSE)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42" s="43">
        <v>4</v>
      </c>
      <c r="H42" s="16" t="str">
        <f>B42&amp;"_"&amp;C42&amp;"-"&amp;G42</f>
        <v>14002_2-4</v>
      </c>
      <c r="I42" s="5">
        <f ca="1">VLOOKUP($H42,OFFSET(floors!$A$1,0,0,COUNTA(floors!$A:$A),MATCH(I$1,floors!$1:$1,0)-MATCH($H$1,floors!$1:$1,0)+1),MATCH(I$1,floors!$1:$1,0)-MATCH($H$1,floors!$1:$1,0)+1,FALSE)</f>
        <v>35</v>
      </c>
      <c r="J42" s="5">
        <f ca="1">VLOOKUP($H42,OFFSET(floors!$A$1,0,0,COUNTA(floors!$A:$A),MATCH(J$1,floors!$1:$1,0)-MATCH($H$1,floors!$1:$1,0)+1),MATCH(J$1,floors!$1:$1,0)-MATCH($H$1,floors!$1:$1,0)+1,FALSE)</f>
        <v>60</v>
      </c>
      <c r="K42" s="8" t="s">
        <v>142</v>
      </c>
      <c r="L42" s="112">
        <v>118</v>
      </c>
      <c r="M42" s="20" t="str">
        <f ca="1">VLOOKUP(L42,[4]enemies!$A:$B,2,FALSE)</f>
        <v>ゴールドチック</v>
      </c>
      <c r="N42" s="22" t="str">
        <f ca="1">VLOOKUP(L42,[4]enemies!$A:$D,4,FALSE)</f>
        <v>yellow</v>
      </c>
      <c r="O42" s="22" t="str">
        <f>VLOOKUP(L42,[5]characters!$A:$J,10,FALSE)</f>
        <v>Material</v>
      </c>
      <c r="P42" s="110" t="str">
        <f>VLOOKUP(L42,[5]characters!$A:$M,13,FALSE)</f>
        <v>unknown</v>
      </c>
      <c r="Q42" s="5">
        <f ca="1">VLOOKUP(L42,[4]enemies!$A:$X,24,FALSE)</f>
        <v>15</v>
      </c>
      <c r="R42" s="6">
        <v>1</v>
      </c>
      <c r="S42" s="29">
        <v>40.5</v>
      </c>
      <c r="T42" s="29">
        <v>38.5</v>
      </c>
      <c r="U42" s="6">
        <v>0</v>
      </c>
      <c r="V42" s="5" t="e">
        <f ca="1">VLOOKUP($W42,OFFSET([6]enemy_skill_sets!$B$1,0,0,COUNTA([6]enemy_skill_sets!$B:$B),MATCH(L$1,[6]enemy_skill_sets!$1:$1,0)-MATCH($V$1,[6]enemy_skill_sets!$1:$1,0)+2),MATCH(L$1,[6]enemy_skill_sets!$1:$1,0)-MATCH($V$1,[6]enemy_skill_sets!$1:$1,0)+2,FALSE)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42" s="5">
        <f ca="1">VLOOKUP($L42,OFFSET([4]enemies!$A$1,0,0,COUNTA([4]enemies!$A:$A),MATCH(W$1,[4]enemies!$1:$1,0)-MATCH($L$1,[4]enemies!$1:$1,0)+1),MATCH(W$1,[4]enemies!$1:$1,0)-MATCH($L$1,[4]enemies!$1:$1,0)+1,FALSE)</f>
        <v>0</v>
      </c>
      <c r="X42" s="7">
        <v>1</v>
      </c>
      <c r="Y42" s="7">
        <v>0</v>
      </c>
      <c r="Z42" s="7">
        <v>2</v>
      </c>
      <c r="AA42" s="20">
        <f ca="1">VLOOKUP($L42,OFFSET([4]enemies!$A$1,0,0,COUNTA([4]enemies!$A:$A),MATCH(AA$1,[4]enemies!$1:$1,0)-MATCH($L$1,[4]enemies!$1:$1,0)+1),MATCH(AA$1,[4]enemies!$1:$1,0)-MATCH($L$1,[4]enemies!$1:$1,0)+1,FALSE)</f>
        <v>2</v>
      </c>
      <c r="AB42" s="16">
        <f>L42</f>
        <v>118</v>
      </c>
      <c r="AC42" s="5" t="str">
        <f ca="1">VLOOKUP(AB42,[4]enemies!$A:$B,2,FALSE)</f>
        <v>ゴールドチック</v>
      </c>
      <c r="AD42" s="5">
        <f ca="1">VLOOKUP(AB42,[4]enemies!$A:$E,3,FALSE)</f>
        <v>4</v>
      </c>
      <c r="AE42" s="5" t="str">
        <f>VLOOKUP(AB42,[5]characters!$A:$J,10,FALSE)</f>
        <v>Material</v>
      </c>
      <c r="AF42" s="108">
        <v>1</v>
      </c>
      <c r="AG42" s="109">
        <f ca="1">AD42</f>
        <v>4</v>
      </c>
      <c r="AH42" s="9">
        <v>100</v>
      </c>
      <c r="AI42" s="108">
        <v>0</v>
      </c>
      <c r="AJ42" s="108">
        <v>0</v>
      </c>
      <c r="AK42" s="108">
        <v>0</v>
      </c>
      <c r="AL42" s="108">
        <v>0</v>
      </c>
      <c r="AM42" s="108">
        <v>1</v>
      </c>
    </row>
    <row r="43" spans="1:39" ht="21" customHeight="1" x14ac:dyDescent="0.15">
      <c r="A43" s="17" t="str">
        <f t="shared" ca="1" si="40"/>
        <v>14002_2-4/118&lt;lv2&gt;s2</v>
      </c>
      <c r="B43" s="108">
        <v>14002</v>
      </c>
      <c r="C43" s="43">
        <v>2</v>
      </c>
      <c r="D43" s="16" t="str">
        <f t="shared" si="46"/>
        <v>14002_2</v>
      </c>
      <c r="E43" s="5" t="str">
        <f ca="1">VLOOKUP($B43,OFFSET([2]quests!$A$1,0,0,COUNTA([2]quests!$A:$A),MATCH(E$1,[2]quests!$1:$1,0)-MATCH($B$1,[2]quests!$1:$1,0)+1),MATCH(E$1,[2]quests!$1:$1,0)-MATCH($B$1,[2]quests!$1:$1,0)+1,FALSE)</f>
        <v>【ロック】ビット/ソロ</v>
      </c>
      <c r="F43" s="5" t="str">
        <f ca="1">VLOOKUP($D43,OFFSET([2]stages!$A$1,0,0,COUNTA([2]stages!$A:$A),MATCH(F$1,[2]stages!$2:$2,0)-MATCH($D$1,[2]stages!$2:$2,0)+1),MATCH(F$1,[2]stages!$2:$2,0)-MATCH($D$1,[2]stages!$2:$2,0)+1,FALSE)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43" s="43">
        <v>4</v>
      </c>
      <c r="H43" s="16" t="str">
        <f t="shared" si="47"/>
        <v>14002_2-4</v>
      </c>
      <c r="I43" s="5">
        <f ca="1">VLOOKUP($H43,OFFSET(floors!$A$1,0,0,COUNTA(floors!$A:$A),MATCH(I$1,floors!$1:$1,0)-MATCH($H$1,floors!$1:$1,0)+1),MATCH(I$1,floors!$1:$1,0)-MATCH($H$1,floors!$1:$1,0)+1,FALSE)</f>
        <v>35</v>
      </c>
      <c r="J43" s="5">
        <f ca="1">VLOOKUP($H43,OFFSET(floors!$A$1,0,0,COUNTA(floors!$A:$A),MATCH(J$1,floors!$1:$1,0)-MATCH($H$1,floors!$1:$1,0)+1),MATCH(J$1,floors!$1:$1,0)-MATCH($H$1,floors!$1:$1,0)+1,FALSE)</f>
        <v>60</v>
      </c>
      <c r="K43" s="8" t="s">
        <v>142</v>
      </c>
      <c r="L43" s="112">
        <v>118</v>
      </c>
      <c r="M43" s="20" t="str">
        <f ca="1">VLOOKUP(L43,[4]enemies!$A:$B,2,FALSE)</f>
        <v>ゴールドチック</v>
      </c>
      <c r="N43" s="22" t="str">
        <f ca="1">VLOOKUP(L43,[4]enemies!$A:$D,4,FALSE)</f>
        <v>yellow</v>
      </c>
      <c r="O43" s="22" t="str">
        <f>VLOOKUP(L43,[5]characters!$A:$J,10,FALSE)</f>
        <v>Material</v>
      </c>
      <c r="P43" s="110" t="str">
        <f>VLOOKUP(L43,[5]characters!$A:$M,13,FALSE)</f>
        <v>unknown</v>
      </c>
      <c r="Q43" s="5">
        <f ca="1">VLOOKUP(L43,[4]enemies!$A:$X,24,FALSE)</f>
        <v>15</v>
      </c>
      <c r="R43" s="6">
        <v>2</v>
      </c>
      <c r="S43" s="29">
        <v>28.8</v>
      </c>
      <c r="T43" s="29">
        <v>38.5</v>
      </c>
      <c r="U43" s="6">
        <v>0</v>
      </c>
      <c r="V43" s="5" t="e">
        <f ca="1">VLOOKUP($W43,OFFSET([6]enemy_skill_sets!$B$1,0,0,COUNTA([6]enemy_skill_sets!$B:$B),MATCH(L$1,[6]enemy_skill_sets!$1:$1,0)-MATCH($V$1,[6]enemy_skill_sets!$1:$1,0)+2),MATCH(L$1,[6]enemy_skill_sets!$1:$1,0)-MATCH($V$1,[6]enemy_skill_sets!$1:$1,0)+2,FALSE)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43" s="5">
        <f ca="1">VLOOKUP($L43,OFFSET([4]enemies!$A$1,0,0,COUNTA([4]enemies!$A:$A),MATCH(W$1,[4]enemies!$1:$1,0)-MATCH($L$1,[4]enemies!$1:$1,0)+1),MATCH(W$1,[4]enemies!$1:$1,0)-MATCH($L$1,[4]enemies!$1:$1,0)+1,FALSE)</f>
        <v>0</v>
      </c>
      <c r="X43" s="7">
        <v>0</v>
      </c>
      <c r="Y43" s="7">
        <v>10</v>
      </c>
      <c r="Z43" s="7">
        <v>0</v>
      </c>
      <c r="AA43" s="20">
        <f ca="1">VLOOKUP($L43,OFFSET([4]enemies!$A$1,0,0,COUNTA([4]enemies!$A:$A),MATCH(AA$1,[4]enemies!$1:$1,0)-MATCH($L$1,[4]enemies!$1:$1,0)+1),MATCH(AA$1,[4]enemies!$1:$1,0)-MATCH($L$1,[4]enemies!$1:$1,0)+1,FALSE)</f>
        <v>2</v>
      </c>
      <c r="AB43" s="16">
        <f t="shared" si="48"/>
        <v>118</v>
      </c>
      <c r="AC43" s="5" t="str">
        <f ca="1">VLOOKUP(AB43,[4]enemies!$A:$B,2,FALSE)</f>
        <v>ゴールドチック</v>
      </c>
      <c r="AD43" s="5">
        <f ca="1">VLOOKUP(AB43,[4]enemies!$A:$E,3,FALSE)</f>
        <v>4</v>
      </c>
      <c r="AE43" s="5" t="str">
        <f>VLOOKUP(AB43,[5]characters!$A:$J,10,FALSE)</f>
        <v>Material</v>
      </c>
      <c r="AF43" s="108">
        <v>1</v>
      </c>
      <c r="AG43" s="109">
        <f t="shared" ref="AG43" ca="1" si="49">AD43</f>
        <v>4</v>
      </c>
      <c r="AH43" s="9">
        <v>0</v>
      </c>
      <c r="AI43" s="108">
        <v>0</v>
      </c>
      <c r="AJ43" s="108">
        <v>0</v>
      </c>
      <c r="AK43" s="108">
        <v>0</v>
      </c>
      <c r="AL43" s="108">
        <v>0</v>
      </c>
      <c r="AM43" s="108">
        <v>1</v>
      </c>
    </row>
    <row r="44" spans="1:39" ht="21" customHeight="1" x14ac:dyDescent="0.15">
      <c r="A44" s="17" t="str">
        <f t="shared" ca="1" si="40"/>
        <v>14002_2-4/63&lt;lv32&gt;s2</v>
      </c>
      <c r="B44" s="108">
        <v>14002</v>
      </c>
      <c r="C44" s="43">
        <v>2</v>
      </c>
      <c r="D44" s="16" t="str">
        <f t="shared" si="46"/>
        <v>14002_2</v>
      </c>
      <c r="E44" s="5" t="str">
        <f ca="1">VLOOKUP($B44,OFFSET([2]quests!$A$1,0,0,COUNTA([2]quests!$A:$A),MATCH(E$1,[2]quests!$1:$1,0)-MATCH($B$1,[2]quests!$1:$1,0)+1),MATCH(E$1,[2]quests!$1:$1,0)-MATCH($B$1,[2]quests!$1:$1,0)+1,FALSE)</f>
        <v>【ロック】ビット/ソロ</v>
      </c>
      <c r="F44" s="5" t="str">
        <f ca="1">VLOOKUP($D44,OFFSET([2]stages!$A$1,0,0,COUNTA([2]stages!$A:$A),MATCH(F$1,[2]stages!$2:$2,0)-MATCH($D$1,[2]stages!$2:$2,0)+1),MATCH(F$1,[2]stages!$2:$2,0)-MATCH($D$1,[2]stages!$2:$2,0)+1,FALSE)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44" s="43">
        <v>4</v>
      </c>
      <c r="H44" s="16" t="str">
        <f t="shared" si="47"/>
        <v>14002_2-4</v>
      </c>
      <c r="I44" s="5">
        <f ca="1">VLOOKUP($H44,OFFSET(floors!$A$1,0,0,COUNTA(floors!$A:$A),MATCH(I$1,floors!$1:$1,0)-MATCH($H$1,floors!$1:$1,0)+1),MATCH(I$1,floors!$1:$1,0)-MATCH($H$1,floors!$1:$1,0)+1,FALSE)</f>
        <v>35</v>
      </c>
      <c r="J44" s="5">
        <f ca="1">VLOOKUP($H44,OFFSET(floors!$A$1,0,0,COUNTA(floors!$A:$A),MATCH(J$1,floors!$1:$1,0)-MATCH($H$1,floors!$1:$1,0)+1),MATCH(J$1,floors!$1:$1,0)-MATCH($H$1,floors!$1:$1,0)+1,FALSE)</f>
        <v>60</v>
      </c>
      <c r="K44" s="8" t="s">
        <v>142</v>
      </c>
      <c r="L44" s="45">
        <v>63</v>
      </c>
      <c r="M44" s="20" t="str">
        <f ca="1">VLOOKUP(L44,[4]enemies!$A:$B,2,FALSE)</f>
        <v>トニー</v>
      </c>
      <c r="N44" s="22" t="str">
        <f ca="1">VLOOKUP(L44,[4]enemies!$A:$D,4,FALSE)</f>
        <v>yellow</v>
      </c>
      <c r="O44" s="22" t="str">
        <f>VLOOKUP(L44,[5]characters!$A:$J,10,FALSE)</f>
        <v>Drop1N</v>
      </c>
      <c r="P44" s="110" t="str">
        <f>VLOOKUP(L44,[5]characters!$A:$M,13,FALSE)</f>
        <v>animal</v>
      </c>
      <c r="Q44" s="5">
        <f ca="1">VLOOKUP(L44,[4]enemies!$A:$X,24,FALSE)</f>
        <v>15</v>
      </c>
      <c r="R44" s="6">
        <v>32</v>
      </c>
      <c r="S44" s="29">
        <v>1</v>
      </c>
      <c r="T44" s="29">
        <v>1</v>
      </c>
      <c r="U44" s="6">
        <v>0</v>
      </c>
      <c r="V44" s="5" t="e">
        <f ca="1">VLOOKUP($W44,OFFSET([6]enemy_skill_sets!$B$1,0,0,COUNTA([6]enemy_skill_sets!$B:$B),MATCH(L$1,[6]enemy_skill_sets!$1:$1,0)-MATCH($V$1,[6]enemy_skill_sets!$1:$1,0)+2),MATCH(L$1,[6]enemy_skill_sets!$1:$1,0)-MATCH($V$1,[6]enemy_skill_sets!$1:$1,0)+2,FALSE)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44" s="5">
        <f ca="1">VLOOKUP($L44,OFFSET([4]enemies!$A$1,0,0,COUNTA([4]enemies!$A:$A),MATCH(W$1,[4]enemies!$1:$1,0)-MATCH($L$1,[4]enemies!$1:$1,0)+1),MATCH(W$1,[4]enemies!$1:$1,0)-MATCH($L$1,[4]enemies!$1:$1,0)+1,FALSE)</f>
        <v>63</v>
      </c>
      <c r="X44" s="7">
        <v>0</v>
      </c>
      <c r="Y44" s="7">
        <v>10</v>
      </c>
      <c r="Z44" s="7">
        <v>0</v>
      </c>
      <c r="AA44" s="20">
        <f ca="1">VLOOKUP($L44,OFFSET([4]enemies!$A$1,0,0,COUNTA([4]enemies!$A:$A),MATCH(AA$1,[4]enemies!$1:$1,0)-MATCH($L$1,[4]enemies!$1:$1,0)+1),MATCH(AA$1,[4]enemies!$1:$1,0)-MATCH($L$1,[4]enemies!$1:$1,0)+1,FALSE)</f>
        <v>2</v>
      </c>
      <c r="AB44" s="16">
        <f t="shared" si="48"/>
        <v>63</v>
      </c>
      <c r="AC44" s="5" t="str">
        <f ca="1">VLOOKUP(AB44,[4]enemies!$A:$B,2,FALSE)</f>
        <v>トニー</v>
      </c>
      <c r="AD44" s="5">
        <f ca="1">VLOOKUP(AB44,[4]enemies!$A:$E,3,FALSE)</f>
        <v>2</v>
      </c>
      <c r="AE44" s="5" t="str">
        <f>VLOOKUP(AB44,[5]characters!$A:$J,10,FALSE)</f>
        <v>Drop1N</v>
      </c>
      <c r="AF44" s="108">
        <v>1</v>
      </c>
      <c r="AG44" s="109">
        <f t="shared" ca="1" si="45"/>
        <v>2</v>
      </c>
      <c r="AH44" s="9">
        <v>0</v>
      </c>
      <c r="AI44" s="108">
        <v>0</v>
      </c>
      <c r="AJ44" s="108">
        <v>0</v>
      </c>
      <c r="AK44" s="108">
        <v>0</v>
      </c>
      <c r="AL44" s="108">
        <v>0</v>
      </c>
      <c r="AM44" s="108">
        <v>1</v>
      </c>
    </row>
    <row r="45" spans="1:39" ht="21" customHeight="1" x14ac:dyDescent="0.15">
      <c r="A45" s="17" t="str">
        <f t="shared" ca="1" si="40"/>
        <v>14002_2-4/61&lt;lv32&gt;s2</v>
      </c>
      <c r="B45" s="108">
        <v>14002</v>
      </c>
      <c r="C45" s="43">
        <v>2</v>
      </c>
      <c r="D45" s="16" t="str">
        <f t="shared" si="46"/>
        <v>14002_2</v>
      </c>
      <c r="E45" s="5" t="str">
        <f ca="1">VLOOKUP($B45,OFFSET([2]quests!$A$1,0,0,COUNTA([2]quests!$A:$A),MATCH(E$1,[2]quests!$1:$1,0)-MATCH($B$1,[2]quests!$1:$1,0)+1),MATCH(E$1,[2]quests!$1:$1,0)-MATCH($B$1,[2]quests!$1:$1,0)+1,FALSE)</f>
        <v>【ロック】ビット/ソロ</v>
      </c>
      <c r="F45" s="5" t="str">
        <f ca="1">VLOOKUP($D45,OFFSET([2]stages!$A$1,0,0,COUNTA([2]stages!$A:$A),MATCH(F$1,[2]stages!$2:$2,0)-MATCH($D$1,[2]stages!$2:$2,0)+1),MATCH(F$1,[2]stages!$2:$2,0)-MATCH($D$1,[2]stages!$2:$2,0)+1,FALSE)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45" s="43">
        <v>4</v>
      </c>
      <c r="H45" s="16" t="str">
        <f t="shared" si="42"/>
        <v>14002_2-4</v>
      </c>
      <c r="I45" s="5">
        <f ca="1">VLOOKUP($H45,OFFSET(floors!$A$1,0,0,COUNTA(floors!$A:$A),MATCH(I$1,floors!$1:$1,0)-MATCH($H$1,floors!$1:$1,0)+1),MATCH(I$1,floors!$1:$1,0)-MATCH($H$1,floors!$1:$1,0)+1,FALSE)</f>
        <v>35</v>
      </c>
      <c r="J45" s="5">
        <f ca="1">VLOOKUP($H45,OFFSET(floors!$A$1,0,0,COUNTA(floors!$A:$A),MATCH(J$1,floors!$1:$1,0)-MATCH($H$1,floors!$1:$1,0)+1),MATCH(J$1,floors!$1:$1,0)-MATCH($H$1,floors!$1:$1,0)+1,FALSE)</f>
        <v>60</v>
      </c>
      <c r="K45" s="8" t="s">
        <v>142</v>
      </c>
      <c r="L45" s="112">
        <v>61</v>
      </c>
      <c r="M45" s="20" t="str">
        <f ca="1">VLOOKUP(L45,[4]enemies!$A:$B,2,FALSE)</f>
        <v>クロウ</v>
      </c>
      <c r="N45" s="22" t="str">
        <f ca="1">VLOOKUP(L45,[4]enemies!$A:$D,4,FALSE)</f>
        <v>blue</v>
      </c>
      <c r="O45" s="22" t="str">
        <f>VLOOKUP(L45,[5]characters!$A:$J,10,FALSE)</f>
        <v>Drop1N</v>
      </c>
      <c r="P45" s="110" t="str">
        <f>VLOOKUP(L45,[5]characters!$A:$M,13,FALSE)</f>
        <v>animal</v>
      </c>
      <c r="Q45" s="5">
        <f ca="1">VLOOKUP(L45,[4]enemies!$A:$X,24,FALSE)</f>
        <v>15</v>
      </c>
      <c r="R45" s="6">
        <v>32</v>
      </c>
      <c r="S45" s="29">
        <v>1</v>
      </c>
      <c r="T45" s="29">
        <v>1</v>
      </c>
      <c r="U45" s="6">
        <v>0</v>
      </c>
      <c r="V45" s="5" t="e">
        <f ca="1">VLOOKUP($W45,OFFSET([6]enemy_skill_sets!$B$1,0,0,COUNTA([6]enemy_skill_sets!$B:$B),MATCH(L$1,[6]enemy_skill_sets!$1:$1,0)-MATCH($V$1,[6]enemy_skill_sets!$1:$1,0)+2),MATCH(L$1,[6]enemy_skill_sets!$1:$1,0)-MATCH($V$1,[6]enemy_skill_sets!$1:$1,0)+2,FALSE)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45" s="5">
        <f ca="1">VLOOKUP($L45,OFFSET([4]enemies!$A$1,0,0,COUNTA([4]enemies!$A:$A),MATCH(W$1,[4]enemies!$1:$1,0)-MATCH($L$1,[4]enemies!$1:$1,0)+1),MATCH(W$1,[4]enemies!$1:$1,0)-MATCH($L$1,[4]enemies!$1:$1,0)+1,FALSE)</f>
        <v>61</v>
      </c>
      <c r="X45" s="7">
        <v>0</v>
      </c>
      <c r="Y45" s="7">
        <v>10</v>
      </c>
      <c r="Z45" s="7">
        <v>0</v>
      </c>
      <c r="AA45" s="20">
        <f ca="1">VLOOKUP($L45,OFFSET([4]enemies!$A$1,0,0,COUNTA([4]enemies!$A:$A),MATCH(AA$1,[4]enemies!$1:$1,0)-MATCH($L$1,[4]enemies!$1:$1,0)+1),MATCH(AA$1,[4]enemies!$1:$1,0)-MATCH($L$1,[4]enemies!$1:$1,0)+1,FALSE)</f>
        <v>2</v>
      </c>
      <c r="AB45" s="16">
        <f t="shared" si="48"/>
        <v>61</v>
      </c>
      <c r="AC45" s="5" t="str">
        <f ca="1">VLOOKUP(AB45,[4]enemies!$A:$B,2,FALSE)</f>
        <v>クロウ</v>
      </c>
      <c r="AD45" s="5">
        <f ca="1">VLOOKUP(AB45,[4]enemies!$A:$E,3,FALSE)</f>
        <v>2</v>
      </c>
      <c r="AE45" s="5" t="str">
        <f>VLOOKUP(AB45,[5]characters!$A:$J,10,FALSE)</f>
        <v>Drop1N</v>
      </c>
      <c r="AF45" s="108">
        <v>1</v>
      </c>
      <c r="AG45" s="109">
        <f t="shared" ca="1" si="45"/>
        <v>2</v>
      </c>
      <c r="AH45" s="9">
        <v>0</v>
      </c>
      <c r="AI45" s="108">
        <v>0</v>
      </c>
      <c r="AJ45" s="108">
        <v>0</v>
      </c>
      <c r="AK45" s="108">
        <v>0</v>
      </c>
      <c r="AL45" s="108">
        <v>0</v>
      </c>
      <c r="AM45" s="108">
        <v>1</v>
      </c>
    </row>
    <row r="46" spans="1:39" ht="21" customHeight="1" x14ac:dyDescent="0.15">
      <c r="A46" s="17" t="str">
        <f t="shared" ca="1" si="40"/>
        <v>14002_2-4/57&lt;lv32&gt;s2</v>
      </c>
      <c r="B46" s="108">
        <v>14002</v>
      </c>
      <c r="C46" s="43">
        <v>2</v>
      </c>
      <c r="D46" s="16" t="str">
        <f t="shared" si="46"/>
        <v>14002_2</v>
      </c>
      <c r="E46" s="5" t="str">
        <f ca="1">VLOOKUP($B46,OFFSET([2]quests!$A$1,0,0,COUNTA([2]quests!$A:$A),MATCH(E$1,[2]quests!$1:$1,0)-MATCH($B$1,[2]quests!$1:$1,0)+1),MATCH(E$1,[2]quests!$1:$1,0)-MATCH($B$1,[2]quests!$1:$1,0)+1,FALSE)</f>
        <v>【ロック】ビット/ソロ</v>
      </c>
      <c r="F46" s="5" t="str">
        <f ca="1">VLOOKUP($D46,OFFSET([2]stages!$A$1,0,0,COUNTA([2]stages!$A:$A),MATCH(F$1,[2]stages!$2:$2,0)-MATCH($D$1,[2]stages!$2:$2,0)+1),MATCH(F$1,[2]stages!$2:$2,0)-MATCH($D$1,[2]stages!$2:$2,0)+1,FALSE)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46" s="43">
        <v>4</v>
      </c>
      <c r="H46" s="16" t="str">
        <f t="shared" si="42"/>
        <v>14002_2-4</v>
      </c>
      <c r="I46" s="5">
        <f ca="1">VLOOKUP($H46,OFFSET(floors!$A$1,0,0,COUNTA(floors!$A:$A),MATCH(I$1,floors!$1:$1,0)-MATCH($H$1,floors!$1:$1,0)+1),MATCH(I$1,floors!$1:$1,0)-MATCH($H$1,floors!$1:$1,0)+1,FALSE)</f>
        <v>35</v>
      </c>
      <c r="J46" s="5">
        <f ca="1">VLOOKUP($H46,OFFSET(floors!$A$1,0,0,COUNTA(floors!$A:$A),MATCH(J$1,floors!$1:$1,0)-MATCH($H$1,floors!$1:$1,0)+1),MATCH(J$1,floors!$1:$1,0)-MATCH($H$1,floors!$1:$1,0)+1,FALSE)</f>
        <v>60</v>
      </c>
      <c r="K46" s="8" t="s">
        <v>142</v>
      </c>
      <c r="L46" s="112">
        <v>57</v>
      </c>
      <c r="M46" s="20" t="str">
        <f ca="1">VLOOKUP(L46,[4]enemies!$A:$B,2,FALSE)</f>
        <v>チェン・リー</v>
      </c>
      <c r="N46" s="22" t="str">
        <f ca="1">VLOOKUP(L46,[4]enemies!$A:$D,4,FALSE)</f>
        <v>red</v>
      </c>
      <c r="O46" s="22" t="str">
        <f>VLOOKUP(L46,[5]characters!$A:$J,10,FALSE)</f>
        <v>Drop1N</v>
      </c>
      <c r="P46" s="110" t="str">
        <f>VLOOKUP(L46,[5]characters!$A:$M,13,FALSE)</f>
        <v>animal</v>
      </c>
      <c r="Q46" s="5">
        <f ca="1">VLOOKUP(L46,[4]enemies!$A:$X,24,FALSE)</f>
        <v>15</v>
      </c>
      <c r="R46" s="6">
        <v>32</v>
      </c>
      <c r="S46" s="29">
        <v>1</v>
      </c>
      <c r="T46" s="29">
        <v>1</v>
      </c>
      <c r="U46" s="6">
        <v>0</v>
      </c>
      <c r="V46" s="5" t="e">
        <f ca="1">VLOOKUP($W46,OFFSET([6]enemy_skill_sets!$B$1,0,0,COUNTA([6]enemy_skill_sets!$B:$B),MATCH(L$1,[6]enemy_skill_sets!$1:$1,0)-MATCH($V$1,[6]enemy_skill_sets!$1:$1,0)+2),MATCH(L$1,[6]enemy_skill_sets!$1:$1,0)-MATCH($V$1,[6]enemy_skill_sets!$1:$1,0)+2,FALSE)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46" s="5">
        <f ca="1">VLOOKUP($L46,OFFSET([4]enemies!$A$1,0,0,COUNTA([4]enemies!$A:$A),MATCH(W$1,[4]enemies!$1:$1,0)-MATCH($L$1,[4]enemies!$1:$1,0)+1),MATCH(W$1,[4]enemies!$1:$1,0)-MATCH($L$1,[4]enemies!$1:$1,0)+1,FALSE)</f>
        <v>57</v>
      </c>
      <c r="X46" s="7">
        <v>0</v>
      </c>
      <c r="Y46" s="7">
        <v>10</v>
      </c>
      <c r="Z46" s="7">
        <v>0</v>
      </c>
      <c r="AA46" s="20">
        <f ca="1">VLOOKUP($L46,OFFSET([4]enemies!$A$1,0,0,COUNTA([4]enemies!$A:$A),MATCH(AA$1,[4]enemies!$1:$1,0)-MATCH($L$1,[4]enemies!$1:$1,0)+1),MATCH(AA$1,[4]enemies!$1:$1,0)-MATCH($L$1,[4]enemies!$1:$1,0)+1,FALSE)</f>
        <v>2</v>
      </c>
      <c r="AB46" s="16">
        <f t="shared" si="48"/>
        <v>57</v>
      </c>
      <c r="AC46" s="5" t="str">
        <f ca="1">VLOOKUP(AB46,[4]enemies!$A:$B,2,FALSE)</f>
        <v>チェン・リー</v>
      </c>
      <c r="AD46" s="5">
        <f ca="1">VLOOKUP(AB46,[4]enemies!$A:$E,3,FALSE)</f>
        <v>2</v>
      </c>
      <c r="AE46" s="5" t="str">
        <f>VLOOKUP(AB46,[5]characters!$A:$J,10,FALSE)</f>
        <v>Drop1N</v>
      </c>
      <c r="AF46" s="108">
        <v>1</v>
      </c>
      <c r="AG46" s="109">
        <f t="shared" ca="1" si="45"/>
        <v>2</v>
      </c>
      <c r="AH46" s="9">
        <v>0</v>
      </c>
      <c r="AI46" s="108">
        <v>0</v>
      </c>
      <c r="AJ46" s="108">
        <v>0</v>
      </c>
      <c r="AK46" s="108">
        <v>0</v>
      </c>
      <c r="AL46" s="108">
        <v>0</v>
      </c>
      <c r="AM46" s="108">
        <v>1</v>
      </c>
    </row>
    <row r="47" spans="1:39" ht="21" customHeight="1" x14ac:dyDescent="0.15">
      <c r="A47" s="17" t="str">
        <f t="shared" ca="1" si="40"/>
        <v>14002_2-4/59&lt;lv32&gt;s2</v>
      </c>
      <c r="B47" s="108">
        <v>14002</v>
      </c>
      <c r="C47" s="43">
        <v>2</v>
      </c>
      <c r="D47" s="16" t="str">
        <f t="shared" si="46"/>
        <v>14002_2</v>
      </c>
      <c r="E47" s="5" t="str">
        <f ca="1">VLOOKUP($B47,OFFSET([2]quests!$A$1,0,0,COUNTA([2]quests!$A:$A),MATCH(E$1,[2]quests!$1:$1,0)-MATCH($B$1,[2]quests!$1:$1,0)+1),MATCH(E$1,[2]quests!$1:$1,0)-MATCH($B$1,[2]quests!$1:$1,0)+1,FALSE)</f>
        <v>【ロック】ビット/ソロ</v>
      </c>
      <c r="F47" s="5" t="str">
        <f ca="1">VLOOKUP($D47,OFFSET([2]stages!$A$1,0,0,COUNTA([2]stages!$A:$A),MATCH(F$1,[2]stages!$2:$2,0)-MATCH($D$1,[2]stages!$2:$2,0)+1),MATCH(F$1,[2]stages!$2:$2,0)-MATCH($D$1,[2]stages!$2:$2,0)+1,FALSE)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47" s="43">
        <v>4</v>
      </c>
      <c r="H47" s="16" t="str">
        <f t="shared" si="42"/>
        <v>14002_2-4</v>
      </c>
      <c r="I47" s="5">
        <f ca="1">VLOOKUP($H47,OFFSET(floors!$A$1,0,0,COUNTA(floors!$A:$A),MATCH(I$1,floors!$1:$1,0)-MATCH($H$1,floors!$1:$1,0)+1),MATCH(I$1,floors!$1:$1,0)-MATCH($H$1,floors!$1:$1,0)+1,FALSE)</f>
        <v>35</v>
      </c>
      <c r="J47" s="5">
        <f ca="1">VLOOKUP($H47,OFFSET(floors!$A$1,0,0,COUNTA(floors!$A:$A),MATCH(J$1,floors!$1:$1,0)-MATCH($H$1,floors!$1:$1,0)+1),MATCH(J$1,floors!$1:$1,0)-MATCH($H$1,floors!$1:$1,0)+1,FALSE)</f>
        <v>60</v>
      </c>
      <c r="K47" s="8" t="s">
        <v>142</v>
      </c>
      <c r="L47" s="112">
        <v>59</v>
      </c>
      <c r="M47" s="20" t="str">
        <f ca="1">VLOOKUP(L47,[4]enemies!$A:$B,2,FALSE)</f>
        <v>マーチ</v>
      </c>
      <c r="N47" s="22" t="str">
        <f ca="1">VLOOKUP(L47,[4]enemies!$A:$D,4,FALSE)</f>
        <v>green</v>
      </c>
      <c r="O47" s="22" t="str">
        <f>VLOOKUP(L47,[5]characters!$A:$J,10,FALSE)</f>
        <v>Drop1N</v>
      </c>
      <c r="P47" s="110" t="str">
        <f>VLOOKUP(L47,[5]characters!$A:$M,13,FALSE)</f>
        <v>animal</v>
      </c>
      <c r="Q47" s="5">
        <f ca="1">VLOOKUP(L47,[4]enemies!$A:$X,24,FALSE)</f>
        <v>15</v>
      </c>
      <c r="R47" s="6">
        <v>32</v>
      </c>
      <c r="S47" s="29">
        <v>1</v>
      </c>
      <c r="T47" s="29">
        <v>1</v>
      </c>
      <c r="U47" s="6">
        <v>0</v>
      </c>
      <c r="V47" s="5" t="e">
        <f ca="1">VLOOKUP($W47,OFFSET([6]enemy_skill_sets!$B$1,0,0,COUNTA([6]enemy_skill_sets!$B:$B),MATCH(L$1,[6]enemy_skill_sets!$1:$1,0)-MATCH($V$1,[6]enemy_skill_sets!$1:$1,0)+2),MATCH(L$1,[6]enemy_skill_sets!$1:$1,0)-MATCH($V$1,[6]enemy_skill_sets!$1:$1,0)+2,FALSE)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47" s="5">
        <f ca="1">VLOOKUP($L47,OFFSET([4]enemies!$A$1,0,0,COUNTA([4]enemies!$A:$A),MATCH(W$1,[4]enemies!$1:$1,0)-MATCH($L$1,[4]enemies!$1:$1,0)+1),MATCH(W$1,[4]enemies!$1:$1,0)-MATCH($L$1,[4]enemies!$1:$1,0)+1,FALSE)</f>
        <v>59</v>
      </c>
      <c r="X47" s="7">
        <v>0</v>
      </c>
      <c r="Y47" s="7">
        <v>10</v>
      </c>
      <c r="Z47" s="7">
        <v>0</v>
      </c>
      <c r="AA47" s="20">
        <f ca="1">VLOOKUP($L47,OFFSET([4]enemies!$A$1,0,0,COUNTA([4]enemies!$A:$A),MATCH(AA$1,[4]enemies!$1:$1,0)-MATCH($L$1,[4]enemies!$1:$1,0)+1),MATCH(AA$1,[4]enemies!$1:$1,0)-MATCH($L$1,[4]enemies!$1:$1,0)+1,FALSE)</f>
        <v>2</v>
      </c>
      <c r="AB47" s="16">
        <f t="shared" si="48"/>
        <v>59</v>
      </c>
      <c r="AC47" s="5" t="str">
        <f ca="1">VLOOKUP(AB47,[4]enemies!$A:$B,2,FALSE)</f>
        <v>マーチ</v>
      </c>
      <c r="AD47" s="5">
        <f ca="1">VLOOKUP(AB47,[4]enemies!$A:$E,3,FALSE)</f>
        <v>2</v>
      </c>
      <c r="AE47" s="5" t="str">
        <f>VLOOKUP(AB47,[5]characters!$A:$J,10,FALSE)</f>
        <v>Drop1N</v>
      </c>
      <c r="AF47" s="108">
        <v>1</v>
      </c>
      <c r="AG47" s="109">
        <f t="shared" ca="1" si="45"/>
        <v>2</v>
      </c>
      <c r="AH47" s="9">
        <v>0</v>
      </c>
      <c r="AI47" s="108">
        <v>0</v>
      </c>
      <c r="AJ47" s="108">
        <v>0</v>
      </c>
      <c r="AK47" s="108">
        <v>0</v>
      </c>
      <c r="AL47" s="108">
        <v>0</v>
      </c>
      <c r="AM47" s="108">
        <v>1</v>
      </c>
    </row>
    <row r="48" spans="1:39" ht="21" customHeight="1" x14ac:dyDescent="0.15">
      <c r="A48" s="17" t="str">
        <f t="shared" ca="1" si="40"/>
        <v>14002_2-5/119&lt;lv2&gt;s3</v>
      </c>
      <c r="B48" s="108">
        <v>14002</v>
      </c>
      <c r="C48" s="43">
        <v>2</v>
      </c>
      <c r="D48" s="16" t="str">
        <f t="shared" si="41"/>
        <v>14002_2</v>
      </c>
      <c r="E48" s="5" t="str">
        <f ca="1">VLOOKUP($B48,OFFSET([2]quests!$A$1,0,0,COUNTA([2]quests!$A:$A),MATCH(E$1,[2]quests!$1:$1,0)-MATCH($B$1,[2]quests!$1:$1,0)+1),MATCH(E$1,[2]quests!$1:$1,0)-MATCH($B$1,[2]quests!$1:$1,0)+1,FALSE)</f>
        <v>【ロック】ビット/ソロ</v>
      </c>
      <c r="F48" s="5" t="str">
        <f ca="1">VLOOKUP($D48,OFFSET([2]stages!$A$1,0,0,COUNTA([2]stages!$A:$A),MATCH(F$1,[2]stages!$2:$2,0)-MATCH($D$1,[2]stages!$2:$2,0)+1),MATCH(F$1,[2]stages!$2:$2,0)-MATCH($D$1,[2]stages!$2:$2,0)+1,FALSE)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48" s="43">
        <v>5</v>
      </c>
      <c r="H48" s="16" t="str">
        <f t="shared" si="42"/>
        <v>14002_2-5</v>
      </c>
      <c r="I48" s="5">
        <f ca="1">VLOOKUP($H48,OFFSET(floors!$A$1,0,0,COUNTA(floors!$A:$A),MATCH(I$1,floors!$1:$1,0)-MATCH($H$1,floors!$1:$1,0)+1),MATCH(I$1,floors!$1:$1,0)-MATCH($H$1,floors!$1:$1,0)+1,FALSE)</f>
        <v>50</v>
      </c>
      <c r="J48" s="5">
        <f ca="1">VLOOKUP($H48,OFFSET(floors!$A$1,0,0,COUNTA(floors!$A:$A),MATCH(J$1,floors!$1:$1,0)-MATCH($H$1,floors!$1:$1,0)+1),MATCH(J$1,floors!$1:$1,0)-MATCH($H$1,floors!$1:$1,0)+1,FALSE)</f>
        <v>50</v>
      </c>
      <c r="K48" s="8" t="s">
        <v>142</v>
      </c>
      <c r="L48" s="45">
        <v>119</v>
      </c>
      <c r="M48" s="20" t="str">
        <f ca="1">VLOOKUP(L48,[4]enemies!$A:$B,2,FALSE)</f>
        <v>ゴールドダック</v>
      </c>
      <c r="N48" s="22" t="str">
        <f ca="1">VLOOKUP(L48,[4]enemies!$A:$D,4,FALSE)</f>
        <v>yellow</v>
      </c>
      <c r="O48" s="22" t="str">
        <f>VLOOKUP(L48,[5]characters!$A:$J,10,FALSE)</f>
        <v>Material</v>
      </c>
      <c r="P48" s="110" t="str">
        <f>VLOOKUP(L48,[5]characters!$A:$M,13,FALSE)</f>
        <v>unknown</v>
      </c>
      <c r="Q48" s="5">
        <f ca="1">VLOOKUP(L48,[4]enemies!$A:$X,24,FALSE)</f>
        <v>20</v>
      </c>
      <c r="R48" s="6">
        <v>2</v>
      </c>
      <c r="S48" s="29">
        <v>93.3</v>
      </c>
      <c r="T48" s="29">
        <v>41</v>
      </c>
      <c r="U48" s="6">
        <v>0</v>
      </c>
      <c r="V48" s="5" t="e">
        <f ca="1">VLOOKUP($W48,OFFSET([6]enemy_skill_sets!$B$1,0,0,COUNTA([6]enemy_skill_sets!$B:$B),MATCH(L$1,[6]enemy_skill_sets!$1:$1,0)-MATCH($V$1,[6]enemy_skill_sets!$1:$1,0)+2),MATCH(L$1,[6]enemy_skill_sets!$1:$1,0)-MATCH($V$1,[6]enemy_skill_sets!$1:$1,0)+2,FALSE)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48" s="5">
        <f ca="1">VLOOKUP($L48,OFFSET([4]enemies!$A$1,0,0,COUNTA([4]enemies!$A:$A),MATCH(W$1,[4]enemies!$1:$1,0)-MATCH($L$1,[4]enemies!$1:$1,0)+1),MATCH(W$1,[4]enemies!$1:$1,0)-MATCH($L$1,[4]enemies!$1:$1,0)+1,FALSE)</f>
        <v>0</v>
      </c>
      <c r="X48" s="7">
        <v>1</v>
      </c>
      <c r="Y48" s="7">
        <v>0</v>
      </c>
      <c r="Z48" s="7">
        <v>1</v>
      </c>
      <c r="AA48" s="20">
        <f ca="1">VLOOKUP($L48,OFFSET([4]enemies!$A$1,0,0,COUNTA([4]enemies!$A:$A),MATCH(AA$1,[4]enemies!$1:$1,0)-MATCH($L$1,[4]enemies!$1:$1,0)+1),MATCH(AA$1,[4]enemies!$1:$1,0)-MATCH($L$1,[4]enemies!$1:$1,0)+1,FALSE)</f>
        <v>3</v>
      </c>
      <c r="AB48" s="16">
        <f>L48</f>
        <v>119</v>
      </c>
      <c r="AC48" s="5" t="str">
        <f ca="1">VLOOKUP(AB48,[4]enemies!$A:$B,2,FALSE)</f>
        <v>ゴールドダック</v>
      </c>
      <c r="AD48" s="5">
        <f ca="1">VLOOKUP(AB48,[4]enemies!$A:$E,3,FALSE)</f>
        <v>5</v>
      </c>
      <c r="AE48" s="5" t="str">
        <f>VLOOKUP(AB48,[5]characters!$A:$J,10,FALSE)</f>
        <v>Material</v>
      </c>
      <c r="AF48" s="108">
        <v>1</v>
      </c>
      <c r="AG48" s="109">
        <f t="shared" ca="1" si="45"/>
        <v>5</v>
      </c>
      <c r="AH48" s="9">
        <v>100</v>
      </c>
      <c r="AI48" s="108">
        <v>0</v>
      </c>
      <c r="AJ48" s="108">
        <v>0</v>
      </c>
      <c r="AK48" s="108">
        <v>0</v>
      </c>
      <c r="AL48" s="108">
        <v>0</v>
      </c>
      <c r="AM48" s="108">
        <v>1</v>
      </c>
    </row>
    <row r="49" spans="1:39" ht="21" customHeight="1" x14ac:dyDescent="0.15">
      <c r="A49" s="17" t="str">
        <f t="shared" ca="1" si="40"/>
        <v>14002_2-5/118&lt;lv2&gt;s2</v>
      </c>
      <c r="B49" s="108">
        <v>14002</v>
      </c>
      <c r="C49" s="43">
        <v>2</v>
      </c>
      <c r="D49" s="16" t="str">
        <f t="shared" si="41"/>
        <v>14002_2</v>
      </c>
      <c r="E49" s="5" t="str">
        <f ca="1">VLOOKUP($B49,OFFSET([2]quests!$A$1,0,0,COUNTA([2]quests!$A:$A),MATCH(E$1,[2]quests!$1:$1,0)-MATCH($B$1,[2]quests!$1:$1,0)+1),MATCH(E$1,[2]quests!$1:$1,0)-MATCH($B$1,[2]quests!$1:$1,0)+1,FALSE)</f>
        <v>【ロック】ビット/ソロ</v>
      </c>
      <c r="F49" s="5" t="str">
        <f ca="1">VLOOKUP($D49,OFFSET([2]stages!$A$1,0,0,COUNTA([2]stages!$A:$A),MATCH(F$1,[2]stages!$2:$2,0)-MATCH($D$1,[2]stages!$2:$2,0)+1),MATCH(F$1,[2]stages!$2:$2,0)-MATCH($D$1,[2]stages!$2:$2,0)+1,FALSE)</f>
        <v>【上級】ゴールドカジノ （ハートなし）</v>
      </c>
      <c r="G49" s="43">
        <v>5</v>
      </c>
      <c r="H49" s="16" t="str">
        <f t="shared" si="42"/>
        <v>14002_2-5</v>
      </c>
      <c r="I49" s="5">
        <f ca="1">VLOOKUP($H49,OFFSET(floors!$A$1,0,0,COUNTA(floors!$A:$A),MATCH(I$1,floors!$1:$1,0)-MATCH($H$1,floors!$1:$1,0)+1),MATCH(I$1,floors!$1:$1,0)-MATCH($H$1,floors!$1:$1,0)+1,FALSE)</f>
        <v>50</v>
      </c>
      <c r="J49" s="5">
        <f ca="1">VLOOKUP($H49,OFFSET(floors!$A$1,0,0,COUNTA(floors!$A:$A),MATCH(J$1,floors!$1:$1,0)-MATCH($H$1,floors!$1:$1,0)+1),MATCH(J$1,floors!$1:$1,0)-MATCH($H$1,floors!$1:$1,0)+1,FALSE)</f>
        <v>50</v>
      </c>
      <c r="K49" s="8" t="s">
        <v>142</v>
      </c>
      <c r="L49" s="112">
        <v>118</v>
      </c>
      <c r="M49" s="20" t="str">
        <f ca="1">VLOOKUP(L49,[4]enemies!$A:$B,2,FALSE)</f>
        <v>ゴールドチック</v>
      </c>
      <c r="N49" s="22" t="str">
        <f ca="1">VLOOKUP(L49,[4]enemies!$A:$D,4,FALSE)</f>
        <v>yellow</v>
      </c>
      <c r="O49" s="22" t="str">
        <f>VLOOKUP(L49,[5]characters!$A:$J,10,FALSE)</f>
        <v>Material</v>
      </c>
      <c r="P49" s="110" t="str">
        <f>VLOOKUP(L49,[5]characters!$A:$M,13,FALSE)</f>
        <v>unknown</v>
      </c>
      <c r="Q49" s="5">
        <f ca="1">VLOOKUP(L49,[4]enemies!$A:$X,24,FALSE)</f>
        <v>15</v>
      </c>
      <c r="R49" s="6">
        <v>2</v>
      </c>
      <c r="S49" s="29">
        <v>28.8</v>
      </c>
      <c r="T49" s="29">
        <v>38.5</v>
      </c>
      <c r="U49" s="6">
        <v>0</v>
      </c>
      <c r="V49" s="5" t="e">
        <f ca="1">VLOOKUP($W49,OFFSET([6]enemy_skill_sets!$B$1,0,0,COUNTA([6]enemy_skill_sets!$B:$B),MATCH(L$1,[6]enemy_skill_sets!$1:$1,0)-MATCH($V$1,[6]enemy_skill_sets!$1:$1,0)+2),MATCH(L$1,[6]enemy_skill_sets!$1:$1,0)-MATCH($V$1,[6]enemy_skill_sets!$1:$1,0)+2,FALSE)</f>
        <v>#N/A</v>
      </c>
      <c r="W49" s="5">
        <f ca="1">VLOOKUP($L49,OFFSET([4]enemies!$A$1,0,0,COUNTA([4]enemies!$A:$A),MATCH(W$1,[4]enemies!$1:$1,0)-MATCH($L$1,[4]enemies!$1:$1,0)+1),MATCH(W$1,[4]enemies!$1:$1,0)-MATCH($L$1,[4]enemies!$1:$1,0)+1,FALSE)</f>
        <v>0</v>
      </c>
      <c r="X49" s="7">
        <v>2</v>
      </c>
      <c r="Y49" s="7">
        <v>0</v>
      </c>
      <c r="Z49" s="7">
        <v>0</v>
      </c>
      <c r="AA49" s="20">
        <f ca="1">VLOOKUP($L49,OFFSET([4]enemies!$A$1,0,0,COUNTA([4]enemies!$A:$A),MATCH(AA$1,[4]enemies!$1:$1,0)-MATCH($L$1,[4]enemies!$1:$1,0)+1),MATCH(AA$1,[4]enemies!$1:$1,0)-MATCH($L$1,[4]enemies!$1:$1,0)+1,FALSE)</f>
        <v>2</v>
      </c>
      <c r="AB49" s="16">
        <f t="shared" ref="AB49" si="50">L49</f>
        <v>118</v>
      </c>
      <c r="AC49" s="5" t="str">
        <f ca="1">VLOOKUP(AB49,[4]enemies!$A:$B,2,FALSE)</f>
        <v>ゴールドチック</v>
      </c>
      <c r="AD49" s="5">
        <f ca="1">VLOOKUP(AB49,[4]enemies!$A:$E,3,FALSE)</f>
        <v>4</v>
      </c>
      <c r="AE49" s="5" t="str">
        <f>VLOOKUP(AB49,[5]characters!$A:$J,10,FALSE)</f>
        <v>Material</v>
      </c>
      <c r="AF49" s="108">
        <v>1</v>
      </c>
      <c r="AG49" s="109">
        <f t="shared" ca="1" si="45"/>
        <v>4</v>
      </c>
      <c r="AH49" s="9">
        <v>0</v>
      </c>
      <c r="AI49" s="108">
        <v>0</v>
      </c>
      <c r="AJ49" s="108">
        <v>0</v>
      </c>
      <c r="AK49" s="108">
        <v>0</v>
      </c>
      <c r="AL49" s="108">
        <v>0</v>
      </c>
      <c r="AM49" s="108">
        <v>1</v>
      </c>
    </row>
    <row r="50" spans="1:39" ht="21" customHeight="1" x14ac:dyDescent="0.15">
      <c r="A50" s="17" t="str">
        <f t="shared" si="40"/>
        <v>14005_1-1/117&lt;lv52&gt;s1</v>
      </c>
      <c r="B50" s="99">
        <v>14005</v>
      </c>
      <c r="C50" s="100">
        <v>1</v>
      </c>
      <c r="D50" s="100" t="str">
        <f>B50&amp;"_"&amp;C50</f>
        <v>14005_1</v>
      </c>
      <c r="E50" s="101" t="str">
        <f ca="1">VLOOKUP($B50,OFFSET([2]quests!$A$1,0,0,COUNTA([2]quests!$A:$A),MATCH(E$1,[2]quests!$1:$1,0)-MATCH($B$1,[2]quests!$1:$1,0)+1),MATCH(E$1,[2]quests!$1:$1,0)-MATCH($B$1,[2]quests!$1:$1,0)+1,FALSE)</f>
        <v>【ロック】ビット/LINEマルチ</v>
      </c>
      <c r="F50" s="101" t="str">
        <f ca="1">VLOOKUP($D50,OFFSET([2]stages!$A$1,0,0,COUNTA([2]stages!$A:$A),MATCH(F$1,[2]stages!$2:$2,0)-MATCH($D$1,[2]stages!$2:$2,0)+1),MATCH(F$1,[2]stages!$2:$2,0)-MATCH($D$1,[2]stages!$2:$2,0)+1,FALSE)</f>
        <v>【超級】ハイローラー（ハートなし）</v>
      </c>
      <c r="G50" s="100">
        <v>1</v>
      </c>
      <c r="H50" s="16" t="str">
        <f>B50&amp;"_"&amp;C50&amp;"-"&amp;G50</f>
        <v>14005_1-1</v>
      </c>
      <c r="I50" s="5">
        <f ca="1">VLOOKUP($H50,OFFSET(floors!$A$1,0,0,COUNTA(floors!$A:$A),MATCH(I$1,floors!$1:$1,0)-MATCH($H$1,floors!$1:$1,0)+1),MATCH(I$1,floors!$1:$1,0)-MATCH($H$1,floors!$1:$1,0)+1,FALSE)</f>
        <v>60</v>
      </c>
      <c r="J50" s="5">
        <f ca="1">VLOOKUP($H50,OFFSET(floors!$A$1,0,0,COUNTA(floors!$A:$A),MATCH(J$1,floors!$1:$1,0)-MATCH($H$1,floors!$1:$1,0)+1),MATCH(J$1,floors!$1:$1,0)-MATCH($H$1,floors!$1:$1,0)+1,FALSE)</f>
        <v>60</v>
      </c>
      <c r="K50" s="8" t="s">
        <v>142</v>
      </c>
      <c r="L50" s="24">
        <v>117</v>
      </c>
      <c r="M50" s="20" t="str">
        <f ca="1">VLOOKUP($L50,OFFSET([4]enemies!$A$1,0,0,COUNTA([4]enemies!$A:$A),MATCH(M$1,[4]enemies!$1:$1,0)-MATCH($L$1,[4]enemies!$1:$1,0)+1),MATCH(M$1,[4]enemies!$1:$1,0)-MATCH($L$1,[4]enemies!$1:$1,0)+1,FALSE)</f>
        <v>ゴールドピヨピヨ</v>
      </c>
      <c r="N50" s="20" t="str">
        <f ca="1">VLOOKUP($L50,OFFSET([4]enemies!$A$1,0,0,COUNTA([4]enemies!$A:$A),MATCH(N$1,[4]enemies!$1:$1,0)-MATCH($L$1,[4]enemies!$1:$1,0)+1),MATCH(N$1,[4]enemies!$1:$1,0)-MATCH($L$1,[4]enemies!$1:$1,0)+1,FALSE)</f>
        <v>yellow</v>
      </c>
      <c r="O50" s="20" t="str">
        <f ca="1">VLOOKUP($L50,OFFSET([5]characters!$A$1,0,0,COUNTA([5]characters!$A:$A),MATCH(O$1,[5]characters!$1:$1,0)-MATCH($L$1,[5]characters!$1:$1,0)+1),MATCH(O$1,[5]characters!$1:$1,0)-MATCH($L$1,[5]characters!$1:$1,0)+1,FALSE)</f>
        <v>Material</v>
      </c>
      <c r="P50" s="20" t="str">
        <f ca="1">VLOOKUP($L50,OFFSET([4]enemies!$A$1,0,0,COUNTA([4]enemies!$A:$A),MATCH(P$1,[4]enemies!$1:$1,0)-MATCH($L$1,[4]enemies!$1:$1,0)+1),MATCH(P$1,[4]enemies!$1:$1,0)-MATCH($L$1,[4]enemies!$1:$1,0)+1,FALSE)</f>
        <v>unknown</v>
      </c>
      <c r="Q50" s="20">
        <f ca="1">VLOOKUP($L50,OFFSET([4]enemies!$A$1,0,0,COUNTA([4]enemies!$A:$A),MATCH(Q$1,[4]enemies!$1:$1,0)-MATCH($L$1,[4]enemies!$1:$1,0)+1),MATCH(Q$1,[4]enemies!$1:$1,0)-MATCH($L$1,[4]enemies!$1:$1,0)+1,FALSE)</f>
        <v>15</v>
      </c>
      <c r="R50" s="6">
        <v>52</v>
      </c>
      <c r="S50" s="29">
        <v>2</v>
      </c>
      <c r="T50" s="29">
        <v>5</v>
      </c>
      <c r="U50" s="6">
        <v>0</v>
      </c>
      <c r="V50" s="5" t="e">
        <f ca="1">VLOOKUP($W50,OFFSET([6]enemy_skill_sets!$B$1,0,0,COUNTA([6]enemy_skill_sets!$B:$B),MATCH(M$1,[6]enemy_skill_sets!$1:$1,0)-MATCH($W$1,[6]enemy_skill_sets!$1:$1,0)+2),MATCH(M$1,[6]enemy_skill_sets!$1:$1,0)-MATCH($W$1,[6]enemy_skill_sets!$1:$1,0)+2,FALSE)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50" s="5">
        <f ca="1">VLOOKUP($L50,OFFSET([4]enemies!$A$1,0,0,COUNTA([4]enemies!$A:$A),MATCH(W$1,[4]enemies!$1:$1,0)-MATCH($L$1,[4]enemies!$1:$1,0)+1),MATCH(W$1,[4]enemies!$1:$1,0)-MATCH($L$1,[4]enemies!$1:$1,0)+1,FALSE)</f>
        <v>0</v>
      </c>
      <c r="X50" s="7">
        <v>0</v>
      </c>
      <c r="Y50" s="7">
        <v>100</v>
      </c>
      <c r="Z50" s="7">
        <v>0</v>
      </c>
      <c r="AA50" s="58">
        <v>1</v>
      </c>
      <c r="AB50" s="2">
        <f>L50</f>
        <v>117</v>
      </c>
      <c r="AC50" s="5" t="str">
        <f ca="1">VLOOKUP($AB50,OFFSET([5]characters!$A$1,0,0,COUNTA([5]characters!$A:$A),MATCH(AC$1,[5]characters!$1:$1,0)-MATCH("character_id",[5]characters!$1:$1,0)+1),MATCH(AC$1,[5]characters!$1:$1,0)-MATCH("character_id",[5]characters!$1:$1,0)+1,FALSE)</f>
        <v>ゴールドピヨピヨ</v>
      </c>
      <c r="AD50" s="5">
        <f ca="1">VLOOKUP($AB50,OFFSET([5]characters!$A$1,0,0,COUNTA([5]characters!$A:$A),MATCH(AD$1,[5]characters!$1:$1,0)-MATCH("character_id",[5]characters!$1:$1,0)+1),MATCH(AD$1,[5]characters!$1:$1,0)-MATCH("character_id",[5]characters!$1:$1,0)+1,FALSE)</f>
        <v>3</v>
      </c>
      <c r="AE50" s="5" t="str">
        <f ca="1">VLOOKUP($AB50,OFFSET([5]characters!$A$1,0,0,COUNTA([5]characters!$A:$A),MATCH(AE$1,[5]characters!$1:$1,0)-MATCH("character_id",[5]characters!$1:$1,0)+1),MATCH(AE$1,[5]characters!$1:$1,0)-MATCH("character_id",[5]characters!$1:$1,0)+1,FALSE)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50" s="8">
        <v>1</v>
      </c>
      <c r="AG50" s="27">
        <f ca="1">AD50</f>
        <v>3</v>
      </c>
      <c r="AH50" s="9">
        <v>0</v>
      </c>
      <c r="AI50" s="8">
        <v>0</v>
      </c>
      <c r="AJ50" s="8">
        <v>0</v>
      </c>
      <c r="AK50" s="8">
        <v>0</v>
      </c>
      <c r="AL50" s="8">
        <v>0</v>
      </c>
      <c r="AM50" s="8">
        <v>1</v>
      </c>
    </row>
    <row r="51" spans="1:39" ht="21" customHeight="1" x14ac:dyDescent="0.15">
      <c r="A51" s="17" t="str">
        <f t="shared" ref="A51:A54" si="51">B51&amp;"_"&amp;C51&amp;"-"&amp;G51&amp;"/"&amp;L51&amp;"&lt;lv"&amp;R51&amp;"&gt;s"&amp;AA51</f>
        <v>14005_1-1/118&lt;lv52&gt;s1</v>
      </c>
      <c r="B51" s="99">
        <v>14005</v>
      </c>
      <c r="C51" s="100">
        <v>1</v>
      </c>
      <c r="D51" s="100" t="str">
        <f t="shared" ref="D51:D54" si="52">B51&amp;"_"&amp;C51</f>
        <v>14005_1</v>
      </c>
      <c r="E51" s="101" t="str">
        <f ca="1">VLOOKUP($B51,OFFSET([2]quests!$A$1,0,0,COUNTA([2]quests!$A:$A),MATCH(E$1,[2]quests!$1:$1,0)-MATCH($B$1,[2]quests!$1:$1,0)+1),MATCH(E$1,[2]quests!$1:$1,0)-MATCH($B$1,[2]quests!$1:$1,0)+1,FALSE)</f>
        <v>【ロック】ビット/LINEマルチ</v>
      </c>
      <c r="F51" s="101" t="str">
        <f ca="1">VLOOKUP($D51,OFFSET([2]stages!$A$1,0,0,COUNTA([2]stages!$A:$A),MATCH(F$1,[2]stages!$2:$2,0)-MATCH($D$1,[2]stages!$2:$2,0)+1),MATCH(F$1,[2]stages!$2:$2,0)-MATCH($D$1,[2]stages!$2:$2,0)+1,FALSE)</f>
        <v>【超級】ハイローラー（ハートなし）</v>
      </c>
      <c r="G51" s="100">
        <v>1</v>
      </c>
      <c r="H51" s="16" t="str">
        <f t="shared" ref="H51:H54" si="53">B51&amp;"_"&amp;C51&amp;"-"&amp;G51</f>
        <v>14005_1-1</v>
      </c>
      <c r="I51" s="5">
        <f ca="1">VLOOKUP($H51,OFFSET(floors!$A$1,0,0,COUNTA(floors!$A:$A),MATCH(I$1,floors!$1:$1,0)-MATCH($H$1,floors!$1:$1,0)+1),MATCH(I$1,floors!$1:$1,0)-MATCH($H$1,floors!$1:$1,0)+1,FALSE)</f>
        <v>60</v>
      </c>
      <c r="J51" s="5">
        <f ca="1">VLOOKUP($H51,OFFSET(floors!$A$1,0,0,COUNTA(floors!$A:$A),MATCH(J$1,floors!$1:$1,0)-MATCH($H$1,floors!$1:$1,0)+1),MATCH(J$1,floors!$1:$1,0)-MATCH($H$1,floors!$1:$1,0)+1,FALSE)</f>
        <v>60</v>
      </c>
      <c r="K51" s="8" t="s">
        <v>142</v>
      </c>
      <c r="L51" s="24">
        <v>118</v>
      </c>
      <c r="M51" s="20" t="str">
        <f ca="1">VLOOKUP($L51,OFFSET([4]enemies!$A$1,0,0,COUNTA([4]enemies!$A:$A),MATCH(M$1,[4]enemies!$1:$1,0)-MATCH($L$1,[4]enemies!$1:$1,0)+1),MATCH(M$1,[4]enemies!$1:$1,0)-MATCH($L$1,[4]enemies!$1:$1,0)+1,FALSE)</f>
        <v>ゴールドチック</v>
      </c>
      <c r="N51" s="20" t="str">
        <f ca="1">VLOOKUP($L51,OFFSET([4]enemies!$A$1,0,0,COUNTA([4]enemies!$A:$A),MATCH(N$1,[4]enemies!$1:$1,0)-MATCH($L$1,[4]enemies!$1:$1,0)+1),MATCH(N$1,[4]enemies!$1:$1,0)-MATCH($L$1,[4]enemies!$1:$1,0)+1,FALSE)</f>
        <v>yellow</v>
      </c>
      <c r="O51" s="20" t="str">
        <f ca="1">VLOOKUP($L51,OFFSET([5]characters!$A$1,0,0,COUNTA([5]characters!$A:$A),MATCH(O$1,[5]characters!$1:$1,0)-MATCH($L$1,[5]characters!$1:$1,0)+1),MATCH(O$1,[5]characters!$1:$1,0)-MATCH($L$1,[5]characters!$1:$1,0)+1,FALSE)</f>
        <v>Material</v>
      </c>
      <c r="P51" s="20" t="str">
        <f ca="1">VLOOKUP($L51,OFFSET([4]enemies!$A$1,0,0,COUNTA([4]enemies!$A:$A),MATCH(P$1,[4]enemies!$1:$1,0)-MATCH($L$1,[4]enemies!$1:$1,0)+1),MATCH(P$1,[4]enemies!$1:$1,0)-MATCH($L$1,[4]enemies!$1:$1,0)+1,FALSE)</f>
        <v>unknown</v>
      </c>
      <c r="Q51" s="20">
        <f ca="1">VLOOKUP($L51,OFFSET([4]enemies!$A$1,0,0,COUNTA([4]enemies!$A:$A),MATCH(Q$1,[4]enemies!$1:$1,0)-MATCH($L$1,[4]enemies!$1:$1,0)+1),MATCH(Q$1,[4]enemies!$1:$1,0)-MATCH($L$1,[4]enemies!$1:$1,0)+1,FALSE)</f>
        <v>15</v>
      </c>
      <c r="R51" s="6">
        <v>52</v>
      </c>
      <c r="S51" s="29">
        <v>5</v>
      </c>
      <c r="T51" s="29">
        <v>10</v>
      </c>
      <c r="U51" s="6">
        <v>0</v>
      </c>
      <c r="V51" s="5" t="e">
        <f ca="1">VLOOKUP($W51,OFFSET([6]enemy_skill_sets!$B$1,0,0,COUNTA([6]enemy_skill_sets!$B:$B),MATCH(M$1,[6]enemy_skill_sets!$1:$1,0)-MATCH($W$1,[6]enemy_skill_sets!$1:$1,0)+2),MATCH(M$1,[6]enemy_skill_sets!$1:$1,0)-MATCH($W$1,[6]enemy_skill_sets!$1:$1,0)+2,FALSE)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51" s="5">
        <f ca="1">VLOOKUP($L51,OFFSET([4]enemies!$A$1,0,0,COUNTA([4]enemies!$A:$A),MATCH(W$1,[4]enemies!$1:$1,0)-MATCH($L$1,[4]enemies!$1:$1,0)+1),MATCH(W$1,[4]enemies!$1:$1,0)-MATCH($L$1,[4]enemies!$1:$1,0)+1,FALSE)</f>
        <v>0</v>
      </c>
      <c r="X51" s="7">
        <v>0</v>
      </c>
      <c r="Y51" s="7">
        <v>100</v>
      </c>
      <c r="Z51" s="7">
        <v>0</v>
      </c>
      <c r="AA51" s="58">
        <v>1</v>
      </c>
      <c r="AB51" s="2">
        <f t="shared" ref="AB51:AB54" si="54">L51</f>
        <v>118</v>
      </c>
      <c r="AC51" s="5" t="str">
        <f ca="1">VLOOKUP($AB51,OFFSET([5]characters!$A$1,0,0,COUNTA([5]characters!$A:$A),MATCH(AC$1,[5]characters!$1:$1,0)-MATCH("character_id",[5]characters!$1:$1,0)+1),MATCH(AC$1,[5]characters!$1:$1,0)-MATCH("character_id",[5]characters!$1:$1,0)+1,FALSE)</f>
        <v>ゴールドチック</v>
      </c>
      <c r="AD51" s="5">
        <f ca="1">VLOOKUP($AB51,OFFSET([5]characters!$A$1,0,0,COUNTA([5]characters!$A:$A),MATCH(AD$1,[5]characters!$1:$1,0)-MATCH("character_id",[5]characters!$1:$1,0)+1),MATCH(AD$1,[5]characters!$1:$1,0)-MATCH("character_id",[5]characters!$1:$1,0)+1,FALSE)</f>
        <v>4</v>
      </c>
      <c r="AE51" s="5" t="str">
        <f ca="1">VLOOKUP($AB51,OFFSET([5]characters!$A$1,0,0,COUNTA([5]characters!$A:$A),MATCH(AE$1,[5]characters!$1:$1,0)-MATCH("character_id",[5]characters!$1:$1,0)+1),MATCH(AE$1,[5]characters!$1:$1,0)-MATCH("character_id",[5]characters!$1:$1,0)+1,FALSE)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51" s="8">
        <v>1</v>
      </c>
      <c r="AG51" s="27">
        <f t="shared" ref="AG51:AG54" ca="1" si="55">AD51</f>
        <v>4</v>
      </c>
      <c r="AH51" s="9">
        <v>100</v>
      </c>
      <c r="AI51" s="8">
        <v>0</v>
      </c>
      <c r="AJ51" s="8">
        <v>0</v>
      </c>
      <c r="AK51" s="8">
        <v>0</v>
      </c>
      <c r="AL51" s="8">
        <v>0</v>
      </c>
      <c r="AM51" s="8">
        <v>1</v>
      </c>
    </row>
    <row r="52" spans="1:39" ht="21" customHeight="1" x14ac:dyDescent="0.15">
      <c r="A52" s="17" t="str">
        <f t="shared" si="51"/>
        <v>14005_1-1/119&lt;lv52&gt;s2</v>
      </c>
      <c r="B52" s="99">
        <v>14005</v>
      </c>
      <c r="C52" s="100">
        <v>1</v>
      </c>
      <c r="D52" s="100" t="str">
        <f t="shared" si="52"/>
        <v>14005_1</v>
      </c>
      <c r="E52" s="101" t="str">
        <f ca="1">VLOOKUP($B52,OFFSET([2]quests!$A$1,0,0,COUNTA([2]quests!$A:$A),MATCH(E$1,[2]quests!$1:$1,0)-MATCH($B$1,[2]quests!$1:$1,0)+1),MATCH(E$1,[2]quests!$1:$1,0)-MATCH($B$1,[2]quests!$1:$1,0)+1,FALSE)</f>
        <v>【ロック】ビット/LINEマルチ</v>
      </c>
      <c r="F52" s="101" t="str">
        <f ca="1">VLOOKUP($D52,OFFSET([2]stages!$A$1,0,0,COUNTA([2]stages!$A:$A),MATCH(F$1,[2]stages!$2:$2,0)-MATCH($D$1,[2]stages!$2:$2,0)+1),MATCH(F$1,[2]stages!$2:$2,0)-MATCH($D$1,[2]stages!$2:$2,0)+1,FALSE)</f>
        <v>【超級】ハイローラー（ハートなし）</v>
      </c>
      <c r="G52" s="100">
        <v>1</v>
      </c>
      <c r="H52" s="16" t="str">
        <f t="shared" si="53"/>
        <v>14005_1-1</v>
      </c>
      <c r="I52" s="5">
        <f ca="1">VLOOKUP($H52,OFFSET(floors!$A$1,0,0,COUNTA(floors!$A:$A),MATCH(I$1,floors!$1:$1,0)-MATCH($H$1,floors!$1:$1,0)+1),MATCH(I$1,floors!$1:$1,0)-MATCH($H$1,floors!$1:$1,0)+1,FALSE)</f>
        <v>60</v>
      </c>
      <c r="J52" s="5">
        <f ca="1">VLOOKUP($H52,OFFSET(floors!$A$1,0,0,COUNTA(floors!$A:$A),MATCH(J$1,floors!$1:$1,0)-MATCH($H$1,floors!$1:$1,0)+1),MATCH(J$1,floors!$1:$1,0)-MATCH($H$1,floors!$1:$1,0)+1,FALSE)</f>
        <v>60</v>
      </c>
      <c r="K52" s="8" t="s">
        <v>142</v>
      </c>
      <c r="L52" s="24">
        <v>119</v>
      </c>
      <c r="M52" s="20" t="str">
        <f ca="1">VLOOKUP($L52,OFFSET([4]enemies!$A$1,0,0,COUNTA([4]enemies!$A:$A),MATCH(M$1,[4]enemies!$1:$1,0)-MATCH($L$1,[4]enemies!$1:$1,0)+1),MATCH(M$1,[4]enemies!$1:$1,0)-MATCH($L$1,[4]enemies!$1:$1,0)+1,FALSE)</f>
        <v>ゴールドダック</v>
      </c>
      <c r="N52" s="20" t="str">
        <f ca="1">VLOOKUP($L52,OFFSET([4]enemies!$A$1,0,0,COUNTA([4]enemies!$A:$A),MATCH(N$1,[4]enemies!$1:$1,0)-MATCH($L$1,[4]enemies!$1:$1,0)+1),MATCH(N$1,[4]enemies!$1:$1,0)-MATCH($L$1,[4]enemies!$1:$1,0)+1,FALSE)</f>
        <v>yellow</v>
      </c>
      <c r="O52" s="20" t="str">
        <f ca="1">VLOOKUP($L52,OFFSET([5]characters!$A$1,0,0,COUNTA([5]characters!$A:$A),MATCH(O$1,[5]characters!$1:$1,0)-MATCH($L$1,[5]characters!$1:$1,0)+1),MATCH(O$1,[5]characters!$1:$1,0)-MATCH($L$1,[5]characters!$1:$1,0)+1,FALSE)</f>
        <v>Material</v>
      </c>
      <c r="P52" s="20" t="str">
        <f ca="1">VLOOKUP($L52,OFFSET([4]enemies!$A$1,0,0,COUNTA([4]enemies!$A:$A),MATCH(P$1,[4]enemies!$1:$1,0)-MATCH($L$1,[4]enemies!$1:$1,0)+1),MATCH(P$1,[4]enemies!$1:$1,0)-MATCH($L$1,[4]enemies!$1:$1,0)+1,FALSE)</f>
        <v>unknown</v>
      </c>
      <c r="Q52" s="20">
        <f ca="1">VLOOKUP($L52,OFFSET([4]enemies!$A$1,0,0,COUNTA([4]enemies!$A:$A),MATCH(Q$1,[4]enemies!$1:$1,0)-MATCH($L$1,[4]enemies!$1:$1,0)+1),MATCH(Q$1,[4]enemies!$1:$1,0)-MATCH($L$1,[4]enemies!$1:$1,0)+1,FALSE)</f>
        <v>20</v>
      </c>
      <c r="R52" s="6">
        <v>52</v>
      </c>
      <c r="S52" s="29">
        <v>11</v>
      </c>
      <c r="T52" s="29">
        <v>10</v>
      </c>
      <c r="U52" s="6">
        <v>0</v>
      </c>
      <c r="V52" s="5" t="e">
        <f ca="1">VLOOKUP($W52,OFFSET([6]enemy_skill_sets!$B$1,0,0,COUNTA([6]enemy_skill_sets!$B:$B),MATCH(M$1,[6]enemy_skill_sets!$1:$1,0)-MATCH($W$1,[6]enemy_skill_sets!$1:$1,0)+2),MATCH(M$1,[6]enemy_skill_sets!$1:$1,0)-MATCH($W$1,[6]enemy_skill_sets!$1:$1,0)+2,FALSE)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52" s="5">
        <f ca="1">VLOOKUP($L52,OFFSET([4]enemies!$A$1,0,0,COUNTA([4]enemies!$A:$A),MATCH(W$1,[4]enemies!$1:$1,0)-MATCH($L$1,[4]enemies!$1:$1,0)+1),MATCH(W$1,[4]enemies!$1:$1,0)-MATCH($L$1,[4]enemies!$1:$1,0)+1,FALSE)</f>
        <v>0</v>
      </c>
      <c r="X52" s="7">
        <v>1</v>
      </c>
      <c r="Y52" s="7">
        <v>0</v>
      </c>
      <c r="Z52" s="7">
        <v>1</v>
      </c>
      <c r="AA52" s="58">
        <v>2</v>
      </c>
      <c r="AB52" s="2">
        <f t="shared" si="54"/>
        <v>119</v>
      </c>
      <c r="AC52" s="5" t="str">
        <f ca="1">VLOOKUP($AB52,OFFSET([5]characters!$A$1,0,0,COUNTA([5]characters!$A:$A),MATCH(AC$1,[5]characters!$1:$1,0)-MATCH("character_id",[5]characters!$1:$1,0)+1),MATCH(AC$1,[5]characters!$1:$1,0)-MATCH("character_id",[5]characters!$1:$1,0)+1,FALSE)</f>
        <v>ゴールドダック</v>
      </c>
      <c r="AD52" s="5">
        <f ca="1">VLOOKUP($AB52,OFFSET([5]characters!$A$1,0,0,COUNTA([5]characters!$A:$A),MATCH(AD$1,[5]characters!$1:$1,0)-MATCH("character_id",[5]characters!$1:$1,0)+1),MATCH(AD$1,[5]characters!$1:$1,0)-MATCH("character_id",[5]characters!$1:$1,0)+1,FALSE)</f>
        <v>5</v>
      </c>
      <c r="AE52" s="5" t="str">
        <f ca="1">VLOOKUP($AB52,OFFSET([5]characters!$A$1,0,0,COUNTA([5]characters!$A:$A),MATCH(AE$1,[5]characters!$1:$1,0)-MATCH("character_id",[5]characters!$1:$1,0)+1),MATCH(AE$1,[5]characters!$1:$1,0)-MATCH("character_id",[5]characters!$1:$1,0)+1,FALSE)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52" s="8">
        <v>1</v>
      </c>
      <c r="AG52" s="27">
        <f t="shared" ca="1" si="55"/>
        <v>5</v>
      </c>
      <c r="AH52" s="9">
        <v>100</v>
      </c>
      <c r="AI52" s="8">
        <v>0</v>
      </c>
      <c r="AJ52" s="8">
        <v>0</v>
      </c>
      <c r="AK52" s="8">
        <v>0</v>
      </c>
      <c r="AL52" s="8">
        <v>0</v>
      </c>
      <c r="AM52" s="8">
        <v>1</v>
      </c>
    </row>
    <row r="53" spans="1:39" ht="21" customHeight="1" x14ac:dyDescent="0.15">
      <c r="A53" s="17" t="str">
        <f t="shared" si="51"/>
        <v>14005_1-2/118&lt;lv52&gt;s1</v>
      </c>
      <c r="B53" s="99">
        <v>14005</v>
      </c>
      <c r="C53" s="100">
        <v>1</v>
      </c>
      <c r="D53" s="100" t="str">
        <f t="shared" si="52"/>
        <v>14005_1</v>
      </c>
      <c r="E53" s="101" t="str">
        <f ca="1">VLOOKUP($B53,OFFSET([2]quests!$A$1,0,0,COUNTA([2]quests!$A:$A),MATCH(E$1,[2]quests!$1:$1,0)-MATCH($B$1,[2]quests!$1:$1,0)+1),MATCH(E$1,[2]quests!$1:$1,0)-MATCH($B$1,[2]quests!$1:$1,0)+1,FALSE)</f>
        <v>【ロック】ビット/LINEマルチ</v>
      </c>
      <c r="F53" s="101" t="str">
        <f ca="1">VLOOKUP($D53,OFFSET([2]stages!$A$1,0,0,COUNTA([2]stages!$A:$A),MATCH(F$1,[2]stages!$2:$2,0)-MATCH($D$1,[2]stages!$2:$2,0)+1),MATCH(F$1,[2]stages!$2:$2,0)-MATCH($D$1,[2]stages!$2:$2,0)+1,FALSE)</f>
        <v>【超級】ハイローラー（ハートなし）</v>
      </c>
      <c r="G53" s="100">
        <v>2</v>
      </c>
      <c r="H53" s="16" t="str">
        <f t="shared" si="53"/>
        <v>14005_1-2</v>
      </c>
      <c r="I53" s="5">
        <f ca="1">VLOOKUP($H53,OFFSET(floors!$A$1,0,0,COUNTA(floors!$A:$A),MATCH(I$1,floors!$1:$1,0)-MATCH($H$1,floors!$1:$1,0)+1),MATCH(I$1,floors!$1:$1,0)-MATCH($H$1,floors!$1:$1,0)+1,FALSE)</f>
        <v>30</v>
      </c>
      <c r="J53" s="5">
        <f ca="1">VLOOKUP($H53,OFFSET(floors!$A$1,0,0,COUNTA(floors!$A:$A),MATCH(J$1,floors!$1:$1,0)-MATCH($H$1,floors!$1:$1,0)+1),MATCH(J$1,floors!$1:$1,0)-MATCH($H$1,floors!$1:$1,0)+1,FALSE)</f>
        <v>60</v>
      </c>
      <c r="K53" s="8" t="s">
        <v>142</v>
      </c>
      <c r="L53" s="24">
        <v>118</v>
      </c>
      <c r="M53" s="20" t="str">
        <f ca="1">VLOOKUP($L53,OFFSET([4]enemies!$A$1,0,0,COUNTA([4]enemies!$A:$A),MATCH(M$1,[4]enemies!$1:$1,0)-MATCH($L$1,[4]enemies!$1:$1,0)+1),MATCH(M$1,[4]enemies!$1:$1,0)-MATCH($L$1,[4]enemies!$1:$1,0)+1,FALSE)</f>
        <v>ゴールドチック</v>
      </c>
      <c r="N53" s="20" t="str">
        <f ca="1">VLOOKUP($L53,OFFSET([4]enemies!$A$1,0,0,COUNTA([4]enemies!$A:$A),MATCH(N$1,[4]enemies!$1:$1,0)-MATCH($L$1,[4]enemies!$1:$1,0)+1),MATCH(N$1,[4]enemies!$1:$1,0)-MATCH($L$1,[4]enemies!$1:$1,0)+1,FALSE)</f>
        <v>yellow</v>
      </c>
      <c r="O53" s="20" t="str">
        <f ca="1">VLOOKUP($L53,OFFSET([5]characters!$A$1,0,0,COUNTA([5]characters!$A:$A),MATCH(O$1,[5]characters!$1:$1,0)-MATCH($L$1,[5]characters!$1:$1,0)+1),MATCH(O$1,[5]characters!$1:$1,0)-MATCH($L$1,[5]characters!$1:$1,0)+1,FALSE)</f>
        <v>Material</v>
      </c>
      <c r="P53" s="20" t="str">
        <f ca="1">VLOOKUP($L53,OFFSET([4]enemies!$A$1,0,0,COUNTA([4]enemies!$A:$A),MATCH(P$1,[4]enemies!$1:$1,0)-MATCH($L$1,[4]enemies!$1:$1,0)+1),MATCH(P$1,[4]enemies!$1:$1,0)-MATCH($L$1,[4]enemies!$1:$1,0)+1,FALSE)</f>
        <v>unknown</v>
      </c>
      <c r="Q53" s="20">
        <f ca="1">VLOOKUP($L53,OFFSET([4]enemies!$A$1,0,0,COUNTA([4]enemies!$A:$A),MATCH(Q$1,[4]enemies!$1:$1,0)-MATCH($L$1,[4]enemies!$1:$1,0)+1),MATCH(Q$1,[4]enemies!$1:$1,0)-MATCH($L$1,[4]enemies!$1:$1,0)+1,FALSE)</f>
        <v>15</v>
      </c>
      <c r="R53" s="6">
        <v>52</v>
      </c>
      <c r="S53" s="29">
        <v>5</v>
      </c>
      <c r="T53" s="29">
        <v>10</v>
      </c>
      <c r="U53" s="6">
        <v>0</v>
      </c>
      <c r="V53" s="5" t="e">
        <f ca="1">VLOOKUP($W53,OFFSET([6]enemy_skill_sets!$B$1,0,0,COUNTA([6]enemy_skill_sets!$B:$B),MATCH(M$1,[6]enemy_skill_sets!$1:$1,0)-MATCH($W$1,[6]enemy_skill_sets!$1:$1,0)+2),MATCH(M$1,[6]enemy_skill_sets!$1:$1,0)-MATCH($W$1,[6]enemy_skill_sets!$1:$1,0)+2,FALSE)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53" s="5">
        <f ca="1">VLOOKUP($L53,OFFSET([4]enemies!$A$1,0,0,COUNTA([4]enemies!$A:$A),MATCH(W$1,[4]enemies!$1:$1,0)-MATCH($L$1,[4]enemies!$1:$1,0)+1),MATCH(W$1,[4]enemies!$1:$1,0)-MATCH($L$1,[4]enemies!$1:$1,0)+1,FALSE)</f>
        <v>0</v>
      </c>
      <c r="X53" s="7">
        <v>0</v>
      </c>
      <c r="Y53" s="7">
        <v>100</v>
      </c>
      <c r="Z53" s="7">
        <v>0</v>
      </c>
      <c r="AA53" s="58">
        <v>1</v>
      </c>
      <c r="AB53" s="2">
        <f t="shared" si="54"/>
        <v>118</v>
      </c>
      <c r="AC53" s="5" t="str">
        <f ca="1">VLOOKUP($AB53,OFFSET([5]characters!$A$1,0,0,COUNTA([5]characters!$A:$A),MATCH(AC$1,[5]characters!$1:$1,0)-MATCH("character_id",[5]characters!$1:$1,0)+1),MATCH(AC$1,[5]characters!$1:$1,0)-MATCH("character_id",[5]characters!$1:$1,0)+1,FALSE)</f>
        <v>ゴールドチック</v>
      </c>
      <c r="AD53" s="5">
        <f ca="1">VLOOKUP($AB53,OFFSET([5]characters!$A$1,0,0,COUNTA([5]characters!$A:$A),MATCH(AD$1,[5]characters!$1:$1,0)-MATCH("character_id",[5]characters!$1:$1,0)+1),MATCH(AD$1,[5]characters!$1:$1,0)-MATCH("character_id",[5]characters!$1:$1,0)+1,FALSE)</f>
        <v>4</v>
      </c>
      <c r="AE53" s="5" t="str">
        <f ca="1">VLOOKUP($AB53,OFFSET([5]characters!$A$1,0,0,COUNTA([5]characters!$A:$A),MATCH(AE$1,[5]characters!$1:$1,0)-MATCH("character_id",[5]characters!$1:$1,0)+1),MATCH(AE$1,[5]characters!$1:$1,0)-MATCH("character_id",[5]characters!$1:$1,0)+1,FALSE)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53" s="8">
        <v>1</v>
      </c>
      <c r="AG53" s="27">
        <f t="shared" ca="1" si="55"/>
        <v>4</v>
      </c>
      <c r="AH53" s="9">
        <v>0</v>
      </c>
      <c r="AI53" s="8">
        <v>0</v>
      </c>
      <c r="AJ53" s="8">
        <v>0</v>
      </c>
      <c r="AK53" s="8">
        <v>0</v>
      </c>
      <c r="AL53" s="8">
        <v>0</v>
      </c>
      <c r="AM53" s="8">
        <v>1</v>
      </c>
    </row>
    <row r="54" spans="1:39" ht="21" customHeight="1" x14ac:dyDescent="0.15">
      <c r="A54" s="17" t="str">
        <f t="shared" si="51"/>
        <v>14005_1-2/119&lt;lv52&gt;s2</v>
      </c>
      <c r="B54" s="99">
        <v>14005</v>
      </c>
      <c r="C54" s="100">
        <v>1</v>
      </c>
      <c r="D54" s="100" t="str">
        <f t="shared" si="52"/>
        <v>14005_1</v>
      </c>
      <c r="E54" s="101" t="str">
        <f ca="1">VLOOKUP($B54,OFFSET([2]quests!$A$1,0,0,COUNTA([2]quests!$A:$A),MATCH(E$1,[2]quests!$1:$1,0)-MATCH($B$1,[2]quests!$1:$1,0)+1),MATCH(E$1,[2]quests!$1:$1,0)-MATCH($B$1,[2]quests!$1:$1,0)+1,FALSE)</f>
        <v>【ロック】ビット/LINEマルチ</v>
      </c>
      <c r="F54" s="101" t="str">
        <f ca="1">VLOOKUP($D54,OFFSET([2]stages!$A$1,0,0,COUNTA([2]stages!$A:$A),MATCH(F$1,[2]stages!$2:$2,0)-MATCH($D$1,[2]stages!$2:$2,0)+1),MATCH(F$1,[2]stages!$2:$2,0)-MATCH($D$1,[2]stages!$2:$2,0)+1,FALSE)</f>
        <v>【超級】ハイローラー（ハートなし）</v>
      </c>
      <c r="G54" s="100">
        <v>2</v>
      </c>
      <c r="H54" s="16" t="str">
        <f t="shared" si="53"/>
        <v>14005_1-2</v>
      </c>
      <c r="I54" s="5">
        <f ca="1">VLOOKUP($H54,OFFSET(floors!$A$1,0,0,COUNTA(floors!$A:$A),MATCH(I$1,floors!$1:$1,0)-MATCH($H$1,floors!$1:$1,0)+1),MATCH(I$1,floors!$1:$1,0)-MATCH($H$1,floors!$1:$1,0)+1,FALSE)</f>
        <v>30</v>
      </c>
      <c r="J54" s="5">
        <f ca="1">VLOOKUP($H54,OFFSET(floors!$A$1,0,0,COUNTA(floors!$A:$A),MATCH(J$1,floors!$1:$1,0)-MATCH($H$1,floors!$1:$1,0)+1),MATCH(J$1,floors!$1:$1,0)-MATCH($H$1,floors!$1:$1,0)+1,FALSE)</f>
        <v>60</v>
      </c>
      <c r="K54" s="8" t="s">
        <v>142</v>
      </c>
      <c r="L54" s="24">
        <v>119</v>
      </c>
      <c r="M54" s="20" t="str">
        <f ca="1">VLOOKUP($L54,OFFSET([4]enemies!$A$1,0,0,COUNTA([4]enemies!$A:$A),MATCH(M$1,[4]enemies!$1:$1,0)-MATCH($L$1,[4]enemies!$1:$1,0)+1),MATCH(M$1,[4]enemies!$1:$1,0)-MATCH($L$1,[4]enemies!$1:$1,0)+1,FALSE)</f>
        <v>ゴールドダック</v>
      </c>
      <c r="N54" s="20" t="str">
        <f ca="1">VLOOKUP($L54,OFFSET([4]enemies!$A$1,0,0,COUNTA([4]enemies!$A:$A),MATCH(N$1,[4]enemies!$1:$1,0)-MATCH($L$1,[4]enemies!$1:$1,0)+1),MATCH(N$1,[4]enemies!$1:$1,0)-MATCH($L$1,[4]enemies!$1:$1,0)+1,FALSE)</f>
        <v>yellow</v>
      </c>
      <c r="O54" s="20" t="str">
        <f ca="1">VLOOKUP($L54,OFFSET([5]characters!$A$1,0,0,COUNTA([5]characters!$A:$A),MATCH(O$1,[5]characters!$1:$1,0)-MATCH($L$1,[5]characters!$1:$1,0)+1),MATCH(O$1,[5]characters!$1:$1,0)-MATCH($L$1,[5]characters!$1:$1,0)+1,FALSE)</f>
        <v>Material</v>
      </c>
      <c r="P54" s="20" t="str">
        <f ca="1">VLOOKUP($L54,OFFSET([4]enemies!$A$1,0,0,COUNTA([4]enemies!$A:$A),MATCH(P$1,[4]enemies!$1:$1,0)-MATCH($L$1,[4]enemies!$1:$1,0)+1),MATCH(P$1,[4]enemies!$1:$1,0)-MATCH($L$1,[4]enemies!$1:$1,0)+1,FALSE)</f>
        <v>unknown</v>
      </c>
      <c r="Q54" s="20">
        <f ca="1">VLOOKUP($L54,OFFSET([4]enemies!$A$1,0,0,COUNTA([4]enemies!$A:$A),MATCH(Q$1,[4]enemies!$1:$1,0)-MATCH($L$1,[4]enemies!$1:$1,0)+1),MATCH(Q$1,[4]enemies!$1:$1,0)-MATCH($L$1,[4]enemies!$1:$1,0)+1,FALSE)</f>
        <v>20</v>
      </c>
      <c r="R54" s="6">
        <v>52</v>
      </c>
      <c r="S54" s="29">
        <v>11</v>
      </c>
      <c r="T54" s="29">
        <v>10</v>
      </c>
      <c r="U54" s="6">
        <v>0</v>
      </c>
      <c r="V54" s="5" t="e">
        <f ca="1">VLOOKUP($W54,OFFSET([6]enemy_skill_sets!$B$1,0,0,COUNTA([6]enemy_skill_sets!$B:$B),MATCH(M$1,[6]enemy_skill_sets!$1:$1,0)-MATCH($W$1,[6]enemy_skill_sets!$1:$1,0)+2),MATCH(M$1,[6]enemy_skill_sets!$1:$1,0)-MATCH($W$1,[6]enemy_skill_sets!$1:$1,0)+2,FALSE)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54" s="5">
        <f ca="1">VLOOKUP($L54,OFFSET([4]enemies!$A$1,0,0,COUNTA([4]enemies!$A:$A),MATCH(W$1,[4]enemies!$1:$1,0)-MATCH($L$1,[4]enemies!$1:$1,0)+1),MATCH(W$1,[4]enemies!$1:$1,0)-MATCH($L$1,[4]enemies!$1:$1,0)+1,FALSE)</f>
        <v>0</v>
      </c>
      <c r="X54" s="7">
        <v>1</v>
      </c>
      <c r="Y54" s="7">
        <v>0</v>
      </c>
      <c r="Z54" s="7">
        <v>1</v>
      </c>
      <c r="AA54" s="58">
        <v>2</v>
      </c>
      <c r="AB54" s="2">
        <f t="shared" si="54"/>
        <v>119</v>
      </c>
      <c r="AC54" s="5" t="str">
        <f ca="1">VLOOKUP($AB54,OFFSET([5]characters!$A$1,0,0,COUNTA([5]characters!$A:$A),MATCH(AC$1,[5]characters!$1:$1,0)-MATCH("character_id",[5]characters!$1:$1,0)+1),MATCH(AC$1,[5]characters!$1:$1,0)-MATCH("character_id",[5]characters!$1:$1,0)+1,FALSE)</f>
        <v>ゴールドダック</v>
      </c>
      <c r="AD54" s="5">
        <f ca="1">VLOOKUP($AB54,OFFSET([5]characters!$A$1,0,0,COUNTA([5]characters!$A:$A),MATCH(AD$1,[5]characters!$1:$1,0)-MATCH("character_id",[5]characters!$1:$1,0)+1),MATCH(AD$1,[5]characters!$1:$1,0)-MATCH("character_id",[5]characters!$1:$1,0)+1,FALSE)</f>
        <v>5</v>
      </c>
      <c r="AE54" s="5" t="str">
        <f ca="1">VLOOKUP($AB54,OFFSET([5]characters!$A$1,0,0,COUNTA([5]characters!$A:$A),MATCH(AE$1,[5]characters!$1:$1,0)-MATCH("character_id",[5]characters!$1:$1,0)+1),MATCH(AE$1,[5]characters!$1:$1,0)-MATCH("character_id",[5]characters!$1:$1,0)+1,FALSE)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54" s="8">
        <v>1</v>
      </c>
      <c r="AG54" s="27">
        <f t="shared" ca="1" si="55"/>
        <v>5</v>
      </c>
      <c r="AH54" s="9">
        <v>100</v>
      </c>
      <c r="AI54" s="8">
        <v>0</v>
      </c>
      <c r="AJ54" s="8">
        <v>0</v>
      </c>
      <c r="AK54" s="8">
        <v>0</v>
      </c>
      <c r="AL54" s="8">
        <v>0</v>
      </c>
      <c r="AM54" s="8">
        <v>1</v>
      </c>
    </row>
    <row r="55" spans="1:39" ht="21" customHeight="1" x14ac:dyDescent="0.15">
      <c r="A55" s="17" t="str">
        <f>B55&amp;"_"&amp;C55&amp;"-"&amp;G55&amp;"/"&amp;L55&amp;"&lt;lv"&amp;R55&amp;"&gt;s"&amp;AA55</f>
        <v>14005_1-3/124&lt;lv1&gt;s2</v>
      </c>
      <c r="B55" s="99">
        <v>14005</v>
      </c>
      <c r="C55" s="100">
        <v>1</v>
      </c>
      <c r="D55" s="100" t="str">
        <f>B55&amp;"_"&amp;C55</f>
        <v>14005_1</v>
      </c>
      <c r="E55" s="101" t="str">
        <f ca="1">VLOOKUP($B55,OFFSET([2]quests!$A$1,0,0,COUNTA([2]quests!$A:$A),MATCH(E$1,[2]quests!$1:$1,0)-MATCH($B$1,[2]quests!$1:$1,0)+1),MATCH(E$1,[2]quests!$1:$1,0)-MATCH($B$1,[2]quests!$1:$1,0)+1,FALSE)</f>
        <v>【ロック】ビット/LINEマルチ</v>
      </c>
      <c r="F55" s="101" t="str">
        <f ca="1">VLOOKUP($D55,OFFSET([2]stages!$A$1,0,0,COUNTA([2]stages!$A:$A),MATCH(F$1,[2]stages!$2:$2,0)-MATCH($D$1,[2]stages!$2:$2,0)+1),MATCH(F$1,[2]stages!$2:$2,0)-MATCH($D$1,[2]stages!$2:$2,0)+1,FALSE)</f>
        <v>【超級】ハイローラー（ハートなし）</v>
      </c>
      <c r="G55" s="100">
        <v>3</v>
      </c>
      <c r="H55" s="16" t="str">
        <f>B55&amp;"_"&amp;C55&amp;"-"&amp;G55</f>
        <v>14005_1-3</v>
      </c>
      <c r="I55" s="5">
        <f ca="1">VLOOKUP($H55,OFFSET(floors!$A$1,0,0,COUNTA(floors!$A:$A),MATCH(I$1,floors!$1:$1,0)-MATCH($H$1,floors!$1:$1,0)+1),MATCH(I$1,floors!$1:$1,0)-MATCH($H$1,floors!$1:$1,0)+1,FALSE)</f>
        <v>30</v>
      </c>
      <c r="J55" s="5">
        <f ca="1">VLOOKUP($H55,OFFSET(floors!$A$1,0,0,COUNTA(floors!$A:$A),MATCH(J$1,floors!$1:$1,0)-MATCH($H$1,floors!$1:$1,0)+1),MATCH(J$1,floors!$1:$1,0)-MATCH($H$1,floors!$1:$1,0)+1,FALSE)</f>
        <v>40</v>
      </c>
      <c r="K55" s="8" t="s">
        <v>142</v>
      </c>
      <c r="L55" s="24">
        <v>124</v>
      </c>
      <c r="M55" s="20" t="str">
        <f ca="1">VLOOKUP($L55,OFFSET([4]enemies!$A$1,0,0,COUNTA([4]enemies!$A:$A),MATCH(M$1,[4]enemies!$1:$1,0)-MATCH($L$1,[4]enemies!$1:$1,0)+1),MATCH(M$1,[4]enemies!$1:$1,0)-MATCH($L$1,[4]enemies!$1:$1,0)+1,FALSE)</f>
        <v>黄金の果実</v>
      </c>
      <c r="N55" s="20" t="str">
        <f ca="1">VLOOKUP($L55,OFFSET([4]enemies!$A$1,0,0,COUNTA([4]enemies!$A:$A),MATCH(N$1,[4]enemies!$1:$1,0)-MATCH($L$1,[4]enemies!$1:$1,0)+1),MATCH(N$1,[4]enemies!$1:$1,0)-MATCH($L$1,[4]enemies!$1:$1,0)+1,FALSE)</f>
        <v>yellow</v>
      </c>
      <c r="O55" s="20" t="str">
        <f ca="1">VLOOKUP($L55,OFFSET([5]characters!$A$1,0,0,COUNTA([5]characters!$A:$A),MATCH(O$1,[5]characters!$1:$1,0)-MATCH($L$1,[5]characters!$1:$1,0)+1),MATCH(O$1,[5]characters!$1:$1,0)-MATCH($L$1,[5]characters!$1:$1,0)+1,FALSE)</f>
        <v>Material</v>
      </c>
      <c r="P55" s="20" t="str">
        <f ca="1">VLOOKUP($L55,OFFSET([4]enemies!$A$1,0,0,COUNTA([4]enemies!$A:$A),MATCH(P$1,[4]enemies!$1:$1,0)-MATCH($L$1,[4]enemies!$1:$1,0)+1),MATCH(P$1,[4]enemies!$1:$1,0)-MATCH($L$1,[4]enemies!$1:$1,0)+1,FALSE)</f>
        <v>unknown</v>
      </c>
      <c r="Q55" s="20">
        <f ca="1">VLOOKUP($L55,OFFSET([4]enemies!$A$1,0,0,COUNTA([4]enemies!$A:$A),MATCH(Q$1,[4]enemies!$1:$1,0)-MATCH($L$1,[4]enemies!$1:$1,0)+1),MATCH(Q$1,[4]enemies!$1:$1,0)-MATCH($L$1,[4]enemies!$1:$1,0)+1,FALSE)</f>
        <v>20</v>
      </c>
      <c r="R55" s="6">
        <v>1</v>
      </c>
      <c r="S55" s="29">
        <v>44</v>
      </c>
      <c r="T55" s="29">
        <v>15</v>
      </c>
      <c r="U55" s="6">
        <v>0</v>
      </c>
      <c r="V55" s="5" t="str">
        <f ca="1">VLOOKUP($W55,OFFSET(enemy_skill_sets!$B$1,0,0,COUNTA(enemy_skill_sets!$B:$B),MATCH(M$1,enemy_skill_sets!$1:$1,0)-MATCH($W$1,enemy_skill_sets!$1:$1,0)+2),MATCH(M$1,enemy_skill_sets!$1:$1,0)-MATCH($W$1,enemy_skill_sets!$1:$1,0)+2,FALSE)</f>
        <v>この果実はドロップしないが_x000D_倒すと大量ビットが手に入る！</v>
      </c>
      <c r="W55" s="57">
        <v>14002999</v>
      </c>
      <c r="X55" s="7">
        <v>0</v>
      </c>
      <c r="Y55" s="7">
        <v>100</v>
      </c>
      <c r="Z55" s="7">
        <v>0</v>
      </c>
      <c r="AA55" s="58">
        <v>2</v>
      </c>
      <c r="AB55" s="2">
        <f>L55</f>
        <v>124</v>
      </c>
      <c r="AC55" s="5" t="str">
        <f ca="1">VLOOKUP($AB55,OFFSET([5]characters!$A$1,0,0,COUNTA([5]characters!$A:$A),MATCH(AC$1,[5]characters!$1:$1,0)-MATCH("character_id",[5]characters!$1:$1,0)+1),MATCH(AC$1,[5]characters!$1:$1,0)-MATCH("character_id",[5]characters!$1:$1,0)+1,FALSE)</f>
        <v>黄金の果実</v>
      </c>
      <c r="AD55" s="5">
        <f ca="1">VLOOKUP($AB55,OFFSET([5]characters!$A$1,0,0,COUNTA([5]characters!$A:$A),MATCH(AD$1,[5]characters!$1:$1,0)-MATCH("character_id",[5]characters!$1:$1,0)+1),MATCH(AD$1,[5]characters!$1:$1,0)-MATCH("character_id",[5]characters!$1:$1,0)+1,FALSE)</f>
        <v>3</v>
      </c>
      <c r="AE55" s="5" t="str">
        <f ca="1">VLOOKUP($AB55,OFFSET([5]characters!$A$1,0,0,COUNTA([5]characters!$A:$A),MATCH(AE$1,[5]characters!$1:$1,0)-MATCH("character_id",[5]characters!$1:$1,0)+1),MATCH(AE$1,[5]characters!$1:$1,0)-MATCH("character_id",[5]characters!$1:$1,0)+1,FALSE)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55" s="8">
        <v>1</v>
      </c>
      <c r="AG55" s="27">
        <f ca="1">AD55</f>
        <v>3</v>
      </c>
      <c r="AH55" s="9">
        <v>0</v>
      </c>
      <c r="AI55" s="8">
        <v>0</v>
      </c>
      <c r="AJ55" s="8">
        <v>0</v>
      </c>
      <c r="AK55" s="8">
        <v>0</v>
      </c>
      <c r="AL55" s="8">
        <v>0</v>
      </c>
      <c r="AM55" s="8">
        <v>1</v>
      </c>
    </row>
    <row r="56" spans="1:39" ht="21" customHeight="1" x14ac:dyDescent="0.15">
      <c r="A56" s="17" t="str">
        <f t="shared" ref="A56:A67" si="56">B56&amp;"_"&amp;C56&amp;"-"&amp;G56&amp;"/"&amp;L56&amp;"&lt;lv"&amp;R56&amp;"&gt;s"&amp;AA56</f>
        <v>14005_1-3/119&lt;lv52&gt;s2</v>
      </c>
      <c r="B56" s="99">
        <v>14005</v>
      </c>
      <c r="C56" s="100">
        <v>1</v>
      </c>
      <c r="D56" s="100" t="str">
        <f t="shared" ref="D56:D67" si="57">B56&amp;"_"&amp;C56</f>
        <v>14005_1</v>
      </c>
      <c r="E56" s="101" t="str">
        <f ca="1">VLOOKUP($B56,OFFSET([2]quests!$A$1,0,0,COUNTA([2]quests!$A:$A),MATCH(E$1,[2]quests!$1:$1,0)-MATCH($B$1,[2]quests!$1:$1,0)+1),MATCH(E$1,[2]quests!$1:$1,0)-MATCH($B$1,[2]quests!$1:$1,0)+1,FALSE)</f>
        <v>【ロック】ビット/LINEマルチ</v>
      </c>
      <c r="F56" s="101" t="str">
        <f ca="1">VLOOKUP($D56,OFFSET([2]stages!$A$1,0,0,COUNTA([2]stages!$A:$A),MATCH(F$1,[2]stages!$2:$2,0)-MATCH($D$1,[2]stages!$2:$2,0)+1),MATCH(F$1,[2]stages!$2:$2,0)-MATCH($D$1,[2]stages!$2:$2,0)+1,FALSE)</f>
        <v>【超級】ハイローラー（ハートなし）</v>
      </c>
      <c r="G56" s="100">
        <v>3</v>
      </c>
      <c r="H56" s="16" t="str">
        <f t="shared" ref="H56:H67" si="58">B56&amp;"_"&amp;C56&amp;"-"&amp;G56</f>
        <v>14005_1-3</v>
      </c>
      <c r="I56" s="5">
        <f ca="1">VLOOKUP($H56,OFFSET(floors!$A$1,0,0,COUNTA(floors!$A:$A),MATCH(I$1,floors!$1:$1,0)-MATCH($H$1,floors!$1:$1,0)+1),MATCH(I$1,floors!$1:$1,0)-MATCH($H$1,floors!$1:$1,0)+1,FALSE)</f>
        <v>30</v>
      </c>
      <c r="J56" s="5">
        <f ca="1">VLOOKUP($H56,OFFSET(floors!$A$1,0,0,COUNTA(floors!$A:$A),MATCH(J$1,floors!$1:$1,0)-MATCH($H$1,floors!$1:$1,0)+1),MATCH(J$1,floors!$1:$1,0)-MATCH($H$1,floors!$1:$1,0)+1,FALSE)</f>
        <v>40</v>
      </c>
      <c r="K56" s="8" t="s">
        <v>142</v>
      </c>
      <c r="L56" s="24">
        <v>119</v>
      </c>
      <c r="M56" s="20" t="str">
        <f ca="1">VLOOKUP($L56,OFFSET([4]enemies!$A$1,0,0,COUNTA([4]enemies!$A:$A),MATCH(M$1,[4]enemies!$1:$1,0)-MATCH($L$1,[4]enemies!$1:$1,0)+1),MATCH(M$1,[4]enemies!$1:$1,0)-MATCH($L$1,[4]enemies!$1:$1,0)+1,FALSE)</f>
        <v>ゴールドダック</v>
      </c>
      <c r="N56" s="20" t="str">
        <f ca="1">VLOOKUP($L56,OFFSET([4]enemies!$A$1,0,0,COUNTA([4]enemies!$A:$A),MATCH(N$1,[4]enemies!$1:$1,0)-MATCH($L$1,[4]enemies!$1:$1,0)+1),MATCH(N$1,[4]enemies!$1:$1,0)-MATCH($L$1,[4]enemies!$1:$1,0)+1,FALSE)</f>
        <v>yellow</v>
      </c>
      <c r="O56" s="20" t="str">
        <f ca="1">VLOOKUP($L56,OFFSET([5]characters!$A$1,0,0,COUNTA([5]characters!$A:$A),MATCH(O$1,[5]characters!$1:$1,0)-MATCH($L$1,[5]characters!$1:$1,0)+1),MATCH(O$1,[5]characters!$1:$1,0)-MATCH($L$1,[5]characters!$1:$1,0)+1,FALSE)</f>
        <v>Material</v>
      </c>
      <c r="P56" s="20" t="str">
        <f ca="1">VLOOKUP($L56,OFFSET([4]enemies!$A$1,0,0,COUNTA([4]enemies!$A:$A),MATCH(P$1,[4]enemies!$1:$1,0)-MATCH($L$1,[4]enemies!$1:$1,0)+1),MATCH(P$1,[4]enemies!$1:$1,0)-MATCH($L$1,[4]enemies!$1:$1,0)+1,FALSE)</f>
        <v>unknown</v>
      </c>
      <c r="Q56" s="20">
        <f ca="1">VLOOKUP($L56,OFFSET([4]enemies!$A$1,0,0,COUNTA([4]enemies!$A:$A),MATCH(Q$1,[4]enemies!$1:$1,0)-MATCH($L$1,[4]enemies!$1:$1,0)+1),MATCH(Q$1,[4]enemies!$1:$1,0)-MATCH($L$1,[4]enemies!$1:$1,0)+1,FALSE)</f>
        <v>20</v>
      </c>
      <c r="R56" s="6">
        <v>52</v>
      </c>
      <c r="S56" s="29">
        <v>11</v>
      </c>
      <c r="T56" s="29">
        <v>10</v>
      </c>
      <c r="U56" s="6">
        <v>0</v>
      </c>
      <c r="V56" s="5" t="e">
        <f ca="1">VLOOKUP($W56,OFFSET([6]enemy_skill_sets!$B$1,0,0,COUNTA([6]enemy_skill_sets!$B:$B),MATCH(M$1,[6]enemy_skill_sets!$1:$1,0)-MATCH($W$1,[6]enemy_skill_sets!$1:$1,0)+2),MATCH(M$1,[6]enemy_skill_sets!$1:$1,0)-MATCH($W$1,[6]enemy_skill_sets!$1:$1,0)+2,FALSE)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56" s="5">
        <f ca="1">VLOOKUP($L56,OFFSET([4]enemies!$A$1,0,0,COUNTA([4]enemies!$A:$A),MATCH(W$1,[4]enemies!$1:$1,0)-MATCH($L$1,[4]enemies!$1:$1,0)+1),MATCH(W$1,[4]enemies!$1:$1,0)-MATCH($L$1,[4]enemies!$1:$1,0)+1,FALSE)</f>
        <v>0</v>
      </c>
      <c r="X56" s="7">
        <v>1</v>
      </c>
      <c r="Y56" s="7">
        <v>0</v>
      </c>
      <c r="Z56" s="7">
        <v>1</v>
      </c>
      <c r="AA56" s="58">
        <v>2</v>
      </c>
      <c r="AB56" s="2">
        <f t="shared" ref="AB56:AB67" si="59">L56</f>
        <v>119</v>
      </c>
      <c r="AC56" s="5" t="str">
        <f ca="1">VLOOKUP($AB56,OFFSET([5]characters!$A$1,0,0,COUNTA([5]characters!$A:$A),MATCH(AC$1,[5]characters!$1:$1,0)-MATCH("character_id",[5]characters!$1:$1,0)+1),MATCH(AC$1,[5]characters!$1:$1,0)-MATCH("character_id",[5]characters!$1:$1,0)+1,FALSE)</f>
        <v>ゴールドダック</v>
      </c>
      <c r="AD56" s="5">
        <f ca="1">VLOOKUP($AB56,OFFSET([5]characters!$A$1,0,0,COUNTA([5]characters!$A:$A),MATCH(AD$1,[5]characters!$1:$1,0)-MATCH("character_id",[5]characters!$1:$1,0)+1),MATCH(AD$1,[5]characters!$1:$1,0)-MATCH("character_id",[5]characters!$1:$1,0)+1,FALSE)</f>
        <v>5</v>
      </c>
      <c r="AE56" s="5" t="str">
        <f ca="1">VLOOKUP($AB56,OFFSET([5]characters!$A$1,0,0,COUNTA([5]characters!$A:$A),MATCH(AE$1,[5]characters!$1:$1,0)-MATCH("character_id",[5]characters!$1:$1,0)+1),MATCH(AE$1,[5]characters!$1:$1,0)-MATCH("character_id",[5]characters!$1:$1,0)+1,FALSE)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56" s="8">
        <v>1</v>
      </c>
      <c r="AG56" s="27">
        <f t="shared" ref="AG56:AG67" ca="1" si="60">AD56</f>
        <v>5</v>
      </c>
      <c r="AH56" s="9">
        <v>100</v>
      </c>
      <c r="AI56" s="8">
        <v>0</v>
      </c>
      <c r="AJ56" s="8">
        <v>0</v>
      </c>
      <c r="AK56" s="8">
        <v>0</v>
      </c>
      <c r="AL56" s="8">
        <v>0</v>
      </c>
      <c r="AM56" s="8">
        <v>1</v>
      </c>
    </row>
    <row r="57" spans="1:39" ht="21" customHeight="1" x14ac:dyDescent="0.15">
      <c r="A57" s="17" t="str">
        <f t="shared" si="56"/>
        <v>14005_1-4/119&lt;lv52&gt;s2</v>
      </c>
      <c r="B57" s="99">
        <v>14005</v>
      </c>
      <c r="C57" s="100">
        <v>1</v>
      </c>
      <c r="D57" s="100" t="str">
        <f t="shared" si="57"/>
        <v>14005_1</v>
      </c>
      <c r="E57" s="101" t="str">
        <f ca="1">VLOOKUP($B57,OFFSET([2]quests!$A$1,0,0,COUNTA([2]quests!$A:$A),MATCH(E$1,[2]quests!$1:$1,0)-MATCH($B$1,[2]quests!$1:$1,0)+1),MATCH(E$1,[2]quests!$1:$1,0)-MATCH($B$1,[2]quests!$1:$1,0)+1,FALSE)</f>
        <v>【ロック】ビット/LINEマルチ</v>
      </c>
      <c r="F57" s="101" t="str">
        <f ca="1">VLOOKUP($D57,OFFSET([2]stages!$A$1,0,0,COUNTA([2]stages!$A:$A),MATCH(F$1,[2]stages!$2:$2,0)-MATCH($D$1,[2]stages!$2:$2,0)+1),MATCH(F$1,[2]stages!$2:$2,0)-MATCH($D$1,[2]stages!$2:$2,0)+1,FALSE)</f>
        <v>【超級】ハイローラー（ハートなし）</v>
      </c>
      <c r="G57" s="100">
        <v>4</v>
      </c>
      <c r="H57" s="16" t="str">
        <f t="shared" si="58"/>
        <v>14005_1-4</v>
      </c>
      <c r="I57" s="5">
        <f ca="1">VLOOKUP($H57,OFFSET(floors!$A$1,0,0,COUNTA(floors!$A:$A),MATCH(I$1,floors!$1:$1,0)-MATCH($H$1,floors!$1:$1,0)+1),MATCH(I$1,floors!$1:$1,0)-MATCH($H$1,floors!$1:$1,0)+1,FALSE)</f>
        <v>40</v>
      </c>
      <c r="J57" s="5">
        <f ca="1">VLOOKUP($H57,OFFSET(floors!$A$1,0,0,COUNTA(floors!$A:$A),MATCH(J$1,floors!$1:$1,0)-MATCH($H$1,floors!$1:$1,0)+1),MATCH(J$1,floors!$1:$1,0)-MATCH($H$1,floors!$1:$1,0)+1,FALSE)</f>
        <v>40</v>
      </c>
      <c r="K57" s="8" t="s">
        <v>142</v>
      </c>
      <c r="L57" s="24">
        <v>119</v>
      </c>
      <c r="M57" s="20" t="str">
        <f ca="1">VLOOKUP($L57,OFFSET([4]enemies!$A$1,0,0,COUNTA([4]enemies!$A:$A),MATCH(M$1,[4]enemies!$1:$1,0)-MATCH($L$1,[4]enemies!$1:$1,0)+1),MATCH(M$1,[4]enemies!$1:$1,0)-MATCH($L$1,[4]enemies!$1:$1,0)+1,FALSE)</f>
        <v>ゴールドダック</v>
      </c>
      <c r="N57" s="20" t="str">
        <f ca="1">VLOOKUP($L57,OFFSET([4]enemies!$A$1,0,0,COUNTA([4]enemies!$A:$A),MATCH(N$1,[4]enemies!$1:$1,0)-MATCH($L$1,[4]enemies!$1:$1,0)+1),MATCH(N$1,[4]enemies!$1:$1,0)-MATCH($L$1,[4]enemies!$1:$1,0)+1,FALSE)</f>
        <v>yellow</v>
      </c>
      <c r="O57" s="20" t="str">
        <f ca="1">VLOOKUP($L57,OFFSET([5]characters!$A$1,0,0,COUNTA([5]characters!$A:$A),MATCH(O$1,[5]characters!$1:$1,0)-MATCH($L$1,[5]characters!$1:$1,0)+1),MATCH(O$1,[5]characters!$1:$1,0)-MATCH($L$1,[5]characters!$1:$1,0)+1,FALSE)</f>
        <v>Material</v>
      </c>
      <c r="P57" s="20" t="str">
        <f ca="1">VLOOKUP($L57,OFFSET([4]enemies!$A$1,0,0,COUNTA([4]enemies!$A:$A),MATCH(P$1,[4]enemies!$1:$1,0)-MATCH($L$1,[4]enemies!$1:$1,0)+1),MATCH(P$1,[4]enemies!$1:$1,0)-MATCH($L$1,[4]enemies!$1:$1,0)+1,FALSE)</f>
        <v>unknown</v>
      </c>
      <c r="Q57" s="20">
        <f ca="1">VLOOKUP($L57,OFFSET([4]enemies!$A$1,0,0,COUNTA([4]enemies!$A:$A),MATCH(Q$1,[4]enemies!$1:$1,0)-MATCH($L$1,[4]enemies!$1:$1,0)+1),MATCH(Q$1,[4]enemies!$1:$1,0)-MATCH($L$1,[4]enemies!$1:$1,0)+1,FALSE)</f>
        <v>20</v>
      </c>
      <c r="R57" s="6">
        <v>52</v>
      </c>
      <c r="S57" s="29">
        <v>11</v>
      </c>
      <c r="T57" s="29">
        <v>10</v>
      </c>
      <c r="U57" s="6">
        <v>0</v>
      </c>
      <c r="V57" s="5" t="e">
        <f ca="1">VLOOKUP($W57,OFFSET([6]enemy_skill_sets!$B$1,0,0,COUNTA([6]enemy_skill_sets!$B:$B),MATCH(M$1,[6]enemy_skill_sets!$1:$1,0)-MATCH($W$1,[6]enemy_skill_sets!$1:$1,0)+2),MATCH(M$1,[6]enemy_skill_sets!$1:$1,0)-MATCH($W$1,[6]enemy_skill_sets!$1:$1,0)+2,FALSE)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57" s="5">
        <f ca="1">VLOOKUP($L57,OFFSET([4]enemies!$A$1,0,0,COUNTA([4]enemies!$A:$A),MATCH(W$1,[4]enemies!$1:$1,0)-MATCH($L$1,[4]enemies!$1:$1,0)+1),MATCH(W$1,[4]enemies!$1:$1,0)-MATCH($L$1,[4]enemies!$1:$1,0)+1,FALSE)</f>
        <v>0</v>
      </c>
      <c r="X57" s="7">
        <v>0</v>
      </c>
      <c r="Y57" s="7">
        <v>100</v>
      </c>
      <c r="Z57" s="7">
        <v>0</v>
      </c>
      <c r="AA57" s="58">
        <v>2</v>
      </c>
      <c r="AB57" s="2">
        <f t="shared" si="59"/>
        <v>119</v>
      </c>
      <c r="AC57" s="5" t="str">
        <f ca="1">VLOOKUP($AB57,OFFSET([5]characters!$A$1,0,0,COUNTA([5]characters!$A:$A),MATCH(AC$1,[5]characters!$1:$1,0)-MATCH("character_id",[5]characters!$1:$1,0)+1),MATCH(AC$1,[5]characters!$1:$1,0)-MATCH("character_id",[5]characters!$1:$1,0)+1,FALSE)</f>
        <v>ゴールドダック</v>
      </c>
      <c r="AD57" s="5">
        <f ca="1">VLOOKUP($AB57,OFFSET([5]characters!$A$1,0,0,COUNTA([5]characters!$A:$A),MATCH(AD$1,[5]characters!$1:$1,0)-MATCH("character_id",[5]characters!$1:$1,0)+1),MATCH(AD$1,[5]characters!$1:$1,0)-MATCH("character_id",[5]characters!$1:$1,0)+1,FALSE)</f>
        <v>5</v>
      </c>
      <c r="AE57" s="5" t="str">
        <f ca="1">VLOOKUP($AB57,OFFSET([5]characters!$A$1,0,0,COUNTA([5]characters!$A:$A),MATCH(AE$1,[5]characters!$1:$1,0)-MATCH("character_id",[5]characters!$1:$1,0)+1),MATCH(AE$1,[5]characters!$1:$1,0)-MATCH("character_id",[5]characters!$1:$1,0)+1,FALSE)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57" s="8">
        <v>1</v>
      </c>
      <c r="AG57" s="27">
        <f t="shared" ca="1" si="60"/>
        <v>5</v>
      </c>
      <c r="AH57" s="9">
        <v>100</v>
      </c>
      <c r="AI57" s="8">
        <v>0</v>
      </c>
      <c r="AJ57" s="8">
        <v>0</v>
      </c>
      <c r="AK57" s="8">
        <v>0</v>
      </c>
      <c r="AL57" s="8">
        <v>0</v>
      </c>
      <c r="AM57" s="8">
        <v>1</v>
      </c>
    </row>
    <row r="58" spans="1:39" ht="21" customHeight="1" x14ac:dyDescent="0.15">
      <c r="A58" s="17" t="str">
        <f t="shared" si="56"/>
        <v>14005_1-5/119&lt;lv51&gt;s2</v>
      </c>
      <c r="B58" s="99">
        <v>14005</v>
      </c>
      <c r="C58" s="100">
        <v>1</v>
      </c>
      <c r="D58" s="100" t="str">
        <f t="shared" si="57"/>
        <v>14005_1</v>
      </c>
      <c r="E58" s="101" t="str">
        <f ca="1">VLOOKUP($B58,OFFSET([2]quests!$A$1,0,0,COUNTA([2]quests!$A:$A),MATCH(E$1,[2]quests!$1:$1,0)-MATCH($B$1,[2]quests!$1:$1,0)+1),MATCH(E$1,[2]quests!$1:$1,0)-MATCH($B$1,[2]quests!$1:$1,0)+1,FALSE)</f>
        <v>【ロック】ビット/LINEマルチ</v>
      </c>
      <c r="F58" s="101" t="str">
        <f ca="1">VLOOKUP($D58,OFFSET([2]stages!$A$1,0,0,COUNTA([2]stages!$A:$A),MATCH(F$1,[2]stages!$2:$2,0)-MATCH($D$1,[2]stages!$2:$2,0)+1),MATCH(F$1,[2]stages!$2:$2,0)-MATCH($D$1,[2]stages!$2:$2,0)+1,FALSE)</f>
        <v>【超級】ハイローラー（ハートなし）</v>
      </c>
      <c r="G58" s="100">
        <v>5</v>
      </c>
      <c r="H58" s="16" t="str">
        <f t="shared" si="58"/>
        <v>14005_1-5</v>
      </c>
      <c r="I58" s="5">
        <f ca="1">VLOOKUP($H58,OFFSET(floors!$A$1,0,0,COUNTA(floors!$A:$A),MATCH(I$1,floors!$1:$1,0)-MATCH($H$1,floors!$1:$1,0)+1),MATCH(I$1,floors!$1:$1,0)-MATCH($H$1,floors!$1:$1,0)+1,FALSE)</f>
        <v>60</v>
      </c>
      <c r="J58" s="5">
        <f ca="1">VLOOKUP($H58,OFFSET(floors!$A$1,0,0,COUNTA(floors!$A:$A),MATCH(J$1,floors!$1:$1,0)-MATCH($H$1,floors!$1:$1,0)+1),MATCH(J$1,floors!$1:$1,0)-MATCH($H$1,floors!$1:$1,0)+1,FALSE)</f>
        <v>60</v>
      </c>
      <c r="K58" s="8" t="s">
        <v>142</v>
      </c>
      <c r="L58" s="24">
        <v>119</v>
      </c>
      <c r="M58" s="20" t="str">
        <f ca="1">VLOOKUP($L58,OFFSET([4]enemies!$A$1,0,0,COUNTA([4]enemies!$A:$A),MATCH(M$1,[4]enemies!$1:$1,0)-MATCH($L$1,[4]enemies!$1:$1,0)+1),MATCH(M$1,[4]enemies!$1:$1,0)-MATCH($L$1,[4]enemies!$1:$1,0)+1,FALSE)</f>
        <v>ゴールドダック</v>
      </c>
      <c r="N58" s="20" t="str">
        <f ca="1">VLOOKUP($L58,OFFSET([4]enemies!$A$1,0,0,COUNTA([4]enemies!$A:$A),MATCH(N$1,[4]enemies!$1:$1,0)-MATCH($L$1,[4]enemies!$1:$1,0)+1),MATCH(N$1,[4]enemies!$1:$1,0)-MATCH($L$1,[4]enemies!$1:$1,0)+1,FALSE)</f>
        <v>yellow</v>
      </c>
      <c r="O58" s="20" t="str">
        <f ca="1">VLOOKUP($L58,OFFSET([5]characters!$A$1,0,0,COUNTA([5]characters!$A:$A),MATCH(O$1,[5]characters!$1:$1,0)-MATCH($L$1,[5]characters!$1:$1,0)+1),MATCH(O$1,[5]characters!$1:$1,0)-MATCH($L$1,[5]characters!$1:$1,0)+1,FALSE)</f>
        <v>Material</v>
      </c>
      <c r="P58" s="20" t="str">
        <f ca="1">VLOOKUP($L58,OFFSET([4]enemies!$A$1,0,0,COUNTA([4]enemies!$A:$A),MATCH(P$1,[4]enemies!$1:$1,0)-MATCH($L$1,[4]enemies!$1:$1,0)+1),MATCH(P$1,[4]enemies!$1:$1,0)-MATCH($L$1,[4]enemies!$1:$1,0)+1,FALSE)</f>
        <v>unknown</v>
      </c>
      <c r="Q58" s="20">
        <f ca="1">VLOOKUP($L58,OFFSET([4]enemies!$A$1,0,0,COUNTA([4]enemies!$A:$A),MATCH(Q$1,[4]enemies!$1:$1,0)-MATCH($L$1,[4]enemies!$1:$1,0)+1),MATCH(Q$1,[4]enemies!$1:$1,0)-MATCH($L$1,[4]enemies!$1:$1,0)+1,FALSE)</f>
        <v>20</v>
      </c>
      <c r="R58" s="6">
        <v>51</v>
      </c>
      <c r="S58" s="29">
        <v>11</v>
      </c>
      <c r="T58" s="29">
        <v>10</v>
      </c>
      <c r="U58" s="6">
        <v>0</v>
      </c>
      <c r="V58" s="5" t="e">
        <f ca="1">VLOOKUP($W58,OFFSET([6]enemy_skill_sets!$B$1,0,0,COUNTA([6]enemy_skill_sets!$B:$B),MATCH(M$1,[6]enemy_skill_sets!$1:$1,0)-MATCH($W$1,[6]enemy_skill_sets!$1:$1,0)+2),MATCH(M$1,[6]enemy_skill_sets!$1:$1,0)-MATCH($W$1,[6]enemy_skill_sets!$1:$1,0)+2,FALSE)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58" s="5">
        <f ca="1">VLOOKUP($L58,OFFSET([4]enemies!$A$1,0,0,COUNTA([4]enemies!$A:$A),MATCH(W$1,[4]enemies!$1:$1,0)-MATCH($L$1,[4]enemies!$1:$1,0)+1),MATCH(W$1,[4]enemies!$1:$1,0)-MATCH($L$1,[4]enemies!$1:$1,0)+1,FALSE)</f>
        <v>0</v>
      </c>
      <c r="X58" s="7">
        <v>0</v>
      </c>
      <c r="Y58" s="7">
        <v>100</v>
      </c>
      <c r="Z58" s="7">
        <v>0</v>
      </c>
      <c r="AA58" s="58">
        <v>2</v>
      </c>
      <c r="AB58" s="2">
        <f t="shared" si="59"/>
        <v>119</v>
      </c>
      <c r="AC58" s="5" t="str">
        <f ca="1">VLOOKUP($AB58,OFFSET([5]characters!$A$1,0,0,COUNTA([5]characters!$A:$A),MATCH(AC$1,[5]characters!$1:$1,0)-MATCH("character_id",[5]characters!$1:$1,0)+1),MATCH(AC$1,[5]characters!$1:$1,0)-MATCH("character_id",[5]characters!$1:$1,0)+1,FALSE)</f>
        <v>ゴールドダック</v>
      </c>
      <c r="AD58" s="5">
        <f ca="1">VLOOKUP($AB58,OFFSET([5]characters!$A$1,0,0,COUNTA([5]characters!$A:$A),MATCH(AD$1,[5]characters!$1:$1,0)-MATCH("character_id",[5]characters!$1:$1,0)+1),MATCH(AD$1,[5]characters!$1:$1,0)-MATCH("character_id",[5]characters!$1:$1,0)+1,FALSE)</f>
        <v>5</v>
      </c>
      <c r="AE58" s="5" t="str">
        <f ca="1">VLOOKUP($AB58,OFFSET([5]characters!$A$1,0,0,COUNTA([5]characters!$A:$A),MATCH(AE$1,[5]characters!$1:$1,0)-MATCH("character_id",[5]characters!$1:$1,0)+1),MATCH(AE$1,[5]characters!$1:$1,0)-MATCH("character_id",[5]characters!$1:$1,0)+1,FALSE)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58" s="8">
        <v>1</v>
      </c>
      <c r="AG58" s="27">
        <f t="shared" ca="1" si="60"/>
        <v>5</v>
      </c>
      <c r="AH58" s="9">
        <v>100</v>
      </c>
      <c r="AI58" s="8">
        <v>0</v>
      </c>
      <c r="AJ58" s="8">
        <v>0</v>
      </c>
      <c r="AK58" s="8">
        <v>0</v>
      </c>
      <c r="AL58" s="8">
        <v>0</v>
      </c>
      <c r="AM58" s="8">
        <v>1</v>
      </c>
    </row>
    <row r="59" spans="1:39" ht="21" customHeight="1" x14ac:dyDescent="0.15">
      <c r="A59" s="17" t="str">
        <f t="shared" si="56"/>
        <v>14005_1-5/119&lt;lv52&gt;s2</v>
      </c>
      <c r="B59" s="99">
        <v>14005</v>
      </c>
      <c r="C59" s="100">
        <v>1</v>
      </c>
      <c r="D59" s="100" t="str">
        <f t="shared" si="57"/>
        <v>14005_1</v>
      </c>
      <c r="E59" s="101" t="str">
        <f ca="1">VLOOKUP($B59,OFFSET([2]quests!$A$1,0,0,COUNTA([2]quests!$A:$A),MATCH(E$1,[2]quests!$1:$1,0)-MATCH($B$1,[2]quests!$1:$1,0)+1),MATCH(E$1,[2]quests!$1:$1,0)-MATCH($B$1,[2]quests!$1:$1,0)+1,FALSE)</f>
        <v>【ロック】ビット/LINEマルチ</v>
      </c>
      <c r="F59" s="101" t="str">
        <f ca="1">VLOOKUP($D59,OFFSET([2]stages!$A$1,0,0,COUNTA([2]stages!$A:$A),MATCH(F$1,[2]stages!$2:$2,0)-MATCH($D$1,[2]stages!$2:$2,0)+1),MATCH(F$1,[2]stages!$2:$2,0)-MATCH($D$1,[2]stages!$2:$2,0)+1,FALSE)</f>
        <v>【超級】ハイローラー（ハートなし）</v>
      </c>
      <c r="G59" s="100">
        <v>5</v>
      </c>
      <c r="H59" s="16" t="str">
        <f t="shared" si="58"/>
        <v>14005_1-5</v>
      </c>
      <c r="I59" s="5">
        <f ca="1">VLOOKUP($H59,OFFSET(floors!$A$1,0,0,COUNTA(floors!$A:$A),MATCH(I$1,floors!$1:$1,0)-MATCH($H$1,floors!$1:$1,0)+1),MATCH(I$1,floors!$1:$1,0)-MATCH($H$1,floors!$1:$1,0)+1,FALSE)</f>
        <v>60</v>
      </c>
      <c r="J59" s="5">
        <f ca="1">VLOOKUP($H59,OFFSET(floors!$A$1,0,0,COUNTA(floors!$A:$A),MATCH(J$1,floors!$1:$1,0)-MATCH($H$1,floors!$1:$1,0)+1),MATCH(J$1,floors!$1:$1,0)-MATCH($H$1,floors!$1:$1,0)+1,FALSE)</f>
        <v>60</v>
      </c>
      <c r="K59" s="8" t="s">
        <v>142</v>
      </c>
      <c r="L59" s="24">
        <v>119</v>
      </c>
      <c r="M59" s="20" t="str">
        <f ca="1">VLOOKUP($L59,OFFSET([4]enemies!$A$1,0,0,COUNTA([4]enemies!$A:$A),MATCH(M$1,[4]enemies!$1:$1,0)-MATCH($L$1,[4]enemies!$1:$1,0)+1),MATCH(M$1,[4]enemies!$1:$1,0)-MATCH($L$1,[4]enemies!$1:$1,0)+1,FALSE)</f>
        <v>ゴールドダック</v>
      </c>
      <c r="N59" s="20" t="str">
        <f ca="1">VLOOKUP($L59,OFFSET([4]enemies!$A$1,0,0,COUNTA([4]enemies!$A:$A),MATCH(N$1,[4]enemies!$1:$1,0)-MATCH($L$1,[4]enemies!$1:$1,0)+1),MATCH(N$1,[4]enemies!$1:$1,0)-MATCH($L$1,[4]enemies!$1:$1,0)+1,FALSE)</f>
        <v>yellow</v>
      </c>
      <c r="O59" s="20" t="str">
        <f ca="1">VLOOKUP($L59,OFFSET([5]characters!$A$1,0,0,COUNTA([5]characters!$A:$A),MATCH(O$1,[5]characters!$1:$1,0)-MATCH($L$1,[5]characters!$1:$1,0)+1),MATCH(O$1,[5]characters!$1:$1,0)-MATCH($L$1,[5]characters!$1:$1,0)+1,FALSE)</f>
        <v>Material</v>
      </c>
      <c r="P59" s="20" t="str">
        <f ca="1">VLOOKUP($L59,OFFSET([4]enemies!$A$1,0,0,COUNTA([4]enemies!$A:$A),MATCH(P$1,[4]enemies!$1:$1,0)-MATCH($L$1,[4]enemies!$1:$1,0)+1),MATCH(P$1,[4]enemies!$1:$1,0)-MATCH($L$1,[4]enemies!$1:$1,0)+1,FALSE)</f>
        <v>unknown</v>
      </c>
      <c r="Q59" s="20">
        <f ca="1">VLOOKUP($L59,OFFSET([4]enemies!$A$1,0,0,COUNTA([4]enemies!$A:$A),MATCH(Q$1,[4]enemies!$1:$1,0)-MATCH($L$1,[4]enemies!$1:$1,0)+1),MATCH(Q$1,[4]enemies!$1:$1,0)-MATCH($L$1,[4]enemies!$1:$1,0)+1,FALSE)</f>
        <v>20</v>
      </c>
      <c r="R59" s="6">
        <v>52</v>
      </c>
      <c r="S59" s="29">
        <v>11</v>
      </c>
      <c r="T59" s="29">
        <v>10</v>
      </c>
      <c r="U59" s="6">
        <v>0</v>
      </c>
      <c r="V59" s="5" t="e">
        <f ca="1">VLOOKUP($W59,OFFSET([6]enemy_skill_sets!$B$1,0,0,COUNTA([6]enemy_skill_sets!$B:$B),MATCH(M$1,[6]enemy_skill_sets!$1:$1,0)-MATCH($W$1,[6]enemy_skill_sets!$1:$1,0)+2),MATCH(M$1,[6]enemy_skill_sets!$1:$1,0)-MATCH($W$1,[6]enemy_skill_sets!$1:$1,0)+2,FALSE)</f>
        <v>#VALUE!</v>
      </c>
      <c r="W59" s="5">
        <f ca="1">VLOOKUP($L59,OFFSET([4]enemies!$A$1,0,0,COUNTA([4]enemies!$A:$A),MATCH(W$1,[4]enemies!$1:$1,0)-MATCH($L$1,[4]enemies!$1:$1,0)+1),MATCH(W$1,[4]enemies!$1:$1,0)-MATCH($L$1,[4]enemies!$1:$1,0)+1,FALSE)</f>
        <v>0</v>
      </c>
      <c r="X59" s="7">
        <v>0</v>
      </c>
      <c r="Y59" s="7">
        <v>50</v>
      </c>
      <c r="Z59" s="7">
        <v>1</v>
      </c>
      <c r="AA59" s="58">
        <v>2</v>
      </c>
      <c r="AB59" s="2">
        <f t="shared" si="59"/>
        <v>119</v>
      </c>
      <c r="AC59" s="5" t="str">
        <f ca="1">VLOOKUP($AB59,OFFSET([5]characters!$A$1,0,0,COUNTA([5]characters!$A:$A),MATCH(AC$1,[5]characters!$1:$1,0)-MATCH("character_id",[5]characters!$1:$1,0)+1),MATCH(AC$1,[5]characters!$1:$1,0)-MATCH("character_id",[5]characters!$1:$1,0)+1,FALSE)</f>
        <v>ゴールドダック</v>
      </c>
      <c r="AD59" s="5">
        <f ca="1">VLOOKUP($AB59,OFFSET([5]characters!$A$1,0,0,COUNTA([5]characters!$A:$A),MATCH(AD$1,[5]characters!$1:$1,0)-MATCH("character_id",[5]characters!$1:$1,0)+1),MATCH(AD$1,[5]characters!$1:$1,0)-MATCH("character_id",[5]characters!$1:$1,0)+1,FALSE)</f>
        <v>5</v>
      </c>
      <c r="AE59" s="5" t="str">
        <f ca="1">VLOOKUP($AB59,OFFSET([5]characters!$A$1,0,0,COUNTA([5]characters!$A:$A),MATCH(AE$1,[5]characters!$1:$1,0)-MATCH("character_id",[5]characters!$1:$1,0)+1),MATCH(AE$1,[5]characters!$1:$1,0)-MATCH("character_id",[5]characters!$1:$1,0)+1,FALSE)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59" s="8">
        <v>1</v>
      </c>
      <c r="AG59" s="27">
        <f t="shared" ca="1" si="60"/>
        <v>5</v>
      </c>
      <c r="AH59" s="9">
        <v>100</v>
      </c>
      <c r="AI59" s="8">
        <v>0</v>
      </c>
      <c r="AJ59" s="8">
        <v>0</v>
      </c>
      <c r="AK59" s="8">
        <v>0</v>
      </c>
      <c r="AL59" s="8">
        <v>0</v>
      </c>
      <c r="AM59" s="8">
        <v>1</v>
      </c>
    </row>
    <row r="60" spans="1:39" ht="21" customHeight="1" x14ac:dyDescent="0.15">
      <c r="A60" s="17" t="str">
        <f t="shared" si="56"/>
        <v>14005_1-5/120&lt;lv50&gt;s3</v>
      </c>
      <c r="B60" s="99">
        <v>14005</v>
      </c>
      <c r="C60" s="100">
        <v>1</v>
      </c>
      <c r="D60" s="100" t="str">
        <f t="shared" si="57"/>
        <v>14005_1</v>
      </c>
      <c r="E60" s="101" t="str">
        <f ca="1">VLOOKUP($B60,OFFSET([2]quests!$A$1,0,0,COUNTA([2]quests!$A:$A),MATCH(E$1,[2]quests!$1:$1,0)-MATCH($B$1,[2]quests!$1:$1,0)+1),MATCH(E$1,[2]quests!$1:$1,0)-MATCH($B$1,[2]quests!$1:$1,0)+1,FALSE)</f>
        <v>【ロック】ビット/LINEマルチ</v>
      </c>
      <c r="F60" s="101" t="str">
        <f ca="1">VLOOKUP($D60,OFFSET([2]stages!$A$1,0,0,COUNTA([2]stages!$A:$A),MATCH(F$1,[2]stages!$2:$2,0)-MATCH($D$1,[2]stages!$2:$2,0)+1),MATCH(F$1,[2]stages!$2:$2,0)-MATCH($D$1,[2]stages!$2:$2,0)+1,FALSE)</f>
        <v>【超級】ハイローラー（ハートなし）</v>
      </c>
      <c r="G60" s="100">
        <v>5</v>
      </c>
      <c r="H60" s="16" t="str">
        <f t="shared" si="58"/>
        <v>14005_1-5</v>
      </c>
      <c r="I60" s="5">
        <f ca="1">VLOOKUP($H60,OFFSET(floors!$A$1,0,0,COUNTA(floors!$A:$A),MATCH(I$1,floors!$1:$1,0)-MATCH($H$1,floors!$1:$1,0)+1),MATCH(I$1,floors!$1:$1,0)-MATCH($H$1,floors!$1:$1,0)+1,FALSE)</f>
        <v>60</v>
      </c>
      <c r="J60" s="5">
        <f ca="1">VLOOKUP($H60,OFFSET(floors!$A$1,0,0,COUNTA(floors!$A:$A),MATCH(J$1,floors!$1:$1,0)-MATCH($H$1,floors!$1:$1,0)+1),MATCH(J$1,floors!$1:$1,0)-MATCH($H$1,floors!$1:$1,0)+1,FALSE)</f>
        <v>60</v>
      </c>
      <c r="K60" s="8" t="s">
        <v>142</v>
      </c>
      <c r="L60" s="24">
        <v>120</v>
      </c>
      <c r="M60" s="20" t="str">
        <f ca="1">VLOOKUP($L60,OFFSET([4]enemies!$A$1,0,0,COUNTA([4]enemies!$A:$A),MATCH(M$1,[4]enemies!$1:$1,0)-MATCH($L$1,[4]enemies!$1:$1,0)+1),MATCH(M$1,[4]enemies!$1:$1,0)-MATCH($L$1,[4]enemies!$1:$1,0)+1,FALSE)</f>
        <v>ゴールドキング</v>
      </c>
      <c r="N60" s="20" t="str">
        <f ca="1">VLOOKUP($L60,OFFSET([4]enemies!$A$1,0,0,COUNTA([4]enemies!$A:$A),MATCH(N$1,[4]enemies!$1:$1,0)-MATCH($L$1,[4]enemies!$1:$1,0)+1),MATCH(N$1,[4]enemies!$1:$1,0)-MATCH($L$1,[4]enemies!$1:$1,0)+1,FALSE)</f>
        <v>yellow</v>
      </c>
      <c r="O60" s="20" t="str">
        <f ca="1">VLOOKUP($L60,OFFSET([5]characters!$A$1,0,0,COUNTA([5]characters!$A:$A),MATCH(O$1,[5]characters!$1:$1,0)-MATCH($L$1,[5]characters!$1:$1,0)+1),MATCH(O$1,[5]characters!$1:$1,0)-MATCH($L$1,[5]characters!$1:$1,0)+1,FALSE)</f>
        <v>Material</v>
      </c>
      <c r="P60" s="20" t="str">
        <f ca="1">VLOOKUP($L60,OFFSET([4]enemies!$A$1,0,0,COUNTA([4]enemies!$A:$A),MATCH(P$1,[4]enemies!$1:$1,0)-MATCH($L$1,[4]enemies!$1:$1,0)+1),MATCH(P$1,[4]enemies!$1:$1,0)-MATCH($L$1,[4]enemies!$1:$1,0)+1,FALSE)</f>
        <v>unknown</v>
      </c>
      <c r="Q60" s="20">
        <f ca="1">VLOOKUP($L60,OFFSET([4]enemies!$A$1,0,0,COUNTA([4]enemies!$A:$A),MATCH(Q$1,[4]enemies!$1:$1,0)-MATCH($L$1,[4]enemies!$1:$1,0)+1),MATCH(Q$1,[4]enemies!$1:$1,0)-MATCH($L$1,[4]enemies!$1:$1,0)+1,FALSE)</f>
        <v>20</v>
      </c>
      <c r="R60" s="6">
        <v>50</v>
      </c>
      <c r="S60" s="29">
        <v>18</v>
      </c>
      <c r="T60" s="29">
        <v>10</v>
      </c>
      <c r="U60" s="6">
        <v>0</v>
      </c>
      <c r="V60" s="5" t="str">
        <f ca="1">VLOOKUP($W60,OFFSET(enemy_skill_sets!$B$1,0,0,COUNTA(enemy_skill_sets!$B:$B),MATCH(M$1,enemy_skill_sets!$1:$1,0)-MATCH($W$1,enemy_skill_sets!$1:$1,0)+2),MATCH(M$1,enemy_skill_sets!$1:$1,0)-MATCH($W$1,enemy_skill_sets!$1:$1,0)+2,FALSE)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あらわれて_x000D_全員で 眠りはじめた！</v>
      </c>
      <c r="W60" s="57">
        <v>14002000</v>
      </c>
      <c r="X60" s="7">
        <v>0</v>
      </c>
      <c r="Y60" s="7">
        <v>6</v>
      </c>
      <c r="Z60" s="7">
        <v>1</v>
      </c>
      <c r="AA60" s="58">
        <v>3</v>
      </c>
      <c r="AB60" s="2">
        <f t="shared" si="59"/>
        <v>120</v>
      </c>
      <c r="AC60" s="5" t="str">
        <f ca="1">VLOOKUP($AB60,OFFSET([5]characters!$A$1,0,0,COUNTA([5]characters!$A:$A),MATCH(AC$1,[5]characters!$1:$1,0)-MATCH("character_id",[5]characters!$1:$1,0)+1),MATCH(AC$1,[5]characters!$1:$1,0)-MATCH("character_id",[5]characters!$1:$1,0)+1,FALSE)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60" s="5">
        <f ca="1">VLOOKUP($AB60,OFFSET([5]characters!$A$1,0,0,COUNTA([5]characters!$A:$A),MATCH(AD$1,[5]characters!$1:$1,0)-MATCH("character_id",[5]characters!$1:$1,0)+1),MATCH(AD$1,[5]characters!$1:$1,0)-MATCH("character_id",[5]characters!$1:$1,0)+1,FALSE)</f>
        <v>6</v>
      </c>
      <c r="AE60" s="5" t="str">
        <f ca="1">VLOOKUP($AB60,OFFSET([5]characters!$A$1,0,0,COUNTA([5]characters!$A:$A),MATCH(AE$1,[5]characters!$1:$1,0)-MATCH("character_id",[5]characters!$1:$1,0)+1),MATCH(AE$1,[5]characters!$1:$1,0)-MATCH("character_id",[5]characters!$1:$1,0)+1,FALSE)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60" s="8">
        <v>1</v>
      </c>
      <c r="AG60" s="27">
        <f t="shared" ca="1" si="60"/>
        <v>6</v>
      </c>
      <c r="AH60" s="9">
        <v>100</v>
      </c>
      <c r="AI60" s="8">
        <v>0</v>
      </c>
      <c r="AJ60" s="8">
        <v>0</v>
      </c>
      <c r="AK60" s="8">
        <v>0</v>
      </c>
      <c r="AL60" s="8">
        <v>0</v>
      </c>
      <c r="AM60" s="8">
        <v>1</v>
      </c>
    </row>
    <row r="61" spans="1:39" ht="21" customHeight="1" x14ac:dyDescent="0.15">
      <c r="A61" s="17" t="str">
        <f t="shared" si="56"/>
        <v>14005_1-5/120&lt;lv51&gt;s3</v>
      </c>
      <c r="B61" s="99">
        <v>14005</v>
      </c>
      <c r="C61" s="100">
        <v>1</v>
      </c>
      <c r="D61" s="100" t="str">
        <f t="shared" si="57"/>
        <v>14005_1</v>
      </c>
      <c r="E61" s="101" t="str">
        <f ca="1">VLOOKUP($B61,OFFSET([2]quests!$A$1,0,0,COUNTA([2]quests!$A:$A),MATCH(E$1,[2]quests!$1:$1,0)-MATCH($B$1,[2]quests!$1:$1,0)+1),MATCH(E$1,[2]quests!$1:$1,0)-MATCH($B$1,[2]quests!$1:$1,0)+1,FALSE)</f>
        <v>【ロック】ビット/LINEマルチ</v>
      </c>
      <c r="F61" s="101" t="str">
        <f ca="1">VLOOKUP($D61,OFFSET([2]stages!$A$1,0,0,COUNTA([2]stages!$A:$A),MATCH(F$1,[2]stages!$2:$2,0)-MATCH($D$1,[2]stages!$2:$2,0)+1),MATCH(F$1,[2]stages!$2:$2,0)-MATCH($D$1,[2]stages!$2:$2,0)+1,FALSE)</f>
        <v>【超級】ハイローラー（ハートなし）</v>
      </c>
      <c r="G61" s="100">
        <v>5</v>
      </c>
      <c r="H61" s="16" t="str">
        <f t="shared" si="58"/>
        <v>14005_1-5</v>
      </c>
      <c r="I61" s="5">
        <f ca="1">VLOOKUP($H61,OFFSET(floors!$A$1,0,0,COUNTA(floors!$A:$A),MATCH(I$1,floors!$1:$1,0)-MATCH($H$1,floors!$1:$1,0)+1),MATCH(I$1,floors!$1:$1,0)-MATCH($H$1,floors!$1:$1,0)+1,FALSE)</f>
        <v>60</v>
      </c>
      <c r="J61" s="5">
        <f ca="1">VLOOKUP($H61,OFFSET(floors!$A$1,0,0,COUNTA(floors!$A:$A),MATCH(J$1,floors!$1:$1,0)-MATCH($H$1,floors!$1:$1,0)+1),MATCH(J$1,floors!$1:$1,0)-MATCH($H$1,floors!$1:$1,0)+1,FALSE)</f>
        <v>60</v>
      </c>
      <c r="K61" s="8" t="s">
        <v>142</v>
      </c>
      <c r="L61" s="24">
        <v>120</v>
      </c>
      <c r="M61" s="20" t="str">
        <f ca="1">VLOOKUP($L61,OFFSET([4]enemies!$A$1,0,0,COUNTA([4]enemies!$A:$A),MATCH(M$1,[4]enemies!$1:$1,0)-MATCH($L$1,[4]enemies!$1:$1,0)+1),MATCH(M$1,[4]enemies!$1:$1,0)-MATCH($L$1,[4]enemies!$1:$1,0)+1,FALSE)</f>
        <v>ゴールドキング</v>
      </c>
      <c r="N61" s="20" t="str">
        <f ca="1">VLOOKUP($L61,OFFSET([4]enemies!$A$1,0,0,COUNTA([4]enemies!$A:$A),MATCH(N$1,[4]enemies!$1:$1,0)-MATCH($L$1,[4]enemies!$1:$1,0)+1),MATCH(N$1,[4]enemies!$1:$1,0)-MATCH($L$1,[4]enemies!$1:$1,0)+1,FALSE)</f>
        <v>yellow</v>
      </c>
      <c r="O61" s="20" t="str">
        <f ca="1">VLOOKUP($L61,OFFSET([5]characters!$A$1,0,0,COUNTA([5]characters!$A:$A),MATCH(O$1,[5]characters!$1:$1,0)-MATCH($L$1,[5]characters!$1:$1,0)+1),MATCH(O$1,[5]characters!$1:$1,0)-MATCH($L$1,[5]characters!$1:$1,0)+1,FALSE)</f>
        <v>Material</v>
      </c>
      <c r="P61" s="20" t="str">
        <f ca="1">VLOOKUP($L61,OFFSET([4]enemies!$A$1,0,0,COUNTA([4]enemies!$A:$A),MATCH(P$1,[4]enemies!$1:$1,0)-MATCH($L$1,[4]enemies!$1:$1,0)+1),MATCH(P$1,[4]enemies!$1:$1,0)-MATCH($L$1,[4]enemies!$1:$1,0)+1,FALSE)</f>
        <v>unknown</v>
      </c>
      <c r="Q61" s="20">
        <f ca="1">VLOOKUP($L61,OFFSET([4]enemies!$A$1,0,0,COUNTA([4]enemies!$A:$A),MATCH(Q$1,[4]enemies!$1:$1,0)-MATCH($L$1,[4]enemies!$1:$1,0)+1),MATCH(Q$1,[4]enemies!$1:$1,0)-MATCH($L$1,[4]enemies!$1:$1,0)+1,FALSE)</f>
        <v>20</v>
      </c>
      <c r="R61" s="6">
        <v>51</v>
      </c>
      <c r="S61" s="29">
        <v>18</v>
      </c>
      <c r="T61" s="29">
        <v>10</v>
      </c>
      <c r="U61" s="6">
        <v>0</v>
      </c>
      <c r="V61" s="5" t="str">
        <f ca="1">VLOOKUP($W61,OFFSET(enemy_skill_sets!$B$1,0,0,COUNTA(enemy_skill_sets!$B:$B),MATCH(M$1,enemy_skill_sets!$1:$1,0)-MATCH($W$1,enemy_skill_sets!$1:$1,0)+2),MATCH(M$1,enemy_skill_sets!$1:$1,0)-MATCH($W$1,enemy_skill_sets!$1:$1,0)+2,FALSE)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あらわれて_x000D_時限式ダメージパネルを 1個つくった！</v>
      </c>
      <c r="W61" s="57">
        <v>14002001</v>
      </c>
      <c r="X61" s="7">
        <v>0</v>
      </c>
      <c r="Y61" s="7">
        <v>2</v>
      </c>
      <c r="Z61" s="7">
        <v>1</v>
      </c>
      <c r="AA61" s="58">
        <v>3</v>
      </c>
      <c r="AB61" s="2">
        <f t="shared" si="59"/>
        <v>120</v>
      </c>
      <c r="AC61" s="5" t="str">
        <f ca="1">VLOOKUP($AB61,OFFSET([5]characters!$A$1,0,0,COUNTA([5]characters!$A:$A),MATCH(AC$1,[5]characters!$1:$1,0)-MATCH("character_id",[5]characters!$1:$1,0)+1),MATCH(AC$1,[5]characters!$1:$1,0)-MATCH("character_id",[5]characters!$1:$1,0)+1,FALSE)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61" s="5">
        <f ca="1">VLOOKUP($AB61,OFFSET([5]characters!$A$1,0,0,COUNTA([5]characters!$A:$A),MATCH(AD$1,[5]characters!$1:$1,0)-MATCH("character_id",[5]characters!$1:$1,0)+1),MATCH(AD$1,[5]characters!$1:$1,0)-MATCH("character_id",[5]characters!$1:$1,0)+1,FALSE)</f>
        <v>6</v>
      </c>
      <c r="AE61" s="5" t="str">
        <f ca="1">VLOOKUP($AB61,OFFSET([5]characters!$A$1,0,0,COUNTA([5]characters!$A:$A),MATCH(AE$1,[5]characters!$1:$1,0)-MATCH("character_id",[5]characters!$1:$1,0)+1),MATCH(AE$1,[5]characters!$1:$1,0)-MATCH("character_id",[5]characters!$1:$1,0)+1,FALSE)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61" s="8">
        <v>1</v>
      </c>
      <c r="AG61" s="27">
        <f t="shared" ca="1" si="60"/>
        <v>6</v>
      </c>
      <c r="AH61" s="9">
        <v>100</v>
      </c>
      <c r="AI61" s="8">
        <v>0</v>
      </c>
      <c r="AJ61" s="8">
        <v>0</v>
      </c>
      <c r="AK61" s="8">
        <v>0</v>
      </c>
      <c r="AL61" s="8">
        <v>0</v>
      </c>
      <c r="AM61" s="8">
        <v>1</v>
      </c>
    </row>
    <row r="62" spans="1:39" ht="21" customHeight="1" x14ac:dyDescent="0.15">
      <c r="A62" s="17" t="str">
        <f t="shared" si="56"/>
        <v>14005_1-5/120&lt;lv52&gt;s3</v>
      </c>
      <c r="B62" s="99">
        <v>14005</v>
      </c>
      <c r="C62" s="100">
        <v>1</v>
      </c>
      <c r="D62" s="100" t="str">
        <f t="shared" si="57"/>
        <v>14005_1</v>
      </c>
      <c r="E62" s="101" t="str">
        <f ca="1">VLOOKUP($B62,OFFSET([2]quests!$A$1,0,0,COUNTA([2]quests!$A:$A),MATCH(E$1,[2]quests!$1:$1,0)-MATCH($B$1,[2]quests!$1:$1,0)+1),MATCH(E$1,[2]quests!$1:$1,0)-MATCH($B$1,[2]quests!$1:$1,0)+1,FALSE)</f>
        <v>【ロック】ビット/LINEマルチ</v>
      </c>
      <c r="F62" s="101" t="str">
        <f ca="1">VLOOKUP($D62,OFFSET([2]stages!$A$1,0,0,COUNTA([2]stages!$A:$A),MATCH(F$1,[2]stages!$2:$2,0)-MATCH($D$1,[2]stages!$2:$2,0)+1),MATCH(F$1,[2]stages!$2:$2,0)-MATCH($D$1,[2]stages!$2:$2,0)+1,FALSE)</f>
        <v>【超級】ハイローラー（ハートなし）</v>
      </c>
      <c r="G62" s="100">
        <v>5</v>
      </c>
      <c r="H62" s="16" t="str">
        <f t="shared" si="58"/>
        <v>14005_1-5</v>
      </c>
      <c r="I62" s="5">
        <f ca="1">VLOOKUP($H62,OFFSET(floors!$A$1,0,0,COUNTA(floors!$A:$A),MATCH(I$1,floors!$1:$1,0)-MATCH($H$1,floors!$1:$1,0)+1),MATCH(I$1,floors!$1:$1,0)-MATCH($H$1,floors!$1:$1,0)+1,FALSE)</f>
        <v>60</v>
      </c>
      <c r="J62" s="5">
        <f ca="1">VLOOKUP($H62,OFFSET(floors!$A$1,0,0,COUNTA(floors!$A:$A),MATCH(J$1,floors!$1:$1,0)-MATCH($H$1,floors!$1:$1,0)+1),MATCH(J$1,floors!$1:$1,0)-MATCH($H$1,floors!$1:$1,0)+1,FALSE)</f>
        <v>60</v>
      </c>
      <c r="K62" s="8" t="s">
        <v>142</v>
      </c>
      <c r="L62" s="24">
        <v>120</v>
      </c>
      <c r="M62" s="20" t="str">
        <f ca="1">VLOOKUP($L62,OFFSET([4]enemies!$A$1,0,0,COUNTA([4]enemies!$A:$A),MATCH(M$1,[4]enemies!$1:$1,0)-MATCH($L$1,[4]enemies!$1:$1,0)+1),MATCH(M$1,[4]enemies!$1:$1,0)-MATCH($L$1,[4]enemies!$1:$1,0)+1,FALSE)</f>
        <v>ゴールドキング</v>
      </c>
      <c r="N62" s="20" t="str">
        <f ca="1">VLOOKUP($L62,OFFSET([4]enemies!$A$1,0,0,COUNTA([4]enemies!$A:$A),MATCH(N$1,[4]enemies!$1:$1,0)-MATCH($L$1,[4]enemies!$1:$1,0)+1),MATCH(N$1,[4]enemies!$1:$1,0)-MATCH($L$1,[4]enemies!$1:$1,0)+1,FALSE)</f>
        <v>yellow</v>
      </c>
      <c r="O62" s="20" t="str">
        <f ca="1">VLOOKUP($L62,OFFSET([5]characters!$A$1,0,0,COUNTA([5]characters!$A:$A),MATCH(O$1,[5]characters!$1:$1,0)-MATCH($L$1,[5]characters!$1:$1,0)+1),MATCH(O$1,[5]characters!$1:$1,0)-MATCH($L$1,[5]characters!$1:$1,0)+1,FALSE)</f>
        <v>Material</v>
      </c>
      <c r="P62" s="20" t="str">
        <f ca="1">VLOOKUP($L62,OFFSET([4]enemies!$A$1,0,0,COUNTA([4]enemies!$A:$A),MATCH(P$1,[4]enemies!$1:$1,0)-MATCH($L$1,[4]enemies!$1:$1,0)+1),MATCH(P$1,[4]enemies!$1:$1,0)-MATCH($L$1,[4]enemies!$1:$1,0)+1,FALSE)</f>
        <v>unknown</v>
      </c>
      <c r="Q62" s="20">
        <f ca="1">VLOOKUP($L62,OFFSET([4]enemies!$A$1,0,0,COUNTA([4]enemies!$A:$A),MATCH(Q$1,[4]enemies!$1:$1,0)-MATCH($L$1,[4]enemies!$1:$1,0)+1),MATCH(Q$1,[4]enemies!$1:$1,0)-MATCH($L$1,[4]enemies!$1:$1,0)+1,FALSE)</f>
        <v>20</v>
      </c>
      <c r="R62" s="6">
        <v>52</v>
      </c>
      <c r="S62" s="29">
        <v>18</v>
      </c>
      <c r="T62" s="29">
        <v>10</v>
      </c>
      <c r="U62" s="6">
        <v>0</v>
      </c>
      <c r="V62" s="5" t="str">
        <f ca="1">VLOOKUP($W62,OFFSET(enemy_skill_sets!$B$1,0,0,COUNTA(enemy_skill_sets!$B:$B),MATCH(M$1,enemy_skill_sets!$1:$1,0)-MATCH($W$1,enemy_skill_sets!$1:$1,0)+2),MATCH(M$1,enemy_skill_sets!$1:$1,0)-MATCH($W$1,enemy_skill_sets!$1:$1,0)+2,FALSE)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あらわれて_x000D_時限式ダメージパネルを 2個つくった！</v>
      </c>
      <c r="W62" s="57">
        <v>14002002</v>
      </c>
      <c r="X62" s="7">
        <v>0</v>
      </c>
      <c r="Y62" s="7">
        <v>2</v>
      </c>
      <c r="Z62" s="7">
        <v>1</v>
      </c>
      <c r="AA62" s="58">
        <v>3</v>
      </c>
      <c r="AB62" s="2">
        <f t="shared" si="59"/>
        <v>120</v>
      </c>
      <c r="AC62" s="5" t="str">
        <f ca="1">VLOOKUP($AB62,OFFSET([5]characters!$A$1,0,0,COUNTA([5]characters!$A:$A),MATCH(AC$1,[5]characters!$1:$1,0)-MATCH("character_id",[5]characters!$1:$1,0)+1),MATCH(AC$1,[5]characters!$1:$1,0)-MATCH("character_id",[5]characters!$1:$1,0)+1,FALSE)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62" s="5">
        <f ca="1">VLOOKUP($AB62,OFFSET([5]characters!$A$1,0,0,COUNTA([5]characters!$A:$A),MATCH(AD$1,[5]characters!$1:$1,0)-MATCH("character_id",[5]characters!$1:$1,0)+1),MATCH(AD$1,[5]characters!$1:$1,0)-MATCH("character_id",[5]characters!$1:$1,0)+1,FALSE)</f>
        <v>6</v>
      </c>
      <c r="AE62" s="5" t="str">
        <f ca="1">VLOOKUP($AB62,OFFSET([5]characters!$A$1,0,0,COUNTA([5]characters!$A:$A),MATCH(AE$1,[5]characters!$1:$1,0)-MATCH("character_id",[5]characters!$1:$1,0)+1),MATCH(AE$1,[5]characters!$1:$1,0)-MATCH("character_id",[5]characters!$1:$1,0)+1,FALSE)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62" s="8">
        <v>1</v>
      </c>
      <c r="AG62" s="27">
        <f t="shared" ca="1" si="60"/>
        <v>6</v>
      </c>
      <c r="AH62" s="9">
        <v>100</v>
      </c>
      <c r="AI62" s="8">
        <v>0</v>
      </c>
      <c r="AJ62" s="8">
        <v>0</v>
      </c>
      <c r="AK62" s="8">
        <v>0</v>
      </c>
      <c r="AL62" s="8">
        <v>0</v>
      </c>
      <c r="AM62" s="8">
        <v>1</v>
      </c>
    </row>
    <row r="63" spans="1:39" ht="21" customHeight="1" x14ac:dyDescent="0.15">
      <c r="A63" s="17" t="str">
        <f t="shared" si="56"/>
        <v>14005_1-5/120&lt;lv53&gt;s3</v>
      </c>
      <c r="B63" s="99">
        <v>14005</v>
      </c>
      <c r="C63" s="100">
        <v>1</v>
      </c>
      <c r="D63" s="100" t="str">
        <f t="shared" si="57"/>
        <v>14005_1</v>
      </c>
      <c r="E63" s="101" t="str">
        <f ca="1">VLOOKUP($B63,OFFSET([2]quests!$A$1,0,0,COUNTA([2]quests!$A:$A),MATCH(E$1,[2]quests!$1:$1,0)-MATCH($B$1,[2]quests!$1:$1,0)+1),MATCH(E$1,[2]quests!$1:$1,0)-MATCH($B$1,[2]quests!$1:$1,0)+1,FALSE)</f>
        <v>【ロック】ビット/LINEマルチ</v>
      </c>
      <c r="F63" s="101" t="str">
        <f ca="1">VLOOKUP($D63,OFFSET([2]stages!$A$1,0,0,COUNTA([2]stages!$A:$A),MATCH(F$1,[2]stages!$2:$2,0)-MATCH($D$1,[2]stages!$2:$2,0)+1),MATCH(F$1,[2]stages!$2:$2,0)-MATCH($D$1,[2]stages!$2:$2,0)+1,FALSE)</f>
        <v>【超級】ハイローラー（ハートなし）</v>
      </c>
      <c r="G63" s="100">
        <v>5</v>
      </c>
      <c r="H63" s="16" t="str">
        <f t="shared" si="58"/>
        <v>14005_1-5</v>
      </c>
      <c r="I63" s="5">
        <f ca="1">VLOOKUP($H63,OFFSET(floors!$A$1,0,0,COUNTA(floors!$A:$A),MATCH(I$1,floors!$1:$1,0)-MATCH($H$1,floors!$1:$1,0)+1),MATCH(I$1,floors!$1:$1,0)-MATCH($H$1,floors!$1:$1,0)+1,FALSE)</f>
        <v>60</v>
      </c>
      <c r="J63" s="5">
        <f ca="1">VLOOKUP($H63,OFFSET(floors!$A$1,0,0,COUNTA(floors!$A:$A),MATCH(J$1,floors!$1:$1,0)-MATCH($H$1,floors!$1:$1,0)+1),MATCH(J$1,floors!$1:$1,0)-MATCH($H$1,floors!$1:$1,0)+1,FALSE)</f>
        <v>60</v>
      </c>
      <c r="K63" s="8" t="s">
        <v>142</v>
      </c>
      <c r="L63" s="24">
        <v>120</v>
      </c>
      <c r="M63" s="20" t="str">
        <f ca="1">VLOOKUP($L63,OFFSET([4]enemies!$A$1,0,0,COUNTA([4]enemies!$A:$A),MATCH(M$1,[4]enemies!$1:$1,0)-MATCH($L$1,[4]enemies!$1:$1,0)+1),MATCH(M$1,[4]enemies!$1:$1,0)-MATCH($L$1,[4]enemies!$1:$1,0)+1,FALSE)</f>
        <v>ゴールドキング</v>
      </c>
      <c r="N63" s="20" t="str">
        <f ca="1">VLOOKUP($L63,OFFSET([4]enemies!$A$1,0,0,COUNTA([4]enemies!$A:$A),MATCH(N$1,[4]enemies!$1:$1,0)-MATCH($L$1,[4]enemies!$1:$1,0)+1),MATCH(N$1,[4]enemies!$1:$1,0)-MATCH($L$1,[4]enemies!$1:$1,0)+1,FALSE)</f>
        <v>yellow</v>
      </c>
      <c r="O63" s="20" t="str">
        <f ca="1">VLOOKUP($L63,OFFSET([5]characters!$A$1,0,0,COUNTA([5]characters!$A:$A),MATCH(O$1,[5]characters!$1:$1,0)-MATCH($L$1,[5]characters!$1:$1,0)+1),MATCH(O$1,[5]characters!$1:$1,0)-MATCH($L$1,[5]characters!$1:$1,0)+1,FALSE)</f>
        <v>Material</v>
      </c>
      <c r="P63" s="20" t="str">
        <f ca="1">VLOOKUP($L63,OFFSET([4]enemies!$A$1,0,0,COUNTA([4]enemies!$A:$A),MATCH(P$1,[4]enemies!$1:$1,0)-MATCH($L$1,[4]enemies!$1:$1,0)+1),MATCH(P$1,[4]enemies!$1:$1,0)-MATCH($L$1,[4]enemies!$1:$1,0)+1,FALSE)</f>
        <v>unknown</v>
      </c>
      <c r="Q63" s="20">
        <f ca="1">VLOOKUP($L63,OFFSET([4]enemies!$A$1,0,0,COUNTA([4]enemies!$A:$A),MATCH(Q$1,[4]enemies!$1:$1,0)-MATCH($L$1,[4]enemies!$1:$1,0)+1),MATCH(Q$1,[4]enemies!$1:$1,0)-MATCH($L$1,[4]enemies!$1:$1,0)+1,FALSE)</f>
        <v>20</v>
      </c>
      <c r="R63" s="6">
        <v>53</v>
      </c>
      <c r="S63" s="29">
        <v>18</v>
      </c>
      <c r="T63" s="29">
        <v>10</v>
      </c>
      <c r="U63" s="6">
        <v>0</v>
      </c>
      <c r="V63" s="5" t="str">
        <f ca="1">VLOOKUP($W63,OFFSET(enemy_skill_sets!$B$1,0,0,COUNTA(enemy_skill_sets!$B:$B),MATCH(M$1,enemy_skill_sets!$1:$1,0)-MATCH($W$1,enemy_skill_sets!$1:$1,0)+2),MATCH(M$1,enemy_skill_sets!$1:$1,0)-MATCH($W$1,enemy_skill_sets!$1:$1,0)+2,FALSE)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あらわれて_x000D_時限式ダメージパネルを 3個つくった！</v>
      </c>
      <c r="W63" s="57">
        <v>14002003</v>
      </c>
      <c r="X63" s="7">
        <v>0</v>
      </c>
      <c r="Y63" s="7">
        <v>2</v>
      </c>
      <c r="Z63" s="7">
        <v>1</v>
      </c>
      <c r="AA63" s="58">
        <v>3</v>
      </c>
      <c r="AB63" s="2">
        <f t="shared" si="59"/>
        <v>120</v>
      </c>
      <c r="AC63" s="5" t="str">
        <f ca="1">VLOOKUP($AB63,OFFSET([5]characters!$A$1,0,0,COUNTA([5]characters!$A:$A),MATCH(AC$1,[5]characters!$1:$1,0)-MATCH("character_id",[5]characters!$1:$1,0)+1),MATCH(AC$1,[5]characters!$1:$1,0)-MATCH("character_id",[5]characters!$1:$1,0)+1,FALSE)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63" s="5">
        <f ca="1">VLOOKUP($AB63,OFFSET([5]characters!$A$1,0,0,COUNTA([5]characters!$A:$A),MATCH(AD$1,[5]characters!$1:$1,0)-MATCH("character_id",[5]characters!$1:$1,0)+1),MATCH(AD$1,[5]characters!$1:$1,0)-MATCH("character_id",[5]characters!$1:$1,0)+1,FALSE)</f>
        <v>6</v>
      </c>
      <c r="AE63" s="5" t="str">
        <f ca="1">VLOOKUP($AB63,OFFSET([5]characters!$A$1,0,0,COUNTA([5]characters!$A:$A),MATCH(AE$1,[5]characters!$1:$1,0)-MATCH("character_id",[5]characters!$1:$1,0)+1),MATCH(AE$1,[5]characters!$1:$1,0)-MATCH("character_id",[5]characters!$1:$1,0)+1,FALSE)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63" s="8">
        <v>1</v>
      </c>
      <c r="AG63" s="27">
        <f t="shared" ca="1" si="60"/>
        <v>6</v>
      </c>
      <c r="AH63" s="9">
        <v>100</v>
      </c>
      <c r="AI63" s="8">
        <v>0</v>
      </c>
      <c r="AJ63" s="8">
        <v>0</v>
      </c>
      <c r="AK63" s="8">
        <v>0</v>
      </c>
      <c r="AL63" s="8">
        <v>0</v>
      </c>
      <c r="AM63" s="8">
        <v>1</v>
      </c>
    </row>
    <row r="64" spans="1:39" ht="21" customHeight="1" x14ac:dyDescent="0.15">
      <c r="A64" s="17" t="str">
        <f t="shared" si="56"/>
        <v>14005_1-5/120&lt;lv54&gt;s3</v>
      </c>
      <c r="B64" s="99">
        <v>14005</v>
      </c>
      <c r="C64" s="100">
        <v>1</v>
      </c>
      <c r="D64" s="100" t="str">
        <f t="shared" si="57"/>
        <v>14005_1</v>
      </c>
      <c r="E64" s="101" t="str">
        <f ca="1">VLOOKUP($B64,OFFSET([2]quests!$A$1,0,0,COUNTA([2]quests!$A:$A),MATCH(E$1,[2]quests!$1:$1,0)-MATCH($B$1,[2]quests!$1:$1,0)+1),MATCH(E$1,[2]quests!$1:$1,0)-MATCH($B$1,[2]quests!$1:$1,0)+1,FALSE)</f>
        <v>【ロック】ビット/LINEマルチ</v>
      </c>
      <c r="F64" s="101" t="str">
        <f ca="1">VLOOKUP($D64,OFFSET([2]stages!$A$1,0,0,COUNTA([2]stages!$A:$A),MATCH(F$1,[2]stages!$2:$2,0)-MATCH($D$1,[2]stages!$2:$2,0)+1),MATCH(F$1,[2]stages!$2:$2,0)-MATCH($D$1,[2]stages!$2:$2,0)+1,FALSE)</f>
        <v>【超級】ハイローラー（ハートなし）</v>
      </c>
      <c r="G64" s="100">
        <v>5</v>
      </c>
      <c r="H64" s="16" t="str">
        <f t="shared" si="58"/>
        <v>14005_1-5</v>
      </c>
      <c r="I64" s="5">
        <f ca="1">VLOOKUP($H64,OFFSET(floors!$A$1,0,0,COUNTA(floors!$A:$A),MATCH(I$1,floors!$1:$1,0)-MATCH($H$1,floors!$1:$1,0)+1),MATCH(I$1,floors!$1:$1,0)-MATCH($H$1,floors!$1:$1,0)+1,FALSE)</f>
        <v>60</v>
      </c>
      <c r="J64" s="5">
        <f ca="1">VLOOKUP($H64,OFFSET(floors!$A$1,0,0,COUNTA(floors!$A:$A),MATCH(J$1,floors!$1:$1,0)-MATCH($H$1,floors!$1:$1,0)+1),MATCH(J$1,floors!$1:$1,0)-MATCH($H$1,floors!$1:$1,0)+1,FALSE)</f>
        <v>60</v>
      </c>
      <c r="K64" s="8" t="s">
        <v>142</v>
      </c>
      <c r="L64" s="24">
        <v>120</v>
      </c>
      <c r="M64" s="20" t="str">
        <f ca="1">VLOOKUP($L64,OFFSET([4]enemies!$A$1,0,0,COUNTA([4]enemies!$A:$A),MATCH(M$1,[4]enemies!$1:$1,0)-MATCH($L$1,[4]enemies!$1:$1,0)+1),MATCH(M$1,[4]enemies!$1:$1,0)-MATCH($L$1,[4]enemies!$1:$1,0)+1,FALSE)</f>
        <v>ゴールドキング</v>
      </c>
      <c r="N64" s="20" t="str">
        <f ca="1">VLOOKUP($L64,OFFSET([4]enemies!$A$1,0,0,COUNTA([4]enemies!$A:$A),MATCH(N$1,[4]enemies!$1:$1,0)-MATCH($L$1,[4]enemies!$1:$1,0)+1),MATCH(N$1,[4]enemies!$1:$1,0)-MATCH($L$1,[4]enemies!$1:$1,0)+1,FALSE)</f>
        <v>yellow</v>
      </c>
      <c r="O64" s="20" t="str">
        <f ca="1">VLOOKUP($L64,OFFSET([5]characters!$A$1,0,0,COUNTA([5]characters!$A:$A),MATCH(O$1,[5]characters!$1:$1,0)-MATCH($L$1,[5]characters!$1:$1,0)+1),MATCH(O$1,[5]characters!$1:$1,0)-MATCH($L$1,[5]characters!$1:$1,0)+1,FALSE)</f>
        <v>Material</v>
      </c>
      <c r="P64" s="20" t="str">
        <f ca="1">VLOOKUP($L64,OFFSET([4]enemies!$A$1,0,0,COUNTA([4]enemies!$A:$A),MATCH(P$1,[4]enemies!$1:$1,0)-MATCH($L$1,[4]enemies!$1:$1,0)+1),MATCH(P$1,[4]enemies!$1:$1,0)-MATCH($L$1,[4]enemies!$1:$1,0)+1,FALSE)</f>
        <v>unknown</v>
      </c>
      <c r="Q64" s="20">
        <f ca="1">VLOOKUP($L64,OFFSET([4]enemies!$A$1,0,0,COUNTA([4]enemies!$A:$A),MATCH(Q$1,[4]enemies!$1:$1,0)-MATCH($L$1,[4]enemies!$1:$1,0)+1),MATCH(Q$1,[4]enemies!$1:$1,0)-MATCH($L$1,[4]enemies!$1:$1,0)+1,FALSE)</f>
        <v>20</v>
      </c>
      <c r="R64" s="6">
        <v>54</v>
      </c>
      <c r="S64" s="29">
        <v>18</v>
      </c>
      <c r="T64" s="29">
        <v>10</v>
      </c>
      <c r="U64" s="6">
        <v>0</v>
      </c>
      <c r="V64" s="5" t="str">
        <f ca="1">VLOOKUP($W64,OFFSET(enemy_skill_sets!$B$1,0,0,COUNTA(enemy_skill_sets!$B:$B),MATCH(M$1,enemy_skill_sets!$1:$1,0)-MATCH($W$1,enemy_skill_sets!$1:$1,0)+2),MATCH(M$1,enemy_skill_sets!$1:$1,0)-MATCH($W$1,enemy_skill_sets!$1:$1,0)+2,FALSE)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あらわれて_x000D_時限式ダメージパネルを 4個つくった！</v>
      </c>
      <c r="W64" s="57">
        <v>14002004</v>
      </c>
      <c r="X64" s="7">
        <v>0</v>
      </c>
      <c r="Y64" s="7">
        <v>2</v>
      </c>
      <c r="Z64" s="7">
        <v>1</v>
      </c>
      <c r="AA64" s="58">
        <v>3</v>
      </c>
      <c r="AB64" s="2">
        <f t="shared" si="59"/>
        <v>120</v>
      </c>
      <c r="AC64" s="5" t="str">
        <f ca="1">VLOOKUP($AB64,OFFSET([5]characters!$A$1,0,0,COUNTA([5]characters!$A:$A),MATCH(AC$1,[5]characters!$1:$1,0)-MATCH("character_id",[5]characters!$1:$1,0)+1),MATCH(AC$1,[5]characters!$1:$1,0)-MATCH("character_id",[5]characters!$1:$1,0)+1,FALSE)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64" s="5">
        <f ca="1">VLOOKUP($AB64,OFFSET([5]characters!$A$1,0,0,COUNTA([5]characters!$A:$A),MATCH(AD$1,[5]characters!$1:$1,0)-MATCH("character_id",[5]characters!$1:$1,0)+1),MATCH(AD$1,[5]characters!$1:$1,0)-MATCH("character_id",[5]characters!$1:$1,0)+1,FALSE)</f>
        <v>6</v>
      </c>
      <c r="AE64" s="5" t="str">
        <f ca="1">VLOOKUP($AB64,OFFSET([5]characters!$A$1,0,0,COUNTA([5]characters!$A:$A),MATCH(AE$1,[5]characters!$1:$1,0)-MATCH("character_id",[5]characters!$1:$1,0)+1),MATCH(AE$1,[5]characters!$1:$1,0)-MATCH("character_id",[5]characters!$1:$1,0)+1,FALSE)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64" s="8">
        <v>1</v>
      </c>
      <c r="AG64" s="27">
        <f t="shared" ca="1" si="60"/>
        <v>6</v>
      </c>
      <c r="AH64" s="9">
        <v>100</v>
      </c>
      <c r="AI64" s="8">
        <v>0</v>
      </c>
      <c r="AJ64" s="8">
        <v>0</v>
      </c>
      <c r="AK64" s="8">
        <v>0</v>
      </c>
      <c r="AL64" s="8">
        <v>0</v>
      </c>
      <c r="AM64" s="8">
        <v>1</v>
      </c>
    </row>
    <row r="65" spans="1:39" ht="21" customHeight="1" x14ac:dyDescent="0.15">
      <c r="A65" s="17" t="str">
        <f t="shared" si="56"/>
        <v>14005_1-5/120&lt;lv55&gt;s3</v>
      </c>
      <c r="B65" s="99">
        <v>14005</v>
      </c>
      <c r="C65" s="100">
        <v>1</v>
      </c>
      <c r="D65" s="100" t="str">
        <f t="shared" si="57"/>
        <v>14005_1</v>
      </c>
      <c r="E65" s="101" t="str">
        <f ca="1">VLOOKUP($B65,OFFSET([2]quests!$A$1,0,0,COUNTA([2]quests!$A:$A),MATCH(E$1,[2]quests!$1:$1,0)-MATCH($B$1,[2]quests!$1:$1,0)+1),MATCH(E$1,[2]quests!$1:$1,0)-MATCH($B$1,[2]quests!$1:$1,0)+1,FALSE)</f>
        <v>【ロック】ビット/LINEマルチ</v>
      </c>
      <c r="F65" s="101" t="str">
        <f ca="1">VLOOKUP($D65,OFFSET([2]stages!$A$1,0,0,COUNTA([2]stages!$A:$A),MATCH(F$1,[2]stages!$2:$2,0)-MATCH($D$1,[2]stages!$2:$2,0)+1),MATCH(F$1,[2]stages!$2:$2,0)-MATCH($D$1,[2]stages!$2:$2,0)+1,FALSE)</f>
        <v>【超級】ハイローラー（ハートなし）</v>
      </c>
      <c r="G65" s="100">
        <v>5</v>
      </c>
      <c r="H65" s="16" t="str">
        <f t="shared" si="58"/>
        <v>14005_1-5</v>
      </c>
      <c r="I65" s="5">
        <f ca="1">VLOOKUP($H65,OFFSET(floors!$A$1,0,0,COUNTA(floors!$A:$A),MATCH(I$1,floors!$1:$1,0)-MATCH($H$1,floors!$1:$1,0)+1),MATCH(I$1,floors!$1:$1,0)-MATCH($H$1,floors!$1:$1,0)+1,FALSE)</f>
        <v>60</v>
      </c>
      <c r="J65" s="5">
        <f ca="1">VLOOKUP($H65,OFFSET(floors!$A$1,0,0,COUNTA(floors!$A:$A),MATCH(J$1,floors!$1:$1,0)-MATCH($H$1,floors!$1:$1,0)+1),MATCH(J$1,floors!$1:$1,0)-MATCH($H$1,floors!$1:$1,0)+1,FALSE)</f>
        <v>60</v>
      </c>
      <c r="K65" s="8" t="s">
        <v>142</v>
      </c>
      <c r="L65" s="24">
        <v>120</v>
      </c>
      <c r="M65" s="20" t="str">
        <f ca="1">VLOOKUP($L65,OFFSET([4]enemies!$A$1,0,0,COUNTA([4]enemies!$A:$A),MATCH(M$1,[4]enemies!$1:$1,0)-MATCH($L$1,[4]enemies!$1:$1,0)+1),MATCH(M$1,[4]enemies!$1:$1,0)-MATCH($L$1,[4]enemies!$1:$1,0)+1,FALSE)</f>
        <v>ゴールドキング</v>
      </c>
      <c r="N65" s="20" t="str">
        <f ca="1">VLOOKUP($L65,OFFSET([4]enemies!$A$1,0,0,COUNTA([4]enemies!$A:$A),MATCH(N$1,[4]enemies!$1:$1,0)-MATCH($L$1,[4]enemies!$1:$1,0)+1),MATCH(N$1,[4]enemies!$1:$1,0)-MATCH($L$1,[4]enemies!$1:$1,0)+1,FALSE)</f>
        <v>yellow</v>
      </c>
      <c r="O65" s="20" t="str">
        <f ca="1">VLOOKUP($L65,OFFSET([5]characters!$A$1,0,0,COUNTA([5]characters!$A:$A),MATCH(O$1,[5]characters!$1:$1,0)-MATCH($L$1,[5]characters!$1:$1,0)+1),MATCH(O$1,[5]characters!$1:$1,0)-MATCH($L$1,[5]characters!$1:$1,0)+1,FALSE)</f>
        <v>Material</v>
      </c>
      <c r="P65" s="20" t="str">
        <f ca="1">VLOOKUP($L65,OFFSET([4]enemies!$A$1,0,0,COUNTA([4]enemies!$A:$A),MATCH(P$1,[4]enemies!$1:$1,0)-MATCH($L$1,[4]enemies!$1:$1,0)+1),MATCH(P$1,[4]enemies!$1:$1,0)-MATCH($L$1,[4]enemies!$1:$1,0)+1,FALSE)</f>
        <v>unknown</v>
      </c>
      <c r="Q65" s="20">
        <f ca="1">VLOOKUP($L65,OFFSET([4]enemies!$A$1,0,0,COUNTA([4]enemies!$A:$A),MATCH(Q$1,[4]enemies!$1:$1,0)-MATCH($L$1,[4]enemies!$1:$1,0)+1),MATCH(Q$1,[4]enemies!$1:$1,0)-MATCH($L$1,[4]enemies!$1:$1,0)+1,FALSE)</f>
        <v>20</v>
      </c>
      <c r="R65" s="6">
        <v>55</v>
      </c>
      <c r="S65" s="29">
        <v>18</v>
      </c>
      <c r="T65" s="29">
        <v>10</v>
      </c>
      <c r="U65" s="6">
        <v>0</v>
      </c>
      <c r="V65" s="5" t="str">
        <f ca="1">VLOOKUP($W65,OFFSET(enemy_skill_sets!$B$1,0,0,COUNTA(enemy_skill_sets!$B:$B),MATCH(M$1,enemy_skill_sets!$1:$1,0)-MATCH($W$1,enemy_skill_sets!$1:$1,0)+2),MATCH(M$1,enemy_skill_sets!$1:$1,0)-MATCH($W$1,enemy_skill_sets!$1:$1,0)+2,FALSE)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あらわれて_x000D_時限式ダメージパネルを 5個つくった！</v>
      </c>
      <c r="W65" s="57">
        <v>14002005</v>
      </c>
      <c r="X65" s="7">
        <v>0</v>
      </c>
      <c r="Y65" s="7">
        <v>2</v>
      </c>
      <c r="Z65" s="7">
        <v>1</v>
      </c>
      <c r="AA65" s="58">
        <v>3</v>
      </c>
      <c r="AB65" s="2">
        <f t="shared" si="59"/>
        <v>120</v>
      </c>
      <c r="AC65" s="5" t="str">
        <f ca="1">VLOOKUP($AB65,OFFSET([5]characters!$A$1,0,0,COUNTA([5]characters!$A:$A),MATCH(AC$1,[5]characters!$1:$1,0)-MATCH("character_id",[5]characters!$1:$1,0)+1),MATCH(AC$1,[5]characters!$1:$1,0)-MATCH("character_id",[5]characters!$1:$1,0)+1,FALSE)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65" s="5">
        <f ca="1">VLOOKUP($AB65,OFFSET([5]characters!$A$1,0,0,COUNTA([5]characters!$A:$A),MATCH(AD$1,[5]characters!$1:$1,0)-MATCH("character_id",[5]characters!$1:$1,0)+1),MATCH(AD$1,[5]characters!$1:$1,0)-MATCH("character_id",[5]characters!$1:$1,0)+1,FALSE)</f>
        <v>6</v>
      </c>
      <c r="AE65" s="5" t="str">
        <f ca="1">VLOOKUP($AB65,OFFSET([5]characters!$A$1,0,0,COUNTA([5]characters!$A:$A),MATCH(AE$1,[5]characters!$1:$1,0)-MATCH("character_id",[5]characters!$1:$1,0)+1),MATCH(AE$1,[5]characters!$1:$1,0)-MATCH("character_id",[5]characters!$1:$1,0)+1,FALSE)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65" s="8">
        <v>1</v>
      </c>
      <c r="AG65" s="27">
        <f t="shared" ca="1" si="60"/>
        <v>6</v>
      </c>
      <c r="AH65" s="9">
        <v>100</v>
      </c>
      <c r="AI65" s="8">
        <v>0</v>
      </c>
      <c r="AJ65" s="8">
        <v>0</v>
      </c>
      <c r="AK65" s="8">
        <v>0</v>
      </c>
      <c r="AL65" s="8">
        <v>0</v>
      </c>
      <c r="AM65" s="8">
        <v>1</v>
      </c>
    </row>
    <row r="66" spans="1:39" ht="21" customHeight="1" x14ac:dyDescent="0.15">
      <c r="A66" s="17" t="str">
        <f t="shared" si="56"/>
        <v>14005_1-5/120&lt;lv56&gt;s3</v>
      </c>
      <c r="B66" s="99">
        <v>14005</v>
      </c>
      <c r="C66" s="100">
        <v>1</v>
      </c>
      <c r="D66" s="100" t="str">
        <f t="shared" si="57"/>
        <v>14005_1</v>
      </c>
      <c r="E66" s="101" t="str">
        <f ca="1">VLOOKUP($B66,OFFSET([2]quests!$A$1,0,0,COUNTA([2]quests!$A:$A),MATCH(E$1,[2]quests!$1:$1,0)-MATCH($B$1,[2]quests!$1:$1,0)+1),MATCH(E$1,[2]quests!$1:$1,0)-MATCH($B$1,[2]quests!$1:$1,0)+1,FALSE)</f>
        <v>【ロック】ビット/LINEマルチ</v>
      </c>
      <c r="F66" s="101" t="str">
        <f ca="1">VLOOKUP($D66,OFFSET([2]stages!$A$1,0,0,COUNTA([2]stages!$A:$A),MATCH(F$1,[2]stages!$2:$2,0)-MATCH($D$1,[2]stages!$2:$2,0)+1),MATCH(F$1,[2]stages!$2:$2,0)-MATCH($D$1,[2]stages!$2:$2,0)+1,FALSE)</f>
        <v>【超級】ハイローラー（ハートなし）</v>
      </c>
      <c r="G66" s="100">
        <v>5</v>
      </c>
      <c r="H66" s="16" t="str">
        <f t="shared" si="58"/>
        <v>14005_1-5</v>
      </c>
      <c r="I66" s="5">
        <f ca="1">VLOOKUP($H66,OFFSET(floors!$A$1,0,0,COUNTA(floors!$A:$A),MATCH(I$1,floors!$1:$1,0)-MATCH($H$1,floors!$1:$1,0)+1),MATCH(I$1,floors!$1:$1,0)-MATCH($H$1,floors!$1:$1,0)+1,FALSE)</f>
        <v>60</v>
      </c>
      <c r="J66" s="5">
        <f ca="1">VLOOKUP($H66,OFFSET(floors!$A$1,0,0,COUNTA(floors!$A:$A),MATCH(J$1,floors!$1:$1,0)-MATCH($H$1,floors!$1:$1,0)+1),MATCH(J$1,floors!$1:$1,0)-MATCH($H$1,floors!$1:$1,0)+1,FALSE)</f>
        <v>60</v>
      </c>
      <c r="K66" s="8" t="s">
        <v>142</v>
      </c>
      <c r="L66" s="24">
        <v>120</v>
      </c>
      <c r="M66" s="20" t="str">
        <f ca="1">VLOOKUP($L66,OFFSET([4]enemies!$A$1,0,0,COUNTA([4]enemies!$A:$A),MATCH(M$1,[4]enemies!$1:$1,0)-MATCH($L$1,[4]enemies!$1:$1,0)+1),MATCH(M$1,[4]enemies!$1:$1,0)-MATCH($L$1,[4]enemies!$1:$1,0)+1,FALSE)</f>
        <v>ゴールドキング</v>
      </c>
      <c r="N66" s="20" t="str">
        <f ca="1">VLOOKUP($L66,OFFSET([4]enemies!$A$1,0,0,COUNTA([4]enemies!$A:$A),MATCH(N$1,[4]enemies!$1:$1,0)-MATCH($L$1,[4]enemies!$1:$1,0)+1),MATCH(N$1,[4]enemies!$1:$1,0)-MATCH($L$1,[4]enemies!$1:$1,0)+1,FALSE)</f>
        <v>yellow</v>
      </c>
      <c r="O66" s="20" t="str">
        <f ca="1">VLOOKUP($L66,OFFSET([5]characters!$A$1,0,0,COUNTA([5]characters!$A:$A),MATCH(O$1,[5]characters!$1:$1,0)-MATCH($L$1,[5]characters!$1:$1,0)+1),MATCH(O$1,[5]characters!$1:$1,0)-MATCH($L$1,[5]characters!$1:$1,0)+1,FALSE)</f>
        <v>Material</v>
      </c>
      <c r="P66" s="20" t="str">
        <f ca="1">VLOOKUP($L66,OFFSET([4]enemies!$A$1,0,0,COUNTA([4]enemies!$A:$A),MATCH(P$1,[4]enemies!$1:$1,0)-MATCH($L$1,[4]enemies!$1:$1,0)+1),MATCH(P$1,[4]enemies!$1:$1,0)-MATCH($L$1,[4]enemies!$1:$1,0)+1,FALSE)</f>
        <v>unknown</v>
      </c>
      <c r="Q66" s="20">
        <f ca="1">VLOOKUP($L66,OFFSET([4]enemies!$A$1,0,0,COUNTA([4]enemies!$A:$A),MATCH(Q$1,[4]enemies!$1:$1,0)-MATCH($L$1,[4]enemies!$1:$1,0)+1),MATCH(Q$1,[4]enemies!$1:$1,0)-MATCH($L$1,[4]enemies!$1:$1,0)+1,FALSE)</f>
        <v>20</v>
      </c>
      <c r="R66" s="6">
        <v>56</v>
      </c>
      <c r="S66" s="29">
        <v>18</v>
      </c>
      <c r="T66" s="29">
        <v>10</v>
      </c>
      <c r="U66" s="6">
        <v>0</v>
      </c>
      <c r="V66" s="5" t="str">
        <f ca="1">VLOOKUP($W66,OFFSET(enemy_skill_sets!$B$1,0,0,COUNTA(enemy_skill_sets!$B:$B),MATCH(M$1,enemy_skill_sets!$1:$1,0)-MATCH($W$1,enemy_skill_sets!$1:$1,0)+2),MATCH(M$1,enemy_skill_sets!$1:$1,0)-MATCH($W$1,enemy_skill_sets!$1:$1,0)+2,FALSE)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あらわれて_x000D_時限式ダメージパネルを 6個つくった！</v>
      </c>
      <c r="W66" s="57">
        <v>14002006</v>
      </c>
      <c r="X66" s="7">
        <v>0</v>
      </c>
      <c r="Y66" s="7">
        <v>2</v>
      </c>
      <c r="Z66" s="7">
        <v>1</v>
      </c>
      <c r="AA66" s="58">
        <v>3</v>
      </c>
      <c r="AB66" s="2">
        <f t="shared" si="59"/>
        <v>120</v>
      </c>
      <c r="AC66" s="5" t="str">
        <f ca="1">VLOOKUP($AB66,OFFSET([5]characters!$A$1,0,0,COUNTA([5]characters!$A:$A),MATCH(AC$1,[5]characters!$1:$1,0)-MATCH("character_id",[5]characters!$1:$1,0)+1),MATCH(AC$1,[5]characters!$1:$1,0)-MATCH("character_id",[5]characters!$1:$1,0)+1,FALSE)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66" s="5">
        <f ca="1">VLOOKUP($AB66,OFFSET([5]characters!$A$1,0,0,COUNTA([5]characters!$A:$A),MATCH(AD$1,[5]characters!$1:$1,0)-MATCH("character_id",[5]characters!$1:$1,0)+1),MATCH(AD$1,[5]characters!$1:$1,0)-MATCH("character_id",[5]characters!$1:$1,0)+1,FALSE)</f>
        <v>6</v>
      </c>
      <c r="AE66" s="5" t="str">
        <f ca="1">VLOOKUP($AB66,OFFSET([5]characters!$A$1,0,0,COUNTA([5]characters!$A:$A),MATCH(AE$1,[5]characters!$1:$1,0)-MATCH("character_id",[5]characters!$1:$1,0)+1),MATCH(AE$1,[5]characters!$1:$1,0)-MATCH("character_id",[5]characters!$1:$1,0)+1,FALSE)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66" s="8">
        <v>1</v>
      </c>
      <c r="AG66" s="27">
        <f t="shared" ca="1" si="60"/>
        <v>6</v>
      </c>
      <c r="AH66" s="9">
        <v>100</v>
      </c>
      <c r="AI66" s="8">
        <v>0</v>
      </c>
      <c r="AJ66" s="8">
        <v>0</v>
      </c>
      <c r="AK66" s="8">
        <v>0</v>
      </c>
      <c r="AL66" s="8">
        <v>0</v>
      </c>
      <c r="AM66" s="8">
        <v>1</v>
      </c>
    </row>
    <row r="67" spans="1:39" ht="21" customHeight="1" x14ac:dyDescent="0.15">
      <c r="A67" s="17" t="str">
        <f t="shared" si="56"/>
        <v>14005_1-5/120&lt;lv57&gt;s3</v>
      </c>
      <c r="B67" s="99">
        <v>14005</v>
      </c>
      <c r="C67" s="100">
        <v>1</v>
      </c>
      <c r="D67" s="100" t="str">
        <f t="shared" si="57"/>
        <v>14005_1</v>
      </c>
      <c r="E67" s="101" t="str">
        <f ca="1">VLOOKUP($B67,OFFSET([2]quests!$A$1,0,0,COUNTA([2]quests!$A:$A),MATCH(E$1,[2]quests!$1:$1,0)-MATCH($B$1,[2]quests!$1:$1,0)+1),MATCH(E$1,[2]quests!$1:$1,0)-MATCH($B$1,[2]quests!$1:$1,0)+1,FALSE)</f>
        <v>【ロック】ビット/LINEマルチ</v>
      </c>
      <c r="F67" s="101" t="str">
        <f ca="1">VLOOKUP($D67,OFFSET([2]stages!$A$1,0,0,COUNTA([2]stages!$A:$A),MATCH(F$1,[2]stages!$2:$2,0)-MATCH($D$1,[2]stages!$2:$2,0)+1),MATCH(F$1,[2]stages!$2:$2,0)-MATCH($D$1,[2]stages!$2:$2,0)+1,FALSE)</f>
        <v>【超級】ハイローラー（ハートなし）</v>
      </c>
      <c r="G67" s="100">
        <v>5</v>
      </c>
      <c r="H67" s="16" t="str">
        <f t="shared" si="58"/>
        <v>14005_1-5</v>
      </c>
      <c r="I67" s="5">
        <f ca="1">VLOOKUP($H67,OFFSET(floors!$A$1,0,0,COUNTA(floors!$A:$A),MATCH(I$1,floors!$1:$1,0)-MATCH($H$1,floors!$1:$1,0)+1),MATCH(I$1,floors!$1:$1,0)-MATCH($H$1,floors!$1:$1,0)+1,FALSE)</f>
        <v>60</v>
      </c>
      <c r="J67" s="5">
        <f ca="1">VLOOKUP($H67,OFFSET(floors!$A$1,0,0,COUNTA(floors!$A:$A),MATCH(J$1,floors!$1:$1,0)-MATCH($H$1,floors!$1:$1,0)+1),MATCH(J$1,floors!$1:$1,0)-MATCH($H$1,floors!$1:$1,0)+1,FALSE)</f>
        <v>60</v>
      </c>
      <c r="K67" s="8" t="s">
        <v>142</v>
      </c>
      <c r="L67" s="24">
        <v>120</v>
      </c>
      <c r="M67" s="20" t="str">
        <f ca="1">VLOOKUP($L67,OFFSET([4]enemies!$A$1,0,0,COUNTA([4]enemies!$A:$A),MATCH(M$1,[4]enemies!$1:$1,0)-MATCH($L$1,[4]enemies!$1:$1,0)+1),MATCH(M$1,[4]enemies!$1:$1,0)-MATCH($L$1,[4]enemies!$1:$1,0)+1,FALSE)</f>
        <v>ゴールドキング</v>
      </c>
      <c r="N67" s="20" t="str">
        <f ca="1">VLOOKUP($L67,OFFSET([4]enemies!$A$1,0,0,COUNTA([4]enemies!$A:$A),MATCH(N$1,[4]enemies!$1:$1,0)-MATCH($L$1,[4]enemies!$1:$1,0)+1),MATCH(N$1,[4]enemies!$1:$1,0)-MATCH($L$1,[4]enemies!$1:$1,0)+1,FALSE)</f>
        <v>yellow</v>
      </c>
      <c r="O67" s="20" t="str">
        <f ca="1">VLOOKUP($L67,OFFSET([5]characters!$A$1,0,0,COUNTA([5]characters!$A:$A),MATCH(O$1,[5]characters!$1:$1,0)-MATCH($L$1,[5]characters!$1:$1,0)+1),MATCH(O$1,[5]characters!$1:$1,0)-MATCH($L$1,[5]characters!$1:$1,0)+1,FALSE)</f>
        <v>Material</v>
      </c>
      <c r="P67" s="20" t="str">
        <f ca="1">VLOOKUP($L67,OFFSET([4]enemies!$A$1,0,0,COUNTA([4]enemies!$A:$A),MATCH(P$1,[4]enemies!$1:$1,0)-MATCH($L$1,[4]enemies!$1:$1,0)+1),MATCH(P$1,[4]enemies!$1:$1,0)-MATCH($L$1,[4]enemies!$1:$1,0)+1,FALSE)</f>
        <v>unknown</v>
      </c>
      <c r="Q67" s="20">
        <f ca="1">VLOOKUP($L67,OFFSET([4]enemies!$A$1,0,0,COUNTA([4]enemies!$A:$A),MATCH(Q$1,[4]enemies!$1:$1,0)-MATCH($L$1,[4]enemies!$1:$1,0)+1),MATCH(Q$1,[4]enemies!$1:$1,0)-MATCH($L$1,[4]enemies!$1:$1,0)+1,FALSE)</f>
        <v>20</v>
      </c>
      <c r="R67" s="6">
        <v>57</v>
      </c>
      <c r="S67" s="29">
        <v>18</v>
      </c>
      <c r="T67" s="29">
        <v>10</v>
      </c>
      <c r="U67" s="6">
        <v>0</v>
      </c>
      <c r="V67" s="5" t="str">
        <f ca="1">VLOOKUP($W67,OFFSET(enemy_skill_sets!$B$1,0,0,COUNTA(enemy_skill_sets!$B:$B),MATCH(M$1,enemy_skill_sets!$1:$1,0)-MATCH($W$1,enemy_skill_sets!$1:$1,0)+2),MATCH(M$1,enemy_skill_sets!$1:$1,0)-MATCH($W$1,enemy_skill_sets!$1:$1,0)+2,FALSE)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あらわれて_x000D_ボムパネルを 3個つくった！</v>
      </c>
      <c r="W67" s="57">
        <v>14002007</v>
      </c>
      <c r="X67" s="7">
        <v>0</v>
      </c>
      <c r="Y67" s="7">
        <v>6</v>
      </c>
      <c r="Z67" s="7">
        <v>1</v>
      </c>
      <c r="AA67" s="58">
        <v>3</v>
      </c>
      <c r="AB67" s="2">
        <f t="shared" si="59"/>
        <v>120</v>
      </c>
      <c r="AC67" s="5" t="str">
        <f ca="1">VLOOKUP($AB67,OFFSET([5]characters!$A$1,0,0,COUNTA([5]characters!$A:$A),MATCH(AC$1,[5]characters!$1:$1,0)-MATCH("character_id",[5]characters!$1:$1,0)+1),MATCH(AC$1,[5]characters!$1:$1,0)-MATCH("character_id",[5]characters!$1:$1,0)+1,FALSE)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67" s="5">
        <f ca="1">VLOOKUP($AB67,OFFSET([5]characters!$A$1,0,0,COUNTA([5]characters!$A:$A),MATCH(AD$1,[5]characters!$1:$1,0)-MATCH("character_id",[5]characters!$1:$1,0)+1),MATCH(AD$1,[5]characters!$1:$1,0)-MATCH("character_id",[5]characters!$1:$1,0)+1,FALSE)</f>
        <v>6</v>
      </c>
      <c r="AE67" s="5" t="str">
        <f ca="1">VLOOKUP($AB67,OFFSET([5]characters!$A$1,0,0,COUNTA([5]characters!$A:$A),MATCH(AE$1,[5]characters!$1:$1,0)-MATCH("character_id",[5]characters!$1:$1,0)+1),MATCH(AE$1,[5]characters!$1:$1,0)-MATCH("character_id",[5]characters!$1:$1,0)+1,FALSE)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67" s="8">
        <v>1</v>
      </c>
      <c r="AG67" s="27">
        <f t="shared" ca="1" si="60"/>
        <v>6</v>
      </c>
      <c r="AH67" s="9">
        <v>100</v>
      </c>
      <c r="AI67" s="8">
        <v>0</v>
      </c>
      <c r="AJ67" s="8">
        <v>0</v>
      </c>
      <c r="AK67" s="8">
        <v>0</v>
      </c>
      <c r="AL67" s="8">
        <v>0</v>
      </c>
      <c r="AM67" s="8">
        <v>1</v>
      </c>
    </row>
    <row r="68" spans="1:39" ht="21" customHeight="1" x14ac:dyDescent="0.15">
      <c r="A68" s="17" t="str">
        <f t="shared" ref="A68:A71" si="61">B68&amp;"_"&amp;C68&amp;"-"&amp;G68&amp;"/"&amp;L68&amp;"&lt;lv"&amp;R68&amp;"&gt;s"&amp;AA68</f>
        <v>14005_1-5/120&lt;lv58&gt;s3</v>
      </c>
      <c r="B68" s="99">
        <v>14005</v>
      </c>
      <c r="C68" s="100">
        <v>1</v>
      </c>
      <c r="D68" s="100" t="str">
        <f t="shared" ref="D68:D71" si="62">B68&amp;"_"&amp;C68</f>
        <v>14005_1</v>
      </c>
      <c r="E68" s="101" t="str">
        <f ca="1">VLOOKUP($B68,OFFSET([2]quests!$A$1,0,0,COUNTA([2]quests!$A:$A),MATCH(E$1,[2]quests!$1:$1,0)-MATCH($B$1,[2]quests!$1:$1,0)+1),MATCH(E$1,[2]quests!$1:$1,0)-MATCH($B$1,[2]quests!$1:$1,0)+1,FALSE)</f>
        <v>【ロック】ビット/LINEマルチ</v>
      </c>
      <c r="F68" s="101" t="str">
        <f ca="1">VLOOKUP($D68,OFFSET([2]stages!$A$1,0,0,COUNTA([2]stages!$A:$A),MATCH(F$1,[2]stages!$2:$2,0)-MATCH($D$1,[2]stages!$2:$2,0)+1),MATCH(F$1,[2]stages!$2:$2,0)-MATCH($D$1,[2]stages!$2:$2,0)+1,FALSE)</f>
        <v>【超級】ハイローラー（ハートなし）</v>
      </c>
      <c r="G68" s="100">
        <v>5</v>
      </c>
      <c r="H68" s="16" t="str">
        <f t="shared" ref="H68:H71" si="63">B68&amp;"_"&amp;C68&amp;"-"&amp;G68</f>
        <v>14005_1-5</v>
      </c>
      <c r="I68" s="5">
        <f ca="1">VLOOKUP($H68,OFFSET(floors!$A$1,0,0,COUNTA(floors!$A:$A),MATCH(I$1,floors!$1:$1,0)-MATCH($H$1,floors!$1:$1,0)+1),MATCH(I$1,floors!$1:$1,0)-MATCH($H$1,floors!$1:$1,0)+1,FALSE)</f>
        <v>60</v>
      </c>
      <c r="J68" s="5">
        <f ca="1">VLOOKUP($H68,OFFSET(floors!$A$1,0,0,COUNTA(floors!$A:$A),MATCH(J$1,floors!$1:$1,0)-MATCH($H$1,floors!$1:$1,0)+1),MATCH(J$1,floors!$1:$1,0)-MATCH($H$1,floors!$1:$1,0)+1,FALSE)</f>
        <v>60</v>
      </c>
      <c r="K68" s="8" t="s">
        <v>142</v>
      </c>
      <c r="L68" s="24">
        <v>120</v>
      </c>
      <c r="M68" s="20" t="str">
        <f ca="1">VLOOKUP($L68,OFFSET([4]enemies!$A$1,0,0,COUNTA([4]enemies!$A:$A),MATCH(M$1,[4]enemies!$1:$1,0)-MATCH($L$1,[4]enemies!$1:$1,0)+1),MATCH(M$1,[4]enemies!$1:$1,0)-MATCH($L$1,[4]enemies!$1:$1,0)+1,FALSE)</f>
        <v>ゴールドキング</v>
      </c>
      <c r="N68" s="20" t="str">
        <f ca="1">VLOOKUP($L68,OFFSET([4]enemies!$A$1,0,0,COUNTA([4]enemies!$A:$A),MATCH(N$1,[4]enemies!$1:$1,0)-MATCH($L$1,[4]enemies!$1:$1,0)+1),MATCH(N$1,[4]enemies!$1:$1,0)-MATCH($L$1,[4]enemies!$1:$1,0)+1,FALSE)</f>
        <v>yellow</v>
      </c>
      <c r="O68" s="20" t="str">
        <f ca="1">VLOOKUP($L68,OFFSET([5]characters!$A$1,0,0,COUNTA([5]characters!$A:$A),MATCH(O$1,[5]characters!$1:$1,0)-MATCH($L$1,[5]characters!$1:$1,0)+1),MATCH(O$1,[5]characters!$1:$1,0)-MATCH($L$1,[5]characters!$1:$1,0)+1,FALSE)</f>
        <v>Material</v>
      </c>
      <c r="P68" s="20" t="str">
        <f ca="1">VLOOKUP($L68,OFFSET([4]enemies!$A$1,0,0,COUNTA([4]enemies!$A:$A),MATCH(P$1,[4]enemies!$1:$1,0)-MATCH($L$1,[4]enemies!$1:$1,0)+1),MATCH(P$1,[4]enemies!$1:$1,0)-MATCH($L$1,[4]enemies!$1:$1,0)+1,FALSE)</f>
        <v>unknown</v>
      </c>
      <c r="Q68" s="20">
        <f ca="1">VLOOKUP($L68,OFFSET([4]enemies!$A$1,0,0,COUNTA([4]enemies!$A:$A),MATCH(Q$1,[4]enemies!$1:$1,0)-MATCH($L$1,[4]enemies!$1:$1,0)+1),MATCH(Q$1,[4]enemies!$1:$1,0)-MATCH($L$1,[4]enemies!$1:$1,0)+1,FALSE)</f>
        <v>20</v>
      </c>
      <c r="R68" s="6">
        <v>58</v>
      </c>
      <c r="S68" s="29">
        <v>18</v>
      </c>
      <c r="T68" s="29">
        <v>10</v>
      </c>
      <c r="U68" s="6">
        <v>0</v>
      </c>
      <c r="V68" s="5" t="str">
        <f ca="1">VLOOKUP($W68,OFFSET(enemy_skill_sets!$B$1,0,0,COUNTA(enemy_skill_sets!$B:$B),MATCH(M$1,enemy_skill_sets!$1:$1,0)-MATCH($W$1,enemy_skill_sets!$1:$1,0)+2),MATCH(M$1,enemy_skill_sets!$1:$1,0)-MATCH($W$1,enemy_skill_sets!$1:$1,0)+2,FALSE)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あらわれて_x000D_毒を皿ごと食べてしまった！</v>
      </c>
      <c r="W68" s="57">
        <v>14002008</v>
      </c>
      <c r="X68" s="7">
        <v>0</v>
      </c>
      <c r="Y68" s="107">
        <v>0</v>
      </c>
      <c r="Z68" s="7">
        <v>1</v>
      </c>
      <c r="AA68" s="58">
        <v>3</v>
      </c>
      <c r="AB68" s="2">
        <f t="shared" ref="AB68:AB71" si="64">L68</f>
        <v>120</v>
      </c>
      <c r="AC68" s="5" t="str">
        <f ca="1">VLOOKUP($AB68,OFFSET([5]characters!$A$1,0,0,COUNTA([5]characters!$A:$A),MATCH(AC$1,[5]characters!$1:$1,0)-MATCH("character_id",[5]characters!$1:$1,0)+1),MATCH(AC$1,[5]characters!$1:$1,0)-MATCH("character_id",[5]characters!$1:$1,0)+1,FALSE)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68" s="5">
        <f ca="1">VLOOKUP($AB68,OFFSET([5]characters!$A$1,0,0,COUNTA([5]characters!$A:$A),MATCH(AD$1,[5]characters!$1:$1,0)-MATCH("character_id",[5]characters!$1:$1,0)+1),MATCH(AD$1,[5]characters!$1:$1,0)-MATCH("character_id",[5]characters!$1:$1,0)+1,FALSE)</f>
        <v>6</v>
      </c>
      <c r="AE68" s="5" t="str">
        <f ca="1">VLOOKUP($AB68,OFFSET([5]characters!$A$1,0,0,COUNTA([5]characters!$A:$A),MATCH(AE$1,[5]characters!$1:$1,0)-MATCH("character_id",[5]characters!$1:$1,0)+1),MATCH(AE$1,[5]characters!$1:$1,0)-MATCH("character_id",[5]characters!$1:$1,0)+1,FALSE)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68" s="8">
        <v>1</v>
      </c>
      <c r="AG68" s="27">
        <f t="shared" ref="AG68:AG71" ca="1" si="65">AD68</f>
        <v>6</v>
      </c>
      <c r="AH68" s="9">
        <v>100</v>
      </c>
      <c r="AI68" s="8">
        <v>0</v>
      </c>
      <c r="AJ68" s="8">
        <v>0</v>
      </c>
      <c r="AK68" s="8">
        <v>0</v>
      </c>
      <c r="AL68" s="8">
        <v>0</v>
      </c>
      <c r="AM68" s="8">
        <v>1</v>
      </c>
    </row>
    <row r="69" spans="1:39" ht="21" customHeight="1" x14ac:dyDescent="0.15">
      <c r="A69" s="17" t="str">
        <f t="shared" si="61"/>
        <v>14005_1-5/120&lt;lv59&gt;s3</v>
      </c>
      <c r="B69" s="99">
        <v>14005</v>
      </c>
      <c r="C69" s="100">
        <v>1</v>
      </c>
      <c r="D69" s="100" t="str">
        <f t="shared" si="62"/>
        <v>14005_1</v>
      </c>
      <c r="E69" s="101" t="str">
        <f ca="1">VLOOKUP($B69,OFFSET([2]quests!$A$1,0,0,COUNTA([2]quests!$A:$A),MATCH(E$1,[2]quests!$1:$1,0)-MATCH($B$1,[2]quests!$1:$1,0)+1),MATCH(E$1,[2]quests!$1:$1,0)-MATCH($B$1,[2]quests!$1:$1,0)+1,FALSE)</f>
        <v>【ロック】ビット/LINEマルチ</v>
      </c>
      <c r="F69" s="101" t="str">
        <f ca="1">VLOOKUP($D69,OFFSET([2]stages!$A$1,0,0,COUNTA([2]stages!$A:$A),MATCH(F$1,[2]stages!$2:$2,0)-MATCH($D$1,[2]stages!$2:$2,0)+1),MATCH(F$1,[2]stages!$2:$2,0)-MATCH($D$1,[2]stages!$2:$2,0)+1,FALSE)</f>
        <v>【超級】ハイローラー（ハートなし）</v>
      </c>
      <c r="G69" s="100">
        <v>5</v>
      </c>
      <c r="H69" s="16" t="str">
        <f t="shared" si="63"/>
        <v>14005_1-5</v>
      </c>
      <c r="I69" s="5">
        <f ca="1">VLOOKUP($H69,OFFSET(floors!$A$1,0,0,COUNTA(floors!$A:$A),MATCH(I$1,floors!$1:$1,0)-MATCH($H$1,floors!$1:$1,0)+1),MATCH(I$1,floors!$1:$1,0)-MATCH($H$1,floors!$1:$1,0)+1,FALSE)</f>
        <v>60</v>
      </c>
      <c r="J69" s="5">
        <f ca="1">VLOOKUP($H69,OFFSET(floors!$A$1,0,0,COUNTA(floors!$A:$A),MATCH(J$1,floors!$1:$1,0)-MATCH($H$1,floors!$1:$1,0)+1),MATCH(J$1,floors!$1:$1,0)-MATCH($H$1,floors!$1:$1,0)+1,FALSE)</f>
        <v>60</v>
      </c>
      <c r="K69" s="8" t="s">
        <v>142</v>
      </c>
      <c r="L69" s="24">
        <v>120</v>
      </c>
      <c r="M69" s="20" t="str">
        <f ca="1">VLOOKUP($L69,OFFSET([4]enemies!$A$1,0,0,COUNTA([4]enemies!$A:$A),MATCH(M$1,[4]enemies!$1:$1,0)-MATCH($L$1,[4]enemies!$1:$1,0)+1),MATCH(M$1,[4]enemies!$1:$1,0)-MATCH($L$1,[4]enemies!$1:$1,0)+1,FALSE)</f>
        <v>ゴールドキング</v>
      </c>
      <c r="N69" s="20" t="str">
        <f ca="1">VLOOKUP($L69,OFFSET([4]enemies!$A$1,0,0,COUNTA([4]enemies!$A:$A),MATCH(N$1,[4]enemies!$1:$1,0)-MATCH($L$1,[4]enemies!$1:$1,0)+1),MATCH(N$1,[4]enemies!$1:$1,0)-MATCH($L$1,[4]enemies!$1:$1,0)+1,FALSE)</f>
        <v>yellow</v>
      </c>
      <c r="O69" s="20" t="str">
        <f ca="1">VLOOKUP($L69,OFFSET([5]characters!$A$1,0,0,COUNTA([5]characters!$A:$A),MATCH(O$1,[5]characters!$1:$1,0)-MATCH($L$1,[5]characters!$1:$1,0)+1),MATCH(O$1,[5]characters!$1:$1,0)-MATCH($L$1,[5]characters!$1:$1,0)+1,FALSE)</f>
        <v>Material</v>
      </c>
      <c r="P69" s="20" t="str">
        <f ca="1">VLOOKUP($L69,OFFSET([4]enemies!$A$1,0,0,COUNTA([4]enemies!$A:$A),MATCH(P$1,[4]enemies!$1:$1,0)-MATCH($L$1,[4]enemies!$1:$1,0)+1),MATCH(P$1,[4]enemies!$1:$1,0)-MATCH($L$1,[4]enemies!$1:$1,0)+1,FALSE)</f>
        <v>unknown</v>
      </c>
      <c r="Q69" s="20">
        <f ca="1">VLOOKUP($L69,OFFSET([4]enemies!$A$1,0,0,COUNTA([4]enemies!$A:$A),MATCH(Q$1,[4]enemies!$1:$1,0)-MATCH($L$1,[4]enemies!$1:$1,0)+1),MATCH(Q$1,[4]enemies!$1:$1,0)-MATCH($L$1,[4]enemies!$1:$1,0)+1,FALSE)</f>
        <v>20</v>
      </c>
      <c r="R69" s="6">
        <v>59</v>
      </c>
      <c r="S69" s="29">
        <v>18</v>
      </c>
      <c r="T69" s="29">
        <v>10</v>
      </c>
      <c r="U69" s="6">
        <v>0</v>
      </c>
      <c r="V69" s="5" t="str">
        <f ca="1">VLOOKUP($W69,OFFSET(enemy_skill_sets!$B$1,0,0,COUNTA(enemy_skill_sets!$B:$B),MATCH(M$1,enemy_skill_sets!$1:$1,0)-MATCH($W$1,enemy_skill_sets!$1:$1,0)+2),MATCH(M$1,enemy_skill_sets!$1:$1,0)-MATCH($W$1,enemy_skill_sets!$1:$1,0)+2,FALSE)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あらわれて_x000D_口を固く閉ざしてしまった！</v>
      </c>
      <c r="W69" s="57">
        <v>14002009</v>
      </c>
      <c r="X69" s="7">
        <v>0</v>
      </c>
      <c r="Y69" s="7">
        <v>6</v>
      </c>
      <c r="Z69" s="7">
        <v>1</v>
      </c>
      <c r="AA69" s="58">
        <v>3</v>
      </c>
      <c r="AB69" s="2">
        <f t="shared" si="64"/>
        <v>120</v>
      </c>
      <c r="AC69" s="5" t="str">
        <f ca="1">VLOOKUP($AB69,OFFSET([5]characters!$A$1,0,0,COUNTA([5]characters!$A:$A),MATCH(AC$1,[5]characters!$1:$1,0)-MATCH("character_id",[5]characters!$1:$1,0)+1),MATCH(AC$1,[5]characters!$1:$1,0)-MATCH("character_id",[5]characters!$1:$1,0)+1,FALSE)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69" s="5">
        <f ca="1">VLOOKUP($AB69,OFFSET([5]characters!$A$1,0,0,COUNTA([5]characters!$A:$A),MATCH(AD$1,[5]characters!$1:$1,0)-MATCH("character_id",[5]characters!$1:$1,0)+1),MATCH(AD$1,[5]characters!$1:$1,0)-MATCH("character_id",[5]characters!$1:$1,0)+1,FALSE)</f>
        <v>6</v>
      </c>
      <c r="AE69" s="5" t="str">
        <f ca="1">VLOOKUP($AB69,OFFSET([5]characters!$A$1,0,0,COUNTA([5]characters!$A:$A),MATCH(AE$1,[5]characters!$1:$1,0)-MATCH("character_id",[5]characters!$1:$1,0)+1),MATCH(AE$1,[5]characters!$1:$1,0)-MATCH("character_id",[5]characters!$1:$1,0)+1,FALSE)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69" s="8">
        <v>1</v>
      </c>
      <c r="AG69" s="27">
        <f t="shared" ca="1" si="65"/>
        <v>6</v>
      </c>
      <c r="AH69" s="9">
        <v>100</v>
      </c>
      <c r="AI69" s="8">
        <v>0</v>
      </c>
      <c r="AJ69" s="8">
        <v>0</v>
      </c>
      <c r="AK69" s="8">
        <v>0</v>
      </c>
      <c r="AL69" s="8">
        <v>0</v>
      </c>
      <c r="AM69" s="8">
        <v>1</v>
      </c>
    </row>
    <row r="70" spans="1:39" ht="21" customHeight="1" x14ac:dyDescent="0.15">
      <c r="A70" s="17" t="str">
        <f t="shared" si="61"/>
        <v>14005_1-5/120&lt;lv60&gt;s3</v>
      </c>
      <c r="B70" s="99">
        <v>14005</v>
      </c>
      <c r="C70" s="100">
        <v>1</v>
      </c>
      <c r="D70" s="100" t="str">
        <f t="shared" si="62"/>
        <v>14005_1</v>
      </c>
      <c r="E70" s="101" t="str">
        <f ca="1">VLOOKUP($B70,OFFSET([2]quests!$A$1,0,0,COUNTA([2]quests!$A:$A),MATCH(E$1,[2]quests!$1:$1,0)-MATCH($B$1,[2]quests!$1:$1,0)+1),MATCH(E$1,[2]quests!$1:$1,0)-MATCH($B$1,[2]quests!$1:$1,0)+1,FALSE)</f>
        <v>【ロック】ビット/LINEマルチ</v>
      </c>
      <c r="F70" s="101" t="str">
        <f ca="1">VLOOKUP($D70,OFFSET([2]stages!$A$1,0,0,COUNTA([2]stages!$A:$A),MATCH(F$1,[2]stages!$2:$2,0)-MATCH($D$1,[2]stages!$2:$2,0)+1),MATCH(F$1,[2]stages!$2:$2,0)-MATCH($D$1,[2]stages!$2:$2,0)+1,FALSE)</f>
        <v>【超級】ハイローラー（ハートなし）</v>
      </c>
      <c r="G70" s="100">
        <v>5</v>
      </c>
      <c r="H70" s="16" t="str">
        <f t="shared" si="63"/>
        <v>14005_1-5</v>
      </c>
      <c r="I70" s="5">
        <f ca="1">VLOOKUP($H70,OFFSET(floors!$A$1,0,0,COUNTA(floors!$A:$A),MATCH(I$1,floors!$1:$1,0)-MATCH($H$1,floors!$1:$1,0)+1),MATCH(I$1,floors!$1:$1,0)-MATCH($H$1,floors!$1:$1,0)+1,FALSE)</f>
        <v>60</v>
      </c>
      <c r="J70" s="5">
        <f ca="1">VLOOKUP($H70,OFFSET(floors!$A$1,0,0,COUNTA(floors!$A:$A),MATCH(J$1,floors!$1:$1,0)-MATCH($H$1,floors!$1:$1,0)+1),MATCH(J$1,floors!$1:$1,0)-MATCH($H$1,floors!$1:$1,0)+1,FALSE)</f>
        <v>60</v>
      </c>
      <c r="K70" s="8" t="s">
        <v>142</v>
      </c>
      <c r="L70" s="24">
        <v>120</v>
      </c>
      <c r="M70" s="20" t="str">
        <f ca="1">VLOOKUP($L70,OFFSET([4]enemies!$A$1,0,0,COUNTA([4]enemies!$A:$A),MATCH(M$1,[4]enemies!$1:$1,0)-MATCH($L$1,[4]enemies!$1:$1,0)+1),MATCH(M$1,[4]enemies!$1:$1,0)-MATCH($L$1,[4]enemies!$1:$1,0)+1,FALSE)</f>
        <v>ゴールドキング</v>
      </c>
      <c r="N70" s="20" t="str">
        <f ca="1">VLOOKUP($L70,OFFSET([4]enemies!$A$1,0,0,COUNTA([4]enemies!$A:$A),MATCH(N$1,[4]enemies!$1:$1,0)-MATCH($L$1,[4]enemies!$1:$1,0)+1),MATCH(N$1,[4]enemies!$1:$1,0)-MATCH($L$1,[4]enemies!$1:$1,0)+1,FALSE)</f>
        <v>yellow</v>
      </c>
      <c r="O70" s="20" t="str">
        <f ca="1">VLOOKUP($L70,OFFSET([5]characters!$A$1,0,0,COUNTA([5]characters!$A:$A),MATCH(O$1,[5]characters!$1:$1,0)-MATCH($L$1,[5]characters!$1:$1,0)+1),MATCH(O$1,[5]characters!$1:$1,0)-MATCH($L$1,[5]characters!$1:$1,0)+1,FALSE)</f>
        <v>Material</v>
      </c>
      <c r="P70" s="20" t="str">
        <f ca="1">VLOOKUP($L70,OFFSET([4]enemies!$A$1,0,0,COUNTA([4]enemies!$A:$A),MATCH(P$1,[4]enemies!$1:$1,0)-MATCH($L$1,[4]enemies!$1:$1,0)+1),MATCH(P$1,[4]enemies!$1:$1,0)-MATCH($L$1,[4]enemies!$1:$1,0)+1,FALSE)</f>
        <v>unknown</v>
      </c>
      <c r="Q70" s="20">
        <f ca="1">VLOOKUP($L70,OFFSET([4]enemies!$A$1,0,0,COUNTA([4]enemies!$A:$A),MATCH(Q$1,[4]enemies!$1:$1,0)-MATCH($L$1,[4]enemies!$1:$1,0)+1),MATCH(Q$1,[4]enemies!$1:$1,0)-MATCH($L$1,[4]enemies!$1:$1,0)+1,FALSE)</f>
        <v>20</v>
      </c>
      <c r="R70" s="6">
        <v>60</v>
      </c>
      <c r="S70" s="29">
        <v>18</v>
      </c>
      <c r="T70" s="29">
        <v>10</v>
      </c>
      <c r="U70" s="6">
        <v>0</v>
      </c>
      <c r="V70" s="5" t="str">
        <f ca="1">VLOOKUP($W70,OFFSET(enemy_skill_sets!$B$1,0,0,COUNTA(enemy_skill_sets!$B:$B),MATCH(M$1,enemy_skill_sets!$1:$1,0)-MATCH($W$1,enemy_skill_sets!$1:$1,0)+2),MATCH(M$1,enemy_skill_sets!$1:$1,0)-MATCH($W$1,enemy_skill_sets!$1:$1,0)+2,FALSE)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あらわれて_x000D_1ターンの間 を闇つくった！</v>
      </c>
      <c r="W70" s="57">
        <v>14002010</v>
      </c>
      <c r="X70" s="7">
        <v>0</v>
      </c>
      <c r="Y70" s="7">
        <v>2</v>
      </c>
      <c r="Z70" s="7">
        <v>1</v>
      </c>
      <c r="AA70" s="58">
        <v>3</v>
      </c>
      <c r="AB70" s="2">
        <f t="shared" si="64"/>
        <v>120</v>
      </c>
      <c r="AC70" s="5" t="str">
        <f ca="1">VLOOKUP($AB70,OFFSET([5]characters!$A$1,0,0,COUNTA([5]characters!$A:$A),MATCH(AC$1,[5]characters!$1:$1,0)-MATCH("character_id",[5]characters!$1:$1,0)+1),MATCH(AC$1,[5]characters!$1:$1,0)-MATCH("character_id",[5]characters!$1:$1,0)+1,FALSE)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70" s="5">
        <f ca="1">VLOOKUP($AB70,OFFSET([5]characters!$A$1,0,0,COUNTA([5]characters!$A:$A),MATCH(AD$1,[5]characters!$1:$1,0)-MATCH("character_id",[5]characters!$1:$1,0)+1),MATCH(AD$1,[5]characters!$1:$1,0)-MATCH("character_id",[5]characters!$1:$1,0)+1,FALSE)</f>
        <v>6</v>
      </c>
      <c r="AE70" s="5" t="str">
        <f ca="1">VLOOKUP($AB70,OFFSET([5]characters!$A$1,0,0,COUNTA([5]characters!$A:$A),MATCH(AE$1,[5]characters!$1:$1,0)-MATCH("character_id",[5]characters!$1:$1,0)+1),MATCH(AE$1,[5]characters!$1:$1,0)-MATCH("character_id",[5]characters!$1:$1,0)+1,FALSE)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70" s="8">
        <v>1</v>
      </c>
      <c r="AG70" s="27">
        <f t="shared" ca="1" si="65"/>
        <v>6</v>
      </c>
      <c r="AH70" s="9">
        <v>100</v>
      </c>
      <c r="AI70" s="8">
        <v>0</v>
      </c>
      <c r="AJ70" s="8">
        <v>0</v>
      </c>
      <c r="AK70" s="8">
        <v>0</v>
      </c>
      <c r="AL70" s="8">
        <v>0</v>
      </c>
      <c r="AM70" s="8">
        <v>1</v>
      </c>
    </row>
    <row r="71" spans="1:39" ht="21" customHeight="1" x14ac:dyDescent="0.15">
      <c r="A71" s="17" t="str">
        <f t="shared" si="61"/>
        <v>14005_1-5/120&lt;lv61&gt;s3</v>
      </c>
      <c r="B71" s="99">
        <v>14005</v>
      </c>
      <c r="C71" s="100">
        <v>1</v>
      </c>
      <c r="D71" s="100" t="str">
        <f t="shared" si="62"/>
        <v>14005_1</v>
      </c>
      <c r="E71" s="101" t="str">
        <f ca="1">VLOOKUP($B71,OFFSET([2]quests!$A$1,0,0,COUNTA([2]quests!$A:$A),MATCH(E$1,[2]quests!$1:$1,0)-MATCH($B$1,[2]quests!$1:$1,0)+1),MATCH(E$1,[2]quests!$1:$1,0)-MATCH($B$1,[2]quests!$1:$1,0)+1,FALSE)</f>
        <v>【ロック】ビット/LINEマルチ</v>
      </c>
      <c r="F71" s="101" t="str">
        <f ca="1">VLOOKUP($D71,OFFSET([2]stages!$A$1,0,0,COUNTA([2]stages!$A:$A),MATCH(F$1,[2]stages!$2:$2,0)-MATCH($D$1,[2]stages!$2:$2,0)+1),MATCH(F$1,[2]stages!$2:$2,0)-MATCH($D$1,[2]stages!$2:$2,0)+1,FALSE)</f>
        <v>【超級】ハイローラー（ハートなし）</v>
      </c>
      <c r="G71" s="100">
        <v>5</v>
      </c>
      <c r="H71" s="16" t="str">
        <f t="shared" si="63"/>
        <v>14005_1-5</v>
      </c>
      <c r="I71" s="5">
        <f ca="1">VLOOKUP($H71,OFFSET(floors!$A$1,0,0,COUNTA(floors!$A:$A),MATCH(I$1,floors!$1:$1,0)-MATCH($H$1,floors!$1:$1,0)+1),MATCH(I$1,floors!$1:$1,0)-MATCH($H$1,floors!$1:$1,0)+1,FALSE)</f>
        <v>60</v>
      </c>
      <c r="J71" s="5">
        <f ca="1">VLOOKUP($H71,OFFSET(floors!$A$1,0,0,COUNTA(floors!$A:$A),MATCH(J$1,floors!$1:$1,0)-MATCH($H$1,floors!$1:$1,0)+1),MATCH(J$1,floors!$1:$1,0)-MATCH($H$1,floors!$1:$1,0)+1,FALSE)</f>
        <v>60</v>
      </c>
      <c r="K71" s="8" t="s">
        <v>142</v>
      </c>
      <c r="L71" s="24">
        <v>120</v>
      </c>
      <c r="M71" s="20" t="str">
        <f ca="1">VLOOKUP($L71,OFFSET([4]enemies!$A$1,0,0,COUNTA([4]enemies!$A:$A),MATCH(M$1,[4]enemies!$1:$1,0)-MATCH($L$1,[4]enemies!$1:$1,0)+1),MATCH(M$1,[4]enemies!$1:$1,0)-MATCH($L$1,[4]enemies!$1:$1,0)+1,FALSE)</f>
        <v>ゴールドキング</v>
      </c>
      <c r="N71" s="20" t="str">
        <f ca="1">VLOOKUP($L71,OFFSET([4]enemies!$A$1,0,0,COUNTA([4]enemies!$A:$A),MATCH(N$1,[4]enemies!$1:$1,0)-MATCH($L$1,[4]enemies!$1:$1,0)+1),MATCH(N$1,[4]enemies!$1:$1,0)-MATCH($L$1,[4]enemies!$1:$1,0)+1,FALSE)</f>
        <v>yellow</v>
      </c>
      <c r="O71" s="20" t="str">
        <f ca="1">VLOOKUP($L71,OFFSET([5]characters!$A$1,0,0,COUNTA([5]characters!$A:$A),MATCH(O$1,[5]characters!$1:$1,0)-MATCH($L$1,[5]characters!$1:$1,0)+1),MATCH(O$1,[5]characters!$1:$1,0)-MATCH($L$1,[5]characters!$1:$1,0)+1,FALSE)</f>
        <v>Material</v>
      </c>
      <c r="P71" s="20" t="str">
        <f ca="1">VLOOKUP($L71,OFFSET([4]enemies!$A$1,0,0,COUNTA([4]enemies!$A:$A),MATCH(P$1,[4]enemies!$1:$1,0)-MATCH($L$1,[4]enemies!$1:$1,0)+1),MATCH(P$1,[4]enemies!$1:$1,0)-MATCH($L$1,[4]enemies!$1:$1,0)+1,FALSE)</f>
        <v>unknown</v>
      </c>
      <c r="Q71" s="20">
        <f ca="1">VLOOKUP($L71,OFFSET([4]enemies!$A$1,0,0,COUNTA([4]enemies!$A:$A),MATCH(Q$1,[4]enemies!$1:$1,0)-MATCH($L$1,[4]enemies!$1:$1,0)+1),MATCH(Q$1,[4]enemies!$1:$1,0)-MATCH($L$1,[4]enemies!$1:$1,0)+1,FALSE)</f>
        <v>20</v>
      </c>
      <c r="R71" s="6">
        <v>61</v>
      </c>
      <c r="S71" s="29">
        <v>18</v>
      </c>
      <c r="T71" s="29">
        <v>10</v>
      </c>
      <c r="U71" s="6">
        <v>0</v>
      </c>
      <c r="V71" s="5" t="str">
        <f ca="1">VLOOKUP($W71,OFFSET(enemy_skill_sets!$B$1,0,0,COUNTA(enemy_skill_sets!$B:$B),MATCH(M$1,enemy_skill_sets!$1:$1,0)-MATCH($W$1,enemy_skill_sets!$1:$1,0)+2),MATCH(M$1,enemy_skill_sets!$1:$1,0)-MATCH($W$1,enemy_skill_sets!$1:$1,0)+2,FALSE)</f>
        <v>ゴールドキングが あらわれて_x000D_状態異常が効かない体質になった！</v>
      </c>
      <c r="W71" s="57">
        <v>14002011</v>
      </c>
      <c r="X71" s="7">
        <v>0</v>
      </c>
      <c r="Y71" s="7">
        <v>6</v>
      </c>
      <c r="Z71" s="7">
        <v>1</v>
      </c>
      <c r="AA71" s="58">
        <v>3</v>
      </c>
      <c r="AB71" s="2">
        <f t="shared" si="64"/>
        <v>120</v>
      </c>
      <c r="AC71" s="5" t="str">
        <f ca="1">VLOOKUP($AB71,OFFSET([5]characters!$A$1,0,0,COUNTA([5]characters!$A:$A),MATCH(AC$1,[5]characters!$1:$1,0)-MATCH("character_id",[5]characters!$1:$1,0)+1),MATCH(AC$1,[5]characters!$1:$1,0)-MATCH("character_id",[5]characters!$1:$1,0)+1,FALSE)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71" s="5">
        <f ca="1">VLOOKUP($AB71,OFFSET([5]characters!$A$1,0,0,COUNTA([5]characters!$A:$A),MATCH(AD$1,[5]characters!$1:$1,0)-MATCH("character_id",[5]characters!$1:$1,0)+1),MATCH(AD$1,[5]characters!$1:$1,0)-MATCH("character_id",[5]characters!$1:$1,0)+1,FALSE)</f>
        <v>6</v>
      </c>
      <c r="AE71" s="5" t="str">
        <f ca="1">VLOOKUP($AB71,OFFSET([5]characters!$A$1,0,0,COUNTA([5]characters!$A:$A),MATCH(AE$1,[5]characters!$1:$1,0)-MATCH("character_id",[5]characters!$1:$1,0)+1),MATCH(AE$1,[5]characters!$1:$1,0)-MATCH("character_id",[5]characters!$1:$1,0)+1,FALSE)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71" s="8">
        <v>1</v>
      </c>
      <c r="AG71" s="27">
        <f t="shared" ca="1" si="65"/>
        <v>6</v>
      </c>
      <c r="AH71" s="9">
        <v>100</v>
      </c>
      <c r="AI71" s="8">
        <v>0</v>
      </c>
      <c r="AJ71" s="8">
        <v>0</v>
      </c>
      <c r="AK71" s="8">
        <v>0</v>
      </c>
      <c r="AL71" s="8">
        <v>0</v>
      </c>
      <c r="AM71" s="8">
        <v>1</v>
      </c>
    </row>
    <row r="72" spans="1:39" ht="21" customHeight="1" x14ac:dyDescent="0.15">
      <c r="A72" s="17" t="str">
        <f t="shared" ref="A72" si="66">B72&amp;"_"&amp;C72&amp;"-"&amp;G72&amp;"/"&amp;L72&amp;"&lt;lv"&amp;R72&amp;"&gt;s"&amp;AA72</f>
        <v>14005_1-5/120&lt;lv62&gt;s3</v>
      </c>
      <c r="B72" s="99">
        <v>14005</v>
      </c>
      <c r="C72" s="100">
        <v>1</v>
      </c>
      <c r="D72" s="100" t="str">
        <f t="shared" ref="D72" si="67">B72&amp;"_"&amp;C72</f>
        <v>14005_1</v>
      </c>
      <c r="E72" s="101" t="str">
        <f ca="1">VLOOKUP($B72,OFFSET([2]quests!$A$1,0,0,COUNTA([2]quests!$A:$A),MATCH(E$1,[2]quests!$1:$1,0)-MATCH($B$1,[2]quests!$1:$1,0)+1),MATCH(E$1,[2]quests!$1:$1,0)-MATCH($B$1,[2]quests!$1:$1,0)+1,FALSE)</f>
        <v>【ロック】ビット/LINEマルチ</v>
      </c>
      <c r="F72" s="101" t="str">
        <f ca="1">VLOOKUP($D72,OFFSET([2]stages!$A$1,0,0,COUNTA([2]stages!$A:$A),MATCH(F$1,[2]stages!$2:$2,0)-MATCH($D$1,[2]stages!$2:$2,0)+1),MATCH(F$1,[2]stages!$2:$2,0)-MATCH($D$1,[2]stages!$2:$2,0)+1,FALSE)</f>
        <v>【超級】ハイローラー（ハートなし）</v>
      </c>
      <c r="G72" s="100">
        <v>5</v>
      </c>
      <c r="H72" s="16" t="str">
        <f t="shared" ref="H72" si="68">B72&amp;"_"&amp;C72&amp;"-"&amp;G72</f>
        <v>14005_1-5</v>
      </c>
      <c r="I72" s="5">
        <f ca="1">VLOOKUP($H72,OFFSET(floors!$A$1,0,0,COUNTA(floors!$A:$A),MATCH(I$1,floors!$1:$1,0)-MATCH($H$1,floors!$1:$1,0)+1),MATCH(I$1,floors!$1:$1,0)-MATCH($H$1,floors!$1:$1,0)+1,FALSE)</f>
        <v>60</v>
      </c>
      <c r="J72" s="5">
        <f ca="1">VLOOKUP($H72,OFFSET(floors!$A$1,0,0,COUNTA(floors!$A:$A),MATCH(J$1,floors!$1:$1,0)-MATCH($H$1,floors!$1:$1,0)+1),MATCH(J$1,floors!$1:$1,0)-MATCH($H$1,floors!$1:$1,0)+1,FALSE)</f>
        <v>60</v>
      </c>
      <c r="K72" s="8" t="s">
        <v>142</v>
      </c>
      <c r="L72" s="24">
        <v>120</v>
      </c>
      <c r="M72" s="20" t="str">
        <f ca="1">VLOOKUP($L72,OFFSET([4]enemies!$A$1,0,0,COUNTA([4]enemies!$A:$A),MATCH(M$1,[4]enemies!$1:$1,0)-MATCH($L$1,[4]enemies!$1:$1,0)+1),MATCH(M$1,[4]enemies!$1:$1,0)-MATCH($L$1,[4]enemies!$1:$1,0)+1,FALSE)</f>
        <v>ゴールドキング</v>
      </c>
      <c r="N72" s="20" t="str">
        <f ca="1">VLOOKUP($L72,OFFSET([4]enemies!$A$1,0,0,COUNTA([4]enemies!$A:$A),MATCH(N$1,[4]enemies!$1:$1,0)-MATCH($L$1,[4]enemies!$1:$1,0)+1),MATCH(N$1,[4]enemies!$1:$1,0)-MATCH($L$1,[4]enemies!$1:$1,0)+1,FALSE)</f>
        <v>yellow</v>
      </c>
      <c r="O72" s="20" t="str">
        <f ca="1">VLOOKUP($L72,OFFSET([5]characters!$A$1,0,0,COUNTA([5]characters!$A:$A),MATCH(O$1,[5]characters!$1:$1,0)-MATCH($L$1,[5]characters!$1:$1,0)+1),MATCH(O$1,[5]characters!$1:$1,0)-MATCH($L$1,[5]characters!$1:$1,0)+1,FALSE)</f>
        <v>Material</v>
      </c>
      <c r="P72" s="20" t="str">
        <f ca="1">VLOOKUP($L72,OFFSET([4]enemies!$A$1,0,0,COUNTA([4]enemies!$A:$A),MATCH(P$1,[4]enemies!$1:$1,0)-MATCH($L$1,[4]enemies!$1:$1,0)+1),MATCH(P$1,[4]enemies!$1:$1,0)-MATCH($L$1,[4]enemies!$1:$1,0)+1,FALSE)</f>
        <v>unknown</v>
      </c>
      <c r="Q72" s="20">
        <f ca="1">VLOOKUP($L72,OFFSET([4]enemies!$A$1,0,0,COUNTA([4]enemies!$A:$A),MATCH(Q$1,[4]enemies!$1:$1,0)-MATCH($L$1,[4]enemies!$1:$1,0)+1),MATCH(Q$1,[4]enemies!$1:$1,0)-MATCH($L$1,[4]enemies!$1:$1,0)+1,FALSE)</f>
        <v>20</v>
      </c>
      <c r="R72" s="6">
        <v>62</v>
      </c>
      <c r="S72" s="29">
        <v>18</v>
      </c>
      <c r="T72" s="29">
        <v>10</v>
      </c>
      <c r="U72" s="6">
        <v>0</v>
      </c>
      <c r="V72" s="5" t="str">
        <f ca="1">VLOOKUP($W72,OFFSET(enemy_skill_sets!$B$1,0,0,COUNTA(enemy_skill_sets!$B:$B),MATCH(M$1,enemy_skill_sets!$1:$1,0)-MATCH($W$1,enemy_skill_sets!$1:$1,0)+2),MATCH(M$1,enemy_skill_sets!$1:$1,0)-MATCH($W$1,enemy_skill_sets!$1:$1,0)+2,FALSE)</f>
        <v>仲間と共に 飛び去っていった…</v>
      </c>
      <c r="W72" s="57">
        <v>14002012</v>
      </c>
      <c r="X72" s="7">
        <v>0</v>
      </c>
      <c r="Y72" s="7">
        <v>6</v>
      </c>
      <c r="Z72" s="7">
        <v>1</v>
      </c>
      <c r="AA72" s="58">
        <v>3</v>
      </c>
      <c r="AB72" s="2">
        <f t="shared" ref="AB72" si="69">L72</f>
        <v>120</v>
      </c>
      <c r="AC72" s="5" t="str">
        <f ca="1">VLOOKUP($AB72,OFFSET([5]characters!$A$1,0,0,COUNTA([5]characters!$A:$A),MATCH(AC$1,[5]characters!$1:$1,0)-MATCH("character_id",[5]characters!$1:$1,0)+1),MATCH(AC$1,[5]characters!$1:$1,0)-MATCH("character_id",[5]characters!$1:$1,0)+1,FALSE)</f>
        <v>ゴールドキング</v>
      </c>
      <c r="AD72" s="5">
        <f ca="1">VLOOKUP($AB72,OFFSET([5]characters!$A$1,0,0,COUNTA([5]characters!$A:$A),MATCH(AD$1,[5]characters!$1:$1,0)-MATCH("character_id",[5]characters!$1:$1,0)+1),MATCH(AD$1,[5]characters!$1:$1,0)-MATCH("character_id",[5]characters!$1:$1,0)+1,FALSE)</f>
        <v>6</v>
      </c>
      <c r="AE72" s="5" t="str">
        <f ca="1">VLOOKUP($AB72,OFFSET([5]characters!$A$1,0,0,COUNTA([5]characters!$A:$A),MATCH(AE$1,[5]characters!$1:$1,0)-MATCH("character_id",[5]characters!$1:$1,0)+1),MATCH(AE$1,[5]characters!$1:$1,0)-MATCH("character_id",[5]characters!$1:$1,0)+1,FALSE)</f>
        <v>Material</v>
      </c>
      <c r="AF72" s="8">
        <v>1</v>
      </c>
      <c r="AG72" s="27">
        <f t="shared" ref="AG72" ca="1" si="70">AD72</f>
        <v>6</v>
      </c>
      <c r="AH72" s="9">
        <v>100</v>
      </c>
      <c r="AI72" s="8">
        <v>0</v>
      </c>
      <c r="AJ72" s="8">
        <v>0</v>
      </c>
      <c r="AK72" s="8">
        <v>0</v>
      </c>
      <c r="AL72" s="8">
        <v>0</v>
      </c>
      <c r="AM72" s="8">
        <v>1</v>
      </c>
    </row>
  </sheetData>
  <sheetProtection selectLockedCells="1" selectUnlockedCells="1"/>
  <autoFilter ref="B1:AH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Y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J11" sqref="J11"/>
    </sheetView>
  </sheetViews>
  <sheetFormatPr baseColWidth="12" defaultColWidth="13" defaultRowHeight="21" customHeight="1" outlineLevelCol="1" x14ac:dyDescent="0.15"/>
  <cols>
    <col min="1" max="1" width="17" style="23" bestFit="1" customWidth="1"/>
    <col min="2" max="2" width="10.83203125" style="4" bestFit="1" customWidth="1"/>
    <col min="3" max="3" width="10.6640625" style="4" bestFit="1" customWidth="1"/>
    <col min="4" max="4" width="13" style="15" bestFit="1" customWidth="1" outlineLevel="1"/>
    <col min="5" max="5" width="11.6640625" style="4" bestFit="1" customWidth="1" outlineLevel="1"/>
    <col min="6" max="6" width="16.1640625" style="4" bestFit="1" customWidth="1" outlineLevel="1"/>
    <col min="7" max="7" width="10" style="4" bestFit="1" customWidth="1"/>
    <col min="8" max="9" width="12.33203125" style="4" bestFit="1" customWidth="1" outlineLevel="1"/>
    <col min="10" max="10" width="12.33203125" style="4" customWidth="1" outlineLevel="1"/>
    <col min="11" max="11" width="12.33203125" style="4" customWidth="1"/>
    <col min="12" max="12" width="11" style="4" bestFit="1" customWidth="1"/>
    <col min="13" max="13" width="13.5" style="10" bestFit="1" customWidth="1"/>
    <col min="14" max="14" width="12.1640625" style="4" customWidth="1" outlineLevel="1"/>
    <col min="15" max="15" width="8.6640625" style="4" customWidth="1" outlineLevel="1"/>
    <col min="16" max="16" width="12" style="4" customWidth="1" outlineLevel="1"/>
    <col min="17" max="17" width="21" style="4" customWidth="1" outlineLevel="1"/>
    <col min="18" max="18" width="8" style="4" customWidth="1" outlineLevel="1"/>
    <col min="19" max="19" width="8.33203125" style="4" bestFit="1" customWidth="1"/>
    <col min="20" max="20" width="14.83203125" style="4" bestFit="1" customWidth="1"/>
    <col min="21" max="21" width="17.5" style="4" bestFit="1" customWidth="1"/>
    <col min="22" max="22" width="18.33203125" style="4" bestFit="1" customWidth="1"/>
    <col min="23" max="23" width="10" style="4" bestFit="1" customWidth="1"/>
    <col min="24" max="24" width="12.1640625" style="4" bestFit="1" customWidth="1" outlineLevel="1"/>
    <col min="25" max="25" width="9.33203125" style="4" bestFit="1" customWidth="1"/>
    <col min="26" max="16384" width="13" style="4"/>
  </cols>
  <sheetData>
    <row r="1" spans="1:25" s="42" customFormat="1" ht="21" customHeight="1" x14ac:dyDescent="0.15">
      <c r="A1" s="37" t="s">
        <v>102</v>
      </c>
      <c r="B1" s="28" t="s">
        <v>0</v>
      </c>
      <c r="C1" s="28" t="s">
        <v>1</v>
      </c>
      <c r="D1" s="38" t="s">
        <v>103</v>
      </c>
      <c r="E1" s="38" t="s">
        <v>104</v>
      </c>
      <c r="F1" s="38" t="s">
        <v>105</v>
      </c>
      <c r="G1" s="28" t="s">
        <v>106</v>
      </c>
      <c r="H1" s="38" t="s">
        <v>107</v>
      </c>
      <c r="I1" s="38" t="s">
        <v>14</v>
      </c>
      <c r="J1" s="38" t="s">
        <v>15</v>
      </c>
      <c r="K1" s="39" t="s">
        <v>108</v>
      </c>
      <c r="L1" s="39" t="s">
        <v>109</v>
      </c>
      <c r="M1" s="39" t="s">
        <v>2</v>
      </c>
      <c r="N1" s="40" t="s">
        <v>105</v>
      </c>
      <c r="O1" s="38" t="s">
        <v>110</v>
      </c>
      <c r="P1" s="38" t="s">
        <v>111</v>
      </c>
      <c r="Q1" s="41" t="s">
        <v>112</v>
      </c>
      <c r="R1" s="38" t="s">
        <v>24</v>
      </c>
      <c r="S1" s="28" t="s">
        <v>3</v>
      </c>
      <c r="T1" s="28" t="s">
        <v>47</v>
      </c>
      <c r="U1" s="28" t="s">
        <v>48</v>
      </c>
      <c r="V1" s="28" t="s">
        <v>49</v>
      </c>
      <c r="W1" s="28" t="s">
        <v>72</v>
      </c>
      <c r="X1" s="38" t="s">
        <v>30</v>
      </c>
      <c r="Y1" s="28" t="s">
        <v>8</v>
      </c>
    </row>
  </sheetData>
  <sheetProtection selectLockedCells="1" selectUnlockedCells="1"/>
  <autoFilter ref="B1:Y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1:P6"/>
  <sheetViews>
    <sheetView workbookViewId="0">
      <selection activeCell="I6" sqref="I6:J6"/>
    </sheetView>
  </sheetViews>
  <sheetFormatPr baseColWidth="12" defaultRowHeight="15" x14ac:dyDescent="0.15"/>
  <cols>
    <col min="3" max="3" width="4" bestFit="1" customWidth="1"/>
    <col min="4" max="7" width="7.83203125" customWidth="1"/>
    <col min="8" max="8" width="4" customWidth="1"/>
    <col min="9" max="9" width="13" bestFit="1" customWidth="1"/>
    <col min="10" max="10" width="16.1640625" bestFit="1" customWidth="1"/>
    <col min="11" max="11" width="17.33203125" bestFit="1" customWidth="1"/>
    <col min="12" max="12" width="4" customWidth="1"/>
    <col min="13" max="16" width="8.5" customWidth="1"/>
  </cols>
  <sheetData>
    <row r="1" spans="2:16" x14ac:dyDescent="0.15">
      <c r="C1" t="s">
        <v>150</v>
      </c>
      <c r="D1" t="s">
        <v>151</v>
      </c>
      <c r="E1" t="s">
        <v>152</v>
      </c>
      <c r="F1" t="s">
        <v>153</v>
      </c>
      <c r="G1" t="s">
        <v>154</v>
      </c>
      <c r="I1" t="s">
        <v>50</v>
      </c>
      <c r="J1" t="s">
        <v>51</v>
      </c>
      <c r="K1" t="s">
        <v>52</v>
      </c>
      <c r="M1" t="s">
        <v>151</v>
      </c>
      <c r="N1" t="s">
        <v>152</v>
      </c>
      <c r="O1" t="s">
        <v>153</v>
      </c>
      <c r="P1" t="s">
        <v>154</v>
      </c>
    </row>
    <row r="2" spans="2:16" x14ac:dyDescent="0.15">
      <c r="B2" t="s">
        <v>147</v>
      </c>
      <c r="C2">
        <v>52</v>
      </c>
      <c r="D2">
        <v>1049</v>
      </c>
      <c r="E2">
        <v>89</v>
      </c>
      <c r="F2">
        <v>0</v>
      </c>
      <c r="G2">
        <v>1</v>
      </c>
      <c r="I2" s="94">
        <v>2</v>
      </c>
      <c r="J2" s="94">
        <v>5</v>
      </c>
      <c r="K2">
        <v>0</v>
      </c>
      <c r="M2">
        <f t="shared" ref="M2:N5" si="0">D2*I2</f>
        <v>2098</v>
      </c>
      <c r="N2">
        <f t="shared" si="0"/>
        <v>445</v>
      </c>
      <c r="O2">
        <f>F2+K2</f>
        <v>0</v>
      </c>
      <c r="P2">
        <v>1</v>
      </c>
    </row>
    <row r="3" spans="2:16" x14ac:dyDescent="0.15">
      <c r="B3" t="s">
        <v>148</v>
      </c>
      <c r="C3">
        <v>52</v>
      </c>
      <c r="D3">
        <v>1049</v>
      </c>
      <c r="E3">
        <v>122</v>
      </c>
      <c r="F3">
        <v>0</v>
      </c>
      <c r="G3">
        <v>2</v>
      </c>
      <c r="I3" s="94">
        <v>5</v>
      </c>
      <c r="J3" s="94">
        <v>10</v>
      </c>
      <c r="K3">
        <v>0</v>
      </c>
      <c r="M3">
        <f t="shared" si="0"/>
        <v>5245</v>
      </c>
      <c r="N3">
        <f t="shared" si="0"/>
        <v>1220</v>
      </c>
      <c r="O3">
        <f t="shared" ref="O3:O5" si="1">F3+K3</f>
        <v>0</v>
      </c>
      <c r="P3">
        <v>2</v>
      </c>
    </row>
    <row r="4" spans="2:16" x14ac:dyDescent="0.15">
      <c r="B4" t="s">
        <v>149</v>
      </c>
      <c r="C4">
        <v>52</v>
      </c>
      <c r="D4">
        <v>1154</v>
      </c>
      <c r="E4">
        <v>195</v>
      </c>
      <c r="F4">
        <v>0</v>
      </c>
      <c r="G4">
        <v>2</v>
      </c>
      <c r="I4" s="94">
        <v>11</v>
      </c>
      <c r="J4" s="94">
        <v>10</v>
      </c>
      <c r="K4">
        <v>0</v>
      </c>
      <c r="M4">
        <f t="shared" si="0"/>
        <v>12694</v>
      </c>
      <c r="N4">
        <f t="shared" si="0"/>
        <v>1950</v>
      </c>
      <c r="O4">
        <f t="shared" si="1"/>
        <v>0</v>
      </c>
      <c r="P4">
        <v>2</v>
      </c>
    </row>
    <row r="5" spans="2:16" x14ac:dyDescent="0.15">
      <c r="B5" t="s">
        <v>209</v>
      </c>
      <c r="C5">
        <v>52</v>
      </c>
      <c r="D5">
        <v>1154</v>
      </c>
      <c r="E5">
        <v>234</v>
      </c>
      <c r="F5">
        <v>0</v>
      </c>
      <c r="G5">
        <v>3</v>
      </c>
      <c r="I5" s="94">
        <v>18</v>
      </c>
      <c r="J5" s="94">
        <v>10</v>
      </c>
      <c r="K5">
        <v>0</v>
      </c>
      <c r="M5">
        <f t="shared" si="0"/>
        <v>20772</v>
      </c>
      <c r="N5">
        <f t="shared" si="0"/>
        <v>2340</v>
      </c>
      <c r="O5">
        <f t="shared" si="1"/>
        <v>0</v>
      </c>
      <c r="P5">
        <v>3</v>
      </c>
    </row>
    <row r="6" spans="2:16" x14ac:dyDescent="0.15">
      <c r="B6" t="s">
        <v>210</v>
      </c>
      <c r="C6">
        <v>1</v>
      </c>
      <c r="D6">
        <v>485</v>
      </c>
      <c r="E6">
        <v>123</v>
      </c>
      <c r="F6">
        <v>0</v>
      </c>
      <c r="G6">
        <v>1</v>
      </c>
      <c r="I6" s="94">
        <v>44</v>
      </c>
      <c r="J6" s="94">
        <v>15</v>
      </c>
      <c r="K6">
        <v>0</v>
      </c>
      <c r="M6">
        <f t="shared" ref="M6" si="2">D6*I6</f>
        <v>21340</v>
      </c>
      <c r="N6">
        <f t="shared" ref="N6" si="3">E6*J6</f>
        <v>1845</v>
      </c>
      <c r="O6">
        <f>F6+K6</f>
        <v>0</v>
      </c>
      <c r="P6">
        <v>1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S34"/>
  <sheetViews>
    <sheetView showGridLines="0" zoomScale="75" zoomScaleNormal="75" zoomScalePageLayoutView="75" workbookViewId="0">
      <pane xSplit="5" ySplit="1" topLeftCell="F2" activePane="bottomRight" state="frozen"/>
      <selection activeCell="E25" sqref="E25"/>
      <selection pane="topRight" activeCell="E25" sqref="E25"/>
      <selection pane="bottomLeft" activeCell="E25" sqref="E25"/>
      <selection pane="bottomRight" activeCell="D10" sqref="D10"/>
    </sheetView>
  </sheetViews>
  <sheetFormatPr baseColWidth="12" defaultColWidth="12.83203125" defaultRowHeight="21" customHeight="1" outlineLevelCol="1" x14ac:dyDescent="0.15"/>
  <cols>
    <col min="1" max="1" width="11.33203125" style="46" bestFit="1" customWidth="1"/>
    <col min="2" max="2" width="14" style="55" bestFit="1" customWidth="1"/>
    <col min="3" max="3" width="11.1640625" style="55" bestFit="1" customWidth="1"/>
    <col min="4" max="4" width="33.1640625" style="55" customWidth="1" outlineLevel="1"/>
    <col min="5" max="5" width="44.1640625" style="55" bestFit="1" customWidth="1" outlineLevel="1"/>
    <col min="6" max="6" width="10.83203125" style="55" bestFit="1" customWidth="1"/>
    <col min="7" max="7" width="9.5" style="55" bestFit="1" customWidth="1" outlineLevel="1"/>
    <col min="8" max="9" width="12.83203125" style="55" outlineLevel="1"/>
    <col min="10" max="10" width="17.6640625" style="55" bestFit="1" customWidth="1" outlineLevel="1"/>
    <col min="11" max="16" width="12.83203125" style="55" outlineLevel="1"/>
    <col min="17" max="18" width="13.6640625" style="52" bestFit="1" customWidth="1"/>
    <col min="19" max="19" width="56.5" style="52" bestFit="1" customWidth="1"/>
    <col min="20" max="16384" width="12.83203125" style="52"/>
  </cols>
  <sheetData>
    <row r="1" spans="1:19" ht="21" customHeight="1" x14ac:dyDescent="0.15">
      <c r="A1" s="46" t="s">
        <v>113</v>
      </c>
      <c r="B1" s="47" t="s">
        <v>114</v>
      </c>
      <c r="C1" s="47" t="s">
        <v>115</v>
      </c>
      <c r="D1" s="48" t="s">
        <v>116</v>
      </c>
      <c r="E1" s="48" t="s">
        <v>117</v>
      </c>
      <c r="F1" s="49" t="s">
        <v>118</v>
      </c>
      <c r="G1" s="50" t="s">
        <v>119</v>
      </c>
      <c r="H1" s="50" t="s">
        <v>101</v>
      </c>
      <c r="I1" s="50" t="s">
        <v>120</v>
      </c>
      <c r="J1" s="50" t="s">
        <v>121</v>
      </c>
      <c r="K1" s="51" t="s">
        <v>122</v>
      </c>
      <c r="L1" s="51" t="s">
        <v>123</v>
      </c>
      <c r="M1" s="50" t="s">
        <v>124</v>
      </c>
      <c r="N1" s="50" t="s">
        <v>125</v>
      </c>
      <c r="O1" s="50" t="s">
        <v>146</v>
      </c>
      <c r="P1" s="50" t="s">
        <v>126</v>
      </c>
      <c r="Q1" s="48" t="s">
        <v>127</v>
      </c>
      <c r="R1" s="48" t="s">
        <v>128</v>
      </c>
      <c r="S1" s="48" t="s">
        <v>129</v>
      </c>
    </row>
    <row r="2" spans="1:19" ht="21" customHeight="1" x14ac:dyDescent="0.15">
      <c r="A2" s="46" t="str">
        <f t="shared" ref="A2:A6" si="0">B2&amp;"_"&amp;C2</f>
        <v>14002200_14002201</v>
      </c>
      <c r="B2" s="53">
        <v>14002200</v>
      </c>
      <c r="C2" s="53">
        <v>14002201</v>
      </c>
      <c r="D2" s="110" t="str">
        <f ca="1">VLOOKUP($C2,OFFSET(enemy_skills!$A$1,0,0,COUNTA(enemy_skills!$A:$A),MATCH(D$1,enemy_skills!$1:$1,0)-MATCH("enemy_skill_id",enemy_skills!$1:$1,0)+1),MATCH(D$1,enemy_skills!$1:$1,0)-MATCH("enemy_skill_id",enemy_skills!$1:$1,0)+1,FALSE)</f>
        <v>今日の運勢は…</v>
      </c>
      <c r="E2" s="20" t="str">
        <f ca="1">VLOOKUP($C2,OFFSET(enemy_skills!$A$1,0,0,COUNTA(enemy_skills!$A:$A),MATCH(E$1,enemy_skills!$1:$1,0)-MATCH("enemy_skill_id",enemy_skills!$1:$1,0)+1),MATCH(E$1,enemy_skills!$1:$1,0)-MATCH("enemy_skill_id",enemy_skills!$1:$1,0)+1,FALSE)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" s="53">
        <v>14002201</v>
      </c>
      <c r="G2" s="110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5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5" t="str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" s="5">
        <f ca="1">VLOOKUP($F2,OFFSET(enemy_skill_triggers!$A$1,0,0,COUNTA(enemy_skill_triggers!$A:$A),MATCH(P$1,enemy_skill_triggers!$1:$1,0)-MATCH($F$1,enemy_skill_triggers!$1:$1,0)+1),MATCH(P$1,enemy_skill_triggers!$1:$1,0)-MATCH($F$1,enemy_skill_triggers!$1:$1,0)+1,FALSE)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" s="53"/>
      <c r="R2" s="53"/>
      <c r="S2" s="53"/>
    </row>
    <row r="3" spans="1:19" ht="21" customHeight="1" x14ac:dyDescent="0.15">
      <c r="A3" s="46" t="str">
        <f t="shared" si="0"/>
        <v>14002210_14002211</v>
      </c>
      <c r="B3" s="115">
        <v>14002210</v>
      </c>
      <c r="C3" s="115">
        <v>14002211</v>
      </c>
      <c r="D3" s="110" t="str">
        <f ca="1">VLOOKUP($C3,OFFSET(enemy_skills!$A$1,0,0,COUNTA(enemy_skills!$A:$A),MATCH(D$1,enemy_skills!$1:$1,0)-MATCH("enemy_skill_id",enemy_skills!$1:$1,0)+1),MATCH(D$1,enemy_skills!$1:$1,0)-MATCH("enemy_skill_id",enemy_skills!$1:$1,0)+1,FALSE)</f>
        <v>小吉グワッ</v>
      </c>
      <c r="E3" s="20" t="str">
        <f ca="1">VLOOKUP($C3,OFFSET(enemy_skills!$A$1,0,0,COUNTA(enemy_skills!$A:$A),MATCH(E$1,enemy_skills!$1:$1,0)-MATCH("enemy_skill_id",enemy_skills!$1:$1,0)+1),MATCH(E$1,enemy_skills!$1:$1,0)-MATCH("enemy_skill_id",enemy_skills!$1:$1,0)+1,FALSE)</f>
        <v>確率でボムパネルをドロップ</v>
      </c>
      <c r="F3" s="115">
        <v>14002201</v>
      </c>
      <c r="G3" s="110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5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5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5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5" t="str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3" s="5">
        <f ca="1">VLOOKUP($F3,OFFSET(enemy_skill_triggers!$A$1,0,0,COUNTA(enemy_skill_triggers!$A:$A),MATCH(P$1,enemy_skill_triggers!$1:$1,0)-MATCH($F$1,enemy_skill_triggers!$1:$1,0)+1),MATCH(P$1,enemy_skill_triggers!$1:$1,0)-MATCH($F$1,enemy_skill_triggers!$1:$1,0)+1,FALSE)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" s="53"/>
      <c r="R3" s="53"/>
      <c r="S3" s="53"/>
    </row>
    <row r="4" spans="1:19" ht="21" customHeight="1" x14ac:dyDescent="0.15">
      <c r="A4" s="46" t="str">
        <f t="shared" ref="A4:A5" si="1">B4&amp;"_"&amp;C4</f>
        <v>14002220_14002221</v>
      </c>
      <c r="B4" s="115">
        <v>14002220</v>
      </c>
      <c r="C4" s="115">
        <v>14002221</v>
      </c>
      <c r="D4" s="110" t="str">
        <f ca="1">VLOOKUP($C4,OFFSET(enemy_skills!$A$1,0,0,COUNTA(enemy_skills!$A:$A),MATCH(D$1,enemy_skills!$1:$1,0)-MATCH("enemy_skill_id",enemy_skills!$1:$1,0)+1),MATCH(D$1,enemy_skills!$1:$1,0)-MATCH("enemy_skill_id",enemy_skills!$1:$1,0)+1,FALSE)</f>
        <v>中吉グワッ</v>
      </c>
      <c r="E4" s="20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全ユニットのスキルゲージを1ターン減少+_x000D_確率で先頭ユニットのCパネルをドロップ</v>
      </c>
      <c r="F4" s="115">
        <v>14002201</v>
      </c>
      <c r="G4" s="110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5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5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5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5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5" t="str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" s="5">
        <f ca="1">VLOOKUP($F4,OFFSET(enemy_skill_triggers!$A$1,0,0,COUNTA(enemy_skill_triggers!$A:$A),MATCH(P$1,enemy_skill_triggers!$1:$1,0)-MATCH($F$1,enemy_skill_triggers!$1:$1,0)+1),MATCH(P$1,enemy_skill_triggers!$1:$1,0)-MATCH($F$1,enemy_skill_triggers!$1:$1,0)+1,FALSE)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" s="53"/>
      <c r="R4" s="53"/>
      <c r="S4" s="53"/>
    </row>
    <row r="5" spans="1:19" ht="21" customHeight="1" x14ac:dyDescent="0.15">
      <c r="A5" s="46" t="str">
        <f t="shared" si="1"/>
        <v>14002230_14002231</v>
      </c>
      <c r="B5" s="115">
        <v>14002230</v>
      </c>
      <c r="C5" s="115">
        <v>14002231</v>
      </c>
      <c r="D5" s="110" t="str">
        <f ca="1">VLOOKUP($C5,OFFSET(enemy_skills!$A$1,0,0,COUNTA(enemy_skills!$A:$A),MATCH(D$1,enemy_skills!$1:$1,0)-MATCH("enemy_skill_id",enemy_skills!$1:$1,0)+1),MATCH(D$1,enemy_skills!$1:$1,0)-MATCH("enemy_skill_id",enemy_skills!$1:$1,0)+1,FALSE)</f>
        <v>大吉グワッ</v>
      </c>
      <c r="E5" s="20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全ユニットのスキルゲージMAX+_x000D_確率でボムパネル&amp;先頭ユニットのCパネル(大)をドロップ</v>
      </c>
      <c r="F5" s="115">
        <v>14002201</v>
      </c>
      <c r="G5" s="110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5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5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5" t="str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5" s="5">
        <f ca="1">VLOOKUP($F5,OFFSET(enemy_skill_triggers!$A$1,0,0,COUNTA(enemy_skill_triggers!$A:$A),MATCH(P$1,enemy_skill_triggers!$1:$1,0)-MATCH($F$1,enemy_skill_triggers!$1:$1,0)+1),MATCH(P$1,enemy_skill_triggers!$1:$1,0)-MATCH($F$1,enemy_skill_triggers!$1:$1,0)+1,FALSE)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" s="53"/>
      <c r="R5" s="53"/>
      <c r="S5" s="53"/>
    </row>
    <row r="6" spans="1:19" ht="21" customHeight="1" x14ac:dyDescent="0.15">
      <c r="A6" s="46" t="str">
        <f t="shared" si="0"/>
        <v>14002240_14002240</v>
      </c>
      <c r="B6" s="53">
        <v>14002240</v>
      </c>
      <c r="C6" s="53">
        <v>14002240</v>
      </c>
      <c r="D6" s="110" t="str">
        <f ca="1">VLOOKUP($C6,OFFSET(enemy_skills!$A$1,0,0,COUNTA(enemy_skills!$A:$A),MATCH(D$1,enemy_skills!$1:$1,0)-MATCH("enemy_skill_id",enemy_skills!$1:$1,0)+1),MATCH(D$1,enemy_skills!$1:$1,0)-MATCH("enemy_skill_id",enemy_skills!$1:$1,0)+1,FALSE)</f>
        <v>「青天のへきれき」グワッ</v>
      </c>
      <c r="E6" s="20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あらわれて_x000D_全てのパネルを 青パネルにしてしまった！</v>
      </c>
      <c r="F6" s="53">
        <v>14002201</v>
      </c>
      <c r="G6" s="110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5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5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5" t="str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" s="5">
        <f ca="1">VLOOKUP($F6,OFFSET(enemy_skill_triggers!$A$1,0,0,COUNTA(enemy_skill_triggers!$A:$A),MATCH(P$1,enemy_skill_triggers!$1:$1,0)-MATCH($F$1,enemy_skill_triggers!$1:$1,0)+1),MATCH(P$1,enemy_skill_triggers!$1:$1,0)-MATCH($F$1,enemy_skill_triggers!$1:$1,0)+1,FALSE)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" s="53"/>
      <c r="R6" s="53"/>
      <c r="S6" s="53"/>
    </row>
    <row r="7" spans="1:19" ht="21" customHeight="1" x14ac:dyDescent="0.15">
      <c r="A7" s="46" t="str">
        <f t="shared" ref="A7:A10" si="2">B7&amp;"_"&amp;C7</f>
        <v>14002241_14002241</v>
      </c>
      <c r="B7" s="53">
        <v>14002241</v>
      </c>
      <c r="C7" s="53">
        <v>14002241</v>
      </c>
      <c r="D7" s="110" t="str">
        <f ca="1">VLOOKUP($C7,OFFSET(enemy_skills!$A$1,0,0,COUNTA(enemy_skills!$A:$A),MATCH(D$1,enemy_skills!$1:$1,0)-MATCH("enemy_skill_id",enemy_skills!$1:$1,0)+1),MATCH(D$1,enemy_skills!$1:$1,0)-MATCH("enemy_skill_id",enemy_skills!$1:$1,0)+1,FALSE)</f>
        <v>「朱に交われば赤くなる」グワッ</v>
      </c>
      <c r="E7" s="20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あらわれて_x000D_全てのパネルを 赤パネルにしてしまった！</v>
      </c>
      <c r="F7" s="53">
        <v>14002201</v>
      </c>
      <c r="G7" s="110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5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5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5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5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5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5" t="str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7" s="5">
        <f ca="1">VLOOKUP($F7,OFFSET(enemy_skill_triggers!$A$1,0,0,COUNTA(enemy_skill_triggers!$A:$A),MATCH(P$1,enemy_skill_triggers!$1:$1,0)-MATCH($F$1,enemy_skill_triggers!$1:$1,0)+1),MATCH(P$1,enemy_skill_triggers!$1:$1,0)-MATCH($F$1,enemy_skill_triggers!$1:$1,0)+1,FALSE)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7" s="53"/>
      <c r="R7" s="53"/>
      <c r="S7" s="53"/>
    </row>
    <row r="8" spans="1:19" ht="21" customHeight="1" x14ac:dyDescent="0.15">
      <c r="A8" s="46" t="str">
        <f t="shared" si="2"/>
        <v>14002242_14002242</v>
      </c>
      <c r="B8" s="53">
        <v>14002242</v>
      </c>
      <c r="C8" s="53">
        <v>14002242</v>
      </c>
      <c r="D8" s="110" t="str">
        <f ca="1">VLOOKUP($C8,OFFSET(enemy_skills!$A$1,0,0,COUNTA(enemy_skills!$A:$A),MATCH(D$1,enemy_skills!$1:$1,0)-MATCH("enemy_skill_id",enemy_skills!$1:$1,0)+1),MATCH(D$1,enemy_skills!$1:$1,0)-MATCH("enemy_skill_id",enemy_skills!$1:$1,0)+1,FALSE)</f>
        <v>「やなぎは緑 花はくれない」グワッ</v>
      </c>
      <c r="E8" s="20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あらわれて_x000D_全てのパネルを 緑パネルにしてしまった！</v>
      </c>
      <c r="F8" s="53">
        <v>14002201</v>
      </c>
      <c r="G8" s="110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5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5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5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5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5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5" t="str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8" s="5">
        <f ca="1">VLOOKUP($F8,OFFSET(enemy_skill_triggers!$A$1,0,0,COUNTA(enemy_skill_triggers!$A:$A),MATCH(P$1,enemy_skill_triggers!$1:$1,0)-MATCH($F$1,enemy_skill_triggers!$1:$1,0)+1),MATCH(P$1,enemy_skill_triggers!$1:$1,0)-MATCH($F$1,enemy_skill_triggers!$1:$1,0)+1,FALSE)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8" s="53"/>
      <c r="R8" s="53"/>
      <c r="S8" s="53"/>
    </row>
    <row r="9" spans="1:19" ht="21" customHeight="1" x14ac:dyDescent="0.15">
      <c r="A9" s="46" t="str">
        <f t="shared" si="2"/>
        <v>14002243_14002243</v>
      </c>
      <c r="B9" s="53">
        <v>14002243</v>
      </c>
      <c r="C9" s="53">
        <v>14002243</v>
      </c>
      <c r="D9" s="210" t="str">
        <f ca="1">VLOOKUP($C9,OFFSET(enemy_skills!$A$1,0,0,COUNTA(enemy_skills!$A:$A),MATCH(D$1,enemy_skills!$1:$1,0)-MATCH("enemy_skill_id",enemy_skills!$1:$1,0)+1),MATCH(D$1,enemy_skills!$1:$1,0)-MATCH("enemy_skill_id",enemy_skills!$1:$1,0)+1,FALSE)</f>
        <v>「くちばしが黄色い」グワッ</v>
      </c>
      <c r="E9" s="121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あらわれて_x000D_全てのパネルを 黄パネルにしてしまった！</v>
      </c>
      <c r="F9" s="217">
        <v>14002201</v>
      </c>
      <c r="G9" s="210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119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119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19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19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19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119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19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19" t="str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9" s="119">
        <f ca="1">VLOOKUP($F9,OFFSET(enemy_skill_triggers!$A$1,0,0,COUNTA(enemy_skill_triggers!$A:$A),MATCH(P$1,enemy_skill_triggers!$1:$1,0)-MATCH($F$1,enemy_skill_triggers!$1:$1,0)+1),MATCH(P$1,enemy_skill_triggers!$1:$1,0)-MATCH($F$1,enemy_skill_triggers!$1:$1,0)+1,FALSE)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9" s="217"/>
      <c r="R9" s="217"/>
      <c r="S9" s="217"/>
    </row>
    <row r="10" spans="1:19" ht="21" customHeight="1" thickBot="1" x14ac:dyDescent="0.2">
      <c r="A10" s="142" t="str">
        <f t="shared" si="2"/>
        <v>14002244_14002244</v>
      </c>
      <c r="B10" s="53">
        <v>14002244</v>
      </c>
      <c r="C10" s="53">
        <v>14002244</v>
      </c>
      <c r="D10" s="2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「敵に塩を送る」グワッ</v>
      </c>
      <c r="E10" s="2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ゴールドキングの援助で_x000D_全ユニットがやる気になった！</v>
      </c>
      <c r="F10" s="53">
        <v>14002201</v>
      </c>
      <c r="G10" s="22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22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22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22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22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22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22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22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22" t="str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0" s="22">
        <f ca="1">VLOOKUP($F10,OFFSET(enemy_skill_triggers!$A$1,0,0,COUNTA(enemy_skill_triggers!$A:$A),MATCH(P$1,enemy_skill_triggers!$1:$1,0)-MATCH($F$1,enemy_skill_triggers!$1:$1,0)+1),MATCH(P$1,enemy_skill_triggers!$1:$1,0)-MATCH($F$1,enemy_skill_triggers!$1:$1,0)+1,FALSE)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0" s="53"/>
      <c r="R10" s="53"/>
      <c r="S10" s="53"/>
    </row>
    <row r="11" spans="1:19" s="211" customFormat="1" ht="21" customHeight="1" thickBot="1" x14ac:dyDescent="0.2">
      <c r="A11" s="142" t="str">
        <f t="shared" ref="A11:A16" si="3">B11&amp;"_"&amp;C11</f>
        <v>14002245_14002245</v>
      </c>
      <c r="B11" s="53">
        <v>14002245</v>
      </c>
      <c r="C11" s="53">
        <v>14002245</v>
      </c>
      <c r="D11" s="2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「果報は寝て待て」グワッ</v>
      </c>
      <c r="E11" s="2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あらわれて_x000D_全員で 眠りはじめた！</v>
      </c>
      <c r="F11" s="53">
        <v>14002201</v>
      </c>
      <c r="G11" s="22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22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22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22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22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22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22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22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22" t="str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1" s="22">
        <f ca="1">VLOOKUP($F11,OFFSET(enemy_skill_triggers!$A$1,0,0,COUNTA(enemy_skill_triggers!$A:$A),MATCH(P$1,enemy_skill_triggers!$1:$1,0)-MATCH($F$1,enemy_skill_triggers!$1:$1,0)+1),MATCH(P$1,enemy_skill_triggers!$1:$1,0)-MATCH($F$1,enemy_skill_triggers!$1:$1,0)+1,FALSE)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1" s="53"/>
      <c r="R11" s="53"/>
      <c r="S11" s="53"/>
    </row>
    <row r="12" spans="1:19" s="211" customFormat="1" ht="21" customHeight="1" thickBot="1" x14ac:dyDescent="0.2">
      <c r="A12" s="142" t="str">
        <f t="shared" si="3"/>
        <v>14002246_14002246</v>
      </c>
      <c r="B12" s="53">
        <v>14002246</v>
      </c>
      <c r="C12" s="53">
        <v>14002246</v>
      </c>
      <c r="D12" s="22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「早起きは 三文の徳」だグワッ</v>
      </c>
      <c r="E12" s="22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あらわれて_x000D_ボムパネルを 3個つくった！</v>
      </c>
      <c r="F12" s="53">
        <v>14002201</v>
      </c>
      <c r="G12" s="22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22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22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22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22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22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22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22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22" t="str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2" s="22">
        <f ca="1">VLOOKUP($F12,OFFSET(enemy_skill_triggers!$A$1,0,0,COUNTA(enemy_skill_triggers!$A:$A),MATCH(P$1,enemy_skill_triggers!$1:$1,0)-MATCH($F$1,enemy_skill_triggers!$1:$1,0)+1),MATCH(P$1,enemy_skill_triggers!$1:$1,0)-MATCH($F$1,enemy_skill_triggers!$1:$1,0)+1,FALSE)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2" s="53"/>
      <c r="R12" s="53"/>
      <c r="S12" s="53"/>
    </row>
    <row r="13" spans="1:19" s="211" customFormat="1" ht="21" customHeight="1" thickBot="1" x14ac:dyDescent="0.2">
      <c r="A13" s="142" t="str">
        <f t="shared" si="3"/>
        <v>14002247_14002247</v>
      </c>
      <c r="B13" s="53">
        <v>14002247</v>
      </c>
      <c r="C13" s="53">
        <v>14002247</v>
      </c>
      <c r="D13" s="2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「毒をクヮらば皿まで」だグワッ</v>
      </c>
      <c r="E13" s="2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あらわれて_x000D_毒を皿ごと食べてしまった！</v>
      </c>
      <c r="F13" s="53">
        <v>14002201</v>
      </c>
      <c r="G13" s="22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22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22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22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22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22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22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22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22" t="str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3" s="22">
        <f ca="1">VLOOKUP($F13,OFFSET(enemy_skill_triggers!$A$1,0,0,COUNTA(enemy_skill_triggers!$A:$A),MATCH(P$1,enemy_skill_triggers!$1:$1,0)-MATCH($F$1,enemy_skill_triggers!$1:$1,0)+1),MATCH(P$1,enemy_skill_triggers!$1:$1,0)-MATCH($F$1,enemy_skill_triggers!$1:$1,0)+1,FALSE)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3" s="53"/>
      <c r="R13" s="53"/>
      <c r="S13" s="53"/>
    </row>
    <row r="14" spans="1:19" s="211" customFormat="1" ht="21" customHeight="1" thickBot="1" x14ac:dyDescent="0.2">
      <c r="A14" s="142" t="str">
        <f t="shared" si="3"/>
        <v>14002248_14002248</v>
      </c>
      <c r="B14" s="53">
        <v>14002248</v>
      </c>
      <c r="C14" s="53">
        <v>14002248</v>
      </c>
      <c r="D14" s="2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「口は災いの元」だグワッ</v>
      </c>
      <c r="E14" s="2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あらわれて_x000D_口を固く閉ざしてしまった！</v>
      </c>
      <c r="F14" s="53">
        <v>14002201</v>
      </c>
      <c r="G14" s="22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22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22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22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22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22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22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22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22" t="str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4" s="22">
        <f ca="1">VLOOKUP($F14,OFFSET(enemy_skill_triggers!$A$1,0,0,COUNTA(enemy_skill_triggers!$A:$A),MATCH(P$1,enemy_skill_triggers!$1:$1,0)-MATCH($F$1,enemy_skill_triggers!$1:$1,0)+1),MATCH(P$1,enemy_skill_triggers!$1:$1,0)-MATCH($F$1,enemy_skill_triggers!$1:$1,0)+1,FALSE)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4" s="53"/>
      <c r="R14" s="53"/>
      <c r="S14" s="53"/>
    </row>
    <row r="15" spans="1:19" s="211" customFormat="1" ht="21" customHeight="1" thickBot="1" x14ac:dyDescent="0.2">
      <c r="A15" s="142" t="str">
        <f t="shared" si="3"/>
        <v>14002249_14002249</v>
      </c>
      <c r="B15" s="53">
        <v>14002249</v>
      </c>
      <c r="C15" s="53">
        <v>14002249</v>
      </c>
      <c r="D15" s="2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「病は気から」だグワッ</v>
      </c>
      <c r="E15" s="2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あらわれて_x000D_状態異常が効かない体質になった！</v>
      </c>
      <c r="F15" s="53">
        <v>14002201</v>
      </c>
      <c r="G15" s="22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22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22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22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22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22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22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22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22" t="str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5" s="22">
        <f ca="1">VLOOKUP($F15,OFFSET(enemy_skill_triggers!$A$1,0,0,COUNTA(enemy_skill_triggers!$A:$A),MATCH(P$1,enemy_skill_triggers!$1:$1,0)-MATCH($F$1,enemy_skill_triggers!$1:$1,0)+1),MATCH(P$1,enemy_skill_triggers!$1:$1,0)-MATCH($F$1,enemy_skill_triggers!$1:$1,0)+1,FALSE)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5" s="53"/>
      <c r="R15" s="53"/>
      <c r="S15" s="53"/>
    </row>
    <row r="16" spans="1:19" s="216" customFormat="1" ht="21" customHeight="1" x14ac:dyDescent="0.15">
      <c r="A16" s="212" t="str">
        <f t="shared" si="3"/>
        <v>14002250_14002250</v>
      </c>
      <c r="B16" s="53">
        <v>14002250</v>
      </c>
      <c r="C16" s="53">
        <v>14002250</v>
      </c>
      <c r="D16" s="213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「立つ鳥、後を濁さず」だグワッ</v>
      </c>
      <c r="E16" s="21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仲間と共に 飛び去っていった…</v>
      </c>
      <c r="F16" s="141">
        <v>14002201</v>
      </c>
      <c r="G16" s="213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215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21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215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21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215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21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21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215" t="str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6" s="215">
        <f ca="1">VLOOKUP($F16,OFFSET(enemy_skill_triggers!$A$1,0,0,COUNTA(enemy_skill_triggers!$A:$A),MATCH(P$1,enemy_skill_triggers!$1:$1,0)-MATCH($F$1,enemy_skill_triggers!$1:$1,0)+1),MATCH(P$1,enemy_skill_triggers!$1:$1,0)-MATCH($F$1,enemy_skill_triggers!$1:$1,0)+1,FALSE)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6" s="141"/>
      <c r="R16" s="141"/>
      <c r="S16" s="141"/>
    </row>
    <row r="17" spans="1:19" ht="21" customHeight="1" x14ac:dyDescent="0.15">
      <c r="A17" s="46" t="str">
        <f t="shared" ref="A17" si="4">B17&amp;"_"&amp;C17</f>
        <v>14002999_14002124</v>
      </c>
      <c r="B17" s="140">
        <v>14002999</v>
      </c>
      <c r="C17" s="140">
        <v>14002124</v>
      </c>
      <c r="D17" s="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ラッキー！？</v>
      </c>
      <c r="E17" s="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この果実はドロップしないが_x000D_倒すと大量ビットが手に入る！</v>
      </c>
      <c r="F17" s="140">
        <v>14002124</v>
      </c>
      <c r="G17" s="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5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5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5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5" t="str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7" s="5">
        <f ca="1">VLOOKUP($F17,OFFSET(enemy_skill_triggers!$A$1,0,0,COUNTA(enemy_skill_triggers!$A:$A),MATCH(P$1,enemy_skill_triggers!$1:$1,0)-MATCH($F$1,enemy_skill_triggers!$1:$1,0)+1),MATCH(P$1,enemy_skill_triggers!$1:$1,0)-MATCH($F$1,enemy_skill_triggers!$1:$1,0)+1,FALSE)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7" s="141"/>
      <c r="R17" s="141"/>
      <c r="S17" s="141"/>
    </row>
    <row r="18" spans="1:19" ht="21" customHeight="1" x14ac:dyDescent="0.15">
      <c r="A18" s="46" t="str">
        <f t="shared" ref="A18" si="5">B18&amp;"_"&amp;C18</f>
        <v>14002000_14002000</v>
      </c>
      <c r="B18" s="59">
        <v>14002000</v>
      </c>
      <c r="C18" s="59">
        <v>14002000</v>
      </c>
      <c r="D18" s="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「果報は寝て待て」グワッ</v>
      </c>
      <c r="E18" s="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あらわれて_x000D_全員で 眠りはじめた！</v>
      </c>
      <c r="F18" s="59">
        <v>14002120</v>
      </c>
      <c r="G18" s="5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5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5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5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5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5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5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5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5" t="str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8" s="5">
        <f ca="1">VLOOKUP($F18,OFFSET(enemy_skill_triggers!$A$1,0,0,COUNTA(enemy_skill_triggers!$A:$A),MATCH(P$1,enemy_skill_triggers!$1:$1,0)-MATCH($F$1,enemy_skill_triggers!$1:$1,0)+1),MATCH(P$1,enemy_skill_triggers!$1:$1,0)-MATCH($F$1,enemy_skill_triggers!$1:$1,0)+1,FALSE)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8" s="53"/>
      <c r="R18" s="53"/>
      <c r="S18" s="53"/>
    </row>
    <row r="19" spans="1:19" ht="21" customHeight="1" x14ac:dyDescent="0.15">
      <c r="A19" s="46" t="str">
        <f t="shared" ref="A19:A21" si="6">B19&amp;"_"&amp;C19</f>
        <v>14002001_14002001</v>
      </c>
      <c r="B19" s="59">
        <v>14002001</v>
      </c>
      <c r="C19" s="59">
        <v>14002001</v>
      </c>
      <c r="D19" s="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「神は サイコロを振らない」グワッ</v>
      </c>
      <c r="E19" s="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あらわれて_x000D_時限式ダメージパネルを 1個つくった！</v>
      </c>
      <c r="F19" s="59">
        <v>14002120</v>
      </c>
      <c r="G19" s="5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5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5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5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5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5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5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5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5" t="str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9" s="5">
        <f ca="1">VLOOKUP($F19,OFFSET(enemy_skill_triggers!$A$1,0,0,COUNTA(enemy_skill_triggers!$A:$A),MATCH(P$1,enemy_skill_triggers!$1:$1,0)-MATCH($F$1,enemy_skill_triggers!$1:$1,0)+1),MATCH(P$1,enemy_skill_triggers!$1:$1,0)-MATCH($F$1,enemy_skill_triggers!$1:$1,0)+1,FALSE)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9" s="53"/>
      <c r="R19" s="53"/>
      <c r="S19" s="53"/>
    </row>
    <row r="20" spans="1:19" ht="21" customHeight="1" x14ac:dyDescent="0.15">
      <c r="A20" s="46" t="str">
        <f t="shared" si="6"/>
        <v>14002002_14002002</v>
      </c>
      <c r="B20" s="59">
        <v>14002002</v>
      </c>
      <c r="C20" s="59">
        <v>14002002</v>
      </c>
      <c r="D20" s="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「神は サイコロを振らない」グワッ</v>
      </c>
      <c r="E20" s="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あらわれて_x000D_時限式ダメージパネルを 2個つくった！</v>
      </c>
      <c r="F20" s="59">
        <v>14002120</v>
      </c>
      <c r="G20" s="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5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5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5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5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5" t="str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0" s="5">
        <f ca="1">VLOOKUP($F20,OFFSET(enemy_skill_triggers!$A$1,0,0,COUNTA(enemy_skill_triggers!$A:$A),MATCH(P$1,enemy_skill_triggers!$1:$1,0)-MATCH($F$1,enemy_skill_triggers!$1:$1,0)+1),MATCH(P$1,enemy_skill_triggers!$1:$1,0)-MATCH($F$1,enemy_skill_triggers!$1:$1,0)+1,FALSE)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0" s="53"/>
      <c r="R20" s="53"/>
      <c r="S20" s="53"/>
    </row>
    <row r="21" spans="1:19" ht="21" customHeight="1" x14ac:dyDescent="0.15">
      <c r="A21" s="46" t="str">
        <f t="shared" si="6"/>
        <v>14002003_14002003</v>
      </c>
      <c r="B21" s="59">
        <v>14002003</v>
      </c>
      <c r="C21" s="59">
        <v>14002003</v>
      </c>
      <c r="D21" s="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「神は サイコロを振らない」グワッ</v>
      </c>
      <c r="E21" s="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あらわれて_x000D_時限式ダメージパネルを 3個つくった！</v>
      </c>
      <c r="F21" s="59">
        <v>14002120</v>
      </c>
      <c r="G21" s="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5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5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5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5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5" t="str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1" s="5">
        <f ca="1">VLOOKUP($F21,OFFSET(enemy_skill_triggers!$A$1,0,0,COUNTA(enemy_skill_triggers!$A:$A),MATCH(P$1,enemy_skill_triggers!$1:$1,0)-MATCH($F$1,enemy_skill_triggers!$1:$1,0)+1),MATCH(P$1,enemy_skill_triggers!$1:$1,0)-MATCH($F$1,enemy_skill_triggers!$1:$1,0)+1,FALSE)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1" s="53"/>
      <c r="R21" s="53"/>
      <c r="S21" s="53"/>
    </row>
    <row r="22" spans="1:19" ht="21" customHeight="1" x14ac:dyDescent="0.15">
      <c r="A22" s="46" t="str">
        <f t="shared" ref="A22:A23" si="7">B22&amp;"_"&amp;C22</f>
        <v>14002004_14002004</v>
      </c>
      <c r="B22" s="59">
        <v>14002004</v>
      </c>
      <c r="C22" s="59">
        <v>14002004</v>
      </c>
      <c r="D22" s="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「神は サイコロを振らない」グワッ</v>
      </c>
      <c r="E22" s="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あらわれて_x000D_時限式ダメージパネルを 4個つくった！</v>
      </c>
      <c r="F22" s="59">
        <v>14002120</v>
      </c>
      <c r="G22" s="5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5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5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5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5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5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5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5" t="str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2" s="5">
        <f ca="1">VLOOKUP($F22,OFFSET(enemy_skill_triggers!$A$1,0,0,COUNTA(enemy_skill_triggers!$A:$A),MATCH(P$1,enemy_skill_triggers!$1:$1,0)-MATCH($F$1,enemy_skill_triggers!$1:$1,0)+1),MATCH(P$1,enemy_skill_triggers!$1:$1,0)-MATCH($F$1,enemy_skill_triggers!$1:$1,0)+1,FALSE)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2" s="53"/>
      <c r="R22" s="53"/>
      <c r="S22" s="53"/>
    </row>
    <row r="23" spans="1:19" ht="21" customHeight="1" x14ac:dyDescent="0.15">
      <c r="A23" s="46" t="str">
        <f t="shared" si="7"/>
        <v>14002005_14002005</v>
      </c>
      <c r="B23" s="59">
        <v>14002005</v>
      </c>
      <c r="C23" s="59">
        <v>14002005</v>
      </c>
      <c r="D23" s="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「神は サイコロを振らない」グワッ</v>
      </c>
      <c r="E23" s="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あらわれて_x000D_時限式ダメージパネルを 5個つくった！</v>
      </c>
      <c r="F23" s="59">
        <v>14002120</v>
      </c>
      <c r="G23" s="5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5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5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5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5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5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5" t="str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3" s="5">
        <f ca="1">VLOOKUP($F23,OFFSET(enemy_skill_triggers!$A$1,0,0,COUNTA(enemy_skill_triggers!$A:$A),MATCH(P$1,enemy_skill_triggers!$1:$1,0)-MATCH($F$1,enemy_skill_triggers!$1:$1,0)+1),MATCH(P$1,enemy_skill_triggers!$1:$1,0)-MATCH($F$1,enemy_skill_triggers!$1:$1,0)+1,FALSE)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3" s="53"/>
      <c r="R23" s="53"/>
      <c r="S23" s="53"/>
    </row>
    <row r="24" spans="1:19" ht="21" customHeight="1" x14ac:dyDescent="0.15">
      <c r="A24" s="46" t="str">
        <f t="shared" ref="A24:A27" si="8">B24&amp;"_"&amp;C24</f>
        <v>14002006_14002006</v>
      </c>
      <c r="B24" s="59">
        <v>14002006</v>
      </c>
      <c r="C24" s="59">
        <v>14002006</v>
      </c>
      <c r="D24" s="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「神は サイコロを振らない」グワッ</v>
      </c>
      <c r="E24" s="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あらわれて_x000D_時限式ダメージパネルを 6個つくった！</v>
      </c>
      <c r="F24" s="59">
        <v>14002120</v>
      </c>
      <c r="G24" s="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5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5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5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5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5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5" t="str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4" s="5">
        <f ca="1">VLOOKUP($F24,OFFSET(enemy_skill_triggers!$A$1,0,0,COUNTA(enemy_skill_triggers!$A:$A),MATCH(P$1,enemy_skill_triggers!$1:$1,0)-MATCH($F$1,enemy_skill_triggers!$1:$1,0)+1),MATCH(P$1,enemy_skill_triggers!$1:$1,0)-MATCH($F$1,enemy_skill_triggers!$1:$1,0)+1,FALSE)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4" s="53"/>
      <c r="R24" s="53"/>
      <c r="S24" s="53"/>
    </row>
    <row r="25" spans="1:19" ht="21" customHeight="1" x14ac:dyDescent="0.15">
      <c r="A25" s="46" t="str">
        <f t="shared" si="8"/>
        <v>14002007_14002007</v>
      </c>
      <c r="B25" s="59">
        <v>14002007</v>
      </c>
      <c r="C25" s="59">
        <v>14002007</v>
      </c>
      <c r="D25" s="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「早起きは 三文の徳」だグワッ</v>
      </c>
      <c r="E25" s="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あらわれて_x000D_ボムパネルを 3個つくった！</v>
      </c>
      <c r="F25" s="59">
        <v>14002120</v>
      </c>
      <c r="G25" s="5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5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5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5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5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5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5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5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5" t="str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5" s="5">
        <f ca="1">VLOOKUP($F25,OFFSET(enemy_skill_triggers!$A$1,0,0,COUNTA(enemy_skill_triggers!$A:$A),MATCH(P$1,enemy_skill_triggers!$1:$1,0)-MATCH($F$1,enemy_skill_triggers!$1:$1,0)+1),MATCH(P$1,enemy_skill_triggers!$1:$1,0)-MATCH($F$1,enemy_skill_triggers!$1:$1,0)+1,FALSE)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5" s="53"/>
      <c r="R25" s="53"/>
      <c r="S25" s="53"/>
    </row>
    <row r="26" spans="1:19" ht="21" customHeight="1" x14ac:dyDescent="0.15">
      <c r="A26" s="46" t="str">
        <f t="shared" si="8"/>
        <v>14002008_14002008</v>
      </c>
      <c r="B26" s="59">
        <v>14002008</v>
      </c>
      <c r="C26" s="59">
        <v>14002008</v>
      </c>
      <c r="D26" s="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「毒をクヮらば皿まで」だグワッ</v>
      </c>
      <c r="E26" s="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あらわれて_x000D_毒を皿ごと食べてしまった！</v>
      </c>
      <c r="F26" s="59">
        <v>14002120</v>
      </c>
      <c r="G26" s="5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5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5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5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5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5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5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5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5" t="str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6" s="5">
        <f ca="1">VLOOKUP($F26,OFFSET(enemy_skill_triggers!$A$1,0,0,COUNTA(enemy_skill_triggers!$A:$A),MATCH(P$1,enemy_skill_triggers!$1:$1,0)-MATCH($F$1,enemy_skill_triggers!$1:$1,0)+1),MATCH(P$1,enemy_skill_triggers!$1:$1,0)-MATCH($F$1,enemy_skill_triggers!$1:$1,0)+1,FALSE)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6" s="53"/>
      <c r="R26" s="53"/>
      <c r="S26" s="53"/>
    </row>
    <row r="27" spans="1:19" ht="21" customHeight="1" x14ac:dyDescent="0.15">
      <c r="A27" s="46" t="str">
        <f t="shared" si="8"/>
        <v>14002009_14002009</v>
      </c>
      <c r="B27" s="59">
        <v>14002009</v>
      </c>
      <c r="C27" s="59">
        <v>14002009</v>
      </c>
      <c r="D27" s="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「口は災いの元」だグワッ</v>
      </c>
      <c r="E27" s="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あらわれて_x000D_口を固く閉ざしてしまった！</v>
      </c>
      <c r="F27" s="59">
        <v>14002120</v>
      </c>
      <c r="G27" s="5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5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5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5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5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5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5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5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5" t="str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7" s="5">
        <f ca="1">VLOOKUP($F27,OFFSET(enemy_skill_triggers!$A$1,0,0,COUNTA(enemy_skill_triggers!$A:$A),MATCH(P$1,enemy_skill_triggers!$1:$1,0)-MATCH($F$1,enemy_skill_triggers!$1:$1,0)+1),MATCH(P$1,enemy_skill_triggers!$1:$1,0)-MATCH($F$1,enemy_skill_triggers!$1:$1,0)+1,FALSE)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7" s="53"/>
      <c r="R27" s="53"/>
      <c r="S27" s="53"/>
    </row>
    <row r="28" spans="1:19" ht="21" customHeight="1" x14ac:dyDescent="0.15">
      <c r="A28" s="46" t="str">
        <f t="shared" ref="A28:A29" si="9">B28&amp;"_"&amp;C28</f>
        <v>14002010_14002010</v>
      </c>
      <c r="B28" s="59">
        <v>14002010</v>
      </c>
      <c r="C28" s="59">
        <v>14002010</v>
      </c>
      <c r="D28" s="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「一寸先は闇」だグワッ</v>
      </c>
      <c r="E28" s="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あらわれて_x000D_1ターンの間 を闇つくった！</v>
      </c>
      <c r="F28" s="59">
        <v>14002120</v>
      </c>
      <c r="G28" s="5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5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5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5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5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5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5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5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5" t="str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8" s="5">
        <f ca="1">VLOOKUP($F28,OFFSET(enemy_skill_triggers!$A$1,0,0,COUNTA(enemy_skill_triggers!$A:$A),MATCH(P$1,enemy_skill_triggers!$1:$1,0)-MATCH($F$1,enemy_skill_triggers!$1:$1,0)+1),MATCH(P$1,enemy_skill_triggers!$1:$1,0)-MATCH($F$1,enemy_skill_triggers!$1:$1,0)+1,FALSE)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8" s="53"/>
      <c r="R28" s="53"/>
      <c r="S28" s="53"/>
    </row>
    <row r="29" spans="1:19" ht="21" customHeight="1" x14ac:dyDescent="0.15">
      <c r="A29" s="46" t="str">
        <f t="shared" si="9"/>
        <v>14002011_14002011</v>
      </c>
      <c r="B29" s="59">
        <v>14002011</v>
      </c>
      <c r="C29" s="59">
        <v>14002011</v>
      </c>
      <c r="D29" s="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「病は気から」だグワッ</v>
      </c>
      <c r="E29" s="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ゴールドキングが あらわれて_x000D_状態異常が効かない体質になった！</v>
      </c>
      <c r="F29" s="59">
        <v>14002120</v>
      </c>
      <c r="G29" s="5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5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5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5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5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5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5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5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5" t="str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9" s="5">
        <f ca="1">VLOOKUP($F29,OFFSET(enemy_skill_triggers!$A$1,0,0,COUNTA(enemy_skill_triggers!$A:$A),MATCH(P$1,enemy_skill_triggers!$1:$1,0)-MATCH($F$1,enemy_skill_triggers!$1:$1,0)+1),MATCH(P$1,enemy_skill_triggers!$1:$1,0)-MATCH($F$1,enemy_skill_triggers!$1:$1,0)+1,FALSE)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9" s="53"/>
      <c r="R29" s="53"/>
      <c r="S29" s="53"/>
    </row>
    <row r="30" spans="1:19" ht="21" customHeight="1" x14ac:dyDescent="0.15">
      <c r="A30" s="46" t="str">
        <f t="shared" ref="A30" si="10">B30&amp;"_"&amp;C30</f>
        <v>14002012_14002012</v>
      </c>
      <c r="B30" s="59">
        <v>14002012</v>
      </c>
      <c r="C30" s="59">
        <v>14002012</v>
      </c>
      <c r="D30" s="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「飛ぶ鳥、後を濁さず」だグワッ</v>
      </c>
      <c r="E30" s="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仲間と共に 飛び去っていった…</v>
      </c>
      <c r="F30" s="59">
        <v>14002120</v>
      </c>
      <c r="G30" s="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5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5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5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5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5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5" t="str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30" s="5">
        <f ca="1">VLOOKUP($F30,OFFSET(enemy_skill_triggers!$A$1,0,0,COUNTA(enemy_skill_triggers!$A:$A),MATCH(P$1,enemy_skill_triggers!$1:$1,0)-MATCH($F$1,enemy_skill_triggers!$1:$1,0)+1),MATCH(P$1,enemy_skill_triggers!$1:$1,0)-MATCH($F$1,enemy_skill_triggers!$1:$1,0)+1,FALSE)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0" s="53"/>
      <c r="R30" s="53"/>
      <c r="S30" s="53"/>
    </row>
    <row r="34" spans="3:3" ht="21" customHeight="1" x14ac:dyDescent="0.15">
      <c r="C34" s="55">
        <v>1</v>
      </c>
    </row>
  </sheetData>
  <autoFilter ref="A1:S1"/>
  <phoneticPr fontId="4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0000FF"/>
  </sheetPr>
  <dimension ref="A1:I30"/>
  <sheetViews>
    <sheetView showGridLines="0" tabSelected="1" zoomScale="75" zoomScaleNormal="75" zoomScalePageLayoutView="75" workbookViewId="0">
      <pane ySplit="1" topLeftCell="A2" activePane="bottomLeft" state="frozenSplit"/>
      <selection activeCell="E25" sqref="E25"/>
      <selection pane="bottomLeft" activeCell="B5" sqref="B5"/>
    </sheetView>
  </sheetViews>
  <sheetFormatPr baseColWidth="12" defaultColWidth="12.83203125" defaultRowHeight="21" customHeight="1" x14ac:dyDescent="0.15"/>
  <cols>
    <col min="1" max="1" width="12.83203125" style="55"/>
    <col min="2" max="2" width="67.1640625" style="55" customWidth="1"/>
    <col min="3" max="4" width="12.83203125" style="55"/>
    <col min="5" max="5" width="29" style="55" bestFit="1" customWidth="1"/>
    <col min="6" max="6" width="44.1640625" style="55" bestFit="1" customWidth="1"/>
    <col min="7" max="8" width="12.83203125" style="55"/>
    <col min="9" max="9" width="44.5" style="55" customWidth="1"/>
    <col min="10" max="16384" width="12.83203125" style="55"/>
  </cols>
  <sheetData>
    <row r="1" spans="1:9" ht="21" customHeight="1" x14ac:dyDescent="0.15">
      <c r="A1" s="47" t="s">
        <v>81</v>
      </c>
      <c r="B1" s="47" t="s">
        <v>130</v>
      </c>
      <c r="C1" s="47" t="s">
        <v>83</v>
      </c>
      <c r="D1" s="47" t="s">
        <v>131</v>
      </c>
      <c r="E1" s="47" t="s">
        <v>132</v>
      </c>
      <c r="F1" s="47" t="s">
        <v>133</v>
      </c>
      <c r="G1" s="48" t="s">
        <v>127</v>
      </c>
      <c r="H1" s="48" t="s">
        <v>128</v>
      </c>
      <c r="I1" s="48" t="s">
        <v>129</v>
      </c>
    </row>
    <row r="2" spans="1:9" s="63" customFormat="1" ht="30" customHeight="1" x14ac:dyDescent="0.15">
      <c r="A2" s="53">
        <v>14002201</v>
      </c>
      <c r="B2" s="53" t="s">
        <v>269</v>
      </c>
      <c r="C2" s="146">
        <v>3</v>
      </c>
      <c r="D2" s="146" t="s">
        <v>134</v>
      </c>
      <c r="E2" s="147" t="s">
        <v>261</v>
      </c>
      <c r="F2" s="147" t="s">
        <v>262</v>
      </c>
      <c r="G2" s="146"/>
      <c r="H2" s="148"/>
      <c r="I2" s="146"/>
    </row>
    <row r="3" spans="1:9" s="63" customFormat="1" ht="30" customHeight="1" x14ac:dyDescent="0.15">
      <c r="A3" s="115">
        <v>14002211</v>
      </c>
      <c r="B3" s="115" t="s">
        <v>292</v>
      </c>
      <c r="C3" s="149">
        <v>3</v>
      </c>
      <c r="D3" s="149" t="s">
        <v>134</v>
      </c>
      <c r="E3" s="150" t="s">
        <v>270</v>
      </c>
      <c r="F3" s="150" t="s">
        <v>271</v>
      </c>
      <c r="G3" s="146"/>
      <c r="H3" s="148"/>
      <c r="I3" s="146"/>
    </row>
    <row r="4" spans="1:9" s="63" customFormat="1" ht="30" customHeight="1" x14ac:dyDescent="0.15">
      <c r="A4" s="115">
        <v>14002221</v>
      </c>
      <c r="B4" s="115" t="s">
        <v>278</v>
      </c>
      <c r="C4" s="149">
        <v>3</v>
      </c>
      <c r="D4" s="149" t="s">
        <v>134</v>
      </c>
      <c r="E4" s="150" t="s">
        <v>264</v>
      </c>
      <c r="F4" s="150" t="s">
        <v>291</v>
      </c>
      <c r="G4" s="146"/>
      <c r="H4" s="148"/>
      <c r="I4" s="146"/>
    </row>
    <row r="5" spans="1:9" s="63" customFormat="1" ht="30" customHeight="1" x14ac:dyDescent="0.15">
      <c r="A5" s="115">
        <v>14002231</v>
      </c>
      <c r="B5" s="115" t="s">
        <v>294</v>
      </c>
      <c r="C5" s="149">
        <v>3</v>
      </c>
      <c r="D5" s="149" t="s">
        <v>134</v>
      </c>
      <c r="E5" s="150" t="s">
        <v>263</v>
      </c>
      <c r="F5" s="150" t="s">
        <v>293</v>
      </c>
      <c r="G5" s="146"/>
      <c r="H5" s="148"/>
      <c r="I5" s="146"/>
    </row>
    <row r="6" spans="1:9" s="63" customFormat="1" ht="30" customHeight="1" x14ac:dyDescent="0.15">
      <c r="A6" s="53">
        <v>14002240</v>
      </c>
      <c r="B6" s="53" t="s">
        <v>286</v>
      </c>
      <c r="C6" s="146">
        <v>3</v>
      </c>
      <c r="D6" s="146" t="s">
        <v>134</v>
      </c>
      <c r="E6" s="147" t="s">
        <v>265</v>
      </c>
      <c r="F6" s="147" t="s">
        <v>281</v>
      </c>
      <c r="G6" s="146"/>
      <c r="H6" s="148"/>
      <c r="I6" s="146"/>
    </row>
    <row r="7" spans="1:9" s="63" customFormat="1" ht="30" customHeight="1" x14ac:dyDescent="0.15">
      <c r="A7" s="53">
        <v>14002241</v>
      </c>
      <c r="B7" s="53" t="s">
        <v>287</v>
      </c>
      <c r="C7" s="146">
        <v>3</v>
      </c>
      <c r="D7" s="146" t="s">
        <v>134</v>
      </c>
      <c r="E7" s="147" t="s">
        <v>266</v>
      </c>
      <c r="F7" s="147" t="s">
        <v>282</v>
      </c>
      <c r="G7" s="146"/>
      <c r="H7" s="148"/>
      <c r="I7" s="146"/>
    </row>
    <row r="8" spans="1:9" s="63" customFormat="1" ht="30" customHeight="1" x14ac:dyDescent="0.15">
      <c r="A8" s="53">
        <v>14002242</v>
      </c>
      <c r="B8" s="53" t="s">
        <v>288</v>
      </c>
      <c r="C8" s="146">
        <v>3</v>
      </c>
      <c r="D8" s="146" t="s">
        <v>134</v>
      </c>
      <c r="E8" s="147" t="s">
        <v>279</v>
      </c>
      <c r="F8" s="147" t="s">
        <v>283</v>
      </c>
      <c r="G8" s="146"/>
      <c r="H8" s="148"/>
      <c r="I8" s="146"/>
    </row>
    <row r="9" spans="1:9" s="63" customFormat="1" ht="30" customHeight="1" x14ac:dyDescent="0.15">
      <c r="A9" s="53">
        <v>14002243</v>
      </c>
      <c r="B9" s="53" t="s">
        <v>289</v>
      </c>
      <c r="C9" s="146">
        <v>3</v>
      </c>
      <c r="D9" s="146" t="s">
        <v>134</v>
      </c>
      <c r="E9" s="147" t="s">
        <v>267</v>
      </c>
      <c r="F9" s="147" t="s">
        <v>284</v>
      </c>
      <c r="G9" s="146"/>
      <c r="H9" s="148"/>
      <c r="I9" s="146"/>
    </row>
    <row r="10" spans="1:9" s="209" customFormat="1" ht="30" customHeight="1" x14ac:dyDescent="0.15">
      <c r="A10" s="53">
        <v>14002244</v>
      </c>
      <c r="B10" s="53" t="s">
        <v>290</v>
      </c>
      <c r="C10" s="146">
        <v>3</v>
      </c>
      <c r="D10" s="146" t="s">
        <v>134</v>
      </c>
      <c r="E10" s="147" t="s">
        <v>268</v>
      </c>
      <c r="F10" s="147" t="s">
        <v>285</v>
      </c>
      <c r="G10" s="146"/>
      <c r="H10" s="148"/>
      <c r="I10" s="146"/>
    </row>
    <row r="11" spans="1:9" s="209" customFormat="1" ht="30" customHeight="1" x14ac:dyDescent="0.15">
      <c r="A11" s="53">
        <v>14002245</v>
      </c>
      <c r="B11" s="53" t="s">
        <v>272</v>
      </c>
      <c r="C11" s="146">
        <v>3</v>
      </c>
      <c r="D11" s="146" t="s">
        <v>134</v>
      </c>
      <c r="E11" s="147" t="s">
        <v>217</v>
      </c>
      <c r="F11" s="147" t="s">
        <v>226</v>
      </c>
      <c r="G11" s="146"/>
      <c r="H11" s="148"/>
      <c r="I11" s="146"/>
    </row>
    <row r="12" spans="1:9" s="209" customFormat="1" ht="30" customHeight="1" x14ac:dyDescent="0.15">
      <c r="A12" s="53">
        <v>14002246</v>
      </c>
      <c r="B12" s="53" t="s">
        <v>273</v>
      </c>
      <c r="C12" s="146">
        <v>3</v>
      </c>
      <c r="D12" s="146" t="s">
        <v>134</v>
      </c>
      <c r="E12" s="147" t="s">
        <v>215</v>
      </c>
      <c r="F12" s="147" t="s">
        <v>229</v>
      </c>
      <c r="G12" s="146"/>
      <c r="H12" s="148"/>
      <c r="I12" s="146"/>
    </row>
    <row r="13" spans="1:9" s="209" customFormat="1" ht="30" customHeight="1" x14ac:dyDescent="0.15">
      <c r="A13" s="53">
        <v>14002247</v>
      </c>
      <c r="B13" s="53" t="s">
        <v>274</v>
      </c>
      <c r="C13" s="146">
        <v>3</v>
      </c>
      <c r="D13" s="146" t="s">
        <v>134</v>
      </c>
      <c r="E13" s="147" t="s">
        <v>244</v>
      </c>
      <c r="F13" s="147" t="s">
        <v>248</v>
      </c>
      <c r="G13" s="146"/>
      <c r="H13" s="148"/>
      <c r="I13" s="146"/>
    </row>
    <row r="14" spans="1:9" s="209" customFormat="1" ht="30" customHeight="1" x14ac:dyDescent="0.15">
      <c r="A14" s="53">
        <v>14002248</v>
      </c>
      <c r="B14" s="53" t="s">
        <v>275</v>
      </c>
      <c r="C14" s="146">
        <v>3</v>
      </c>
      <c r="D14" s="146" t="s">
        <v>134</v>
      </c>
      <c r="E14" s="147" t="s">
        <v>245</v>
      </c>
      <c r="F14" s="147" t="s">
        <v>249</v>
      </c>
      <c r="G14" s="146"/>
      <c r="H14" s="148"/>
      <c r="I14" s="146"/>
    </row>
    <row r="15" spans="1:9" s="209" customFormat="1" ht="30" customHeight="1" x14ac:dyDescent="0.15">
      <c r="A15" s="53">
        <v>14002249</v>
      </c>
      <c r="B15" s="53" t="s">
        <v>276</v>
      </c>
      <c r="C15" s="146">
        <v>3</v>
      </c>
      <c r="D15" s="146" t="s">
        <v>134</v>
      </c>
      <c r="E15" s="147" t="s">
        <v>250</v>
      </c>
      <c r="F15" s="147" t="s">
        <v>251</v>
      </c>
      <c r="G15" s="146"/>
      <c r="H15" s="148"/>
      <c r="I15" s="146"/>
    </row>
    <row r="16" spans="1:9" s="209" customFormat="1" ht="30" customHeight="1" x14ac:dyDescent="0.15">
      <c r="A16" s="53">
        <v>14002250</v>
      </c>
      <c r="B16" s="53" t="s">
        <v>277</v>
      </c>
      <c r="C16" s="146">
        <v>3</v>
      </c>
      <c r="D16" s="146" t="s">
        <v>134</v>
      </c>
      <c r="E16" s="147" t="s">
        <v>280</v>
      </c>
      <c r="F16" s="147" t="s">
        <v>257</v>
      </c>
      <c r="G16" s="146"/>
      <c r="H16" s="148"/>
      <c r="I16" s="146"/>
    </row>
    <row r="17" spans="1:9" s="63" customFormat="1" ht="30" customHeight="1" x14ac:dyDescent="0.15">
      <c r="A17" s="140">
        <v>14002124</v>
      </c>
      <c r="B17" s="140" t="s">
        <v>155</v>
      </c>
      <c r="C17" s="143">
        <v>3</v>
      </c>
      <c r="D17" s="143" t="s">
        <v>134</v>
      </c>
      <c r="E17" s="144" t="s">
        <v>211</v>
      </c>
      <c r="F17" s="144" t="s">
        <v>213</v>
      </c>
      <c r="G17" s="143" t="s">
        <v>145</v>
      </c>
      <c r="H17" s="145"/>
      <c r="I17" s="143"/>
    </row>
    <row r="18" spans="1:9" s="63" customFormat="1" ht="28" x14ac:dyDescent="0.15">
      <c r="A18" s="59">
        <v>14002000</v>
      </c>
      <c r="B18" s="59" t="s">
        <v>218</v>
      </c>
      <c r="C18" s="60">
        <v>3</v>
      </c>
      <c r="D18" s="60" t="s">
        <v>134</v>
      </c>
      <c r="E18" s="61" t="s">
        <v>217</v>
      </c>
      <c r="F18" s="61" t="s">
        <v>226</v>
      </c>
      <c r="G18" s="60" t="s">
        <v>145</v>
      </c>
      <c r="H18" s="62"/>
      <c r="I18" s="60"/>
    </row>
    <row r="19" spans="1:9" s="63" customFormat="1" ht="28" x14ac:dyDescent="0.15">
      <c r="A19" s="59">
        <v>14002001</v>
      </c>
      <c r="B19" s="59" t="s">
        <v>222</v>
      </c>
      <c r="C19" s="60">
        <v>3</v>
      </c>
      <c r="D19" s="60" t="s">
        <v>134</v>
      </c>
      <c r="E19" s="61" t="s">
        <v>214</v>
      </c>
      <c r="F19" s="61" t="s">
        <v>227</v>
      </c>
      <c r="G19" s="60" t="s">
        <v>145</v>
      </c>
      <c r="H19" s="62"/>
      <c r="I19" s="60"/>
    </row>
    <row r="20" spans="1:9" s="63" customFormat="1" ht="28" x14ac:dyDescent="0.15">
      <c r="A20" s="59">
        <v>14002002</v>
      </c>
      <c r="B20" s="59" t="s">
        <v>221</v>
      </c>
      <c r="C20" s="60">
        <v>3</v>
      </c>
      <c r="D20" s="60" t="s">
        <v>134</v>
      </c>
      <c r="E20" s="61" t="s">
        <v>214</v>
      </c>
      <c r="F20" s="61" t="s">
        <v>228</v>
      </c>
      <c r="G20" s="60" t="s">
        <v>145</v>
      </c>
      <c r="H20" s="62"/>
      <c r="I20" s="60"/>
    </row>
    <row r="21" spans="1:9" s="63" customFormat="1" ht="28" x14ac:dyDescent="0.15">
      <c r="A21" s="59">
        <v>14002003</v>
      </c>
      <c r="B21" s="59" t="s">
        <v>220</v>
      </c>
      <c r="C21" s="60">
        <v>3</v>
      </c>
      <c r="D21" s="60" t="s">
        <v>134</v>
      </c>
      <c r="E21" s="61" t="s">
        <v>214</v>
      </c>
      <c r="F21" s="61" t="s">
        <v>233</v>
      </c>
      <c r="G21" s="60" t="s">
        <v>145</v>
      </c>
      <c r="H21" s="62"/>
      <c r="I21" s="60"/>
    </row>
    <row r="22" spans="1:9" s="63" customFormat="1" ht="28" x14ac:dyDescent="0.15">
      <c r="A22" s="59">
        <v>14002004</v>
      </c>
      <c r="B22" s="59" t="s">
        <v>223</v>
      </c>
      <c r="C22" s="60">
        <v>3</v>
      </c>
      <c r="D22" s="60" t="s">
        <v>134</v>
      </c>
      <c r="E22" s="61" t="s">
        <v>214</v>
      </c>
      <c r="F22" s="61" t="s">
        <v>232</v>
      </c>
      <c r="G22" s="60" t="s">
        <v>145</v>
      </c>
      <c r="H22" s="62"/>
      <c r="I22" s="60"/>
    </row>
    <row r="23" spans="1:9" s="63" customFormat="1" ht="28" x14ac:dyDescent="0.15">
      <c r="A23" s="59">
        <v>14002005</v>
      </c>
      <c r="B23" s="59" t="s">
        <v>224</v>
      </c>
      <c r="C23" s="60">
        <v>3</v>
      </c>
      <c r="D23" s="60" t="s">
        <v>134</v>
      </c>
      <c r="E23" s="61" t="s">
        <v>214</v>
      </c>
      <c r="F23" s="61" t="s">
        <v>231</v>
      </c>
      <c r="G23" s="60" t="s">
        <v>145</v>
      </c>
      <c r="H23" s="62"/>
      <c r="I23" s="60"/>
    </row>
    <row r="24" spans="1:9" s="63" customFormat="1" ht="28" x14ac:dyDescent="0.15">
      <c r="A24" s="59">
        <v>14002006</v>
      </c>
      <c r="B24" s="59" t="s">
        <v>225</v>
      </c>
      <c r="C24" s="60">
        <v>3</v>
      </c>
      <c r="D24" s="60" t="s">
        <v>134</v>
      </c>
      <c r="E24" s="61" t="s">
        <v>214</v>
      </c>
      <c r="F24" s="61" t="s">
        <v>230</v>
      </c>
      <c r="G24" s="60" t="s">
        <v>145</v>
      </c>
      <c r="H24" s="62"/>
      <c r="I24" s="60"/>
    </row>
    <row r="25" spans="1:9" s="63" customFormat="1" ht="21" customHeight="1" x14ac:dyDescent="0.15">
      <c r="A25" s="59">
        <v>14002007</v>
      </c>
      <c r="B25" s="59" t="s">
        <v>216</v>
      </c>
      <c r="C25" s="60">
        <v>3</v>
      </c>
      <c r="D25" s="60" t="s">
        <v>134</v>
      </c>
      <c r="E25" s="61" t="s">
        <v>215</v>
      </c>
      <c r="F25" s="61" t="s">
        <v>229</v>
      </c>
      <c r="G25" s="60" t="s">
        <v>145</v>
      </c>
      <c r="H25" s="62"/>
      <c r="I25" s="60"/>
    </row>
    <row r="26" spans="1:9" s="63" customFormat="1" ht="21" customHeight="1" x14ac:dyDescent="0.15">
      <c r="A26" s="59">
        <v>14002008</v>
      </c>
      <c r="B26" s="59" t="s">
        <v>255</v>
      </c>
      <c r="C26" s="60">
        <v>3</v>
      </c>
      <c r="D26" s="60" t="s">
        <v>134</v>
      </c>
      <c r="E26" s="61" t="s">
        <v>244</v>
      </c>
      <c r="F26" s="61" t="s">
        <v>248</v>
      </c>
      <c r="G26" s="60" t="s">
        <v>145</v>
      </c>
      <c r="H26" s="62"/>
      <c r="I26" s="60"/>
    </row>
    <row r="27" spans="1:9" s="63" customFormat="1" ht="21" customHeight="1" x14ac:dyDescent="0.15">
      <c r="A27" s="59">
        <v>14002009</v>
      </c>
      <c r="B27" s="59" t="s">
        <v>252</v>
      </c>
      <c r="C27" s="60">
        <v>3</v>
      </c>
      <c r="D27" s="60" t="s">
        <v>134</v>
      </c>
      <c r="E27" s="61" t="s">
        <v>245</v>
      </c>
      <c r="F27" s="61" t="s">
        <v>249</v>
      </c>
      <c r="G27" s="60" t="s">
        <v>145</v>
      </c>
      <c r="H27" s="62"/>
      <c r="I27" s="60"/>
    </row>
    <row r="28" spans="1:9" s="63" customFormat="1" ht="21" customHeight="1" x14ac:dyDescent="0.15">
      <c r="A28" s="59">
        <v>14002010</v>
      </c>
      <c r="B28" s="59" t="s">
        <v>247</v>
      </c>
      <c r="C28" s="60">
        <v>3</v>
      </c>
      <c r="D28" s="60" t="s">
        <v>134</v>
      </c>
      <c r="E28" s="61" t="s">
        <v>246</v>
      </c>
      <c r="F28" s="61" t="s">
        <v>254</v>
      </c>
      <c r="G28" s="60" t="s">
        <v>145</v>
      </c>
      <c r="H28" s="62"/>
      <c r="I28" s="60"/>
    </row>
    <row r="29" spans="1:9" s="63" customFormat="1" ht="21" customHeight="1" x14ac:dyDescent="0.15">
      <c r="A29" s="59">
        <v>14002011</v>
      </c>
      <c r="B29" s="59" t="s">
        <v>253</v>
      </c>
      <c r="C29" s="60">
        <v>3</v>
      </c>
      <c r="D29" s="60" t="s">
        <v>134</v>
      </c>
      <c r="E29" s="61" t="s">
        <v>250</v>
      </c>
      <c r="F29" s="61" t="s">
        <v>251</v>
      </c>
      <c r="G29" s="60" t="s">
        <v>145</v>
      </c>
      <c r="H29" s="62"/>
      <c r="I29" s="60"/>
    </row>
    <row r="30" spans="1:9" s="63" customFormat="1" ht="21" customHeight="1" x14ac:dyDescent="0.15">
      <c r="A30" s="59">
        <v>14002012</v>
      </c>
      <c r="B30" s="59" t="s">
        <v>259</v>
      </c>
      <c r="C30" s="60">
        <v>3</v>
      </c>
      <c r="D30" s="60" t="s">
        <v>134</v>
      </c>
      <c r="E30" s="61" t="s">
        <v>256</v>
      </c>
      <c r="F30" s="61" t="s">
        <v>257</v>
      </c>
      <c r="G30" s="60" t="s">
        <v>145</v>
      </c>
      <c r="H30" s="62"/>
      <c r="I30" s="60"/>
    </row>
  </sheetData>
  <autoFilter ref="A1:I1"/>
  <phoneticPr fontId="4"/>
  <pageMargins left="0.75" right="0.75" top="1" bottom="1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K4"/>
  <sheetViews>
    <sheetView showGridLines="0" zoomScale="75" zoomScaleNormal="75" zoomScalePageLayoutView="75" workbookViewId="0">
      <pane ySplit="1" topLeftCell="A2" activePane="bottomLeft" state="frozenSplit"/>
      <selection activeCell="E25" sqref="E25"/>
      <selection pane="bottomLeft" activeCell="B10" sqref="B10"/>
    </sheetView>
  </sheetViews>
  <sheetFormatPr baseColWidth="12" defaultColWidth="12.83203125" defaultRowHeight="21" customHeight="1" outlineLevelCol="1" x14ac:dyDescent="0.15"/>
  <cols>
    <col min="1" max="1" width="16.1640625" style="55" bestFit="1" customWidth="1"/>
    <col min="2" max="2" width="13.33203125" style="55" bestFit="1" customWidth="1"/>
    <col min="3" max="3" width="11.83203125" style="55" bestFit="1" customWidth="1"/>
    <col min="4" max="4" width="14.6640625" style="55" bestFit="1" customWidth="1"/>
    <col min="5" max="5" width="15.6640625" style="55" bestFit="1" customWidth="1"/>
    <col min="6" max="6" width="17" style="55" bestFit="1" customWidth="1"/>
    <col min="7" max="7" width="15.6640625" style="55" bestFit="1" customWidth="1"/>
    <col min="8" max="9" width="14.6640625" style="55" customWidth="1"/>
    <col min="10" max="10" width="16.1640625" style="55" bestFit="1" customWidth="1" outlineLevel="1"/>
    <col min="11" max="11" width="14.6640625" style="55" bestFit="1" customWidth="1"/>
    <col min="12" max="16384" width="12.83203125" style="52"/>
  </cols>
  <sheetData>
    <row r="1" spans="1:11" ht="21" customHeight="1" x14ac:dyDescent="0.15">
      <c r="A1" s="49" t="s">
        <v>135</v>
      </c>
      <c r="B1" s="49" t="s">
        <v>136</v>
      </c>
      <c r="C1" s="49" t="s">
        <v>101</v>
      </c>
      <c r="D1" s="49" t="s">
        <v>120</v>
      </c>
      <c r="E1" s="49" t="s">
        <v>137</v>
      </c>
      <c r="F1" s="56" t="s">
        <v>138</v>
      </c>
      <c r="G1" s="56" t="s">
        <v>139</v>
      </c>
      <c r="H1" s="49" t="s">
        <v>140</v>
      </c>
      <c r="I1" s="49" t="s">
        <v>100</v>
      </c>
      <c r="J1" s="50" t="s">
        <v>146</v>
      </c>
      <c r="K1" s="49" t="s">
        <v>141</v>
      </c>
    </row>
    <row r="2" spans="1:11" ht="21" customHeight="1" x14ac:dyDescent="0.15">
      <c r="A2" s="53">
        <v>14002201</v>
      </c>
      <c r="B2" s="53">
        <v>1</v>
      </c>
      <c r="C2" s="53" t="s">
        <v>142</v>
      </c>
      <c r="D2" s="53">
        <v>100</v>
      </c>
      <c r="E2" s="53" t="s">
        <v>144</v>
      </c>
      <c r="F2" s="53" t="s">
        <v>142</v>
      </c>
      <c r="G2" s="53">
        <v>1</v>
      </c>
      <c r="H2" s="53" t="s">
        <v>142</v>
      </c>
      <c r="I2" s="53" t="s">
        <v>212</v>
      </c>
      <c r="J2" s="152" t="str">
        <f ca="1">IFERROR(VLOOKUP($I2,OFFSET([4]enemies!$A$1,0,0,COUNTA([4]enemies!$A:$A),MATCH(J$1,[4]enemies!$1:$1,0)-MATCH("character_id",[4]enemies!$1:$1,0)+1),MATCH(J$1,[4]enemies!$1:$1,0)-MATCH("character_id",[4]enemies!$1:$1,0)+1,FALSE),"")</f>
        <v/>
      </c>
      <c r="K2" s="54">
        <f t="shared" ref="K2" si="0">D2</f>
        <v>100</v>
      </c>
    </row>
    <row r="3" spans="1:11" ht="21" customHeight="1" x14ac:dyDescent="0.15">
      <c r="A3" s="140">
        <v>14002124</v>
      </c>
      <c r="B3" s="140">
        <v>1</v>
      </c>
      <c r="C3" s="140" t="s">
        <v>142</v>
      </c>
      <c r="D3" s="140">
        <v>100</v>
      </c>
      <c r="E3" s="140" t="s">
        <v>144</v>
      </c>
      <c r="F3" s="140" t="s">
        <v>142</v>
      </c>
      <c r="G3" s="140">
        <v>1</v>
      </c>
      <c r="H3" s="140" t="s">
        <v>142</v>
      </c>
      <c r="I3" s="140" t="s">
        <v>212</v>
      </c>
      <c r="J3" s="20" t="str">
        <f ca="1">IFERROR(VLOOKUP($I3,OFFSET([4]enemies!$A$1,0,0,COUNTA([4]enemies!$A:$A),MATCH(J$1,[4]enemies!$1:$1,0)-MATCH("character_id",[4]enemies!$1:$1,0)+1),MATCH(J$1,[4]enemies!$1:$1,0)-MATCH("character_id",[4]enemies!$1:$1,0)+1,FALSE),"")</f>
        <v/>
      </c>
      <c r="K3" s="151">
        <f t="shared" ref="K3" si="1">D3</f>
        <v>100</v>
      </c>
    </row>
    <row r="4" spans="1:11" ht="21" customHeight="1" x14ac:dyDescent="0.15">
      <c r="A4" s="59">
        <v>14002120</v>
      </c>
      <c r="B4" s="59">
        <v>1</v>
      </c>
      <c r="C4" s="59" t="s">
        <v>219</v>
      </c>
      <c r="D4" s="59">
        <v>100</v>
      </c>
      <c r="E4" s="59" t="s">
        <v>142</v>
      </c>
      <c r="F4" s="59" t="s">
        <v>142</v>
      </c>
      <c r="G4" s="59">
        <v>1</v>
      </c>
      <c r="H4" s="59" t="s">
        <v>142</v>
      </c>
      <c r="I4" s="59" t="s">
        <v>212</v>
      </c>
      <c r="J4" s="20" t="str">
        <f ca="1">IFERROR(VLOOKUP($I4,OFFSET([4]enemies!$A$1,0,0,COUNTA([4]enemies!$A:$A),MATCH(J$1,[4]enemies!$1:$1,0)-MATCH("character_id",[4]enemies!$1:$1,0)+1),MATCH(J$1,[4]enemies!$1:$1,0)-MATCH("character_id",[4]enemies!$1:$1,0)+1,FALSE),"")</f>
        <v/>
      </c>
      <c r="K4" s="54">
        <f t="shared" ref="K4" si="2">D4</f>
        <v>100</v>
      </c>
    </row>
  </sheetData>
  <autoFilter ref="A1:G1"/>
  <phoneticPr fontId="4"/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R4"/>
  <sheetViews>
    <sheetView workbookViewId="0">
      <selection activeCell="H10" sqref="H10"/>
    </sheetView>
  </sheetViews>
  <sheetFormatPr baseColWidth="12" defaultRowHeight="15" x14ac:dyDescent="0.15"/>
  <cols>
    <col min="1" max="1" width="7.1640625" bestFit="1" customWidth="1"/>
    <col min="2" max="2" width="7" bestFit="1" customWidth="1"/>
    <col min="3" max="3" width="9.33203125" bestFit="1" customWidth="1"/>
    <col min="4" max="4" width="10" bestFit="1" customWidth="1"/>
    <col min="5" max="5" width="8.5" bestFit="1" customWidth="1"/>
    <col min="6" max="6" width="9.33203125" bestFit="1" customWidth="1"/>
    <col min="7" max="7" width="9.83203125" bestFit="1" customWidth="1"/>
    <col min="8" max="8" width="10.1640625" bestFit="1" customWidth="1"/>
    <col min="9" max="9" width="4.83203125" bestFit="1" customWidth="1"/>
    <col min="10" max="10" width="7.83203125" bestFit="1" customWidth="1"/>
    <col min="11" max="11" width="6.5" bestFit="1" customWidth="1"/>
    <col min="12" max="12" width="9.33203125" bestFit="1" customWidth="1"/>
    <col min="13" max="13" width="10.33203125" bestFit="1" customWidth="1"/>
    <col min="14" max="14" width="7.6640625" bestFit="1" customWidth="1"/>
    <col min="15" max="15" width="4" bestFit="1" customWidth="1"/>
    <col min="16" max="16" width="6" bestFit="1" customWidth="1"/>
    <col min="17" max="18" width="19" bestFit="1" customWidth="1"/>
  </cols>
  <sheetData>
    <row r="1" spans="1:18" x14ac:dyDescent="0.15">
      <c r="A1" s="64" t="s">
        <v>156</v>
      </c>
      <c r="B1" s="64" t="s">
        <v>157</v>
      </c>
      <c r="C1" s="65" t="s">
        <v>158</v>
      </c>
      <c r="D1" s="66" t="s">
        <v>159</v>
      </c>
      <c r="E1" s="67" t="s">
        <v>160</v>
      </c>
      <c r="F1" s="64" t="s">
        <v>161</v>
      </c>
      <c r="G1" s="64" t="s">
        <v>162</v>
      </c>
      <c r="H1" s="64" t="s">
        <v>163</v>
      </c>
      <c r="I1" s="64" t="s">
        <v>70</v>
      </c>
      <c r="J1" s="64" t="s">
        <v>164</v>
      </c>
      <c r="K1" s="64" t="s">
        <v>37</v>
      </c>
      <c r="L1" s="64" t="s">
        <v>39</v>
      </c>
      <c r="M1" s="64" t="s">
        <v>41</v>
      </c>
      <c r="N1" s="64" t="s">
        <v>43</v>
      </c>
      <c r="O1" s="64" t="s">
        <v>45</v>
      </c>
      <c r="P1" s="64" t="s">
        <v>165</v>
      </c>
      <c r="Q1" s="64" t="s">
        <v>166</v>
      </c>
      <c r="R1" s="64" t="s">
        <v>167</v>
      </c>
    </row>
    <row r="2" spans="1:18" x14ac:dyDescent="0.15">
      <c r="A2" s="103">
        <v>14002</v>
      </c>
      <c r="B2" s="34">
        <v>1</v>
      </c>
      <c r="C2" s="68" t="str">
        <f>A2&amp; "_"&amp;B2</f>
        <v>14002_1</v>
      </c>
      <c r="D2" s="22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34">
        <v>1</v>
      </c>
      <c r="F2" s="34" t="s">
        <v>168</v>
      </c>
      <c r="G2" s="34">
        <v>120</v>
      </c>
      <c r="H2" s="34">
        <v>1</v>
      </c>
      <c r="I2" s="69">
        <v>1</v>
      </c>
      <c r="J2" s="34">
        <v>1</v>
      </c>
      <c r="K2" s="34">
        <v>0</v>
      </c>
      <c r="L2" s="34">
        <v>0</v>
      </c>
      <c r="M2" s="34">
        <v>0</v>
      </c>
      <c r="N2" s="34">
        <v>0</v>
      </c>
      <c r="O2" s="69">
        <v>1</v>
      </c>
      <c r="P2" s="34">
        <v>100</v>
      </c>
      <c r="Q2" s="34" t="s">
        <v>169</v>
      </c>
      <c r="R2" s="34" t="s">
        <v>170</v>
      </c>
    </row>
    <row r="3" spans="1:18" x14ac:dyDescent="0.15">
      <c r="A3" s="102">
        <v>14005</v>
      </c>
      <c r="B3" s="34">
        <v>1</v>
      </c>
      <c r="C3" s="68" t="str">
        <f>A3&amp; "_"&amp;B3</f>
        <v>14005_1</v>
      </c>
      <c r="D3" s="44" t="s">
        <v>243</v>
      </c>
      <c r="E3" s="34">
        <v>1</v>
      </c>
      <c r="F3" s="34" t="s">
        <v>168</v>
      </c>
      <c r="G3" s="34">
        <v>120</v>
      </c>
      <c r="H3" s="34">
        <v>1</v>
      </c>
      <c r="I3" s="69">
        <v>1</v>
      </c>
      <c r="J3" s="34">
        <v>1</v>
      </c>
      <c r="K3" s="34">
        <v>0</v>
      </c>
      <c r="L3" s="34">
        <v>0</v>
      </c>
      <c r="M3" s="34">
        <v>0</v>
      </c>
      <c r="N3" s="34">
        <v>0</v>
      </c>
      <c r="O3" s="69">
        <v>1</v>
      </c>
      <c r="P3" s="34">
        <v>16</v>
      </c>
      <c r="Q3" s="34" t="s">
        <v>169</v>
      </c>
      <c r="R3" s="34" t="s">
        <v>170</v>
      </c>
    </row>
    <row r="4" spans="1:18" x14ac:dyDescent="0.15">
      <c r="A4" s="102">
        <v>14005</v>
      </c>
      <c r="B4" s="34">
        <v>1</v>
      </c>
      <c r="C4" s="68" t="str">
        <f>A4&amp; "_"&amp;B4</f>
        <v>14005_1</v>
      </c>
      <c r="D4" s="44" t="s">
        <v>243</v>
      </c>
      <c r="E4" s="34">
        <v>2</v>
      </c>
      <c r="F4" s="34" t="s">
        <v>168</v>
      </c>
      <c r="G4" s="34">
        <v>119</v>
      </c>
      <c r="H4" s="34">
        <v>1</v>
      </c>
      <c r="I4" s="69">
        <v>1</v>
      </c>
      <c r="J4" s="34">
        <v>1</v>
      </c>
      <c r="K4" s="34">
        <v>0</v>
      </c>
      <c r="L4" s="34">
        <v>0</v>
      </c>
      <c r="M4" s="34">
        <v>0</v>
      </c>
      <c r="N4" s="34">
        <v>0</v>
      </c>
      <c r="O4" s="69">
        <v>1</v>
      </c>
      <c r="P4" s="34">
        <v>84</v>
      </c>
      <c r="Q4" s="34" t="s">
        <v>169</v>
      </c>
      <c r="R4" s="34" t="s">
        <v>170</v>
      </c>
    </row>
  </sheetData>
  <phoneticPr fontId="4"/>
  <dataValidations count="1">
    <dataValidation type="list" allowBlank="1" showInputMessage="1" showErrorMessage="1" sqref="F2:F4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P8"/>
  <sheetViews>
    <sheetView showGridLines="0" topLeftCell="I1" zoomScale="164" zoomScaleNormal="75" zoomScalePageLayoutView="75" workbookViewId="0">
      <pane ySplit="1" topLeftCell="A2" activePane="bottomLeft" state="frozen"/>
      <selection activeCell="I2" sqref="I2"/>
      <selection pane="bottomLeft" activeCell="N5" sqref="N5"/>
    </sheetView>
  </sheetViews>
  <sheetFormatPr baseColWidth="12" defaultColWidth="13" defaultRowHeight="15" outlineLevelCol="1" x14ac:dyDescent="0.15"/>
  <cols>
    <col min="1" max="1" width="9.83203125" bestFit="1" customWidth="1"/>
    <col min="2" max="2" width="9.1640625" style="86" bestFit="1" customWidth="1"/>
    <col min="3" max="3" width="7.5" bestFit="1" customWidth="1" collapsed="1"/>
    <col min="4" max="5" width="16.5" hidden="1" customWidth="1" outlineLevel="1"/>
    <col min="6" max="6" width="7" bestFit="1" customWidth="1" collapsed="1"/>
    <col min="7" max="7" width="24.83203125" hidden="1" customWidth="1" outlineLevel="1"/>
    <col min="8" max="8" width="16.5" hidden="1" customWidth="1" outlineLevel="1"/>
    <col min="9" max="9" width="6.5" bestFit="1" customWidth="1"/>
    <col min="10" max="10" width="9.1640625" bestFit="1" customWidth="1"/>
    <col min="11" max="11" width="7.83203125" bestFit="1" customWidth="1"/>
    <col min="12" max="12" width="7.6640625" bestFit="1" customWidth="1"/>
    <col min="13" max="13" width="34.83203125" customWidth="1"/>
    <col min="14" max="14" width="35" customWidth="1"/>
    <col min="15" max="15" width="8.5" bestFit="1" customWidth="1"/>
    <col min="16" max="16" width="8" customWidth="1"/>
  </cols>
  <sheetData>
    <row r="1" spans="1:16" x14ac:dyDescent="0.15">
      <c r="A1" s="70" t="s">
        <v>171</v>
      </c>
      <c r="B1" s="71" t="s">
        <v>172</v>
      </c>
      <c r="C1" s="72" t="s">
        <v>173</v>
      </c>
      <c r="D1" s="73" t="s">
        <v>174</v>
      </c>
      <c r="E1" s="73" t="s">
        <v>32</v>
      </c>
      <c r="F1" s="72" t="s">
        <v>175</v>
      </c>
      <c r="G1" s="73" t="s">
        <v>176</v>
      </c>
      <c r="H1" s="73" t="s">
        <v>32</v>
      </c>
      <c r="I1" s="72" t="s">
        <v>177</v>
      </c>
      <c r="J1" s="74" t="s">
        <v>178</v>
      </c>
      <c r="K1" s="75" t="s">
        <v>179</v>
      </c>
      <c r="L1" s="76" t="s">
        <v>180</v>
      </c>
      <c r="M1" s="76" t="s">
        <v>181</v>
      </c>
      <c r="N1" s="77" t="s">
        <v>182</v>
      </c>
      <c r="O1" s="78" t="s">
        <v>183</v>
      </c>
    </row>
    <row r="2" spans="1:16" ht="42" x14ac:dyDescent="0.15">
      <c r="A2" s="79" t="str">
        <f t="shared" ref="A2" si="0">C2&amp;"_"&amp;F2&amp;"_"&amp;J2</f>
        <v>14002_1_1</v>
      </c>
      <c r="B2" s="80" t="s">
        <v>184</v>
      </c>
      <c r="C2" s="104">
        <v>14002</v>
      </c>
      <c r="D2" s="81" t="str">
        <f ca="1">VLOOKUP($C2,OFFSET([2]quests!$A$1,0,0,COUNTA([2]quests!$A:$A),MATCH(D$1,[2]quests!$1:$1,0)-MATCH($C$1,[2]quests!$1:$1,0)+1),MATCH(D$1,[2]quests!$1:$1,0)-MATCH($C$1,[2]quests!$1:$1,0)+1,FALSE)</f>
        <v>【ロック】ビット/ソロ</v>
      </c>
      <c r="E2" s="81" t="str">
        <f ca="1">VLOOKUP($C2,OFFSET([2]quests!$A$1,0,0,COUNTA([2]quests!$A:$A),MATCH(E$1,[2]quests!$1:$1,0)-MATCH($C$1,[2]quests!$1:$1,0)+1),MATCH(E$1,[2]quests!$1:$1,0)-MATCH($C$1,[2]quests!$1:$1,0)+1,FALSE)</f>
        <v>【ロック】ビット/ソロ</v>
      </c>
      <c r="F2" s="82">
        <v>1</v>
      </c>
      <c r="G2" s="81" t="str">
        <f ca="1">VLOOKUP($C2&amp;"_"&amp;$F2,OFFSET([2]stages!$A$1,0,0,COUNTA([2]stages!$A:$A),MATCH(G$1,[2]stages!$2:$2,0)-MATCH("temp_stage",[2]stages!$2:$2,0)+1),MATCH(G$1,[2]stages!$2:$2,0)-MATCH("temp_stage",[2]stages!$2:$2,0)+1,FALSE)</f>
        <v>【超級】ハイローラー（ハートなし）</v>
      </c>
      <c r="H2" s="81" t="str">
        <f ca="1">VLOOKUP($C2&amp;"_"&amp;$F2,OFFSET([2]stages!$A$1,0,0,COUNTA([2]stages!$A:$A),MATCH(H$1,[2]stages!$2:$2,0)-MATCH("temp_stage",[2]stages!$2:$2,0)+1),MATCH(H$1,[2]stages!$2:$2,0)-MATCH("temp_stage",[2]stages!$2:$2,0)+1,FALSE)</f>
        <v>【ロック】ビット/ソロ</v>
      </c>
      <c r="I2" s="83">
        <v>0</v>
      </c>
      <c r="J2" s="84">
        <f t="shared" ref="J2:J7" si="1">ROW()-1</f>
        <v>1</v>
      </c>
      <c r="K2" s="85" t="str">
        <f t="shared" ref="K2" si="2">C2&amp;TEXT(J2,"00")</f>
        <v>1400201</v>
      </c>
      <c r="L2" s="82" t="s">
        <v>185</v>
      </c>
      <c r="M2" s="95" t="s">
        <v>236</v>
      </c>
      <c r="N2" s="95" t="s">
        <v>258</v>
      </c>
      <c r="O2" s="34" t="s">
        <v>186</v>
      </c>
      <c r="P2">
        <f t="shared" ref="P2" si="3">LEN(N2)</f>
        <v>48</v>
      </c>
    </row>
    <row r="3" spans="1:16" ht="42" x14ac:dyDescent="0.15">
      <c r="A3" s="79" t="str">
        <f t="shared" ref="A3" si="4">C3&amp;"_"&amp;F3&amp;"_"&amp;J3</f>
        <v>14002_1_2</v>
      </c>
      <c r="B3" s="80" t="s">
        <v>184</v>
      </c>
      <c r="C3" s="104">
        <v>14002</v>
      </c>
      <c r="D3" s="81" t="str">
        <f ca="1">VLOOKUP($C3,OFFSET([2]quests!$A$1,0,0,COUNTA([2]quests!$A:$A),MATCH(D$1,[2]quests!$1:$1,0)-MATCH($C$1,[2]quests!$1:$1,0)+1),MATCH(D$1,[2]quests!$1:$1,0)-MATCH($C$1,[2]quests!$1:$1,0)+1,FALSE)</f>
        <v>【ロック】ビット/ソロ</v>
      </c>
      <c r="E3" s="81" t="str">
        <f ca="1">VLOOKUP($C3,OFFSET([2]quests!$A$1,0,0,COUNTA([2]quests!$A:$A),MATCH(E$1,[2]quests!$1:$1,0)-MATCH($C$1,[2]quests!$1:$1,0)+1),MATCH(E$1,[2]quests!$1:$1,0)-MATCH($C$1,[2]quests!$1:$1,0)+1,FALSE)</f>
        <v>【ロック】ビット/ソロ</v>
      </c>
      <c r="F3" s="82">
        <v>1</v>
      </c>
      <c r="G3" s="81" t="str">
        <f ca="1">VLOOKUP($C3&amp;"_"&amp;$F3,OFFSET([2]stages!$A$1,0,0,COUNTA([2]stages!$A:$A),MATCH(G$1,[2]stages!$2:$2,0)-MATCH("temp_stage",[2]stages!$2:$2,0)+1),MATCH(G$1,[2]stages!$2:$2,0)-MATCH("temp_stage",[2]stages!$2:$2,0)+1,FALSE)</f>
        <v>【超級】ハイローラー（ハートなし）</v>
      </c>
      <c r="H3" s="81" t="str">
        <f ca="1">VLOOKUP($C3&amp;"_"&amp;$F3,OFFSET([2]stages!$A$1,0,0,COUNTA([2]stages!$A:$A),MATCH(H$1,[2]stages!$2:$2,0)-MATCH("temp_stage",[2]stages!$2:$2,0)+1),MATCH(H$1,[2]stages!$2:$2,0)-MATCH("temp_stage",[2]stages!$2:$2,0)+1,FALSE)</f>
        <v>【ロック】ビット/ソロ</v>
      </c>
      <c r="I3" s="83">
        <v>0</v>
      </c>
      <c r="J3" s="84">
        <f t="shared" si="1"/>
        <v>2</v>
      </c>
      <c r="K3" s="85" t="str">
        <f t="shared" ref="K3" si="5">C3&amp;TEXT(J3,"00")</f>
        <v>1400202</v>
      </c>
      <c r="L3" s="82" t="s">
        <v>185</v>
      </c>
      <c r="M3" s="95" t="s">
        <v>234</v>
      </c>
      <c r="N3" s="95" t="s">
        <v>242</v>
      </c>
      <c r="O3" s="34" t="s">
        <v>186</v>
      </c>
      <c r="P3">
        <f t="shared" ref="P3" si="6">LEN(N3)</f>
        <v>42</v>
      </c>
    </row>
    <row r="4" spans="1:16" ht="28" x14ac:dyDescent="0.15">
      <c r="A4" s="79" t="str">
        <f t="shared" ref="A4:A6" si="7">C4&amp;"_"&amp;F4&amp;"_"&amp;J4</f>
        <v>14002_1_3</v>
      </c>
      <c r="B4" s="80" t="s">
        <v>184</v>
      </c>
      <c r="C4" s="104">
        <v>14002</v>
      </c>
      <c r="D4" s="81" t="str">
        <f ca="1">VLOOKUP($C4,OFFSET([2]quests!$A$1,0,0,COUNTA([2]quests!$A:$A),MATCH(D$1,[2]quests!$1:$1,0)-MATCH($C$1,[2]quests!$1:$1,0)+1),MATCH(D$1,[2]quests!$1:$1,0)-MATCH($C$1,[2]quests!$1:$1,0)+1,FALSE)</f>
        <v>【ロック】ビット/ソロ</v>
      </c>
      <c r="E4" s="81" t="str">
        <f ca="1">VLOOKUP($C4,OFFSET([2]quests!$A$1,0,0,COUNTA([2]quests!$A:$A),MATCH(E$1,[2]quests!$1:$1,0)-MATCH($C$1,[2]quests!$1:$1,0)+1),MATCH(E$1,[2]quests!$1:$1,0)-MATCH($C$1,[2]quests!$1:$1,0)+1,FALSE)</f>
        <v>【ロック】ビット/ソロ</v>
      </c>
      <c r="F4" s="82">
        <v>1</v>
      </c>
      <c r="G4" s="81" t="str">
        <f ca="1">VLOOKUP($C4&amp;"_"&amp;$F4,OFFSET([2]stages!$A$1,0,0,COUNTA([2]stages!$A:$A),MATCH(G$1,[2]stages!$2:$2,0)-MATCH("temp_stage",[2]stages!$2:$2,0)+1),MATCH(G$1,[2]stages!$2:$2,0)-MATCH("temp_stage",[2]stages!$2:$2,0)+1,FALSE)</f>
        <v>【超級】ハイローラー（ハートなし）</v>
      </c>
      <c r="H4" s="81" t="str">
        <f ca="1">VLOOKUP($C4&amp;"_"&amp;$F4,OFFSET([2]stages!$A$1,0,0,COUNTA([2]stages!$A:$A),MATCH(H$1,[2]stages!$2:$2,0)-MATCH("temp_stage",[2]stages!$2:$2,0)+1),MATCH(H$1,[2]stages!$2:$2,0)-MATCH("temp_stage",[2]stages!$2:$2,0)+1,FALSE)</f>
        <v>【ロック】ビット/ソロ</v>
      </c>
      <c r="I4" s="83">
        <v>0</v>
      </c>
      <c r="J4" s="84">
        <f t="shared" si="1"/>
        <v>3</v>
      </c>
      <c r="K4" s="85" t="str">
        <f t="shared" ref="K4:K6" si="8">C4&amp;TEXT(J4,"00")</f>
        <v>1400203</v>
      </c>
      <c r="L4" s="82" t="s">
        <v>185</v>
      </c>
      <c r="M4" s="95" t="s">
        <v>239</v>
      </c>
      <c r="N4" s="95" t="s">
        <v>260</v>
      </c>
      <c r="O4" s="34" t="s">
        <v>186</v>
      </c>
      <c r="P4">
        <f t="shared" ref="P4:P6" si="9">LEN(N4)</f>
        <v>33</v>
      </c>
    </row>
    <row r="5" spans="1:16" ht="42" x14ac:dyDescent="0.15">
      <c r="A5" s="79" t="str">
        <f t="shared" si="7"/>
        <v>14005_1_4</v>
      </c>
      <c r="B5" s="80" t="s">
        <v>184</v>
      </c>
      <c r="C5" s="105">
        <v>14005</v>
      </c>
      <c r="D5" s="81" t="str">
        <f ca="1">VLOOKUP($C5,OFFSET([2]quests!$A$1,0,0,COUNTA([2]quests!$A:$A),MATCH(D$1,[2]quests!$1:$1,0)-MATCH($C$1,[2]quests!$1:$1,0)+1),MATCH(D$1,[2]quests!$1:$1,0)-MATCH($C$1,[2]quests!$1:$1,0)+1,FALSE)</f>
        <v>【ロック】ビット/LINEマルチ</v>
      </c>
      <c r="E5" s="81" t="str">
        <f ca="1">VLOOKUP($C5,OFFSET([2]quests!$A$1,0,0,COUNTA([2]quests!$A:$A),MATCH(E$1,[2]quests!$1:$1,0)-MATCH($C$1,[2]quests!$1:$1,0)+1),MATCH(E$1,[2]quests!$1:$1,0)-MATCH($C$1,[2]quests!$1:$1,0)+1,FALSE)</f>
        <v>【ロック】ビット/LINEマルチ</v>
      </c>
      <c r="F5" s="82">
        <v>1</v>
      </c>
      <c r="G5" s="81" t="str">
        <f ca="1">VLOOKUP($C5&amp;"_"&amp;$F5,OFFSET([2]stages!$A$1,0,0,COUNTA([2]stages!$A:$A),MATCH(G$1,[2]stages!$2:$2,0)-MATCH("temp_stage",[2]stages!$2:$2,0)+1),MATCH(G$1,[2]stages!$2:$2,0)-MATCH("temp_stage",[2]stages!$2:$2,0)+1,FALSE)</f>
        <v>【超級】ハイローラー（ハートなし）</v>
      </c>
      <c r="H5" s="81" t="str">
        <f ca="1">VLOOKUP($C5&amp;"_"&amp;$F5,OFFSET([2]stages!$A$1,0,0,COUNTA([2]stages!$A:$A),MATCH(H$1,[2]stages!$2:$2,0)-MATCH("temp_stage",[2]stages!$2:$2,0)+1),MATCH(H$1,[2]stages!$2:$2,0)-MATCH("temp_stage",[2]stages!$2:$2,0)+1,FALSE)</f>
        <v>【ロック】ビット/LINEマルチ</v>
      </c>
      <c r="I5" s="83">
        <v>0</v>
      </c>
      <c r="J5" s="84">
        <f t="shared" si="1"/>
        <v>4</v>
      </c>
      <c r="K5" s="85" t="str">
        <f t="shared" si="8"/>
        <v>1400504</v>
      </c>
      <c r="L5" s="82" t="s">
        <v>185</v>
      </c>
      <c r="M5" s="106" t="str">
        <f>M2</f>
        <v>落ちない果実の都市伝説</v>
      </c>
      <c r="N5" s="106" t="str">
        <f t="shared" ref="N5:O5" si="10">N2</f>
        <v>ハイローラーのステージに_x000D_ドロップしない果実が出現するという_x000D_ミミよりなウワサを ミミにしました</v>
      </c>
      <c r="O5" s="106" t="str">
        <f t="shared" si="10"/>
        <v>NULL</v>
      </c>
      <c r="P5">
        <f t="shared" si="9"/>
        <v>48</v>
      </c>
    </row>
    <row r="6" spans="1:16" ht="42" x14ac:dyDescent="0.15">
      <c r="A6" s="79" t="str">
        <f t="shared" si="7"/>
        <v>14005_1_5</v>
      </c>
      <c r="B6" s="80" t="s">
        <v>184</v>
      </c>
      <c r="C6" s="105">
        <v>14005</v>
      </c>
      <c r="D6" s="81" t="str">
        <f ca="1">VLOOKUP($C6,OFFSET([2]quests!$A$1,0,0,COUNTA([2]quests!$A:$A),MATCH(D$1,[2]quests!$1:$1,0)-MATCH($C$1,[2]quests!$1:$1,0)+1),MATCH(D$1,[2]quests!$1:$1,0)-MATCH($C$1,[2]quests!$1:$1,0)+1,FALSE)</f>
        <v>【ロック】ビット/LINEマルチ</v>
      </c>
      <c r="E6" s="81" t="str">
        <f ca="1">VLOOKUP($C6,OFFSET([2]quests!$A$1,0,0,COUNTA([2]quests!$A:$A),MATCH(E$1,[2]quests!$1:$1,0)-MATCH($C$1,[2]quests!$1:$1,0)+1),MATCH(E$1,[2]quests!$1:$1,0)-MATCH($C$1,[2]quests!$1:$1,0)+1,FALSE)</f>
        <v>【ロック】ビット/LINEマルチ</v>
      </c>
      <c r="F6" s="82">
        <v>1</v>
      </c>
      <c r="G6" s="81" t="str">
        <f ca="1">VLOOKUP($C6&amp;"_"&amp;$F6,OFFSET([2]stages!$A$1,0,0,COUNTA([2]stages!$A:$A),MATCH(G$1,[2]stages!$2:$2,0)-MATCH("temp_stage",[2]stages!$2:$2,0)+1),MATCH(G$1,[2]stages!$2:$2,0)-MATCH("temp_stage",[2]stages!$2:$2,0)+1,FALSE)</f>
        <v>【超級】ハイローラー（ハートなし）</v>
      </c>
      <c r="H6" s="81" t="str">
        <f ca="1">VLOOKUP($C6&amp;"_"&amp;$F6,OFFSET([2]stages!$A$1,0,0,COUNTA([2]stages!$A:$A),MATCH(H$1,[2]stages!$2:$2,0)-MATCH("temp_stage",[2]stages!$2:$2,0)+1),MATCH(H$1,[2]stages!$2:$2,0)-MATCH("temp_stage",[2]stages!$2:$2,0)+1,FALSE)</f>
        <v>【ロック】ビット/LINEマルチ</v>
      </c>
      <c r="I6" s="83">
        <v>0</v>
      </c>
      <c r="J6" s="84">
        <f t="shared" si="1"/>
        <v>5</v>
      </c>
      <c r="K6" s="85" t="str">
        <f t="shared" si="8"/>
        <v>1400505</v>
      </c>
      <c r="L6" s="82" t="s">
        <v>185</v>
      </c>
      <c r="M6" s="106" t="str">
        <f t="shared" ref="M6:O6" si="11">M3</f>
        <v>ゴールドキングは 格言好き</v>
      </c>
      <c r="N6" s="106" t="str">
        <f t="shared" si="11"/>
        <v>親分肌のゴールドキングは_x000D_覚えたてのことわざや格言を_x000D_やたらと使う習性があるようです</v>
      </c>
      <c r="O6" s="106" t="str">
        <f t="shared" si="11"/>
        <v>NULL</v>
      </c>
      <c r="P6">
        <f t="shared" si="9"/>
        <v>42</v>
      </c>
    </row>
    <row r="7" spans="1:16" ht="70" x14ac:dyDescent="0.15">
      <c r="A7" s="79" t="str">
        <f t="shared" ref="A7" si="12">C7&amp;"_"&amp;F7&amp;"_"&amp;J7</f>
        <v>14005_1_6</v>
      </c>
      <c r="B7" s="80" t="s">
        <v>184</v>
      </c>
      <c r="C7" s="105">
        <v>14005</v>
      </c>
      <c r="D7" s="81" t="str">
        <f ca="1">VLOOKUP($C7,OFFSET([2]quests!$A$1,0,0,COUNTA([2]quests!$A:$A),MATCH(D$1,[2]quests!$1:$1,0)-MATCH($C$1,[2]quests!$1:$1,0)+1),MATCH(D$1,[2]quests!$1:$1,0)-MATCH($C$1,[2]quests!$1:$1,0)+1,FALSE)</f>
        <v>【ロック】ビット/LINEマルチ</v>
      </c>
      <c r="E7" s="81" t="str">
        <f ca="1">VLOOKUP($C7,OFFSET([2]quests!$A$1,0,0,COUNTA([2]quests!$A:$A),MATCH(E$1,[2]quests!$1:$1,0)-MATCH($C$1,[2]quests!$1:$1,0)+1),MATCH(E$1,[2]quests!$1:$1,0)-MATCH($C$1,[2]quests!$1:$1,0)+1,FALSE)</f>
        <v>【ロック】ビット/LINEマルチ</v>
      </c>
      <c r="F7" s="82">
        <v>1</v>
      </c>
      <c r="G7" s="81" t="str">
        <f ca="1">VLOOKUP($C7&amp;"_"&amp;$F7,OFFSET([2]stages!$A$1,0,0,COUNTA([2]stages!$A:$A),MATCH(G$1,[2]stages!$2:$2,0)-MATCH("temp_stage",[2]stages!$2:$2,0)+1),MATCH(G$1,[2]stages!$2:$2,0)-MATCH("temp_stage",[2]stages!$2:$2,0)+1,FALSE)</f>
        <v>【超級】ハイローラー（ハートなし）</v>
      </c>
      <c r="H7" s="81" t="str">
        <f ca="1">VLOOKUP($C7&amp;"_"&amp;$F7,OFFSET([2]stages!$A$1,0,0,COUNTA([2]stages!$A:$A),MATCH(H$1,[2]stages!$2:$2,0)-MATCH("temp_stage",[2]stages!$2:$2,0)+1),MATCH(H$1,[2]stages!$2:$2,0)-MATCH("temp_stage",[2]stages!$2:$2,0)+1,FALSE)</f>
        <v>【ロック】ビット/LINEマルチ</v>
      </c>
      <c r="I7" s="83">
        <v>0</v>
      </c>
      <c r="J7" s="84">
        <f t="shared" si="1"/>
        <v>6</v>
      </c>
      <c r="K7" s="85" t="str">
        <f t="shared" ref="K7" si="13">C7&amp;TEXT(J7,"00")</f>
        <v>1400506</v>
      </c>
      <c r="L7" s="82" t="s">
        <v>237</v>
      </c>
      <c r="M7" s="95" t="s">
        <v>240</v>
      </c>
      <c r="N7" s="95" t="s">
        <v>241</v>
      </c>
      <c r="O7" s="34" t="s">
        <v>238</v>
      </c>
      <c r="P7">
        <f t="shared" ref="P7" si="14">LEN(N7)</f>
        <v>64</v>
      </c>
    </row>
    <row r="8" spans="1:16" x14ac:dyDescent="0.15">
      <c r="M8" s="96" t="s">
        <v>235</v>
      </c>
      <c r="N8" s="96" t="s">
        <v>235</v>
      </c>
    </row>
  </sheetData>
  <phoneticPr fontId="4"/>
  <dataValidations disablePrompts="1" count="1">
    <dataValidation type="list" allowBlank="1" showInputMessage="1" showErrorMessage="1" sqref="B2:B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調整用</vt:lpstr>
      <vt:lpstr>enemy_skill_sets</vt:lpstr>
      <vt:lpstr>enemy_skills</vt:lpstr>
      <vt:lpstr>enemy_skill_triggers</vt:lpstr>
      <vt:lpstr>bugbonuses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2017-03-13T01:42:42Z</dcterms:modified>
</cp:coreProperties>
</file>