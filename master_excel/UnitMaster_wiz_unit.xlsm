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59" r:id="rId7"/>
    <sheet name="abilities" sheetId="56" r:id="rId8"/>
    <sheet name="unit_abilities" sheetId="57" r:id="rId9"/>
    <sheet name="→base値" sheetId="51" r:id="rId10"/>
    <sheet name="ghosts_label" sheetId="60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awake_materials!$B$1:$L$1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#REF!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57" l="1"/>
  <c r="E7" i="57"/>
  <c r="B7" i="57"/>
  <c r="I2" i="56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AG8" i="23"/>
  <c r="H8" i="53"/>
  <c r="H9" i="53"/>
  <c r="H10" i="53"/>
  <c r="H11" i="53"/>
  <c r="E46" i="54"/>
  <c r="B46" i="54"/>
  <c r="E45" i="54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30" i="54"/>
  <c r="B30" i="54"/>
  <c r="E29" i="54"/>
  <c r="B29" i="54"/>
  <c r="K8" i="52"/>
  <c r="K9" i="52"/>
  <c r="K10" i="52"/>
  <c r="K11" i="52"/>
  <c r="F6" i="57"/>
  <c r="E6" i="57"/>
  <c r="B6" i="57"/>
  <c r="F5" i="57"/>
  <c r="E5" i="57"/>
  <c r="B5" i="57"/>
  <c r="G11" i="23"/>
  <c r="BC11" i="23"/>
  <c r="BD11" i="23"/>
  <c r="Q11" i="23"/>
  <c r="S11" i="23"/>
  <c r="I11" i="23"/>
  <c r="J11" i="23"/>
  <c r="BK11" i="23"/>
  <c r="T11" i="23"/>
  <c r="K11" i="23"/>
  <c r="BL11" i="23"/>
  <c r="AL11" i="23"/>
  <c r="G10" i="23"/>
  <c r="BC10" i="23"/>
  <c r="K18" i="59"/>
  <c r="K14" i="59"/>
  <c r="P4" i="58"/>
  <c r="G11" i="59"/>
  <c r="H11" i="59"/>
  <c r="G12" i="59"/>
  <c r="H12" i="59"/>
  <c r="G13" i="59"/>
  <c r="H13" i="59"/>
  <c r="P5" i="58"/>
  <c r="G14" i="59"/>
  <c r="H14" i="59"/>
  <c r="G15" i="59"/>
  <c r="H15" i="59"/>
  <c r="G16" i="59"/>
  <c r="H16" i="59"/>
  <c r="G17" i="59"/>
  <c r="H17" i="59"/>
  <c r="P6" i="58"/>
  <c r="G18" i="59"/>
  <c r="H18" i="59"/>
  <c r="G19" i="59"/>
  <c r="H19" i="59"/>
  <c r="G20" i="59"/>
  <c r="H20" i="59"/>
  <c r="G21" i="59"/>
  <c r="H21" i="59"/>
  <c r="G10" i="59"/>
  <c r="H10" i="59"/>
  <c r="K21" i="59"/>
  <c r="I21" i="59"/>
  <c r="C21" i="59"/>
  <c r="F21" i="59"/>
  <c r="E21" i="59"/>
  <c r="B10" i="23"/>
  <c r="D21" i="59"/>
  <c r="A21" i="59"/>
  <c r="K20" i="59"/>
  <c r="I20" i="59"/>
  <c r="C20" i="59"/>
  <c r="F20" i="59"/>
  <c r="E20" i="59"/>
  <c r="D20" i="59"/>
  <c r="A20" i="59"/>
  <c r="K19" i="59"/>
  <c r="I19" i="59"/>
  <c r="C19" i="59"/>
  <c r="F19" i="59"/>
  <c r="E19" i="59"/>
  <c r="D19" i="59"/>
  <c r="A19" i="59"/>
  <c r="I18" i="59"/>
  <c r="C18" i="59"/>
  <c r="F18" i="59"/>
  <c r="E18" i="59"/>
  <c r="D18" i="59"/>
  <c r="A18" i="59"/>
  <c r="K17" i="59"/>
  <c r="I17" i="59"/>
  <c r="C17" i="59"/>
  <c r="F17" i="59"/>
  <c r="E17" i="59"/>
  <c r="B8" i="23"/>
  <c r="D17" i="59"/>
  <c r="A17" i="59"/>
  <c r="K16" i="59"/>
  <c r="I16" i="59"/>
  <c r="C16" i="59"/>
  <c r="F16" i="59"/>
  <c r="E16" i="59"/>
  <c r="D16" i="59"/>
  <c r="A16" i="59"/>
  <c r="K15" i="59"/>
  <c r="I15" i="59"/>
  <c r="C15" i="59"/>
  <c r="F15" i="59"/>
  <c r="E15" i="59"/>
  <c r="D15" i="59"/>
  <c r="A15" i="59"/>
  <c r="I14" i="59"/>
  <c r="C14" i="59"/>
  <c r="F14" i="59"/>
  <c r="E14" i="59"/>
  <c r="D14" i="59"/>
  <c r="A14" i="59"/>
  <c r="S6" i="58"/>
  <c r="T6" i="58"/>
  <c r="R6" i="58"/>
  <c r="O6" i="58"/>
  <c r="N6" i="58"/>
  <c r="M6" i="58"/>
  <c r="L6" i="58"/>
  <c r="J6" i="58"/>
  <c r="K6" i="58"/>
  <c r="I6" i="58"/>
  <c r="H6" i="58"/>
  <c r="G6" i="58"/>
  <c r="F6" i="58"/>
  <c r="E6" i="58"/>
  <c r="D6" i="58"/>
  <c r="C6" i="58"/>
  <c r="B6" i="58"/>
  <c r="S5" i="58"/>
  <c r="T5" i="58"/>
  <c r="R5" i="58"/>
  <c r="O5" i="58"/>
  <c r="N5" i="58"/>
  <c r="M5" i="58"/>
  <c r="L5" i="58"/>
  <c r="J5" i="58"/>
  <c r="K5" i="58"/>
  <c r="I5" i="58"/>
  <c r="H5" i="58"/>
  <c r="G5" i="58"/>
  <c r="F5" i="58"/>
  <c r="E5" i="58"/>
  <c r="D5" i="58"/>
  <c r="C5" i="58"/>
  <c r="B5" i="58"/>
  <c r="G11" i="53"/>
  <c r="E11" i="53"/>
  <c r="G10" i="53"/>
  <c r="E10" i="53"/>
  <c r="G9" i="53"/>
  <c r="E9" i="53"/>
  <c r="G8" i="53"/>
  <c r="E8" i="53"/>
  <c r="J11" i="52"/>
  <c r="H11" i="52"/>
  <c r="E11" i="52"/>
  <c r="J10" i="52"/>
  <c r="H10" i="52"/>
  <c r="E10" i="52"/>
  <c r="J9" i="52"/>
  <c r="H9" i="52"/>
  <c r="E9" i="52"/>
  <c r="J8" i="52"/>
  <c r="H8" i="52"/>
  <c r="E8" i="52"/>
  <c r="G9" i="23"/>
  <c r="BC9" i="23"/>
  <c r="BD9" i="23"/>
  <c r="Q9" i="23"/>
  <c r="V9" i="23"/>
  <c r="I9" i="23"/>
  <c r="M9" i="23"/>
  <c r="BN9" i="23"/>
  <c r="U9" i="23"/>
  <c r="L9" i="23"/>
  <c r="BM9" i="23"/>
  <c r="T9" i="23"/>
  <c r="K9" i="23"/>
  <c r="BL9" i="23"/>
  <c r="S9" i="23"/>
  <c r="J9" i="23"/>
  <c r="BK9" i="23"/>
  <c r="G8" i="23"/>
  <c r="BC8" i="23"/>
  <c r="BE9" i="23"/>
  <c r="BJ9" i="23"/>
  <c r="BI9" i="23"/>
  <c r="BH9" i="23"/>
  <c r="BG9" i="23"/>
  <c r="I8" i="23"/>
  <c r="J8" i="23"/>
  <c r="BF9" i="23"/>
  <c r="AX9" i="23"/>
  <c r="AW9" i="23"/>
  <c r="AV9" i="23"/>
  <c r="AU9" i="23"/>
  <c r="AP9" i="23"/>
  <c r="AS9" i="23"/>
  <c r="AR9" i="23"/>
  <c r="AQ9" i="23"/>
  <c r="AN9" i="23"/>
  <c r="AM9" i="23"/>
  <c r="AL9" i="23"/>
  <c r="AK9" i="23"/>
  <c r="AI9" i="23"/>
  <c r="AG9" i="23"/>
  <c r="AH9" i="23"/>
  <c r="AF9" i="23"/>
  <c r="Y9" i="23"/>
  <c r="Z9" i="23"/>
  <c r="W9" i="23"/>
  <c r="X9" i="23"/>
  <c r="R9" i="23"/>
  <c r="P9" i="23"/>
  <c r="O9" i="23"/>
  <c r="G4" i="13"/>
  <c r="N9" i="23"/>
  <c r="F9" i="23"/>
  <c r="E9" i="23"/>
  <c r="D9" i="23"/>
  <c r="C9" i="23"/>
  <c r="B9" i="23"/>
  <c r="BD8" i="23"/>
  <c r="Q8" i="23"/>
  <c r="V8" i="23"/>
  <c r="M8" i="23"/>
  <c r="BN8" i="23"/>
  <c r="U8" i="23"/>
  <c r="L8" i="23"/>
  <c r="BM8" i="23"/>
  <c r="T8" i="23"/>
  <c r="K8" i="23"/>
  <c r="BL8" i="23"/>
  <c r="S8" i="23"/>
  <c r="BK8" i="23"/>
  <c r="BE8" i="23"/>
  <c r="BJ8" i="23"/>
  <c r="BI8" i="23"/>
  <c r="BH8" i="23"/>
  <c r="BG8" i="23"/>
  <c r="BF8" i="23"/>
  <c r="AX8" i="23"/>
  <c r="AW8" i="23"/>
  <c r="AV8" i="23"/>
  <c r="AU8" i="23"/>
  <c r="AP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W8" i="23"/>
  <c r="X8" i="23"/>
  <c r="R8" i="23"/>
  <c r="P8" i="23"/>
  <c r="O8" i="23"/>
  <c r="N8" i="23"/>
  <c r="F8" i="23"/>
  <c r="E8" i="23"/>
  <c r="D8" i="23"/>
  <c r="C8" i="23"/>
  <c r="V11" i="23"/>
  <c r="M11" i="23"/>
  <c r="BN11" i="23"/>
  <c r="U11" i="23"/>
  <c r="L11" i="23"/>
  <c r="BM11" i="23"/>
  <c r="BE11" i="23"/>
  <c r="BJ11" i="23"/>
  <c r="BI11" i="23"/>
  <c r="BH11" i="23"/>
  <c r="BG11" i="23"/>
  <c r="I10" i="23"/>
  <c r="J10" i="23"/>
  <c r="BF11" i="23"/>
  <c r="AX11" i="23"/>
  <c r="AT11" i="23"/>
  <c r="AW11" i="23"/>
  <c r="AV11" i="23"/>
  <c r="AU11" i="23"/>
  <c r="AP11" i="23"/>
  <c r="AS11" i="23"/>
  <c r="AR11" i="23"/>
  <c r="AQ11" i="23"/>
  <c r="AN11" i="23"/>
  <c r="AM11" i="23"/>
  <c r="AK11" i="23"/>
  <c r="AI11" i="23"/>
  <c r="AG10" i="23"/>
  <c r="AG11" i="23"/>
  <c r="AH11" i="23"/>
  <c r="AF11" i="23"/>
  <c r="Y11" i="23"/>
  <c r="Z11" i="23"/>
  <c r="W11" i="23"/>
  <c r="X11" i="23"/>
  <c r="R11" i="23"/>
  <c r="P11" i="23"/>
  <c r="O11" i="23"/>
  <c r="N11" i="23"/>
  <c r="F11" i="23"/>
  <c r="E11" i="23"/>
  <c r="D11" i="23"/>
  <c r="C11" i="23"/>
  <c r="B11" i="23"/>
  <c r="BD10" i="23"/>
  <c r="Q10" i="23"/>
  <c r="V10" i="23"/>
  <c r="M10" i="23"/>
  <c r="BN10" i="23"/>
  <c r="U10" i="23"/>
  <c r="L10" i="23"/>
  <c r="BM10" i="23"/>
  <c r="T10" i="23"/>
  <c r="K10" i="23"/>
  <c r="BL10" i="23"/>
  <c r="S10" i="23"/>
  <c r="BK10" i="23"/>
  <c r="BE10" i="23"/>
  <c r="BJ10" i="23"/>
  <c r="BI10" i="23"/>
  <c r="BH10" i="23"/>
  <c r="BG10" i="23"/>
  <c r="BF10" i="23"/>
  <c r="AX10" i="23"/>
  <c r="AT10" i="23"/>
  <c r="AW10" i="23"/>
  <c r="AV10" i="23"/>
  <c r="AU10" i="23"/>
  <c r="AP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W10" i="23"/>
  <c r="X10" i="23"/>
  <c r="R10" i="23"/>
  <c r="P10" i="23"/>
  <c r="O10" i="23"/>
  <c r="N10" i="23"/>
  <c r="F10" i="23"/>
  <c r="E10" i="23"/>
  <c r="D10" i="23"/>
  <c r="C10" i="23"/>
  <c r="K7" i="52"/>
  <c r="E28" i="54"/>
  <c r="B28" i="54"/>
  <c r="E27" i="54"/>
  <c r="B27" i="54"/>
  <c r="E26" i="54"/>
  <c r="B26" i="54"/>
  <c r="E25" i="54"/>
  <c r="B25" i="54"/>
  <c r="E24" i="54"/>
  <c r="B24" i="54"/>
  <c r="E23" i="54"/>
  <c r="B23" i="54"/>
  <c r="E22" i="54"/>
  <c r="B22" i="54"/>
  <c r="E21" i="54"/>
  <c r="B21" i="54"/>
  <c r="E20" i="54"/>
  <c r="B20" i="54"/>
  <c r="B3" i="23"/>
  <c r="B4" i="23"/>
  <c r="D10" i="59"/>
  <c r="D11" i="59"/>
  <c r="B2" i="23"/>
  <c r="D4" i="59"/>
  <c r="D3" i="59"/>
  <c r="D5" i="59"/>
  <c r="B6" i="23"/>
  <c r="D6" i="59"/>
  <c r="D7" i="59"/>
  <c r="D8" i="59"/>
  <c r="D9" i="59"/>
  <c r="D12" i="59"/>
  <c r="D13" i="59"/>
  <c r="C10" i="59"/>
  <c r="I10" i="59"/>
  <c r="K11" i="59"/>
  <c r="K13" i="59"/>
  <c r="I13" i="59"/>
  <c r="C13" i="59"/>
  <c r="F13" i="59"/>
  <c r="E13" i="59"/>
  <c r="A13" i="59"/>
  <c r="K12" i="59"/>
  <c r="I12" i="59"/>
  <c r="C12" i="59"/>
  <c r="F12" i="59"/>
  <c r="E12" i="59"/>
  <c r="A12" i="59"/>
  <c r="I11" i="59"/>
  <c r="C11" i="59"/>
  <c r="F11" i="59"/>
  <c r="E11" i="59"/>
  <c r="A11" i="59"/>
  <c r="K10" i="59"/>
  <c r="F10" i="59"/>
  <c r="E10" i="59"/>
  <c r="A10" i="59"/>
  <c r="S4" i="58"/>
  <c r="T4" i="58"/>
  <c r="R4" i="58"/>
  <c r="O4" i="58"/>
  <c r="N4" i="58"/>
  <c r="M4" i="58"/>
  <c r="L4" i="58"/>
  <c r="J4" i="58"/>
  <c r="K4" i="58"/>
  <c r="I4" i="58"/>
  <c r="H4" i="58"/>
  <c r="G4" i="58"/>
  <c r="F4" i="58"/>
  <c r="E4" i="58"/>
  <c r="D4" i="58"/>
  <c r="C4" i="58"/>
  <c r="B4" i="58"/>
  <c r="F4" i="57"/>
  <c r="E4" i="57"/>
  <c r="B4" i="57"/>
  <c r="C2" i="59"/>
  <c r="E2" i="59"/>
  <c r="C9" i="59"/>
  <c r="F9" i="59"/>
  <c r="E9" i="59"/>
  <c r="C8" i="59"/>
  <c r="F8" i="59"/>
  <c r="E8" i="59"/>
  <c r="C7" i="59"/>
  <c r="F7" i="59"/>
  <c r="E7" i="59"/>
  <c r="C6" i="59"/>
  <c r="F6" i="59"/>
  <c r="E6" i="59"/>
  <c r="C5" i="59"/>
  <c r="F5" i="59"/>
  <c r="E5" i="59"/>
  <c r="C4" i="59"/>
  <c r="F4" i="59"/>
  <c r="E4" i="59"/>
  <c r="C3" i="59"/>
  <c r="F3" i="59"/>
  <c r="E3" i="59"/>
  <c r="F2" i="59"/>
  <c r="I3" i="59"/>
  <c r="I4" i="59"/>
  <c r="I5" i="59"/>
  <c r="I6" i="59"/>
  <c r="I7" i="59"/>
  <c r="I8" i="59"/>
  <c r="I9" i="59"/>
  <c r="I2" i="59"/>
  <c r="F2" i="57"/>
  <c r="E2" i="57"/>
  <c r="H6" i="53"/>
  <c r="H7" i="53"/>
  <c r="G7" i="53"/>
  <c r="E7" i="53"/>
  <c r="G6" i="53"/>
  <c r="E6" i="53"/>
  <c r="J7" i="52"/>
  <c r="H7" i="52"/>
  <c r="E7" i="52"/>
  <c r="K6" i="52"/>
  <c r="J6" i="52"/>
  <c r="H6" i="52"/>
  <c r="E6" i="52"/>
  <c r="K3" i="59"/>
  <c r="K2" i="59"/>
  <c r="K6" i="59"/>
  <c r="H5" i="53"/>
  <c r="H4" i="53"/>
  <c r="K5" i="52"/>
  <c r="K4" i="52"/>
  <c r="AX6" i="23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G5" i="23"/>
  <c r="BC5" i="23"/>
  <c r="BD5" i="23"/>
  <c r="Q5" i="23"/>
  <c r="V5" i="23"/>
  <c r="I5" i="23"/>
  <c r="M5" i="23"/>
  <c r="BN5" i="23"/>
  <c r="U5" i="23"/>
  <c r="L5" i="23"/>
  <c r="BM5" i="23"/>
  <c r="T5" i="23"/>
  <c r="K5" i="23"/>
  <c r="BL5" i="23"/>
  <c r="S5" i="23"/>
  <c r="J5" i="23"/>
  <c r="BK5" i="23"/>
  <c r="G4" i="23"/>
  <c r="BC4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P5" i="23"/>
  <c r="AS5" i="23"/>
  <c r="AR5" i="23"/>
  <c r="AQ5" i="23"/>
  <c r="AN5" i="23"/>
  <c r="AM5" i="23"/>
  <c r="AL5" i="23"/>
  <c r="AK5" i="23"/>
  <c r="AI5" i="23"/>
  <c r="AG4" i="23"/>
  <c r="AG5" i="23"/>
  <c r="AH5" i="23"/>
  <c r="AF5" i="23"/>
  <c r="Y5" i="23"/>
  <c r="Z5" i="23"/>
  <c r="W5" i="23"/>
  <c r="X5" i="23"/>
  <c r="R5" i="23"/>
  <c r="P5" i="23"/>
  <c r="O5" i="23"/>
  <c r="N5" i="23"/>
  <c r="F5" i="23"/>
  <c r="E5" i="23"/>
  <c r="D5" i="23"/>
  <c r="C5" i="23"/>
  <c r="B5" i="23"/>
  <c r="BD4" i="23"/>
  <c r="Q4" i="23"/>
  <c r="V4" i="23"/>
  <c r="M4" i="23"/>
  <c r="BN4" i="23"/>
  <c r="U4" i="23"/>
  <c r="L4" i="23"/>
  <c r="BM4" i="23"/>
  <c r="T4" i="23"/>
  <c r="K4" i="23"/>
  <c r="BL4" i="23"/>
  <c r="S4" i="23"/>
  <c r="BK4" i="23"/>
  <c r="BE4" i="23"/>
  <c r="BJ4" i="23"/>
  <c r="BI4" i="23"/>
  <c r="BH4" i="23"/>
  <c r="BG4" i="23"/>
  <c r="BF4" i="23"/>
  <c r="AX4" i="23"/>
  <c r="AW4" i="23"/>
  <c r="AV4" i="23"/>
  <c r="AU4" i="23"/>
  <c r="AP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W4" i="23"/>
  <c r="X4" i="23"/>
  <c r="R4" i="23"/>
  <c r="P4" i="23"/>
  <c r="O4" i="23"/>
  <c r="N4" i="23"/>
  <c r="F4" i="23"/>
  <c r="E4" i="23"/>
  <c r="D4" i="23"/>
  <c r="C4" i="23"/>
  <c r="B3" i="57"/>
  <c r="F3" i="57"/>
  <c r="E3" i="57"/>
  <c r="K9" i="59"/>
  <c r="G9" i="59"/>
  <c r="A9" i="59"/>
  <c r="K8" i="59"/>
  <c r="G8" i="59"/>
  <c r="A8" i="59"/>
  <c r="K7" i="59"/>
  <c r="G7" i="59"/>
  <c r="A7" i="59"/>
  <c r="G6" i="59"/>
  <c r="A6" i="59"/>
  <c r="D2" i="59"/>
  <c r="S3" i="58"/>
  <c r="T3" i="58"/>
  <c r="R3" i="58"/>
  <c r="P3" i="58"/>
  <c r="O3" i="58"/>
  <c r="N3" i="58"/>
  <c r="M3" i="58"/>
  <c r="L3" i="58"/>
  <c r="J3" i="58"/>
  <c r="K3" i="58"/>
  <c r="I3" i="58"/>
  <c r="H3" i="58"/>
  <c r="G3" i="58"/>
  <c r="F3" i="58"/>
  <c r="E3" i="58"/>
  <c r="D3" i="58"/>
  <c r="C3" i="58"/>
  <c r="B3" i="58"/>
  <c r="G5" i="53"/>
  <c r="E5" i="53"/>
  <c r="G4" i="53"/>
  <c r="E4" i="53"/>
  <c r="J5" i="52"/>
  <c r="H5" i="52"/>
  <c r="E5" i="52"/>
  <c r="J4" i="52"/>
  <c r="H4" i="52"/>
  <c r="E4" i="52"/>
  <c r="AG2" i="23"/>
  <c r="AG3" i="23"/>
  <c r="AG6" i="23"/>
  <c r="AG7" i="23"/>
  <c r="AF2" i="23"/>
  <c r="AF6" i="23"/>
  <c r="B7" i="23"/>
  <c r="G7" i="23"/>
  <c r="BC7" i="23"/>
  <c r="BD7" i="23"/>
  <c r="Q7" i="23"/>
  <c r="V7" i="23"/>
  <c r="I7" i="23"/>
  <c r="M7" i="23"/>
  <c r="BN7" i="23"/>
  <c r="U7" i="23"/>
  <c r="L7" i="23"/>
  <c r="BM7" i="23"/>
  <c r="T7" i="23"/>
  <c r="K7" i="23"/>
  <c r="BL7" i="23"/>
  <c r="S7" i="23"/>
  <c r="J7" i="23"/>
  <c r="BK7" i="23"/>
  <c r="G6" i="23"/>
  <c r="BC6" i="23"/>
  <c r="BE7" i="23"/>
  <c r="BJ7" i="23"/>
  <c r="BI7" i="23"/>
  <c r="BH7" i="23"/>
  <c r="BG7" i="23"/>
  <c r="I6" i="23"/>
  <c r="J6" i="23"/>
  <c r="BF7" i="23"/>
  <c r="AX7" i="23"/>
  <c r="AW7" i="23"/>
  <c r="AV7" i="23"/>
  <c r="AU7" i="23"/>
  <c r="AP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W7" i="23"/>
  <c r="X7" i="23"/>
  <c r="R7" i="23"/>
  <c r="P7" i="23"/>
  <c r="O7" i="23"/>
  <c r="N7" i="23"/>
  <c r="F7" i="23"/>
  <c r="E7" i="23"/>
  <c r="D7" i="23"/>
  <c r="C7" i="23"/>
  <c r="BD6" i="23"/>
  <c r="Q6" i="23"/>
  <c r="V6" i="23"/>
  <c r="M6" i="23"/>
  <c r="BN6" i="23"/>
  <c r="U6" i="23"/>
  <c r="L6" i="23"/>
  <c r="BM6" i="23"/>
  <c r="T6" i="23"/>
  <c r="K6" i="23"/>
  <c r="BL6" i="23"/>
  <c r="S6" i="23"/>
  <c r="BK6" i="23"/>
  <c r="BE6" i="23"/>
  <c r="BJ6" i="23"/>
  <c r="BI6" i="23"/>
  <c r="BH6" i="23"/>
  <c r="BG6" i="23"/>
  <c r="BF6" i="23"/>
  <c r="AW6" i="23"/>
  <c r="AV6" i="23"/>
  <c r="AU6" i="23"/>
  <c r="AP6" i="23"/>
  <c r="AS6" i="23"/>
  <c r="AR6" i="23"/>
  <c r="AQ6" i="23"/>
  <c r="AN6" i="23"/>
  <c r="AM6" i="23"/>
  <c r="AL6" i="23"/>
  <c r="AK6" i="23"/>
  <c r="AI6" i="23"/>
  <c r="AH6" i="23"/>
  <c r="Y6" i="23"/>
  <c r="Z6" i="23"/>
  <c r="W6" i="23"/>
  <c r="X6" i="23"/>
  <c r="R6" i="23"/>
  <c r="P6" i="23"/>
  <c r="O6" i="23"/>
  <c r="N6" i="23"/>
  <c r="F6" i="23"/>
  <c r="E6" i="23"/>
  <c r="D6" i="23"/>
  <c r="C6" i="23"/>
  <c r="E2" i="52"/>
  <c r="H2" i="52"/>
  <c r="E3" i="52"/>
  <c r="H3" i="52"/>
  <c r="E2" i="53"/>
  <c r="E3" i="53"/>
  <c r="AP2" i="23"/>
  <c r="AQ2" i="23"/>
  <c r="P2" i="58"/>
  <c r="J3" i="52"/>
  <c r="K3" i="52"/>
  <c r="H3" i="53"/>
  <c r="H2" i="53"/>
  <c r="K2" i="52"/>
  <c r="E10" i="54"/>
  <c r="B10" i="54"/>
  <c r="E9" i="54"/>
  <c r="B9" i="54"/>
  <c r="E8" i="54"/>
  <c r="B8" i="54"/>
  <c r="E7" i="54"/>
  <c r="B7" i="54"/>
  <c r="E6" i="54"/>
  <c r="B6" i="54"/>
  <c r="E5" i="54"/>
  <c r="B5" i="54"/>
  <c r="E4" i="54"/>
  <c r="B4" i="54"/>
  <c r="E3" i="54"/>
  <c r="B3" i="54"/>
  <c r="E2" i="54"/>
  <c r="B2" i="54"/>
  <c r="G3" i="23"/>
  <c r="BC3" i="23"/>
  <c r="BD3" i="23"/>
  <c r="Q3" i="23"/>
  <c r="T3" i="23"/>
  <c r="W3" i="23"/>
  <c r="I3" i="23"/>
  <c r="K3" i="23"/>
  <c r="BL3" i="23"/>
  <c r="AP3" i="23"/>
  <c r="G3" i="59"/>
  <c r="G4" i="59"/>
  <c r="G5" i="59"/>
  <c r="G2" i="59"/>
  <c r="G2" i="23"/>
  <c r="BC2" i="23"/>
  <c r="BD2" i="23"/>
  <c r="Q2" i="23"/>
  <c r="S2" i="23"/>
  <c r="W2" i="23"/>
  <c r="I2" i="23"/>
  <c r="J2" i="23"/>
  <c r="BK2" i="23"/>
  <c r="V2" i="23"/>
  <c r="M2" i="23"/>
  <c r="BN2" i="23"/>
  <c r="T2" i="23"/>
  <c r="K2" i="23"/>
  <c r="BL2" i="23"/>
  <c r="K4" i="59"/>
  <c r="A4" i="59"/>
  <c r="A3" i="59"/>
  <c r="S2" i="58"/>
  <c r="K5" i="59"/>
  <c r="A5" i="59"/>
  <c r="AH2" i="23"/>
  <c r="B2" i="57"/>
  <c r="E4" i="49"/>
  <c r="E5" i="49"/>
  <c r="E3" i="49"/>
  <c r="R2" i="58"/>
  <c r="H2" i="58"/>
  <c r="G2" i="58"/>
  <c r="B2" i="58"/>
  <c r="A2" i="59"/>
  <c r="T2" i="58"/>
  <c r="O2" i="58"/>
  <c r="N2" i="58"/>
  <c r="M2" i="58"/>
  <c r="L2" i="58"/>
  <c r="J2" i="58"/>
  <c r="K2" i="58"/>
  <c r="I2" i="58"/>
  <c r="F2" i="58"/>
  <c r="E2" i="58"/>
  <c r="D2" i="58"/>
  <c r="C2" i="58"/>
  <c r="E15" i="49"/>
  <c r="E14" i="49"/>
  <c r="E13" i="49"/>
  <c r="G3" i="53"/>
  <c r="AT3" i="23"/>
  <c r="AT2" i="23"/>
  <c r="AU3" i="23"/>
  <c r="G2" i="53"/>
  <c r="AU2" i="23"/>
  <c r="J2" i="52"/>
  <c r="C2" i="23"/>
  <c r="D2" i="23"/>
  <c r="E2" i="23"/>
  <c r="F2" i="23"/>
  <c r="L2" i="23"/>
  <c r="N2" i="23"/>
  <c r="O2" i="23"/>
  <c r="P2" i="23"/>
  <c r="R2" i="23"/>
  <c r="U2" i="23"/>
  <c r="X2" i="23"/>
  <c r="Y2" i="23"/>
  <c r="Z2" i="23"/>
  <c r="AI2" i="23"/>
  <c r="AK2" i="23"/>
  <c r="AL2" i="23"/>
  <c r="AM2" i="23"/>
  <c r="AN2" i="23"/>
  <c r="AR2" i="23"/>
  <c r="AS2" i="23"/>
  <c r="AV2" i="23"/>
  <c r="AW2" i="23"/>
  <c r="AX2" i="23"/>
  <c r="BE2" i="23"/>
  <c r="BF2" i="23"/>
  <c r="BG2" i="23"/>
  <c r="BH2" i="23"/>
  <c r="BM2" i="23"/>
  <c r="BI2" i="23"/>
  <c r="BJ2" i="23"/>
  <c r="C3" i="23"/>
  <c r="D3" i="23"/>
  <c r="E3" i="23"/>
  <c r="F3" i="23"/>
  <c r="J3" i="23"/>
  <c r="L3" i="23"/>
  <c r="M3" i="23"/>
  <c r="N3" i="23"/>
  <c r="O3" i="23"/>
  <c r="P3" i="23"/>
  <c r="R3" i="23"/>
  <c r="S3" i="23"/>
  <c r="U3" i="23"/>
  <c r="V3" i="23"/>
  <c r="X3" i="23"/>
  <c r="Y3" i="23"/>
  <c r="Z3" i="23"/>
  <c r="AF3" i="23"/>
  <c r="AH3" i="23"/>
  <c r="AI3" i="23"/>
  <c r="AK3" i="23"/>
  <c r="AL3" i="23"/>
  <c r="AM3" i="23"/>
  <c r="AN3" i="23"/>
  <c r="AQ3" i="23"/>
  <c r="AR3" i="23"/>
  <c r="AS3" i="23"/>
  <c r="AV3" i="23"/>
  <c r="AW3" i="23"/>
  <c r="AX3" i="23"/>
  <c r="BE3" i="23"/>
  <c r="BF3" i="23"/>
  <c r="BK3" i="23"/>
  <c r="BG3" i="23"/>
  <c r="BH3" i="23"/>
  <c r="BM3" i="23"/>
  <c r="BI3" i="23"/>
  <c r="BN3" i="23"/>
  <c r="BJ3" i="23"/>
  <c r="G10" i="13"/>
  <c r="G9" i="13"/>
  <c r="G8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6" i="49"/>
  <c r="E2" i="49"/>
</calcChain>
</file>

<file path=xl/sharedStrings.xml><?xml version="1.0" encoding="utf-8"?>
<sst xmlns="http://schemas.openxmlformats.org/spreadsheetml/2006/main" count="1093" uniqueCount="456">
  <si>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</si>
  <si>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</si>
  <si>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</si>
  <si>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</si>
  <si>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</si>
  <si>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</si>
  <si>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</si>
  <si>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</si>
  <si>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</si>
  <si>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</si>
  <si>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</si>
  <si>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</si>
  <si>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</si>
  <si>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</si>
  <si>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</si>
  <si>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</si>
  <si>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</si>
  <si>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</si>
  <si>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</si>
  <si>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</si>
  <si>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</si>
  <si>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</si>
  <si>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</si>
  <si>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</si>
  <si>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</si>
  <si>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</si>
  <si>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</si>
  <si>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</si>
  <si>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</si>
  <si>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</si>
  <si>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</si>
  <si>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</si>
  <si>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</si>
  <si>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</si>
  <si>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</si>
  <si>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</si>
  <si>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</si>
  <si>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</si>
  <si>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awake_price</t>
    <phoneticPr fontId="11"/>
  </si>
  <si>
    <t>name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</si>
  <si>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</si>
  <si>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</si>
  <si>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</si>
  <si>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</si>
  <si>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</si>
  <si>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</si>
  <si>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</si>
  <si>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</si>
  <si>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</si>
  <si>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</si>
  <si>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</si>
  <si>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</si>
  <si>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</si>
  <si>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</si>
  <si>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</si>
  <si>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</si>
  <si>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</si>
  <si>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</si>
  <si>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</si>
  <si>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</si>
  <si>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</si>
  <si>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</si>
  <si>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</si>
  <si>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</si>
  <si>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</si>
  <si>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</si>
  <si>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</si>
  <si>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</si>
  <si>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</si>
  <si>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</si>
  <si>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</si>
  <si>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</si>
  <si>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</si>
  <si>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</si>
  <si>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</si>
  <si>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</si>
  <si>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</si>
  <si>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</si>
  <si>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</si>
  <si>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</si>
  <si>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</si>
  <si>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</si>
  <si>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</si>
  <si>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</si>
  <si>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</si>
  <si>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</si>
  <si>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</si>
  <si>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</si>
  <si>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</si>
  <si>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</si>
  <si>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</si>
  <si>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</si>
  <si>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</si>
  <si>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</si>
  <si>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</si>
  <si>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</si>
  <si>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</si>
  <si>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</si>
  <si>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</si>
  <si>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</si>
  <si>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</si>
  <si>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</si>
  <si>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</si>
  <si>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</si>
  <si>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</si>
  <si>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</si>
  <si>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</si>
  <si>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</si>
  <si>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</si>
  <si>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</si>
  <si>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</si>
  <si>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</si>
  <si>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</si>
  <si>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</si>
  <si>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</si>
  <si>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</si>
  <si>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</si>
  <si>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</si>
  <si>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</si>
  <si>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</si>
  <si>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</si>
  <si>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.tmp</t>
    <phoneticPr fontId="22"/>
  </si>
  <si>
    <t>units_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</si>
  <si>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</si>
  <si>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</si>
  <si>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</si>
  <si>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</si>
  <si>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</si>
  <si>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</si>
  <si>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</si>
  <si>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</si>
  <si>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</si>
  <si>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</si>
  <si>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</si>
  <si>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</si>
  <si>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</si>
  <si>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</si>
  <si>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</si>
  <si>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</si>
  <si>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</si>
  <si>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</si>
  <si>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</si>
  <si>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</si>
  <si>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</si>
  <si>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</si>
  <si>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</si>
  <si>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</si>
  <si>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</si>
  <si>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</si>
  <si>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</si>
  <si>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</si>
  <si>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</si>
  <si>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</si>
  <si>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</si>
  <si>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</si>
  <si>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</si>
  <si>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</si>
  <si>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</si>
  <si>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</si>
  <si>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</si>
  <si>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</si>
  <si>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</si>
  <si>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</si>
  <si>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</si>
  <si>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</si>
  <si>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</si>
  <si>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</si>
  <si>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</si>
  <si>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</si>
  <si>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</si>
  <si>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</si>
  <si>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</si>
  <si>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</si>
  <si>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</si>
  <si>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</si>
  <si>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</si>
  <si>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</si>
  <si>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</si>
  <si>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</si>
  <si>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</si>
  <si>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</si>
  <si>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</si>
  <si>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</si>
  <si>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</si>
  <si>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</si>
  <si>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</si>
  <si>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</si>
  <si>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</si>
  <si>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</si>
  <si>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</si>
  <si>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</si>
  <si>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</si>
  <si>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</si>
  <si>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</si>
  <si>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</si>
  <si>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</si>
  <si>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</si>
  <si>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</si>
  <si>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</si>
  <si>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</si>
  <si>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</si>
  <si>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</si>
  <si>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</si>
  <si>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</si>
  <si>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</si>
  <si>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</si>
  <si>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</si>
  <si>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</si>
  <si>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</si>
  <si>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</si>
  <si>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</si>
  <si>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</si>
  <si>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</si>
  <si>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</si>
  <si>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</si>
  <si>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</si>
  <si>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</si>
  <si>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</si>
  <si>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</si>
  <si>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</si>
  <si>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</si>
  <si>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</si>
  <si>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</si>
  <si>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</si>
  <si>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</si>
  <si>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</si>
  <si>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</si>
  <si>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</si>
  <si>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</si>
  <si>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</si>
  <si>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</si>
  <si>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</si>
  <si>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</si>
  <si>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</si>
  <si>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</si>
  <si>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</si>
  <si>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</si>
  <si>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</si>
  <si>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</si>
  <si>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</si>
  <si>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</si>
  <si>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old</t>
    <phoneticPr fontId="22"/>
  </si>
  <si>
    <t>ability_id</t>
    <phoneticPr fontId="22"/>
  </si>
  <si>
    <t>name</t>
    <phoneticPr fontId="9"/>
  </si>
  <si>
    <t>ability_param</t>
    <phoneticPr fontId="22"/>
  </si>
  <si>
    <t>valid_flg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</si>
  <si>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</si>
  <si>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</si>
  <si>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</si>
  <si>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</si>
  <si>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</si>
  <si>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</si>
  <si>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</si>
  <si>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</si>
  <si>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</si>
  <si>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abilities_i18n_</t>
    <phoneticPr fontId="22"/>
  </si>
  <si>
    <t>abilities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</si>
  <si>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</si>
  <si>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</si>
  <si>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</si>
  <si>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</si>
  <si>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</si>
  <si>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</si>
  <si>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abilities_tmp_</t>
    <phoneticPr fontId="22"/>
  </si>
  <si>
    <t>character_id</t>
    <phoneticPr fontId="9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</si>
  <si>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</si>
  <si>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</si>
  <si>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</si>
  <si>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</si>
  <si>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</si>
  <si>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</si>
  <si>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</si>
  <si>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</si>
  <si>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</si>
  <si>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awake_character_id</t>
    <phoneticPr fontId="9"/>
  </si>
  <si>
    <t>base_character_id</t>
    <phoneticPr fontId="9"/>
  </si>
  <si>
    <t>awake_cost</t>
    <phoneticPr fontId="9"/>
  </si>
  <si>
    <t>temp_awake</t>
    <phoneticPr fontId="9"/>
  </si>
  <si>
    <t>character_id</t>
    <phoneticPr fontId="9"/>
  </si>
  <si>
    <t>rare</t>
    <phoneticPr fontId="9"/>
  </si>
  <si>
    <t>drop_label</t>
    <phoneticPr fontId="9"/>
  </si>
  <si>
    <t>material_bug</t>
    <phoneticPr fontId="9"/>
  </si>
  <si>
    <t>priority</t>
    <phoneticPr fontId="9"/>
  </si>
  <si>
    <t>fork_awake_units_</t>
    <phoneticPr fontId="22"/>
  </si>
  <si>
    <t>.tmp</t>
    <phoneticPr fontId="22"/>
  </si>
  <si>
    <t>awake_character_id</t>
    <phoneticPr fontId="22"/>
  </si>
  <si>
    <t>awake_cost</t>
    <phoneticPr fontId="22"/>
  </si>
  <si>
    <t>awake_type</t>
    <phoneticPr fontId="22"/>
  </si>
  <si>
    <t>awake_materials_</t>
    <phoneticPr fontId="22"/>
  </si>
  <si>
    <t>.tmp</t>
    <phoneticPr fontId="22"/>
  </si>
  <si>
    <t>base_character_id</t>
    <phoneticPr fontId="9"/>
  </si>
  <si>
    <t>material_bug</t>
    <phoneticPr fontId="22"/>
  </si>
  <si>
    <t>fork_awake_materials_</t>
    <phoneticPr fontId="22"/>
  </si>
  <si>
    <t>material_character_id</t>
    <phoneticPr fontId="22"/>
  </si>
  <si>
    <t>material_bug</t>
    <phoneticPr fontId="22"/>
  </si>
  <si>
    <t>priority</t>
    <phoneticPr fontId="22"/>
  </si>
  <si>
    <t>awake_materials</t>
    <phoneticPr fontId="22"/>
  </si>
  <si>
    <t>awake_type</t>
    <phoneticPr fontId="9"/>
  </si>
  <si>
    <t>awake_type</t>
    <phoneticPr fontId="22"/>
  </si>
  <si>
    <t>fork_awake_units</t>
    <phoneticPr fontId="22"/>
  </si>
  <si>
    <t>ver</t>
    <phoneticPr fontId="22"/>
  </si>
  <si>
    <t>priority</t>
    <phoneticPr fontId="22"/>
  </si>
  <si>
    <t>effects</t>
    <phoneticPr fontId="22"/>
  </si>
  <si>
    <t>conditions</t>
    <phoneticPr fontId="22"/>
  </si>
  <si>
    <t>skill</t>
    <phoneticPr fontId="22"/>
  </si>
  <si>
    <t>ja</t>
    <phoneticPr fontId="22"/>
  </si>
  <si>
    <t>cskill</t>
    <phoneticPr fontId="22"/>
  </si>
  <si>
    <t>ja</t>
    <phoneticPr fontId="22"/>
  </si>
  <si>
    <t>cskill</t>
    <phoneticPr fontId="22"/>
  </si>
  <si>
    <t>skill</t>
    <phoneticPr fontId="22"/>
  </si>
  <si>
    <t>ja</t>
    <phoneticPr fontId="22"/>
  </si>
  <si>
    <t>ja</t>
    <phoneticPr fontId="22"/>
  </si>
  <si>
    <t>cskill</t>
    <phoneticPr fontId="22"/>
  </si>
  <si>
    <t>wiz_unit</t>
    <phoneticPr fontId="22"/>
  </si>
  <si>
    <t>30</t>
    <phoneticPr fontId="22"/>
  </si>
  <si>
    <t>1体に特大ダメージ</t>
    <phoneticPr fontId="22"/>
  </si>
  <si>
    <t>1体に超大ダメージ</t>
    <phoneticPr fontId="22"/>
  </si>
  <si>
    <t>[effect:damage, target:enemy_one, color:green, val:2.25, animation:damage_one_green04]</t>
    <phoneticPr fontId="22"/>
  </si>
  <si>
    <t>[effect:damage, target:enemy_one, color:green, val:2.5, animation:damage_one_green04]</t>
    <phoneticPr fontId="22"/>
  </si>
  <si>
    <t>[effect:break_enchance_unit, target:unit_green, val:0.01, lowest_val:0.2, count :-1, status:attack, turn:2, block01:block_green, calc:mul, animation:enhance_unit_all_attack04],[effect:break_heal_fix, val:300, lowest_val:1000, count:-1, block01:block_yellow, animation:heal01_unit01],</t>
    <phoneticPr fontId="22"/>
  </si>
  <si>
    <t>2ターン緑属性の攻撃力UP(緑パネルを吸収し効果大UP)+HPを1000回復(黄パネルを1つ吸収する毎にHPを300回復)</t>
    <phoneticPr fontId="22"/>
  </si>
  <si>
    <t>1ターン緑属性の攻撃力UP(緑パネルを吸収し効果大UP)+HPを1000回復(黄パネルを1つ吸収する毎にHPを300回復)</t>
    <phoneticPr fontId="22"/>
  </si>
  <si>
    <t>[effect:break_enchance_unit, target:unit_green, val:0.01, lowest_val:0.2, count :-1, status:attack, turn:1, block01:block_green, calc:mul, animation:enhance_unit_all_attack04],[effect:break_heal_fix, val:300, lowest_val:1000, count:-1, block01:block_yellow, animation:heal01_unit01],</t>
    <phoneticPr fontId="22"/>
  </si>
  <si>
    <t>1体に特大ダメージ+
確率でウィルス付与</t>
    <phoneticPr fontId="22"/>
  </si>
  <si>
    <t>1体に超大ダメージ+
確率でウィルス付与</t>
    <phoneticPr fontId="22"/>
  </si>
  <si>
    <t>[effect:damage, target:enemy_one, color:green, val:1.7, animation:damage_one_green04],[effect:virus, target:enemy_one, turn:2, rate:0.30, val:0.84, animation:virus02]</t>
    <phoneticPr fontId="22"/>
  </si>
  <si>
    <t>[effect:damage, target:enemy_one, color:green, val:2, animation:damage_one_green04],[effect:virus, target:enemy_one, turn:2, rate:0.30, val:0.84, animation:virus02]</t>
    <phoneticPr fontId="22"/>
  </si>
  <si>
    <t>驚神・天空一本背負い</t>
  </si>
  <si>
    <t>天空巴投げ</t>
    <phoneticPr fontId="22"/>
  </si>
  <si>
    <t>奇襲&lt;March 6th&gt;</t>
    <phoneticPr fontId="22"/>
  </si>
  <si>
    <t>爆散&lt;March 6th&gt;</t>
    <rPh sb="0" eb="2">
      <t>バクサン</t>
    </rPh>
    <phoneticPr fontId="22"/>
  </si>
  <si>
    <r>
      <t>山脈パワーボム</t>
    </r>
    <r>
      <rPr>
        <sz val="10"/>
        <color rgb="FF0070C0"/>
        <rFont val="ＭＳ Ｐゴシック"/>
        <family val="3"/>
        <charset val="128"/>
      </rPr>
      <t/>
    </r>
    <rPh sb="0" eb="2">
      <t>ダイサンミャク</t>
    </rPh>
    <phoneticPr fontId="22"/>
  </si>
  <si>
    <t>大山脈ランニングパワーボム</t>
    <rPh sb="0" eb="3">
      <t>ダイサンミャク</t>
    </rPh>
    <phoneticPr fontId="22"/>
  </si>
  <si>
    <t>イート・ザ・ブートセクタ</t>
    <phoneticPr fontId="22"/>
  </si>
  <si>
    <t>キャプチャ・ザ・ブートセクタ</t>
    <phoneticPr fontId="22"/>
  </si>
  <si>
    <t>giza</t>
    <phoneticPr fontId="22"/>
  </si>
  <si>
    <t>隙が多すぎるぜッ！セイッ！</t>
    <phoneticPr fontId="22"/>
  </si>
  <si>
    <t>giza</t>
    <phoneticPr fontId="22"/>
  </si>
  <si>
    <t>片っ端から投げてやるぜッ！</t>
    <phoneticPr fontId="22"/>
  </si>
  <si>
    <t>giza</t>
    <phoneticPr fontId="22"/>
  </si>
  <si>
    <t>その体ぶっ壊してやる！</t>
    <phoneticPr fontId="22"/>
  </si>
  <si>
    <t>これでフィニッシュだ！</t>
    <phoneticPr fontId="22"/>
  </si>
  <si>
    <t>鍛え方が違ぇんだぜッ！</t>
    <phoneticPr fontId="22"/>
  </si>
  <si>
    <t>giza</t>
    <phoneticPr fontId="22"/>
  </si>
  <si>
    <t>その体ぶっ壊してやる！</t>
    <phoneticPr fontId="22"/>
  </si>
  <si>
    <t>これでフィニッシュだ！</t>
    <phoneticPr fontId="22"/>
  </si>
  <si>
    <t>鍛え方が違ぇんだぜッ！</t>
    <phoneticPr fontId="22"/>
  </si>
  <si>
    <t>俺を満足させろーッ！</t>
    <phoneticPr fontId="22"/>
  </si>
  <si>
    <t>maru</t>
    <phoneticPr fontId="22"/>
  </si>
  <si>
    <t>忘れられない日にしようか</t>
    <phoneticPr fontId="22"/>
  </si>
  <si>
    <t>maru</t>
    <phoneticPr fontId="22"/>
  </si>
  <si>
    <t>彼らも気が立っているんだ…</t>
    <phoneticPr fontId="22"/>
  </si>
  <si>
    <t>maru</t>
    <phoneticPr fontId="22"/>
  </si>
  <si>
    <r>
      <t>よく味わうんだよ…？</t>
    </r>
    <r>
      <rPr>
        <sz val="10"/>
        <color rgb="FFFF0000"/>
        <rFont val="ＭＳ Ｐゴシック"/>
        <family val="3"/>
        <charset val="128"/>
      </rPr>
      <t/>
    </r>
    <phoneticPr fontId="22"/>
  </si>
  <si>
    <t>極上物を見つけたよ…</t>
    <phoneticPr fontId="22"/>
  </si>
  <si>
    <t>kumo</t>
    <phoneticPr fontId="22"/>
  </si>
  <si>
    <t>待った甲斐があったね</t>
    <phoneticPr fontId="22"/>
  </si>
  <si>
    <t>maru</t>
    <phoneticPr fontId="22"/>
  </si>
  <si>
    <r>
      <t>よく味わうんだよ…？</t>
    </r>
    <r>
      <rPr>
        <sz val="10"/>
        <color rgb="FFFF0000"/>
        <rFont val="ＭＳ Ｐゴシック"/>
        <family val="3"/>
        <charset val="128"/>
      </rPr>
      <t/>
    </r>
    <phoneticPr fontId="22"/>
  </si>
  <si>
    <t>極上物を見つけたよ…</t>
    <phoneticPr fontId="22"/>
  </si>
  <si>
    <t>kumo</t>
    <phoneticPr fontId="22"/>
  </si>
  <si>
    <t>待った甲斐があったね</t>
    <phoneticPr fontId="22"/>
  </si>
  <si>
    <t>僕も少し手を貸そうか…</t>
    <phoneticPr fontId="22"/>
  </si>
  <si>
    <t>[effect:force_change_block, new_block:crack_bomb, target:block_yellow, ignore01:crack_bomb, ignore02:jammer, color:block_green, count:0, val:12, animation:change_block],[effect:force_change_block, new_block:crack_bomb, target:jammer, ignore01:crack_bomb, ignore02:block_yellow, color:block_green, count:0, val:12, animation:change_block],[effect:enhance_unit, target:unit_god/unit_animal/or, turn:2, status:attack, val:0.255, calc:mul, animation:enhance_unit_all_attack03]</t>
    <phoneticPr fontId="22"/>
  </si>
  <si>
    <t>お邪魔・黄パネルを緑ボムパネルに変換+2ターンゴッドとアニマルの攻撃力を特大UP</t>
    <phoneticPr fontId="22"/>
  </si>
  <si>
    <t>1体に特大ダメージ+
1ターン青属性の防御力UP</t>
    <phoneticPr fontId="22"/>
  </si>
  <si>
    <t>1体に超大ダメージ+
1ターン青属性の防御力UP</t>
    <phoneticPr fontId="22"/>
  </si>
  <si>
    <t>黄・時限式ダメージパネルを全て吸収して単体に大ダメージ+ランダムでパネルを最大2つSCパネル(大)に変換</t>
    <phoneticPr fontId="22"/>
  </si>
  <si>
    <t>ギャラクティックライオット</t>
    <phoneticPr fontId="22"/>
  </si>
  <si>
    <t>ギャラクティックスタンピード</t>
    <phoneticPr fontId="22"/>
  </si>
  <si>
    <t>星雲のフラグメント</t>
    <phoneticPr fontId="22"/>
  </si>
  <si>
    <t>星海のフォートレス</t>
    <phoneticPr fontId="22"/>
  </si>
  <si>
    <t>潜伏は終わりだ…行くぞ！</t>
    <phoneticPr fontId="22"/>
  </si>
  <si>
    <t>さぁ行け！かき回せ！！</t>
    <phoneticPr fontId="22"/>
  </si>
  <si>
    <t>maru</t>
    <phoneticPr fontId="22"/>
  </si>
  <si>
    <t>冒険に付き合おうか？</t>
    <phoneticPr fontId="22"/>
  </si>
  <si>
    <t>主導権は僕が握ってるよ</t>
    <phoneticPr fontId="22"/>
  </si>
  <si>
    <t>僕を見くびったかな…？</t>
    <phoneticPr fontId="22"/>
  </si>
  <si>
    <t>冒険に付き合おうか？</t>
    <phoneticPr fontId="22"/>
  </si>
  <si>
    <t>主導権は僕が握ってるよ</t>
    <phoneticPr fontId="22"/>
  </si>
  <si>
    <t>僕を見くびったかな…？</t>
    <phoneticPr fontId="22"/>
  </si>
  <si>
    <t>giza</t>
    <phoneticPr fontId="22"/>
  </si>
  <si>
    <t>いいよ…ハマル起動だ！</t>
    <phoneticPr fontId="22"/>
  </si>
  <si>
    <t>[effect:damage, target:enemy_one,color:blue, val:1.5, animation:damage_one_blue04],[effect:enhance_unit, target:unit_blue, turn:1, status:defense, val:72, calc:add,animation:enhance_unit_all_deffence02_unit01]</t>
    <phoneticPr fontId="22"/>
  </si>
  <si>
    <t>[effect:damage, target:enemy_one, color:blue, val:2.0, animation:damage_one_blue04],[effect:enhance_unit, target:unit_blue, turn:1, status:defense, val:72, calc:add,animation:enhance_unit_all_deffence02_unit01]</t>
    <phoneticPr fontId="22"/>
  </si>
  <si>
    <t>黄・時限式ダメージパネルを全て吸収して単体に大ダメージ+ランダムでパネルを最大2つSCパネル(大)に変換</t>
    <phoneticPr fontId="22"/>
  </si>
  <si>
    <t>1体に特大ダメージ</t>
    <rPh sb="1" eb="2">
      <t>タイニ</t>
    </rPh>
    <rPh sb="3" eb="5">
      <t>トクダイダメージ</t>
    </rPh>
    <phoneticPr fontId="22"/>
  </si>
  <si>
    <t>[effect:damage, target:enemy_one, color:red, val:2.25, animation:damage_one_red04]</t>
    <phoneticPr fontId="22"/>
  </si>
  <si>
    <t>[effect:damage, target:enemy_one, color:yellow, val:2.5, animation:damage_one_yellow04]</t>
    <phoneticPr fontId="22"/>
  </si>
  <si>
    <t>1体に超大ダメージ</t>
    <rPh sb="1" eb="2">
      <t>タイニ</t>
    </rPh>
    <rPh sb="3" eb="4">
      <t>チョウ</t>
    </rPh>
    <rPh sb="4" eb="5">
      <t>トクダイダメージ</t>
    </rPh>
    <phoneticPr fontId="22"/>
  </si>
  <si>
    <t>ランダムでパネルを3つSCパネルに変換+時限式ダメージパネルを赤ボムパネルに変換</t>
    <rPh sb="20" eb="23">
      <t>ジゲンシキ</t>
    </rPh>
    <rPh sb="31" eb="32">
      <t>アカパネルニヘンカン</t>
    </rPh>
    <phoneticPr fontId="22"/>
  </si>
  <si>
    <t>ハートパネルを黄パネルに変換+2ターン種族Unknownの攻撃力を超大UPし、ハートパネルが出現しない</t>
    <rPh sb="7" eb="8">
      <t>キイロ</t>
    </rPh>
    <rPh sb="12" eb="14">
      <t>ヘンカン</t>
    </rPh>
    <rPh sb="19" eb="21">
      <t>シュゾク</t>
    </rPh>
    <rPh sb="29" eb="32">
      <t>コウゲキリョクト</t>
    </rPh>
    <rPh sb="33" eb="35">
      <t>チョウダイ</t>
    </rPh>
    <rPh sb="46" eb="48">
      <t>シュツゲン</t>
    </rPh>
    <phoneticPr fontId="22"/>
  </si>
  <si>
    <t>[effect:break_attack,val:0.43, lowest_val:0,count:-1, block01:block_yellow, block02:time_bomb, color:blue, target:enemy_one, animation:damage_one_blue06],[effect:force_change_block, new_block:crash, target:block_all, ignore01:time_bomb, ignore02:block_yellow,  count:2, val:24, animation:change_block]</t>
    <phoneticPr fontId="22"/>
  </si>
  <si>
    <t>[effect:break_attack,val:0.43, lowest_val:0, count:-1, block01:block_yellow, block02:time_bomb, color:blue, target:enemy_one, animation:damage_one_blue06],[effect:force_change_block, new_block:crash, target:block_all, ignore01:time_bomb, ignore02:block_yellow,  count:2, val:24, animation:change_block]</t>
    <phoneticPr fontId="22"/>
  </si>
  <si>
    <t>[effect:force_change_block, new_block:crack_bomb, target:time_bomb,color:block_red, count:0, val:12, animation:change_block],[effect:force_change_block, new_block:crash, target:block_all,color:block_red, count:3, val:12, animation:change_block]</t>
    <phoneticPr fontId="22"/>
  </si>
  <si>
    <t>ナイアガラ・ナイトメア</t>
  </si>
  <si>
    <t>[effect:enhance_unit, target:unit_unknown, turn:2, status:attack, val:0.25, calc:mul, animation:enhance_unit_all_attack04_unit01],[effect:change_panel_ratio, turn:2, block_type:heal, val:0, animation:block_incidence04],[effect:force_change_block, new_block:block_yellow, target:block_heart, ignore01:block_yellow,  count:0, val:0, animation:change_block]</t>
    <phoneticPr fontId="22"/>
  </si>
  <si>
    <t>FALL 2 FALL</t>
  </si>
  <si>
    <t>FALL 2 FALL &amp; FREEZE</t>
  </si>
  <si>
    <t>1体に特大ダメージ</t>
    <rPh sb="1" eb="2">
      <t>タイニ</t>
    </rPh>
    <rPh sb="3" eb="4">
      <t>トクダ</t>
    </rPh>
    <rPh sb="4" eb="5">
      <t>トクダイダメージ</t>
    </rPh>
    <phoneticPr fontId="22"/>
  </si>
  <si>
    <t>[effect:damage, target:enemy_one, color:yellow, val:2.25, animation:damage_one_yellow04]</t>
    <phoneticPr fontId="22"/>
  </si>
  <si>
    <t>giza</t>
  </si>
  <si>
    <t>落ちろ！なにもかも！！</t>
  </si>
  <si>
    <t>maru</t>
  </si>
  <si>
    <t>ビビることはねぇよ…</t>
  </si>
  <si>
    <t>美しく、崩れろ！</t>
  </si>
  <si>
    <t>ハングアップだ！</t>
  </si>
  <si>
    <t>震えるぜ…この崩落！！</t>
  </si>
  <si>
    <t>見せてやるよ…悪夢をな！</t>
  </si>
  <si>
    <t>giza</t>
    <phoneticPr fontId="22"/>
  </si>
  <si>
    <r>
      <t>木っ端微塵にしてやる！</t>
    </r>
    <r>
      <rPr>
        <sz val="10"/>
        <color rgb="FF0070C0"/>
        <rFont val="ＭＳ Ｐゴシック"/>
        <family val="3"/>
        <charset val="128"/>
      </rPr>
      <t/>
    </r>
    <phoneticPr fontId="22"/>
  </si>
  <si>
    <t>giza</t>
    <phoneticPr fontId="22"/>
  </si>
  <si>
    <t>ふっとべばいいじゃん！</t>
    <phoneticPr fontId="22"/>
  </si>
  <si>
    <t>フン…起爆するし！</t>
    <phoneticPr fontId="22"/>
  </si>
  <si>
    <t>全部ブッ壊れちゃえー！</t>
    <phoneticPr fontId="22"/>
  </si>
  <si>
    <t>giza</t>
    <phoneticPr fontId="22"/>
  </si>
  <si>
    <t>世界の中心はアタシよ！</t>
    <phoneticPr fontId="22"/>
  </si>
  <si>
    <t>giza</t>
    <phoneticPr fontId="22"/>
  </si>
  <si>
    <t>アタシ絶対的勝利の予感！！</t>
    <phoneticPr fontId="22"/>
  </si>
  <si>
    <t>ワールドイズマイン</t>
    <phoneticPr fontId="22"/>
  </si>
  <si>
    <t>カタストロフィック・エイジ</t>
    <phoneticPr fontId="22"/>
  </si>
  <si>
    <t>1体に大ダメージ</t>
    <rPh sb="1" eb="2">
      <t>タイニ</t>
    </rPh>
    <rPh sb="3" eb="4">
      <t>トクダイダメージ</t>
    </rPh>
    <phoneticPr fontId="22"/>
  </si>
  <si>
    <t>[effect:damage, target:enemy_one, color:red, val:2.0, animation:damage_one_red03]</t>
    <phoneticPr fontId="22"/>
  </si>
  <si>
    <t>ボミング・エイジ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</si>
  <si>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</si>
  <si>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</si>
  <si>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</si>
  <si>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</si>
  <si>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</si>
  <si>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</si>
  <si>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</si>
  <si>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</si>
  <si>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</si>
  <si>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</si>
  <si>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</si>
  <si>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</si>
  <si>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</si>
  <si>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</si>
  <si>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</si>
  <si>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</si>
  <si>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</si>
  <si>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</si>
  <si>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</si>
  <si>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</si>
  <si>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</si>
  <si>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</si>
  <si>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[effect:force_change_block, new_block:crack_bomb, target:block_yellow, color:block_red, count:0, val:12, animation:change_block],[effect:force_change_block, new_block:crack_bomb, target:time_bomb,color:block_red, count:0, val:12, animation:change_block],[effect:force_change_block, new_block:crash, target:block_all,color:block_red, count:3, val:12, animation:change_block]</t>
    <phoneticPr fontId="22"/>
  </si>
  <si>
    <t>1.9.0</t>
    <phoneticPr fontId="22"/>
  </si>
  <si>
    <t>[condition:panel_total,count:10,type:crack_bomb]</t>
    <phoneticPr fontId="22"/>
  </si>
  <si>
    <t>[effect:enhance_unit, target:unit_red, turn:-1, status:attack, val:400, calc:add, animation:enhance_unit_all_attack04]</t>
    <phoneticPr fontId="22"/>
  </si>
  <si>
    <t>1</t>
    <phoneticPr fontId="22"/>
  </si>
  <si>
    <t>自身または味方が1ターンの間に合計10個以上ボムパネルを破壊した場合に赤属性ユニットの攻撃力UP</t>
    <rPh sb="35" eb="38">
      <t>アカゾk</t>
    </rPh>
    <phoneticPr fontId="22"/>
  </si>
  <si>
    <t>ランダムでパネルを3つSCパネルに変換し、黄・時限式ダメージパネルを赤ボムパネルに変換</t>
    <phoneticPr fontId="22"/>
  </si>
  <si>
    <t>ボムブレイク10 赤属性攻撃力UP</t>
    <rPh sb="14" eb="15">
      <t>チカr</t>
    </rPh>
    <phoneticPr fontId="22"/>
  </si>
  <si>
    <t>category</t>
    <phoneticPr fontId="22"/>
  </si>
  <si>
    <t>攻撃力UP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</si>
</sst>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  <font>
      <sz val="10"/>
      <color rgb="FF0070C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2"/>
      <color theme="1"/>
      <name val="MS PGothic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4" tint="0.79998168889431442"/>
        <bgColor indexed="59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81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3" fillId="0" borderId="4" xfId="0" applyFont="1" applyFill="1" applyBorder="1" applyAlignment="1">
      <alignment vertical="center" wrapText="1"/>
    </xf>
    <xf numFmtId="0" fontId="16" fillId="11" borderId="4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3" borderId="15" xfId="0" applyFont="1" applyFill="1" applyBorder="1" applyAlignment="1">
      <alignment horizontal="center" vertical="center"/>
    </xf>
    <xf numFmtId="0" fontId="13" fillId="23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horizontal="center" vertical="center"/>
    </xf>
    <xf numFmtId="0" fontId="0" fillId="26" borderId="4" xfId="0" applyFill="1" applyBorder="1"/>
    <xf numFmtId="0" fontId="13" fillId="26" borderId="15" xfId="0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15" fillId="8" borderId="28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28" xfId="0" applyFont="1" applyFill="1" applyBorder="1" applyAlignment="1">
      <alignment horizontal="left" vertical="center"/>
    </xf>
    <xf numFmtId="0" fontId="12" fillId="7" borderId="28" xfId="0" applyFont="1" applyFill="1" applyBorder="1" applyAlignment="1">
      <alignment horizontal="left" vertical="center"/>
    </xf>
    <xf numFmtId="0" fontId="15" fillId="11" borderId="28" xfId="0" applyFont="1" applyFill="1" applyBorder="1" applyAlignment="1">
      <alignment horizontal="left" vertical="center"/>
    </xf>
    <xf numFmtId="0" fontId="12" fillId="9" borderId="29" xfId="0" applyFont="1" applyFill="1" applyBorder="1" applyAlignment="1">
      <alignment horizontal="left" vertical="center"/>
    </xf>
    <xf numFmtId="0" fontId="15" fillId="8" borderId="30" xfId="0" applyFont="1" applyFill="1" applyBorder="1" applyAlignment="1">
      <alignment horizontal="left" vertical="center"/>
    </xf>
    <xf numFmtId="0" fontId="15" fillId="8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7" borderId="4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>
      <alignment horizontal="center"/>
    </xf>
    <xf numFmtId="0" fontId="12" fillId="29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right" vertical="center" wrapText="1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0" fillId="0" borderId="6" xfId="0" applyFill="1" applyBorder="1"/>
    <xf numFmtId="0" fontId="15" fillId="25" borderId="30" xfId="0" applyFont="1" applyFill="1" applyBorder="1" applyAlignment="1">
      <alignment horizontal="left" vertical="center"/>
    </xf>
    <xf numFmtId="0" fontId="13" fillId="20" borderId="4" xfId="0" applyFont="1" applyFill="1" applyBorder="1" applyAlignment="1">
      <alignment horizontal="left" vertical="center" wrapText="1"/>
    </xf>
    <xf numFmtId="0" fontId="16" fillId="15" borderId="4" xfId="0" applyFont="1" applyFill="1" applyBorder="1" applyAlignment="1">
      <alignment horizontal="right" vertical="center"/>
    </xf>
    <xf numFmtId="0" fontId="29" fillId="0" borderId="4" xfId="0" applyFont="1" applyBorder="1" applyAlignment="1">
      <alignment wrapText="1"/>
    </xf>
    <xf numFmtId="0" fontId="12" fillId="30" borderId="4" xfId="0" applyFont="1" applyFill="1" applyBorder="1" applyAlignment="1">
      <alignment horizontal="left" vertical="center"/>
    </xf>
    <xf numFmtId="0" fontId="12" fillId="30" borderId="4" xfId="0" applyFont="1" applyFill="1" applyBorder="1" applyAlignment="1">
      <alignment horizontal="left" vertical="center" wrapText="1"/>
    </xf>
    <xf numFmtId="0" fontId="31" fillId="30" borderId="4" xfId="0" applyFont="1" applyFill="1" applyBorder="1" applyAlignment="1">
      <alignment horizontal="left" vertical="center" wrapText="1"/>
    </xf>
    <xf numFmtId="0" fontId="12" fillId="31" borderId="4" xfId="0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/>
    </xf>
    <xf numFmtId="0" fontId="32" fillId="0" borderId="0" xfId="0" applyFont="1"/>
    <xf numFmtId="0" fontId="32" fillId="31" borderId="4" xfId="0" applyFont="1" applyFill="1" applyBorder="1"/>
    <xf numFmtId="0" fontId="16" fillId="31" borderId="4" xfId="0" applyFont="1" applyFill="1" applyBorder="1" applyAlignment="1">
      <alignment horizontal="left" vertical="center" wrapText="1"/>
    </xf>
    <xf numFmtId="49" fontId="12" fillId="0" borderId="4" xfId="0" applyNumberFormat="1" applyFont="1" applyFill="1" applyBorder="1" applyAlignment="1">
      <alignment vertical="center"/>
    </xf>
    <xf numFmtId="0" fontId="12" fillId="23" borderId="4" xfId="0" applyNumberFormat="1" applyFont="1" applyFill="1" applyBorder="1" applyAlignment="1">
      <alignment vertical="center"/>
    </xf>
    <xf numFmtId="0" fontId="12" fillId="23" borderId="0" xfId="0" applyNumberFormat="1" applyFont="1" applyFill="1" applyBorder="1" applyAlignment="1">
      <alignment vertical="center"/>
    </xf>
    <xf numFmtId="0" fontId="0" fillId="26" borderId="4" xfId="0" applyFill="1" applyBorder="1" applyAlignment="1">
      <alignment horizontal="center"/>
    </xf>
  </cellXfs>
  <cellStyles count="481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赤字強調" xfId="4"/>
    <cellStyle name="青字強調" xfId="3"/>
  </cellStyles>
  <dxfs count="46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3種族 攻撃力UP</v>
          </cell>
          <cell r="D205" t="str">
            <v>種族アニマル・ファンタジー・ヒーローの攻撃力を800UP</v>
          </cell>
        </row>
        <row r="206">
          <cell r="A206">
            <v>1604</v>
          </cell>
          <cell r="B206" t="str">
            <v>ja</v>
          </cell>
          <cell r="C206" t="str">
            <v>2種族 6ターン毎にタップ数増加</v>
          </cell>
          <cell r="D206" t="str">
            <v>最初の1ターン目と、その後6ターン毎にヒューマン・ファンタジーのタップ数1増加</v>
          </cell>
        </row>
        <row r="207">
          <cell r="A207">
            <v>1605</v>
          </cell>
          <cell r="B207" t="str">
            <v>ja</v>
          </cell>
          <cell r="C207" t="str">
            <v>攻撃力UP</v>
          </cell>
          <cell r="D207" t="str">
            <v>パーティーに体力かテクニカルタイプいる場合、全ユニット攻撃力400UP</v>
          </cell>
        </row>
        <row r="208">
          <cell r="A208">
            <v>1700</v>
          </cell>
          <cell r="B208" t="str">
            <v>ja</v>
          </cell>
          <cell r="C208" t="str">
            <v>パネルブレイク30 ターンHP小回復</v>
          </cell>
          <cell r="D208" t="str">
            <v>自身が先頭の時、1ターンの間に合計30個以上パネルを破壊した場合に1ターン HP小回復</v>
          </cell>
        </row>
        <row r="209">
          <cell r="A209">
            <v>1701</v>
          </cell>
          <cell r="B209" t="str">
            <v>ja</v>
          </cell>
          <cell r="C209" t="str">
            <v>5ターン毎、HP回復</v>
          </cell>
          <cell r="D209" t="str">
            <v>最初の1ターン目と、その後5ターン毎のターン終了時、HPを2500回復する</v>
          </cell>
        </row>
        <row r="210">
          <cell r="A210">
            <v>1702</v>
          </cell>
          <cell r="B210" t="str">
            <v>ja</v>
          </cell>
          <cell r="C210" t="str">
            <v>ターン経過攻撃力UP</v>
          </cell>
          <cell r="D210" t="str">
            <v>最初の1ターン目と、その後6ターン毎に1ターン種族ドラゴン・ファンタジー・アニマルの攻撃力を1000UP</v>
          </cell>
        </row>
        <row r="211">
          <cell r="A211">
            <v>1703</v>
          </cell>
          <cell r="B211" t="str">
            <v>ja</v>
          </cell>
          <cell r="C211" t="str">
            <v>隣接ユニット スキルターン短縮(8ターン)</v>
          </cell>
          <cell r="D211" t="str">
            <v>最初の1ターン目と、その後8ターン毎に右隣のユニットのスキルターンを1短縮</v>
          </cell>
        </row>
        <row r="212">
          <cell r="A212">
            <v>1704</v>
          </cell>
          <cell r="B212" t="str">
            <v>ja</v>
          </cell>
          <cell r="C212" t="str">
            <v>ターン経過回復力UP</v>
          </cell>
          <cell r="D212" t="str">
            <v>最初の1ターン目と、その後6ターン毎に1ターン自身と右隣のユニットの回復力を1500UP</v>
          </cell>
        </row>
        <row r="213">
          <cell r="A213">
            <v>1800</v>
          </cell>
          <cell r="B213" t="str">
            <v>ja</v>
          </cell>
          <cell r="C213" t="str">
            <v>フィーバー強化</v>
          </cell>
          <cell r="D213" t="str">
            <v>フィーバー時自身の攻撃力、回復力を特大UP</v>
          </cell>
        </row>
        <row r="214">
          <cell r="A214">
            <v>1900</v>
          </cell>
          <cell r="B214" t="str">
            <v>ja</v>
          </cell>
          <cell r="C214" t="str">
            <v>ハート出現率UP</v>
          </cell>
          <cell r="D214" t="str">
            <v>自身が先頭の時、ハートパネルの出現率UP</v>
          </cell>
        </row>
        <row r="215">
          <cell r="A215">
            <v>2000</v>
          </cell>
          <cell r="B215" t="str">
            <v>ja</v>
          </cell>
          <cell r="C215" t="str">
            <v>赤パネル出現率UP</v>
          </cell>
          <cell r="D215" t="str">
            <v>自身が先頭の時、赤パネルの出現率UP</v>
          </cell>
        </row>
        <row r="216">
          <cell r="A216">
            <v>2100</v>
          </cell>
          <cell r="B216" t="str">
            <v>ja</v>
          </cell>
          <cell r="C216" t="str">
            <v>緑パネル出現率UP</v>
          </cell>
          <cell r="D216" t="str">
            <v>自身が先頭の時、緑パネルの出現率UP</v>
          </cell>
        </row>
        <row r="217">
          <cell r="A217">
            <v>2101</v>
          </cell>
          <cell r="B217" t="str">
            <v>ja</v>
          </cell>
          <cell r="C217" t="str">
            <v>緑パネル出現率UP</v>
          </cell>
          <cell r="D217" t="str">
            <v>自身が先頭の時、緑パネルの出現率UP</v>
          </cell>
        </row>
        <row r="218">
          <cell r="A218">
            <v>2200</v>
          </cell>
          <cell r="B218" t="str">
            <v>ja</v>
          </cell>
          <cell r="C218" t="str">
            <v>青パネル出現率UP</v>
          </cell>
          <cell r="D218" t="str">
            <v>自身が先頭の時、青パネルの出現率UP</v>
          </cell>
        </row>
        <row r="219">
          <cell r="A219">
            <v>2201</v>
          </cell>
          <cell r="B219" t="str">
            <v>ja</v>
          </cell>
          <cell r="C219" t="str">
            <v>青パネル出現率UP</v>
          </cell>
          <cell r="D219" t="str">
            <v>自身が先頭の時、青パネルの出現率UP</v>
          </cell>
        </row>
        <row r="220">
          <cell r="A220">
            <v>2300</v>
          </cell>
          <cell r="B220" t="str">
            <v>ja</v>
          </cell>
          <cell r="C220" t="str">
            <v>黄パネル出現率UP</v>
          </cell>
          <cell r="D220" t="str">
            <v>自身が先頭の時、黄パネルの出現率UP</v>
          </cell>
        </row>
        <row r="221">
          <cell r="A221">
            <v>2400</v>
          </cell>
          <cell r="B221" t="str">
            <v>ja</v>
          </cell>
          <cell r="C221" t="str">
            <v>ハートボムパネルドロップ</v>
          </cell>
          <cell r="D221" t="str">
            <v>自身が先頭の時、ハートパネルを確率でハートボムパネルに変換しドロップ</v>
          </cell>
        </row>
        <row r="222">
          <cell r="A222">
            <v>2401</v>
          </cell>
          <cell r="B222" t="str">
            <v>ja</v>
          </cell>
          <cell r="C222" t="str">
            <v>赤ボムパネルドロップ</v>
          </cell>
          <cell r="D222" t="str">
            <v>自身が先頭の時、赤パネルを低確率で赤ボムパネルに変換しドロップ</v>
          </cell>
        </row>
        <row r="223">
          <cell r="A223">
            <v>2402</v>
          </cell>
          <cell r="B223" t="str">
            <v>ja</v>
          </cell>
          <cell r="C223" t="str">
            <v>緑ボムパネルドロップ</v>
          </cell>
          <cell r="D223" t="str">
            <v>自身が先頭の時、緑パネルを低確率で緑ボムパネルに変換しドロップ</v>
          </cell>
        </row>
        <row r="224">
          <cell r="A224">
            <v>2403</v>
          </cell>
          <cell r="B224" t="str">
            <v>ja</v>
          </cell>
          <cell r="C224" t="str">
            <v>青ボムパネルドロップ</v>
          </cell>
          <cell r="D224" t="str">
            <v>自身が先頭の時、青パネルを確率で青ボムパネルに変換しドロップ</v>
          </cell>
        </row>
        <row r="225">
          <cell r="A225">
            <v>2500</v>
          </cell>
          <cell r="B225" t="str">
            <v>ja</v>
          </cell>
          <cell r="C225" t="str">
            <v>青パネルドロップ</v>
          </cell>
          <cell r="D225" t="str">
            <v>自身が先頭の時、緑パネルを確率で青パネルに変換しドロップ</v>
          </cell>
        </row>
        <row r="226">
          <cell r="A226">
            <v>2501</v>
          </cell>
          <cell r="B226" t="str">
            <v>ja</v>
          </cell>
          <cell r="C226" t="str">
            <v>黄パネルドロップ</v>
          </cell>
          <cell r="D226" t="str">
            <v>自身が先頭の時、青パネルを確率で黄パネルに変換しドロップ</v>
          </cell>
        </row>
        <row r="227">
          <cell r="A227">
            <v>2502</v>
          </cell>
          <cell r="B227" t="str">
            <v>ja</v>
          </cell>
          <cell r="C227" t="str">
            <v>赤パネルドロップ</v>
          </cell>
          <cell r="D227" t="str">
            <v>自身が先頭の時、黄パネルを確率で赤パネルに変換しドロップ</v>
          </cell>
        </row>
        <row r="228">
          <cell r="A228">
            <v>2503</v>
          </cell>
          <cell r="B228" t="str">
            <v>ja</v>
          </cell>
          <cell r="C228" t="str">
            <v>黄パネルドロップ</v>
          </cell>
          <cell r="D228" t="str">
            <v>自身が先頭の時、赤パネルを確率で黄パネルに変換しドロップ</v>
          </cell>
        </row>
        <row r="229">
          <cell r="A229">
            <v>2504</v>
          </cell>
          <cell r="B229" t="str">
            <v>ja</v>
          </cell>
          <cell r="C229" t="str">
            <v>SCパネルドロップ</v>
          </cell>
          <cell r="D229" t="str">
            <v>自身が先頭の時、緑パネルを確率でSCパネルに変換しドロップ</v>
          </cell>
        </row>
        <row r="230">
          <cell r="A230">
            <v>2505</v>
          </cell>
          <cell r="B230" t="str">
            <v>ja</v>
          </cell>
          <cell r="C230" t="str">
            <v>緑ボムパネル(大)ドロップ</v>
          </cell>
          <cell r="D230" t="str">
            <v>自身が先頭の時、低確率で緑ボムパネル(大)をドロップ</v>
          </cell>
        </row>
        <row r="231">
          <cell r="A231">
            <v>2506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2507</v>
          </cell>
          <cell r="B232" t="str">
            <v>ja</v>
          </cell>
          <cell r="C232" t="str">
            <v>Cパネルドロップ</v>
          </cell>
          <cell r="D232" t="str">
            <v>自身が先頭の時、低確率でCパネルをドロップ</v>
          </cell>
        </row>
        <row r="233">
          <cell r="A233">
            <v>2508</v>
          </cell>
          <cell r="B233" t="str">
            <v>ja</v>
          </cell>
          <cell r="C233" t="str">
            <v>黄パネルドロップ</v>
          </cell>
          <cell r="D233" t="str">
            <v>自身が先頭の時、緑パネルを確率で黄パネルに変換しドロップ</v>
          </cell>
        </row>
        <row r="234">
          <cell r="A234">
            <v>2509</v>
          </cell>
          <cell r="B234" t="str">
            <v>ja</v>
          </cell>
          <cell r="C234" t="str">
            <v>赤ボムパネル(大)ドロップ</v>
          </cell>
          <cell r="D234" t="str">
            <v>自身が先頭の時、低確率で赤ボムパネル(大)をドロップ</v>
          </cell>
        </row>
        <row r="235">
          <cell r="A235">
            <v>2510</v>
          </cell>
          <cell r="B235" t="str">
            <v>ja</v>
          </cell>
          <cell r="C235" t="str">
            <v>青ボムパネル(大)ドロップ</v>
          </cell>
          <cell r="D235" t="str">
            <v>自身が先頭の時、低確率で青ボムパネル(大)をドロップ</v>
          </cell>
        </row>
        <row r="236">
          <cell r="A236">
            <v>2511</v>
          </cell>
          <cell r="B236" t="str">
            <v>ja</v>
          </cell>
          <cell r="C236" t="str">
            <v>緑ボムパネルドロップ</v>
          </cell>
          <cell r="D236" t="str">
            <v>自身が先頭の時、ハートパネルを確率で緑ボムパネルに変換しドロップ</v>
          </cell>
        </row>
        <row r="237">
          <cell r="A237">
            <v>2512</v>
          </cell>
          <cell r="B237" t="str">
            <v>ja</v>
          </cell>
          <cell r="C237" t="str">
            <v>ハートボムパネル(大)ドロップ</v>
          </cell>
          <cell r="D237" t="str">
            <v>自身が先頭の時、低確率でハートボムパネル(大)をドロップ</v>
          </cell>
        </row>
        <row r="238">
          <cell r="A238">
            <v>2513</v>
          </cell>
          <cell r="B238" t="str">
            <v>ja</v>
          </cell>
          <cell r="C238" t="str">
            <v>緑ボムパネル(大)ドロップ</v>
          </cell>
          <cell r="D238" t="str">
            <v>自身が先頭の時、低確率で緑ボムパネル(大)をドロップ</v>
          </cell>
        </row>
        <row r="239">
          <cell r="A239">
            <v>2514</v>
          </cell>
          <cell r="B239" t="str">
            <v>ja</v>
          </cell>
          <cell r="C239" t="str">
            <v>赤ボムパネルドロップ</v>
          </cell>
          <cell r="D239" t="str">
            <v>自身が先頭の時、青パネルを低確率で赤ボムパネルに変換しドロップ</v>
          </cell>
        </row>
        <row r="240">
          <cell r="A240">
            <v>2600</v>
          </cell>
          <cell r="B240" t="str">
            <v>ja</v>
          </cell>
          <cell r="C240" t="str">
            <v>回復力400UP</v>
          </cell>
          <cell r="D240" t="str">
            <v>自身の回復力を400UP</v>
          </cell>
        </row>
        <row r="241">
          <cell r="A241">
            <v>2601</v>
          </cell>
          <cell r="B241" t="str">
            <v>ja</v>
          </cell>
          <cell r="C241" t="str">
            <v>回復力300UP</v>
          </cell>
          <cell r="D241" t="str">
            <v>自身の回復力を300UP</v>
          </cell>
        </row>
        <row r="242">
          <cell r="A242">
            <v>2700</v>
          </cell>
          <cell r="B242" t="str">
            <v>ja</v>
          </cell>
          <cell r="C242" t="str">
            <v>攻撃力UP</v>
          </cell>
          <cell r="D242" t="str">
            <v>自身の攻撃力を300UP</v>
          </cell>
        </row>
        <row r="243">
          <cell r="A243">
            <v>2701</v>
          </cell>
          <cell r="B243" t="str">
            <v>ja</v>
          </cell>
          <cell r="C243" t="str">
            <v>攻撃力UP</v>
          </cell>
          <cell r="D243" t="str">
            <v>自身の攻撃力を500UP</v>
          </cell>
        </row>
        <row r="244">
          <cell r="A244">
            <v>2800</v>
          </cell>
          <cell r="B244" t="str">
            <v>ja</v>
          </cell>
          <cell r="C244" t="str">
            <v>防御力UP</v>
          </cell>
          <cell r="D244" t="str">
            <v>自身の防御力を250UP</v>
          </cell>
        </row>
        <row r="245">
          <cell r="A245">
            <v>2801</v>
          </cell>
          <cell r="B245" t="str">
            <v>ja</v>
          </cell>
          <cell r="C245" t="str">
            <v>防御力UP</v>
          </cell>
          <cell r="D245" t="str">
            <v>自身の防御力を350UP</v>
          </cell>
        </row>
        <row r="246">
          <cell r="A246">
            <v>2802</v>
          </cell>
          <cell r="B246" t="str">
            <v>ja</v>
          </cell>
          <cell r="C246" t="str">
            <v>防御力UP</v>
          </cell>
          <cell r="D246" t="str">
            <v>自身の防御力を300UP</v>
          </cell>
        </row>
        <row r="247">
          <cell r="A247">
            <v>2803</v>
          </cell>
          <cell r="B247" t="str">
            <v>ja</v>
          </cell>
          <cell r="C247" t="str">
            <v>防御力UP</v>
          </cell>
          <cell r="D247" t="str">
            <v>自身の防御力を400UP</v>
          </cell>
        </row>
        <row r="248">
          <cell r="A248">
            <v>2804</v>
          </cell>
          <cell r="B248" t="str">
            <v>ja</v>
          </cell>
          <cell r="C248" t="str">
            <v>防御力UP</v>
          </cell>
          <cell r="D248" t="str">
            <v>自身の防御力を280UP</v>
          </cell>
        </row>
        <row r="249">
          <cell r="A249">
            <v>2805</v>
          </cell>
          <cell r="B249" t="str">
            <v>ja</v>
          </cell>
          <cell r="C249" t="str">
            <v>3ターン毎、防御力UP</v>
          </cell>
          <cell r="D249" t="str">
            <v>最初の1ターン目と、その後3ターン毎に1ターン緑属性ユニットの防御力を500UP</v>
          </cell>
        </row>
        <row r="250">
          <cell r="A250">
            <v>2900</v>
          </cell>
          <cell r="B250" t="str">
            <v>ja</v>
          </cell>
          <cell r="C250" t="str">
            <v>フィーバー50 攻撃力小UP</v>
          </cell>
          <cell r="D250" t="str">
            <v>フィーバーゲージが50％以上の時、自身の攻撃力小UP</v>
          </cell>
        </row>
        <row r="251">
          <cell r="A251">
            <v>2901</v>
          </cell>
          <cell r="B251" t="str">
            <v>ja</v>
          </cell>
          <cell r="C251" t="str">
            <v>フィーバー40 攻撃力UP</v>
          </cell>
          <cell r="D251" t="str">
            <v>フィーバーゲージが40％以上の時、自身の攻撃力UP</v>
          </cell>
        </row>
        <row r="252">
          <cell r="A252">
            <v>2902</v>
          </cell>
          <cell r="B252" t="str">
            <v>ja</v>
          </cell>
          <cell r="C252" t="str">
            <v>フィーバー80 攻撃力大UP</v>
          </cell>
          <cell r="D252" t="str">
            <v>フィーバーゲージが80％以上の時、自身の攻撃力大UP</v>
          </cell>
        </row>
        <row r="253">
          <cell r="A253">
            <v>2903</v>
          </cell>
          <cell r="B253" t="str">
            <v>ja</v>
          </cell>
          <cell r="C253" t="str">
            <v>フィーバー100 攻撃参加</v>
          </cell>
          <cell r="D253" t="str">
            <v>フィーバーゲージが100％の時、自身が先頭以外でも通常攻撃に参加する</v>
          </cell>
        </row>
        <row r="254">
          <cell r="A254">
            <v>2904</v>
          </cell>
          <cell r="B254" t="str">
            <v>ja</v>
          </cell>
          <cell r="C254" t="str">
            <v>フィーバー70 HP回復</v>
          </cell>
          <cell r="D254" t="str">
            <v>フィーバーゲージが70%以上の時、毎ターン終了時、HPを1500回復する</v>
          </cell>
        </row>
        <row r="255">
          <cell r="A255">
            <v>2905</v>
          </cell>
          <cell r="B255" t="str">
            <v>ja</v>
          </cell>
          <cell r="C255" t="str">
            <v>フィーバー100 Cパネル生成短縮</v>
          </cell>
          <cell r="D255" t="str">
            <v>フィーバーゲージが100％の時、全ユニットのCパネル生成に必要なチェイン数を1短縮する</v>
          </cell>
        </row>
        <row r="256">
          <cell r="A256">
            <v>3000</v>
          </cell>
          <cell r="B256" t="str">
            <v>ja</v>
          </cell>
          <cell r="C256" t="str">
            <v>7ターン毎、攻撃参加</v>
          </cell>
          <cell r="D256" t="str">
            <v>最初の1ターン目と、その後7ターン毎に自身が先頭以外でも通常攻撃に参加する</v>
          </cell>
        </row>
        <row r="257">
          <cell r="A257">
            <v>3001</v>
          </cell>
          <cell r="B257" t="str">
            <v>ja</v>
          </cell>
          <cell r="C257" t="str">
            <v>6ターン毎、攻撃参加</v>
          </cell>
          <cell r="D257" t="str">
            <v>最初の1ターン目と、その後6ターン毎に自身が先頭以外でも通常攻撃に参加する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最終フロアの毎ターン終了時にパーティの合計HPの5%を回復する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3108</v>
          </cell>
          <cell r="B267" t="str">
            <v>ja</v>
          </cell>
          <cell r="C267" t="str">
            <v>最終フロア時 バリア8000</v>
          </cell>
          <cell r="D267" t="str">
            <v>最終フロア到達時に自身への直接ダメージを8000まで防ぐバリアを一度だけ展開(バリアは破壊されると復活しない)</v>
          </cell>
        </row>
        <row r="268">
          <cell r="A268">
            <v>3200</v>
          </cell>
          <cell r="B268" t="str">
            <v>ja</v>
          </cell>
          <cell r="C268" t="str">
            <v>HP33%以下 攻撃力UP</v>
          </cell>
          <cell r="D268" t="str">
            <v>自身が先頭の時、残りHPが33%以下で攻撃力特大UP</v>
          </cell>
        </row>
        <row r="269">
          <cell r="A269">
            <v>3201</v>
          </cell>
          <cell r="B269" t="str">
            <v>ja</v>
          </cell>
          <cell r="C269" t="str">
            <v>HP35%以下 回復力UP</v>
          </cell>
          <cell r="D269" t="str">
            <v>自身が先頭の時、残りHPが35%以下で回復力40%UP</v>
          </cell>
        </row>
        <row r="270">
          <cell r="A270">
            <v>3202</v>
          </cell>
          <cell r="B270" t="str">
            <v>ja</v>
          </cell>
          <cell r="C270" t="str">
            <v>HP90%以上 全属性耐性15</v>
          </cell>
          <cell r="D270" t="str">
            <v>自身が先頭の時、残りHPが90%以上で全ユニットに対する全属性の敵からの攻撃を15％軽減</v>
          </cell>
        </row>
        <row r="271">
          <cell r="A271">
            <v>3203</v>
          </cell>
          <cell r="B271" t="str">
            <v>ja</v>
          </cell>
          <cell r="C271" t="str">
            <v>HP50%以下 防御力UP</v>
          </cell>
          <cell r="D271" t="str">
            <v>自身が先頭の時、残りHPが50%以下で防御力398UP</v>
          </cell>
        </row>
        <row r="272">
          <cell r="A272">
            <v>3204</v>
          </cell>
          <cell r="B272" t="str">
            <v>ja</v>
          </cell>
          <cell r="C272" t="str">
            <v>HP30%以下 攻撃力大UP</v>
          </cell>
          <cell r="D272" t="str">
            <v>自身が先頭の時、残りHPが30%以下で攻撃力大UP</v>
          </cell>
        </row>
        <row r="273">
          <cell r="A273">
            <v>3205</v>
          </cell>
          <cell r="B273" t="str">
            <v>ja</v>
          </cell>
          <cell r="C273" t="str">
            <v>HP90%以上 ダメージ軽減</v>
          </cell>
          <cell r="D273" t="str">
            <v>残りHPが90%以上の時、全ユニットが敵からの攻撃を15％軽減</v>
          </cell>
        </row>
        <row r="274">
          <cell r="A274">
            <v>3206</v>
          </cell>
          <cell r="B274" t="str">
            <v>ja</v>
          </cell>
          <cell r="C274" t="str">
            <v>HP30%以下 回復力UP</v>
          </cell>
          <cell r="D274" t="str">
            <v>残りHPが30%以下の時、全ユニットの回復力20%UP</v>
          </cell>
        </row>
        <row r="275">
          <cell r="A275">
            <v>3207</v>
          </cell>
          <cell r="B275" t="str">
            <v>ja</v>
          </cell>
          <cell r="C275" t="str">
            <v>HP50%以下 回復力UP</v>
          </cell>
          <cell r="D275" t="str">
            <v>残りHPが50%以下の時、全ユニットの回復力365UP</v>
          </cell>
        </row>
        <row r="276">
          <cell r="A276">
            <v>3208</v>
          </cell>
          <cell r="B276" t="str">
            <v>ja</v>
          </cell>
          <cell r="C276" t="str">
            <v>HP35%以下 防御力UP</v>
          </cell>
          <cell r="D276" t="str">
            <v>残りHPが35%以下の時、自身の防御力800UP</v>
          </cell>
        </row>
        <row r="277">
          <cell r="A277">
            <v>4000</v>
          </cell>
          <cell r="B277" t="str">
            <v>ja</v>
          </cell>
          <cell r="C277" t="str">
            <v>被ダメージ時 HP回復</v>
          </cell>
          <cell r="D277" t="str">
            <v>自身が攻撃を受けた場合、次のターンの開始時にHP500回復する</v>
          </cell>
        </row>
        <row r="278">
          <cell r="A278">
            <v>5000</v>
          </cell>
          <cell r="B278" t="str">
            <v>ja</v>
          </cell>
          <cell r="C278" t="str">
            <v>パーティー内ゴッド 攻撃力UP</v>
          </cell>
          <cell r="D278" t="str">
            <v>パーティー内に種族ゴッドがいる時、全ユニットの攻撃力を500UP</v>
          </cell>
        </row>
        <row r="279">
          <cell r="A279">
            <v>5001</v>
          </cell>
          <cell r="B279" t="str">
            <v>ja</v>
          </cell>
          <cell r="C279" t="str">
            <v>パーティー内バランス 回復力UP</v>
          </cell>
          <cell r="D279" t="str">
            <v>パーティー内にバランスタイプがいる時、全ユニットの回復力を500UP</v>
          </cell>
        </row>
        <row r="280">
          <cell r="A280">
            <v>5002</v>
          </cell>
          <cell r="B280" t="str">
            <v>ja</v>
          </cell>
          <cell r="C280" t="str">
            <v>パーティー内青属性 攻撃力UP</v>
          </cell>
          <cell r="D280" t="str">
            <v>パーティー内に青属性ユニットがいる時、全ユニットの攻撃力を700UP</v>
          </cell>
        </row>
        <row r="281">
          <cell r="A281">
            <v>5003</v>
          </cell>
          <cell r="B281" t="str">
            <v>ja</v>
          </cell>
          <cell r="C281" t="str">
            <v>パーティー内赤属性 自身攻撃力UP</v>
          </cell>
          <cell r="D281" t="str">
            <v>パーティー内に赤属性ユニットがいる時、自身の攻撃力を1500UP</v>
          </cell>
        </row>
        <row r="282">
          <cell r="A282">
            <v>8000</v>
          </cell>
          <cell r="B282" t="str">
            <v>ja</v>
          </cell>
          <cell r="C282" t="str">
            <v>ユニットが一番右にいるとき 攻撃力UP</v>
          </cell>
          <cell r="D282" t="str">
            <v>自身が一番右にいる場合、全ユニットの攻撃力UP</v>
          </cell>
        </row>
        <row r="283">
          <cell r="A283">
            <v>8001</v>
          </cell>
          <cell r="B283" t="str">
            <v>ja</v>
          </cell>
          <cell r="C283" t="str">
            <v>敵に青属性がいる場合 小カウンター</v>
          </cell>
          <cell r="D283" t="str">
            <v>敵に青属性がいる場合、小カウンター</v>
          </cell>
        </row>
        <row r="284">
          <cell r="A284">
            <v>8002</v>
          </cell>
          <cell r="B284" t="str">
            <v>ja</v>
          </cell>
          <cell r="C284" t="str">
            <v>テスト</v>
          </cell>
          <cell r="D284" t="str">
            <v>フロアスタート時、1ターン全ユニットの攻撃力UP</v>
          </cell>
        </row>
        <row r="285">
          <cell r="A285">
            <v>8003</v>
          </cell>
          <cell r="B285" t="str">
            <v>ja</v>
          </cell>
          <cell r="C285" t="str">
            <v>HP70%以上 ウィルス無効</v>
          </cell>
          <cell r="D285" t="str">
            <v>残りHPが70%以上で自身にかかるウィルスを無効化する</v>
          </cell>
        </row>
        <row r="286">
          <cell r="A286">
            <v>8004</v>
          </cell>
          <cell r="B286" t="str">
            <v>ja</v>
          </cell>
          <cell r="C286" t="str">
            <v>フロアスタート時 スキルブースト</v>
          </cell>
          <cell r="D286" t="str">
            <v>フロアスタート時、1ターンスキルブースト</v>
          </cell>
        </row>
        <row r="287">
          <cell r="A287">
            <v>8005</v>
          </cell>
          <cell r="B287" t="str">
            <v>ja</v>
          </cell>
          <cell r="C287" t="str">
            <v>ハートがハートボム大</v>
          </cell>
          <cell r="D287" t="str">
            <v>ハートがハートボム大</v>
          </cell>
        </row>
        <row r="288">
          <cell r="A288">
            <v>8006</v>
          </cell>
          <cell r="B288" t="str">
            <v>ja</v>
          </cell>
          <cell r="C288" t="str">
            <v>攻撃、回復、体力のCP短縮1</v>
          </cell>
          <cell r="D288" t="str">
            <v>攻撃、回復、体力のCP短縮1</v>
          </cell>
        </row>
        <row r="289">
          <cell r="A289">
            <v>8007</v>
          </cell>
          <cell r="B289" t="str">
            <v>ja</v>
          </cell>
          <cell r="C289" t="str">
            <v>自身の左ユニットが攻撃参加</v>
          </cell>
          <cell r="D289" t="str">
            <v>自身の左ユニットが攻撃参加</v>
          </cell>
        </row>
        <row r="290">
          <cell r="A290">
            <v>8008</v>
          </cell>
          <cell r="B290" t="str">
            <v>ja</v>
          </cell>
          <cell r="C290" t="str">
            <v>ターン経過回復力UP</v>
          </cell>
          <cell r="D290" t="str">
            <v>最初の1ターン目と、その後4ターン毎に2ターン全ユニットの回復力を1500UP</v>
          </cell>
        </row>
        <row r="291">
          <cell r="A291">
            <v>8009</v>
          </cell>
          <cell r="B291" t="str">
            <v>ja</v>
          </cell>
          <cell r="C291" t="str">
            <v>最終フロア Cパネル生成短縮(特大)</v>
          </cell>
          <cell r="D291" t="str">
            <v>最終フロア内で自身が先頭の時、Cパネル生成に必要なチェイン数を4短縮する</v>
          </cell>
        </row>
        <row r="292">
          <cell r="A292">
            <v>9000</v>
          </cell>
          <cell r="B292" t="str">
            <v>ja</v>
          </cell>
          <cell r="C292" t="str">
            <v>ハップルチャレンジ ダメージUP</v>
          </cell>
          <cell r="D292" t="str">
            <v>ハップルチャレンジ内で自身の全ての攻撃の威力をUP</v>
          </cell>
        </row>
        <row r="293">
          <cell r="A293">
            <v>9001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クロネッカーチャレンジ内で自身の全ての攻撃の威力をUP</v>
          </cell>
        </row>
        <row r="294">
          <cell r="A294">
            <v>9002</v>
          </cell>
          <cell r="B294" t="str">
            <v>ja</v>
          </cell>
          <cell r="C294" t="str">
            <v>クロネッカーチャレンジ ダメージUP</v>
          </cell>
          <cell r="D294" t="str">
            <v>クロネッカーチャレンジ内で自身の全ての攻撃+カウンターの威力をUP</v>
          </cell>
        </row>
        <row r="295">
          <cell r="A295">
            <v>9003</v>
          </cell>
          <cell r="B295" t="str">
            <v>ja</v>
          </cell>
          <cell r="C295" t="str">
            <v>オイラーチャレンジ ダメージUP</v>
          </cell>
          <cell r="D295" t="str">
            <v>オイラーチャレンジ内で自身の全ての攻撃の威力をUP</v>
          </cell>
        </row>
        <row r="296">
          <cell r="A296">
            <v>9004</v>
          </cell>
          <cell r="B296" t="str">
            <v>ja</v>
          </cell>
          <cell r="C296" t="str">
            <v>オイラーチャレンジ ダメージ究極UP</v>
          </cell>
          <cell r="D296" t="str">
            <v>オイラーチャレンジ内で自身の全ての攻撃の威力を究極UP</v>
          </cell>
        </row>
        <row r="297">
          <cell r="A297">
            <v>9005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ヘンペルチャレンジ内で自身の全ての攻撃の威力をUP</v>
          </cell>
        </row>
        <row r="298">
          <cell r="A298">
            <v>9006</v>
          </cell>
          <cell r="B298" t="str">
            <v>ja</v>
          </cell>
          <cell r="C298" t="str">
            <v>ヘンペルチャレンジ ダメージUP</v>
          </cell>
          <cell r="D298" t="str">
            <v>ヘンペルチャレンジ内で自身の全ての攻撃+カウンターの威力をUP</v>
          </cell>
        </row>
        <row r="299">
          <cell r="A299">
            <v>9007</v>
          </cell>
          <cell r="B299" t="str">
            <v>ja</v>
          </cell>
          <cell r="C299" t="str">
            <v>フロイトチャレンジ ダメージ究極UP</v>
          </cell>
          <cell r="D299" t="str">
            <v>フロイトチャレンジ内で自身の全ての攻撃の威力を究極UP</v>
          </cell>
        </row>
        <row r="300">
          <cell r="A300">
            <v>9008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フロイトチャレンジ内で自身の全ての攻撃の威力をUP</v>
          </cell>
        </row>
        <row r="301">
          <cell r="A301">
            <v>9009</v>
          </cell>
          <cell r="B301" t="str">
            <v>ja</v>
          </cell>
          <cell r="C301" t="str">
            <v>フロイトチャレンジ ダメージUP</v>
          </cell>
          <cell r="D301" t="str">
            <v>フロイトチャレンジ内で自身の全ての攻撃+カウンターの威力をUP</v>
          </cell>
        </row>
        <row r="302">
          <cell r="A302">
            <v>9010</v>
          </cell>
          <cell r="B302" t="str">
            <v>ja</v>
          </cell>
          <cell r="C302" t="str">
            <v>ウエディングクエスト ダメージUP</v>
          </cell>
          <cell r="D302" t="str">
            <v>ウエディングクエスト内で自身の全ての攻撃の威力をUP</v>
          </cell>
        </row>
        <row r="303">
          <cell r="A303">
            <v>9011</v>
          </cell>
          <cell r="B303" t="str">
            <v>ja</v>
          </cell>
          <cell r="C303" t="str">
            <v>クリスマスクエストダメージUP</v>
          </cell>
          <cell r="D303" t="str">
            <v>クリスマスクエスト内で自身の全ての攻撃の威力をUP</v>
          </cell>
        </row>
        <row r="304">
          <cell r="A304">
            <v>119402</v>
          </cell>
          <cell r="B304" t="str">
            <v>ja</v>
          </cell>
          <cell r="C304" t="str">
            <v>ハロウィンナイトパニック！ 威力UP</v>
          </cell>
          <cell r="D304" t="str">
            <v>ハロウィンナイトパニック！内で自身の全ての攻撃の威力を究極UP</v>
          </cell>
        </row>
        <row r="305">
          <cell r="A305">
            <v>500801</v>
          </cell>
          <cell r="B305" t="str">
            <v>ja</v>
          </cell>
          <cell r="C305" t="str">
            <v>パネルブレイク35 攻撃力小UP</v>
          </cell>
          <cell r="D305" t="str">
            <v>自身が先頭の時、1ターンの間に合計35個以上パネルを破壊した場合に攻撃力小UP</v>
          </cell>
        </row>
        <row r="306">
          <cell r="A306">
            <v>808082</v>
          </cell>
          <cell r="B306" t="str">
            <v>ja</v>
          </cell>
          <cell r="C306" t="str">
            <v>Cパネルドロップ</v>
          </cell>
          <cell r="D306" t="str">
            <v>自身が先頭の時、低確率でCパネルをドロップ</v>
          </cell>
        </row>
        <row r="307">
          <cell r="A307">
            <v>900000</v>
          </cell>
          <cell r="B307" t="str">
            <v>ja</v>
          </cell>
          <cell r="C307" t="str">
            <v>フィーバー100 プロテクトブレイク</v>
          </cell>
          <cell r="D307" t="str">
            <v>フィーバーゲージが100％以上の時、1ターンプロテクトブレイク</v>
          </cell>
        </row>
        <row r="308">
          <cell r="A308">
            <v>900001</v>
          </cell>
          <cell r="B308" t="str">
            <v>ja</v>
          </cell>
          <cell r="C308" t="str">
            <v>フィーバー100 お邪魔ブレイク</v>
          </cell>
          <cell r="D308" t="str">
            <v>フィーバーゲージが100％以上の時、1ターンお邪魔ブレイク</v>
          </cell>
        </row>
        <row r="309">
          <cell r="A309">
            <v>900402</v>
          </cell>
          <cell r="B309" t="str">
            <v>ja</v>
          </cell>
          <cell r="C309" t="str">
            <v>バリア3500</v>
          </cell>
          <cell r="D309" t="str">
            <v>戦闘開始時に、自身への直接ダメージを3500まで防ぐバリアを一度だけ展開(バリアは破壊されると復活しない)</v>
          </cell>
        </row>
        <row r="310">
          <cell r="A310">
            <v>810202</v>
          </cell>
          <cell r="B310" t="str">
            <v>ja</v>
          </cell>
          <cell r="C310" t="str">
            <v>パネルブレイク50 ダメージ軽減</v>
          </cell>
          <cell r="D310" t="str">
            <v>自身が先頭の時、1ターンの間に合計50個以上パネルを破壊した場合敵からのダメージを15%軽減（1ターンに1度だけ発動）</v>
          </cell>
        </row>
        <row r="311">
          <cell r="A311">
            <v>811802</v>
          </cell>
          <cell r="B311" t="str">
            <v>ja</v>
          </cell>
          <cell r="C311" t="str">
            <v>ターン攻撃力UP</v>
          </cell>
          <cell r="D311" t="str">
            <v>最初の1ターン目と、その後6ターン毎に1ターン種族ドラゴン・ファンタジー・アニマルの攻撃力1000UP</v>
          </cell>
        </row>
        <row r="312">
          <cell r="A312">
            <v>812002</v>
          </cell>
          <cell r="B312" t="str">
            <v>ja</v>
          </cell>
          <cell r="C312" t="str">
            <v>ターンタップ増加</v>
          </cell>
          <cell r="D312" t="str">
            <v>最初の1ターン目と、その後6ターン毎に1ターン種族ドラゴン・ファンタジー・アニマルのタップ数1増加</v>
          </cell>
        </row>
        <row r="313">
          <cell r="A313">
            <v>811803</v>
          </cell>
          <cell r="B313" t="str">
            <v>ja</v>
          </cell>
          <cell r="C313" t="str">
            <v>端午クエスト ダメージUP</v>
          </cell>
          <cell r="D313" t="str">
            <v>端午クエスト内で自身の全ての攻撃の威力をUP</v>
          </cell>
        </row>
        <row r="314">
          <cell r="A314">
            <v>900802</v>
          </cell>
          <cell r="B314" t="str">
            <v>ja</v>
          </cell>
          <cell r="C314" t="str">
            <v>ターン攻撃力UP</v>
          </cell>
          <cell r="D314" t="str">
            <v>最初の1ターン目と、その後7ターン毎に1ターン赤属性の攻撃力777UP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K14" sqref="K1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120</v>
      </c>
      <c r="B1" s="107" t="s">
        <v>111</v>
      </c>
      <c r="C1" s="107" t="s">
        <v>112</v>
      </c>
      <c r="D1" s="107" t="s">
        <v>113</v>
      </c>
      <c r="E1" s="107" t="s">
        <v>114</v>
      </c>
      <c r="F1" s="107" t="s">
        <v>115</v>
      </c>
      <c r="G1" s="107" t="s">
        <v>116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241</v>
      </c>
      <c r="B2" s="109" t="s">
        <v>122</v>
      </c>
      <c r="C2" s="165" t="s">
        <v>313</v>
      </c>
      <c r="D2" s="109" t="s">
        <v>121</v>
      </c>
      <c r="E2" s="108" t="str">
        <f>B2&amp;C2&amp;D2</f>
        <v>units_wiz_unit.tmp</v>
      </c>
      <c r="F2" s="109" t="s">
        <v>119</v>
      </c>
      <c r="G2" s="63" t="s">
        <v>17</v>
      </c>
      <c r="H2" s="64" t="s">
        <v>92</v>
      </c>
      <c r="I2" s="64" t="s">
        <v>1</v>
      </c>
      <c r="J2" s="64" t="s">
        <v>3</v>
      </c>
      <c r="K2" s="64" t="s">
        <v>2</v>
      </c>
      <c r="L2" s="64" t="s">
        <v>94</v>
      </c>
      <c r="M2" s="64" t="s">
        <v>20</v>
      </c>
      <c r="N2" s="64" t="s">
        <v>98</v>
      </c>
      <c r="O2" s="64" t="s">
        <v>96</v>
      </c>
      <c r="P2" s="64" t="s">
        <v>38</v>
      </c>
      <c r="Q2" s="64" t="s">
        <v>53</v>
      </c>
      <c r="R2" s="109" t="s">
        <v>445</v>
      </c>
      <c r="S2" s="109"/>
      <c r="T2" s="109"/>
      <c r="U2" s="109"/>
      <c r="V2" s="109"/>
      <c r="W2" s="109"/>
    </row>
    <row r="3" spans="1:29" x14ac:dyDescent="0.15">
      <c r="A3" s="109" t="s">
        <v>241</v>
      </c>
      <c r="B3" s="109" t="s">
        <v>283</v>
      </c>
      <c r="C3" s="165" t="s">
        <v>313</v>
      </c>
      <c r="D3" s="109" t="s">
        <v>284</v>
      </c>
      <c r="E3" s="108" t="str">
        <f>B3&amp;C3&amp;D3</f>
        <v>fork_awake_units_wiz_unit.tmp</v>
      </c>
      <c r="F3" s="109" t="s">
        <v>299</v>
      </c>
      <c r="G3" s="193" t="s">
        <v>179</v>
      </c>
      <c r="H3" s="194" t="s">
        <v>285</v>
      </c>
      <c r="I3" s="194" t="s">
        <v>286</v>
      </c>
      <c r="J3" s="111" t="s">
        <v>287</v>
      </c>
      <c r="K3" s="195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</row>
    <row r="4" spans="1:29" x14ac:dyDescent="0.15">
      <c r="A4" s="109" t="s">
        <v>241</v>
      </c>
      <c r="B4" s="109" t="s">
        <v>288</v>
      </c>
      <c r="C4" s="165" t="s">
        <v>313</v>
      </c>
      <c r="D4" s="109" t="s">
        <v>289</v>
      </c>
      <c r="E4" s="108" t="str">
        <f>B4&amp;C4&amp;D4</f>
        <v>awake_materials_wiz_unit.tmp</v>
      </c>
      <c r="F4" s="109" t="s">
        <v>296</v>
      </c>
      <c r="G4" s="193" t="s">
        <v>290</v>
      </c>
      <c r="H4" s="194" t="s">
        <v>36</v>
      </c>
      <c r="I4" s="194" t="s">
        <v>37</v>
      </c>
      <c r="J4" s="111" t="s">
        <v>291</v>
      </c>
      <c r="K4" s="195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</row>
    <row r="5" spans="1:29" x14ac:dyDescent="0.15">
      <c r="A5" s="109" t="s">
        <v>241</v>
      </c>
      <c r="B5" s="109" t="s">
        <v>292</v>
      </c>
      <c r="C5" s="165" t="s">
        <v>313</v>
      </c>
      <c r="D5" s="109" t="s">
        <v>284</v>
      </c>
      <c r="E5" s="108" t="str">
        <f>B5&amp;C5&amp;D5</f>
        <v>fork_awake_materials_wiz_unit.tmp</v>
      </c>
      <c r="F5" s="109" t="s">
        <v>118</v>
      </c>
      <c r="G5" s="193" t="s">
        <v>264</v>
      </c>
      <c r="H5" s="194" t="s">
        <v>285</v>
      </c>
      <c r="I5" s="194" t="s">
        <v>293</v>
      </c>
      <c r="J5" s="194" t="s">
        <v>37</v>
      </c>
      <c r="K5" s="111" t="s">
        <v>294</v>
      </c>
      <c r="L5" s="111" t="s">
        <v>295</v>
      </c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</row>
    <row r="6" spans="1:29" x14ac:dyDescent="0.15">
      <c r="A6" s="109" t="s">
        <v>241</v>
      </c>
      <c r="B6" s="109" t="s">
        <v>123</v>
      </c>
      <c r="C6" s="165" t="s">
        <v>313</v>
      </c>
      <c r="D6" s="109" t="s">
        <v>124</v>
      </c>
      <c r="E6" s="108" t="str">
        <f t="shared" ref="E6" si="0">B6&amp;C6&amp;D6</f>
        <v>unit_levels_calc_wiz_unit.tmp</v>
      </c>
      <c r="F6" s="109" t="s">
        <v>117</v>
      </c>
      <c r="G6" s="59" t="s">
        <v>17</v>
      </c>
      <c r="H6" s="60" t="s">
        <v>2</v>
      </c>
      <c r="I6" s="61" t="s">
        <v>75</v>
      </c>
      <c r="J6" s="61" t="s">
        <v>76</v>
      </c>
      <c r="K6" s="61" t="s">
        <v>77</v>
      </c>
      <c r="L6" s="61" t="s">
        <v>78</v>
      </c>
      <c r="M6" s="61" t="s">
        <v>83</v>
      </c>
      <c r="N6" s="61" t="s">
        <v>84</v>
      </c>
      <c r="O6" s="61" t="s">
        <v>85</v>
      </c>
      <c r="P6" s="61" t="s">
        <v>86</v>
      </c>
      <c r="Q6" s="61" t="s">
        <v>87</v>
      </c>
      <c r="R6" s="61" t="s">
        <v>90</v>
      </c>
      <c r="S6" s="61" t="s">
        <v>88</v>
      </c>
      <c r="T6" s="61" t="s">
        <v>89</v>
      </c>
      <c r="U6" s="61" t="s">
        <v>79</v>
      </c>
      <c r="V6" s="61" t="s">
        <v>80</v>
      </c>
      <c r="W6" s="61" t="s">
        <v>81</v>
      </c>
    </row>
    <row r="7" spans="1:29" x14ac:dyDescent="0.15">
      <c r="A7" s="109" t="s">
        <v>241</v>
      </c>
      <c r="B7" s="109" t="s">
        <v>135</v>
      </c>
      <c r="C7" s="165" t="s">
        <v>313</v>
      </c>
      <c r="D7" s="109" t="s">
        <v>136</v>
      </c>
      <c r="E7" s="108" t="str">
        <f>B7&amp;C7&amp;D7</f>
        <v>unit_skills_data_wiz_unit.tmp</v>
      </c>
      <c r="F7" s="109" t="s">
        <v>137</v>
      </c>
      <c r="G7" s="115" t="s">
        <v>20</v>
      </c>
      <c r="H7" s="115" t="s">
        <v>138</v>
      </c>
      <c r="I7" s="115" t="s">
        <v>2</v>
      </c>
      <c r="J7" s="115" t="s">
        <v>139</v>
      </c>
      <c r="K7" s="115" t="s">
        <v>140</v>
      </c>
      <c r="L7" s="115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241</v>
      </c>
      <c r="B8" s="109" t="s">
        <v>141</v>
      </c>
      <c r="C8" s="165" t="s">
        <v>313</v>
      </c>
      <c r="D8" s="109" t="s">
        <v>121</v>
      </c>
      <c r="E8" s="108" t="str">
        <f>B8&amp;C8&amp;D8</f>
        <v>unit_skills_i18n_wiz_unit.tmp</v>
      </c>
      <c r="F8" s="109" t="s">
        <v>137</v>
      </c>
      <c r="G8" s="115" t="s">
        <v>142</v>
      </c>
      <c r="H8" s="115" t="s">
        <v>126</v>
      </c>
      <c r="I8" s="115" t="s">
        <v>143</v>
      </c>
      <c r="J8" s="115" t="s">
        <v>144</v>
      </c>
      <c r="K8" s="110"/>
      <c r="L8" s="110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241</v>
      </c>
      <c r="B9" s="109" t="s">
        <v>145</v>
      </c>
      <c r="C9" s="165" t="s">
        <v>313</v>
      </c>
      <c r="D9" s="109" t="s">
        <v>146</v>
      </c>
      <c r="E9" s="108" t="str">
        <f>B9&amp;C9&amp;D9</f>
        <v>crash_skills_data_wiz_unit.tmp</v>
      </c>
      <c r="F9" s="109" t="s">
        <v>147</v>
      </c>
      <c r="G9" s="115" t="s">
        <v>148</v>
      </c>
      <c r="H9" s="115" t="s">
        <v>140</v>
      </c>
      <c r="I9" s="115" t="s">
        <v>4</v>
      </c>
      <c r="J9" s="110"/>
      <c r="K9" s="110"/>
      <c r="L9" s="110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241</v>
      </c>
      <c r="B10" s="109" t="s">
        <v>149</v>
      </c>
      <c r="C10" s="165" t="s">
        <v>313</v>
      </c>
      <c r="D10" s="109" t="s">
        <v>150</v>
      </c>
      <c r="E10" s="108" t="str">
        <f t="shared" ref="E10" si="1">B10&amp;C10&amp;D10</f>
        <v>crash_skills_i18n_wiz_unit.tmp</v>
      </c>
      <c r="F10" s="109" t="s">
        <v>147</v>
      </c>
      <c r="G10" s="115" t="s">
        <v>151</v>
      </c>
      <c r="H10" s="115" t="s">
        <v>152</v>
      </c>
      <c r="I10" s="115" t="s">
        <v>153</v>
      </c>
      <c r="J10" s="115" t="s">
        <v>154</v>
      </c>
      <c r="K10" s="116"/>
      <c r="L10" s="116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241</v>
      </c>
      <c r="B11" s="110" t="s">
        <v>127</v>
      </c>
      <c r="C11" s="165" t="s">
        <v>313</v>
      </c>
      <c r="D11" s="109" t="s">
        <v>150</v>
      </c>
      <c r="E11" s="108" t="str">
        <f t="shared" ref="E11:E12" si="2">B11&amp;C11&amp;D11</f>
        <v>unit_serifs_data_wiz_unit.tmp</v>
      </c>
      <c r="F11" s="110" t="s">
        <v>129</v>
      </c>
      <c r="G11" s="114" t="s">
        <v>130</v>
      </c>
      <c r="H11" s="115" t="s">
        <v>131</v>
      </c>
      <c r="I11" s="115" t="s">
        <v>125</v>
      </c>
      <c r="J11" s="113" t="s">
        <v>182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241</v>
      </c>
      <c r="B12" s="110" t="s">
        <v>128</v>
      </c>
      <c r="C12" s="165" t="s">
        <v>313</v>
      </c>
      <c r="D12" s="109" t="s">
        <v>150</v>
      </c>
      <c r="E12" s="108" t="str">
        <f t="shared" si="2"/>
        <v>unit_serifs_i18n_wiz_unit.tmp</v>
      </c>
      <c r="F12" s="110" t="s">
        <v>129</v>
      </c>
      <c r="G12" s="114" t="s">
        <v>132</v>
      </c>
      <c r="H12" s="115" t="s">
        <v>133</v>
      </c>
      <c r="I12" s="115" t="s">
        <v>134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09" t="s">
        <v>241</v>
      </c>
      <c r="B13" s="109" t="s">
        <v>263</v>
      </c>
      <c r="C13" s="165" t="s">
        <v>313</v>
      </c>
      <c r="D13" s="109" t="s">
        <v>124</v>
      </c>
      <c r="E13" s="108" t="str">
        <f>B13&amp;C13&amp;D13</f>
        <v>abilities_tmp_wiz_unit.tmp</v>
      </c>
      <c r="F13" s="109" t="s">
        <v>256</v>
      </c>
      <c r="G13" s="175" t="s">
        <v>242</v>
      </c>
      <c r="H13" s="175" t="s">
        <v>244</v>
      </c>
      <c r="I13" s="175" t="s">
        <v>245</v>
      </c>
      <c r="J13" s="175"/>
      <c r="K13" s="176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09" t="s">
        <v>241</v>
      </c>
      <c r="B14" s="109" t="s">
        <v>255</v>
      </c>
      <c r="C14" s="165" t="s">
        <v>313</v>
      </c>
      <c r="D14" s="109" t="s">
        <v>124</v>
      </c>
      <c r="E14" s="108" t="str">
        <f>B14&amp;C14&amp;D14</f>
        <v>abilities_i18n_wiz_unit.tmp</v>
      </c>
      <c r="F14" s="109" t="s">
        <v>256</v>
      </c>
      <c r="G14" s="175" t="s">
        <v>242</v>
      </c>
      <c r="H14" s="175" t="s">
        <v>133</v>
      </c>
      <c r="I14" s="175" t="s">
        <v>180</v>
      </c>
      <c r="J14" s="175" t="s">
        <v>144</v>
      </c>
      <c r="K14" s="211" t="s">
        <v>454</v>
      </c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09" t="s">
        <v>241</v>
      </c>
      <c r="B15" s="109" t="s">
        <v>257</v>
      </c>
      <c r="C15" s="165" t="s">
        <v>313</v>
      </c>
      <c r="D15" s="109" t="s">
        <v>124</v>
      </c>
      <c r="E15" s="108" t="str">
        <f>B15&amp;C15&amp;D15</f>
        <v>unit_abilities_wiz_unit.tmp</v>
      </c>
      <c r="F15" s="109" t="s">
        <v>258</v>
      </c>
      <c r="G15" s="175" t="s">
        <v>179</v>
      </c>
      <c r="H15" s="177" t="s">
        <v>259</v>
      </c>
      <c r="I15" s="177" t="s">
        <v>260</v>
      </c>
      <c r="J15" s="178" t="s">
        <v>261</v>
      </c>
      <c r="K15" s="175" t="s">
        <v>262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zoomScale="80" zoomScaleNormal="80" zoomScalePageLayoutView="80" workbookViewId="0">
      <pane xSplit="9" ySplit="1" topLeftCell="AA2" activePane="bottomRight" state="frozen"/>
      <selection pane="topRight" activeCell="J1" sqref="J1"/>
      <selection pane="bottomLeft" activeCell="A3" sqref="A3"/>
      <selection pane="bottomRight" activeCell="BS6" sqref="BS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103</v>
      </c>
      <c r="B1" s="83" t="s">
        <v>40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45</v>
      </c>
      <c r="K1" s="87" t="s">
        <v>44</v>
      </c>
      <c r="L1" s="87" t="s">
        <v>46</v>
      </c>
      <c r="M1" s="87" t="s">
        <v>47</v>
      </c>
      <c r="N1" s="81" t="s">
        <v>3</v>
      </c>
      <c r="O1" s="88" t="s">
        <v>2</v>
      </c>
      <c r="P1" s="81" t="s">
        <v>93</v>
      </c>
      <c r="Q1" s="89" t="s">
        <v>18</v>
      </c>
      <c r="R1" s="80" t="s">
        <v>48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49</v>
      </c>
      <c r="Y1" s="85" t="s">
        <v>33</v>
      </c>
      <c r="Z1" s="86" t="s">
        <v>49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95</v>
      </c>
      <c r="AF1" s="80" t="s">
        <v>41</v>
      </c>
      <c r="AG1" s="92" t="s">
        <v>54</v>
      </c>
      <c r="AH1" s="80" t="s">
        <v>41</v>
      </c>
      <c r="AI1" s="92" t="s">
        <v>42</v>
      </c>
      <c r="AJ1" s="82" t="s">
        <v>63</v>
      </c>
      <c r="AK1" s="80" t="s">
        <v>21</v>
      </c>
      <c r="AL1" s="93" t="s">
        <v>64</v>
      </c>
      <c r="AM1" s="94" t="s">
        <v>62</v>
      </c>
      <c r="AN1" s="94" t="s">
        <v>65</v>
      </c>
      <c r="AO1" s="95" t="s">
        <v>31</v>
      </c>
      <c r="AP1" s="91" t="s">
        <v>20</v>
      </c>
      <c r="AQ1" s="96" t="s">
        <v>108</v>
      </c>
      <c r="AR1" s="96" t="s">
        <v>102</v>
      </c>
      <c r="AS1" s="80" t="s">
        <v>99</v>
      </c>
      <c r="AT1" s="91" t="s">
        <v>97</v>
      </c>
      <c r="AU1" s="80" t="s">
        <v>105</v>
      </c>
      <c r="AV1" s="96" t="s">
        <v>102</v>
      </c>
      <c r="AW1" s="80" t="s">
        <v>99</v>
      </c>
      <c r="AX1" s="86" t="s">
        <v>4</v>
      </c>
      <c r="AY1" s="97" t="s">
        <v>50</v>
      </c>
      <c r="AZ1" s="97" t="s">
        <v>51</v>
      </c>
      <c r="BA1" s="97" t="s">
        <v>109</v>
      </c>
      <c r="BB1" s="97" t="s">
        <v>52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66</v>
      </c>
      <c r="BH1" s="101" t="s">
        <v>67</v>
      </c>
      <c r="BI1" s="101" t="s">
        <v>68</v>
      </c>
      <c r="BJ1" s="101" t="s">
        <v>69</v>
      </c>
      <c r="BK1" s="102" t="s">
        <v>70</v>
      </c>
      <c r="BL1" s="102" t="s">
        <v>91</v>
      </c>
      <c r="BM1" s="102" t="s">
        <v>71</v>
      </c>
      <c r="BN1" s="102" t="s">
        <v>72</v>
      </c>
      <c r="BO1" s="103" t="s">
        <v>73</v>
      </c>
      <c r="BP1" s="104" t="s">
        <v>74</v>
      </c>
      <c r="BQ1" s="82" t="s">
        <v>82</v>
      </c>
      <c r="BR1" s="10" t="s">
        <v>444</v>
      </c>
    </row>
    <row r="2" spans="1:70" ht="26" customHeight="1" x14ac:dyDescent="0.15">
      <c r="A2" s="12">
        <v>788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アトラス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各属性相性良3・黄・R406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30</v>
      </c>
      <c r="O2" s="11">
        <f ca="1">INDEX(レベル!$A$1:$I$21,MATCH(H2,レベル!$A$1:$A$21,FALSE),MATCH(G2,レベル!$A$1:$I$1,FALSE))</f>
        <v>80</v>
      </c>
      <c r="P2" s="48">
        <f t="shared" ref="P2:P3" ca="1" si="0">IF(G2 &gt;= 6, 99,G2*15)</f>
        <v>75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98">
        <v>1.1000000000000001</v>
      </c>
      <c r="AB2" s="198">
        <v>1.1000000000000001</v>
      </c>
      <c r="AC2" s="198">
        <v>0</v>
      </c>
      <c r="AD2" s="198">
        <v>0.89</v>
      </c>
      <c r="AE2" s="9">
        <v>789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極闘の大鋼腕 アトラス</v>
      </c>
      <c r="AG2" s="5">
        <f t="shared" ref="AG2:AG11" ca="1" si="1">IF(ISNA(MATCH(A2,AE:AE,0)),A2,INDIRECT(ADDRESS(MATCH(A2,AE:AE,0),COLUMN())))</f>
        <v>788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アトラス</v>
      </c>
      <c r="AI2" s="11">
        <f ca="1">IF(AE2="NULL","NULL",VLOOKUP(G2,ビット!$A$2:$B$7,2))</f>
        <v>200000</v>
      </c>
      <c r="AJ2" s="6">
        <v>2</v>
      </c>
      <c r="AK2" s="7" t="str">
        <f t="shared" ref="AK2:AK3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6400</v>
      </c>
      <c r="AN2" s="17">
        <f ca="1">VLOOKUP(G2,ビット!$G$2:$H$7,2)</f>
        <v>900</v>
      </c>
      <c r="AO2" s="45"/>
      <c r="AP2" s="67">
        <f t="shared" ref="AP2:AP7" si="3">A2</f>
        <v>788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天空巴投げ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お邪魔・黄パネルを緑ボムパネルに変換+2ターンゴッドとアニマルの攻撃力を特大UP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788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山脈パワーボム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1.03</v>
      </c>
      <c r="BA2" s="68">
        <v>0</v>
      </c>
      <c r="BB2" s="68">
        <v>1.03</v>
      </c>
      <c r="BC2" s="11">
        <f ca="1">INDEX('RC6SV'!$A$1:$G$20,MATCH(H2,'RC6SV'!$A$1:$A$20,FALSE),MATCH(G2,'RC6SV'!$A$1:$G$1,FALSE))</f>
        <v>9000</v>
      </c>
      <c r="BD2" s="48">
        <f t="shared" ref="BD2:BD3" ca="1" si="4">ROUND(BC2*IF(AJ2=1,0.95,IF(AJ2=2,1,IF(AJ2,1.05,0))),0)</f>
        <v>9000</v>
      </c>
      <c r="BE2" s="11">
        <f t="shared" ref="BE2:BE11" ca="1" si="5">ROUND(IFERROR(INDIRECT(ADDRESS(MATCH($A2,$AE:$AE,0),MATCH($BC$1,$1:$1,0))),0),0)</f>
        <v>0</v>
      </c>
      <c r="BF2" s="11">
        <f t="shared" ref="BF2:BF11" ca="1" si="6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2525</v>
      </c>
      <c r="BH2" s="16">
        <f ca="1">IF($BE2&lt;=0,ROUND(BL2*0.5,0), ROUND($BE2*T2*AB2*K2*AZ2*0.8*[1]ステータス!$C$2,0))</f>
        <v>1499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1032</v>
      </c>
      <c r="BK2" s="11">
        <f ca="1">ROUND(BD2*S2*AA2*J2*AY2*[1]ステータス!$B$2,0)</f>
        <v>5049</v>
      </c>
      <c r="BL2" s="11">
        <f ca="1">ROUND(BD2*T2*AB2*K2*AZ2*[1]ステータス!$C$2,0)</f>
        <v>2998</v>
      </c>
      <c r="BM2" s="11">
        <f ca="1">ROUND(BD2*U2*AC2*L2*BA2*[1]ステータス!$D$2,0)</f>
        <v>0</v>
      </c>
      <c r="BN2" s="11">
        <f ca="1">ROUND(BD2*V2*AD2*M2*BB2*[1]ステータス!$E$2,0)</f>
        <v>2063</v>
      </c>
      <c r="BO2" s="10">
        <v>0</v>
      </c>
      <c r="BP2" s="10">
        <v>1</v>
      </c>
      <c r="BQ2" s="10" t="s">
        <v>43</v>
      </c>
      <c r="BR2" s="10">
        <f ca="1">VLOOKUP(H2,ghosts_label!$A$2:$B$19,2,FALSE)</f>
        <v>1</v>
      </c>
    </row>
    <row r="3" spans="1:70" ht="26" customHeight="1" x14ac:dyDescent="0.15">
      <c r="A3" s="12">
        <v>789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極闘の大鋼腕 アトラス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各属性相性良3・黄・R407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45</v>
      </c>
      <c r="O3" s="11">
        <f ca="1">INDEX(レベル!$A$1:$I$21,MATCH(H3,レベル!$A$1:$A$21,FALSE),MATCH(G3,レベル!$A$1:$I$1,FALSE))</f>
        <v>99</v>
      </c>
      <c r="P3" s="48">
        <f t="shared" ca="1" si="0"/>
        <v>99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animal</v>
      </c>
      <c r="Z3" s="5" t="str">
        <f ca="1">VLOOKUP(Y3,[1]character_tribe_i18n!$A:$H,3,FALSE)</f>
        <v>アニマル</v>
      </c>
      <c r="AA3" s="198">
        <v>1.1000000000000001</v>
      </c>
      <c r="AB3" s="198">
        <v>1.1000000000000001</v>
      </c>
      <c r="AC3" s="198">
        <v>0</v>
      </c>
      <c r="AD3" s="198">
        <v>0.89</v>
      </c>
      <c r="AE3" s="9" t="s">
        <v>175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788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アトラス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required_exp_250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 t="shared" si="3"/>
        <v>789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驚神・天空一本背負い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お邪魔・黄パネルを緑ボムパネルに変換+2ターンゴッドとアニマルの攻撃力を特大UP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>A3</f>
        <v>789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大山脈ランニングパワーボム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1.04</v>
      </c>
      <c r="BA3" s="68">
        <v>0</v>
      </c>
      <c r="BB3" s="68">
        <v>1.03</v>
      </c>
      <c r="BC3" s="11">
        <f ca="1">INDEX('RC6SV'!$A$1:$G$20,MATCH(H3,'RC6SV'!$A$1:$A$20,FALSE),MATCH(G3,'RC6SV'!$A$1:$G$1,FALSE))</f>
        <v>12000</v>
      </c>
      <c r="BD3" s="48">
        <f t="shared" ca="1" si="4"/>
        <v>12000</v>
      </c>
      <c r="BE3" s="11">
        <f t="shared" ca="1" si="5"/>
        <v>9000</v>
      </c>
      <c r="BF3" s="11">
        <f t="shared" ca="1" si="6"/>
        <v>1</v>
      </c>
      <c r="BG3" s="16">
        <f ca="1">IF($BE3&lt;=0,ROUND(BK3*0.5,0), ROUND($BE3*S3*AA3*J3*AY3*0.8*[1]ステータス!$B$2,0))</f>
        <v>4039</v>
      </c>
      <c r="BH3" s="16">
        <f ca="1">IF($BE3&lt;=0,ROUND(BL3*0.5,0), ROUND($BE3*T3*AB3*K3*AZ3*0.8*[1]ステータス!$C$2,0))</f>
        <v>2422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1650</v>
      </c>
      <c r="BK3" s="11">
        <f ca="1">ROUND(BD3*S3*AA3*J3*AY3*[1]ステータス!$B$2,0)</f>
        <v>6732</v>
      </c>
      <c r="BL3" s="11">
        <f ca="1">ROUND(BD3*T3*AB3*K3*AZ3*[1]ステータス!$C$2,0)</f>
        <v>4036</v>
      </c>
      <c r="BM3" s="11">
        <f ca="1">ROUND(BD3*U3*AC3*L3*BA3*[1]ステータス!$D$2,0)</f>
        <v>0</v>
      </c>
      <c r="BN3" s="11">
        <f ca="1">ROUND(BD3*V3*AD3*M3*BB3*[1]ステータス!$E$2,0)</f>
        <v>2750</v>
      </c>
      <c r="BO3" s="10">
        <v>0</v>
      </c>
      <c r="BP3" s="10">
        <v>1</v>
      </c>
      <c r="BQ3" s="10" t="s">
        <v>43</v>
      </c>
      <c r="BR3" s="10">
        <f ca="1">VLOOKUP(H3,ghosts_label!$A$2:$B$19,2,FALSE)</f>
        <v>1</v>
      </c>
    </row>
    <row r="4" spans="1:70" ht="26" customHeight="1" x14ac:dyDescent="0.15">
      <c r="A4" s="12">
        <v>891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コルキス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各属性相性良3・黄・R495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30</v>
      </c>
      <c r="O4" s="11">
        <f ca="1">INDEX(レベル!$A$1:$I$21,MATCH(H4,レベル!$A$1:$A$21,FALSE),MATCH(G4,レベル!$A$1:$I$1,FALSE))</f>
        <v>80</v>
      </c>
      <c r="P4" s="48">
        <f t="shared" ref="P4:P5" ca="1" si="7">IF(G4 &gt;= 6, 99,G4*15)</f>
        <v>75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1">
        <f ca="1">VLOOKUP(Q4,[1]character_type_i18n!$A:$H,4,FALSE)</f>
        <v>1.45</v>
      </c>
      <c r="T4" s="11">
        <f ca="1">VLOOKUP(Q4,[1]character_type_i18n!$A:$H,5,FALSE)</f>
        <v>0.85</v>
      </c>
      <c r="U4" s="11">
        <f ca="1">VLOOKUP(Q4,[1]character_type_i18n!$A:$H,6,FALSE)</f>
        <v>1</v>
      </c>
      <c r="V4" s="11">
        <f ca="1">VLOOKUP(Q4,[1]character_type_i18n!$A:$H,7,FALSE)</f>
        <v>0.7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98">
        <v>0.97</v>
      </c>
      <c r="AB4" s="198">
        <v>1</v>
      </c>
      <c r="AC4" s="198">
        <v>0</v>
      </c>
      <c r="AD4" s="198">
        <v>0.89</v>
      </c>
      <c r="AE4" s="9">
        <v>892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金碧の羊星 コルキス</v>
      </c>
      <c r="AG4" s="5">
        <f t="shared" ca="1" si="1"/>
        <v>891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コルキス</v>
      </c>
      <c r="AI4" s="11">
        <f ca="1">IF(AE4="NULL","NULL",VLOOKUP(G4,ビット!$A$2:$B$7,2))</f>
        <v>200000</v>
      </c>
      <c r="AJ4" s="6">
        <v>2</v>
      </c>
      <c r="AK4" s="7" t="str">
        <f t="shared" ref="AK4:AK5" si="8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6400</v>
      </c>
      <c r="AN4" s="17">
        <f ca="1">VLOOKUP(G4,ビット!$G$2:$H$7,2)</f>
        <v>900</v>
      </c>
      <c r="AO4" s="45"/>
      <c r="AP4" s="67">
        <f>A4</f>
        <v>891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ギャラクティックライオット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黄・時限式ダメージパネルを全て吸収して単体に大ダメージ+ランダムでパネルを最大2つSCパネル(大)に変換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v>891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星雲のフラグメント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1体に特大ダメージ+_x000D_1ターン青属性の防御力UP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0.9</v>
      </c>
      <c r="AZ4" s="68">
        <v>1.21</v>
      </c>
      <c r="BA4" s="68">
        <v>0</v>
      </c>
      <c r="BB4" s="68">
        <v>1.05</v>
      </c>
      <c r="BC4" s="11">
        <f ca="1">INDEX('RC6SV'!$A$1:$G$20,MATCH(H4,'RC6SV'!$A$1:$A$20,FALSE),MATCH(G4,'RC6SV'!$A$1:$G$1,FALSE))</f>
        <v>9000</v>
      </c>
      <c r="BD4" s="48">
        <f t="shared" ref="BD4:BD5" ca="1" si="9">ROUND(BC4*IF(AJ4=1,0.95,IF(AJ4=2,1,IF(AJ4,1.05,0))),0)</f>
        <v>9000</v>
      </c>
      <c r="BE4" s="11">
        <f t="shared" ca="1" si="5"/>
        <v>0</v>
      </c>
      <c r="BF4" s="11">
        <f t="shared" ca="1" si="6"/>
        <v>1</v>
      </c>
      <c r="BG4" s="16">
        <f ca="1">IF($BE4&lt;=0,ROUND(BK4*0.5,0), ROUND($BE4*S4*AA4*J4*AY4*0.8*[1]ステータス!$B$2,0))</f>
        <v>2848</v>
      </c>
      <c r="BH4" s="16">
        <f ca="1">IF($BE4&lt;=0,ROUND(BL4*0.5,0), ROUND($BE4*T4*AB4*K4*AZ4*0.8*[1]ステータス!$C$2,0))</f>
        <v>1361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751</v>
      </c>
      <c r="BK4" s="11">
        <f ca="1">ROUND(BD4*S4*AA4*J4*AY4*[1]ステータス!$B$2,0)</f>
        <v>5696</v>
      </c>
      <c r="BL4" s="11">
        <f ca="1">ROUND(BD4*T4*AB4*K4*AZ4*[1]ステータス!$C$2,0)</f>
        <v>2721</v>
      </c>
      <c r="BM4" s="11">
        <f ca="1">ROUND(BD4*U4*AC4*L4*BA4*[1]ステータス!$D$2,0)</f>
        <v>0</v>
      </c>
      <c r="BN4" s="11">
        <f ca="1">ROUND(BD4*V4*AD4*M4*BB4*[1]ステータス!$E$2,0)</f>
        <v>1501</v>
      </c>
      <c r="BO4" s="10">
        <v>0</v>
      </c>
      <c r="BP4" s="10">
        <v>1</v>
      </c>
      <c r="BQ4" s="10" t="s">
        <v>43</v>
      </c>
      <c r="BR4" s="10">
        <f ca="1">VLOOKUP(H4,ghosts_label!$A$2:$B$19,2,FALSE)</f>
        <v>1</v>
      </c>
    </row>
    <row r="5" spans="1:70" ht="26" customHeight="1" x14ac:dyDescent="0.15">
      <c r="A5" s="12">
        <v>892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金碧の羊星 コルキス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各属性相性良3・黄・R496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1">
        <f ca="1">VLOOKUP(I5,[1]属性!$A:$E,2,FALSE)</f>
        <v>1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1.02</v>
      </c>
      <c r="N5" s="11">
        <f ca="1">INDEX(コスト!$A$1:$I$20,MATCH(H5,コスト!$A$1:$A$20,FALSE),MATCH(G5,コスト!$A$1:$I$1,FALSE))</f>
        <v>45</v>
      </c>
      <c r="O5" s="11">
        <f ca="1">INDEX(レベル!$A$1:$I$21,MATCH(H5,レベル!$A$1:$A$21,FALSE),MATCH(G5,レベル!$A$1:$I$1,FALSE))</f>
        <v>99</v>
      </c>
      <c r="P5" s="48">
        <f t="shared" ca="1" si="7"/>
        <v>99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1">
        <f ca="1">VLOOKUP(Q5,[1]character_type_i18n!$A:$H,4,FALSE)</f>
        <v>1.45</v>
      </c>
      <c r="T5" s="11">
        <f ca="1">VLOOKUP(Q5,[1]character_type_i18n!$A:$H,5,FALSE)</f>
        <v>0.85</v>
      </c>
      <c r="U5" s="11">
        <f ca="1">VLOOKUP(Q5,[1]character_type_i18n!$A:$H,6,FALSE)</f>
        <v>1</v>
      </c>
      <c r="V5" s="11">
        <f ca="1">VLOOKUP(Q5,[1]character_type_i18n!$A:$H,7,FALSE)</f>
        <v>0.7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98">
        <v>0.97</v>
      </c>
      <c r="AB5" s="198">
        <v>1</v>
      </c>
      <c r="AC5" s="198">
        <v>0</v>
      </c>
      <c r="AD5" s="198">
        <v>0.89</v>
      </c>
      <c r="AE5" s="9" t="s">
        <v>175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891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コルキス</v>
      </c>
      <c r="AI5" s="11" t="str">
        <f>IF(AE5="NULL","NULL",VLOOKUP(G5,ビット!$A$2:$B$7,2))</f>
        <v>NULL</v>
      </c>
      <c r="AJ5" s="6">
        <v>2</v>
      </c>
      <c r="AK5" s="7" t="str">
        <f t="shared" si="8"/>
        <v>普通</v>
      </c>
      <c r="AL5" s="11" t="str">
        <f ca="1">INDEX(経験値!$A$1:$I$20,MATCH(H5,経験値!$A$1:$A$20,FALSE),MATCH(G5,経験値!$A$1:$I$1,FALSE))</f>
        <v>required_exp_250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>A5</f>
        <v>892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ギャラクティックスタンピード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黄・時限式ダメージパネルを全て吸収して単体に大ダメージ+ランダムでパネルを最大2つSCパネル(大)に変換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v>892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星海のフォートレス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1体に超大ダメージ+_x000D_1ターン青属性の防御力UP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0.9</v>
      </c>
      <c r="AZ5" s="68">
        <v>1.21</v>
      </c>
      <c r="BA5" s="68">
        <v>0</v>
      </c>
      <c r="BB5" s="68">
        <v>1.05</v>
      </c>
      <c r="BC5" s="11">
        <f ca="1">INDEX('RC6SV'!$A$1:$G$20,MATCH(H5,'RC6SV'!$A$1:$A$20,FALSE),MATCH(G5,'RC6SV'!$A$1:$G$1,FALSE))</f>
        <v>12000</v>
      </c>
      <c r="BD5" s="48">
        <f t="shared" ca="1" si="9"/>
        <v>12000</v>
      </c>
      <c r="BE5" s="11">
        <f t="shared" ca="1" si="5"/>
        <v>9000</v>
      </c>
      <c r="BF5" s="11">
        <f t="shared" ca="1" si="6"/>
        <v>1</v>
      </c>
      <c r="BG5" s="16">
        <f ca="1">IF($BE5&lt;=0,ROUND(BK5*0.5,0), ROUND($BE5*S5*AA5*J5*AY5*0.8*[1]ステータス!$B$2,0))</f>
        <v>4557</v>
      </c>
      <c r="BH5" s="16">
        <f ca="1">IF($BE5&lt;=0,ROUND(BL5*0.5,0), ROUND($BE5*T5*AB5*K5*AZ5*0.8*[1]ステータス!$C$2,0))</f>
        <v>2177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1201</v>
      </c>
      <c r="BK5" s="11">
        <f ca="1">ROUND(BD5*S5*AA5*J5*AY5*[1]ステータス!$B$2,0)</f>
        <v>7595</v>
      </c>
      <c r="BL5" s="11">
        <f ca="1">ROUND(BD5*T5*AB5*K5*AZ5*[1]ステータス!$C$2,0)</f>
        <v>3629</v>
      </c>
      <c r="BM5" s="11">
        <f ca="1">ROUND(BD5*U5*AC5*L5*BA5*[1]ステータス!$D$2,0)</f>
        <v>0</v>
      </c>
      <c r="BN5" s="11">
        <f ca="1">ROUND(BD5*V5*AD5*M5*BB5*[1]ステータス!$E$2,0)</f>
        <v>2002</v>
      </c>
      <c r="BO5" s="10">
        <v>0</v>
      </c>
      <c r="BP5" s="10">
        <v>1</v>
      </c>
      <c r="BQ5" s="10" t="s">
        <v>43</v>
      </c>
      <c r="BR5" s="10">
        <f ca="1">VLOOKUP(H5,ghosts_label!$A$2:$B$19,2,FALSE)</f>
        <v>1</v>
      </c>
    </row>
    <row r="6" spans="1:70" ht="26" customHeight="1" x14ac:dyDescent="0.15">
      <c r="A6" s="12">
        <v>1088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ミケランジェロ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80</v>
      </c>
      <c r="P6" s="48">
        <f t="shared" ref="P6:P11" ca="1" si="10">IF(G6 &gt;= 6, 99,G6*15)</f>
        <v>75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1">
        <f ca="1">VLOOKUP(Q6,[1]character_type_i18n!$A:$H,4,FALSE)</f>
        <v>0.9</v>
      </c>
      <c r="T6" s="11">
        <f ca="1">VLOOKUP(Q6,[1]character_type_i18n!$A:$H,5,FALSE)</f>
        <v>0.9</v>
      </c>
      <c r="U6" s="11">
        <f ca="1">VLOOKUP(Q6,[1]character_type_i18n!$A:$H,6,FALSE)</f>
        <v>1</v>
      </c>
      <c r="V6" s="11">
        <f ca="1">VLOOKUP(Q6,[1]character_type_i18n!$A:$H,7,FALSE)</f>
        <v>0.9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98">
        <v>1.1000000000000001</v>
      </c>
      <c r="AB6" s="198">
        <v>1.1000000000000001</v>
      </c>
      <c r="AC6" s="198">
        <v>0</v>
      </c>
      <c r="AD6" s="198">
        <v>0.89</v>
      </c>
      <c r="AE6" s="9">
        <v>1089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破壊の発誕 ミケランジェロ</v>
      </c>
      <c r="AG6" s="5">
        <f t="shared" ca="1" si="1"/>
        <v>1088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ミケランジェロ</v>
      </c>
      <c r="AI6" s="11">
        <f ca="1">IF(AE6="NULL","NULL",VLOOKUP(G6,ビット!$A$2:$B$7,2))</f>
        <v>200000</v>
      </c>
      <c r="AJ6" s="6">
        <v>2</v>
      </c>
      <c r="AK6" s="7" t="str">
        <f t="shared" ref="AK6:AK11" si="11">IF(AJ6=1,"早熟",IF(AJ6=2,"普通",IF(AJ6=3,"晩成","")))</f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5"/>
      <c r="AP6" s="67">
        <f t="shared" si="3"/>
        <v>1088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奇襲&lt;March 6th&gt;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1ターン緑属性の攻撃力UP(緑パネルを吸収し効果大UP)+HPを1000回復(黄パネルを1つ吸収する毎にHPを300回復)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v>1088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イート・ザ・ブートセクタ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1体に特大ダメージ+_x000D_確率でウィルス付与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</v>
      </c>
      <c r="AZ6" s="68">
        <v>1.2</v>
      </c>
      <c r="BA6" s="68">
        <v>0</v>
      </c>
      <c r="BB6" s="68">
        <v>1.03</v>
      </c>
      <c r="BC6" s="11">
        <f ca="1">INDEX('RC6SV'!$A$1:$G$20,MATCH(H6,'RC6SV'!$A$1:$A$20,FALSE),MATCH(G6,'RC6SV'!$A$1:$G$1,FALSE))</f>
        <v>9000</v>
      </c>
      <c r="BD6" s="48">
        <f t="shared" ref="BD6:BD10" ca="1" si="12">ROUND(BC6*IF(AJ6=1,0.95,IF(AJ6=2,1,IF(AJ6,1.05,0))),0)</f>
        <v>9000</v>
      </c>
      <c r="BE6" s="11">
        <f t="shared" ca="1" si="5"/>
        <v>0</v>
      </c>
      <c r="BF6" s="11">
        <f t="shared" ca="1" si="6"/>
        <v>1</v>
      </c>
      <c r="BG6" s="16">
        <f ca="1">IF($BE6&lt;=0,ROUND(BK6*0.5,0), ROUND($BE6*S6*AA6*J6*AY6*0.8*[1]ステータス!$B$2,0))</f>
        <v>2272</v>
      </c>
      <c r="BH6" s="16">
        <f ca="1">IF($BE6&lt;=0,ROUND(BL6*0.5,0), ROUND($BE6*T6*AB6*K6*AZ6*0.8*[1]ステータス!$C$2,0))</f>
        <v>1572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928</v>
      </c>
      <c r="BK6" s="11">
        <f ca="1">ROUND(BD6*S6*AA6*J6*AY6*[1]ステータス!$B$2,0)</f>
        <v>4544</v>
      </c>
      <c r="BL6" s="11">
        <f ca="1">ROUND(BD6*T6*AB6*K6*AZ6*[1]ステータス!$C$2,0)</f>
        <v>3143</v>
      </c>
      <c r="BM6" s="11">
        <f ca="1">ROUND(BD6*U6*AC6*L6*BA6*[1]ステータス!$D$2,0)</f>
        <v>0</v>
      </c>
      <c r="BN6" s="11">
        <f ca="1">ROUND(BD6*V6*AD6*M6*BB6*[1]ステータス!$E$2,0)</f>
        <v>1856</v>
      </c>
      <c r="BO6" s="10">
        <v>0</v>
      </c>
      <c r="BP6" s="10">
        <v>1</v>
      </c>
      <c r="BQ6" s="10" t="s">
        <v>43</v>
      </c>
      <c r="BR6" s="10">
        <f ca="1">VLOOKUP(H6,ghosts_label!$A$2:$B$19,2,FALSE)</f>
        <v>1</v>
      </c>
    </row>
    <row r="7" spans="1:70" ht="26" customHeight="1" x14ac:dyDescent="0.15">
      <c r="A7" s="12">
        <v>1089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破壊の発誕 ミケランジェロ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8">
        <f t="shared" ca="1" si="10"/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98">
        <v>1.1000000000000001</v>
      </c>
      <c r="AB7" s="198">
        <v>1.1000000000000001</v>
      </c>
      <c r="AC7" s="198">
        <v>0</v>
      </c>
      <c r="AD7" s="198">
        <v>0.89</v>
      </c>
      <c r="AE7" s="9" t="s">
        <v>175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1088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ミケランジェロ</v>
      </c>
      <c r="AI7" s="11" t="str">
        <f>IF(AE7="NULL","NULL",VLOOKUP(G7,ビット!$A$2:$B$7,2))</f>
        <v>NULL</v>
      </c>
      <c r="AJ7" s="6">
        <v>2</v>
      </c>
      <c r="AK7" s="7" t="str">
        <f t="shared" si="11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f t="shared" si="3"/>
        <v>1089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爆散&lt;March 6th&gt;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2ターン緑属性の攻撃力UP(緑パネルを吸収し効果大UP)+HPを1000回復(黄パネルを1つ吸収する毎にHPを300回復)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v>1089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キャプチャ・ザ・ブートセクタ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1体に超大ダメージ+_x000D_確率でウィルス付与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</v>
      </c>
      <c r="AZ7" s="68">
        <v>1.2</v>
      </c>
      <c r="BA7" s="68">
        <v>0</v>
      </c>
      <c r="BB7" s="68">
        <v>1.03</v>
      </c>
      <c r="BC7" s="11">
        <f ca="1">INDEX('RC6SV'!$A$1:$G$20,MATCH(H7,'RC6SV'!$A$1:$A$20,FALSE),MATCH(G7,'RC6SV'!$A$1:$G$1,FALSE))</f>
        <v>12000</v>
      </c>
      <c r="BD7" s="48">
        <f t="shared" ca="1" si="12"/>
        <v>12000</v>
      </c>
      <c r="BE7" s="11">
        <f t="shared" ca="1" si="5"/>
        <v>9000</v>
      </c>
      <c r="BF7" s="11">
        <f t="shared" ca="1" si="6"/>
        <v>1</v>
      </c>
      <c r="BG7" s="16">
        <f ca="1">IF($BE7&lt;=0,ROUND(BK7*0.5,0), ROUND($BE7*S7*AA7*J7*AY7*0.8*[1]ステータス!$B$2,0))</f>
        <v>3635</v>
      </c>
      <c r="BH7" s="16">
        <f ca="1">IF($BE7&lt;=0,ROUND(BL7*0.5,0), ROUND($BE7*T7*AB7*K7*AZ7*0.8*[1]ステータス!$C$2,0))</f>
        <v>2515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1485</v>
      </c>
      <c r="BK7" s="11">
        <f ca="1">ROUND(BD7*S7*AA7*J7*AY7*[1]ステータス!$B$2,0)</f>
        <v>6059</v>
      </c>
      <c r="BL7" s="11">
        <f ca="1">ROUND(BD7*T7*AB7*K7*AZ7*[1]ステータス!$C$2,0)</f>
        <v>4191</v>
      </c>
      <c r="BM7" s="11">
        <f ca="1">ROUND(BD7*U7*AC7*L7*BA7*[1]ステータス!$D$2,0)</f>
        <v>0</v>
      </c>
      <c r="BN7" s="11">
        <f ca="1">ROUND(BD7*V7*AD7*M7*BB7*[1]ステータス!$E$2,0)</f>
        <v>2475</v>
      </c>
      <c r="BO7" s="10">
        <v>0</v>
      </c>
      <c r="BP7" s="10">
        <v>1</v>
      </c>
      <c r="BQ7" s="10" t="s">
        <v>43</v>
      </c>
      <c r="BR7" s="10">
        <f ca="1">VLOOKUP(H7,ghosts_label!$A$2:$B$19,2,FALSE)</f>
        <v>1</v>
      </c>
    </row>
    <row r="8" spans="1:70" ht="26" customHeight="1" x14ac:dyDescent="0.15">
      <c r="A8" s="12">
        <v>780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カスケード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各属性相性良3・黄・R398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30</v>
      </c>
      <c r="O8" s="11">
        <f ca="1">INDEX(レベル!$A$1:$I$21,MATCH(H8,レベル!$A$1:$A$21,FALSE),MATCH(G8,レベル!$A$1:$I$1,FALSE))</f>
        <v>80</v>
      </c>
      <c r="P8" s="48">
        <f t="shared" ref="P8:P9" ca="1" si="13">IF(G8 &gt;= 6, 99,G8*15)</f>
        <v>75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98">
        <v>1.1000000000000001</v>
      </c>
      <c r="AB8" s="198">
        <v>1.1000000000000001</v>
      </c>
      <c r="AC8" s="198">
        <v>0</v>
      </c>
      <c r="AD8" s="198">
        <v>0.89</v>
      </c>
      <c r="AE8" s="9">
        <v>781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崩落の大瀑布 カスケード</v>
      </c>
      <c r="AG8" s="5">
        <f t="shared" ca="1" si="1"/>
        <v>780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カスケード</v>
      </c>
      <c r="AI8" s="11">
        <f ca="1">IF(AE8="NULL","NULL",VLOOKUP(G8,ビット!$A$2:$B$7,2))</f>
        <v>200000</v>
      </c>
      <c r="AJ8" s="6">
        <v>2</v>
      </c>
      <c r="AK8" s="7" t="str">
        <f t="shared" ref="AK8:AK9" si="14">IF(AJ8=1,"早熟",IF(AJ8=2,"普通",IF(AJ8=3,"晩成","")))</f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5"/>
      <c r="AP8" s="67">
        <f t="shared" ref="AP8:AP9" si="15">A8</f>
        <v>780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ナイアガラ・ナイトメア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ハートパネルを黄パネルに変換+2ターン種族Unknownの攻撃力を超大UPし、ハートパネルが出現しない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v>780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FALL 2 FALL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1.2</v>
      </c>
      <c r="BA8" s="68">
        <v>0</v>
      </c>
      <c r="BB8" s="68">
        <v>1.03</v>
      </c>
      <c r="BC8" s="11">
        <f ca="1">INDEX('RC6SV'!$A$1:$G$20,MATCH(H8,'RC6SV'!$A$1:$A$20,FALSE),MATCH(G8,'RC6SV'!$A$1:$G$1,FALSE))</f>
        <v>9000</v>
      </c>
      <c r="BD8" s="48">
        <f t="shared" ref="BD8:BD9" ca="1" si="16">ROUND(BC8*IF(AJ8=1,0.95,IF(AJ8=2,1,IF(AJ8,1.05,0))),0)</f>
        <v>9000</v>
      </c>
      <c r="BE8" s="11">
        <f t="shared" ca="1" si="5"/>
        <v>0</v>
      </c>
      <c r="BF8" s="11">
        <f t="shared" ca="1" si="6"/>
        <v>1</v>
      </c>
      <c r="BG8" s="16">
        <f ca="1">IF($BE8&lt;=0,ROUND(BK8*0.5,0), ROUND($BE8*S8*AA8*J8*AY8*0.8*[1]ステータス!$B$2,0))</f>
        <v>2183</v>
      </c>
      <c r="BH8" s="16">
        <f ca="1">IF($BE8&lt;=0,ROUND(BL8*0.5,0), ROUND($BE8*T8*AB8*K8*AZ8*0.8*[1]ステータス!$C$2,0))</f>
        <v>1620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938</v>
      </c>
      <c r="BK8" s="11">
        <f ca="1">ROUND(BD8*S8*AA8*J8*AY8*[1]ステータス!$B$2,0)</f>
        <v>4366</v>
      </c>
      <c r="BL8" s="11">
        <f ca="1">ROUND(BD8*T8*AB8*K8*AZ8*[1]ステータス!$C$2,0)</f>
        <v>3240</v>
      </c>
      <c r="BM8" s="11">
        <f ca="1">ROUND(BD8*U8*AC8*L8*BA8*[1]ステータス!$D$2,0)</f>
        <v>0</v>
      </c>
      <c r="BN8" s="11">
        <f ca="1">ROUND(BD8*V8*AD8*M8*BB8*[1]ステータス!$E$2,0)</f>
        <v>1875</v>
      </c>
      <c r="BO8" s="10">
        <v>0</v>
      </c>
      <c r="BP8" s="10">
        <v>1</v>
      </c>
      <c r="BQ8" s="10" t="s">
        <v>43</v>
      </c>
      <c r="BR8" s="10">
        <f ca="1">VLOOKUP(H8,ghosts_label!$A$2:$B$19,2,FALSE)</f>
        <v>1</v>
      </c>
    </row>
    <row r="9" spans="1:70" ht="26" customHeight="1" x14ac:dyDescent="0.15">
      <c r="A9" s="12">
        <v>781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崩落の大瀑布 カスケード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各属性相性良3・黄・R399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INDEX(コスト!$A$1:$I$20,MATCH(H9,コスト!$A$1:$A$20,FALSE),MATCH(G9,コスト!$A$1:$I$1,FALSE))</f>
        <v>45</v>
      </c>
      <c r="O9" s="11">
        <f ca="1">INDEX(レベル!$A$1:$I$21,MATCH(H9,レベル!$A$1:$A$21,FALSE),MATCH(G9,レベル!$A$1:$I$1,FALSE))</f>
        <v>99</v>
      </c>
      <c r="P9" s="48">
        <f t="shared" ca="1" si="13"/>
        <v>99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98">
        <v>1.1000000000000001</v>
      </c>
      <c r="AB9" s="198">
        <v>1.1000000000000001</v>
      </c>
      <c r="AC9" s="198">
        <v>0</v>
      </c>
      <c r="AD9" s="198">
        <v>0.89</v>
      </c>
      <c r="AE9" s="9" t="s">
        <v>175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780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カスケード</v>
      </c>
      <c r="AI9" s="11" t="str">
        <f>IF(AE9="NULL","NULL",VLOOKUP(G9,ビット!$A$2:$B$7,2))</f>
        <v>NULL</v>
      </c>
      <c r="AJ9" s="6">
        <v>2</v>
      </c>
      <c r="AK9" s="7" t="str">
        <f t="shared" si="14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7">
        <f t="shared" si="15"/>
        <v>781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ナイアガラ・ナイトメア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ハートパネルを黄パネルに変換+2ターン種族Unknownの攻撃力を超大UPし、ハートパネルが出現しない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v>781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FALL 2 FALL &amp; FREEZE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1体に超大ダメージ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</v>
      </c>
      <c r="AZ9" s="68">
        <v>1.2</v>
      </c>
      <c r="BA9" s="68">
        <v>0</v>
      </c>
      <c r="BB9" s="68">
        <v>1.03</v>
      </c>
      <c r="BC9" s="11">
        <f ca="1">INDEX('RC6SV'!$A$1:$G$20,MATCH(H9,'RC6SV'!$A$1:$A$20,FALSE),MATCH(G9,'RC6SV'!$A$1:$G$1,FALSE))</f>
        <v>12000</v>
      </c>
      <c r="BD9" s="48">
        <f t="shared" ca="1" si="16"/>
        <v>12000</v>
      </c>
      <c r="BE9" s="11">
        <f t="shared" ca="1" si="5"/>
        <v>9000</v>
      </c>
      <c r="BF9" s="11">
        <f t="shared" ca="1" si="6"/>
        <v>1</v>
      </c>
      <c r="BG9" s="16">
        <f ca="1">IF($BE9&lt;=0,ROUND(BK9*0.5,0), ROUND($BE9*S9*AA9*J9*AY9*0.8*[1]ステータス!$B$2,0))</f>
        <v>3493</v>
      </c>
      <c r="BH9" s="16">
        <f ca="1">IF($BE9&lt;=0,ROUND(BL9*0.5,0), ROUND($BE9*T9*AB9*K9*AZ9*0.8*[1]ステータス!$C$2,0))</f>
        <v>2592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1500</v>
      </c>
      <c r="BK9" s="11">
        <f ca="1">ROUND(BD9*S9*AA9*J9*AY9*[1]ステータス!$B$2,0)</f>
        <v>5821</v>
      </c>
      <c r="BL9" s="11">
        <f ca="1">ROUND(BD9*T9*AB9*K9*AZ9*[1]ステータス!$C$2,0)</f>
        <v>4320</v>
      </c>
      <c r="BM9" s="11">
        <f ca="1">ROUND(BD9*U9*AC9*L9*BA9*[1]ステータス!$D$2,0)</f>
        <v>0</v>
      </c>
      <c r="BN9" s="11">
        <f ca="1">ROUND(BD9*V9*AD9*M9*BB9*[1]ステータス!$E$2,0)</f>
        <v>2500</v>
      </c>
      <c r="BO9" s="10">
        <v>0</v>
      </c>
      <c r="BP9" s="10">
        <v>1</v>
      </c>
      <c r="BQ9" s="10" t="s">
        <v>43</v>
      </c>
      <c r="BR9" s="10">
        <f ca="1">VLOOKUP(H9,ghosts_label!$A$2:$B$19,2,FALSE)</f>
        <v>1</v>
      </c>
    </row>
    <row r="10" spans="1:70" ht="26" customHeight="1" x14ac:dyDescent="0.15">
      <c r="A10" s="204">
        <v>887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エリス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各属性相性良3・黄・R491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30</v>
      </c>
      <c r="O10" s="11">
        <f ca="1">INDEX(レベル!$A$1:$I$21,MATCH(H10,レベル!$A$1:$A$21,FALSE),MATCH(G10,レベル!$A$1:$I$1,FALSE))</f>
        <v>80</v>
      </c>
      <c r="P10" s="48">
        <f t="shared" ca="1" si="10"/>
        <v>75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machine</v>
      </c>
      <c r="Z10" s="5" t="str">
        <f ca="1">VLOOKUP(Y10,[1]character_tribe_i18n!$A:$H,3,FALSE)</f>
        <v>マシン</v>
      </c>
      <c r="AA10" s="198">
        <v>1</v>
      </c>
      <c r="AB10" s="198">
        <v>1.07</v>
      </c>
      <c r="AC10" s="198">
        <v>0</v>
      </c>
      <c r="AD10" s="198">
        <v>0.89</v>
      </c>
      <c r="AE10" s="9">
        <v>888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禍根の暴送者 エリス</v>
      </c>
      <c r="AG10" s="5">
        <f t="shared" ca="1" si="1"/>
        <v>887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エリス</v>
      </c>
      <c r="AI10" s="11">
        <f ca="1">IF(AE10="NULL","NULL",VLOOKUP(G10,ビット!$A$2:$B$7,2))</f>
        <v>200000</v>
      </c>
      <c r="AJ10" s="6">
        <v>2</v>
      </c>
      <c r="AK10" s="7" t="str">
        <f t="shared" si="11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5"/>
      <c r="AP10" s="67">
        <f t="shared" ref="AP10:AP11" si="17">A10</f>
        <v>887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ワールドイズマイン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ランダムでパネルを3つSCパネルに変換+時限式ダメージパネルを赤ボムパネルに変換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>A10</f>
        <v>887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ボミング・エイジ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1.02</v>
      </c>
      <c r="AZ10" s="68">
        <v>1.08</v>
      </c>
      <c r="BA10" s="68">
        <v>0</v>
      </c>
      <c r="BB10" s="68">
        <v>1</v>
      </c>
      <c r="BC10" s="11">
        <f ca="1">INDEX('RC6SV'!$A$1:$G$20,MATCH(H10,'RC6SV'!$A$1:$A$20,FALSE),MATCH(G10,'RC6SV'!$A$1:$G$1,FALSE))</f>
        <v>9000</v>
      </c>
      <c r="BD10" s="48">
        <f t="shared" ca="1" si="12"/>
        <v>9000</v>
      </c>
      <c r="BE10" s="11">
        <f t="shared" ca="1" si="5"/>
        <v>0</v>
      </c>
      <c r="BF10" s="11">
        <f t="shared" ca="1" si="6"/>
        <v>1</v>
      </c>
      <c r="BG10" s="16">
        <f ca="1">IF($BE10&lt;=0,ROUND(BK10*0.5,0), ROUND($BE10*S10*AA10*J10*AY10*0.8*[1]ステータス!$B$2,0))</f>
        <v>2295</v>
      </c>
      <c r="BH10" s="16">
        <f ca="1">IF($BE10&lt;=0,ROUND(BL10*0.5,0), ROUND($BE10*T10*AB10*K10*AZ10*0.8*[1]ステータス!$C$2,0))</f>
        <v>2117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658</v>
      </c>
      <c r="BK10" s="11">
        <f ca="1">ROUND(BD10*S10*AA10*J10*AY10*[1]ステータス!$B$2,0)</f>
        <v>4590</v>
      </c>
      <c r="BL10" s="11">
        <f ca="1">ROUND(BD10*T10*AB10*K10*AZ10*[1]ステータス!$C$2,0)</f>
        <v>4233</v>
      </c>
      <c r="BM10" s="11">
        <f ca="1">ROUND(BD10*U10*AC10*L10*BA10*[1]ステータス!$D$2,0)</f>
        <v>0</v>
      </c>
      <c r="BN10" s="11">
        <f ca="1">ROUND(BD10*V10*AD10*M10*BB10*[1]ステータス!$E$2,0)</f>
        <v>1315</v>
      </c>
      <c r="BO10" s="10">
        <v>0</v>
      </c>
      <c r="BP10" s="10">
        <v>1</v>
      </c>
      <c r="BQ10" s="10" t="s">
        <v>43</v>
      </c>
      <c r="BR10" s="10">
        <f ca="1">VLOOKUP(H10,ghosts_label!$A$2:$B$19,2,FALSE)</f>
        <v>1</v>
      </c>
    </row>
    <row r="11" spans="1:70" ht="26" customHeight="1" x14ac:dyDescent="0.15">
      <c r="A11" s="204">
        <v>888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禍根の暴送者 エリス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各属性相性良3・黄・R492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DropWizS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45</v>
      </c>
      <c r="O11" s="11">
        <f ca="1">INDEX(レベル!$A$1:$I$21,MATCH(H11,レベル!$A$1:$A$21,FALSE),MATCH(G11,レベル!$A$1:$I$1,FALSE))</f>
        <v>99</v>
      </c>
      <c r="P11" s="48">
        <f t="shared" ca="1" si="10"/>
        <v>99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1">
        <f ca="1">VLOOKUP(Q11,[1]character_type_i18n!$A:$H,4,FALSE)</f>
        <v>1</v>
      </c>
      <c r="T11" s="11">
        <f ca="1">VLOOKUP(Q11,[1]character_type_i18n!$A:$H,5,FALSE)</f>
        <v>1.33</v>
      </c>
      <c r="U11" s="11">
        <f ca="1">VLOOKUP(Q11,[1]character_type_i18n!$A:$H,6,FALSE)</f>
        <v>1</v>
      </c>
      <c r="V11" s="11">
        <f ca="1">VLOOKUP(Q11,[1]character_type_i18n!$A:$H,7,FALSE)</f>
        <v>0.67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machine</v>
      </c>
      <c r="Z11" s="5" t="str">
        <f ca="1">VLOOKUP(Y11,[1]character_tribe_i18n!$A:$H,3,FALSE)</f>
        <v>マシン</v>
      </c>
      <c r="AA11" s="198">
        <v>1</v>
      </c>
      <c r="AB11" s="198">
        <v>1.07</v>
      </c>
      <c r="AC11" s="198">
        <v>0</v>
      </c>
      <c r="AD11" s="198">
        <v>0.89</v>
      </c>
      <c r="AE11" s="9" t="s">
        <v>175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887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エリス</v>
      </c>
      <c r="AI11" s="11" t="str">
        <f>IF(AE11="NULL","NULL",VLOOKUP(G11,ビット!$A$2:$B$7,2))</f>
        <v>NULL</v>
      </c>
      <c r="AJ11" s="6">
        <v>2</v>
      </c>
      <c r="AK11" s="7" t="str">
        <f t="shared" si="11"/>
        <v>普通</v>
      </c>
      <c r="AL11" s="11" t="str">
        <f ca="1">INDEX(経験値!$A$1:$I$20,MATCH(H11,経験値!$A$1:$A$20,FALSE),MATCH(G11,経験値!$A$1:$I$1,FALSE))</f>
        <v>required_exp_250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7">
        <f t="shared" si="17"/>
        <v>888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ワールドイズマイン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ランダムでパネルを3つSCパネルに変換し、黄・時限式ダメージパネルを赤ボムパネルに変換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>A11</f>
        <v>888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カタストロフィック・エイジ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1.02</v>
      </c>
      <c r="AZ11" s="68">
        <v>1.08</v>
      </c>
      <c r="BA11" s="68">
        <v>0</v>
      </c>
      <c r="BB11" s="68">
        <v>1</v>
      </c>
      <c r="BC11" s="11">
        <f ca="1">INDEX('RC6SV'!$A$1:$G$20,MATCH(H11,'RC6SV'!$A$1:$A$20,FALSE),MATCH(G11,'RC6SV'!$A$1:$G$1,FALSE))</f>
        <v>12000</v>
      </c>
      <c r="BD11" s="48">
        <f ca="1">ROUND(BC11*IF(AJ11=1,0.95,IF(AJ11=2,1,IF(AJ11,1.05,0))),0)</f>
        <v>12000</v>
      </c>
      <c r="BE11" s="11">
        <f t="shared" ca="1" si="5"/>
        <v>9000</v>
      </c>
      <c r="BF11" s="11">
        <f t="shared" ca="1" si="6"/>
        <v>1</v>
      </c>
      <c r="BG11" s="16">
        <f ca="1">IF($BE11&lt;=0,ROUND(BK11*0.5,0), ROUND($BE11*S11*AA11*J11*AY11*0.8*[1]ステータス!$B$2,0))</f>
        <v>3672</v>
      </c>
      <c r="BH11" s="16">
        <f ca="1">IF($BE11&lt;=0,ROUND(BL11*0.5,0), ROUND($BE11*T11*AB11*K11*AZ11*0.8*[1]ステータス!$C$2,0))</f>
        <v>3386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1052</v>
      </c>
      <c r="BK11" s="11">
        <f ca="1">ROUND(BD11*S11*AA11*J11*AY11*[1]ステータス!$B$2,0)</f>
        <v>6120</v>
      </c>
      <c r="BL11" s="11">
        <f ca="1">ROUND(BD11*T11*AB11*K11*AZ11*[1]ステータス!$C$2,0)</f>
        <v>5644</v>
      </c>
      <c r="BM11" s="11">
        <f ca="1">ROUND(BD11*U11*AC11*L11*BA11*[1]ステータス!$D$2,0)</f>
        <v>0</v>
      </c>
      <c r="BN11" s="11">
        <f ca="1">ROUND(BD11*V11*AD11*M11*BB11*[1]ステータス!$E$2,0)</f>
        <v>1753</v>
      </c>
      <c r="BO11" s="10">
        <v>0</v>
      </c>
      <c r="BP11" s="10">
        <v>1</v>
      </c>
      <c r="BQ11" s="10" t="s">
        <v>43</v>
      </c>
      <c r="BR11" s="10">
        <f ca="1">VLOOKUP(H11,ghosts_label!$A$2:$B$19,2,FALSE)</f>
        <v>1</v>
      </c>
    </row>
  </sheetData>
  <autoFilter ref="A1:BQ1"/>
  <phoneticPr fontId="10"/>
  <conditionalFormatting sqref="BO1">
    <cfRule type="cellIs" dxfId="45" priority="120" stopIfTrue="1" operator="equal">
      <formula>1</formula>
    </cfRule>
  </conditionalFormatting>
  <conditionalFormatting sqref="BQ1">
    <cfRule type="cellIs" dxfId="44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5" sqref="D15"/>
    </sheetView>
  </sheetViews>
  <sheetFormatPr baseColWidth="12" defaultColWidth="13" defaultRowHeight="21" customHeight="1" outlineLevelCol="1" x14ac:dyDescent="0.15"/>
  <cols>
    <col min="1" max="1" width="16.1640625" style="129" bestFit="1" customWidth="1"/>
    <col min="2" max="2" width="13" style="129" bestFit="1" customWidth="1"/>
    <col min="3" max="3" width="21.83203125" style="129" customWidth="1"/>
    <col min="4" max="4" width="55.1640625" style="129" customWidth="1"/>
    <col min="5" max="5" width="9" style="129" customWidth="1"/>
    <col min="6" max="6" width="7.83203125" style="129" bestFit="1" customWidth="1"/>
    <col min="7" max="7" width="8.1640625" style="129" bestFit="1" customWidth="1"/>
    <col min="8" max="8" width="13.6640625" style="129" bestFit="1" customWidth="1"/>
    <col min="9" max="10" width="51.6640625" style="129" customWidth="1"/>
    <col min="11" max="11" width="10.83203125" style="129" customWidth="1" outlineLevel="1"/>
    <col min="12" max="17" width="9.5" style="128" customWidth="1" outlineLevel="1"/>
    <col min="18" max="18" width="20.33203125" style="129" customWidth="1" outlineLevel="1"/>
    <col min="19" max="19" width="10.33203125" style="129" bestFit="1" customWidth="1"/>
    <col min="20" max="16384" width="13" style="129"/>
  </cols>
  <sheetData>
    <row r="1" spans="1:19" s="128" customFormat="1" ht="21" customHeight="1" x14ac:dyDescent="0.15">
      <c r="A1" s="117" t="s">
        <v>20</v>
      </c>
      <c r="B1" s="118" t="s">
        <v>126</v>
      </c>
      <c r="C1" s="119" t="s">
        <v>39</v>
      </c>
      <c r="D1" s="120" t="s">
        <v>155</v>
      </c>
      <c r="E1" s="120" t="s">
        <v>156</v>
      </c>
      <c r="F1" s="117" t="s">
        <v>138</v>
      </c>
      <c r="G1" s="121" t="s">
        <v>2</v>
      </c>
      <c r="H1" s="121" t="s">
        <v>157</v>
      </c>
      <c r="I1" s="121" t="s">
        <v>158</v>
      </c>
      <c r="J1" s="122" t="s">
        <v>176</v>
      </c>
      <c r="K1" s="121" t="s">
        <v>4</v>
      </c>
      <c r="L1" s="123" t="s">
        <v>159</v>
      </c>
      <c r="M1" s="124" t="s">
        <v>160</v>
      </c>
      <c r="N1" s="124" t="s">
        <v>161</v>
      </c>
      <c r="O1" s="124" t="s">
        <v>162</v>
      </c>
      <c r="P1" s="124" t="s">
        <v>163</v>
      </c>
      <c r="Q1" s="125" t="s">
        <v>164</v>
      </c>
      <c r="R1" s="126" t="s">
        <v>165</v>
      </c>
      <c r="S1" s="127" t="s">
        <v>166</v>
      </c>
    </row>
    <row r="2" spans="1:19" ht="21" customHeight="1" x14ac:dyDescent="0.15">
      <c r="A2" s="10">
        <v>788</v>
      </c>
      <c r="B2" s="132" t="s">
        <v>177</v>
      </c>
      <c r="C2" s="200" t="s">
        <v>328</v>
      </c>
      <c r="D2" s="133" t="s">
        <v>364</v>
      </c>
      <c r="E2" s="134">
        <f>LEN(D2)</f>
        <v>40</v>
      </c>
      <c r="F2" s="116">
        <v>14</v>
      </c>
      <c r="G2" s="116">
        <v>7</v>
      </c>
      <c r="H2" s="135">
        <f>2001</f>
        <v>2001</v>
      </c>
      <c r="I2" s="197" t="s">
        <v>363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アトラス</v>
      </c>
      <c r="K2" s="136">
        <f>IFERROR(VLOOKUP(A2,[1]characters!$A:$R,18),0)</f>
        <v>3</v>
      </c>
      <c r="L2" s="137"/>
      <c r="M2" s="138"/>
      <c r="N2" s="138"/>
      <c r="O2" s="138"/>
      <c r="P2" s="138"/>
      <c r="Q2" s="138"/>
      <c r="R2" s="133"/>
      <c r="S2" s="139"/>
    </row>
    <row r="3" spans="1:19" ht="21" customHeight="1" x14ac:dyDescent="0.15">
      <c r="A3" s="10">
        <v>789</v>
      </c>
      <c r="B3" s="132" t="s">
        <v>177</v>
      </c>
      <c r="C3" s="133" t="s">
        <v>327</v>
      </c>
      <c r="D3" s="133" t="s">
        <v>364</v>
      </c>
      <c r="E3" s="134">
        <f t="shared" ref="E3" si="0">LEN(D3)</f>
        <v>40</v>
      </c>
      <c r="F3" s="116">
        <v>13</v>
      </c>
      <c r="G3" s="116">
        <v>7</v>
      </c>
      <c r="H3" s="135">
        <f>2001</f>
        <v>2001</v>
      </c>
      <c r="I3" s="197" t="s">
        <v>363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極闘の大鋼腕 アトラス</v>
      </c>
      <c r="K3" s="136">
        <f>IFERROR(VLOOKUP(A3,[1]characters!$A:$R,18),0)</f>
        <v>3</v>
      </c>
      <c r="L3" s="137"/>
      <c r="M3" s="138"/>
      <c r="N3" s="138"/>
      <c r="O3" s="138"/>
      <c r="P3" s="138"/>
      <c r="Q3" s="138"/>
      <c r="R3" s="133"/>
      <c r="S3" s="139"/>
    </row>
    <row r="4" spans="1:19" ht="21" customHeight="1" x14ac:dyDescent="0.15">
      <c r="A4" s="10">
        <v>1088</v>
      </c>
      <c r="B4" s="132" t="s">
        <v>177</v>
      </c>
      <c r="C4" s="201" t="s">
        <v>329</v>
      </c>
      <c r="D4" s="133" t="s">
        <v>321</v>
      </c>
      <c r="E4" s="134">
        <f>LEN(D4)</f>
        <v>61</v>
      </c>
      <c r="F4" s="116">
        <v>14</v>
      </c>
      <c r="G4" s="116">
        <v>7</v>
      </c>
      <c r="H4" s="135">
        <f>2001</f>
        <v>2001</v>
      </c>
      <c r="I4" s="197" t="s">
        <v>322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ミケランジェロ</v>
      </c>
      <c r="K4" s="136">
        <f>IFERROR(VLOOKUP(A4,[1]characters!$A:$R,18),0)</f>
        <v>3</v>
      </c>
      <c r="L4" s="137"/>
      <c r="M4" s="138"/>
      <c r="N4" s="138"/>
      <c r="O4" s="138"/>
      <c r="P4" s="138"/>
      <c r="Q4" s="138"/>
      <c r="R4" s="133"/>
      <c r="S4" s="139"/>
    </row>
    <row r="5" spans="1:19" ht="21" customHeight="1" x14ac:dyDescent="0.15">
      <c r="A5" s="10">
        <v>1089</v>
      </c>
      <c r="B5" s="132" t="s">
        <v>177</v>
      </c>
      <c r="C5" s="201" t="s">
        <v>330</v>
      </c>
      <c r="D5" s="133" t="s">
        <v>320</v>
      </c>
      <c r="E5" s="134">
        <f t="shared" ref="E5" si="1">LEN(D5)</f>
        <v>61</v>
      </c>
      <c r="F5" s="116">
        <v>13</v>
      </c>
      <c r="G5" s="116">
        <v>7</v>
      </c>
      <c r="H5" s="135">
        <f>2001</f>
        <v>2001</v>
      </c>
      <c r="I5" s="197" t="s">
        <v>319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破壊の発誕 ミケランジェロ</v>
      </c>
      <c r="K5" s="136">
        <f>IFERROR(VLOOKUP(A5,[1]characters!$A:$R,18),0)</f>
        <v>3</v>
      </c>
      <c r="L5" s="137"/>
      <c r="M5" s="138"/>
      <c r="N5" s="138"/>
      <c r="O5" s="138"/>
      <c r="P5" s="138"/>
      <c r="Q5" s="138"/>
      <c r="R5" s="133"/>
      <c r="S5" s="139"/>
    </row>
    <row r="6" spans="1:19" ht="21" customHeight="1" x14ac:dyDescent="0.15">
      <c r="A6" s="10">
        <v>891</v>
      </c>
      <c r="B6" s="132" t="s">
        <v>177</v>
      </c>
      <c r="C6" s="201" t="s">
        <v>368</v>
      </c>
      <c r="D6" s="133" t="s">
        <v>385</v>
      </c>
      <c r="E6" s="134">
        <f>LEN(D6)</f>
        <v>52</v>
      </c>
      <c r="F6" s="116">
        <v>14</v>
      </c>
      <c r="G6" s="116">
        <v>7</v>
      </c>
      <c r="H6" s="135">
        <f>2001</f>
        <v>2001</v>
      </c>
      <c r="I6" s="197" t="s">
        <v>392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コルキス</v>
      </c>
      <c r="K6" s="136">
        <f>IFERROR(VLOOKUP(A6,[1]characters!$A:$R,18),0)</f>
        <v>3</v>
      </c>
      <c r="L6" s="137"/>
      <c r="M6" s="138"/>
      <c r="N6" s="138"/>
      <c r="O6" s="138"/>
      <c r="P6" s="138"/>
      <c r="Q6" s="138"/>
      <c r="R6" s="133"/>
      <c r="S6" s="139"/>
    </row>
    <row r="7" spans="1:19" ht="21" customHeight="1" x14ac:dyDescent="0.15">
      <c r="A7" s="10">
        <v>892</v>
      </c>
      <c r="B7" s="132" t="s">
        <v>177</v>
      </c>
      <c r="C7" s="201" t="s">
        <v>369</v>
      </c>
      <c r="D7" s="133" t="s">
        <v>367</v>
      </c>
      <c r="E7" s="134">
        <f t="shared" ref="E7" si="2">LEN(D7)</f>
        <v>52</v>
      </c>
      <c r="F7" s="116">
        <v>13</v>
      </c>
      <c r="G7" s="116">
        <v>7</v>
      </c>
      <c r="H7" s="135">
        <f>2001</f>
        <v>2001</v>
      </c>
      <c r="I7" s="197" t="s">
        <v>393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金碧の羊星 コルキス</v>
      </c>
      <c r="K7" s="136">
        <f>IFERROR(VLOOKUP(A7,[1]characters!$A:$R,18),0)</f>
        <v>3</v>
      </c>
      <c r="L7" s="137"/>
      <c r="M7" s="138"/>
      <c r="N7" s="138"/>
      <c r="O7" s="138"/>
      <c r="P7" s="138"/>
      <c r="Q7" s="138"/>
      <c r="R7" s="133"/>
      <c r="S7" s="139"/>
    </row>
    <row r="8" spans="1:19" ht="21" customHeight="1" x14ac:dyDescent="0.15">
      <c r="A8" s="10">
        <v>780</v>
      </c>
      <c r="B8" s="132" t="s">
        <v>177</v>
      </c>
      <c r="C8" s="205" t="s">
        <v>395</v>
      </c>
      <c r="D8" s="133" t="s">
        <v>391</v>
      </c>
      <c r="E8" s="134">
        <f>LEN(D8)</f>
        <v>51</v>
      </c>
      <c r="F8" s="116">
        <v>13</v>
      </c>
      <c r="G8" s="116">
        <v>7</v>
      </c>
      <c r="H8" s="135">
        <f>2001</f>
        <v>2001</v>
      </c>
      <c r="I8" s="197" t="s">
        <v>396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カスケード</v>
      </c>
      <c r="K8" s="136">
        <f>IFERROR(VLOOKUP(A8,[1]characters!$A:$R,18),0)</f>
        <v>3</v>
      </c>
      <c r="L8" s="137"/>
      <c r="M8" s="138"/>
      <c r="N8" s="138"/>
      <c r="O8" s="138"/>
      <c r="P8" s="138"/>
      <c r="Q8" s="138"/>
      <c r="R8" s="133"/>
      <c r="S8" s="139"/>
    </row>
    <row r="9" spans="1:19" ht="21" customHeight="1" x14ac:dyDescent="0.15">
      <c r="A9" s="10">
        <v>781</v>
      </c>
      <c r="B9" s="132" t="s">
        <v>177</v>
      </c>
      <c r="C9" s="205" t="s">
        <v>395</v>
      </c>
      <c r="D9" s="133" t="s">
        <v>391</v>
      </c>
      <c r="E9" s="134">
        <f t="shared" ref="E9" si="3">LEN(D9)</f>
        <v>51</v>
      </c>
      <c r="F9" s="116">
        <v>13</v>
      </c>
      <c r="G9" s="116">
        <v>7</v>
      </c>
      <c r="H9" s="135">
        <f>2001</f>
        <v>2001</v>
      </c>
      <c r="I9" s="197" t="s">
        <v>396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崩落の大瀑布 カスケード</v>
      </c>
      <c r="K9" s="136">
        <f>IFERROR(VLOOKUP(A9,[1]characters!$A:$R,18),0)</f>
        <v>3</v>
      </c>
      <c r="L9" s="137"/>
      <c r="M9" s="138"/>
      <c r="N9" s="138"/>
      <c r="O9" s="138"/>
      <c r="P9" s="138"/>
      <c r="Q9" s="138"/>
      <c r="R9" s="133"/>
      <c r="S9" s="139"/>
    </row>
    <row r="10" spans="1:19" ht="21" customHeight="1" x14ac:dyDescent="0.15">
      <c r="A10" s="204">
        <v>887</v>
      </c>
      <c r="B10" s="132" t="s">
        <v>177</v>
      </c>
      <c r="C10" s="201" t="s">
        <v>419</v>
      </c>
      <c r="D10" s="133" t="s">
        <v>390</v>
      </c>
      <c r="E10" s="134">
        <f>LEN(D10)</f>
        <v>40</v>
      </c>
      <c r="F10" s="116">
        <v>14</v>
      </c>
      <c r="G10" s="116">
        <v>7</v>
      </c>
      <c r="H10" s="135">
        <f>2001</f>
        <v>2001</v>
      </c>
      <c r="I10" s="197" t="s">
        <v>394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エリス</v>
      </c>
      <c r="K10" s="136">
        <f>IFERROR(VLOOKUP(A10,[1]characters!$A:$R,18),0)</f>
        <v>3</v>
      </c>
      <c r="L10" s="137"/>
      <c r="M10" s="138"/>
      <c r="N10" s="138"/>
      <c r="O10" s="138"/>
      <c r="P10" s="138"/>
      <c r="Q10" s="138"/>
      <c r="R10" s="133"/>
      <c r="S10" s="139"/>
    </row>
    <row r="11" spans="1:19" ht="21" customHeight="1" x14ac:dyDescent="0.15">
      <c r="A11" s="204">
        <v>888</v>
      </c>
      <c r="B11" s="132" t="s">
        <v>177</v>
      </c>
      <c r="C11" s="201" t="s">
        <v>419</v>
      </c>
      <c r="D11" s="133" t="s">
        <v>452</v>
      </c>
      <c r="E11" s="134">
        <f t="shared" ref="E11" si="4">LEN(D11)</f>
        <v>43</v>
      </c>
      <c r="F11" s="116">
        <v>14</v>
      </c>
      <c r="G11" s="116">
        <v>7</v>
      </c>
      <c r="H11" s="135">
        <f>2001</f>
        <v>2001</v>
      </c>
      <c r="I11" s="197" t="s">
        <v>446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禍根の暴送者 エリス</v>
      </c>
      <c r="K11" s="136">
        <f>IFERROR(VLOOKUP(A11,[1]characters!$A:$R,18),0)</f>
        <v>3</v>
      </c>
      <c r="L11" s="137"/>
      <c r="M11" s="138"/>
      <c r="N11" s="138"/>
      <c r="O11" s="138"/>
      <c r="P11" s="138"/>
      <c r="Q11" s="138"/>
      <c r="R11" s="133"/>
      <c r="S11" s="139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43" priority="20" operator="greaterThan">
      <formula>41</formula>
    </cfRule>
  </conditionalFormatting>
  <conditionalFormatting sqref="E2">
    <cfRule type="cellIs" dxfId="42" priority="14" operator="greaterThan">
      <formula>41</formula>
    </cfRule>
  </conditionalFormatting>
  <conditionalFormatting sqref="E3">
    <cfRule type="cellIs" dxfId="41" priority="13" operator="greaterThan">
      <formula>41</formula>
    </cfRule>
  </conditionalFormatting>
  <conditionalFormatting sqref="E4">
    <cfRule type="cellIs" dxfId="40" priority="10" operator="greaterThan">
      <formula>41</formula>
    </cfRule>
  </conditionalFormatting>
  <conditionalFormatting sqref="E5">
    <cfRule type="cellIs" dxfId="39" priority="9" operator="greaterThan">
      <formula>41</formula>
    </cfRule>
  </conditionalFormatting>
  <conditionalFormatting sqref="E6">
    <cfRule type="cellIs" dxfId="38" priority="8" operator="greaterThan">
      <formula>41</formula>
    </cfRule>
  </conditionalFormatting>
  <conditionalFormatting sqref="E7">
    <cfRule type="cellIs" dxfId="37" priority="7" operator="greaterThan">
      <formula>41</formula>
    </cfRule>
  </conditionalFormatting>
  <conditionalFormatting sqref="E8">
    <cfRule type="cellIs" dxfId="36" priority="6" operator="greaterThan">
      <formula>41</formula>
    </cfRule>
  </conditionalFormatting>
  <conditionalFormatting sqref="E9">
    <cfRule type="cellIs" dxfId="35" priority="5" operator="greaterThan">
      <formula>41</formula>
    </cfRule>
  </conditionalFormatting>
  <conditionalFormatting sqref="E10">
    <cfRule type="cellIs" dxfId="34" priority="4" operator="greaterThan">
      <formula>41</formula>
    </cfRule>
  </conditionalFormatting>
  <conditionalFormatting sqref="E11">
    <cfRule type="cellIs" dxfId="33" priority="3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12" sqref="A12:XFD13"/>
    </sheetView>
  </sheetViews>
  <sheetFormatPr baseColWidth="12" defaultColWidth="13" defaultRowHeight="21" customHeight="1" x14ac:dyDescent="0.15"/>
  <cols>
    <col min="1" max="2" width="12.1640625" style="129" customWidth="1"/>
    <col min="3" max="3" width="16" style="130" customWidth="1"/>
    <col min="4" max="4" width="23.83203125" style="130" customWidth="1"/>
    <col min="5" max="5" width="10.5" style="130" customWidth="1"/>
    <col min="6" max="7" width="59.1640625" style="130" customWidth="1"/>
    <col min="8" max="8" width="6.83203125" style="129" bestFit="1" customWidth="1"/>
    <col min="9" max="9" width="20.33203125" style="129" customWidth="1"/>
    <col min="10" max="10" width="5" style="129" bestFit="1" customWidth="1"/>
    <col min="11" max="16384" width="13" style="129"/>
  </cols>
  <sheetData>
    <row r="1" spans="1:19" ht="21" customHeight="1" x14ac:dyDescent="0.15">
      <c r="A1" s="117" t="s">
        <v>174</v>
      </c>
      <c r="B1" s="118" t="s">
        <v>173</v>
      </c>
      <c r="C1" s="119" t="s">
        <v>172</v>
      </c>
      <c r="D1" s="120" t="s">
        <v>171</v>
      </c>
      <c r="E1" s="120" t="s">
        <v>170</v>
      </c>
      <c r="F1" s="121" t="s">
        <v>169</v>
      </c>
      <c r="G1" s="122" t="s">
        <v>176</v>
      </c>
      <c r="H1" s="121" t="s">
        <v>168</v>
      </c>
      <c r="I1" s="122" t="s">
        <v>167</v>
      </c>
      <c r="J1" s="126" t="s">
        <v>166</v>
      </c>
    </row>
    <row r="2" spans="1:19" ht="33" customHeight="1" x14ac:dyDescent="0.25">
      <c r="A2" s="12">
        <v>788</v>
      </c>
      <c r="B2" s="132" t="s">
        <v>178</v>
      </c>
      <c r="C2" s="201" t="s">
        <v>331</v>
      </c>
      <c r="D2" s="199" t="s">
        <v>315</v>
      </c>
      <c r="E2" s="134">
        <f t="shared" ref="E2" si="0">LEN(D2)</f>
        <v>9</v>
      </c>
      <c r="F2" s="166" t="s">
        <v>317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アトラス</v>
      </c>
      <c r="H2" s="135">
        <f>IFERROR(VLOOKUP(A2,[1]characters!$A:$R,18),0)</f>
        <v>3</v>
      </c>
      <c r="I2" s="135"/>
      <c r="J2" s="140"/>
      <c r="K2" s="136">
        <v>1</v>
      </c>
      <c r="L2" s="137"/>
      <c r="M2" s="138"/>
      <c r="N2" s="138"/>
      <c r="O2" s="138"/>
      <c r="P2" s="138"/>
      <c r="Q2" s="138"/>
      <c r="R2" s="133"/>
      <c r="S2" s="139"/>
    </row>
    <row r="3" spans="1:19" ht="30" customHeight="1" x14ac:dyDescent="0.25">
      <c r="A3" s="12">
        <v>789</v>
      </c>
      <c r="B3" s="132" t="s">
        <v>178</v>
      </c>
      <c r="C3" s="201" t="s">
        <v>332</v>
      </c>
      <c r="D3" s="199" t="s">
        <v>316</v>
      </c>
      <c r="E3" s="134">
        <f t="shared" ref="E3:E4" si="1">LEN(D3)</f>
        <v>9</v>
      </c>
      <c r="F3" s="166" t="s">
        <v>318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極闘の大鋼腕 アトラス</v>
      </c>
      <c r="H3" s="135">
        <f>IFERROR(VLOOKUP(A3,[1]characters!$A:$R,18),0)</f>
        <v>3</v>
      </c>
      <c r="I3" s="135"/>
      <c r="J3" s="140"/>
      <c r="K3" s="136">
        <v>1</v>
      </c>
      <c r="L3" s="137"/>
      <c r="M3" s="138"/>
      <c r="N3" s="138"/>
      <c r="O3" s="138"/>
      <c r="P3" s="138"/>
      <c r="Q3" s="138"/>
      <c r="R3" s="133"/>
      <c r="S3" s="139"/>
    </row>
    <row r="4" spans="1:19" ht="33" customHeight="1" x14ac:dyDescent="0.25">
      <c r="A4" s="12">
        <v>1088</v>
      </c>
      <c r="B4" s="132" t="s">
        <v>178</v>
      </c>
      <c r="C4" s="201" t="s">
        <v>333</v>
      </c>
      <c r="D4" s="199" t="s">
        <v>323</v>
      </c>
      <c r="E4" s="134">
        <f t="shared" si="1"/>
        <v>20</v>
      </c>
      <c r="F4" s="166" t="s">
        <v>325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ミケランジェロ</v>
      </c>
      <c r="H4" s="135">
        <f>IFERROR(VLOOKUP(A4,[1]characters!$A:$R,18),0)</f>
        <v>3</v>
      </c>
      <c r="I4" s="135"/>
      <c r="J4" s="140"/>
      <c r="K4" s="136">
        <v>1</v>
      </c>
      <c r="L4" s="137"/>
      <c r="M4" s="138"/>
      <c r="N4" s="138"/>
      <c r="O4" s="138"/>
      <c r="P4" s="138"/>
      <c r="Q4" s="138"/>
      <c r="R4" s="133"/>
      <c r="S4" s="139"/>
    </row>
    <row r="5" spans="1:19" ht="30" customHeight="1" x14ac:dyDescent="0.25">
      <c r="A5" s="12">
        <v>1089</v>
      </c>
      <c r="B5" s="132" t="s">
        <v>178</v>
      </c>
      <c r="C5" s="201" t="s">
        <v>334</v>
      </c>
      <c r="D5" s="199" t="s">
        <v>324</v>
      </c>
      <c r="E5" s="134">
        <f t="shared" ref="E5:E6" si="2">LEN(D5)</f>
        <v>20</v>
      </c>
      <c r="F5" s="166" t="s">
        <v>326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破壊の発誕 ミケランジェロ</v>
      </c>
      <c r="H5" s="135">
        <f>IFERROR(VLOOKUP(A5,[1]characters!$A:$R,18),0)</f>
        <v>3</v>
      </c>
      <c r="I5" s="135"/>
      <c r="J5" s="140"/>
      <c r="K5" s="136">
        <v>1</v>
      </c>
      <c r="L5" s="137"/>
      <c r="M5" s="138"/>
      <c r="N5" s="138"/>
      <c r="O5" s="138"/>
      <c r="P5" s="138"/>
      <c r="Q5" s="138"/>
      <c r="R5" s="133"/>
      <c r="S5" s="139"/>
    </row>
    <row r="6" spans="1:19" ht="33" customHeight="1" x14ac:dyDescent="0.25">
      <c r="A6" s="12">
        <v>891</v>
      </c>
      <c r="B6" s="132" t="s">
        <v>177</v>
      </c>
      <c r="C6" s="201" t="s">
        <v>370</v>
      </c>
      <c r="D6" s="199" t="s">
        <v>365</v>
      </c>
      <c r="E6" s="134">
        <f t="shared" si="2"/>
        <v>24</v>
      </c>
      <c r="F6" s="166" t="s">
        <v>383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コルキス</v>
      </c>
      <c r="H6" s="135">
        <f>IFERROR(VLOOKUP(A6,[1]characters!$A:$R,18),0)</f>
        <v>3</v>
      </c>
      <c r="I6" s="135"/>
      <c r="J6" s="140"/>
      <c r="K6" s="136">
        <v>1</v>
      </c>
      <c r="L6" s="137"/>
      <c r="M6" s="138"/>
      <c r="N6" s="138"/>
      <c r="O6" s="138"/>
      <c r="P6" s="138"/>
      <c r="Q6" s="138"/>
      <c r="R6" s="133"/>
      <c r="S6" s="139"/>
    </row>
    <row r="7" spans="1:19" ht="30" customHeight="1" x14ac:dyDescent="0.25">
      <c r="A7" s="12">
        <v>892</v>
      </c>
      <c r="B7" s="132" t="s">
        <v>177</v>
      </c>
      <c r="C7" s="201" t="s">
        <v>371</v>
      </c>
      <c r="D7" s="199" t="s">
        <v>366</v>
      </c>
      <c r="E7" s="134">
        <f t="shared" ref="E7:E11" si="3">LEN(D7)</f>
        <v>24</v>
      </c>
      <c r="F7" s="166" t="s">
        <v>384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金碧の羊星 コルキス</v>
      </c>
      <c r="H7" s="135">
        <f>IFERROR(VLOOKUP(A7,[1]characters!$A:$R,18),0)</f>
        <v>3</v>
      </c>
      <c r="I7" s="135"/>
      <c r="J7" s="140"/>
      <c r="K7" s="136">
        <v>1</v>
      </c>
      <c r="L7" s="137"/>
      <c r="M7" s="138"/>
      <c r="N7" s="138"/>
      <c r="O7" s="138"/>
      <c r="P7" s="138"/>
      <c r="Q7" s="138"/>
      <c r="R7" s="133"/>
      <c r="S7" s="139"/>
    </row>
    <row r="8" spans="1:19" ht="33" customHeight="1" x14ac:dyDescent="0.25">
      <c r="A8" s="12">
        <v>780</v>
      </c>
      <c r="B8" s="132" t="s">
        <v>177</v>
      </c>
      <c r="C8" s="205" t="s">
        <v>397</v>
      </c>
      <c r="D8" s="199" t="s">
        <v>399</v>
      </c>
      <c r="E8" s="134">
        <f t="shared" si="3"/>
        <v>9</v>
      </c>
      <c r="F8" s="166" t="s">
        <v>400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カスケード</v>
      </c>
      <c r="H8" s="135">
        <f>IFERROR(VLOOKUP(A8,[1]characters!$A:$R,18),0)</f>
        <v>3</v>
      </c>
      <c r="I8" s="135"/>
      <c r="J8" s="140"/>
      <c r="K8" s="136">
        <v>1</v>
      </c>
      <c r="L8" s="137"/>
      <c r="M8" s="138"/>
      <c r="N8" s="138"/>
      <c r="O8" s="138"/>
      <c r="P8" s="138"/>
      <c r="Q8" s="138"/>
      <c r="R8" s="133"/>
      <c r="S8" s="139"/>
    </row>
    <row r="9" spans="1:19" ht="30" customHeight="1" x14ac:dyDescent="0.25">
      <c r="A9" s="12">
        <v>781</v>
      </c>
      <c r="B9" s="132" t="s">
        <v>177</v>
      </c>
      <c r="C9" s="205" t="s">
        <v>398</v>
      </c>
      <c r="D9" s="199" t="s">
        <v>389</v>
      </c>
      <c r="E9" s="134">
        <f t="shared" si="3"/>
        <v>9</v>
      </c>
      <c r="F9" s="166" t="s">
        <v>388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崩落の大瀑布 カスケード</v>
      </c>
      <c r="H9" s="135">
        <f>IFERROR(VLOOKUP(A9,[1]characters!$A:$R,18),0)</f>
        <v>3</v>
      </c>
      <c r="I9" s="135"/>
      <c r="J9" s="140"/>
      <c r="K9" s="136">
        <v>1</v>
      </c>
      <c r="L9" s="137"/>
      <c r="M9" s="138"/>
      <c r="N9" s="138"/>
      <c r="O9" s="138"/>
      <c r="P9" s="138"/>
      <c r="Q9" s="138"/>
      <c r="R9" s="133"/>
      <c r="S9" s="139"/>
    </row>
    <row r="10" spans="1:19" ht="33" customHeight="1" x14ac:dyDescent="0.25">
      <c r="A10" s="204">
        <v>887</v>
      </c>
      <c r="B10" s="132" t="s">
        <v>177</v>
      </c>
      <c r="C10" s="201" t="s">
        <v>423</v>
      </c>
      <c r="D10" s="199" t="s">
        <v>421</v>
      </c>
      <c r="E10" s="134">
        <f t="shared" si="3"/>
        <v>8</v>
      </c>
      <c r="F10" s="166" t="s">
        <v>422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エリス</v>
      </c>
      <c r="H10" s="135">
        <f>IFERROR(VLOOKUP(A10,[1]characters!$A:$R,18),0)</f>
        <v>3</v>
      </c>
      <c r="I10" s="135"/>
      <c r="J10" s="140"/>
      <c r="K10" s="136">
        <v>1</v>
      </c>
      <c r="L10" s="137"/>
      <c r="M10" s="138"/>
      <c r="N10" s="138"/>
      <c r="O10" s="138"/>
      <c r="P10" s="138"/>
      <c r="Q10" s="138"/>
      <c r="R10" s="133"/>
      <c r="S10" s="139"/>
    </row>
    <row r="11" spans="1:19" ht="30" customHeight="1" x14ac:dyDescent="0.25">
      <c r="A11" s="204">
        <v>888</v>
      </c>
      <c r="B11" s="132" t="s">
        <v>177</v>
      </c>
      <c r="C11" s="201" t="s">
        <v>420</v>
      </c>
      <c r="D11" s="199" t="s">
        <v>386</v>
      </c>
      <c r="E11" s="134">
        <f t="shared" si="3"/>
        <v>9</v>
      </c>
      <c r="F11" s="166" t="s">
        <v>387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禍根の暴送者 エリス</v>
      </c>
      <c r="H11" s="135">
        <f>IFERROR(VLOOKUP(A11,[1]characters!$A:$R,18),0)</f>
        <v>3</v>
      </c>
      <c r="I11" s="135"/>
      <c r="J11" s="140"/>
      <c r="K11" s="136">
        <v>1</v>
      </c>
      <c r="L11" s="137"/>
      <c r="M11" s="138"/>
      <c r="N11" s="138"/>
      <c r="O11" s="138"/>
      <c r="P11" s="138"/>
      <c r="Q11" s="138"/>
      <c r="R11" s="133"/>
      <c r="S11" s="139"/>
    </row>
  </sheetData>
  <sheetProtection selectLockedCells="1" selectUnlockedCells="1"/>
  <autoFilter ref="A1:J1"/>
  <phoneticPr fontId="22"/>
  <conditionalFormatting sqref="E2:E3">
    <cfRule type="cellIs" dxfId="32" priority="9" operator="greaterThan">
      <formula>41</formula>
    </cfRule>
  </conditionalFormatting>
  <conditionalFormatting sqref="E4:E5">
    <cfRule type="cellIs" dxfId="31" priority="5" operator="greaterThan">
      <formula>41</formula>
    </cfRule>
  </conditionalFormatting>
  <conditionalFormatting sqref="E6:E7">
    <cfRule type="cellIs" dxfId="30" priority="4" operator="greaterThan">
      <formula>41</formula>
    </cfRule>
  </conditionalFormatting>
  <conditionalFormatting sqref="E8:E9">
    <cfRule type="cellIs" dxfId="29" priority="3" operator="greaterThan">
      <formula>41</formula>
    </cfRule>
  </conditionalFormatting>
  <conditionalFormatting sqref="E10:E11">
    <cfRule type="cellIs" dxfId="28" priority="2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46"/>
  <sheetViews>
    <sheetView topLeftCell="A26" workbookViewId="0">
      <selection activeCell="B9" sqref="B9"/>
    </sheetView>
  </sheetViews>
  <sheetFormatPr baseColWidth="12" defaultRowHeight="15" outlineLevelCol="1" x14ac:dyDescent="0.15"/>
  <cols>
    <col min="2" max="2" width="18.83203125" style="142" customWidth="1"/>
    <col min="4" max="4" width="12.83203125" style="142" customWidth="1" outlineLevel="1"/>
    <col min="5" max="5" width="12.83203125" style="142"/>
    <col min="8" max="8" width="24.33203125" bestFit="1" customWidth="1"/>
  </cols>
  <sheetData>
    <row r="1" spans="1:8" x14ac:dyDescent="0.15">
      <c r="A1" s="113" t="s">
        <v>179</v>
      </c>
      <c r="B1" s="141" t="s">
        <v>180</v>
      </c>
      <c r="C1" s="113" t="s">
        <v>181</v>
      </c>
      <c r="D1" s="141" t="s">
        <v>183</v>
      </c>
      <c r="E1" s="141" t="s">
        <v>184</v>
      </c>
      <c r="F1" s="111" t="s">
        <v>185</v>
      </c>
      <c r="G1" s="113" t="s">
        <v>182</v>
      </c>
      <c r="H1" s="111" t="s">
        <v>186</v>
      </c>
    </row>
    <row r="2" spans="1:8" x14ac:dyDescent="0.15">
      <c r="A2" s="109">
        <v>788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アトラス</v>
      </c>
      <c r="C2" s="109" t="s">
        <v>304</v>
      </c>
      <c r="D2" s="141"/>
      <c r="E2" s="141" t="str">
        <f>A2&amp;+(COUNTIF(A2:A$6,A2)-1)</f>
        <v>7883</v>
      </c>
      <c r="F2" s="109" t="s">
        <v>305</v>
      </c>
      <c r="G2" s="201" t="s">
        <v>335</v>
      </c>
      <c r="H2" s="201" t="s">
        <v>336</v>
      </c>
    </row>
    <row r="3" spans="1:8" x14ac:dyDescent="0.15">
      <c r="A3" s="109">
        <v>788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アトラス</v>
      </c>
      <c r="C3" s="109" t="s">
        <v>306</v>
      </c>
      <c r="D3" s="141"/>
      <c r="E3" s="141" t="str">
        <f>A3&amp;+(COUNTIF(A3:A$6,A3)-1)</f>
        <v>7882</v>
      </c>
      <c r="F3" s="109" t="s">
        <v>307</v>
      </c>
      <c r="G3" s="201" t="s">
        <v>339</v>
      </c>
      <c r="H3" s="201" t="s">
        <v>340</v>
      </c>
    </row>
    <row r="4" spans="1:8" x14ac:dyDescent="0.15">
      <c r="A4" s="109">
        <v>788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アトラス</v>
      </c>
      <c r="C4" s="109" t="s">
        <v>306</v>
      </c>
      <c r="D4" s="141"/>
      <c r="E4" s="141" t="str">
        <f>A4&amp;+(COUNTIF(A4:A$6,A4)-1)</f>
        <v>7881</v>
      </c>
      <c r="F4" s="109" t="s">
        <v>307</v>
      </c>
      <c r="G4" s="201" t="s">
        <v>339</v>
      </c>
      <c r="H4" s="201" t="s">
        <v>341</v>
      </c>
    </row>
    <row r="5" spans="1:8" x14ac:dyDescent="0.15">
      <c r="A5" s="109">
        <v>788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アトラス</v>
      </c>
      <c r="C5" s="109" t="s">
        <v>306</v>
      </c>
      <c r="D5" s="141"/>
      <c r="E5" s="141" t="str">
        <f>A5&amp;+(COUNTIF(A5:A$6,A5)-1)</f>
        <v>7880</v>
      </c>
      <c r="F5" s="109" t="s">
        <v>307</v>
      </c>
      <c r="G5" s="201" t="s">
        <v>339</v>
      </c>
      <c r="H5" s="201" t="s">
        <v>342</v>
      </c>
    </row>
    <row r="6" spans="1:8" x14ac:dyDescent="0.15">
      <c r="A6" s="109">
        <v>789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極闘の大鋼腕 アトラス</v>
      </c>
      <c r="C6" s="109" t="s">
        <v>309</v>
      </c>
      <c r="D6" s="141"/>
      <c r="E6" s="141" t="str">
        <f>A6&amp;+(COUNTIF(A$6:A6,A6)-1)</f>
        <v>7890</v>
      </c>
      <c r="F6" s="109" t="s">
        <v>307</v>
      </c>
      <c r="G6" s="201" t="s">
        <v>337</v>
      </c>
      <c r="H6" s="201" t="s">
        <v>338</v>
      </c>
    </row>
    <row r="7" spans="1:8" x14ac:dyDescent="0.15">
      <c r="A7" s="109">
        <v>789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極闘の大鋼腕 アトラス</v>
      </c>
      <c r="C7" s="109" t="s">
        <v>308</v>
      </c>
      <c r="D7" s="141"/>
      <c r="E7" s="141" t="str">
        <f>A7&amp;+(COUNTIF(A$6:A7,A7)-1)</f>
        <v>7891</v>
      </c>
      <c r="F7" s="109" t="s">
        <v>307</v>
      </c>
      <c r="G7" s="201" t="s">
        <v>343</v>
      </c>
      <c r="H7" s="201" t="s">
        <v>344</v>
      </c>
    </row>
    <row r="8" spans="1:8" x14ac:dyDescent="0.15">
      <c r="A8" s="109">
        <v>789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極闘の大鋼腕 アトラス</v>
      </c>
      <c r="C8" s="109" t="s">
        <v>308</v>
      </c>
      <c r="D8" s="141"/>
      <c r="E8" s="141" t="str">
        <f>A8&amp;+(COUNTIF(A$6:A8,A8)-1)</f>
        <v>7892</v>
      </c>
      <c r="F8" s="109" t="s">
        <v>310</v>
      </c>
      <c r="G8" s="201" t="s">
        <v>343</v>
      </c>
      <c r="H8" s="201" t="s">
        <v>345</v>
      </c>
    </row>
    <row r="9" spans="1:8" x14ac:dyDescent="0.15">
      <c r="A9" s="109">
        <v>789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極闘の大鋼腕 アトラス</v>
      </c>
      <c r="C9" s="109" t="s">
        <v>306</v>
      </c>
      <c r="D9" s="141"/>
      <c r="E9" s="141" t="str">
        <f>A9&amp;+(COUNTIF(A$6:A9,A9)-1)</f>
        <v>7893</v>
      </c>
      <c r="F9" s="109" t="s">
        <v>311</v>
      </c>
      <c r="G9" s="201" t="s">
        <v>343</v>
      </c>
      <c r="H9" s="201" t="s">
        <v>346</v>
      </c>
    </row>
    <row r="10" spans="1:8" x14ac:dyDescent="0.15">
      <c r="A10" s="109">
        <v>789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極闘の大鋼腕 アトラス</v>
      </c>
      <c r="C10" s="109" t="s">
        <v>312</v>
      </c>
      <c r="D10" s="141"/>
      <c r="E10" s="141" t="str">
        <f>A10&amp;+(COUNTIF(A$6:A10,A10)-1)</f>
        <v>7894</v>
      </c>
      <c r="F10" s="109" t="s">
        <v>307</v>
      </c>
      <c r="G10" s="201" t="s">
        <v>337</v>
      </c>
      <c r="H10" s="201" t="s">
        <v>347</v>
      </c>
    </row>
    <row r="11" spans="1:8" x14ac:dyDescent="0.15">
      <c r="A11" s="109">
        <v>1088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ミケランジェロ</v>
      </c>
      <c r="C11" s="109" t="s">
        <v>304</v>
      </c>
      <c r="D11" s="141"/>
      <c r="E11" s="141" t="str">
        <f>A11&amp;+(COUNTIF(A$6:A11,A11)-1)</f>
        <v>10880</v>
      </c>
      <c r="F11" s="109" t="s">
        <v>305</v>
      </c>
      <c r="G11" s="200" t="s">
        <v>348</v>
      </c>
      <c r="H11" s="200" t="s">
        <v>349</v>
      </c>
    </row>
    <row r="12" spans="1:8" x14ac:dyDescent="0.15">
      <c r="A12" s="109">
        <v>1088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ミケランジェロ</v>
      </c>
      <c r="C12" s="109" t="s">
        <v>306</v>
      </c>
      <c r="D12" s="141"/>
      <c r="E12" s="141" t="str">
        <f>A12&amp;+(COUNTIF(A$6:A12,A12)-1)</f>
        <v>10881</v>
      </c>
      <c r="F12" s="109" t="s">
        <v>307</v>
      </c>
      <c r="G12" s="201" t="s">
        <v>352</v>
      </c>
      <c r="H12" s="201" t="s">
        <v>353</v>
      </c>
    </row>
    <row r="13" spans="1:8" x14ac:dyDescent="0.15">
      <c r="A13" s="109">
        <v>1088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ミケランジェロ</v>
      </c>
      <c r="C13" s="109" t="s">
        <v>306</v>
      </c>
      <c r="D13" s="141"/>
      <c r="E13" s="141" t="str">
        <f>A13&amp;+(COUNTIF(A$6:A13,A13)-1)</f>
        <v>10882</v>
      </c>
      <c r="F13" s="109" t="s">
        <v>307</v>
      </c>
      <c r="G13" s="201" t="s">
        <v>350</v>
      </c>
      <c r="H13" s="201" t="s">
        <v>354</v>
      </c>
    </row>
    <row r="14" spans="1:8" x14ac:dyDescent="0.15">
      <c r="A14" s="109">
        <v>1088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ミケランジェロ</v>
      </c>
      <c r="C14" s="109" t="s">
        <v>306</v>
      </c>
      <c r="D14" s="141"/>
      <c r="E14" s="141" t="str">
        <f>A14&amp;+(COUNTIF(A$6:A14,A14)-1)</f>
        <v>10883</v>
      </c>
      <c r="F14" s="109" t="s">
        <v>307</v>
      </c>
      <c r="G14" s="201" t="s">
        <v>355</v>
      </c>
      <c r="H14" s="201" t="s">
        <v>356</v>
      </c>
    </row>
    <row r="15" spans="1:8" x14ac:dyDescent="0.15">
      <c r="A15" s="109">
        <v>1089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破壊の発誕 ミケランジェロ</v>
      </c>
      <c r="C15" s="109" t="s">
        <v>309</v>
      </c>
      <c r="D15" s="141"/>
      <c r="E15" s="141" t="str">
        <f>A15&amp;+(COUNTIF(A$6:A15,A15)-1)</f>
        <v>10890</v>
      </c>
      <c r="F15" s="109" t="s">
        <v>307</v>
      </c>
      <c r="G15" s="200" t="s">
        <v>350</v>
      </c>
      <c r="H15" s="200" t="s">
        <v>351</v>
      </c>
    </row>
    <row r="16" spans="1:8" x14ac:dyDescent="0.15">
      <c r="A16" s="109">
        <v>1089</v>
      </c>
      <c r="B16" s="57" t="str">
        <f ca="1">VLOOKUP($A16,OFFSET([1]characters!$A$1,0,0,COUNTA([1]characters!$A:$A),MATCH(B$1,[1]characters!$1:$1,0)-MATCH($A$1,[1]characters!$1:$1,0)+1),MATCH(B$1,[1]characters!$1:$1,0)-MATCH($A$1,[1]characters!$1:$1,0)+1,FALSE)</f>
        <v>破壊の発誕 ミケランジェロ</v>
      </c>
      <c r="C16" s="109" t="s">
        <v>308</v>
      </c>
      <c r="D16" s="141"/>
      <c r="E16" s="141" t="str">
        <f>A16&amp;+(COUNTIF(A$6:A16,A16)-1)</f>
        <v>10891</v>
      </c>
      <c r="F16" s="109" t="s">
        <v>307</v>
      </c>
      <c r="G16" s="201" t="s">
        <v>357</v>
      </c>
      <c r="H16" s="201" t="s">
        <v>358</v>
      </c>
    </row>
    <row r="17" spans="1:8" x14ac:dyDescent="0.15">
      <c r="A17" s="109">
        <v>1089</v>
      </c>
      <c r="B17" s="57" t="str">
        <f ca="1">VLOOKUP($A17,OFFSET([1]characters!$A$1,0,0,COUNTA([1]characters!$A:$A),MATCH(B$1,[1]characters!$1:$1,0)-MATCH($A$1,[1]characters!$1:$1,0)+1),MATCH(B$1,[1]characters!$1:$1,0)-MATCH($A$1,[1]characters!$1:$1,0)+1,FALSE)</f>
        <v>破壊の発誕 ミケランジェロ</v>
      </c>
      <c r="C17" s="109" t="s">
        <v>308</v>
      </c>
      <c r="D17" s="141"/>
      <c r="E17" s="141" t="str">
        <f>A17&amp;+(COUNTIF(A$6:A17,A17)-1)</f>
        <v>10892</v>
      </c>
      <c r="F17" s="109" t="s">
        <v>310</v>
      </c>
      <c r="G17" s="201" t="s">
        <v>357</v>
      </c>
      <c r="H17" s="201" t="s">
        <v>359</v>
      </c>
    </row>
    <row r="18" spans="1:8" x14ac:dyDescent="0.15">
      <c r="A18" s="109">
        <v>1089</v>
      </c>
      <c r="B18" s="57" t="str">
        <f ca="1">VLOOKUP($A18,OFFSET([1]characters!$A$1,0,0,COUNTA([1]characters!$A:$A),MATCH(B$1,[1]characters!$1:$1,0)-MATCH($A$1,[1]characters!$1:$1,0)+1),MATCH(B$1,[1]characters!$1:$1,0)-MATCH($A$1,[1]characters!$1:$1,0)+1,FALSE)</f>
        <v>破壊の発誕 ミケランジェロ</v>
      </c>
      <c r="C18" s="109" t="s">
        <v>306</v>
      </c>
      <c r="D18" s="141"/>
      <c r="E18" s="141" t="str">
        <f>A18&amp;+(COUNTIF(A$6:A18,A18)-1)</f>
        <v>10893</v>
      </c>
      <c r="F18" s="109" t="s">
        <v>311</v>
      </c>
      <c r="G18" s="201" t="s">
        <v>360</v>
      </c>
      <c r="H18" s="201" t="s">
        <v>361</v>
      </c>
    </row>
    <row r="19" spans="1:8" x14ac:dyDescent="0.15">
      <c r="A19" s="109">
        <v>1089</v>
      </c>
      <c r="B19" s="57" t="str">
        <f ca="1">VLOOKUP($A19,OFFSET([1]characters!$A$1,0,0,COUNTA([1]characters!$A:$A),MATCH(B$1,[1]characters!$1:$1,0)-MATCH($A$1,[1]characters!$1:$1,0)+1),MATCH(B$1,[1]characters!$1:$1,0)-MATCH($A$1,[1]characters!$1:$1,0)+1,FALSE)</f>
        <v>破壊の発誕 ミケランジェロ</v>
      </c>
      <c r="C19" s="109" t="s">
        <v>312</v>
      </c>
      <c r="D19" s="141"/>
      <c r="E19" s="141" t="str">
        <f>A19&amp;+(COUNTIF(A$6:A19,A19)-1)</f>
        <v>10894</v>
      </c>
      <c r="F19" s="109" t="s">
        <v>307</v>
      </c>
      <c r="G19" s="201" t="s">
        <v>350</v>
      </c>
      <c r="H19" s="202" t="s">
        <v>362</v>
      </c>
    </row>
    <row r="20" spans="1:8" x14ac:dyDescent="0.15">
      <c r="A20" s="109">
        <v>891</v>
      </c>
      <c r="B20" s="57" t="str">
        <f ca="1">VLOOKUP($A20,OFFSET([1]characters!$A$1,0,0,COUNTA([1]characters!$A:$A),MATCH(B$1,[1]characters!$1:$1,0)-MATCH($A$1,[1]characters!$1:$1,0)+1),MATCH(B$1,[1]characters!$1:$1,0)-MATCH($A$1,[1]characters!$1:$1,0)+1,FALSE)</f>
        <v>コルキス</v>
      </c>
      <c r="C20" s="109" t="s">
        <v>304</v>
      </c>
      <c r="D20" s="141"/>
      <c r="E20" s="141" t="str">
        <f>A20&amp;+(COUNTIF(A$6:A20,A20)-1)</f>
        <v>8910</v>
      </c>
      <c r="F20" s="109" t="s">
        <v>177</v>
      </c>
      <c r="G20" s="203" t="s">
        <v>335</v>
      </c>
      <c r="H20" s="203" t="s">
        <v>372</v>
      </c>
    </row>
    <row r="21" spans="1:8" x14ac:dyDescent="0.15">
      <c r="A21" s="109">
        <v>891</v>
      </c>
      <c r="B21" s="57" t="str">
        <f ca="1">VLOOKUP($A21,OFFSET([1]characters!$A$1,0,0,COUNTA([1]characters!$A:$A),MATCH(B$1,[1]characters!$1:$1,0)-MATCH($A$1,[1]characters!$1:$1,0)+1),MATCH(B$1,[1]characters!$1:$1,0)-MATCH($A$1,[1]characters!$1:$1,0)+1,FALSE)</f>
        <v>コルキス</v>
      </c>
      <c r="C21" s="109" t="s">
        <v>306</v>
      </c>
      <c r="D21" s="141"/>
      <c r="E21" s="141" t="str">
        <f>A21&amp;+(COUNTIF(A$6:A21,A21)-1)</f>
        <v>8911</v>
      </c>
      <c r="F21" s="109" t="s">
        <v>177</v>
      </c>
      <c r="G21" s="203" t="s">
        <v>374</v>
      </c>
      <c r="H21" s="203" t="s">
        <v>375</v>
      </c>
    </row>
    <row r="22" spans="1:8" x14ac:dyDescent="0.15">
      <c r="A22" s="109">
        <v>891</v>
      </c>
      <c r="B22" s="57" t="str">
        <f ca="1">VLOOKUP($A22,OFFSET([1]characters!$A$1,0,0,COUNTA([1]characters!$A:$A),MATCH(B$1,[1]characters!$1:$1,0)-MATCH($A$1,[1]characters!$1:$1,0)+1),MATCH(B$1,[1]characters!$1:$1,0)-MATCH($A$1,[1]characters!$1:$1,0)+1,FALSE)</f>
        <v>コルキス</v>
      </c>
      <c r="C22" s="109" t="s">
        <v>306</v>
      </c>
      <c r="D22" s="141"/>
      <c r="E22" s="141" t="str">
        <f>A22&amp;+(COUNTIF(A$6:A22,A22)-1)</f>
        <v>8912</v>
      </c>
      <c r="F22" s="109" t="s">
        <v>177</v>
      </c>
      <c r="G22" s="203" t="s">
        <v>374</v>
      </c>
      <c r="H22" s="203" t="s">
        <v>376</v>
      </c>
    </row>
    <row r="23" spans="1:8" x14ac:dyDescent="0.15">
      <c r="A23" s="109">
        <v>891</v>
      </c>
      <c r="B23" s="57" t="str">
        <f ca="1">VLOOKUP($A23,OFFSET([1]characters!$A$1,0,0,COUNTA([1]characters!$A:$A),MATCH(B$1,[1]characters!$1:$1,0)-MATCH($A$1,[1]characters!$1:$1,0)+1),MATCH(B$1,[1]characters!$1:$1,0)-MATCH($A$1,[1]characters!$1:$1,0)+1,FALSE)</f>
        <v>コルキス</v>
      </c>
      <c r="C23" s="109" t="s">
        <v>306</v>
      </c>
      <c r="D23" s="141"/>
      <c r="E23" s="141" t="str">
        <f>A23&amp;+(COUNTIF(A$6:A23,A23)-1)</f>
        <v>8913</v>
      </c>
      <c r="F23" s="109" t="s">
        <v>177</v>
      </c>
      <c r="G23" s="203" t="s">
        <v>374</v>
      </c>
      <c r="H23" s="203" t="s">
        <v>377</v>
      </c>
    </row>
    <row r="24" spans="1:8" x14ac:dyDescent="0.15">
      <c r="A24" s="109">
        <v>892</v>
      </c>
      <c r="B24" s="57" t="str">
        <f ca="1">VLOOKUP($A24,OFFSET([1]characters!$A$1,0,0,COUNTA([1]characters!$A:$A),MATCH(B$1,[1]characters!$1:$1,0)-MATCH($A$1,[1]characters!$1:$1,0)+1),MATCH(B$1,[1]characters!$1:$1,0)-MATCH($A$1,[1]characters!$1:$1,0)+1,FALSE)</f>
        <v>金碧の羊星 コルキス</v>
      </c>
      <c r="C24" s="109" t="s">
        <v>304</v>
      </c>
      <c r="D24" s="141"/>
      <c r="E24" s="141" t="str">
        <f>A24&amp;+(COUNTIF(A$6:A24,A24)-1)</f>
        <v>8920</v>
      </c>
      <c r="F24" s="109" t="s">
        <v>177</v>
      </c>
      <c r="G24" s="203" t="s">
        <v>335</v>
      </c>
      <c r="H24" s="203" t="s">
        <v>373</v>
      </c>
    </row>
    <row r="25" spans="1:8" x14ac:dyDescent="0.15">
      <c r="A25" s="109">
        <v>892</v>
      </c>
      <c r="B25" s="57" t="str">
        <f ca="1">VLOOKUP($A25,OFFSET([1]characters!$A$1,0,0,COUNTA([1]characters!$A:$A),MATCH(B$1,[1]characters!$1:$1,0)-MATCH($A$1,[1]characters!$1:$1,0)+1),MATCH(B$1,[1]characters!$1:$1,0)-MATCH($A$1,[1]characters!$1:$1,0)+1,FALSE)</f>
        <v>金碧の羊星 コルキス</v>
      </c>
      <c r="C25" s="109" t="s">
        <v>306</v>
      </c>
      <c r="D25" s="141"/>
      <c r="E25" s="141" t="str">
        <f>A25&amp;+(COUNTIF(A$6:A25,A25)-1)</f>
        <v>8921</v>
      </c>
      <c r="F25" s="109" t="s">
        <v>177</v>
      </c>
      <c r="G25" s="203" t="s">
        <v>348</v>
      </c>
      <c r="H25" s="203" t="s">
        <v>378</v>
      </c>
    </row>
    <row r="26" spans="1:8" x14ac:dyDescent="0.15">
      <c r="A26" s="109">
        <v>892</v>
      </c>
      <c r="B26" s="57" t="str">
        <f ca="1">VLOOKUP($A26,OFFSET([1]characters!$A$1,0,0,COUNTA([1]characters!$A:$A),MATCH(B$1,[1]characters!$1:$1,0)-MATCH($A$1,[1]characters!$1:$1,0)+1),MATCH(B$1,[1]characters!$1:$1,0)-MATCH($A$1,[1]characters!$1:$1,0)+1,FALSE)</f>
        <v>金碧の羊星 コルキス</v>
      </c>
      <c r="C26" s="109" t="s">
        <v>306</v>
      </c>
      <c r="D26" s="141"/>
      <c r="E26" s="141" t="str">
        <f>A26&amp;+(COUNTIF(A$6:A26,A26)-1)</f>
        <v>8922</v>
      </c>
      <c r="F26" s="109" t="s">
        <v>177</v>
      </c>
      <c r="G26" s="203" t="s">
        <v>348</v>
      </c>
      <c r="H26" s="203" t="s">
        <v>379</v>
      </c>
    </row>
    <row r="27" spans="1:8" x14ac:dyDescent="0.15">
      <c r="A27" s="109">
        <v>892</v>
      </c>
      <c r="B27" s="57" t="str">
        <f ca="1">VLOOKUP($A27,OFFSET([1]characters!$A$1,0,0,COUNTA([1]characters!$A:$A),MATCH(B$1,[1]characters!$1:$1,0)-MATCH($A$1,[1]characters!$1:$1,0)+1),MATCH(B$1,[1]characters!$1:$1,0)-MATCH($A$1,[1]characters!$1:$1,0)+1,FALSE)</f>
        <v>金碧の羊星 コルキス</v>
      </c>
      <c r="C27" s="109" t="s">
        <v>306</v>
      </c>
      <c r="D27" s="141"/>
      <c r="E27" s="141" t="str">
        <f>A27&amp;+(COUNTIF(A$6:A27,A27)-1)</f>
        <v>8923</v>
      </c>
      <c r="F27" s="109" t="s">
        <v>177</v>
      </c>
      <c r="G27" s="203" t="s">
        <v>348</v>
      </c>
      <c r="H27" s="203" t="s">
        <v>380</v>
      </c>
    </row>
    <row r="28" spans="1:8" x14ac:dyDescent="0.15">
      <c r="A28" s="109">
        <v>892</v>
      </c>
      <c r="B28" s="57" t="str">
        <f ca="1">VLOOKUP($A28,OFFSET([1]characters!$A$1,0,0,COUNTA([1]characters!$A:$A),MATCH(B$1,[1]characters!$1:$1,0)-MATCH($A$1,[1]characters!$1:$1,0)+1),MATCH(B$1,[1]characters!$1:$1,0)-MATCH($A$1,[1]characters!$1:$1,0)+1,FALSE)</f>
        <v>金碧の羊星 コルキス</v>
      </c>
      <c r="C28" s="109" t="s">
        <v>306</v>
      </c>
      <c r="D28" s="141"/>
      <c r="E28" s="141" t="str">
        <f>A28&amp;+(COUNTIF(A$6:A28,A28)-1)</f>
        <v>8924</v>
      </c>
      <c r="F28" s="109" t="s">
        <v>177</v>
      </c>
      <c r="G28" s="203" t="s">
        <v>381</v>
      </c>
      <c r="H28" s="203" t="s">
        <v>382</v>
      </c>
    </row>
    <row r="29" spans="1:8" x14ac:dyDescent="0.15">
      <c r="A29" s="109">
        <v>780</v>
      </c>
      <c r="B29" s="57" t="str">
        <f ca="1">VLOOKUP($A29,OFFSET([1]characters!$A$1,0,0,COUNTA([1]characters!$A:$A),MATCH(B$1,[1]characters!$1:$1,0)-MATCH($A$1,[1]characters!$1:$1,0)+1),MATCH(B$1,[1]characters!$1:$1,0)-MATCH($A$1,[1]characters!$1:$1,0)+1,FALSE)</f>
        <v>カスケード</v>
      </c>
      <c r="C29" s="109" t="s">
        <v>304</v>
      </c>
      <c r="D29" s="141"/>
      <c r="E29" s="141" t="str">
        <f>A29&amp;+(COUNTIF(A$6:A29,A29)-1)</f>
        <v>7800</v>
      </c>
      <c r="F29" s="109" t="s">
        <v>177</v>
      </c>
      <c r="G29" s="206" t="s">
        <v>401</v>
      </c>
      <c r="H29" s="206" t="s">
        <v>408</v>
      </c>
    </row>
    <row r="30" spans="1:8" x14ac:dyDescent="0.15">
      <c r="A30" s="109">
        <v>780</v>
      </c>
      <c r="B30" s="57" t="str">
        <f ca="1">VLOOKUP($A30,OFFSET([1]characters!$A$1,0,0,COUNTA([1]characters!$A:$A),MATCH(B$1,[1]characters!$1:$1,0)-MATCH($A$1,[1]characters!$1:$1,0)+1),MATCH(B$1,[1]characters!$1:$1,0)-MATCH($A$1,[1]characters!$1:$1,0)+1,FALSE)</f>
        <v>カスケード</v>
      </c>
      <c r="C30" s="109" t="s">
        <v>306</v>
      </c>
      <c r="D30" s="141"/>
      <c r="E30" s="141" t="str">
        <f>A30&amp;+(COUNTIF(A$6:A30,A30)-1)</f>
        <v>7801</v>
      </c>
      <c r="F30" s="109" t="s">
        <v>177</v>
      </c>
      <c r="G30" s="206" t="s">
        <v>401</v>
      </c>
      <c r="H30" s="206" t="s">
        <v>402</v>
      </c>
    </row>
    <row r="31" spans="1:8" x14ac:dyDescent="0.15">
      <c r="A31" s="109">
        <v>780</v>
      </c>
      <c r="B31" s="57" t="str">
        <f ca="1">VLOOKUP($A31,OFFSET([1]characters!$A$1,0,0,COUNTA([1]characters!$A:$A),MATCH(B$1,[1]characters!$1:$1,0)-MATCH($A$1,[1]characters!$1:$1,0)+1),MATCH(B$1,[1]characters!$1:$1,0)-MATCH($A$1,[1]characters!$1:$1,0)+1,FALSE)</f>
        <v>カスケード</v>
      </c>
      <c r="C31" s="109" t="s">
        <v>306</v>
      </c>
      <c r="D31" s="141"/>
      <c r="E31" s="141" t="str">
        <f>A31&amp;+(COUNTIF(A$6:A31,A31)-1)</f>
        <v>7802</v>
      </c>
      <c r="F31" s="109" t="s">
        <v>177</v>
      </c>
      <c r="G31" s="206" t="s">
        <v>403</v>
      </c>
      <c r="H31" s="206" t="s">
        <v>404</v>
      </c>
    </row>
    <row r="32" spans="1:8" x14ac:dyDescent="0.15">
      <c r="A32" s="109">
        <v>780</v>
      </c>
      <c r="B32" s="57" t="str">
        <f ca="1">VLOOKUP($A32,OFFSET([1]characters!$A$1,0,0,COUNTA([1]characters!$A:$A),MATCH(B$1,[1]characters!$1:$1,0)-MATCH($A$1,[1]characters!$1:$1,0)+1),MATCH(B$1,[1]characters!$1:$1,0)-MATCH($A$1,[1]characters!$1:$1,0)+1,FALSE)</f>
        <v>カスケード</v>
      </c>
      <c r="C32" s="109" t="s">
        <v>306</v>
      </c>
      <c r="D32" s="141"/>
      <c r="E32" s="141" t="str">
        <f>A32&amp;+(COUNTIF(A$6:A32,A32)-1)</f>
        <v>7803</v>
      </c>
      <c r="F32" s="109" t="s">
        <v>177</v>
      </c>
      <c r="G32" s="206" t="s">
        <v>401</v>
      </c>
      <c r="H32" s="206" t="s">
        <v>405</v>
      </c>
    </row>
    <row r="33" spans="1:8" x14ac:dyDescent="0.15">
      <c r="A33" s="109">
        <v>781</v>
      </c>
      <c r="B33" s="57" t="str">
        <f ca="1">VLOOKUP($A33,OFFSET([1]characters!$A$1,0,0,COUNTA([1]characters!$A:$A),MATCH(B$1,[1]characters!$1:$1,0)-MATCH($A$1,[1]characters!$1:$1,0)+1),MATCH(B$1,[1]characters!$1:$1,0)-MATCH($A$1,[1]characters!$1:$1,0)+1,FALSE)</f>
        <v>崩落の大瀑布 カスケード</v>
      </c>
      <c r="C33" s="109" t="s">
        <v>304</v>
      </c>
      <c r="D33" s="141"/>
      <c r="E33" s="141" t="str">
        <f>A33&amp;+(COUNTIF(A$6:A33,A33)-1)</f>
        <v>7810</v>
      </c>
      <c r="F33" s="109" t="s">
        <v>177</v>
      </c>
      <c r="G33" s="206" t="s">
        <v>401</v>
      </c>
      <c r="H33" s="206" t="s">
        <v>407</v>
      </c>
    </row>
    <row r="34" spans="1:8" x14ac:dyDescent="0.15">
      <c r="A34" s="109">
        <v>781</v>
      </c>
      <c r="B34" s="57" t="str">
        <f ca="1">VLOOKUP($A34,OFFSET([1]characters!$A$1,0,0,COUNTA([1]characters!$A:$A),MATCH(B$1,[1]characters!$1:$1,0)-MATCH($A$1,[1]characters!$1:$1,0)+1),MATCH(B$1,[1]characters!$1:$1,0)-MATCH($A$1,[1]characters!$1:$1,0)+1,FALSE)</f>
        <v>崩落の大瀑布 カスケード</v>
      </c>
      <c r="C34" s="109" t="s">
        <v>306</v>
      </c>
      <c r="D34" s="141"/>
      <c r="E34" s="141" t="str">
        <f>A34&amp;+(COUNTIF(A$6:A34,A34)-1)</f>
        <v>7811</v>
      </c>
      <c r="F34" s="109" t="s">
        <v>177</v>
      </c>
      <c r="G34" s="206" t="s">
        <v>401</v>
      </c>
      <c r="H34" s="206" t="s">
        <v>402</v>
      </c>
    </row>
    <row r="35" spans="1:8" x14ac:dyDescent="0.15">
      <c r="A35" s="109">
        <v>781</v>
      </c>
      <c r="B35" s="57" t="str">
        <f ca="1">VLOOKUP($A35,OFFSET([1]characters!$A$1,0,0,COUNTA([1]characters!$A:$A),MATCH(B$1,[1]characters!$1:$1,0)-MATCH($A$1,[1]characters!$1:$1,0)+1),MATCH(B$1,[1]characters!$1:$1,0)-MATCH($A$1,[1]characters!$1:$1,0)+1,FALSE)</f>
        <v>崩落の大瀑布 カスケード</v>
      </c>
      <c r="C35" s="109" t="s">
        <v>306</v>
      </c>
      <c r="D35" s="141"/>
      <c r="E35" s="141" t="str">
        <f>A35&amp;+(COUNTIF(A$6:A35,A35)-1)</f>
        <v>7812</v>
      </c>
      <c r="F35" s="109" t="s">
        <v>177</v>
      </c>
      <c r="G35" s="206" t="s">
        <v>403</v>
      </c>
      <c r="H35" s="206" t="s">
        <v>404</v>
      </c>
    </row>
    <row r="36" spans="1:8" x14ac:dyDescent="0.15">
      <c r="A36" s="109">
        <v>781</v>
      </c>
      <c r="B36" s="57" t="str">
        <f ca="1">VLOOKUP($A36,OFFSET([1]characters!$A$1,0,0,COUNTA([1]characters!$A:$A),MATCH(B$1,[1]characters!$1:$1,0)-MATCH($A$1,[1]characters!$1:$1,0)+1),MATCH(B$1,[1]characters!$1:$1,0)-MATCH($A$1,[1]characters!$1:$1,0)+1,FALSE)</f>
        <v>崩落の大瀑布 カスケード</v>
      </c>
      <c r="C36" s="109" t="s">
        <v>306</v>
      </c>
      <c r="D36" s="141"/>
      <c r="E36" s="141" t="str">
        <f>A36&amp;+(COUNTIF(A$6:A36,A36)-1)</f>
        <v>7813</v>
      </c>
      <c r="F36" s="109" t="s">
        <v>177</v>
      </c>
      <c r="G36" s="206" t="s">
        <v>401</v>
      </c>
      <c r="H36" s="206" t="s">
        <v>405</v>
      </c>
    </row>
    <row r="37" spans="1:8" x14ac:dyDescent="0.15">
      <c r="A37" s="109">
        <v>781</v>
      </c>
      <c r="B37" s="57" t="str">
        <f ca="1">VLOOKUP($A37,OFFSET([1]characters!$A$1,0,0,COUNTA([1]characters!$A:$A),MATCH(B$1,[1]characters!$1:$1,0)-MATCH($A$1,[1]characters!$1:$1,0)+1),MATCH(B$1,[1]characters!$1:$1,0)-MATCH($A$1,[1]characters!$1:$1,0)+1,FALSE)</f>
        <v>崩落の大瀑布 カスケード</v>
      </c>
      <c r="C37" s="109" t="s">
        <v>306</v>
      </c>
      <c r="D37" s="141"/>
      <c r="E37" s="141" t="str">
        <f>A37&amp;+(COUNTIF(A$6:A37,A37)-1)</f>
        <v>7814</v>
      </c>
      <c r="F37" s="109" t="s">
        <v>177</v>
      </c>
      <c r="G37" s="206" t="s">
        <v>401</v>
      </c>
      <c r="H37" s="206" t="s">
        <v>406</v>
      </c>
    </row>
    <row r="38" spans="1:8" x14ac:dyDescent="0.15">
      <c r="A38" s="109">
        <v>887</v>
      </c>
      <c r="B38" s="57" t="str">
        <f ca="1">VLOOKUP($A38,OFFSET([1]characters!$A$1,0,0,COUNTA([1]characters!$A:$A),MATCH(B$1,[1]characters!$1:$1,0)-MATCH($A$1,[1]characters!$1:$1,0)+1),MATCH(B$1,[1]characters!$1:$1,0)-MATCH($A$1,[1]characters!$1:$1,0)+1,FALSE)</f>
        <v>エリス</v>
      </c>
      <c r="C38" s="109" t="s">
        <v>304</v>
      </c>
      <c r="D38" s="141"/>
      <c r="E38" s="141" t="str">
        <f>A38&amp;+(COUNTIF(A$6:A38,A38)-1)</f>
        <v>8870</v>
      </c>
      <c r="F38" s="109" t="s">
        <v>177</v>
      </c>
      <c r="G38" s="203" t="s">
        <v>415</v>
      </c>
      <c r="H38" s="203" t="s">
        <v>416</v>
      </c>
    </row>
    <row r="39" spans="1:8" x14ac:dyDescent="0.15">
      <c r="A39" s="109">
        <v>887</v>
      </c>
      <c r="B39" s="57" t="str">
        <f ca="1">VLOOKUP($A39,OFFSET([1]characters!$A$1,0,0,COUNTA([1]characters!$A:$A),MATCH(B$1,[1]characters!$1:$1,0)-MATCH($A$1,[1]characters!$1:$1,0)+1),MATCH(B$1,[1]characters!$1:$1,0)-MATCH($A$1,[1]characters!$1:$1,0)+1,FALSE)</f>
        <v>エリス</v>
      </c>
      <c r="C39" s="109" t="s">
        <v>306</v>
      </c>
      <c r="D39" s="141"/>
      <c r="E39" s="141" t="str">
        <f>A39&amp;+(COUNTIF(A$6:A39,A39)-1)</f>
        <v>8871</v>
      </c>
      <c r="F39" s="109" t="s">
        <v>177</v>
      </c>
      <c r="G39" s="207" t="s">
        <v>409</v>
      </c>
      <c r="H39" s="203" t="s">
        <v>410</v>
      </c>
    </row>
    <row r="40" spans="1:8" x14ac:dyDescent="0.15">
      <c r="A40" s="109">
        <v>887</v>
      </c>
      <c r="B40" s="57" t="str">
        <f ca="1">VLOOKUP($A40,OFFSET([1]characters!$A$1,0,0,COUNTA([1]characters!$A:$A),MATCH(B$1,[1]characters!$1:$1,0)-MATCH($A$1,[1]characters!$1:$1,0)+1),MATCH(B$1,[1]characters!$1:$1,0)-MATCH($A$1,[1]characters!$1:$1,0)+1,FALSE)</f>
        <v>エリス</v>
      </c>
      <c r="C40" s="109" t="s">
        <v>306</v>
      </c>
      <c r="D40" s="141"/>
      <c r="E40" s="141" t="str">
        <f>A40&amp;+(COUNTIF(A$6:A40,A40)-1)</f>
        <v>8872</v>
      </c>
      <c r="F40" s="109" t="s">
        <v>177</v>
      </c>
      <c r="G40" s="207" t="s">
        <v>411</v>
      </c>
      <c r="H40" s="207" t="s">
        <v>412</v>
      </c>
    </row>
    <row r="41" spans="1:8" x14ac:dyDescent="0.15">
      <c r="A41" s="109">
        <v>887</v>
      </c>
      <c r="B41" s="57" t="str">
        <f ca="1">VLOOKUP($A41,OFFSET([1]characters!$A$1,0,0,COUNTA([1]characters!$A:$A),MATCH(B$1,[1]characters!$1:$1,0)-MATCH($A$1,[1]characters!$1:$1,0)+1),MATCH(B$1,[1]characters!$1:$1,0)-MATCH($A$1,[1]characters!$1:$1,0)+1,FALSE)</f>
        <v>エリス</v>
      </c>
      <c r="C41" s="109" t="s">
        <v>306</v>
      </c>
      <c r="D41" s="141"/>
      <c r="E41" s="141" t="str">
        <f>A41&amp;+(COUNTIF(A$6:A41,A41)-1)</f>
        <v>8873</v>
      </c>
      <c r="F41" s="109" t="s">
        <v>177</v>
      </c>
      <c r="G41" s="207" t="s">
        <v>411</v>
      </c>
      <c r="H41" s="207" t="s">
        <v>413</v>
      </c>
    </row>
    <row r="42" spans="1:8" x14ac:dyDescent="0.15">
      <c r="A42" s="109">
        <v>888</v>
      </c>
      <c r="B42" s="57" t="str">
        <f ca="1">VLOOKUP($A42,OFFSET([1]characters!$A$1,0,0,COUNTA([1]characters!$A:$A),MATCH(B$1,[1]characters!$1:$1,0)-MATCH($A$1,[1]characters!$1:$1,0)+1),MATCH(B$1,[1]characters!$1:$1,0)-MATCH($A$1,[1]characters!$1:$1,0)+1,FALSE)</f>
        <v>禍根の暴送者 エリス</v>
      </c>
      <c r="C42" s="109" t="s">
        <v>304</v>
      </c>
      <c r="D42" s="141"/>
      <c r="E42" s="141" t="str">
        <f>A42&amp;+(COUNTIF(A$6:A42,A42)-1)</f>
        <v>8880</v>
      </c>
      <c r="F42" s="109" t="s">
        <v>177</v>
      </c>
      <c r="G42" s="203" t="s">
        <v>417</v>
      </c>
      <c r="H42" s="203" t="s">
        <v>418</v>
      </c>
    </row>
    <row r="43" spans="1:8" x14ac:dyDescent="0.15">
      <c r="A43" s="109">
        <v>888</v>
      </c>
      <c r="B43" s="57" t="str">
        <f ca="1">VLOOKUP($A43,OFFSET([1]characters!$A$1,0,0,COUNTA([1]characters!$A:$A),MATCH(B$1,[1]characters!$1:$1,0)-MATCH($A$1,[1]characters!$1:$1,0)+1),MATCH(B$1,[1]characters!$1:$1,0)-MATCH($A$1,[1]characters!$1:$1,0)+1,FALSE)</f>
        <v>禍根の暴送者 エリス</v>
      </c>
      <c r="C43" s="109" t="s">
        <v>306</v>
      </c>
      <c r="D43" s="141"/>
      <c r="E43" s="141" t="str">
        <f>A43&amp;+(COUNTIF(A$6:A43,A43)-1)</f>
        <v>8881</v>
      </c>
      <c r="F43" s="109" t="s">
        <v>177</v>
      </c>
      <c r="G43" s="207" t="s">
        <v>409</v>
      </c>
      <c r="H43" s="203" t="s">
        <v>410</v>
      </c>
    </row>
    <row r="44" spans="1:8" x14ac:dyDescent="0.15">
      <c r="A44" s="109">
        <v>888</v>
      </c>
      <c r="B44" s="57" t="str">
        <f ca="1">VLOOKUP($A44,OFFSET([1]characters!$A$1,0,0,COUNTA([1]characters!$A:$A),MATCH(B$1,[1]characters!$1:$1,0)-MATCH($A$1,[1]characters!$1:$1,0)+1),MATCH(B$1,[1]characters!$1:$1,0)-MATCH($A$1,[1]characters!$1:$1,0)+1,FALSE)</f>
        <v>禍根の暴送者 エリス</v>
      </c>
      <c r="C44" s="109" t="s">
        <v>306</v>
      </c>
      <c r="D44" s="141"/>
      <c r="E44" s="141" t="str">
        <f>A44&amp;+(COUNTIF(A$6:A44,A44)-1)</f>
        <v>8882</v>
      </c>
      <c r="F44" s="109" t="s">
        <v>177</v>
      </c>
      <c r="G44" s="207" t="s">
        <v>411</v>
      </c>
      <c r="H44" s="207" t="s">
        <v>412</v>
      </c>
    </row>
    <row r="45" spans="1:8" x14ac:dyDescent="0.15">
      <c r="A45" s="109">
        <v>888</v>
      </c>
      <c r="B45" s="57" t="str">
        <f ca="1">VLOOKUP($A45,OFFSET([1]characters!$A$1,0,0,COUNTA([1]characters!$A:$A),MATCH(B$1,[1]characters!$1:$1,0)-MATCH($A$1,[1]characters!$1:$1,0)+1),MATCH(B$1,[1]characters!$1:$1,0)-MATCH($A$1,[1]characters!$1:$1,0)+1,FALSE)</f>
        <v>禍根の暴送者 エリス</v>
      </c>
      <c r="C45" s="109" t="s">
        <v>306</v>
      </c>
      <c r="D45" s="141"/>
      <c r="E45" s="141" t="str">
        <f>A45&amp;+(COUNTIF(A$6:A45,A45)-1)</f>
        <v>8883</v>
      </c>
      <c r="F45" s="109" t="s">
        <v>177</v>
      </c>
      <c r="G45" s="207" t="s">
        <v>411</v>
      </c>
      <c r="H45" s="207" t="s">
        <v>413</v>
      </c>
    </row>
    <row r="46" spans="1:8" x14ac:dyDescent="0.15">
      <c r="A46" s="109">
        <v>888</v>
      </c>
      <c r="B46" s="57" t="str">
        <f ca="1">VLOOKUP($A46,OFFSET([1]characters!$A$1,0,0,COUNTA([1]characters!$A:$A),MATCH(B$1,[1]characters!$1:$1,0)-MATCH($A$1,[1]characters!$1:$1,0)+1),MATCH(B$1,[1]characters!$1:$1,0)-MATCH($A$1,[1]characters!$1:$1,0)+1,FALSE)</f>
        <v>禍根の暴送者 エリス</v>
      </c>
      <c r="C46" s="109" t="s">
        <v>306</v>
      </c>
      <c r="D46" s="141"/>
      <c r="E46" s="141" t="str">
        <f>A46&amp;+(COUNTIF(A$6:A46,A46)-1)</f>
        <v>8884</v>
      </c>
      <c r="F46" s="109" t="s">
        <v>177</v>
      </c>
      <c r="G46" s="203" t="s">
        <v>411</v>
      </c>
      <c r="H46" s="203" t="s">
        <v>414</v>
      </c>
    </row>
  </sheetData>
  <phoneticPr fontId="22"/>
  <dataValidations count="2">
    <dataValidation type="list" allowBlank="1" showInputMessage="1" showErrorMessage="1" sqref="G2:G3 G11:G12 G20:G21 G38">
      <formula1>"maru,giza,kumo"</formula1>
    </dataValidation>
    <dataValidation type="list" allowBlank="1" showInputMessage="1" showErrorMessage="1" sqref="C2:C3 C11:C12 C20:C21 C29:C30 C38:C3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V6"/>
  <sheetViews>
    <sheetView showGridLines="0" workbookViewId="0">
      <pane xSplit="9" ySplit="1" topLeftCell="P2" activePane="bottomRight" state="frozen"/>
      <selection activeCell="M13" sqref="M13"/>
      <selection pane="topRight" activeCell="M13" sqref="M13"/>
      <selection pane="bottomLeft" activeCell="M13" sqref="M13"/>
      <selection pane="bottomRight" activeCell="I20" sqref="I20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2" ht="21" customHeight="1" x14ac:dyDescent="0.15">
      <c r="A1" s="179" t="s">
        <v>265</v>
      </c>
      <c r="B1" s="180" t="s">
        <v>266</v>
      </c>
      <c r="C1" s="181" t="s">
        <v>267</v>
      </c>
      <c r="D1" s="181" t="s">
        <v>268</v>
      </c>
      <c r="E1" s="181" t="s">
        <v>269</v>
      </c>
      <c r="F1" s="181" t="s">
        <v>270</v>
      </c>
      <c r="G1" s="181" t="s">
        <v>1</v>
      </c>
      <c r="H1" s="182" t="s">
        <v>19</v>
      </c>
      <c r="I1" s="181" t="s">
        <v>0</v>
      </c>
      <c r="J1" s="183" t="s">
        <v>271</v>
      </c>
      <c r="K1" s="181" t="s">
        <v>243</v>
      </c>
      <c r="L1" s="184" t="s">
        <v>45</v>
      </c>
      <c r="M1" s="184" t="s">
        <v>44</v>
      </c>
      <c r="N1" s="184" t="s">
        <v>272</v>
      </c>
      <c r="O1" s="184" t="s">
        <v>273</v>
      </c>
      <c r="P1" s="185" t="s">
        <v>297</v>
      </c>
      <c r="Q1" s="186" t="s">
        <v>274</v>
      </c>
      <c r="R1" s="187" t="s">
        <v>243</v>
      </c>
      <c r="S1" s="185" t="s">
        <v>275</v>
      </c>
      <c r="T1" s="187" t="s">
        <v>243</v>
      </c>
      <c r="U1" s="185" t="s">
        <v>276</v>
      </c>
    </row>
    <row r="2" spans="1:22" ht="21" customHeight="1" x14ac:dyDescent="0.15">
      <c r="A2" s="110">
        <v>788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アトラス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各属性相性良3・黄・R406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" t="str">
        <f ca="1">VLOOKUP($A2,OFFSET([1]characters!$A$1,0,0,COUNTA([1]characters!$A:$A),MATCH(J$1,[1]characters!$1:$1,0)-MATCH($A$1,[1]characters!$1:$1,0)+1),MATCH(J$1,[1]characters!$1:$1,0)-MATCH($A$1,[1]characters!$1:$1,0)+1,FALSE)</f>
        <v>animal</v>
      </c>
      <c r="K2" s="5" t="str">
        <f ca="1">VLOOKUP(J2,[1]character_tribe_i18n!$A:$H,3,FALSE)</f>
        <v>アニマル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8" t="str">
        <f>VLOOKUP(Q2,[1]characters!$A:$T,20)</f>
        <v>normal</v>
      </c>
      <c r="Q2" s="109">
        <v>789</v>
      </c>
      <c r="R2" s="5" t="str">
        <f ca="1">IF(Q2="NULL","",VLOOKUP($Q2,OFFSET([1]characters!$A$1,0,0,COUNTA([1]characters!$A:$A),MATCH(R$1,[1]characters!$1:$1,0)-MATCH($A$1,[1]characters!$1:$1,0)+1),MATCH(R$1,[1]characters!$1:$1,0)-MATCH($A$1,[1]characters!$1:$1,0)+1,FALSE))</f>
        <v>極闘の大鋼腕 アトラス</v>
      </c>
      <c r="S2" s="5">
        <f ca="1">IF(ISNA(MATCH(A2,Q:Q,0)),A2,INDIRECT(ADDRESS(MATCH(A2,Q:Q,0),COLUMN())))</f>
        <v>788</v>
      </c>
      <c r="T2" s="5" t="str">
        <f ca="1">VLOOKUP($S2,OFFSET([1]characters!$A$1,0,0,COUNTA([1]characters!$A:$A),MATCH(T$1,[1]characters!$1:$1,0)-MATCH($A$1,[1]characters!$1:$1,0)+1),MATCH(T$1,[1]characters!$1:$1,0)-MATCH($A$1,[1]characters!$1:$1,0)+1,FALSE)</f>
        <v>アトラス</v>
      </c>
      <c r="U2" s="11">
        <v>200000</v>
      </c>
      <c r="V2"/>
    </row>
    <row r="3" spans="1:22" ht="21" customHeight="1" x14ac:dyDescent="0.15">
      <c r="A3" s="110">
        <v>1088</v>
      </c>
      <c r="B3" s="5" t="str">
        <f ca="1">VLOOKUP($A3,OFFSET([1]characters!$A$1,0,0,COUNTA([1]characters!$A:$A),MATCH(B$1,[1]characters!$1:$1,0)-MATCH($A$1,[1]characters!$1:$1,0)+1),MATCH(B$1,[1]characters!$1:$1,0)-MATCH($A$1,[1]characters!$1:$1,0)+1,FALSE)</f>
        <v>ミケランジェロ</v>
      </c>
      <c r="C3" s="5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88" t="str">
        <f>VLOOKUP(Q3,[1]characters!$A:$T,20)</f>
        <v>normal</v>
      </c>
      <c r="Q3" s="109">
        <v>1089</v>
      </c>
      <c r="R3" s="5" t="str">
        <f ca="1">IF(Q3="NULL","",VLOOKUP($Q3,OFFSET([1]characters!$A$1,0,0,COUNTA([1]characters!$A:$A),MATCH(R$1,[1]characters!$1:$1,0)-MATCH($A$1,[1]characters!$1:$1,0)+1),MATCH(R$1,[1]characters!$1:$1,0)-MATCH($A$1,[1]characters!$1:$1,0)+1,FALSE))</f>
        <v>破壊の発誕 ミケランジェロ</v>
      </c>
      <c r="S3" s="5">
        <f ca="1">IF(ISNA(MATCH(A3,Q:Q,0)),A3,INDIRECT(ADDRESS(MATCH(A3,Q:Q,0),COLUMN())))</f>
        <v>1088</v>
      </c>
      <c r="T3" s="5" t="str">
        <f ca="1">VLOOKUP($S3,OFFSET([1]characters!$A$1,0,0,COUNTA([1]characters!$A:$A),MATCH(T$1,[1]characters!$1:$1,0)-MATCH($A$1,[1]characters!$1:$1,0)+1),MATCH(T$1,[1]characters!$1:$1,0)-MATCH($A$1,[1]characters!$1:$1,0)+1,FALSE)</f>
        <v>ミケランジェロ</v>
      </c>
      <c r="U3" s="11">
        <v>200000</v>
      </c>
      <c r="V3"/>
    </row>
    <row r="4" spans="1:22" ht="21" customHeight="1" x14ac:dyDescent="0.15">
      <c r="A4" s="110">
        <v>891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コルキス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各属性相性良3・黄・R495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" t="str">
        <f ca="1">VLOOKUP($A4,OFFSET([1]characters!$A$1,0,0,COUNTA([1]characters!$A:$A),MATCH(J$1,[1]characters!$1:$1,0)-MATCH($A$1,[1]characters!$1:$1,0)+1),MATCH(J$1,[1]characters!$1:$1,0)-MATCH($A$1,[1]characters!$1:$1,0)+1,FALSE)</f>
        <v>animal</v>
      </c>
      <c r="K4" s="5" t="str">
        <f ca="1">VLOOKUP(J4,[1]character_tribe_i18n!$A:$H,3,FALSE)</f>
        <v>アニマル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88" t="str">
        <f>VLOOKUP(Q4,[1]characters!$A:$T,20)</f>
        <v>normal</v>
      </c>
      <c r="Q4" s="109">
        <v>892</v>
      </c>
      <c r="R4" s="5" t="str">
        <f ca="1">IF(Q4="NULL","",VLOOKUP($Q4,OFFSET([1]characters!$A$1,0,0,COUNTA([1]characters!$A:$A),MATCH(R$1,[1]characters!$1:$1,0)-MATCH($A$1,[1]characters!$1:$1,0)+1),MATCH(R$1,[1]characters!$1:$1,0)-MATCH($A$1,[1]characters!$1:$1,0)+1,FALSE))</f>
        <v>金碧の羊星 コルキス</v>
      </c>
      <c r="S4" s="5">
        <f ca="1">IF(ISNA(MATCH(A4,Q:Q,0)),A4,INDIRECT(ADDRESS(MATCH(A4,Q:Q,0),COLUMN())))</f>
        <v>891</v>
      </c>
      <c r="T4" s="5" t="str">
        <f ca="1">VLOOKUP($S4,OFFSET([1]characters!$A$1,0,0,COUNTA([1]characters!$A:$A),MATCH(T$1,[1]characters!$1:$1,0)-MATCH($A$1,[1]characters!$1:$1,0)+1),MATCH(T$1,[1]characters!$1:$1,0)-MATCH($A$1,[1]characters!$1:$1,0)+1,FALSE)</f>
        <v>コルキス</v>
      </c>
      <c r="U4" s="11">
        <v>200000</v>
      </c>
      <c r="V4"/>
    </row>
    <row r="5" spans="1:22" ht="21" customHeight="1" x14ac:dyDescent="0.15">
      <c r="A5" s="110">
        <v>780</v>
      </c>
      <c r="B5" s="5" t="str">
        <f ca="1">VLOOKUP($A5,OFFSET([1]characters!$A$1,0,0,COUNTA([1]characters!$A:$A),MATCH(B$1,[1]characters!$1:$1,0)-MATCH($A$1,[1]characters!$1:$1,0)+1),MATCH(B$1,[1]characters!$1:$1,0)-MATCH($A$1,[1]characters!$1:$1,0)+1,FALSE)</f>
        <v>カスケード</v>
      </c>
      <c r="C5" s="5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各属性相性良3・黄・R398</v>
      </c>
      <c r="D5" s="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5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88" t="str">
        <f>VLOOKUP(Q5,[1]characters!$A:$T,20)</f>
        <v>normal</v>
      </c>
      <c r="Q5" s="109">
        <v>781</v>
      </c>
      <c r="R5" s="5" t="str">
        <f ca="1">IF(Q5="NULL","",VLOOKUP($Q5,OFFSET([1]characters!$A$1,0,0,COUNTA([1]characters!$A:$A),MATCH(R$1,[1]characters!$1:$1,0)-MATCH($A$1,[1]characters!$1:$1,0)+1),MATCH(R$1,[1]characters!$1:$1,0)-MATCH($A$1,[1]characters!$1:$1,0)+1,FALSE))</f>
        <v>崩落の大瀑布 カスケード</v>
      </c>
      <c r="S5" s="5">
        <f ca="1">IF(ISNA(MATCH(A5,Q:Q,0)),A5,INDIRECT(ADDRESS(MATCH(A5,Q:Q,0),COLUMN())))</f>
        <v>780</v>
      </c>
      <c r="T5" s="5" t="str">
        <f ca="1">VLOOKUP($S5,OFFSET([1]characters!$A$1,0,0,COUNTA([1]characters!$A:$A),MATCH(T$1,[1]characters!$1:$1,0)-MATCH($A$1,[1]characters!$1:$1,0)+1),MATCH(T$1,[1]characters!$1:$1,0)-MATCH($A$1,[1]characters!$1:$1,0)+1,FALSE)</f>
        <v>カスケード</v>
      </c>
      <c r="U5" s="11">
        <v>200000</v>
      </c>
      <c r="V5"/>
    </row>
    <row r="6" spans="1:22" ht="21" customHeight="1" x14ac:dyDescent="0.15">
      <c r="A6" s="110">
        <v>887</v>
      </c>
      <c r="B6" s="5" t="str">
        <f ca="1">VLOOKUP($A6,OFFSET([1]characters!$A$1,0,0,COUNTA([1]characters!$A:$A),MATCH(B$1,[1]characters!$1:$1,0)-MATCH($A$1,[1]characters!$1:$1,0)+1),MATCH(B$1,[1]characters!$1:$1,0)-MATCH($A$1,[1]characters!$1:$1,0)+1,FALSE)</f>
        <v>エリス</v>
      </c>
      <c r="C6" s="5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各属性相性良3・黄・R491</v>
      </c>
      <c r="D6" s="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5" t="str">
        <f ca="1">VLOOKUP($A6,OFFSET([1]characters!$A$1,0,0,COUNTA([1]characters!$A:$A),MATCH(J$1,[1]characters!$1:$1,0)-MATCH($A$1,[1]characters!$1:$1,0)+1),MATCH(J$1,[1]characters!$1:$1,0)-MATCH($A$1,[1]characters!$1:$1,0)+1,FALSE)</f>
        <v>machine</v>
      </c>
      <c r="K6" s="5" t="str">
        <f ca="1">VLOOKUP(J6,[1]character_tribe_i18n!$A:$H,3,FALSE)</f>
        <v>マシン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88" t="str">
        <f>VLOOKUP(Q6,[1]characters!$A:$T,20)</f>
        <v>normal</v>
      </c>
      <c r="Q6" s="109">
        <v>888</v>
      </c>
      <c r="R6" s="5" t="str">
        <f ca="1">IF(Q6="NULL","",VLOOKUP($Q6,OFFSET([1]characters!$A$1,0,0,COUNTA([1]characters!$A:$A),MATCH(R$1,[1]characters!$1:$1,0)-MATCH($A$1,[1]characters!$1:$1,0)+1),MATCH(R$1,[1]characters!$1:$1,0)-MATCH($A$1,[1]characters!$1:$1,0)+1,FALSE))</f>
        <v>禍根の暴送者 エリス</v>
      </c>
      <c r="S6" s="5">
        <f ca="1">IF(ISNA(MATCH(A6,Q:Q,0)),A6,INDIRECT(ADDRESS(MATCH(A6,Q:Q,0),COLUMN())))</f>
        <v>887</v>
      </c>
      <c r="T6" s="5" t="str">
        <f ca="1">VLOOKUP($S6,OFFSET([1]characters!$A$1,0,0,COUNTA([1]characters!$A:$A),MATCH(T$1,[1]characters!$1:$1,0)-MATCH($A$1,[1]characters!$1:$1,0)+1),MATCH(T$1,[1]characters!$1:$1,0)-MATCH($A$1,[1]characters!$1:$1,0)+1,FALSE)</f>
        <v>エリス</v>
      </c>
      <c r="U6" s="11">
        <v>200000</v>
      </c>
      <c r="V6"/>
    </row>
  </sheetData>
  <autoFilter ref="A1:U2"/>
  <phoneticPr fontId="22"/>
  <conditionalFormatting sqref="W1:W2 W7:W1048576">
    <cfRule type="cellIs" dxfId="27" priority="23" operator="equal">
      <formula>"FALSE"</formula>
    </cfRule>
  </conditionalFormatting>
  <conditionalFormatting sqref="W3">
    <cfRule type="cellIs" dxfId="26" priority="5" operator="equal">
      <formula>"FALSE"</formula>
    </cfRule>
  </conditionalFormatting>
  <conditionalFormatting sqref="W4">
    <cfRule type="cellIs" dxfId="25" priority="4" operator="equal">
      <formula>"FALSE"</formula>
    </cfRule>
  </conditionalFormatting>
  <conditionalFormatting sqref="W5">
    <cfRule type="cellIs" dxfId="24" priority="3" operator="equal">
      <formula>"FALSE"</formula>
    </cfRule>
  </conditionalFormatting>
  <conditionalFormatting sqref="W6">
    <cfRule type="cellIs" dxfId="23" priority="2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indexed="12"/>
  </sheetPr>
  <dimension ref="A1:O21"/>
  <sheetViews>
    <sheetView showGridLines="0" topLeftCell="F1" workbookViewId="0">
      <pane ySplit="1" topLeftCell="A2" activePane="bottomLeft" state="frozen"/>
      <selection activeCell="M13" sqref="M13"/>
      <selection pane="bottomLeft" activeCell="F22" sqref="A22:XFD25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5.1640625" style="3" bestFit="1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3.6640625" style="2" customWidth="1"/>
    <col min="8" max="8" width="19.83203125" style="2" bestFit="1" customWidth="1"/>
    <col min="9" max="9" width="22.83203125" style="2" bestFit="1" customWidth="1"/>
    <col min="10" max="10" width="21.33203125" style="2" bestFit="1" customWidth="1"/>
    <col min="11" max="11" width="13.5" style="2" bestFit="1" customWidth="1"/>
    <col min="12" max="12" width="17" style="1" bestFit="1" customWidth="1"/>
    <col min="13" max="16384" width="13" style="2"/>
  </cols>
  <sheetData>
    <row r="1" spans="1:15" ht="21" customHeight="1" x14ac:dyDescent="0.15">
      <c r="A1" s="65" t="s">
        <v>277</v>
      </c>
      <c r="B1" s="42" t="s">
        <v>275</v>
      </c>
      <c r="C1" s="189" t="s">
        <v>278</v>
      </c>
      <c r="D1" s="20" t="s">
        <v>243</v>
      </c>
      <c r="E1" s="20" t="s">
        <v>279</v>
      </c>
      <c r="F1" s="20" t="s">
        <v>280</v>
      </c>
      <c r="G1" s="190" t="s">
        <v>298</v>
      </c>
      <c r="H1" s="190" t="s">
        <v>274</v>
      </c>
      <c r="I1" s="20" t="s">
        <v>243</v>
      </c>
      <c r="J1" s="43" t="s">
        <v>36</v>
      </c>
      <c r="K1" s="20" t="s">
        <v>243</v>
      </c>
      <c r="L1" s="19" t="s">
        <v>37</v>
      </c>
      <c r="M1" s="191" t="s">
        <v>281</v>
      </c>
      <c r="N1" s="190" t="s">
        <v>282</v>
      </c>
      <c r="O1" s="196" t="s">
        <v>276</v>
      </c>
    </row>
    <row r="2" spans="1:15" ht="21" customHeight="1" x14ac:dyDescent="0.15">
      <c r="A2" s="65" t="str">
        <f t="shared" ref="A2" si="0">B2&amp;"_"&amp;J2</f>
        <v>788_738</v>
      </c>
      <c r="B2" s="44">
        <v>788</v>
      </c>
      <c r="C2" s="192">
        <f t="shared" ref="C2:C5" si="1">B2</f>
        <v>788</v>
      </c>
      <c r="D2" s="21" t="str">
        <f ca="1">VLOOKUP(B2,units!A:B,2)</f>
        <v>崩落の大瀑布 カスケード</v>
      </c>
      <c r="E2" s="57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7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21" t="str">
        <f>VLOOKUP(H2,[1]characters!$A:$T,20)</f>
        <v>normal</v>
      </c>
      <c r="H2" s="44">
        <v>789</v>
      </c>
      <c r="I2" s="57" t="str">
        <f ca="1">VLOOKUP($H2,OFFSET([1]characters!$A$1,0,0,COUNTA([1]characters!$A:$A),MATCH(I$1,[1]characters!$1:$1,0)-MATCH($C$1,[1]characters!$1:$1,0)+1),MATCH(I$1,[1]characters!$1:$1,0)-MATCH($C$1,[1]characters!$1:$1,0)+1,FALSE)</f>
        <v>極闘の大鋼腕 アトラス</v>
      </c>
      <c r="J2" s="44">
        <v>738</v>
      </c>
      <c r="K2" s="21" t="str">
        <f>VLOOKUP(J2,[1]characters!$A:$C,3,FALSE)</f>
        <v>ラドン</v>
      </c>
      <c r="L2" s="18">
        <v>1</v>
      </c>
      <c r="M2" s="112">
        <v>1</v>
      </c>
      <c r="N2" s="112">
        <v>100</v>
      </c>
      <c r="O2" s="11">
        <v>200000</v>
      </c>
    </row>
    <row r="3" spans="1:15" ht="21" customHeight="1" x14ac:dyDescent="0.15">
      <c r="A3" s="65" t="str">
        <f t="shared" ref="A3" si="2">B3&amp;"_"&amp;J3</f>
        <v>788_107</v>
      </c>
      <c r="B3" s="44">
        <v>788</v>
      </c>
      <c r="C3" s="192">
        <f t="shared" si="1"/>
        <v>788</v>
      </c>
      <c r="D3" s="21" t="str">
        <f ca="1">VLOOKUP(B3,units!A:B,2)</f>
        <v>崩落の大瀑布 カスケード</v>
      </c>
      <c r="E3" s="57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7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21" t="str">
        <f>VLOOKUP(H3,[1]characters!$A:$T,20)</f>
        <v>normal</v>
      </c>
      <c r="H3" s="44">
        <v>789</v>
      </c>
      <c r="I3" s="57" t="str">
        <f ca="1">VLOOKUP($H3,OFFSET([1]characters!$A$1,0,0,COUNTA([1]characters!$A:$A),MATCH(I$1,[1]characters!$1:$1,0)-MATCH($C$1,[1]characters!$1:$1,0)+1),MATCH(I$1,[1]characters!$1:$1,0)-MATCH($C$1,[1]characters!$1:$1,0)+1,FALSE)</f>
        <v>極闘の大鋼腕 アトラス</v>
      </c>
      <c r="J3" s="44">
        <v>107</v>
      </c>
      <c r="K3" s="21" t="str">
        <f>VLOOKUP(J3,[1]characters!$A:$C,3,FALSE)</f>
        <v>グリーンキャタップ</v>
      </c>
      <c r="L3" s="18">
        <v>1</v>
      </c>
      <c r="M3" s="112">
        <v>1</v>
      </c>
      <c r="N3" s="112">
        <v>1</v>
      </c>
      <c r="O3" s="11">
        <v>200000</v>
      </c>
    </row>
    <row r="4" spans="1:15" ht="21" customHeight="1" x14ac:dyDescent="0.15">
      <c r="A4" s="65" t="str">
        <f t="shared" ref="A4" si="3">B4&amp;"_"&amp;J4</f>
        <v>788_108</v>
      </c>
      <c r="B4" s="44">
        <v>788</v>
      </c>
      <c r="C4" s="192">
        <f t="shared" si="1"/>
        <v>788</v>
      </c>
      <c r="D4" s="21" t="str">
        <f ca="1">VLOOKUP(B4,units!A:B,2)</f>
        <v>崩落の大瀑布 カスケード</v>
      </c>
      <c r="E4" s="57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7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21" t="str">
        <f>VLOOKUP(H4,[1]characters!$A:$T,20)</f>
        <v>normal</v>
      </c>
      <c r="H4" s="44">
        <v>789</v>
      </c>
      <c r="I4" s="57" t="str">
        <f ca="1">VLOOKUP($H4,OFFSET([1]characters!$A$1,0,0,COUNTA([1]characters!$A:$A),MATCH(I$1,[1]characters!$1:$1,0)-MATCH($C$1,[1]characters!$1:$1,0)+1),MATCH(I$1,[1]characters!$1:$1,0)-MATCH($C$1,[1]characters!$1:$1,0)+1,FALSE)</f>
        <v>極闘の大鋼腕 アトラス</v>
      </c>
      <c r="J4" s="44">
        <v>108</v>
      </c>
      <c r="K4" s="21" t="str">
        <f>VLOOKUP(J4,[1]characters!$A:$C,3,FALSE)</f>
        <v>森のマッドハッター</v>
      </c>
      <c r="L4" s="18">
        <v>1</v>
      </c>
      <c r="M4" s="112">
        <v>1</v>
      </c>
      <c r="N4" s="112">
        <v>1</v>
      </c>
      <c r="O4" s="11">
        <v>200000</v>
      </c>
    </row>
    <row r="5" spans="1:15" ht="21" customHeight="1" x14ac:dyDescent="0.15">
      <c r="A5" s="65" t="str">
        <f t="shared" ref="A5" si="4">B5&amp;"_"&amp;J5</f>
        <v>788_837</v>
      </c>
      <c r="B5" s="44">
        <v>788</v>
      </c>
      <c r="C5" s="192">
        <f t="shared" si="1"/>
        <v>788</v>
      </c>
      <c r="D5" s="21" t="str">
        <f ca="1">VLOOKUP(B5,units!A:B,2)</f>
        <v>崩落の大瀑布 カスケード</v>
      </c>
      <c r="E5" s="57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7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21" t="str">
        <f>VLOOKUP(H5,[1]characters!$A:$T,20)</f>
        <v>normal</v>
      </c>
      <c r="H5" s="44">
        <v>789</v>
      </c>
      <c r="I5" s="57" t="str">
        <f ca="1">VLOOKUP($H5,OFFSET([1]characters!$A$1,0,0,COUNTA([1]characters!$A:$A),MATCH(I$1,[1]characters!$1:$1,0)-MATCH($C$1,[1]characters!$1:$1,0)+1),MATCH(I$1,[1]characters!$1:$1,0)-MATCH($C$1,[1]characters!$1:$1,0)+1,FALSE)</f>
        <v>極闘の大鋼腕 アトラス</v>
      </c>
      <c r="J5" s="44">
        <v>837</v>
      </c>
      <c r="K5" s="21" t="str">
        <f>VLOOKUP(J5,[1]characters!$A:$C,3,FALSE)</f>
        <v>リトルハンプティ</v>
      </c>
      <c r="L5" s="18">
        <v>1</v>
      </c>
      <c r="M5" s="112">
        <v>1</v>
      </c>
      <c r="N5" s="112">
        <v>1</v>
      </c>
      <c r="O5" s="11">
        <v>200000</v>
      </c>
    </row>
    <row r="6" spans="1:15" ht="21" customHeight="1" x14ac:dyDescent="0.15">
      <c r="A6" s="65" t="str">
        <f t="shared" ref="A6:A9" si="5">B6&amp;"_"&amp;J6</f>
        <v>1088_646</v>
      </c>
      <c r="B6" s="44">
        <v>1088</v>
      </c>
      <c r="C6" s="192">
        <f>B6</f>
        <v>1088</v>
      </c>
      <c r="D6" s="21" t="str">
        <f ca="1">VLOOKUP(B6,units!A:B,2)</f>
        <v>禍根の暴送者 エリス</v>
      </c>
      <c r="E6" s="57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7" t="str">
        <f ca="1">VLOOKUP($C6,OFFSET([1]characters!$A$1,0,0,COUNTA([1]characters!$A:$A),MATCH(F$1,[1]characters!$1:$1,0)-MATCH($C$1,[1]characters!$1:$1,0)+1),MATCH(F$1,[1]characters!$1:$1,0)-MATCH($C$1,[1]characters!$1:$1,0)+1,FALSE)</f>
        <v>DropWizS</v>
      </c>
      <c r="G6" s="21" t="str">
        <f>VLOOKUP(H6,[1]characters!$A:$T,20)</f>
        <v>normal</v>
      </c>
      <c r="H6" s="44">
        <v>1089</v>
      </c>
      <c r="I6" s="57" t="str">
        <f ca="1">VLOOKUP($H6,OFFSET([1]characters!$A$1,0,0,COUNTA([1]characters!$A:$A),MATCH(I$1,[1]characters!$1:$1,0)-MATCH($C$1,[1]characters!$1:$1,0)+1),MATCH(I$1,[1]characters!$1:$1,0)-MATCH($C$1,[1]characters!$1:$1,0)+1,FALSE)</f>
        <v>破壊の発誕 ミケランジェロ</v>
      </c>
      <c r="J6" s="44">
        <v>646</v>
      </c>
      <c r="K6" s="21" t="str">
        <f>VLOOKUP(J6,[1]characters!$A:$C,3,FALSE)</f>
        <v>雪女 ユキ</v>
      </c>
      <c r="L6" s="18">
        <v>1</v>
      </c>
      <c r="M6" s="112">
        <v>1</v>
      </c>
      <c r="N6" s="112">
        <v>100</v>
      </c>
      <c r="O6" s="11">
        <v>200000</v>
      </c>
    </row>
    <row r="7" spans="1:15" ht="21" customHeight="1" x14ac:dyDescent="0.15">
      <c r="A7" s="65" t="str">
        <f t="shared" si="5"/>
        <v>1088_107</v>
      </c>
      <c r="B7" s="44">
        <v>1088</v>
      </c>
      <c r="C7" s="192">
        <f t="shared" ref="C7:C9" si="6">B7</f>
        <v>1088</v>
      </c>
      <c r="D7" s="21" t="str">
        <f ca="1">VLOOKUP(B7,units!A:B,2)</f>
        <v>禍根の暴送者 エリス</v>
      </c>
      <c r="E7" s="57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7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21" t="str">
        <f>VLOOKUP(H7,[1]characters!$A:$T,20)</f>
        <v>normal</v>
      </c>
      <c r="H7" s="44">
        <v>1089</v>
      </c>
      <c r="I7" s="57" t="str">
        <f ca="1">VLOOKUP($H7,OFFSET([1]characters!$A$1,0,0,COUNTA([1]characters!$A:$A),MATCH(I$1,[1]characters!$1:$1,0)-MATCH($C$1,[1]characters!$1:$1,0)+1),MATCH(I$1,[1]characters!$1:$1,0)-MATCH($C$1,[1]characters!$1:$1,0)+1,FALSE)</f>
        <v>破壊の発誕 ミケランジェロ</v>
      </c>
      <c r="J7" s="44">
        <v>107</v>
      </c>
      <c r="K7" s="21" t="str">
        <f>VLOOKUP(J7,[1]characters!$A:$C,3,FALSE)</f>
        <v>グリーンキャタップ</v>
      </c>
      <c r="L7" s="18">
        <v>1</v>
      </c>
      <c r="M7" s="112">
        <v>1</v>
      </c>
      <c r="N7" s="112">
        <v>1</v>
      </c>
      <c r="O7" s="11">
        <v>200000</v>
      </c>
    </row>
    <row r="8" spans="1:15" ht="21" customHeight="1" x14ac:dyDescent="0.15">
      <c r="A8" s="65" t="str">
        <f t="shared" si="5"/>
        <v>1088_108</v>
      </c>
      <c r="B8" s="44">
        <v>1088</v>
      </c>
      <c r="C8" s="192">
        <f t="shared" si="6"/>
        <v>1088</v>
      </c>
      <c r="D8" s="21" t="str">
        <f ca="1">VLOOKUP(B8,units!A:B,2)</f>
        <v>禍根の暴送者 エリス</v>
      </c>
      <c r="E8" s="57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7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21" t="str">
        <f>VLOOKUP(H8,[1]characters!$A:$T,20)</f>
        <v>normal</v>
      </c>
      <c r="H8" s="44">
        <v>1089</v>
      </c>
      <c r="I8" s="57" t="str">
        <f ca="1">VLOOKUP($H8,OFFSET([1]characters!$A$1,0,0,COUNTA([1]characters!$A:$A),MATCH(I$1,[1]characters!$1:$1,0)-MATCH($C$1,[1]characters!$1:$1,0)+1),MATCH(I$1,[1]characters!$1:$1,0)-MATCH($C$1,[1]characters!$1:$1,0)+1,FALSE)</f>
        <v>破壊の発誕 ミケランジェロ</v>
      </c>
      <c r="J8" s="44">
        <v>108</v>
      </c>
      <c r="K8" s="21" t="str">
        <f>VLOOKUP(J8,[1]characters!$A:$C,3,FALSE)</f>
        <v>森のマッドハッター</v>
      </c>
      <c r="L8" s="18">
        <v>1</v>
      </c>
      <c r="M8" s="112">
        <v>1</v>
      </c>
      <c r="N8" s="112">
        <v>1</v>
      </c>
      <c r="O8" s="11">
        <v>200000</v>
      </c>
    </row>
    <row r="9" spans="1:15" ht="21" customHeight="1" x14ac:dyDescent="0.15">
      <c r="A9" s="65" t="str">
        <f t="shared" si="5"/>
        <v>1088_837</v>
      </c>
      <c r="B9" s="44">
        <v>1088</v>
      </c>
      <c r="C9" s="192">
        <f t="shared" si="6"/>
        <v>1088</v>
      </c>
      <c r="D9" s="21" t="str">
        <f ca="1">VLOOKUP(B9,units!A:B,2)</f>
        <v>禍根の暴送者 エリス</v>
      </c>
      <c r="E9" s="57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7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21" t="str">
        <f>VLOOKUP(H9,[1]characters!$A:$T,20)</f>
        <v>normal</v>
      </c>
      <c r="H9" s="44">
        <v>1089</v>
      </c>
      <c r="I9" s="57" t="str">
        <f ca="1">VLOOKUP($H9,OFFSET([1]characters!$A$1,0,0,COUNTA([1]characters!$A:$A),MATCH(I$1,[1]characters!$1:$1,0)-MATCH($C$1,[1]characters!$1:$1,0)+1),MATCH(I$1,[1]characters!$1:$1,0)-MATCH($C$1,[1]characters!$1:$1,0)+1,FALSE)</f>
        <v>破壊の発誕 ミケランジェロ</v>
      </c>
      <c r="J9" s="44">
        <v>837</v>
      </c>
      <c r="K9" s="21" t="str">
        <f>VLOOKUP(J9,[1]characters!$A:$C,3,FALSE)</f>
        <v>リトルハンプティ</v>
      </c>
      <c r="L9" s="18">
        <v>1</v>
      </c>
      <c r="M9" s="112">
        <v>1</v>
      </c>
      <c r="N9" s="112">
        <v>1</v>
      </c>
      <c r="O9" s="11">
        <v>200000</v>
      </c>
    </row>
    <row r="10" spans="1:15" ht="21" customHeight="1" x14ac:dyDescent="0.15">
      <c r="A10" s="65" t="str">
        <f>B10&amp;"_"&amp;J10</f>
        <v>891_422</v>
      </c>
      <c r="B10" s="44">
        <v>891</v>
      </c>
      <c r="C10" s="192">
        <f>B10</f>
        <v>891</v>
      </c>
      <c r="D10" s="21" t="str">
        <f ca="1">VLOOKUP(B10,units!A:B,2)</f>
        <v>禍根の暴送者 エリス</v>
      </c>
      <c r="E10" s="57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7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21" t="str">
        <f>VLOOKUP(B10,fork_awake_units!A:Q,16,FALSE)</f>
        <v>normal</v>
      </c>
      <c r="H10" s="44">
        <f>VLOOKUP(B10,fork_awake_units!A:Q,17,FALSE)</f>
        <v>892</v>
      </c>
      <c r="I10" s="57" t="str">
        <f ca="1">VLOOKUP($H10,OFFSET([1]characters!$A$1,0,0,COUNTA([1]characters!$A:$A),MATCH(I$1,[1]characters!$1:$1,0)-MATCH($C$1,[1]characters!$1:$1,0)+1),MATCH(I$1,[1]characters!$1:$1,0)-MATCH($C$1,[1]characters!$1:$1,0)+1,FALSE)</f>
        <v>金碧の羊星 コルキス</v>
      </c>
      <c r="J10" s="44">
        <v>422</v>
      </c>
      <c r="K10" s="21" t="str">
        <f>VLOOKUP(J10,[1]characters!$A:$C,3,FALSE)</f>
        <v>シュガフル</v>
      </c>
      <c r="L10" s="18">
        <v>1</v>
      </c>
      <c r="M10" s="112">
        <v>1</v>
      </c>
      <c r="N10" s="112">
        <v>100</v>
      </c>
      <c r="O10" s="11">
        <v>200000</v>
      </c>
    </row>
    <row r="11" spans="1:15" ht="21" customHeight="1" x14ac:dyDescent="0.15">
      <c r="A11" s="65" t="str">
        <f>B11&amp;"_"&amp;J11</f>
        <v>891_111</v>
      </c>
      <c r="B11" s="44">
        <v>891</v>
      </c>
      <c r="C11" s="192">
        <f>B11</f>
        <v>891</v>
      </c>
      <c r="D11" s="21" t="str">
        <f ca="1">VLOOKUP(B11,units!A:B,2)</f>
        <v>禍根の暴送者 エリス</v>
      </c>
      <c r="E11" s="57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7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21" t="str">
        <f>VLOOKUP(B11,fork_awake_units!A:Q,16,FALSE)</f>
        <v>normal</v>
      </c>
      <c r="H11" s="44">
        <f>VLOOKUP(B11,fork_awake_units!A:Q,17,FALSE)</f>
        <v>892</v>
      </c>
      <c r="I11" s="57" t="str">
        <f ca="1">VLOOKUP($H11,OFFSET([1]characters!$A$1,0,0,COUNTA([1]characters!$A:$A),MATCH(I$1,[1]characters!$1:$1,0)-MATCH($C$1,[1]characters!$1:$1,0)+1),MATCH(I$1,[1]characters!$1:$1,0)-MATCH($C$1,[1]characters!$1:$1,0)+1,FALSE)</f>
        <v>金碧の羊星 コルキス</v>
      </c>
      <c r="J11" s="44">
        <v>111</v>
      </c>
      <c r="K11" s="21" t="str">
        <f>VLOOKUP(J11,[1]characters!$A:$C,3,FALSE)</f>
        <v>ブルーキャタップ</v>
      </c>
      <c r="L11" s="18">
        <v>1</v>
      </c>
      <c r="M11" s="112">
        <v>1</v>
      </c>
      <c r="N11" s="112">
        <v>1</v>
      </c>
      <c r="O11" s="11">
        <v>200000</v>
      </c>
    </row>
    <row r="12" spans="1:15" ht="21" customHeight="1" x14ac:dyDescent="0.15">
      <c r="A12" s="65" t="str">
        <f>B12&amp;"_"&amp;J12</f>
        <v>891_112</v>
      </c>
      <c r="B12" s="44">
        <v>891</v>
      </c>
      <c r="C12" s="192">
        <f>B12</f>
        <v>891</v>
      </c>
      <c r="D12" s="21" t="str">
        <f ca="1">VLOOKUP(B12,units!A:B,2)</f>
        <v>禍根の暴送者 エリス</v>
      </c>
      <c r="E12" s="57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7" t="str">
        <f ca="1">VLOOKUP($C12,OFFSET([1]characters!$A$1,0,0,COUNTA([1]characters!$A:$A),MATCH(F$1,[1]characters!$1:$1,0)-MATCH($C$1,[1]characters!$1:$1,0)+1),MATCH(F$1,[1]characters!$1:$1,0)-MATCH($C$1,[1]characters!$1:$1,0)+1,FALSE)</f>
        <v>DropWizS</v>
      </c>
      <c r="G12" s="21" t="str">
        <f>VLOOKUP(B12,fork_awake_units!A:Q,16,FALSE)</f>
        <v>normal</v>
      </c>
      <c r="H12" s="44">
        <f>VLOOKUP(B12,fork_awake_units!A:Q,17,FALSE)</f>
        <v>892</v>
      </c>
      <c r="I12" s="57" t="str">
        <f ca="1">VLOOKUP($H12,OFFSET([1]characters!$A$1,0,0,COUNTA([1]characters!$A:$A),MATCH(I$1,[1]characters!$1:$1,0)-MATCH($C$1,[1]characters!$1:$1,0)+1),MATCH(I$1,[1]characters!$1:$1,0)-MATCH($C$1,[1]characters!$1:$1,0)+1,FALSE)</f>
        <v>金碧の羊星 コルキス</v>
      </c>
      <c r="J12" s="44">
        <v>112</v>
      </c>
      <c r="K12" s="21" t="str">
        <f>VLOOKUP(J12,[1]characters!$A:$C,3,FALSE)</f>
        <v>水のマッドハッター</v>
      </c>
      <c r="L12" s="18">
        <v>1</v>
      </c>
      <c r="M12" s="112">
        <v>1</v>
      </c>
      <c r="N12" s="112">
        <v>1</v>
      </c>
      <c r="O12" s="11">
        <v>200000</v>
      </c>
    </row>
    <row r="13" spans="1:15" ht="21" customHeight="1" x14ac:dyDescent="0.15">
      <c r="A13" s="65" t="str">
        <f>B13&amp;"_"&amp;J13</f>
        <v>891_837</v>
      </c>
      <c r="B13" s="44">
        <v>891</v>
      </c>
      <c r="C13" s="192">
        <f>B13</f>
        <v>891</v>
      </c>
      <c r="D13" s="21" t="str">
        <f ca="1">VLOOKUP(B13,units!A:B,2)</f>
        <v>禍根の暴送者 エリス</v>
      </c>
      <c r="E13" s="57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7" t="str">
        <f ca="1">VLOOKUP($C13,OFFSET([1]characters!$A$1,0,0,COUNTA([1]characters!$A:$A),MATCH(F$1,[1]characters!$1:$1,0)-MATCH($C$1,[1]characters!$1:$1,0)+1),MATCH(F$1,[1]characters!$1:$1,0)-MATCH($C$1,[1]characters!$1:$1,0)+1,FALSE)</f>
        <v>DropWizS</v>
      </c>
      <c r="G13" s="21" t="str">
        <f>VLOOKUP(B13,fork_awake_units!A:Q,16,FALSE)</f>
        <v>normal</v>
      </c>
      <c r="H13" s="44">
        <f>VLOOKUP(B13,fork_awake_units!A:Q,17,FALSE)</f>
        <v>892</v>
      </c>
      <c r="I13" s="57" t="str">
        <f ca="1">VLOOKUP($H13,OFFSET([1]characters!$A$1,0,0,COUNTA([1]characters!$A:$A),MATCH(I$1,[1]characters!$1:$1,0)-MATCH($C$1,[1]characters!$1:$1,0)+1),MATCH(I$1,[1]characters!$1:$1,0)-MATCH($C$1,[1]characters!$1:$1,0)+1,FALSE)</f>
        <v>金碧の羊星 コルキス</v>
      </c>
      <c r="J13" s="44">
        <v>837</v>
      </c>
      <c r="K13" s="21" t="str">
        <f>VLOOKUP(J13,[1]characters!$A:$C,3,FALSE)</f>
        <v>リトルハンプティ</v>
      </c>
      <c r="L13" s="18">
        <v>1</v>
      </c>
      <c r="M13" s="112">
        <v>1</v>
      </c>
      <c r="N13" s="112">
        <v>1</v>
      </c>
      <c r="O13" s="11">
        <v>200000</v>
      </c>
    </row>
    <row r="14" spans="1:15" ht="21" customHeight="1" x14ac:dyDescent="0.15">
      <c r="A14" s="65" t="str">
        <f t="shared" ref="A14:A21" si="7">B14&amp;"_"&amp;J14</f>
        <v>780_650</v>
      </c>
      <c r="B14" s="44">
        <v>780</v>
      </c>
      <c r="C14" s="192">
        <f t="shared" ref="C14:C17" si="8">B14</f>
        <v>780</v>
      </c>
      <c r="D14" s="21" t="str">
        <f ca="1">VLOOKUP(B14,units!A:B,2)</f>
        <v>カスケード</v>
      </c>
      <c r="E14" s="57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7" t="str">
        <f ca="1">VLOOKUP($C14,OFFSET([1]characters!$A$1,0,0,COUNTA([1]characters!$A:$A),MATCH(F$1,[1]characters!$1:$1,0)-MATCH($C$1,[1]characters!$1:$1,0)+1),MATCH(F$1,[1]characters!$1:$1,0)-MATCH($C$1,[1]characters!$1:$1,0)+1,FALSE)</f>
        <v>DropWizS</v>
      </c>
      <c r="G14" s="21" t="str">
        <f>VLOOKUP(B14,fork_awake_units!A:Q,16,FALSE)</f>
        <v>normal</v>
      </c>
      <c r="H14" s="44">
        <f>VLOOKUP(B14,fork_awake_units!A:Q,17,FALSE)</f>
        <v>781</v>
      </c>
      <c r="I14" s="57" t="str">
        <f ca="1">VLOOKUP($H14,OFFSET([1]characters!$A$1,0,0,COUNTA([1]characters!$A:$A),MATCH(I$1,[1]characters!$1:$1,0)-MATCH($C$1,[1]characters!$1:$1,0)+1),MATCH(I$1,[1]characters!$1:$1,0)-MATCH($C$1,[1]characters!$1:$1,0)+1,FALSE)</f>
        <v>崩落の大瀑布 カスケード</v>
      </c>
      <c r="J14" s="44">
        <v>650</v>
      </c>
      <c r="K14" s="21" t="str">
        <f>VLOOKUP(J14,[1]characters!$A:$C,3,FALSE)</f>
        <v>土蜘蛛 ユウヤ</v>
      </c>
      <c r="L14" s="18">
        <v>1</v>
      </c>
      <c r="M14" s="112">
        <v>1</v>
      </c>
      <c r="N14" s="112">
        <v>1</v>
      </c>
      <c r="O14" s="11">
        <v>200000</v>
      </c>
    </row>
    <row r="15" spans="1:15" ht="21" customHeight="1" x14ac:dyDescent="0.15">
      <c r="A15" s="65" t="str">
        <f t="shared" si="7"/>
        <v>780_115</v>
      </c>
      <c r="B15" s="44">
        <v>780</v>
      </c>
      <c r="C15" s="192">
        <f t="shared" si="8"/>
        <v>780</v>
      </c>
      <c r="D15" s="21" t="str">
        <f ca="1">VLOOKUP(B15,units!A:B,2)</f>
        <v>カスケード</v>
      </c>
      <c r="E15" s="57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7" t="str">
        <f ca="1">VLOOKUP($C15,OFFSET([1]characters!$A$1,0,0,COUNTA([1]characters!$A:$A),MATCH(F$1,[1]characters!$1:$1,0)-MATCH($C$1,[1]characters!$1:$1,0)+1),MATCH(F$1,[1]characters!$1:$1,0)-MATCH($C$1,[1]characters!$1:$1,0)+1,FALSE)</f>
        <v>DropWizS</v>
      </c>
      <c r="G15" s="21" t="str">
        <f>VLOOKUP(B15,fork_awake_units!A:Q,16,FALSE)</f>
        <v>normal</v>
      </c>
      <c r="H15" s="44">
        <f>VLOOKUP(B15,fork_awake_units!A:Q,17,FALSE)</f>
        <v>781</v>
      </c>
      <c r="I15" s="57" t="str">
        <f ca="1">VLOOKUP($H15,OFFSET([1]characters!$A$1,0,0,COUNTA([1]characters!$A:$A),MATCH(I$1,[1]characters!$1:$1,0)-MATCH($C$1,[1]characters!$1:$1,0)+1),MATCH(I$1,[1]characters!$1:$1,0)-MATCH($C$1,[1]characters!$1:$1,0)+1,FALSE)</f>
        <v>崩落の大瀑布 カスケード</v>
      </c>
      <c r="J15" s="44">
        <v>115</v>
      </c>
      <c r="K15" s="21" t="str">
        <f>VLOOKUP(J15,[1]characters!$A:$C,3,FALSE)</f>
        <v>イエローキャタップ</v>
      </c>
      <c r="L15" s="18">
        <v>1</v>
      </c>
      <c r="M15" s="112">
        <v>1</v>
      </c>
      <c r="N15" s="112">
        <v>1</v>
      </c>
      <c r="O15" s="11">
        <v>200000</v>
      </c>
    </row>
    <row r="16" spans="1:15" ht="21" customHeight="1" x14ac:dyDescent="0.15">
      <c r="A16" s="65" t="str">
        <f t="shared" si="7"/>
        <v>780_116</v>
      </c>
      <c r="B16" s="44">
        <v>780</v>
      </c>
      <c r="C16" s="192">
        <f t="shared" si="8"/>
        <v>780</v>
      </c>
      <c r="D16" s="21" t="str">
        <f ca="1">VLOOKUP(B16,units!A:B,2)</f>
        <v>カスケード</v>
      </c>
      <c r="E16" s="57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7" t="str">
        <f ca="1">VLOOKUP($C16,OFFSET([1]characters!$A$1,0,0,COUNTA([1]characters!$A:$A),MATCH(F$1,[1]characters!$1:$1,0)-MATCH($C$1,[1]characters!$1:$1,0)+1),MATCH(F$1,[1]characters!$1:$1,0)-MATCH($C$1,[1]characters!$1:$1,0)+1,FALSE)</f>
        <v>DropWizS</v>
      </c>
      <c r="G16" s="21" t="str">
        <f>VLOOKUP(B16,fork_awake_units!A:Q,16,FALSE)</f>
        <v>normal</v>
      </c>
      <c r="H16" s="44">
        <f>VLOOKUP(B16,fork_awake_units!A:Q,17,FALSE)</f>
        <v>781</v>
      </c>
      <c r="I16" s="57" t="str">
        <f ca="1">VLOOKUP($H16,OFFSET([1]characters!$A$1,0,0,COUNTA([1]characters!$A:$A),MATCH(I$1,[1]characters!$1:$1,0)-MATCH($C$1,[1]characters!$1:$1,0)+1),MATCH(I$1,[1]characters!$1:$1,0)-MATCH($C$1,[1]characters!$1:$1,0)+1,FALSE)</f>
        <v>崩落の大瀑布 カスケード</v>
      </c>
      <c r="J16" s="44">
        <v>116</v>
      </c>
      <c r="K16" s="21" t="str">
        <f>VLOOKUP(J16,[1]characters!$A:$C,3,FALSE)</f>
        <v>雷のマッドハッター</v>
      </c>
      <c r="L16" s="18">
        <v>1</v>
      </c>
      <c r="M16" s="112">
        <v>1</v>
      </c>
      <c r="N16" s="112">
        <v>1</v>
      </c>
      <c r="O16" s="11">
        <v>200000</v>
      </c>
    </row>
    <row r="17" spans="1:15" ht="21" customHeight="1" x14ac:dyDescent="0.15">
      <c r="A17" s="65" t="str">
        <f t="shared" si="7"/>
        <v>780_837</v>
      </c>
      <c r="B17" s="44">
        <v>780</v>
      </c>
      <c r="C17" s="192">
        <f t="shared" si="8"/>
        <v>780</v>
      </c>
      <c r="D17" s="21" t="str">
        <f ca="1">VLOOKUP(B17,units!A:B,2)</f>
        <v>カスケード</v>
      </c>
      <c r="E17" s="57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7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21" t="str">
        <f>VLOOKUP(B17,fork_awake_units!A:Q,16,FALSE)</f>
        <v>normal</v>
      </c>
      <c r="H17" s="44">
        <f>VLOOKUP(B17,fork_awake_units!A:Q,17,FALSE)</f>
        <v>781</v>
      </c>
      <c r="I17" s="57" t="str">
        <f ca="1">VLOOKUP($H17,OFFSET([1]characters!$A$1,0,0,COUNTA([1]characters!$A:$A),MATCH(I$1,[1]characters!$1:$1,0)-MATCH($C$1,[1]characters!$1:$1,0)+1),MATCH(I$1,[1]characters!$1:$1,0)-MATCH($C$1,[1]characters!$1:$1,0)+1,FALSE)</f>
        <v>崩落の大瀑布 カスケード</v>
      </c>
      <c r="J17" s="44">
        <v>837</v>
      </c>
      <c r="K17" s="21" t="str">
        <f>VLOOKUP(J17,[1]characters!$A:$C,3,FALSE)</f>
        <v>リトルハンプティ</v>
      </c>
      <c r="L17" s="18">
        <v>1</v>
      </c>
      <c r="M17" s="112">
        <v>1</v>
      </c>
      <c r="N17" s="112">
        <v>100</v>
      </c>
      <c r="O17" s="11">
        <v>200000</v>
      </c>
    </row>
    <row r="18" spans="1:15" ht="21" customHeight="1" x14ac:dyDescent="0.15">
      <c r="A18" s="65" t="str">
        <f t="shared" si="7"/>
        <v>887_276</v>
      </c>
      <c r="B18" s="44">
        <v>887</v>
      </c>
      <c r="C18" s="192">
        <f>B18</f>
        <v>887</v>
      </c>
      <c r="D18" s="21" t="str">
        <f ca="1">VLOOKUP(B18,units!A:B,2)</f>
        <v>エリス</v>
      </c>
      <c r="E18" s="57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7" t="str">
        <f ca="1">VLOOKUP($C18,OFFSET([1]characters!$A$1,0,0,COUNTA([1]characters!$A:$A),MATCH(F$1,[1]characters!$1:$1,0)-MATCH($C$1,[1]characters!$1:$1,0)+1),MATCH(F$1,[1]characters!$1:$1,0)-MATCH($C$1,[1]characters!$1:$1,0)+1,FALSE)</f>
        <v>DropWizS</v>
      </c>
      <c r="G18" s="21" t="str">
        <f>VLOOKUP(B18,fork_awake_units!A:Q,16,FALSE)</f>
        <v>normal</v>
      </c>
      <c r="H18" s="44">
        <f>VLOOKUP(B18,fork_awake_units!A:Q,17,FALSE)</f>
        <v>888</v>
      </c>
      <c r="I18" s="57" t="str">
        <f ca="1">VLOOKUP($H18,OFFSET([1]characters!$A$1,0,0,COUNTA([1]characters!$A:$A),MATCH(I$1,[1]characters!$1:$1,0)-MATCH($C$1,[1]characters!$1:$1,0)+1),MATCH(I$1,[1]characters!$1:$1,0)-MATCH($C$1,[1]characters!$1:$1,0)+1,FALSE)</f>
        <v>禍根の暴送者 エリス</v>
      </c>
      <c r="J18" s="44">
        <v>276</v>
      </c>
      <c r="K18" s="21" t="str">
        <f>VLOOKUP(J18,[1]characters!$A:$C,3,FALSE)</f>
        <v>機拳のイリア</v>
      </c>
      <c r="L18" s="18">
        <v>1</v>
      </c>
      <c r="M18" s="112">
        <v>1</v>
      </c>
      <c r="N18" s="112">
        <v>1</v>
      </c>
      <c r="O18" s="11">
        <v>200000</v>
      </c>
    </row>
    <row r="19" spans="1:15" ht="21" customHeight="1" x14ac:dyDescent="0.15">
      <c r="A19" s="65" t="str">
        <f t="shared" si="7"/>
        <v>887_103</v>
      </c>
      <c r="B19" s="44">
        <v>887</v>
      </c>
      <c r="C19" s="192">
        <f t="shared" ref="C19:C21" si="9">B19</f>
        <v>887</v>
      </c>
      <c r="D19" s="21" t="str">
        <f ca="1">VLOOKUP(B19,units!A:B,2)</f>
        <v>エリス</v>
      </c>
      <c r="E19" s="57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7" t="str">
        <f ca="1">VLOOKUP($C19,OFFSET([1]characters!$A$1,0,0,COUNTA([1]characters!$A:$A),MATCH(F$1,[1]characters!$1:$1,0)-MATCH($C$1,[1]characters!$1:$1,0)+1),MATCH(F$1,[1]characters!$1:$1,0)-MATCH($C$1,[1]characters!$1:$1,0)+1,FALSE)</f>
        <v>DropWizS</v>
      </c>
      <c r="G19" s="21" t="str">
        <f>VLOOKUP(B19,fork_awake_units!A:Q,16,FALSE)</f>
        <v>normal</v>
      </c>
      <c r="H19" s="44">
        <f>VLOOKUP(B19,fork_awake_units!A:Q,17,FALSE)</f>
        <v>888</v>
      </c>
      <c r="I19" s="57" t="str">
        <f ca="1">VLOOKUP($H19,OFFSET([1]characters!$A$1,0,0,COUNTA([1]characters!$A:$A),MATCH(I$1,[1]characters!$1:$1,0)-MATCH($C$1,[1]characters!$1:$1,0)+1),MATCH(I$1,[1]characters!$1:$1,0)-MATCH($C$1,[1]characters!$1:$1,0)+1,FALSE)</f>
        <v>禍根の暴送者 エリス</v>
      </c>
      <c r="J19" s="44">
        <v>103</v>
      </c>
      <c r="K19" s="21" t="str">
        <f>VLOOKUP(J19,[1]characters!$A:$C,3,FALSE)</f>
        <v>レッドキャタップ</v>
      </c>
      <c r="L19" s="18">
        <v>1</v>
      </c>
      <c r="M19" s="112">
        <v>1</v>
      </c>
      <c r="N19" s="112">
        <v>1</v>
      </c>
      <c r="O19" s="11">
        <v>200000</v>
      </c>
    </row>
    <row r="20" spans="1:15" ht="21" customHeight="1" x14ac:dyDescent="0.15">
      <c r="A20" s="65" t="str">
        <f t="shared" si="7"/>
        <v>887_104</v>
      </c>
      <c r="B20" s="44">
        <v>887</v>
      </c>
      <c r="C20" s="192">
        <f t="shared" si="9"/>
        <v>887</v>
      </c>
      <c r="D20" s="21" t="str">
        <f ca="1">VLOOKUP(B20,units!A:B,2)</f>
        <v>エリス</v>
      </c>
      <c r="E20" s="57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7" t="str">
        <f ca="1">VLOOKUP($C20,OFFSET([1]characters!$A$1,0,0,COUNTA([1]characters!$A:$A),MATCH(F$1,[1]characters!$1:$1,0)-MATCH($C$1,[1]characters!$1:$1,0)+1),MATCH(F$1,[1]characters!$1:$1,0)-MATCH($C$1,[1]characters!$1:$1,0)+1,FALSE)</f>
        <v>DropWizS</v>
      </c>
      <c r="G20" s="21" t="str">
        <f>VLOOKUP(B20,fork_awake_units!A:Q,16,FALSE)</f>
        <v>normal</v>
      </c>
      <c r="H20" s="44">
        <f>VLOOKUP(B20,fork_awake_units!A:Q,17,FALSE)</f>
        <v>888</v>
      </c>
      <c r="I20" s="57" t="str">
        <f ca="1">VLOOKUP($H20,OFFSET([1]characters!$A$1,0,0,COUNTA([1]characters!$A:$A),MATCH(I$1,[1]characters!$1:$1,0)-MATCH($C$1,[1]characters!$1:$1,0)+1),MATCH(I$1,[1]characters!$1:$1,0)-MATCH($C$1,[1]characters!$1:$1,0)+1,FALSE)</f>
        <v>禍根の暴送者 エリス</v>
      </c>
      <c r="J20" s="44">
        <v>104</v>
      </c>
      <c r="K20" s="21" t="str">
        <f>VLOOKUP(J20,[1]characters!$A:$C,3,FALSE)</f>
        <v>炎のマッドハッター</v>
      </c>
      <c r="L20" s="18">
        <v>1</v>
      </c>
      <c r="M20" s="112">
        <v>1</v>
      </c>
      <c r="N20" s="112">
        <v>1</v>
      </c>
      <c r="O20" s="11">
        <v>200000</v>
      </c>
    </row>
    <row r="21" spans="1:15" ht="21" customHeight="1" x14ac:dyDescent="0.15">
      <c r="A21" s="65" t="str">
        <f t="shared" si="7"/>
        <v>887_837</v>
      </c>
      <c r="B21" s="44">
        <v>887</v>
      </c>
      <c r="C21" s="192">
        <f t="shared" si="9"/>
        <v>887</v>
      </c>
      <c r="D21" s="21" t="str">
        <f ca="1">VLOOKUP(B21,units!A:B,2)</f>
        <v>エリス</v>
      </c>
      <c r="E21" s="57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7" t="str">
        <f ca="1">VLOOKUP($C21,OFFSET([1]characters!$A$1,0,0,COUNTA([1]characters!$A:$A),MATCH(F$1,[1]characters!$1:$1,0)-MATCH($C$1,[1]characters!$1:$1,0)+1),MATCH(F$1,[1]characters!$1:$1,0)-MATCH($C$1,[1]characters!$1:$1,0)+1,FALSE)</f>
        <v>DropWizS</v>
      </c>
      <c r="G21" s="21" t="str">
        <f>VLOOKUP(B21,fork_awake_units!A:Q,16,FALSE)</f>
        <v>normal</v>
      </c>
      <c r="H21" s="44">
        <f>VLOOKUP(B21,fork_awake_units!A:Q,17,FALSE)</f>
        <v>888</v>
      </c>
      <c r="I21" s="57" t="str">
        <f ca="1">VLOOKUP($H21,OFFSET([1]characters!$A$1,0,0,COUNTA([1]characters!$A:$A),MATCH(I$1,[1]characters!$1:$1,0)-MATCH($C$1,[1]characters!$1:$1,0)+1),MATCH(I$1,[1]characters!$1:$1,0)-MATCH($C$1,[1]characters!$1:$1,0)+1,FALSE)</f>
        <v>禍根の暴送者 エリス</v>
      </c>
      <c r="J21" s="44">
        <v>837</v>
      </c>
      <c r="K21" s="21" t="str">
        <f>VLOOKUP(J21,[1]characters!$A:$C,3,FALSE)</f>
        <v>リトルハンプティ</v>
      </c>
      <c r="L21" s="18">
        <v>1</v>
      </c>
      <c r="M21" s="112">
        <v>1</v>
      </c>
      <c r="N21" s="112">
        <v>100</v>
      </c>
      <c r="O21" s="11">
        <v>200000</v>
      </c>
    </row>
  </sheetData>
  <sheetProtection selectLockedCells="1" selectUnlockedCells="1"/>
  <autoFilter ref="B1:L1"/>
  <phoneticPr fontId="22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K2"/>
  <sheetViews>
    <sheetView topLeftCell="E1" zoomScale="110" zoomScaleNormal="110" zoomScalePageLayoutView="110" workbookViewId="0">
      <selection activeCell="G3" sqref="G3"/>
    </sheetView>
  </sheetViews>
  <sheetFormatPr baseColWidth="12" defaultRowHeight="15" x14ac:dyDescent="0.15"/>
  <cols>
    <col min="3" max="3" width="22.5" bestFit="1" customWidth="1"/>
    <col min="4" max="4" width="41.5" customWidth="1"/>
    <col min="5" max="5" width="10.1640625" customWidth="1"/>
    <col min="6" max="6" width="18" customWidth="1"/>
    <col min="7" max="7" width="66.5" customWidth="1"/>
    <col min="8" max="8" width="6.33203125" bestFit="1" customWidth="1"/>
    <col min="9" max="9" width="49.6640625" bestFit="1" customWidth="1"/>
    <col min="10" max="10" width="7.5" bestFit="1" customWidth="1"/>
    <col min="11" max="11" width="6.6640625" bestFit="1" customWidth="1"/>
  </cols>
  <sheetData>
    <row r="1" spans="1:11" s="24" customFormat="1" ht="21" customHeight="1" x14ac:dyDescent="0.15">
      <c r="A1" s="167" t="s">
        <v>242</v>
      </c>
      <c r="B1" s="118" t="s">
        <v>133</v>
      </c>
      <c r="C1" s="119" t="s">
        <v>243</v>
      </c>
      <c r="D1" s="120" t="s">
        <v>155</v>
      </c>
      <c r="E1" s="120" t="s">
        <v>300</v>
      </c>
      <c r="F1" s="120" t="s">
        <v>303</v>
      </c>
      <c r="G1" s="120" t="s">
        <v>302</v>
      </c>
      <c r="H1" s="120" t="s">
        <v>301</v>
      </c>
      <c r="I1" s="173" t="s">
        <v>244</v>
      </c>
      <c r="J1" s="173" t="s">
        <v>454</v>
      </c>
      <c r="K1" s="168" t="s">
        <v>245</v>
      </c>
    </row>
    <row r="2" spans="1:11" x14ac:dyDescent="0.15">
      <c r="A2" s="66">
        <v>88801</v>
      </c>
      <c r="B2" s="169" t="s">
        <v>177</v>
      </c>
      <c r="C2" s="208" t="s">
        <v>453</v>
      </c>
      <c r="D2" s="208" t="s">
        <v>451</v>
      </c>
      <c r="E2" s="208" t="s">
        <v>447</v>
      </c>
      <c r="F2" s="208" t="s">
        <v>448</v>
      </c>
      <c r="G2" s="208" t="s">
        <v>449</v>
      </c>
      <c r="H2">
        <v>0</v>
      </c>
      <c r="I2" s="209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{"ver":"1.9.0","type":"ability","effects":"[effect:enhance_unit, target:unit_red, turn:-1, status:attack, val:400, calc:add, animation:enhance_unit_all_attack04]","conditions":"[condition:panel_total,count:10,type:crack_bomb]","priority":0}</v>
      </c>
      <c r="J2" s="210" t="s">
        <v>455</v>
      </c>
      <c r="K2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7"/>
  <sheetViews>
    <sheetView zoomScale="118" workbookViewId="0">
      <selection activeCell="E7" sqref="E7"/>
    </sheetView>
  </sheetViews>
  <sheetFormatPr baseColWidth="12" defaultRowHeight="15" x14ac:dyDescent="0.15"/>
  <cols>
    <col min="5" max="5" width="16.33203125" bestFit="1" customWidth="1"/>
    <col min="6" max="6" width="60.33203125" bestFit="1" customWidth="1"/>
  </cols>
  <sheetData>
    <row r="1" spans="1:8" s="24" customFormat="1" ht="21" customHeight="1" x14ac:dyDescent="0.15">
      <c r="A1" s="167" t="s">
        <v>246</v>
      </c>
      <c r="B1" s="170" t="s">
        <v>247</v>
      </c>
      <c r="C1" s="118" t="s">
        <v>248</v>
      </c>
      <c r="D1" s="118" t="s">
        <v>249</v>
      </c>
      <c r="E1" s="171" t="s">
        <v>250</v>
      </c>
      <c r="F1" s="171" t="s">
        <v>251</v>
      </c>
      <c r="G1" s="121" t="s">
        <v>252</v>
      </c>
      <c r="H1" s="167" t="s">
        <v>253</v>
      </c>
    </row>
    <row r="2" spans="1:8" s="4" customFormat="1" ht="21" customHeight="1" x14ac:dyDescent="0.15">
      <c r="A2" s="169">
        <v>789</v>
      </c>
      <c r="B2" s="172" t="str">
        <f>VLOOKUP(A2,[1]characters!$A:$C,3)</f>
        <v>極闘の大鋼腕 アトラス</v>
      </c>
      <c r="C2" s="169">
        <v>1</v>
      </c>
      <c r="D2" s="169">
        <v>102</v>
      </c>
      <c r="E2" s="173" t="str">
        <f>IF(ISERROR(VLOOKUP(D2,[2]abilities!A:D,3,FALSE))=FALSE,VLOOKUP(D2,[2]abilities!A:D,3),IF(ISERROR(VLOOKUP(D2,abilities!A:D,3,FALSE))=FALSE,VLOOKUP(D2,abilities!A:D,3),"なし"))</f>
        <v>プロテクトブレイク</v>
      </c>
      <c r="F2" s="173" t="str">
        <f>IF(ISERROR(VLOOKUP(D2,[2]abilities!A:D,4,FALSE))=FALSE,VLOOKUP(D2,[2]abilities!A:D,4),IF(ISERROR(VLOOKUP(D2,abilities!A:D,4,FALSE))=FALSE,VLOOKUP(D2,abilities!A:D,4),"なし"))</f>
        <v>自身が先頭の時、プロテクトを無視してパネル破壊できる</v>
      </c>
      <c r="G2" s="174" t="s">
        <v>254</v>
      </c>
      <c r="H2" s="174" t="s">
        <v>314</v>
      </c>
    </row>
    <row r="3" spans="1:8" s="4" customFormat="1" ht="21" customHeight="1" x14ac:dyDescent="0.15">
      <c r="A3" s="169">
        <v>1089</v>
      </c>
      <c r="B3" s="172" t="str">
        <f>VLOOKUP(A3,[1]characters!$A:$C,3)</f>
        <v>破壊の発誕 ミケランジェロ</v>
      </c>
      <c r="C3" s="169">
        <v>1</v>
      </c>
      <c r="D3" s="169">
        <v>200</v>
      </c>
      <c r="E3" s="173" t="str">
        <f>IF(ISERROR(VLOOKUP(D3,[2]abilities!A:D,3,FALSE))=FALSE,VLOOKUP(D3,[2]abilities!A:D,3),IF(ISERROR(VLOOKUP(D3,abilities!A:D,3,FALSE))=FALSE,VLOOKUP(D3,abilities!A:D,3),"なし"))</f>
        <v>ウィルス無効</v>
      </c>
      <c r="F3" s="173" t="str">
        <f>IF(ISERROR(VLOOKUP(D3,[2]abilities!A:D,4,FALSE))=FALSE,VLOOKUP(D3,[2]abilities!A:D,4),IF(ISERROR(VLOOKUP(D3,abilities!A:D,4,FALSE))=FALSE,VLOOKUP(D3,abilities!A:D,4),"なし"))</f>
        <v>自身にかかるウィルスを無効化する</v>
      </c>
      <c r="G3" s="174" t="s">
        <v>254</v>
      </c>
      <c r="H3" s="174" t="s">
        <v>314</v>
      </c>
    </row>
    <row r="4" spans="1:8" s="4" customFormat="1" ht="21" customHeight="1" x14ac:dyDescent="0.15">
      <c r="A4" s="169">
        <v>892</v>
      </c>
      <c r="B4" s="172" t="str">
        <f>VLOOKUP(A4,[1]characters!$A:$C,3)</f>
        <v>金碧の羊星 コルキス</v>
      </c>
      <c r="C4" s="169">
        <v>1</v>
      </c>
      <c r="D4" s="169">
        <v>200</v>
      </c>
      <c r="E4" s="173" t="str">
        <f>IF(ISERROR(VLOOKUP(D4,[2]abilities!A:D,3,FALSE))=FALSE,VLOOKUP(D4,[2]abilities!A:D,3),IF(ISERROR(VLOOKUP(D4,abilities!A:D,3,FALSE))=FALSE,VLOOKUP(D4,abilities!A:D,3),"なし"))</f>
        <v>ウィルス無効</v>
      </c>
      <c r="F4" s="173" t="str">
        <f>IF(ISERROR(VLOOKUP(D4,[2]abilities!A:D,4,FALSE))=FALSE,VLOOKUP(D4,[2]abilities!A:D,4),IF(ISERROR(VLOOKUP(D4,abilities!A:D,4,FALSE))=FALSE,VLOOKUP(D4,abilities!A:D,4),"なし"))</f>
        <v>自身にかかるウィルスを無効化する</v>
      </c>
      <c r="G4" s="174" t="s">
        <v>254</v>
      </c>
      <c r="H4" s="174" t="s">
        <v>314</v>
      </c>
    </row>
    <row r="5" spans="1:8" s="4" customFormat="1" ht="21" customHeight="1" x14ac:dyDescent="0.15">
      <c r="A5" s="169">
        <v>781</v>
      </c>
      <c r="B5" s="172" t="str">
        <f>VLOOKUP(A5,[1]characters!$A:$C,3)</f>
        <v>崩落の大瀑布 カスケード</v>
      </c>
      <c r="C5" s="169">
        <v>1</v>
      </c>
      <c r="D5" s="169">
        <v>200</v>
      </c>
      <c r="E5" s="173" t="str">
        <f>IF(ISERROR(VLOOKUP(D5,[2]abilities!A:D,3,FALSE))=FALSE,VLOOKUP(D5,[2]abilities!A:D,3),IF(ISERROR(VLOOKUP(D5,abilities!A:D,3,FALSE))=FALSE,VLOOKUP(D5,abilities!A:D,3),"なし"))</f>
        <v>ウィルス無効</v>
      </c>
      <c r="F5" s="173" t="str">
        <f>IF(ISERROR(VLOOKUP(D5,[2]abilities!A:D,4,FALSE))=FALSE,VLOOKUP(D5,[2]abilities!A:D,4),IF(ISERROR(VLOOKUP(D5,abilities!A:D,4,FALSE))=FALSE,VLOOKUP(D5,abilities!A:D,4),"なし"))</f>
        <v>自身にかかるウィルスを無効化する</v>
      </c>
      <c r="G5" s="174" t="s">
        <v>254</v>
      </c>
      <c r="H5" s="174" t="s">
        <v>314</v>
      </c>
    </row>
    <row r="6" spans="1:8" s="4" customFormat="1" ht="21" customHeight="1" x14ac:dyDescent="0.15">
      <c r="A6" s="169">
        <v>888</v>
      </c>
      <c r="B6" s="172" t="str">
        <f>VLOOKUP(A6,[1]characters!$A:$C,3)</f>
        <v>禍根の暴送者 エリス</v>
      </c>
      <c r="C6" s="169">
        <v>1</v>
      </c>
      <c r="D6" s="169">
        <v>200</v>
      </c>
      <c r="E6" s="173" t="str">
        <f>IF(ISERROR(VLOOKUP(D6,[2]abilities!A:D,3,FALSE))=FALSE,VLOOKUP(D6,[2]abilities!A:D,3),IF(ISERROR(VLOOKUP(D6,abilities!A:D,3,FALSE))=FALSE,VLOOKUP(D6,abilities!A:D,3),"なし"))</f>
        <v>ウィルス無効</v>
      </c>
      <c r="F6" s="173" t="str">
        <f>IF(ISERROR(VLOOKUP(D6,[2]abilities!A:D,4,FALSE))=FALSE,VLOOKUP(D6,[2]abilities!A:D,4),IF(ISERROR(VLOOKUP(D6,abilities!A:D,4,FALSE))=FALSE,VLOOKUP(D6,abilities!A:D,4),"なし"))</f>
        <v>自身にかかるウィルスを無効化する</v>
      </c>
      <c r="G6" s="174" t="s">
        <v>254</v>
      </c>
      <c r="H6" s="174" t="s">
        <v>450</v>
      </c>
    </row>
    <row r="7" spans="1:8" s="4" customFormat="1" ht="21" customHeight="1" x14ac:dyDescent="0.15">
      <c r="A7" s="169">
        <v>888</v>
      </c>
      <c r="B7" s="172" t="str">
        <f>VLOOKUP(A7,[1]characters!$A:$C,3)</f>
        <v>禍根の暴送者 エリス</v>
      </c>
      <c r="C7" s="169">
        <v>2</v>
      </c>
      <c r="D7" s="169">
        <v>88801</v>
      </c>
      <c r="E7" s="173" t="str">
        <f>IF(ISERROR(VLOOKUP(D7,[2]abilities!A:D,3,FALSE))=FALSE,VLOOKUP(D7,[2]abilities!A:D,3),IF(ISERROR(VLOOKUP(D7,abilities!A:D,3,FALSE))=FALSE,VLOOKUP(D7,abilities!A:D,3),"なし"))</f>
        <v>ボムブレイク10 赤属性攻撃力UP</v>
      </c>
      <c r="F7" s="173" t="str">
        <f>IF(ISERROR(VLOOKUP(D7,[2]abilities!A:D,4,FALSE))=FALSE,VLOOKUP(D7,[2]abilities!A:D,4),IF(ISERROR(VLOOKUP(D7,abilities!A:D,4,FALSE))=FALSE,VLOOKUP(D7,abilities!A:D,4),"なし"))</f>
        <v>自身または味方が1ターンの間に合計10個以上ボムパネルを破壊した場合に赤属性ユニットの攻撃力UP</v>
      </c>
      <c r="G7" s="174" t="s">
        <v>254</v>
      </c>
      <c r="H7" s="174" t="s">
        <v>314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D5" sqref="D5"/>
    </sheetView>
  </sheetViews>
  <sheetFormatPr baseColWidth="12" defaultRowHeight="15" x14ac:dyDescent="0.15"/>
  <sheetData>
    <row r="1" spans="1:2" x14ac:dyDescent="0.15">
      <c r="A1" t="s">
        <v>424</v>
      </c>
      <c r="B1" t="s">
        <v>425</v>
      </c>
    </row>
    <row r="2" spans="1:2" x14ac:dyDescent="0.15">
      <c r="A2" t="s">
        <v>426</v>
      </c>
      <c r="B2">
        <v>1</v>
      </c>
    </row>
    <row r="3" spans="1:2" x14ac:dyDescent="0.15">
      <c r="A3" t="s">
        <v>427</v>
      </c>
      <c r="B3">
        <v>1</v>
      </c>
    </row>
    <row r="4" spans="1:2" x14ac:dyDescent="0.15">
      <c r="A4" t="s">
        <v>428</v>
      </c>
      <c r="B4">
        <v>1</v>
      </c>
    </row>
    <row r="5" spans="1:2" x14ac:dyDescent="0.15">
      <c r="A5" t="s">
        <v>429</v>
      </c>
      <c r="B5">
        <v>1</v>
      </c>
    </row>
    <row r="6" spans="1:2" x14ac:dyDescent="0.15">
      <c r="A6" t="s">
        <v>430</v>
      </c>
      <c r="B6">
        <v>1</v>
      </c>
    </row>
    <row r="7" spans="1:2" x14ac:dyDescent="0.15">
      <c r="A7" t="s">
        <v>431</v>
      </c>
      <c r="B7">
        <v>1</v>
      </c>
    </row>
    <row r="8" spans="1:2" x14ac:dyDescent="0.15">
      <c r="A8" t="s">
        <v>432</v>
      </c>
      <c r="B8">
        <v>1</v>
      </c>
    </row>
    <row r="9" spans="1:2" x14ac:dyDescent="0.15">
      <c r="A9" t="s">
        <v>433</v>
      </c>
      <c r="B9">
        <v>1</v>
      </c>
    </row>
    <row r="10" spans="1:2" x14ac:dyDescent="0.15">
      <c r="A10" t="s">
        <v>434</v>
      </c>
      <c r="B10">
        <v>1</v>
      </c>
    </row>
    <row r="11" spans="1:2" x14ac:dyDescent="0.15">
      <c r="A11" t="s">
        <v>435</v>
      </c>
      <c r="B11">
        <v>1</v>
      </c>
    </row>
    <row r="12" spans="1:2" x14ac:dyDescent="0.15">
      <c r="A12" t="s">
        <v>436</v>
      </c>
      <c r="B12">
        <v>1</v>
      </c>
    </row>
    <row r="13" spans="1:2" x14ac:dyDescent="0.15">
      <c r="A13" t="s">
        <v>437</v>
      </c>
      <c r="B13">
        <v>0</v>
      </c>
    </row>
    <row r="14" spans="1:2" x14ac:dyDescent="0.15">
      <c r="A14" t="s">
        <v>438</v>
      </c>
      <c r="B14">
        <v>500</v>
      </c>
    </row>
    <row r="15" spans="1:2" x14ac:dyDescent="0.15">
      <c r="A15" t="s">
        <v>439</v>
      </c>
      <c r="B15">
        <v>600</v>
      </c>
    </row>
    <row r="16" spans="1:2" x14ac:dyDescent="0.15">
      <c r="A16" t="s">
        <v>440</v>
      </c>
      <c r="B16">
        <v>700</v>
      </c>
    </row>
    <row r="17" spans="1:2" x14ac:dyDescent="0.15">
      <c r="A17" t="s">
        <v>441</v>
      </c>
      <c r="B17">
        <v>5500</v>
      </c>
    </row>
    <row r="18" spans="1:2" x14ac:dyDescent="0.15">
      <c r="A18" t="s">
        <v>442</v>
      </c>
      <c r="B18">
        <v>6000</v>
      </c>
    </row>
    <row r="19" spans="1:2" x14ac:dyDescent="0.15">
      <c r="A19" t="s">
        <v>443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H20" sqref="H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222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4" t="s">
        <v>223</v>
      </c>
      <c r="B2" s="145"/>
      <c r="C2" s="146"/>
      <c r="D2" s="147" t="s">
        <v>224</v>
      </c>
      <c r="E2" s="147">
        <v>30</v>
      </c>
      <c r="F2" s="147">
        <v>40</v>
      </c>
      <c r="G2" s="147">
        <f>15+F2</f>
        <v>55</v>
      </c>
      <c r="H2" s="146"/>
      <c r="I2" s="146"/>
    </row>
    <row r="3" spans="1:9" s="4" customFormat="1" ht="21" customHeight="1" x14ac:dyDescent="0.15">
      <c r="A3" s="144" t="s">
        <v>225</v>
      </c>
      <c r="B3" s="148"/>
      <c r="C3" s="149"/>
      <c r="D3" s="150" t="s">
        <v>224</v>
      </c>
      <c r="E3" s="150">
        <v>25</v>
      </c>
      <c r="F3" s="150">
        <v>35</v>
      </c>
      <c r="G3" s="147">
        <f t="shared" ref="G3:G4" si="0">15+F3</f>
        <v>50</v>
      </c>
      <c r="H3" s="149"/>
      <c r="I3" s="149"/>
    </row>
    <row r="4" spans="1:9" s="4" customFormat="1" ht="21" customHeight="1" x14ac:dyDescent="0.15">
      <c r="A4" s="144" t="s">
        <v>226</v>
      </c>
      <c r="B4" s="151"/>
      <c r="C4" s="152"/>
      <c r="D4" s="153">
        <v>10</v>
      </c>
      <c r="E4" s="153">
        <v>20</v>
      </c>
      <c r="F4" s="153">
        <v>30</v>
      </c>
      <c r="G4" s="153">
        <f t="shared" si="0"/>
        <v>45</v>
      </c>
      <c r="H4" s="152"/>
      <c r="I4" s="152"/>
    </row>
    <row r="5" spans="1:9" s="4" customFormat="1" ht="21" customHeight="1" x14ac:dyDescent="0.15">
      <c r="A5" s="163" t="s">
        <v>227</v>
      </c>
      <c r="B5" s="158"/>
      <c r="C5" s="159"/>
      <c r="D5" s="29">
        <v>9</v>
      </c>
      <c r="E5" s="29">
        <v>18</v>
      </c>
      <c r="F5" s="29">
        <v>28</v>
      </c>
      <c r="G5" s="39">
        <v>38</v>
      </c>
      <c r="H5" s="159"/>
      <c r="I5" s="159"/>
    </row>
    <row r="6" spans="1:9" s="4" customFormat="1" ht="21" customHeight="1" x14ac:dyDescent="0.15">
      <c r="A6" s="163" t="s">
        <v>228</v>
      </c>
      <c r="B6" s="158"/>
      <c r="C6" s="159"/>
      <c r="D6" s="29">
        <v>7</v>
      </c>
      <c r="E6" s="29">
        <v>16</v>
      </c>
      <c r="F6" s="69" t="s">
        <v>11</v>
      </c>
      <c r="G6" s="69" t="s">
        <v>11</v>
      </c>
      <c r="H6" s="159"/>
      <c r="I6" s="159"/>
    </row>
    <row r="7" spans="1:9" ht="21" customHeight="1" x14ac:dyDescent="0.15">
      <c r="A7" s="74" t="s">
        <v>229</v>
      </c>
      <c r="B7" s="47" t="s">
        <v>11</v>
      </c>
      <c r="C7" s="47" t="s">
        <v>11</v>
      </c>
      <c r="D7" s="39" t="s">
        <v>224</v>
      </c>
      <c r="E7" s="39" t="s">
        <v>224</v>
      </c>
      <c r="F7" s="39" t="s">
        <v>224</v>
      </c>
      <c r="G7" s="39" t="s">
        <v>224</v>
      </c>
      <c r="H7" s="39" t="s">
        <v>224</v>
      </c>
      <c r="I7" s="39" t="s">
        <v>224</v>
      </c>
    </row>
    <row r="8" spans="1:9" ht="21" customHeight="1" x14ac:dyDescent="0.15">
      <c r="A8" s="75" t="s">
        <v>230</v>
      </c>
      <c r="B8" s="47" t="s">
        <v>11</v>
      </c>
      <c r="C8" s="47" t="s">
        <v>11</v>
      </c>
      <c r="D8" s="39" t="s">
        <v>224</v>
      </c>
      <c r="E8" s="39">
        <v>30</v>
      </c>
      <c r="F8" s="39">
        <v>40</v>
      </c>
      <c r="G8" s="39">
        <f>15+F8</f>
        <v>55</v>
      </c>
      <c r="H8" s="39" t="s">
        <v>224</v>
      </c>
      <c r="I8" s="39" t="s">
        <v>224</v>
      </c>
    </row>
    <row r="9" spans="1:9" s="46" customFormat="1" ht="21" customHeight="1" x14ac:dyDescent="0.15">
      <c r="A9" s="76" t="s">
        <v>231</v>
      </c>
      <c r="B9" s="29" t="s">
        <v>11</v>
      </c>
      <c r="C9" s="29" t="s">
        <v>11</v>
      </c>
      <c r="D9" s="106" t="s">
        <v>224</v>
      </c>
      <c r="E9" s="106">
        <v>25</v>
      </c>
      <c r="F9" s="106">
        <v>35</v>
      </c>
      <c r="G9" s="39">
        <f t="shared" ref="G9:G10" si="1">15+F9</f>
        <v>50</v>
      </c>
      <c r="H9" s="106" t="s">
        <v>224</v>
      </c>
      <c r="I9" s="106" t="s">
        <v>224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232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39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233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234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235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236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237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238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239</v>
      </c>
      <c r="B20" s="27">
        <v>99</v>
      </c>
      <c r="C20" s="27">
        <v>99</v>
      </c>
      <c r="D20" s="27">
        <v>99</v>
      </c>
      <c r="E20" s="27">
        <v>99</v>
      </c>
      <c r="F20" s="27">
        <v>99</v>
      </c>
      <c r="G20" s="27">
        <v>99</v>
      </c>
      <c r="H20" s="27">
        <v>99</v>
      </c>
      <c r="I20" s="2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4" t="s">
        <v>223</v>
      </c>
      <c r="B2" s="160"/>
      <c r="C2" s="146"/>
      <c r="D2" s="154" t="s">
        <v>104</v>
      </c>
      <c r="E2" s="154">
        <v>60</v>
      </c>
      <c r="F2" s="154">
        <v>80</v>
      </c>
      <c r="G2" s="154">
        <v>99</v>
      </c>
      <c r="H2" s="146"/>
      <c r="I2" s="146"/>
    </row>
    <row r="3" spans="1:9" s="4" customFormat="1" ht="21" customHeight="1" x14ac:dyDescent="0.15">
      <c r="A3" s="144" t="s">
        <v>225</v>
      </c>
      <c r="B3" s="161"/>
      <c r="C3" s="149"/>
      <c r="D3" s="154" t="s">
        <v>104</v>
      </c>
      <c r="E3" s="154">
        <v>60</v>
      </c>
      <c r="F3" s="154">
        <v>80</v>
      </c>
      <c r="G3" s="154">
        <v>99</v>
      </c>
      <c r="H3" s="149"/>
      <c r="I3" s="149"/>
    </row>
    <row r="4" spans="1:9" s="4" customFormat="1" ht="21" customHeight="1" x14ac:dyDescent="0.15">
      <c r="A4" s="144" t="s">
        <v>219</v>
      </c>
      <c r="B4" s="162"/>
      <c r="C4" s="152"/>
      <c r="D4" s="154">
        <v>40</v>
      </c>
      <c r="E4" s="154">
        <v>60</v>
      </c>
      <c r="F4" s="154">
        <v>80</v>
      </c>
      <c r="G4" s="154">
        <v>99</v>
      </c>
      <c r="H4" s="152"/>
      <c r="I4" s="152"/>
    </row>
    <row r="5" spans="1:9" s="4" customFormat="1" ht="21" customHeight="1" x14ac:dyDescent="0.15">
      <c r="A5" s="163" t="s">
        <v>227</v>
      </c>
      <c r="B5" s="158"/>
      <c r="C5" s="159"/>
      <c r="D5" s="154">
        <v>40</v>
      </c>
      <c r="E5" s="154">
        <v>60</v>
      </c>
      <c r="F5" s="154">
        <v>80</v>
      </c>
      <c r="G5" s="154">
        <v>99</v>
      </c>
      <c r="H5" s="159"/>
      <c r="I5" s="159"/>
    </row>
    <row r="6" spans="1:9" s="4" customFormat="1" ht="21" customHeight="1" x14ac:dyDescent="0.15">
      <c r="A6" s="163" t="s">
        <v>228</v>
      </c>
      <c r="B6" s="158"/>
      <c r="C6" s="159"/>
      <c r="D6" s="154">
        <v>40</v>
      </c>
      <c r="E6" s="154">
        <v>60</v>
      </c>
      <c r="F6" s="154" t="s">
        <v>104</v>
      </c>
      <c r="G6" s="154" t="s">
        <v>104</v>
      </c>
      <c r="H6" s="159"/>
      <c r="I6" s="159"/>
    </row>
    <row r="7" spans="1:9" ht="21" customHeight="1" x14ac:dyDescent="0.15">
      <c r="A7" s="74" t="s">
        <v>195</v>
      </c>
      <c r="B7" s="40" t="s">
        <v>104</v>
      </c>
      <c r="C7" s="40" t="s">
        <v>104</v>
      </c>
      <c r="D7" s="40" t="s">
        <v>104</v>
      </c>
      <c r="E7" s="40" t="s">
        <v>104</v>
      </c>
      <c r="F7" s="40" t="s">
        <v>104</v>
      </c>
      <c r="G7" s="40" t="s">
        <v>104</v>
      </c>
      <c r="H7" s="40" t="s">
        <v>104</v>
      </c>
      <c r="I7" s="40" t="s">
        <v>104</v>
      </c>
    </row>
    <row r="8" spans="1:9" ht="21" customHeight="1" x14ac:dyDescent="0.15">
      <c r="A8" s="75" t="s">
        <v>230</v>
      </c>
      <c r="B8" s="40" t="s">
        <v>104</v>
      </c>
      <c r="C8" s="40" t="s">
        <v>104</v>
      </c>
      <c r="D8" s="40" t="s">
        <v>104</v>
      </c>
      <c r="E8" s="40">
        <v>60</v>
      </c>
      <c r="F8" s="40">
        <v>80</v>
      </c>
      <c r="G8" s="40">
        <v>99</v>
      </c>
      <c r="H8" s="40" t="s">
        <v>104</v>
      </c>
      <c r="I8" s="40" t="s">
        <v>104</v>
      </c>
    </row>
    <row r="9" spans="1:9" s="46" customFormat="1" ht="21" customHeight="1" x14ac:dyDescent="0.15">
      <c r="A9" s="76" t="s">
        <v>231</v>
      </c>
      <c r="B9" s="66" t="s">
        <v>104</v>
      </c>
      <c r="C9" s="66" t="s">
        <v>104</v>
      </c>
      <c r="D9" s="66" t="s">
        <v>104</v>
      </c>
      <c r="E9" s="66">
        <v>60</v>
      </c>
      <c r="F9" s="66">
        <v>80</v>
      </c>
      <c r="G9" s="66">
        <v>99</v>
      </c>
      <c r="H9" s="66" t="s">
        <v>104</v>
      </c>
      <c r="I9" s="66" t="s">
        <v>104</v>
      </c>
    </row>
    <row r="10" spans="1:9" ht="21" customHeight="1" x14ac:dyDescent="0.15">
      <c r="A10" s="76" t="s">
        <v>9</v>
      </c>
      <c r="B10" s="71" t="s">
        <v>104</v>
      </c>
      <c r="C10" s="71" t="s">
        <v>104</v>
      </c>
      <c r="D10" s="37">
        <v>40</v>
      </c>
      <c r="E10" s="37">
        <v>60</v>
      </c>
      <c r="F10" s="37">
        <v>80</v>
      </c>
      <c r="G10" s="40">
        <v>99</v>
      </c>
      <c r="H10" s="71" t="s">
        <v>104</v>
      </c>
      <c r="I10" s="71" t="s">
        <v>104</v>
      </c>
    </row>
    <row r="11" spans="1:9" ht="21" customHeight="1" x14ac:dyDescent="0.15">
      <c r="A11" s="76" t="s">
        <v>198</v>
      </c>
      <c r="B11" s="71" t="s">
        <v>104</v>
      </c>
      <c r="C11" s="71" t="s">
        <v>104</v>
      </c>
      <c r="D11" s="37">
        <v>40</v>
      </c>
      <c r="E11" s="37">
        <v>60</v>
      </c>
      <c r="F11" s="37">
        <v>80</v>
      </c>
      <c r="G11" s="66">
        <v>99</v>
      </c>
      <c r="H11" s="71" t="s">
        <v>104</v>
      </c>
      <c r="I11" s="71" t="s">
        <v>104</v>
      </c>
    </row>
    <row r="12" spans="1:9" ht="21" customHeight="1" x14ac:dyDescent="0.15">
      <c r="A12" s="76" t="s">
        <v>194</v>
      </c>
      <c r="B12" s="71" t="s">
        <v>104</v>
      </c>
      <c r="C12" s="71" t="s">
        <v>104</v>
      </c>
      <c r="D12" s="37">
        <v>40</v>
      </c>
      <c r="E12" s="37">
        <v>60</v>
      </c>
      <c r="F12" s="71" t="s">
        <v>104</v>
      </c>
      <c r="G12" s="71" t="s">
        <v>104</v>
      </c>
      <c r="H12" s="71" t="s">
        <v>104</v>
      </c>
      <c r="I12" s="71" t="s">
        <v>104</v>
      </c>
    </row>
    <row r="13" spans="1:9" ht="21" customHeight="1" x14ac:dyDescent="0.15">
      <c r="A13" s="105" t="s">
        <v>234</v>
      </c>
      <c r="B13" s="71" t="s">
        <v>104</v>
      </c>
      <c r="C13" s="71" t="s">
        <v>104</v>
      </c>
      <c r="D13" s="37">
        <v>40</v>
      </c>
      <c r="E13" s="37">
        <v>60</v>
      </c>
      <c r="F13" s="37">
        <v>80</v>
      </c>
      <c r="G13" s="71" t="s">
        <v>104</v>
      </c>
      <c r="H13" s="71" t="s">
        <v>104</v>
      </c>
      <c r="I13" s="71" t="s">
        <v>104</v>
      </c>
    </row>
    <row r="14" spans="1:9" ht="21" customHeight="1" x14ac:dyDescent="0.15">
      <c r="A14" s="76" t="s">
        <v>235</v>
      </c>
      <c r="B14" s="71" t="s">
        <v>104</v>
      </c>
      <c r="C14" s="71" t="s">
        <v>104</v>
      </c>
      <c r="D14" s="37">
        <v>40</v>
      </c>
      <c r="E14" s="37">
        <v>60</v>
      </c>
      <c r="F14" s="37">
        <v>80</v>
      </c>
      <c r="G14" s="71" t="s">
        <v>104</v>
      </c>
      <c r="H14" s="71" t="s">
        <v>104</v>
      </c>
      <c r="I14" s="71" t="s">
        <v>104</v>
      </c>
    </row>
    <row r="15" spans="1:9" ht="21" customHeight="1" x14ac:dyDescent="0.15">
      <c r="A15" s="76" t="s">
        <v>100</v>
      </c>
      <c r="B15" s="71" t="s">
        <v>104</v>
      </c>
      <c r="C15" s="37">
        <v>30</v>
      </c>
      <c r="D15" s="37">
        <v>40</v>
      </c>
      <c r="E15" s="37">
        <v>60</v>
      </c>
      <c r="F15" s="71" t="s">
        <v>104</v>
      </c>
      <c r="G15" s="71" t="s">
        <v>104</v>
      </c>
      <c r="H15" s="71" t="s">
        <v>104</v>
      </c>
      <c r="I15" s="71" t="s">
        <v>104</v>
      </c>
    </row>
    <row r="16" spans="1:9" ht="21" customHeight="1" x14ac:dyDescent="0.15">
      <c r="A16" s="76" t="s">
        <v>237</v>
      </c>
      <c r="B16" s="71" t="s">
        <v>104</v>
      </c>
      <c r="C16" s="37">
        <v>30</v>
      </c>
      <c r="D16" s="37">
        <v>40</v>
      </c>
      <c r="E16" s="37">
        <v>60</v>
      </c>
      <c r="F16" s="71" t="s">
        <v>104</v>
      </c>
      <c r="G16" s="71" t="s">
        <v>104</v>
      </c>
      <c r="H16" s="71" t="s">
        <v>104</v>
      </c>
      <c r="I16" s="71" t="s">
        <v>104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104</v>
      </c>
      <c r="F17" s="71" t="s">
        <v>104</v>
      </c>
      <c r="G17" s="71" t="s">
        <v>104</v>
      </c>
      <c r="H17" s="71" t="s">
        <v>104</v>
      </c>
      <c r="I17" s="71" t="s">
        <v>104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204</v>
      </c>
      <c r="F18" s="71" t="s">
        <v>204</v>
      </c>
      <c r="G18" s="71" t="s">
        <v>204</v>
      </c>
      <c r="H18" s="71" t="s">
        <v>204</v>
      </c>
      <c r="I18" s="71" t="s">
        <v>204</v>
      </c>
    </row>
    <row r="19" spans="1:9" ht="21" customHeight="1" x14ac:dyDescent="0.15">
      <c r="A19" s="78" t="s">
        <v>238</v>
      </c>
      <c r="B19" s="37">
        <v>10</v>
      </c>
      <c r="C19" s="37">
        <v>20</v>
      </c>
      <c r="D19" s="71" t="s">
        <v>204</v>
      </c>
      <c r="E19" s="71" t="s">
        <v>204</v>
      </c>
      <c r="F19" s="71" t="s">
        <v>204</v>
      </c>
      <c r="G19" s="71" t="s">
        <v>204</v>
      </c>
      <c r="H19" s="71" t="s">
        <v>204</v>
      </c>
      <c r="I19" s="71" t="s">
        <v>204</v>
      </c>
    </row>
    <row r="20" spans="1:9" ht="21" customHeight="1" x14ac:dyDescent="0.15">
      <c r="A20" s="38" t="s">
        <v>239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4" t="s">
        <v>223</v>
      </c>
      <c r="B2" s="145"/>
      <c r="C2" s="146"/>
      <c r="D2" s="154" t="s">
        <v>104</v>
      </c>
      <c r="E2" s="155" t="s">
        <v>55</v>
      </c>
      <c r="F2" s="155" t="s">
        <v>55</v>
      </c>
      <c r="G2" s="155" t="s">
        <v>240</v>
      </c>
      <c r="H2" s="146"/>
      <c r="I2" s="146"/>
    </row>
    <row r="3" spans="1:11" s="4" customFormat="1" ht="21" customHeight="1" x14ac:dyDescent="0.15">
      <c r="A3" s="144" t="s">
        <v>225</v>
      </c>
      <c r="B3" s="148"/>
      <c r="C3" s="149"/>
      <c r="D3" s="155" t="s">
        <v>55</v>
      </c>
      <c r="E3" s="155" t="s">
        <v>55</v>
      </c>
      <c r="F3" s="155" t="s">
        <v>55</v>
      </c>
      <c r="G3" s="155" t="s">
        <v>218</v>
      </c>
      <c r="H3" s="149"/>
      <c r="I3" s="149"/>
    </row>
    <row r="4" spans="1:11" s="4" customFormat="1" ht="21" customHeight="1" x14ac:dyDescent="0.15">
      <c r="A4" s="144" t="s">
        <v>219</v>
      </c>
      <c r="B4" s="151"/>
      <c r="C4" s="152"/>
      <c r="D4" s="156" t="s">
        <v>55</v>
      </c>
      <c r="E4" s="156" t="s">
        <v>55</v>
      </c>
      <c r="F4" s="156" t="s">
        <v>55</v>
      </c>
      <c r="G4" s="155" t="s">
        <v>218</v>
      </c>
      <c r="H4" s="152"/>
      <c r="I4" s="152"/>
    </row>
    <row r="5" spans="1:11" s="4" customFormat="1" ht="21" customHeight="1" x14ac:dyDescent="0.15">
      <c r="A5" s="163" t="s">
        <v>227</v>
      </c>
      <c r="B5" s="158"/>
      <c r="C5" s="159"/>
      <c r="D5" s="156" t="s">
        <v>55</v>
      </c>
      <c r="E5" s="156" t="s">
        <v>55</v>
      </c>
      <c r="F5" s="156" t="s">
        <v>55</v>
      </c>
      <c r="G5" s="155" t="s">
        <v>208</v>
      </c>
      <c r="H5" s="159"/>
      <c r="I5" s="159"/>
    </row>
    <row r="6" spans="1:11" s="4" customFormat="1" ht="21" customHeight="1" x14ac:dyDescent="0.15">
      <c r="A6" s="163" t="s">
        <v>228</v>
      </c>
      <c r="B6" s="158"/>
      <c r="C6" s="159"/>
      <c r="D6" s="164" t="s">
        <v>56</v>
      </c>
      <c r="E6" s="164" t="s">
        <v>56</v>
      </c>
      <c r="F6" s="154" t="s">
        <v>104</v>
      </c>
      <c r="G6" s="154" t="s">
        <v>104</v>
      </c>
      <c r="H6" s="159"/>
      <c r="I6" s="159"/>
    </row>
    <row r="7" spans="1:11" ht="21" customHeight="1" x14ac:dyDescent="0.15">
      <c r="A7" s="74" t="s">
        <v>195</v>
      </c>
      <c r="B7" s="40" t="s">
        <v>104</v>
      </c>
      <c r="C7" s="40" t="s">
        <v>104</v>
      </c>
      <c r="D7" s="40" t="s">
        <v>104</v>
      </c>
      <c r="E7" s="40" t="s">
        <v>104</v>
      </c>
      <c r="F7" s="40" t="s">
        <v>104</v>
      </c>
      <c r="G7" s="40" t="s">
        <v>104</v>
      </c>
      <c r="H7" s="40" t="s">
        <v>104</v>
      </c>
      <c r="I7" s="40" t="s">
        <v>104</v>
      </c>
    </row>
    <row r="8" spans="1:11" ht="21" customHeight="1" x14ac:dyDescent="0.15">
      <c r="A8" s="75" t="s">
        <v>230</v>
      </c>
      <c r="B8" s="40" t="s">
        <v>104</v>
      </c>
      <c r="C8" s="40" t="s">
        <v>104</v>
      </c>
      <c r="D8" s="40" t="s">
        <v>205</v>
      </c>
      <c r="E8" s="52" t="s">
        <v>110</v>
      </c>
      <c r="F8" s="52" t="s">
        <v>110</v>
      </c>
      <c r="G8" s="52" t="s">
        <v>206</v>
      </c>
      <c r="H8" s="40" t="s">
        <v>205</v>
      </c>
      <c r="I8" s="40" t="s">
        <v>104</v>
      </c>
    </row>
    <row r="9" spans="1:11" s="46" customFormat="1" ht="21" customHeight="1" x14ac:dyDescent="0.15">
      <c r="A9" s="76" t="s">
        <v>231</v>
      </c>
      <c r="B9" s="66" t="s">
        <v>104</v>
      </c>
      <c r="C9" s="66" t="s">
        <v>104</v>
      </c>
      <c r="D9" s="66" t="s">
        <v>104</v>
      </c>
      <c r="E9" s="52" t="s">
        <v>55</v>
      </c>
      <c r="F9" s="52" t="s">
        <v>55</v>
      </c>
      <c r="G9" s="52" t="s">
        <v>110</v>
      </c>
      <c r="H9" s="66" t="s">
        <v>207</v>
      </c>
      <c r="I9" s="66" t="s">
        <v>207</v>
      </c>
    </row>
    <row r="10" spans="1:11" ht="21" customHeight="1" x14ac:dyDescent="0.15">
      <c r="A10" s="76" t="s">
        <v>9</v>
      </c>
      <c r="B10" s="71" t="s">
        <v>104</v>
      </c>
      <c r="C10" s="71" t="s">
        <v>104</v>
      </c>
      <c r="D10" s="52" t="s">
        <v>55</v>
      </c>
      <c r="E10" s="52" t="s">
        <v>55</v>
      </c>
      <c r="F10" s="52" t="s">
        <v>55</v>
      </c>
      <c r="G10" s="52" t="s">
        <v>208</v>
      </c>
      <c r="H10" s="71" t="s">
        <v>207</v>
      </c>
      <c r="I10" s="71" t="s">
        <v>207</v>
      </c>
      <c r="K10" s="28" t="s">
        <v>12</v>
      </c>
    </row>
    <row r="11" spans="1:11" ht="21" customHeight="1" x14ac:dyDescent="0.15">
      <c r="A11" s="76" t="s">
        <v>198</v>
      </c>
      <c r="B11" s="71" t="s">
        <v>104</v>
      </c>
      <c r="C11" s="71" t="s">
        <v>104</v>
      </c>
      <c r="D11" s="53" t="s">
        <v>55</v>
      </c>
      <c r="E11" s="53" t="s">
        <v>55</v>
      </c>
      <c r="F11" s="53" t="s">
        <v>55</v>
      </c>
      <c r="G11" s="52" t="s">
        <v>208</v>
      </c>
      <c r="H11" s="71" t="s">
        <v>207</v>
      </c>
      <c r="I11" s="71" t="s">
        <v>207</v>
      </c>
      <c r="K11" s="30" t="s">
        <v>13</v>
      </c>
    </row>
    <row r="12" spans="1:11" ht="21" customHeight="1" x14ac:dyDescent="0.15">
      <c r="A12" s="76" t="s">
        <v>194</v>
      </c>
      <c r="B12" s="71" t="s">
        <v>104</v>
      </c>
      <c r="C12" s="71" t="s">
        <v>104</v>
      </c>
      <c r="D12" s="54" t="s">
        <v>56</v>
      </c>
      <c r="E12" s="54" t="s">
        <v>56</v>
      </c>
      <c r="F12" s="71" t="s">
        <v>104</v>
      </c>
      <c r="G12" s="71" t="s">
        <v>104</v>
      </c>
      <c r="H12" s="71" t="s">
        <v>104</v>
      </c>
      <c r="I12" s="71" t="s">
        <v>104</v>
      </c>
      <c r="K12" s="72" t="s">
        <v>35</v>
      </c>
    </row>
    <row r="13" spans="1:11" ht="21" customHeight="1" x14ac:dyDescent="0.15">
      <c r="A13" s="105" t="s">
        <v>234</v>
      </c>
      <c r="B13" s="71" t="s">
        <v>104</v>
      </c>
      <c r="C13" s="71" t="s">
        <v>104</v>
      </c>
      <c r="D13" s="55" t="s">
        <v>55</v>
      </c>
      <c r="E13" s="55" t="s">
        <v>55</v>
      </c>
      <c r="F13" s="55" t="s">
        <v>55</v>
      </c>
      <c r="G13" s="71" t="s">
        <v>104</v>
      </c>
      <c r="H13" s="71" t="s">
        <v>104</v>
      </c>
      <c r="I13" s="71" t="s">
        <v>104</v>
      </c>
      <c r="K13" s="73"/>
    </row>
    <row r="14" spans="1:11" ht="21" customHeight="1" x14ac:dyDescent="0.15">
      <c r="A14" s="76" t="s">
        <v>235</v>
      </c>
      <c r="B14" s="71" t="s">
        <v>104</v>
      </c>
      <c r="C14" s="71" t="s">
        <v>104</v>
      </c>
      <c r="D14" s="55" t="s">
        <v>55</v>
      </c>
      <c r="E14" s="55" t="s">
        <v>55</v>
      </c>
      <c r="F14" s="55" t="s">
        <v>55</v>
      </c>
      <c r="G14" s="71" t="s">
        <v>104</v>
      </c>
      <c r="H14" s="71" t="s">
        <v>104</v>
      </c>
      <c r="I14" s="71" t="s">
        <v>104</v>
      </c>
    </row>
    <row r="15" spans="1:11" ht="21" customHeight="1" x14ac:dyDescent="0.15">
      <c r="A15" s="76" t="s">
        <v>100</v>
      </c>
      <c r="B15" s="71" t="s">
        <v>104</v>
      </c>
      <c r="C15" s="71" t="s">
        <v>104</v>
      </c>
      <c r="D15" s="55" t="s">
        <v>56</v>
      </c>
      <c r="E15" s="55" t="s">
        <v>56</v>
      </c>
      <c r="F15" s="71" t="s">
        <v>104</v>
      </c>
      <c r="G15" s="71" t="s">
        <v>104</v>
      </c>
      <c r="H15" s="71" t="s">
        <v>104</v>
      </c>
      <c r="I15" s="71" t="s">
        <v>104</v>
      </c>
    </row>
    <row r="16" spans="1:11" ht="21" customHeight="1" x14ac:dyDescent="0.15">
      <c r="A16" s="76" t="s">
        <v>237</v>
      </c>
      <c r="B16" s="71" t="s">
        <v>104</v>
      </c>
      <c r="C16" s="55" t="s">
        <v>56</v>
      </c>
      <c r="D16" s="55" t="s">
        <v>56</v>
      </c>
      <c r="E16" s="55" t="s">
        <v>56</v>
      </c>
      <c r="F16" s="71" t="s">
        <v>104</v>
      </c>
      <c r="G16" s="71" t="s">
        <v>104</v>
      </c>
      <c r="H16" s="71" t="s">
        <v>104</v>
      </c>
      <c r="I16" s="71" t="s">
        <v>104</v>
      </c>
    </row>
    <row r="17" spans="1:9" ht="21" customHeight="1" x14ac:dyDescent="0.15">
      <c r="A17" s="76" t="s">
        <v>8</v>
      </c>
      <c r="B17" s="56" t="s">
        <v>57</v>
      </c>
      <c r="C17" s="56" t="s">
        <v>57</v>
      </c>
      <c r="D17" s="56" t="s">
        <v>57</v>
      </c>
      <c r="E17" s="71" t="s">
        <v>104</v>
      </c>
      <c r="F17" s="71" t="s">
        <v>104</v>
      </c>
      <c r="G17" s="71" t="s">
        <v>104</v>
      </c>
      <c r="H17" s="71" t="s">
        <v>104</v>
      </c>
      <c r="I17" s="71" t="s">
        <v>104</v>
      </c>
    </row>
    <row r="18" spans="1:9" ht="21" customHeight="1" x14ac:dyDescent="0.15">
      <c r="A18" s="77" t="s">
        <v>7</v>
      </c>
      <c r="B18" s="51" t="s">
        <v>58</v>
      </c>
      <c r="C18" s="51" t="s">
        <v>58</v>
      </c>
      <c r="D18" s="71" t="s">
        <v>104</v>
      </c>
      <c r="E18" s="71" t="s">
        <v>104</v>
      </c>
      <c r="F18" s="71" t="s">
        <v>104</v>
      </c>
      <c r="G18" s="71" t="s">
        <v>104</v>
      </c>
      <c r="H18" s="71" t="s">
        <v>104</v>
      </c>
      <c r="I18" s="71" t="s">
        <v>104</v>
      </c>
    </row>
    <row r="19" spans="1:9" ht="21" customHeight="1" x14ac:dyDescent="0.15">
      <c r="A19" s="78" t="s">
        <v>238</v>
      </c>
      <c r="B19" s="53" t="s">
        <v>59</v>
      </c>
      <c r="C19" s="53" t="s">
        <v>59</v>
      </c>
      <c r="D19" s="71" t="s">
        <v>104</v>
      </c>
      <c r="E19" s="71" t="s">
        <v>104</v>
      </c>
      <c r="F19" s="71" t="s">
        <v>104</v>
      </c>
      <c r="G19" s="71" t="s">
        <v>104</v>
      </c>
      <c r="H19" s="71" t="s">
        <v>104</v>
      </c>
      <c r="I19" s="71" t="s">
        <v>104</v>
      </c>
    </row>
    <row r="20" spans="1:9" ht="21" customHeight="1" x14ac:dyDescent="0.15">
      <c r="A20" s="38" t="s">
        <v>239</v>
      </c>
      <c r="B20" s="79" t="s">
        <v>43</v>
      </c>
      <c r="C20" s="79" t="s">
        <v>43</v>
      </c>
      <c r="D20" s="79" t="s">
        <v>43</v>
      </c>
      <c r="E20" s="79" t="s">
        <v>43</v>
      </c>
      <c r="F20" s="79" t="s">
        <v>43</v>
      </c>
      <c r="G20" s="79" t="s">
        <v>43</v>
      </c>
      <c r="H20" s="79" t="s">
        <v>43</v>
      </c>
      <c r="I20" s="79" t="s">
        <v>43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60</v>
      </c>
      <c r="B26" s="22" t="s">
        <v>61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4" t="s">
        <v>216</v>
      </c>
      <c r="B2" s="145"/>
      <c r="C2" s="146"/>
      <c r="D2" s="157" t="s">
        <v>11</v>
      </c>
      <c r="E2" s="157">
        <v>8000</v>
      </c>
      <c r="F2" s="157">
        <v>10000</v>
      </c>
      <c r="G2" s="157">
        <v>14000</v>
      </c>
      <c r="H2" s="146"/>
      <c r="I2" s="146"/>
    </row>
    <row r="3" spans="1:9" s="4" customFormat="1" ht="21" customHeight="1" x14ac:dyDescent="0.15">
      <c r="A3" s="144" t="s">
        <v>217</v>
      </c>
      <c r="B3" s="148"/>
      <c r="C3" s="149"/>
      <c r="D3" s="157" t="s">
        <v>11</v>
      </c>
      <c r="E3" s="157">
        <v>7500</v>
      </c>
      <c r="F3" s="157">
        <v>9500</v>
      </c>
      <c r="G3" s="157">
        <v>13000</v>
      </c>
      <c r="H3" s="149"/>
      <c r="I3" s="149"/>
    </row>
    <row r="4" spans="1:9" s="4" customFormat="1" ht="21" customHeight="1" x14ac:dyDescent="0.15">
      <c r="A4" s="144" t="s">
        <v>219</v>
      </c>
      <c r="B4" s="151"/>
      <c r="C4" s="152"/>
      <c r="D4" s="157">
        <v>5000</v>
      </c>
      <c r="E4" s="157">
        <v>7000</v>
      </c>
      <c r="F4" s="157">
        <v>9000</v>
      </c>
      <c r="G4" s="157">
        <v>12000</v>
      </c>
      <c r="H4" s="152"/>
      <c r="I4" s="152"/>
    </row>
    <row r="5" spans="1:9" s="4" customFormat="1" ht="21" customHeight="1" x14ac:dyDescent="0.15">
      <c r="A5" s="163" t="s">
        <v>220</v>
      </c>
      <c r="B5" s="158"/>
      <c r="C5" s="159"/>
      <c r="D5" s="157">
        <v>4900</v>
      </c>
      <c r="E5" s="157">
        <v>6700</v>
      </c>
      <c r="F5" s="157">
        <v>8500</v>
      </c>
      <c r="G5" s="157">
        <v>11000</v>
      </c>
      <c r="H5" s="159"/>
      <c r="I5" s="159"/>
    </row>
    <row r="6" spans="1:9" s="4" customFormat="1" ht="21" customHeight="1" x14ac:dyDescent="0.15">
      <c r="A6" s="163" t="s">
        <v>221</v>
      </c>
      <c r="B6" s="158"/>
      <c r="C6" s="159"/>
      <c r="D6" s="157">
        <v>4800</v>
      </c>
      <c r="E6" s="157">
        <v>6600</v>
      </c>
      <c r="F6" s="157" t="s">
        <v>11</v>
      </c>
      <c r="G6" s="157" t="s">
        <v>11</v>
      </c>
      <c r="H6" s="159"/>
      <c r="I6" s="159"/>
    </row>
    <row r="7" spans="1:9" ht="21" customHeight="1" x14ac:dyDescent="0.15">
      <c r="A7" s="74" t="s">
        <v>195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196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197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198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101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199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200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100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201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202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203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106</v>
      </c>
      <c r="G1" s="24" t="s">
        <v>107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187</v>
      </c>
      <c r="B2" s="12">
        <v>591</v>
      </c>
    </row>
    <row r="3" spans="1:4" x14ac:dyDescent="0.15">
      <c r="A3" t="s">
        <v>188</v>
      </c>
      <c r="B3" s="131">
        <v>592</v>
      </c>
    </row>
    <row r="4" spans="1:4" x14ac:dyDescent="0.15">
      <c r="A4" t="s">
        <v>189</v>
      </c>
      <c r="B4" s="131">
        <v>593</v>
      </c>
    </row>
    <row r="7" spans="1:4" x14ac:dyDescent="0.15">
      <c r="A7" t="s">
        <v>190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209</v>
      </c>
    </row>
    <row r="13" spans="1:4" x14ac:dyDescent="0.15">
      <c r="B13" t="s">
        <v>213</v>
      </c>
      <c r="C13" t="s">
        <v>214</v>
      </c>
      <c r="D13" t="s">
        <v>215</v>
      </c>
    </row>
    <row r="14" spans="1:4" x14ac:dyDescent="0.15">
      <c r="A14" t="s">
        <v>211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212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210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191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192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193</v>
      </c>
    </row>
    <row r="49" spans="1:1" x14ac:dyDescent="0.15">
      <c r="A49" t="str">
        <f>IFERROR(VLOOKUP($B$3,#REF!,2),"なし")</f>
        <v>なし</v>
      </c>
    </row>
    <row r="50" spans="1:1" x14ac:dyDescent="0.15">
      <c r="A50" t="str">
        <f>IFERROR(VLOOKUP($B$3,#REF!,2),"なし")</f>
        <v>なし</v>
      </c>
    </row>
    <row r="51" spans="1:1" x14ac:dyDescent="0.15">
      <c r="A51" t="str">
        <f>IFERROR(VLOOKUP($B$3,#REF!,2),"なし")</f>
        <v>なし</v>
      </c>
    </row>
    <row r="52" spans="1:1" x14ac:dyDescent="0.15">
      <c r="A52" t="str">
        <f>IFERROR(VLOOKUP($B$3,#REF!,2),"なし")</f>
        <v>なし</v>
      </c>
    </row>
    <row r="53" spans="1:1" x14ac:dyDescent="0.15">
      <c r="A53" t="str">
        <f>IFERROR(VLOOKUP($B$3,#REF!,2),"なし")</f>
        <v>なし</v>
      </c>
    </row>
    <row r="55" spans="1:1" x14ac:dyDescent="0.15">
      <c r="A55" s="143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2017-06-06T10:50:18Z</dcterms:modified>
</cp:coreProperties>
</file>