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1" i="1" l="1"/>
  <c r="AB26" i="1"/>
  <c r="AD26" i="1"/>
  <c r="AG26" i="1"/>
  <c r="AE26" i="1"/>
  <c r="AC26" i="1"/>
  <c r="V26" i="1"/>
  <c r="Q26" i="1"/>
  <c r="P26" i="1"/>
  <c r="O26" i="1"/>
  <c r="N26" i="1"/>
  <c r="M26" i="1"/>
  <c r="H2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26" i="1"/>
  <c r="I26" i="1"/>
  <c r="D26" i="1"/>
  <c r="F26" i="1"/>
  <c r="E26" i="1"/>
  <c r="A26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C6" i="19"/>
  <c r="K6" i="19"/>
  <c r="H6" i="19"/>
  <c r="G6" i="19"/>
  <c r="E6" i="19"/>
  <c r="D6" i="19"/>
  <c r="A6" i="19"/>
  <c r="C5" i="19"/>
  <c r="K5" i="19"/>
  <c r="H5" i="19"/>
  <c r="G5" i="19"/>
  <c r="E5" i="19"/>
  <c r="D5" i="19"/>
  <c r="A5" i="19"/>
  <c r="C4" i="19"/>
  <c r="K4" i="19"/>
  <c r="H4" i="19"/>
  <c r="G4" i="19"/>
  <c r="E4" i="19"/>
  <c r="D4" i="19"/>
  <c r="A4" i="19"/>
  <c r="C3" i="19"/>
  <c r="K3" i="19"/>
  <c r="H3" i="19"/>
  <c r="G3" i="19"/>
  <c r="E3" i="19"/>
  <c r="D3" i="19"/>
  <c r="A3" i="19"/>
  <c r="A2" i="18"/>
  <c r="C2" i="18"/>
  <c r="D2" i="18"/>
  <c r="C2" i="19"/>
  <c r="K2" i="19"/>
  <c r="H2" i="19"/>
  <c r="G2" i="19"/>
  <c r="E2" i="19"/>
  <c r="D2" i="19"/>
  <c r="A2" i="19"/>
  <c r="C2" i="16"/>
  <c r="C3" i="16"/>
  <c r="C4" i="16"/>
  <c r="C5" i="16"/>
  <c r="C6" i="16"/>
  <c r="C7" i="16"/>
  <c r="C8" i="16"/>
  <c r="C9" i="16"/>
  <c r="C10" i="16"/>
  <c r="C11" i="16"/>
  <c r="E11" i="16"/>
  <c r="E10" i="16"/>
  <c r="J12" i="11"/>
  <c r="J11" i="11"/>
  <c r="J10" i="11"/>
  <c r="J9" i="11"/>
  <c r="J8" i="11"/>
  <c r="J7" i="11"/>
  <c r="J6" i="11"/>
  <c r="J5" i="11"/>
  <c r="J4" i="11"/>
  <c r="J3" i="11"/>
  <c r="J2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L25" i="10"/>
  <c r="S25" i="10"/>
  <c r="V25" i="10"/>
  <c r="U25" i="10"/>
  <c r="W25" i="10"/>
  <c r="T25" i="10"/>
  <c r="X25" i="10"/>
  <c r="M25" i="10"/>
  <c r="P25" i="10"/>
  <c r="O25" i="10"/>
  <c r="Q25" i="10"/>
  <c r="N25" i="10"/>
  <c r="R25" i="10"/>
  <c r="F25" i="10"/>
  <c r="I25" i="10"/>
  <c r="H25" i="10"/>
  <c r="J25" i="10"/>
  <c r="G25" i="10"/>
  <c r="K25" i="10"/>
  <c r="L24" i="10"/>
  <c r="S24" i="10"/>
  <c r="V24" i="10"/>
  <c r="U24" i="10"/>
  <c r="W24" i="10"/>
  <c r="T24" i="10"/>
  <c r="X24" i="10"/>
  <c r="M24" i="10"/>
  <c r="P24" i="10"/>
  <c r="O24" i="10"/>
  <c r="Q24" i="10"/>
  <c r="N24" i="10"/>
  <c r="R24" i="10"/>
  <c r="F24" i="10"/>
  <c r="I24" i="10"/>
  <c r="H24" i="10"/>
  <c r="J24" i="10"/>
  <c r="G24" i="10"/>
  <c r="K24" i="10"/>
  <c r="L23" i="10"/>
  <c r="S23" i="10"/>
  <c r="V23" i="10"/>
  <c r="U23" i="10"/>
  <c r="W23" i="10"/>
  <c r="T23" i="10"/>
  <c r="X23" i="10"/>
  <c r="M23" i="10"/>
  <c r="P23" i="10"/>
  <c r="O23" i="10"/>
  <c r="Q23" i="10"/>
  <c r="N23" i="10"/>
  <c r="R23" i="10"/>
  <c r="F23" i="10"/>
  <c r="I23" i="10"/>
  <c r="H23" i="10"/>
  <c r="J23" i="10"/>
  <c r="G23" i="10"/>
  <c r="K23" i="10"/>
  <c r="L22" i="10"/>
  <c r="S22" i="10"/>
  <c r="V22" i="10"/>
  <c r="U22" i="10"/>
  <c r="W22" i="10"/>
  <c r="T22" i="10"/>
  <c r="X22" i="10"/>
  <c r="M22" i="10"/>
  <c r="P22" i="10"/>
  <c r="O22" i="10"/>
  <c r="Q22" i="10"/>
  <c r="N22" i="10"/>
  <c r="R22" i="10"/>
  <c r="F22" i="10"/>
  <c r="I22" i="10"/>
  <c r="H22" i="10"/>
  <c r="J22" i="10"/>
  <c r="G22" i="10"/>
  <c r="K22" i="10"/>
  <c r="L21" i="10"/>
  <c r="S21" i="10"/>
  <c r="V21" i="10"/>
  <c r="U21" i="10"/>
  <c r="W21" i="10"/>
  <c r="T21" i="10"/>
  <c r="X21" i="10"/>
  <c r="M21" i="10"/>
  <c r="P21" i="10"/>
  <c r="O21" i="10"/>
  <c r="Q21" i="10"/>
  <c r="N21" i="10"/>
  <c r="R21" i="10"/>
  <c r="F21" i="10"/>
  <c r="I21" i="10"/>
  <c r="H21" i="10"/>
  <c r="J21" i="10"/>
  <c r="G21" i="10"/>
  <c r="K21" i="10"/>
  <c r="L20" i="10"/>
  <c r="S20" i="10"/>
  <c r="V20" i="10"/>
  <c r="U20" i="10"/>
  <c r="W20" i="10"/>
  <c r="T20" i="10"/>
  <c r="X20" i="10"/>
  <c r="M20" i="10"/>
  <c r="P20" i="10"/>
  <c r="O20" i="10"/>
  <c r="Q20" i="10"/>
  <c r="N20" i="10"/>
  <c r="R20" i="10"/>
  <c r="F20" i="10"/>
  <c r="I20" i="10"/>
  <c r="H20" i="10"/>
  <c r="J20" i="10"/>
  <c r="G20" i="10"/>
  <c r="K20" i="10"/>
  <c r="L19" i="10"/>
  <c r="S19" i="10"/>
  <c r="V19" i="10"/>
  <c r="U19" i="10"/>
  <c r="W19" i="10"/>
  <c r="T19" i="10"/>
  <c r="X19" i="10"/>
  <c r="M19" i="10"/>
  <c r="P19" i="10"/>
  <c r="O19" i="10"/>
  <c r="Q19" i="10"/>
  <c r="N19" i="10"/>
  <c r="R19" i="10"/>
  <c r="F19" i="10"/>
  <c r="I19" i="10"/>
  <c r="H19" i="10"/>
  <c r="J19" i="10"/>
  <c r="G19" i="10"/>
  <c r="K19" i="10"/>
  <c r="L18" i="10"/>
  <c r="S18" i="10"/>
  <c r="V18" i="10"/>
  <c r="U18" i="10"/>
  <c r="W18" i="10"/>
  <c r="T18" i="10"/>
  <c r="X18" i="10"/>
  <c r="M18" i="10"/>
  <c r="P18" i="10"/>
  <c r="O18" i="10"/>
  <c r="Q18" i="10"/>
  <c r="N18" i="10"/>
  <c r="R18" i="10"/>
  <c r="F18" i="10"/>
  <c r="I18" i="10"/>
  <c r="H18" i="10"/>
  <c r="J18" i="10"/>
  <c r="G18" i="10"/>
  <c r="K18" i="10"/>
  <c r="L17" i="10"/>
  <c r="S17" i="10"/>
  <c r="V17" i="10"/>
  <c r="U17" i="10"/>
  <c r="W17" i="10"/>
  <c r="T17" i="10"/>
  <c r="X17" i="10"/>
  <c r="M17" i="10"/>
  <c r="P17" i="10"/>
  <c r="O17" i="10"/>
  <c r="Q17" i="10"/>
  <c r="N17" i="10"/>
  <c r="R17" i="10"/>
  <c r="F17" i="10"/>
  <c r="I17" i="10"/>
  <c r="H17" i="10"/>
  <c r="J17" i="10"/>
  <c r="G17" i="10"/>
  <c r="K17" i="10"/>
  <c r="L16" i="10"/>
  <c r="S16" i="10"/>
  <c r="V16" i="10"/>
  <c r="U16" i="10"/>
  <c r="W16" i="10"/>
  <c r="T16" i="10"/>
  <c r="X16" i="10"/>
  <c r="M16" i="10"/>
  <c r="P16" i="10"/>
  <c r="O16" i="10"/>
  <c r="Q16" i="10"/>
  <c r="N16" i="10"/>
  <c r="R16" i="10"/>
  <c r="F16" i="10"/>
  <c r="I16" i="10"/>
  <c r="H16" i="10"/>
  <c r="J16" i="10"/>
  <c r="G16" i="10"/>
  <c r="K16" i="10"/>
  <c r="L15" i="10"/>
  <c r="S15" i="10"/>
  <c r="V15" i="10"/>
  <c r="U15" i="10"/>
  <c r="W15" i="10"/>
  <c r="T15" i="10"/>
  <c r="X15" i="10"/>
  <c r="M15" i="10"/>
  <c r="P15" i="10"/>
  <c r="O15" i="10"/>
  <c r="Q15" i="10"/>
  <c r="N15" i="10"/>
  <c r="R15" i="10"/>
  <c r="F15" i="10"/>
  <c r="I15" i="10"/>
  <c r="H15" i="10"/>
  <c r="J15" i="10"/>
  <c r="G15" i="10"/>
  <c r="K15" i="10"/>
  <c r="L14" i="10"/>
  <c r="S14" i="10"/>
  <c r="V14" i="10"/>
  <c r="U14" i="10"/>
  <c r="W14" i="10"/>
  <c r="T14" i="10"/>
  <c r="X14" i="10"/>
  <c r="M14" i="10"/>
  <c r="P14" i="10"/>
  <c r="O14" i="10"/>
  <c r="Q14" i="10"/>
  <c r="N14" i="10"/>
  <c r="R14" i="10"/>
  <c r="F14" i="10"/>
  <c r="I14" i="10"/>
  <c r="H14" i="10"/>
  <c r="J14" i="10"/>
  <c r="G14" i="10"/>
  <c r="K14" i="10"/>
  <c r="L13" i="10"/>
  <c r="S13" i="10"/>
  <c r="V13" i="10"/>
  <c r="U13" i="10"/>
  <c r="W13" i="10"/>
  <c r="T13" i="10"/>
  <c r="X13" i="10"/>
  <c r="M13" i="10"/>
  <c r="P13" i="10"/>
  <c r="O13" i="10"/>
  <c r="Q13" i="10"/>
  <c r="N13" i="10"/>
  <c r="R13" i="10"/>
  <c r="F13" i="10"/>
  <c r="I13" i="10"/>
  <c r="H13" i="10"/>
  <c r="J13" i="10"/>
  <c r="G13" i="10"/>
  <c r="K13" i="10"/>
  <c r="L12" i="10"/>
  <c r="S12" i="10"/>
  <c r="V12" i="10"/>
  <c r="U12" i="10"/>
  <c r="W12" i="10"/>
  <c r="T12" i="10"/>
  <c r="X12" i="10"/>
  <c r="M12" i="10"/>
  <c r="P12" i="10"/>
  <c r="O12" i="10"/>
  <c r="Q12" i="10"/>
  <c r="N12" i="10"/>
  <c r="R12" i="10"/>
  <c r="F12" i="10"/>
  <c r="I12" i="10"/>
  <c r="H12" i="10"/>
  <c r="J12" i="10"/>
  <c r="G12" i="10"/>
  <c r="K12" i="10"/>
  <c r="L11" i="10"/>
  <c r="S11" i="10"/>
  <c r="V11" i="10"/>
  <c r="U11" i="10"/>
  <c r="W11" i="10"/>
  <c r="T11" i="10"/>
  <c r="X11" i="10"/>
  <c r="M11" i="10"/>
  <c r="P11" i="10"/>
  <c r="O11" i="10"/>
  <c r="Q11" i="10"/>
  <c r="N11" i="10"/>
  <c r="R11" i="10"/>
  <c r="F11" i="10"/>
  <c r="I11" i="10"/>
  <c r="H11" i="10"/>
  <c r="J11" i="10"/>
  <c r="G11" i="10"/>
  <c r="K11" i="10"/>
  <c r="L10" i="10"/>
  <c r="S10" i="10"/>
  <c r="V10" i="10"/>
  <c r="U10" i="10"/>
  <c r="W10" i="10"/>
  <c r="T10" i="10"/>
  <c r="X10" i="10"/>
  <c r="M10" i="10"/>
  <c r="P10" i="10"/>
  <c r="O10" i="10"/>
  <c r="Q10" i="10"/>
  <c r="N10" i="10"/>
  <c r="R10" i="10"/>
  <c r="F10" i="10"/>
  <c r="I10" i="10"/>
  <c r="H10" i="10"/>
  <c r="J10" i="10"/>
  <c r="G10" i="10"/>
  <c r="K10" i="10"/>
  <c r="L9" i="10"/>
  <c r="S9" i="10"/>
  <c r="V9" i="10"/>
  <c r="U9" i="10"/>
  <c r="W9" i="10"/>
  <c r="T9" i="10"/>
  <c r="X9" i="10"/>
  <c r="M9" i="10"/>
  <c r="P9" i="10"/>
  <c r="O9" i="10"/>
  <c r="Q9" i="10"/>
  <c r="N9" i="10"/>
  <c r="R9" i="10"/>
  <c r="F9" i="10"/>
  <c r="I9" i="10"/>
  <c r="H9" i="10"/>
  <c r="J9" i="10"/>
  <c r="G9" i="10"/>
  <c r="K9" i="10"/>
  <c r="L8" i="10"/>
  <c r="S8" i="10"/>
  <c r="V8" i="10"/>
  <c r="U8" i="10"/>
  <c r="W8" i="10"/>
  <c r="T8" i="10"/>
  <c r="X8" i="10"/>
  <c r="M8" i="10"/>
  <c r="P8" i="10"/>
  <c r="O8" i="10"/>
  <c r="Q8" i="10"/>
  <c r="N8" i="10"/>
  <c r="R8" i="10"/>
  <c r="F8" i="10"/>
  <c r="I8" i="10"/>
  <c r="H8" i="10"/>
  <c r="J8" i="10"/>
  <c r="G8" i="10"/>
  <c r="K8" i="10"/>
  <c r="L7" i="10"/>
  <c r="S7" i="10"/>
  <c r="V7" i="10"/>
  <c r="U7" i="10"/>
  <c r="W7" i="10"/>
  <c r="T7" i="10"/>
  <c r="X7" i="10"/>
  <c r="M7" i="10"/>
  <c r="P7" i="10"/>
  <c r="O7" i="10"/>
  <c r="Q7" i="10"/>
  <c r="N7" i="10"/>
  <c r="R7" i="10"/>
  <c r="F7" i="10"/>
  <c r="I7" i="10"/>
  <c r="H7" i="10"/>
  <c r="J7" i="10"/>
  <c r="G7" i="10"/>
  <c r="K7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5" i="10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L3" i="10"/>
  <c r="S3" i="10"/>
  <c r="V3" i="10"/>
  <c r="U3" i="10"/>
  <c r="W3" i="10"/>
  <c r="T3" i="10"/>
  <c r="X3" i="10"/>
  <c r="M3" i="10"/>
  <c r="P3" i="10"/>
  <c r="O3" i="10"/>
  <c r="Q3" i="10"/>
  <c r="N3" i="10"/>
  <c r="R3" i="10"/>
  <c r="F3" i="10"/>
  <c r="I3" i="10"/>
  <c r="H3" i="10"/>
  <c r="J3" i="10"/>
  <c r="G3" i="10"/>
  <c r="K3" i="10"/>
  <c r="AD33" i="1"/>
  <c r="AG33" i="1"/>
  <c r="AE33" i="1"/>
  <c r="AC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5" i="1"/>
  <c r="AD25" i="1"/>
  <c r="AG25" i="1"/>
  <c r="AE25" i="1"/>
  <c r="AC25" i="1"/>
  <c r="AA25" i="1"/>
  <c r="W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W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AA22" i="1"/>
  <c r="W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AA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AA19" i="1"/>
  <c r="W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W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V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V15" i="1"/>
  <c r="V14" i="1"/>
  <c r="V13" i="1"/>
  <c r="V12" i="1"/>
  <c r="W3" i="1"/>
  <c r="W4" i="1"/>
  <c r="W5" i="1"/>
  <c r="W6" i="1"/>
  <c r="W7" i="1"/>
  <c r="W8" i="1"/>
  <c r="W9" i="1"/>
  <c r="AB14" i="1"/>
  <c r="AD14" i="1"/>
  <c r="AG14" i="1"/>
  <c r="AE14" i="1"/>
  <c r="AC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H12" i="1"/>
  <c r="J12" i="1"/>
  <c r="I12" i="1"/>
  <c r="D12" i="1"/>
  <c r="F12" i="1"/>
  <c r="E12" i="1"/>
  <c r="A12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W5" i="7"/>
  <c r="R5" i="7"/>
  <c r="Q5" i="7"/>
  <c r="P5" i="7"/>
  <c r="O5" i="7"/>
  <c r="N5" i="7"/>
  <c r="H5" i="7"/>
  <c r="J5" i="7"/>
  <c r="I5" i="7"/>
  <c r="D5" i="7"/>
  <c r="F5" i="7"/>
  <c r="E5" i="7"/>
  <c r="A5" i="7"/>
  <c r="W3" i="7"/>
  <c r="R3" i="7"/>
  <c r="Q3" i="7"/>
  <c r="P3" i="7"/>
  <c r="O3" i="7"/>
  <c r="N3" i="7"/>
  <c r="H3" i="7"/>
  <c r="J3" i="7"/>
  <c r="I3" i="7"/>
  <c r="D3" i="7"/>
  <c r="F3" i="7"/>
  <c r="E3" i="7"/>
  <c r="A3" i="7"/>
  <c r="W4" i="7"/>
  <c r="R4" i="7"/>
  <c r="Q4" i="7"/>
  <c r="P4" i="7"/>
  <c r="O4" i="7"/>
  <c r="N4" i="7"/>
  <c r="H4" i="7"/>
  <c r="J4" i="7"/>
  <c r="I4" i="7"/>
  <c r="D4" i="7"/>
  <c r="F4" i="7"/>
  <c r="E4" i="7"/>
  <c r="A4" i="7"/>
  <c r="E2" i="9"/>
  <c r="AB17" i="1"/>
  <c r="AD17" i="1"/>
  <c r="AG17" i="1"/>
  <c r="AE17" i="1"/>
  <c r="AC17" i="1"/>
  <c r="Q17" i="1"/>
  <c r="P17" i="1"/>
  <c r="O17" i="1"/>
  <c r="N17" i="1"/>
  <c r="M17" i="1"/>
  <c r="H17" i="1"/>
  <c r="J17" i="1"/>
  <c r="I17" i="1"/>
  <c r="D17" i="1"/>
  <c r="F17" i="1"/>
  <c r="E17" i="1"/>
  <c r="A17" i="1"/>
  <c r="AB15" i="1"/>
  <c r="AD15" i="1"/>
  <c r="AG15" i="1"/>
  <c r="AE15" i="1"/>
  <c r="AC15" i="1"/>
  <c r="Q15" i="1"/>
  <c r="P15" i="1"/>
  <c r="O15" i="1"/>
  <c r="N15" i="1"/>
  <c r="M15" i="1"/>
  <c r="H15" i="1"/>
  <c r="J15" i="1"/>
  <c r="I15" i="1"/>
  <c r="D15" i="1"/>
  <c r="F15" i="1"/>
  <c r="E15" i="1"/>
  <c r="A15" i="1"/>
  <c r="H9" i="2"/>
  <c r="E9" i="2"/>
  <c r="D9" i="2"/>
  <c r="H2" i="1"/>
  <c r="H11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E9" i="16"/>
  <c r="W2" i="7"/>
  <c r="W2" i="1"/>
  <c r="V2" i="1"/>
  <c r="R2" i="7"/>
  <c r="Q2" i="7"/>
  <c r="P2" i="7"/>
  <c r="O2" i="7"/>
  <c r="N2" i="7"/>
  <c r="AB11" i="1"/>
  <c r="AE11" i="1"/>
  <c r="AD11" i="1"/>
  <c r="AC11" i="1"/>
  <c r="AB2" i="1"/>
  <c r="AE2" i="1"/>
  <c r="AD2" i="1"/>
  <c r="AC2" i="1"/>
  <c r="AA2" i="1"/>
  <c r="Q11" i="1"/>
  <c r="P11" i="1"/>
  <c r="O11" i="1"/>
  <c r="N11" i="1"/>
  <c r="M11" i="1"/>
  <c r="Q2" i="1"/>
  <c r="P2" i="1"/>
  <c r="O2" i="1"/>
  <c r="N2" i="1"/>
  <c r="M2" i="1"/>
  <c r="L2" i="10"/>
  <c r="S2" i="10"/>
  <c r="U2" i="10"/>
  <c r="M2" i="10"/>
  <c r="O2" i="10"/>
  <c r="F2" i="10"/>
  <c r="H2" i="10"/>
  <c r="W2" i="10"/>
  <c r="V2" i="10"/>
  <c r="T2" i="10"/>
  <c r="X2" i="10"/>
  <c r="Q2" i="10"/>
  <c r="P2" i="10"/>
  <c r="N2" i="10"/>
  <c r="R2" i="10"/>
  <c r="J2" i="10"/>
  <c r="I2" i="10"/>
  <c r="G2" i="10"/>
  <c r="K2" i="10"/>
  <c r="AG2" i="1"/>
  <c r="D2" i="9"/>
  <c r="H2" i="7"/>
  <c r="J2" i="7"/>
  <c r="E8" i="16"/>
  <c r="E7" i="16"/>
  <c r="E6" i="16"/>
  <c r="E5" i="16"/>
  <c r="E4" i="16"/>
  <c r="E3" i="16"/>
  <c r="E2" i="16"/>
  <c r="A11" i="1"/>
  <c r="A2" i="1"/>
  <c r="AG11" i="1"/>
  <c r="O2" i="9"/>
  <c r="N2" i="9"/>
  <c r="M2" i="9"/>
  <c r="L2" i="9"/>
  <c r="K2" i="9"/>
  <c r="J2" i="9"/>
  <c r="I2" i="9"/>
  <c r="H2" i="9"/>
  <c r="G2" i="9"/>
  <c r="A2" i="9"/>
  <c r="J11" i="1"/>
  <c r="I11" i="1"/>
  <c r="D11" i="1"/>
  <c r="F11" i="1"/>
  <c r="E11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<sst xmlns="http://schemas.openxmlformats.org/spreadsheetml/2006/main" count="504" uniqueCount="296">
  <si>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</si>
  <si>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</si>
  <si>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</si>
  <si>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</si>
  <si>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</si>
  <si>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</si>
  <si>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</si>
  <si>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</si>
  <si>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</si>
  <si>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</si>
  <si>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</si>
  <si>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</si>
  <si>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</si>
  <si>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</si>
  <si>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</si>
  <si>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</si>
  <si>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</si>
  <si>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</si>
  <si>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</si>
  <si>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</si>
  <si>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</si>
  <si>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</si>
  <si>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</si>
  <si>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</si>
  <si>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</si>
  <si>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</si>
  <si>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</si>
  <si>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</si>
  <si>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</si>
  <si>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</si>
  <si>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</si>
  <si>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</si>
  <si>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</si>
  <si>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</si>
  <si>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</si>
  <si>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</si>
  <si>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</si>
  <si>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</si>
  <si>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</si>
  <si>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</si>
  <si>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</si>
  <si>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</si>
  <si>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</si>
  <si>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</si>
  <si>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</si>
  <si>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</si>
  <si>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</si>
  <si>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</si>
  <si>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</si>
  <si>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</si>
  <si>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</si>
  <si>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</si>
  <si>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</si>
  <si>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</si>
  <si>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</si>
  <si>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</si>
  <si>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</si>
  <si>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</si>
  <si>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</si>
  <si>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</si>
  <si>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</si>
  <si>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</si>
  <si>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</si>
  <si>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</si>
  <si>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</si>
  <si>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</si>
  <si>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</si>
  <si>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</si>
  <si>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</si>
  <si>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</si>
  <si>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</si>
  <si>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</si>
  <si>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</si>
  <si>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</si>
  <si>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</si>
  <si>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</si>
  <si>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</si>
  <si>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</si>
  <si>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</si>
  <si>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</si>
  <si>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</si>
  <si>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</si>
  <si>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</si>
  <si>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</si>
  <si>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</si>
  <si>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</si>
  <si>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</si>
  <si>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</si>
  <si>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</si>
  <si>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</si>
  <si>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</si>
  <si>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</si>
  <si>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</si>
  <si>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</si>
  <si>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</si>
  <si>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</si>
  <si>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</si>
  <si>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</si>
  <si>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</si>
  <si>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</si>
  <si>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</si>
  <si>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</si>
  <si>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</si>
  <si>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</si>
  <si>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</si>
  <si>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</si>
  <si>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</si>
  <si>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</si>
  <si>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</si>
  <si>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</si>
  <si>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</si>
  <si>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</si>
  <si>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</si>
  <si>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</si>
  <si>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</si>
  <si>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</si>
  <si>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</si>
  <si>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</si>
  <si>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</si>
  <si>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</si>
  <si>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</si>
  <si>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</si>
  <si>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</si>
  <si>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</si>
  <si>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</si>
  <si>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</si>
  <si>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</si>
  <si>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</si>
  <si>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</si>
  <si>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</si>
  <si>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</si>
  <si>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</si>
  <si>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</si>
  <si>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</si>
  <si>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</si>
  <si>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</si>
  <si>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</si>
  <si>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</si>
  <si>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</si>
  <si>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</si>
  <si>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</si>
  <si>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</si>
  <si>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</si>
  <si>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</si>
  <si>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</si>
  <si>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</si>
  <si>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</si>
  <si>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</si>
  <si>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</si>
  <si>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</si>
  <si>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old</t>
    <phoneticPr fontId="5"/>
  </si>
  <si>
    <t>old</t>
    <phoneticPr fontId="5"/>
  </si>
  <si>
    <t>old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</si>
  <si>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</si>
  <si>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</si>
  <si>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</si>
  <si>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</si>
  <si>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</si>
  <si>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</si>
  <si>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</si>
  <si>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</si>
  <si>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</si>
  <si>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</si>
  <si>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</si>
  <si>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</si>
  <si>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</si>
  <si>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</si>
  <si>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</si>
  <si>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</si>
  <si>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</si>
  <si>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</si>
  <si>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</si>
  <si>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</si>
  <si>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</si>
  <si>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</si>
  <si>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t>skip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</si>
  <si>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</si>
  <si>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</si>
  <si>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</si>
  <si>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</si>
  <si>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</si>
  <si>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</si>
  <si>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</si>
  <si>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</si>
  <si>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</si>
  <si>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null</t>
    <phoneticPr fontId="5"/>
  </si>
  <si>
    <t>からしマヨビーム</t>
    <phoneticPr fontId="5"/>
  </si>
  <si>
    <t>[effect:dark, turn:2,target:unit_all,animation:enemy_dark],[effect:rush, count:1, val:1.0]</t>
    <phoneticPr fontId="5"/>
  </si>
  <si>
    <t>2ターンパネルの色が分からなくなる！＋攻撃</t>
    <rPh sb="19" eb="21">
      <t>コウゲキ</t>
    </rPh>
    <phoneticPr fontId="5"/>
  </si>
  <si>
    <t>どくのムチ</t>
    <phoneticPr fontId="5"/>
  </si>
  <si>
    <t>3ターンの間ダメージを受ける＋攻撃</t>
    <rPh sb="5" eb="6">
      <t>アイダ</t>
    </rPh>
    <rPh sb="11" eb="12">
      <t>ウ</t>
    </rPh>
    <rPh sb="15" eb="17">
      <t>コウゲキ</t>
    </rPh>
    <phoneticPr fontId="5"/>
  </si>
  <si>
    <t>[effect:virus, turn:3, rate:1.0, val:0.05, animation:enemy_virus],[effect:rush, count:1, val:1.0]</t>
    <phoneticPr fontId="5"/>
  </si>
  <si>
    <t>[effect:degrade_unit, target:unit_all, turn:3, status:action, val:1.0,animation:enemy_tap_down],[effect:rush, count:1, val:1.0]</t>
    <phoneticPr fontId="5"/>
  </si>
  <si>
    <t>3ターンタップ回数を1減少＋攻撃</t>
    <phoneticPr fontId="5"/>
  </si>
  <si>
    <t>6回連続攻撃</t>
    <rPh sb="1" eb="2">
      <t>カイ</t>
    </rPh>
    <rPh sb="2" eb="4">
      <t>レンゾク</t>
    </rPh>
    <rPh sb="4" eb="6">
      <t>コウゲキ</t>
    </rPh>
    <phoneticPr fontId="5"/>
  </si>
  <si>
    <t>からたけ割り</t>
    <phoneticPr fontId="5"/>
  </si>
  <si>
    <t>トトブラスター</t>
    <phoneticPr fontId="5"/>
  </si>
  <si>
    <t>[effect:rush, count:6, val:0.3]</t>
    <phoneticPr fontId="5"/>
  </si>
  <si>
    <t>ソウルリンク！</t>
    <phoneticPr fontId="5"/>
  </si>
  <si>
    <t>ローレンスは仲間との絆で強くなる！</t>
    <rPh sb="6" eb="8">
      <t>ナカマ</t>
    </rPh>
    <rPh sb="10" eb="11">
      <t>キズナ</t>
    </rPh>
    <rPh sb="12" eb="13">
      <t>ツヨ</t>
    </rPh>
    <phoneticPr fontId="5"/>
  </si>
  <si>
    <t>カイザーナックル</t>
    <phoneticPr fontId="5"/>
  </si>
  <si>
    <t>ぶちかまし</t>
    <phoneticPr fontId="5"/>
  </si>
  <si>
    <t>[effect:spread, val:0.5, animation:enemy_spread]</t>
    <phoneticPr fontId="5"/>
  </si>
  <si>
    <t>全体攻撃</t>
    <rPh sb="0" eb="2">
      <t>ゼンタイ</t>
    </rPh>
    <rPh sb="2" eb="4">
      <t>コウゲキ</t>
    </rPh>
    <phoneticPr fontId="5"/>
  </si>
  <si>
    <t>リンクブレイク！</t>
    <phoneticPr fontId="5"/>
  </si>
  <si>
    <t>[effect:rush, count:5, val:0.25]</t>
    <phoneticPr fontId="5"/>
  </si>
  <si>
    <t>れんぞくかみつき</t>
    <phoneticPr fontId="5"/>
  </si>
  <si>
    <t>5回連続攻撃</t>
    <rPh sb="1" eb="2">
      <t>カイ</t>
    </rPh>
    <rPh sb="2" eb="6">
      <t>レンゾクコウゲキ</t>
    </rPh>
    <phoneticPr fontId="5"/>
  </si>
  <si>
    <t>爆炎剣</t>
    <rPh sb="0" eb="1">
      <t>バクエン</t>
    </rPh>
    <rPh sb="1" eb="2">
      <t>ホノオ</t>
    </rPh>
    <rPh sb="2" eb="3">
      <t>ケン</t>
    </rPh>
    <phoneticPr fontId="5"/>
  </si>
  <si>
    <t>3回連続攻撃</t>
    <rPh sb="1" eb="2">
      <t>カイ</t>
    </rPh>
    <rPh sb="2" eb="6">
      <t>レンゾクコウゲキ</t>
    </rPh>
    <phoneticPr fontId="5"/>
  </si>
  <si>
    <t>適者生存</t>
    <rPh sb="0" eb="4">
      <t>テキシャセイゾン</t>
    </rPh>
    <phoneticPr fontId="5"/>
  </si>
  <si>
    <t>焼き払い</t>
    <rPh sb="0" eb="1">
      <t>ヤ</t>
    </rPh>
    <rPh sb="2" eb="3">
      <t>ハラ</t>
    </rPh>
    <phoneticPr fontId="5"/>
  </si>
  <si>
    <t>4ターン緑パネルが使えない！＋全体攻撃</t>
    <rPh sb="4" eb="5">
      <t>ミドリ</t>
    </rPh>
    <rPh sb="9" eb="10">
      <t>ツカ</t>
    </rPh>
    <rPh sb="15" eb="17">
      <t>ゼンタイ</t>
    </rPh>
    <rPh sb="17" eb="19">
      <t>コウゲキ</t>
    </rPh>
    <phoneticPr fontId="5"/>
  </si>
  <si>
    <t>火炎旋風</t>
    <rPh sb="0" eb="2">
      <t>カエン</t>
    </rPh>
    <rPh sb="2" eb="4">
      <t>センプウ</t>
    </rPh>
    <phoneticPr fontId="5"/>
  </si>
  <si>
    <t>強力な全体攻撃</t>
    <rPh sb="0" eb="2">
      <t>キョウリョク</t>
    </rPh>
    <rPh sb="3" eb="5">
      <t>ゼンタイ</t>
    </rPh>
    <rPh sb="5" eb="7">
      <t>コウゲキ</t>
    </rPh>
    <phoneticPr fontId="5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</si>
  <si>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</si>
  <si>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一寸の断熱</t>
    <rPh sb="0" eb="2">
      <t>イッスン</t>
    </rPh>
    <rPh sb="3" eb="5">
      <t>ダンネツ</t>
    </rPh>
    <phoneticPr fontId="5"/>
  </si>
  <si>
    <t>練武爆炎剣</t>
    <rPh sb="0" eb="2">
      <t>レンブ</t>
    </rPh>
    <rPh sb="2" eb="4">
      <t>バクエン</t>
    </rPh>
    <rPh sb="4" eb="5">
      <t>ケン</t>
    </rPh>
    <phoneticPr fontId="5"/>
  </si>
  <si>
    <t>9回連続攻撃</t>
    <rPh sb="1" eb="2">
      <t>カイ</t>
    </rPh>
    <rPh sb="2" eb="6">
      <t>レンゾクコウゲキ</t>
    </rPh>
    <phoneticPr fontId="5"/>
  </si>
  <si>
    <t>HP大回復＋解除されるまで攻撃力UP</t>
    <rPh sb="2" eb="3">
      <t>ダイ</t>
    </rPh>
    <rPh sb="3" eb="5">
      <t>カイフク</t>
    </rPh>
    <rPh sb="6" eb="8">
      <t>カイジョ</t>
    </rPh>
    <rPh sb="13" eb="16">
      <t>コウゲキリョク</t>
    </rPh>
    <phoneticPr fontId="5"/>
  </si>
  <si>
    <t>解除されるまで攻撃力UP</t>
    <rPh sb="0" eb="2">
      <t>カイジョ</t>
    </rPh>
    <rPh sb="7" eb="10">
      <t>コウゲキリョク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</si>
  <si>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</si>
  <si>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</si>
  <si>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</si>
  <si>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</si>
  <si>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</si>
  <si>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</si>
  <si>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</si>
  <si>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[effect:degrade_unit,target:myself,target:myself, turn:1, status:defense, val:0, calc:add, animation:enemy_enhance_enemy],[effect:fix_speed,target:myself,turn:2]</t>
    <phoneticPr fontId="5"/>
  </si>
  <si>
    <t>ローレンスの力が弱まっていく！</t>
    <rPh sb="6" eb="7">
      <t>チカラ</t>
    </rPh>
    <rPh sb="8" eb="9">
      <t>ヨワ</t>
    </rPh>
    <phoneticPr fontId="5"/>
  </si>
  <si>
    <t>ローレンスの力が更に弱まっていく！</t>
    <rPh sb="6" eb="7">
      <t>チカラ</t>
    </rPh>
    <rPh sb="8" eb="9">
      <t>サラ</t>
    </rPh>
    <rPh sb="10" eb="11">
      <t>ヨワ</t>
    </rPh>
    <phoneticPr fontId="5"/>
  </si>
  <si>
    <t>[effect:rush, count:6, val:0.2]</t>
    <phoneticPr fontId="5"/>
  </si>
  <si>
    <t>[effect:spread, val:0.4, animation:enemy_spread]</t>
    <phoneticPr fontId="5"/>
  </si>
  <si>
    <t>null</t>
    <phoneticPr fontId="5"/>
  </si>
  <si>
    <t>[effect:freq_turn, target:myself, turn:3, val:1, animation:enemy_freq_turn]</t>
    <phoneticPr fontId="5"/>
  </si>
  <si>
    <t>[effect:enhance_enemy, target:myself, turn:-1, status:attack, val:0.3, animation:enemy_enhance_enemy]</t>
    <phoneticPr fontId="5"/>
  </si>
  <si>
    <t>[effect:damage_anti_tribe, target:unit_one, tribe:animal, val1:1.6, val2:0.8]</t>
    <phoneticPr fontId="5"/>
  </si>
  <si>
    <t>[effect:enhance_enemy, target:myself, turn:-1, status:attack, val:0.4, animation:enemy_enhance_enemy],[effect:enhance_enemy, target:myself, turn:-1, status:defense, val:8000, calc:add, animation:enemy_enhance_enemy]</t>
    <phoneticPr fontId="5"/>
  </si>
  <si>
    <t>[effect:freq_turn, target:myself, turn:-1, val:1, animation:enemy_freq_turn],[effect:degrade_unit, target:unit_all, turn:-1, status:action, val:1.0,animation:enemy_tap_down]</t>
    <phoneticPr fontId="5"/>
  </si>
  <si>
    <t>[effect:critical, val:1.4.0, animation:enemy_critical]</t>
    <phoneticPr fontId="5"/>
  </si>
  <si>
    <t>攻撃力×1.4倍の攻撃</t>
    <phoneticPr fontId="5"/>
  </si>
  <si>
    <t>[effect:spread, val:0.15, animation:enemy_spread],[effect:fix_speed,target:myself,turn:2]</t>
    <phoneticPr fontId="5"/>
  </si>
  <si>
    <t>[effect:heal, target:enemy_one, val:0.2, animation:enemy_heal],[effect:charge, status:attack, val:0.8 animation:enemy_charge]</t>
    <phoneticPr fontId="5"/>
  </si>
  <si>
    <t>攻撃頻度が1になる＋タップ回数を1減少</t>
    <rPh sb="0" eb="4">
      <t>コウゲキヒンド</t>
    </rPh>
    <rPh sb="13" eb="15">
      <t>カイスウ</t>
    </rPh>
    <rPh sb="17" eb="19">
      <t>ゲンショウ</t>
    </rPh>
    <phoneticPr fontId="5"/>
  </si>
  <si>
    <t>エゾは先制攻撃を仕掛けてきた！</t>
    <rPh sb="3" eb="7">
      <t>センセイコウゲキ</t>
    </rPh>
    <rPh sb="8" eb="10">
      <t>シカ</t>
    </rPh>
    <phoneticPr fontId="5"/>
  </si>
  <si>
    <t>[effect:heal, target:enemy_one, val:0.2, animation:enemy_heal],[effect:enhance_enemy, target:myself, turn:-1, status:attack, val:0.3, animation:enemy_enhance_enemy]</t>
    <phoneticPr fontId="5"/>
  </si>
  <si>
    <t>HP大回復＋次のターン強力な攻撃</t>
    <rPh sb="2" eb="3">
      <t>ダイ</t>
    </rPh>
    <rPh sb="3" eb="5">
      <t>カイフク</t>
    </rPh>
    <rPh sb="6" eb="7">
      <t>ツギ</t>
    </rPh>
    <rPh sb="11" eb="13">
      <t>キョウリョク</t>
    </rPh>
    <rPh sb="14" eb="16">
      <t>コウゲキ</t>
    </rPh>
    <phoneticPr fontId="5"/>
  </si>
  <si>
    <t>[effect:charge, status:attack, val:0.8, animation:enemy_charge]</t>
    <phoneticPr fontId="5"/>
  </si>
  <si>
    <t>[effect:degrade_unit,target:myself, turn:1, status:attack, val:0, animation:enemy_enhance_enemy],[effect:fix_speed,target:myself,turn:2]</t>
    <phoneticPr fontId="5"/>
  </si>
  <si>
    <t>[effect:rush, count:3, val:0.4]</t>
    <phoneticPr fontId="5"/>
  </si>
  <si>
    <t>[effect:rush, count:9, val:0.17]</t>
    <phoneticPr fontId="5"/>
  </si>
  <si>
    <t>[effect:dis_panel, target:block_green, turn:4, animation:enemy_dis_green],[effect:spread, val:0.32, animation:enemy_spread]</t>
    <phoneticPr fontId="5"/>
  </si>
  <si>
    <t>灰塵剣</t>
    <rPh sb="0" eb="2">
      <t>カイジン</t>
    </rPh>
    <rPh sb="2" eb="3">
      <t>ケン</t>
    </rPh>
    <phoneticPr fontId="5"/>
  </si>
  <si>
    <t>かなりの強者と見た</t>
    <rPh sb="4" eb="6">
      <t>キョウシャ</t>
    </rPh>
    <rPh sb="7" eb="8">
      <t>ミ</t>
    </rPh>
    <phoneticPr fontId="5"/>
  </si>
  <si>
    <t>負ける…ものかぁッ！！</t>
    <rPh sb="0" eb="1">
      <t>マ</t>
    </rPh>
    <phoneticPr fontId="5"/>
  </si>
  <si>
    <t>戦いに情けは無用！</t>
    <rPh sb="0" eb="1">
      <t>タタカ</t>
    </rPh>
    <rPh sb="3" eb="4">
      <t>ナサ</t>
    </rPh>
    <rPh sb="6" eb="8">
      <t>ムヨウ</t>
    </rPh>
    <phoneticPr fontId="5"/>
  </si>
  <si>
    <t>[effect:enhance_enemy, target:myself, turn:-1, status:attack, val:0.35, animation:enemy_enhance_enemy],[effect:enhance_enemy, target:myself, turn:-1, status:defense, val:4000, calc:add, animation:enemy_enhance_enemy]</t>
    <phoneticPr fontId="5"/>
  </si>
  <si>
    <t>それでこそ…俺の相手に相応しい！</t>
    <rPh sb="6" eb="7">
      <t>オレ</t>
    </rPh>
    <rPh sb="8" eb="10">
      <t>アイテ</t>
    </rPh>
    <rPh sb="11" eb="13">
      <t>フサワ</t>
    </rPh>
    <phoneticPr fontId="5"/>
  </si>
  <si>
    <t>まだだ…更なる力を…！</t>
    <rPh sb="4" eb="5">
      <t>サラ</t>
    </rPh>
    <rPh sb="7" eb="8">
      <t>チカラ</t>
    </rPh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</si>
  <si>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</si>
  <si>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</si>
  <si>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stage_hints</t>
  </si>
  <si>
    <t>quest_id</t>
    <phoneticPr fontId="5"/>
  </si>
  <si>
    <t>stage_id</t>
    <phoneticPr fontId="5"/>
  </si>
  <si>
    <t>hint_id</t>
    <phoneticPr fontId="5"/>
  </si>
  <si>
    <t>floor_id</t>
    <phoneticPr fontId="5"/>
  </si>
  <si>
    <t>hint_type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</si>
  <si>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</si>
  <si>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</si>
  <si>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</si>
  <si>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</si>
  <si>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</si>
  <si>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</si>
  <si>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</si>
  <si>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</si>
  <si>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</si>
  <si>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</si>
  <si>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</si>
  <si>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</si>
  <si>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</si>
  <si>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</si>
  <si>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</si>
  <si>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language</t>
    <phoneticPr fontId="5"/>
  </si>
  <si>
    <t>title</t>
    <phoneticPr fontId="5"/>
  </si>
  <si>
    <t>hint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</si>
  <si>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</si>
  <si>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</si>
  <si>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</si>
  <si>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</si>
  <si>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</si>
  <si>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old</t>
    <phoneticPr fontId="7"/>
  </si>
  <si>
    <t>種族アニマルのユニットに大ダメージ</t>
    <phoneticPr fontId="5"/>
  </si>
  <si>
    <t>ローレンスは仲間がいる状態では
無類の強さを発揮します
「将を射んと欲すれば、まず馬を射よ」です</t>
    <phoneticPr fontId="5"/>
  </si>
  <si>
    <t>エゾの攻勢をハートパネルだけで防ぐのは
難易度が高いです
他の防御や回復の手段も整えておきましょう</t>
    <rPh sb="24" eb="25">
      <t>タカ</t>
    </rPh>
    <phoneticPr fontId="5"/>
  </si>
  <si>
    <t>ローレンスは仲間がいる状態では
無類の強さを発揮します
「将を射んと欲すれば、まず馬を射よ」です</t>
    <phoneticPr fontId="5"/>
  </si>
  <si>
    <t>エゾは追い詰められるとHPを回復します
その後は強力な攻撃が増えますので
回復の隙を与えないように撃破しましょう</t>
    <rPh sb="31" eb="32">
      <t>フ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</si>
</sst>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charset val="128"/>
      <scheme val="minor"/>
    </font>
    <font>
      <sz val="10"/>
      <name val="ＭＳ Ｐゴシック"/>
      <charset val="128"/>
      <scheme val="minor"/>
    </font>
    <font>
      <sz val="10"/>
      <color rgb="FFFF0000"/>
      <name val="ＭＳ Ｐゴシック"/>
      <charset val="128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/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auto="1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5" fillId="18" borderId="35" applyNumberFormat="0" applyAlignment="0" applyProtection="0"/>
    <xf numFmtId="0" fontId="36" fillId="19" borderId="0" applyNumberFormat="0" applyBorder="0" applyAlignment="0" applyProtection="0"/>
    <xf numFmtId="0" fontId="37" fillId="20" borderId="36" applyNumberFormat="0" applyAlignment="0" applyProtection="0"/>
    <xf numFmtId="0" fontId="38" fillId="0" borderId="0" applyNumberFormat="0" applyFill="0" applyBorder="0" applyAlignment="0" applyProtection="0"/>
    <xf numFmtId="0" fontId="39" fillId="21" borderId="0" applyNumberFormat="0" applyBorder="0" applyAlignment="0" applyProtection="0"/>
    <xf numFmtId="0" fontId="40" fillId="22" borderId="37" applyNumberFormat="0" applyAlignment="0" applyProtection="0"/>
    <xf numFmtId="0" fontId="41" fillId="0" borderId="0" applyNumberFormat="0" applyFill="0" applyBorder="0" applyAlignment="0" applyProtection="0"/>
    <xf numFmtId="0" fontId="42" fillId="0" borderId="38" applyNumberFormat="0" applyFill="0" applyAlignment="0" applyProtection="0"/>
    <xf numFmtId="0" fontId="43" fillId="0" borderId="39" applyNumberFormat="0" applyFill="0" applyAlignment="0" applyProtection="0"/>
    <xf numFmtId="0" fontId="44" fillId="0" borderId="40" applyNumberFormat="0" applyFill="0" applyAlignment="0" applyProtection="0"/>
    <xf numFmtId="0" fontId="44" fillId="0" borderId="0" applyNumberFormat="0" applyFill="0" applyBorder="0" applyAlignment="0" applyProtection="0"/>
    <xf numFmtId="0" fontId="45" fillId="20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5" fillId="20" borderId="0" applyNumberFormat="0" applyBorder="0" applyAlignment="0" applyProtection="0"/>
    <xf numFmtId="0" fontId="45" fillId="24" borderId="0" applyNumberFormat="0" applyBorder="0" applyAlignment="0" applyProtection="0"/>
    <xf numFmtId="0" fontId="45" fillId="18" borderId="0" applyNumberFormat="0" applyBorder="0" applyAlignment="0" applyProtection="0"/>
    <xf numFmtId="0" fontId="45" fillId="20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0" borderId="0" applyNumberFormat="0" applyBorder="0" applyAlignment="0" applyProtection="0"/>
    <xf numFmtId="0" fontId="45" fillId="26" borderId="0" applyNumberFormat="0" applyBorder="0" applyAlignment="0" applyProtection="0"/>
    <xf numFmtId="0" fontId="45" fillId="19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19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3" borderId="0" applyNumberFormat="0" applyBorder="0" applyAlignment="0" applyProtection="0"/>
    <xf numFmtId="0" fontId="46" fillId="29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7" fillId="30" borderId="0" applyNumberFormat="0" applyBorder="0" applyAlignment="0" applyProtection="0"/>
    <xf numFmtId="0" fontId="36" fillId="19" borderId="0" applyNumberFormat="0" applyBorder="0" applyAlignment="0" applyProtection="0"/>
    <xf numFmtId="0" fontId="48" fillId="0" borderId="41" applyNumberFormat="0" applyFill="0" applyAlignment="0" applyProtection="0"/>
    <xf numFmtId="0" fontId="49" fillId="20" borderId="42" applyNumberFormat="0" applyAlignment="0" applyProtection="0"/>
    <xf numFmtId="0" fontId="49" fillId="31" borderId="42" applyNumberFormat="0" applyAlignment="0" applyProtection="0"/>
    <xf numFmtId="0" fontId="37" fillId="19" borderId="36" applyNumberFormat="0" applyAlignment="0" applyProtection="0"/>
    <xf numFmtId="0" fontId="50" fillId="0" borderId="43" applyNumberFormat="0" applyFill="0" applyAlignment="0" applyProtection="0"/>
    <xf numFmtId="0" fontId="51" fillId="31" borderId="36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44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16" fillId="14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2" fillId="7" borderId="11" xfId="0" applyFont="1" applyFill="1" applyBorder="1" applyAlignment="1">
      <alignment vertical="center"/>
    </xf>
    <xf numFmtId="176" fontId="4" fillId="0" borderId="12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vertical="center"/>
    </xf>
    <xf numFmtId="0" fontId="6" fillId="0" borderId="13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177" fontId="8" fillId="0" borderId="15" xfId="0" applyNumberFormat="1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3" borderId="13" xfId="0" applyFont="1" applyFill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6" fillId="15" borderId="3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8" fillId="0" borderId="18" xfId="0" applyFont="1" applyBorder="1" applyAlignment="1">
      <alignment vertical="center"/>
    </xf>
    <xf numFmtId="0" fontId="6" fillId="15" borderId="19" xfId="0" applyFont="1" applyFill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176" fontId="4" fillId="0" borderId="19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177" fontId="8" fillId="0" borderId="18" xfId="0" applyNumberFormat="1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1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177" fontId="8" fillId="0" borderId="20" xfId="0" applyNumberFormat="1" applyFont="1" applyBorder="1" applyAlignment="1">
      <alignment vertical="center"/>
    </xf>
    <xf numFmtId="0" fontId="6" fillId="15" borderId="21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4" fillId="0" borderId="30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16" borderId="30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0" fontId="6" fillId="15" borderId="5" xfId="0" applyFont="1" applyFill="1" applyBorder="1" applyAlignment="1">
      <alignment vertical="center"/>
    </xf>
    <xf numFmtId="0" fontId="4" fillId="3" borderId="30" xfId="0" applyFont="1" applyFill="1" applyBorder="1" applyAlignment="1">
      <alignment vertical="center"/>
    </xf>
    <xf numFmtId="0" fontId="4" fillId="0" borderId="30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12" fillId="0" borderId="22" xfId="0" applyFont="1" applyFill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3" borderId="22" xfId="0" applyFont="1" applyFill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vertical="center"/>
    </xf>
    <xf numFmtId="0" fontId="6" fillId="15" borderId="9" xfId="0" applyFont="1" applyFill="1" applyBorder="1" applyAlignment="1">
      <alignment vertical="center"/>
    </xf>
    <xf numFmtId="0" fontId="6" fillId="1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27" fillId="0" borderId="7" xfId="0" applyFont="1" applyFill="1" applyBorder="1" applyAlignment="1">
      <alignment vertical="center"/>
    </xf>
    <xf numFmtId="0" fontId="28" fillId="0" borderId="7" xfId="0" applyFont="1" applyFill="1" applyBorder="1" applyAlignment="1">
      <alignment vertical="center"/>
    </xf>
    <xf numFmtId="0" fontId="29" fillId="15" borderId="3" xfId="0" applyFont="1" applyFill="1" applyBorder="1" applyAlignment="1">
      <alignment vertical="center"/>
    </xf>
    <xf numFmtId="0" fontId="29" fillId="15" borderId="12" xfId="0" applyFont="1" applyFill="1" applyBorder="1" applyAlignment="1">
      <alignment vertical="center"/>
    </xf>
    <xf numFmtId="0" fontId="29" fillId="15" borderId="19" xfId="0" applyFont="1" applyFill="1" applyBorder="1" applyAlignment="1">
      <alignment vertical="center"/>
    </xf>
    <xf numFmtId="0" fontId="4" fillId="13" borderId="30" xfId="0" applyFont="1" applyFill="1" applyBorder="1" applyAlignment="1">
      <alignment vertical="center"/>
    </xf>
    <xf numFmtId="0" fontId="2" fillId="0" borderId="7" xfId="615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30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7" borderId="7" xfId="0" applyFont="1" applyFill="1" applyBorder="1" applyAlignment="1">
      <alignment horizontal="center"/>
    </xf>
    <xf numFmtId="56" fontId="16" fillId="17" borderId="7" xfId="0" applyNumberFormat="1" applyFont="1" applyFill="1" applyBorder="1" applyAlignment="1">
      <alignment horizontal="center"/>
    </xf>
    <xf numFmtId="0" fontId="0" fillId="17" borderId="7" xfId="0" applyFill="1" applyBorder="1"/>
    <xf numFmtId="0" fontId="13" fillId="7" borderId="0" xfId="0" applyFont="1" applyFill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34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34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0" fontId="30" fillId="0" borderId="0" xfId="0" applyFont="1" applyFill="1"/>
    <xf numFmtId="0" fontId="0" fillId="0" borderId="7" xfId="0" applyBorder="1" applyAlignment="1">
      <alignment wrapText="1"/>
    </xf>
  </cellXfs>
  <cellStyles count="894">
    <cellStyle name="20% - ANZg1" xfId="834"/>
    <cellStyle name="20% - ANZg2" xfId="835"/>
    <cellStyle name="20% - ANZg3" xfId="836"/>
    <cellStyle name="20% - ANZg4" xfId="837"/>
    <cellStyle name="20% - ANZg5" xfId="838"/>
    <cellStyle name="20% - ANZg6" xfId="839"/>
    <cellStyle name="40% - ANZg1" xfId="840"/>
    <cellStyle name="40% - ANZg2" xfId="841"/>
    <cellStyle name="40% - ANZg3" xfId="842"/>
    <cellStyle name="40% - ANZg4" xfId="843"/>
    <cellStyle name="40% - ANZg5" xfId="844"/>
    <cellStyle name="40% - ANZg6" xfId="845"/>
    <cellStyle name="60% - ANZg1" xfId="846"/>
    <cellStyle name="60% - ANZg2" xfId="847"/>
    <cellStyle name="60% - ANZg3" xfId="848"/>
    <cellStyle name="60% - ANZg4" xfId="849"/>
    <cellStyle name="60% - ANZg5" xfId="850"/>
    <cellStyle name="60% - ANZg6" xfId="851"/>
    <cellStyle name="Excel Built-in Normal" xfId="428"/>
    <cellStyle name="^Cg" xfId="829"/>
    <cellStyle name="`FbN Z" xfId="828"/>
    <cellStyle name="ANZg 1" xfId="853"/>
    <cellStyle name="ANZg 2" xfId="854"/>
    <cellStyle name="ANZg 3" xfId="855"/>
    <cellStyle name="ANZg 4" xfId="856"/>
    <cellStyle name="ANZg 5" xfId="857"/>
    <cellStyle name="ANZg 6" xfId="858"/>
    <cellStyle name="" xfId="823"/>
    <cellStyle name="N Z" xfId="861"/>
    <cellStyle name="_" xfId="824"/>
    <cellStyle name="«¢" xfId="827"/>
    <cellStyle name="vZ" xfId="866"/>
    <cellStyle name="x÷" xfId="868"/>
    <cellStyle name="x¶" xfId="867"/>
    <cellStyle name="ýo_ 1" xfId="869"/>
    <cellStyle name="©oµ 1" xfId="830"/>
    <cellStyle name="©oµ 2" xfId="831"/>
    <cellStyle name="©oµ 3" xfId="832"/>
    <cellStyle name="©oµ 4" xfId="833"/>
    <cellStyle name="v" xfId="865"/>
    <cellStyle name="o_" xfId="862"/>
    <cellStyle name="oÍ" xfId="863"/>
    <cellStyle name="__÷" xfId="826"/>
    <cellStyle name="à¾¶" xfId="852"/>
    <cellStyle name="__" xfId="825"/>
    <cellStyle name="üÍ" xfId="864"/>
    <cellStyle name="Ê" xfId="860"/>
    <cellStyle name="Ç¢" xfId="859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桁区切り 2" xfId="429"/>
    <cellStyle name="桁区切り 2 2" xfId="822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870"/>
    <cellStyle name="標準 5 2" xfId="871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1269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F14" sqref="F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151</v>
      </c>
      <c r="B2" s="57" t="s">
        <v>106</v>
      </c>
      <c r="C2" s="62">
        <f>floors!C2</f>
        <v>30017</v>
      </c>
      <c r="D2" s="57" t="s">
        <v>107</v>
      </c>
      <c r="E2" s="56" t="str">
        <f>B2&amp;C2&amp;D2</f>
        <v>floors_30017.tmp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152</v>
      </c>
      <c r="B3" s="57" t="s">
        <v>109</v>
      </c>
      <c r="C3" s="62">
        <f>C2</f>
        <v>30017</v>
      </c>
      <c r="D3" s="57" t="s">
        <v>107</v>
      </c>
      <c r="E3" s="56" t="str">
        <f>B3&amp;C3&amp;D3</f>
        <v>enemy_habitats_30017.tmp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183</v>
      </c>
    </row>
    <row r="4" spans="1:30" x14ac:dyDescent="0.15">
      <c r="A4" s="61" t="s">
        <v>152</v>
      </c>
      <c r="B4" s="57" t="s">
        <v>111</v>
      </c>
      <c r="C4" s="62">
        <f t="shared" ref="C4:C11" si="0">C3</f>
        <v>30017</v>
      </c>
      <c r="D4" s="57" t="s">
        <v>107</v>
      </c>
      <c r="E4" s="56" t="str">
        <f>B4&amp;C4&amp;D4</f>
        <v>enemy_habitat_S_30017.tmp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152</v>
      </c>
      <c r="B5" s="57" t="s">
        <v>113</v>
      </c>
      <c r="C5" s="62">
        <f t="shared" si="0"/>
        <v>30017</v>
      </c>
      <c r="D5" s="57" t="s">
        <v>107</v>
      </c>
      <c r="E5" s="56" t="str">
        <f>B5&amp;C5&amp;D5</f>
        <v>enemy_skill_sets_30017.tmp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152</v>
      </c>
      <c r="B6" s="57" t="s">
        <v>115</v>
      </c>
      <c r="C6" s="62">
        <f t="shared" si="0"/>
        <v>30017</v>
      </c>
      <c r="D6" s="57" t="s">
        <v>116</v>
      </c>
      <c r="E6" s="56" t="str">
        <f t="shared" ref="E6:E11" si="1">B6&amp;C6&amp;D6</f>
        <v>enemy_skills_tmp_30017.tmp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152</v>
      </c>
      <c r="B7" s="57" t="s">
        <v>117</v>
      </c>
      <c r="C7" s="62">
        <f t="shared" si="0"/>
        <v>30017</v>
      </c>
      <c r="D7" s="57" t="s">
        <v>107</v>
      </c>
      <c r="E7" s="56" t="str">
        <f>B7&amp;C7&amp;D7</f>
        <v>enemy_skills_i18n_30017.tmp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150</v>
      </c>
      <c r="B8" s="57" t="s">
        <v>119</v>
      </c>
      <c r="C8" s="62">
        <f t="shared" si="0"/>
        <v>30017</v>
      </c>
      <c r="D8" s="57" t="s">
        <v>120</v>
      </c>
      <c r="E8" s="56" t="str">
        <f t="shared" si="1"/>
        <v>enemy_skill_triggers_30017.tmp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8" t="s">
        <v>175</v>
      </c>
      <c r="B9" s="68" t="s">
        <v>182</v>
      </c>
      <c r="C9" s="62">
        <f t="shared" si="0"/>
        <v>30017</v>
      </c>
      <c r="D9" s="68" t="s">
        <v>176</v>
      </c>
      <c r="E9" s="69" t="str">
        <f t="shared" si="1"/>
        <v>stage_bug_bonuses_30017.tmp</v>
      </c>
      <c r="F9" s="68" t="s">
        <v>177</v>
      </c>
      <c r="G9" s="64" t="s">
        <v>153</v>
      </c>
      <c r="H9" s="64" t="s">
        <v>178</v>
      </c>
      <c r="I9" s="64" t="s">
        <v>179</v>
      </c>
      <c r="J9" s="67" t="s">
        <v>180</v>
      </c>
      <c r="K9" s="64" t="s">
        <v>181</v>
      </c>
      <c r="L9" s="64" t="s">
        <v>159</v>
      </c>
      <c r="M9" s="64" t="s">
        <v>160</v>
      </c>
      <c r="N9" s="64" t="s">
        <v>161</v>
      </c>
      <c r="O9" s="64" t="s">
        <v>162</v>
      </c>
      <c r="P9" s="64" t="s">
        <v>163</v>
      </c>
      <c r="Q9" s="64" t="s">
        <v>164</v>
      </c>
      <c r="R9" s="64" t="s">
        <v>165</v>
      </c>
      <c r="S9" s="64" t="s">
        <v>166</v>
      </c>
      <c r="T9" s="64" t="s">
        <v>167</v>
      </c>
      <c r="U9" s="64" t="s">
        <v>168</v>
      </c>
      <c r="V9" s="64" t="s">
        <v>169</v>
      </c>
      <c r="W9" s="64" t="s">
        <v>170</v>
      </c>
    </row>
    <row r="10" spans="1:30" s="140" customFormat="1" x14ac:dyDescent="0.15">
      <c r="A10" s="68" t="s">
        <v>290</v>
      </c>
      <c r="B10" s="68" t="s">
        <v>259</v>
      </c>
      <c r="C10" s="62">
        <f t="shared" si="0"/>
        <v>30017</v>
      </c>
      <c r="D10" s="68" t="s">
        <v>260</v>
      </c>
      <c r="E10" s="69" t="str">
        <f t="shared" si="1"/>
        <v>stage_hints_data_30017.tmp</v>
      </c>
      <c r="F10" s="136" t="s">
        <v>261</v>
      </c>
      <c r="G10" s="137" t="s">
        <v>262</v>
      </c>
      <c r="H10" s="137" t="s">
        <v>263</v>
      </c>
      <c r="I10" s="138" t="s">
        <v>264</v>
      </c>
      <c r="J10" s="67" t="s">
        <v>265</v>
      </c>
      <c r="K10" s="139" t="s">
        <v>266</v>
      </c>
    </row>
    <row r="11" spans="1:30" s="140" customFormat="1" x14ac:dyDescent="0.15">
      <c r="A11" s="68" t="s">
        <v>290</v>
      </c>
      <c r="B11" s="68" t="s">
        <v>267</v>
      </c>
      <c r="C11" s="62">
        <f t="shared" si="0"/>
        <v>30017</v>
      </c>
      <c r="D11" s="68" t="s">
        <v>268</v>
      </c>
      <c r="E11" s="69" t="str">
        <f t="shared" si="1"/>
        <v>stage_hints_i18n_30017.tmp</v>
      </c>
      <c r="F11" s="136" t="s">
        <v>261</v>
      </c>
      <c r="G11" s="138" t="s">
        <v>269</v>
      </c>
      <c r="H11" s="141" t="s">
        <v>270</v>
      </c>
      <c r="I11" s="137" t="s">
        <v>271</v>
      </c>
      <c r="J11" s="142" t="s">
        <v>272</v>
      </c>
      <c r="K11" s="139" t="s">
        <v>273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E19" sqref="E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30017_1-1</v>
      </c>
      <c r="B2" s="16" t="str">
        <f>IF(COUNTIF(enemy_habitats!$H:$H,A2),"OK","NG")</f>
        <v>OK</v>
      </c>
      <c r="C2" s="7">
        <v>30017</v>
      </c>
      <c r="D2" s="11" t="str">
        <f ca="1">VLOOKUP($C2,OFFSET([2]quests!$A$1,0,0,COUNTA([2]quests!$A:$A),MATCH(D$1,[2]quests!$1:$1,0)-MATCH($C$1,[2]quests!$1:$1,0)+1),MATCH(D$1,[2]quests!$1:$1,0)-MATCH($C$1,[2]quests!$1:$1,0)+1,FALSE)</f>
        <v>狩人の挽歌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21">
        <v>1</v>
      </c>
      <c r="G2" s="23" t="str">
        <f t="shared" ref="G2:G9" si="1">C2&amp;"_"&amp;F2</f>
        <v>30017_1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【超級】狩人の挽歌</v>
      </c>
      <c r="I2" s="21">
        <v>1</v>
      </c>
      <c r="J2" s="12">
        <v>35</v>
      </c>
      <c r="K2" s="12">
        <v>35</v>
      </c>
    </row>
    <row r="3" spans="1:11" ht="21" customHeight="1" x14ac:dyDescent="0.15">
      <c r="A3" s="16" t="str">
        <f t="shared" si="0"/>
        <v>30017_1-2</v>
      </c>
      <c r="B3" s="16" t="str">
        <f>IF(COUNTIF(enemy_habitats!$H:$H,A3),"OK","NG")</f>
        <v>OK</v>
      </c>
      <c r="C3" s="7">
        <v>30017</v>
      </c>
      <c r="D3" s="11" t="str">
        <f ca="1">VLOOKUP($C3,OFFSET([2]quests!$A$1,0,0,COUNTA([2]quests!$A:$A),MATCH(D$1,[2]quests!$1:$1,0)-MATCH($C$1,[2]quests!$1:$1,0)+1),MATCH(D$1,[2]quests!$1:$1,0)-MATCH($C$1,[2]quests!$1:$1,0)+1,FALSE)</f>
        <v>狩人の挽歌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21">
        <v>1</v>
      </c>
      <c r="G3" s="23" t="str">
        <f t="shared" si="1"/>
        <v>30017_1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【超級】狩人の挽歌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30017_1-3</v>
      </c>
      <c r="B4" s="16" t="str">
        <f>IF(COUNTIF(enemy_habitats!$H:$H,A4),"OK","NG")</f>
        <v>OK</v>
      </c>
      <c r="C4" s="7">
        <v>30017</v>
      </c>
      <c r="D4" s="11" t="str">
        <f ca="1">VLOOKUP($C4,OFFSET([2]quests!$A$1,0,0,COUNTA([2]quests!$A:$A),MATCH(D$1,[2]quests!$1:$1,0)-MATCH($C$1,[2]quests!$1:$1,0)+1),MATCH(D$1,[2]quests!$1:$1,0)-MATCH($C$1,[2]quests!$1:$1,0)+1,FALSE)</f>
        <v>狩人の挽歌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21">
        <v>1</v>
      </c>
      <c r="G4" s="23" t="str">
        <f t="shared" si="1"/>
        <v>30017_1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【超級】狩人の挽歌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30017_1-4</v>
      </c>
      <c r="B5" s="16" t="str">
        <f>IF(COUNTIF(enemy_habitats!$H:$H,A5),"OK","NG")</f>
        <v>OK</v>
      </c>
      <c r="C5" s="7">
        <v>30017</v>
      </c>
      <c r="D5" s="11" t="str">
        <f ca="1">VLOOKUP($C5,OFFSET([2]quests!$A$1,0,0,COUNTA([2]quests!$A:$A),MATCH(D$1,[2]quests!$1:$1,0)-MATCH($C$1,[2]quests!$1:$1,0)+1),MATCH(D$1,[2]quests!$1:$1,0)-MATCH($C$1,[2]quests!$1:$1,0)+1,FALSE)</f>
        <v>狩人の挽歌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21">
        <v>1</v>
      </c>
      <c r="G5" s="23" t="str">
        <f t="shared" si="1"/>
        <v>30017_1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【超級】狩人の挽歌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30017_2-1</v>
      </c>
      <c r="B6" s="16" t="str">
        <f>IF(COUNTIF(enemy_habitats!$H:$H,A6),"OK","NG")</f>
        <v>OK</v>
      </c>
      <c r="C6" s="7">
        <v>30017</v>
      </c>
      <c r="D6" s="11" t="str">
        <f ca="1">VLOOKUP($C6,OFFSET([2]quests!$A$1,0,0,COUNTA([2]quests!$A:$A),MATCH(D$1,[2]quests!$1:$1,0)-MATCH($C$1,[2]quests!$1:$1,0)+1),MATCH(D$1,[2]quests!$1:$1,0)-MATCH($C$1,[2]quests!$1:$1,0)+1,FALSE)</f>
        <v>狩人の挽歌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21">
        <v>2</v>
      </c>
      <c r="G6" s="23" t="str">
        <f t="shared" si="1"/>
        <v>30017_2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【超絶級】狩人の挽歌</v>
      </c>
      <c r="I6" s="2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30017_2-2</v>
      </c>
      <c r="B7" s="16" t="str">
        <f>IF(COUNTIF(enemy_habitats!$H:$H,A7),"OK","NG")</f>
        <v>OK</v>
      </c>
      <c r="C7" s="7">
        <v>30017</v>
      </c>
      <c r="D7" s="11" t="str">
        <f ca="1">VLOOKUP($C7,OFFSET([2]quests!$A$1,0,0,COUNTA([2]quests!$A:$A),MATCH(D$1,[2]quests!$1:$1,0)-MATCH($C$1,[2]quests!$1:$1,0)+1),MATCH(D$1,[2]quests!$1:$1,0)-MATCH($C$1,[2]quests!$1:$1,0)+1,FALSE)</f>
        <v>狩人の挽歌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21">
        <v>2</v>
      </c>
      <c r="G7" s="23" t="str">
        <f t="shared" si="1"/>
        <v>30017_2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【超絶級】狩人の挽歌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30017_2-3</v>
      </c>
      <c r="B8" s="16" t="str">
        <f>IF(COUNTIF(enemy_habitats!$H:$H,A8),"OK","NG")</f>
        <v>OK</v>
      </c>
      <c r="C8" s="7">
        <v>30017</v>
      </c>
      <c r="D8" s="11" t="str">
        <f ca="1">VLOOKUP($C8,OFFSET([2]quests!$A$1,0,0,COUNTA([2]quests!$A:$A),MATCH(D$1,[2]quests!$1:$1,0)-MATCH($C$1,[2]quests!$1:$1,0)+1),MATCH(D$1,[2]quests!$1:$1,0)-MATCH($C$1,[2]quests!$1:$1,0)+1,FALSE)</f>
        <v>狩人の挽歌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21">
        <v>2</v>
      </c>
      <c r="G8" s="23" t="str">
        <f t="shared" si="1"/>
        <v>30017_2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【超絶級】狩人の挽歌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30017_2-4</v>
      </c>
      <c r="B9" s="16" t="str">
        <f>IF(COUNTIF(enemy_habitats!$H:$H,A9),"OK","NG")</f>
        <v>OK</v>
      </c>
      <c r="C9" s="7">
        <v>30017</v>
      </c>
      <c r="D9" s="11" t="str">
        <f ca="1">VLOOKUP($C9,OFFSET([2]quests!$A$1,0,0,COUNTA([2]quests!$A:$A),MATCH(D$1,[2]quests!$1:$1,0)-MATCH($C$1,[2]quests!$1:$1,0)+1),MATCH(D$1,[2]quests!$1:$1,0)-MATCH($C$1,[2]quests!$1:$1,0)+1,FALSE)</f>
        <v>狩人の挽歌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21">
        <v>2</v>
      </c>
      <c r="G9" s="23" t="str">
        <f t="shared" si="1"/>
        <v>30017_2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【超絶級】狩人の挽歌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4"/>
  <sheetViews>
    <sheetView showGridLines="0" tabSelected="1" zoomScale="85" zoomScaleNormal="85" zoomScalePageLayoutView="8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AH18" sqref="AH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184</v>
      </c>
    </row>
    <row r="2" spans="1:40" ht="21" customHeight="1" x14ac:dyDescent="0.15">
      <c r="A2" s="16" t="str">
        <f t="shared" ref="A2:A17" ca="1" si="0">B2&amp;"_"&amp;C2&amp;"-"&amp;G2&amp;"/"&amp;L2&amp;"&lt;lv"&amp;R2&amp;"&gt;s"&amp;AA2</f>
        <v>30017_1-1/57&lt;lv35&gt;s2</v>
      </c>
      <c r="B2" s="22">
        <v>30017</v>
      </c>
      <c r="C2" s="21">
        <v>1</v>
      </c>
      <c r="D2" s="2" t="str">
        <f t="shared" ref="D2:D17" si="1">B2&amp;"_"&amp;C2</f>
        <v>30017_1</v>
      </c>
      <c r="E2" s="4" t="str">
        <f ca="1">VLOOKUP($B2,OFFSET([2]quests!$A$1,0,0,COUNTA([2]quests!$A:$A),MATCH(E$1,[2]quests!$1:$1,0)-MATCH($B$1,[2]quests!$1:$1,0)+1),MATCH(E$1,[2]quests!$1:$1,0)-MATCH($B$1,[2]quests!$1:$1,0)+1,FALSE)</f>
        <v>狩人の挽歌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【超級】狩人の挽歌</v>
      </c>
      <c r="G2" s="21">
        <v>1</v>
      </c>
      <c r="H2" s="15" t="str">
        <f t="shared" ref="H2:H17" si="2">B2&amp;"_"&amp;C2&amp;"-"&amp;G2</f>
        <v>30017_1-1</v>
      </c>
      <c r="I2" s="4">
        <f ca="1">VLOOKUP($H2,OFFSET(floors!$A$1,0,0,COUNTA(floors!$A:$A),MATCH(I$1,floors!$1:$1,0)-MATCH($H$1,floors!$1:$1,0)+1),MATCH(I$1,floors!$1:$1,0)-MATCH($H$1,floors!$1:$1,0)+1,FALSE)</f>
        <v>35</v>
      </c>
      <c r="J2" s="4">
        <f ca="1">VLOOKUP($H2,OFFSET(floors!$A$1,0,0,COUNTA(floors!$A:$A),MATCH(J$1,floors!$1:$1,0)-MATCH($H$1,floors!$1:$1,0)+1),MATCH(J$1,floors!$1:$1,0)-MATCH($H$1,floors!$1:$1,0)+1,FALSE)</f>
        <v>35</v>
      </c>
      <c r="K2" s="38" t="s">
        <v>53</v>
      </c>
      <c r="L2" s="20">
        <v>57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チェン・リー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35</v>
      </c>
      <c r="S2" s="25">
        <v>1.8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3ターン攻撃力小UP</v>
      </c>
      <c r="W2" s="4">
        <f ca="1">VLOOKUP($L2,OFFSET([3]enemies!$A$1,0,0,COUNTA([3]enemies!$A:$A),MATCH(W$1,[3]enemies!$1:$1,0)-MATCH($L$1,[3]enemies!$1:$1,0)+1),MATCH(W$1,[3]enemies!$1:$1,0)-MATCH($L$1,[3]enemies!$1:$1,0)+1,FALSE)</f>
        <v>57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 t="shared" ref="AB2:AB17" si="3">L2</f>
        <v>57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t="shared" ref="AG2:AG17" ca="1" si="4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t="shared" ref="A3:A4" ca="1" si="5">B3&amp;"_"&amp;C3&amp;"-"&amp;G3&amp;"/"&amp;L3&amp;"&lt;lv"&amp;R3&amp;"&gt;s"&amp;AA3</f>
        <v>30017_1-1/59&lt;lv35&gt;s2</v>
      </c>
      <c r="B3" s="22">
        <v>30017</v>
      </c>
      <c r="C3" s="21">
        <v>1</v>
      </c>
      <c r="D3" s="2" t="str">
        <f t="shared" ref="D3:D4" si="6">B3&amp;"_"&amp;C3</f>
        <v>30017_1</v>
      </c>
      <c r="E3" s="4" t="str">
        <f ca="1">VLOOKUP($B3,OFFSET([2]quests!$A$1,0,0,COUNTA([2]quests!$A:$A),MATCH(E$1,[2]quests!$1:$1,0)-MATCH($B$1,[2]quests!$1:$1,0)+1),MATCH(E$1,[2]quests!$1:$1,0)-MATCH($B$1,[2]quests!$1:$1,0)+1,FALSE)</f>
        <v>狩人の挽歌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【超級】狩人の挽歌</v>
      </c>
      <c r="G3" s="21">
        <v>1</v>
      </c>
      <c r="H3" s="15" t="str">
        <f t="shared" ref="H3:H4" si="7">B3&amp;"_"&amp;C3&amp;"-"&amp;G3</f>
        <v>30017_1-1</v>
      </c>
      <c r="I3" s="4">
        <f ca="1">VLOOKUP($H3,OFFSET(floors!$A$1,0,0,COUNTA(floors!$A:$A),MATCH(I$1,floors!$1:$1,0)-MATCH($H$1,floors!$1:$1,0)+1),MATCH(I$1,floors!$1:$1,0)-MATCH($H$1,floors!$1:$1,0)+1,FALSE)</f>
        <v>35</v>
      </c>
      <c r="J3" s="4">
        <f ca="1">VLOOKUP($H3,OFFSET(floors!$A$1,0,0,COUNTA(floors!$A:$A),MATCH(J$1,floors!$1:$1,0)-MATCH($H$1,floors!$1:$1,0)+1),MATCH(J$1,floors!$1:$1,0)-MATCH($H$1,floors!$1:$1,0)+1,FALSE)</f>
        <v>35</v>
      </c>
      <c r="K3" s="38" t="s">
        <v>53</v>
      </c>
      <c r="L3" s="20">
        <v>59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35</v>
      </c>
      <c r="S3" s="25">
        <v>1.8</v>
      </c>
      <c r="T3" s="25">
        <v>1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3" s="4">
        <f ca="1">VLOOKUP($L3,OFFSET([3]enemies!$A$1,0,0,COUNTA([3]enemies!$A:$A),MATCH(W$1,[3]enemies!$1:$1,0)-MATCH($L$1,[3]enemies!$1:$1,0)+1),MATCH(W$1,[3]enemies!$1:$1,0)-MATCH($L$1,[3]enemies!$1:$1,0)+1,FALSE)</f>
        <v>59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ref="AB3:AB4" si="8">L3</f>
        <v>59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ref="AG3:AG4" ca="1" si="9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ca="1" si="5"/>
        <v>30017_1-1/61&lt;lv35&gt;s2</v>
      </c>
      <c r="B4" s="22">
        <v>30017</v>
      </c>
      <c r="C4" s="21">
        <v>1</v>
      </c>
      <c r="D4" s="2" t="str">
        <f t="shared" si="6"/>
        <v>30017_1</v>
      </c>
      <c r="E4" s="4" t="str">
        <f ca="1">VLOOKUP($B4,OFFSET([2]quests!$A$1,0,0,COUNTA([2]quests!$A:$A),MATCH(E$1,[2]quests!$1:$1,0)-MATCH($B$1,[2]quests!$1:$1,0)+1),MATCH(E$1,[2]quests!$1:$1,0)-MATCH($B$1,[2]quests!$1:$1,0)+1,FALSE)</f>
        <v>狩人の挽歌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【超級】狩人の挽歌</v>
      </c>
      <c r="G4" s="21">
        <v>1</v>
      </c>
      <c r="H4" s="15" t="str">
        <f t="shared" si="7"/>
        <v>30017_1-1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8" t="s">
        <v>53</v>
      </c>
      <c r="L4" s="20">
        <v>61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クロウ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5">
        <v>1.8</v>
      </c>
      <c r="T4" s="25">
        <v>1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4" s="4">
        <f ca="1">VLOOKUP($L4,OFFSET([3]enemies!$A$1,0,0,COUNTA([3]enemies!$A:$A),MATCH(W$1,[3]enemies!$1:$1,0)-MATCH($L$1,[3]enemies!$1:$1,0)+1),MATCH(W$1,[3]enemies!$1:$1,0)-MATCH($L$1,[3]enemies!$1:$1,0)+1,FALSE)</f>
        <v>61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8"/>
        <v>61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9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ref="A5:A8" ca="1" si="10">B5&amp;"_"&amp;C5&amp;"-"&amp;G5&amp;"/"&amp;L5&amp;"&lt;lv"&amp;R5&amp;"&gt;s"&amp;AA5</f>
        <v>30017_1-1/63&lt;lv35&gt;s2</v>
      </c>
      <c r="B5" s="22">
        <v>30017</v>
      </c>
      <c r="C5" s="21">
        <v>1</v>
      </c>
      <c r="D5" s="2" t="str">
        <f t="shared" ref="D5:D8" si="11">B5&amp;"_"&amp;C5</f>
        <v>30017_1</v>
      </c>
      <c r="E5" s="4" t="str">
        <f ca="1">VLOOKUP($B5,OFFSET([2]quests!$A$1,0,0,COUNTA([2]quests!$A:$A),MATCH(E$1,[2]quests!$1:$1,0)-MATCH($B$1,[2]quests!$1:$1,0)+1),MATCH(E$1,[2]quests!$1:$1,0)-MATCH($B$1,[2]quests!$1:$1,0)+1,FALSE)</f>
        <v>狩人の挽歌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【超級】狩人の挽歌</v>
      </c>
      <c r="G5" s="21">
        <v>1</v>
      </c>
      <c r="H5" s="15" t="str">
        <f t="shared" ref="H5:H8" si="12">B5&amp;"_"&amp;C5&amp;"-"&amp;G5</f>
        <v>30017_1-1</v>
      </c>
      <c r="I5" s="4">
        <f ca="1">VLOOKUP($H5,OFFSET(floors!$A$1,0,0,COUNTA(floors!$A:$A),MATCH(I$1,floors!$1:$1,0)-MATCH($H$1,floors!$1:$1,0)+1),MATCH(I$1,floors!$1:$1,0)-MATCH($H$1,floors!$1:$1,0)+1,FALSE)</f>
        <v>35</v>
      </c>
      <c r="J5" s="4">
        <f ca="1">VLOOKUP($H5,OFFSET(floors!$A$1,0,0,COUNTA(floors!$A:$A),MATCH(J$1,floors!$1:$1,0)-MATCH($H$1,floors!$1:$1,0)+1),MATCH(J$1,floors!$1:$1,0)-MATCH($H$1,floors!$1:$1,0)+1,FALSE)</f>
        <v>35</v>
      </c>
      <c r="K5" s="38" t="s">
        <v>53</v>
      </c>
      <c r="L5" s="20">
        <v>63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トニー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35</v>
      </c>
      <c r="S5" s="25">
        <v>1.8</v>
      </c>
      <c r="T5" s="25">
        <v>1</v>
      </c>
      <c r="U5" s="5">
        <v>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5" s="4">
        <f ca="1">VLOOKUP($L5,OFFSET([3]enemies!$A$1,0,0,COUNTA([3]enemies!$A:$A),MATCH(W$1,[3]enemies!$1:$1,0)-MATCH($L$1,[3]enemies!$1:$1,0)+1),MATCH(W$1,[3]enemies!$1:$1,0)-MATCH($L$1,[3]enemies!$1:$1,0)+1,FALSE)</f>
        <v>63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ref="AB5:AB8" si="13">L5</f>
        <v>63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ref="AG5:AG8" ca="1" si="14">AD5</f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ca="1" si="10"/>
        <v>30017_1-1/65&lt;lv35&gt;s2</v>
      </c>
      <c r="B6" s="22">
        <v>30017</v>
      </c>
      <c r="C6" s="21">
        <v>1</v>
      </c>
      <c r="D6" s="2" t="str">
        <f t="shared" si="11"/>
        <v>30017_1</v>
      </c>
      <c r="E6" s="4" t="str">
        <f ca="1">VLOOKUP($B6,OFFSET([2]quests!$A$1,0,0,COUNTA([2]quests!$A:$A),MATCH(E$1,[2]quests!$1:$1,0)-MATCH($B$1,[2]quests!$1:$1,0)+1),MATCH(E$1,[2]quests!$1:$1,0)-MATCH($B$1,[2]quests!$1:$1,0)+1,FALSE)</f>
        <v>狩人の挽歌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【超級】狩人の挽歌</v>
      </c>
      <c r="G6" s="21">
        <v>1</v>
      </c>
      <c r="H6" s="15" t="str">
        <f t="shared" si="12"/>
        <v>30017_1-1</v>
      </c>
      <c r="I6" s="4">
        <f ca="1">VLOOKUP($H6,OFFSET(floors!$A$1,0,0,COUNTA(floors!$A:$A),MATCH(I$1,floors!$1:$1,0)-MATCH($H$1,floors!$1:$1,0)+1),MATCH(I$1,floors!$1:$1,0)-MATCH($H$1,floors!$1:$1,0)+1,FALSE)</f>
        <v>35</v>
      </c>
      <c r="J6" s="4">
        <f ca="1">VLOOKUP($H6,OFFSET(floors!$A$1,0,0,COUNTA(floors!$A:$A),MATCH(J$1,floors!$1:$1,0)-MATCH($H$1,floors!$1:$1,0)+1),MATCH(J$1,floors!$1:$1,0)-MATCH($H$1,floors!$1:$1,0)+1,FALSE)</f>
        <v>35</v>
      </c>
      <c r="K6" s="38" t="s">
        <v>53</v>
      </c>
      <c r="L6" s="20">
        <v>65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ファイアフォックス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35</v>
      </c>
      <c r="S6" s="25">
        <v>1.8</v>
      </c>
      <c r="T6" s="25">
        <v>1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si="13"/>
        <v>65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14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ca="1" si="10"/>
        <v>30017_1-1/68&lt;lv35&gt;s4</v>
      </c>
      <c r="B7" s="22">
        <v>30017</v>
      </c>
      <c r="C7" s="21">
        <v>1</v>
      </c>
      <c r="D7" s="2" t="str">
        <f t="shared" si="11"/>
        <v>30017_1</v>
      </c>
      <c r="E7" s="4" t="str">
        <f ca="1">VLOOKUP($B7,OFFSET([2]quests!$A$1,0,0,COUNTA([2]quests!$A:$A),MATCH(E$1,[2]quests!$1:$1,0)-MATCH($B$1,[2]quests!$1:$1,0)+1),MATCH(E$1,[2]quests!$1:$1,0)-MATCH($B$1,[2]quests!$1:$1,0)+1,FALSE)</f>
        <v>狩人の挽歌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【超級】狩人の挽歌</v>
      </c>
      <c r="G7" s="21">
        <v>1</v>
      </c>
      <c r="H7" s="15" t="str">
        <f t="shared" si="12"/>
        <v>30017_1-1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8" t="s">
        <v>53</v>
      </c>
      <c r="L7" s="20">
        <v>68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ストール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35</v>
      </c>
      <c r="S7" s="25">
        <v>1.8</v>
      </c>
      <c r="T7" s="25">
        <v>1</v>
      </c>
      <c r="U7" s="5">
        <v>0</v>
      </c>
      <c r="V7" s="4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4</v>
      </c>
      <c r="AB7" s="24">
        <f t="shared" si="13"/>
        <v>68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ストール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1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ca="1" si="10"/>
        <v>30017_1-1/71&lt;lv35&gt;s4</v>
      </c>
      <c r="B8" s="22">
        <v>30017</v>
      </c>
      <c r="C8" s="21">
        <v>1</v>
      </c>
      <c r="D8" s="2" t="str">
        <f t="shared" si="11"/>
        <v>30017_1</v>
      </c>
      <c r="E8" s="4" t="str">
        <f ca="1">VLOOKUP($B8,OFFSET([2]quests!$A$1,0,0,COUNTA([2]quests!$A:$A),MATCH(E$1,[2]quests!$1:$1,0)-MATCH($B$1,[2]quests!$1:$1,0)+1),MATCH(E$1,[2]quests!$1:$1,0)-MATCH($B$1,[2]quests!$1:$1,0)+1,FALSE)</f>
        <v>狩人の挽歌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【超級】狩人の挽歌</v>
      </c>
      <c r="G8" s="21">
        <v>1</v>
      </c>
      <c r="H8" s="15" t="str">
        <f t="shared" si="12"/>
        <v>30017_1-1</v>
      </c>
      <c r="I8" s="4">
        <f ca="1">VLOOKUP($H8,OFFSET(floors!$A$1,0,0,COUNTA(floors!$A:$A),MATCH(I$1,floors!$1:$1,0)-MATCH($H$1,floors!$1:$1,0)+1),MATCH(I$1,floors!$1:$1,0)-MATCH($H$1,floors!$1:$1,0)+1,FALSE)</f>
        <v>35</v>
      </c>
      <c r="J8" s="4">
        <f ca="1">VLOOKUP($H8,OFFSET(floors!$A$1,0,0,COUNTA(floors!$A:$A),MATCH(J$1,floors!$1:$1,0)-MATCH($H$1,floors!$1:$1,0)+1),MATCH(J$1,floors!$1:$1,0)-MATCH($H$1,floors!$1:$1,0)+1,FALSE)</f>
        <v>35</v>
      </c>
      <c r="K8" s="38" t="s">
        <v>53</v>
      </c>
      <c r="L8" s="20">
        <v>71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ダックス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35</v>
      </c>
      <c r="S8" s="25">
        <v>1.8</v>
      </c>
      <c r="T8" s="25">
        <v>1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3ターン攻撃頻度が1ターンにUP</v>
      </c>
      <c r="W8" s="4">
        <f ca="1">VLOOKUP($L8,OFFSET([3]enemies!$A$1,0,0,COUNTA([3]enemies!$A:$A),MATCH(W$1,[3]enemies!$1:$1,0)-MATCH($L$1,[3]enemies!$1:$1,0)+1),MATCH(W$1,[3]enemies!$1:$1,0)-MATCH($L$1,[3]enemies!$1:$1,0)+1,FALSE)</f>
        <v>71</v>
      </c>
      <c r="X8" s="6">
        <v>0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4</v>
      </c>
      <c r="AB8" s="24">
        <f t="shared" si="13"/>
        <v>71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7">
        <v>1</v>
      </c>
      <c r="AG8" s="24">
        <f t="shared" ca="1" si="1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ref="A9" ca="1" si="15">B9&amp;"_"&amp;C9&amp;"-"&amp;G9&amp;"/"&amp;L9&amp;"&lt;lv"&amp;R9&amp;"&gt;s"&amp;AA9</f>
        <v>30017_1-1/74&lt;lv35&gt;s3</v>
      </c>
      <c r="B9" s="22">
        <v>30017</v>
      </c>
      <c r="C9" s="21">
        <v>1</v>
      </c>
      <c r="D9" s="2" t="str">
        <f t="shared" ref="D9" si="16">B9&amp;"_"&amp;C9</f>
        <v>30017_1</v>
      </c>
      <c r="E9" s="4" t="str">
        <f ca="1">VLOOKUP($B9,OFFSET([2]quests!$A$1,0,0,COUNTA([2]quests!$A:$A),MATCH(E$1,[2]quests!$1:$1,0)-MATCH($B$1,[2]quests!$1:$1,0)+1),MATCH(E$1,[2]quests!$1:$1,0)-MATCH($B$1,[2]quests!$1:$1,0)+1,FALSE)</f>
        <v>狩人の挽歌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【超級】狩人の挽歌</v>
      </c>
      <c r="G9" s="21">
        <v>1</v>
      </c>
      <c r="H9" s="15" t="str">
        <f t="shared" ref="H9" si="17">B9&amp;"_"&amp;C9&amp;"-"&amp;G9</f>
        <v>30017_1-1</v>
      </c>
      <c r="I9" s="4">
        <f ca="1">VLOOKUP($H9,OFFSET(floors!$A$1,0,0,COUNTA(floors!$A:$A),MATCH(I$1,floors!$1:$1,0)-MATCH($H$1,floors!$1:$1,0)+1),MATCH(I$1,floors!$1:$1,0)-MATCH($H$1,floors!$1:$1,0)+1,FALSE)</f>
        <v>35</v>
      </c>
      <c r="J9" s="4">
        <f ca="1">VLOOKUP($H9,OFFSET(floors!$A$1,0,0,COUNTA(floors!$A:$A),MATCH(J$1,floors!$1:$1,0)-MATCH($H$1,floors!$1:$1,0)+1),MATCH(J$1,floors!$1:$1,0)-MATCH($H$1,floors!$1:$1,0)+1,FALSE)</f>
        <v>35</v>
      </c>
      <c r="K9" s="38" t="s">
        <v>53</v>
      </c>
      <c r="L9" s="20">
        <v>74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サンダーバード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35</v>
      </c>
      <c r="S9" s="25">
        <v>1.8</v>
      </c>
      <c r="T9" s="25">
        <v>1</v>
      </c>
      <c r="U9" s="5">
        <v>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少しだけお邪魔パネル出現</v>
      </c>
      <c r="W9" s="4">
        <f ca="1">VLOOKUP($L9,OFFSET([3]enemies!$A$1,0,0,COUNTA([3]enemies!$A:$A),MATCH(W$1,[3]enemies!$1:$1,0)-MATCH($L$1,[3]enemies!$1:$1,0)+1),MATCH(W$1,[3]enemies!$1:$1,0)-MATCH($L$1,[3]enemies!$1:$1,0)+1,FALSE)</f>
        <v>74</v>
      </c>
      <c r="X9" s="6">
        <v>0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ref="AB9" si="18">L9</f>
        <v>74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" s="7">
        <v>1</v>
      </c>
      <c r="AG9" s="24">
        <f t="shared" ref="AG9" ca="1" si="19">AD9</f>
        <v>2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ref="A10" si="20">B10&amp;"_"&amp;C10&amp;"-"&amp;G10&amp;"/"&amp;L10&amp;"&lt;lv"&amp;R10&amp;"&gt;s"&amp;AA10</f>
        <v>30017_1-1/121&lt;lv35&gt;s3</v>
      </c>
      <c r="B10" s="22">
        <v>30017</v>
      </c>
      <c r="C10" s="21">
        <v>1</v>
      </c>
      <c r="D10" s="2" t="str">
        <f t="shared" ref="D10" si="21">B10&amp;"_"&amp;C10</f>
        <v>30017_1</v>
      </c>
      <c r="E10" s="4" t="str">
        <f ca="1">VLOOKUP($B10,OFFSET([2]quests!$A$1,0,0,COUNTA([2]quests!$A:$A),MATCH(E$1,[2]quests!$1:$1,0)-MATCH($B$1,[2]quests!$1:$1,0)+1),MATCH(E$1,[2]quests!$1:$1,0)-MATCH($B$1,[2]quests!$1:$1,0)+1,FALSE)</f>
        <v>狩人の挽歌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【超級】狩人の挽歌</v>
      </c>
      <c r="G10" s="21">
        <v>1</v>
      </c>
      <c r="H10" s="15" t="str">
        <f t="shared" ref="H10" si="22">B10&amp;"_"&amp;C10&amp;"-"&amp;G10</f>
        <v>30017_1-1</v>
      </c>
      <c r="I10" s="4">
        <f ca="1">VLOOKUP($H10,OFFSET(floors!$A$1,0,0,COUNTA(floors!$A:$A),MATCH(I$1,floors!$1:$1,0)-MATCH($H$1,floors!$1:$1,0)+1),MATCH(I$1,floors!$1:$1,0)-MATCH($H$1,floors!$1:$1,0)+1,FALSE)</f>
        <v>35</v>
      </c>
      <c r="J10" s="4">
        <f ca="1">VLOOKUP($H10,OFFSET(floors!$A$1,0,0,COUNTA(floors!$A:$A),MATCH(J$1,floors!$1:$1,0)-MATCH($H$1,floors!$1:$1,0)+1),MATCH(J$1,floors!$1:$1,0)-MATCH($H$1,floors!$1:$1,0)+1,FALSE)</f>
        <v>35</v>
      </c>
      <c r="K10" s="38" t="s">
        <v>53</v>
      </c>
      <c r="L10" s="20">
        <v>121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攻めの果実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35</v>
      </c>
      <c r="S10" s="25">
        <v>1.5</v>
      </c>
      <c r="T10" s="25">
        <v>2.8</v>
      </c>
      <c r="U10" s="5">
        <v>0</v>
      </c>
      <c r="V10" s="8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0" s="84">
        <v>1211</v>
      </c>
      <c r="X10" s="6">
        <v>0</v>
      </c>
      <c r="Y10" s="6">
        <v>25</v>
      </c>
      <c r="Z10" s="6">
        <v>1</v>
      </c>
      <c r="AA10" s="126">
        <v>3</v>
      </c>
      <c r="AB10" s="24">
        <f t="shared" ref="AB10" si="23">L10</f>
        <v>121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ref="AG10" ca="1" si="24">AD10</f>
        <v>3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  <row r="11" spans="1:40" ht="21" customHeight="1" x14ac:dyDescent="0.15">
      <c r="A11" s="16" t="str">
        <f t="shared" si="0"/>
        <v>30017_1-2/360&lt;lv35&gt;s1</v>
      </c>
      <c r="B11" s="22">
        <v>30017</v>
      </c>
      <c r="C11" s="21">
        <v>1</v>
      </c>
      <c r="D11" s="2" t="str">
        <f t="shared" si="1"/>
        <v>30017_1</v>
      </c>
      <c r="E11" s="4" t="str">
        <f ca="1">VLOOKUP($B11,OFFSET([2]quests!$A$1,0,0,COUNTA([2]quests!$A:$A),MATCH(E$1,[2]quests!$1:$1,0)-MATCH($B$1,[2]quests!$1:$1,0)+1),MATCH(E$1,[2]quests!$1:$1,0)-MATCH($B$1,[2]quests!$1:$1,0)+1,FALSE)</f>
        <v>狩人の挽歌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【超級】狩人の挽歌</v>
      </c>
      <c r="G11" s="85">
        <v>2</v>
      </c>
      <c r="H11" s="15" t="str">
        <f t="shared" si="2"/>
        <v>30017_1-2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185</v>
      </c>
      <c r="L11" s="85">
        <v>360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ガンテツ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35</v>
      </c>
      <c r="S11" s="25">
        <v>1.6</v>
      </c>
      <c r="T11" s="25">
        <v>1.2</v>
      </c>
      <c r="U11" s="5">
        <v>0</v>
      </c>
      <c r="V11" s="8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129">
        <v>30017001</v>
      </c>
      <c r="X11" s="6">
        <v>1</v>
      </c>
      <c r="Y11" s="6">
        <v>100</v>
      </c>
      <c r="Z11" s="6">
        <v>0</v>
      </c>
      <c r="AA11" s="126">
        <v>1</v>
      </c>
      <c r="AB11" s="24">
        <f t="shared" si="3"/>
        <v>360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7">
        <v>1</v>
      </c>
      <c r="AG11" s="24">
        <f t="shared" ca="1" si="4"/>
        <v>2</v>
      </c>
      <c r="AH11" s="8">
        <v>25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70">
        <v>1</v>
      </c>
    </row>
    <row r="12" spans="1:40" ht="21" customHeight="1" x14ac:dyDescent="0.15">
      <c r="A12" s="16" t="str">
        <f t="shared" ref="A12:A14" si="25">B12&amp;"_"&amp;C12&amp;"-"&amp;G12&amp;"/"&amp;L12&amp;"&lt;lv"&amp;R12&amp;"&gt;s"&amp;AA12</f>
        <v>30017_1-2/362&lt;lv35&gt;s3</v>
      </c>
      <c r="B12" s="22">
        <v>30017</v>
      </c>
      <c r="C12" s="21">
        <v>1</v>
      </c>
      <c r="D12" s="2" t="str">
        <f t="shared" ref="D12:D14" si="26">B12&amp;"_"&amp;C12</f>
        <v>30017_1</v>
      </c>
      <c r="E12" s="4" t="str">
        <f ca="1">VLOOKUP($B12,OFFSET([2]quests!$A$1,0,0,COUNTA([2]quests!$A:$A),MATCH(E$1,[2]quests!$1:$1,0)-MATCH($B$1,[2]quests!$1:$1,0)+1),MATCH(E$1,[2]quests!$1:$1,0)-MATCH($B$1,[2]quests!$1:$1,0)+1,FALSE)</f>
        <v>狩人の挽歌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【超級】狩人の挽歌</v>
      </c>
      <c r="G12" s="85">
        <v>2</v>
      </c>
      <c r="H12" s="15" t="str">
        <f t="shared" ref="H12:H14" si="27">B12&amp;"_"&amp;C12&amp;"-"&amp;G12</f>
        <v>30017_1-2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185</v>
      </c>
      <c r="L12" s="85">
        <v>362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ゆらら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1.8</v>
      </c>
      <c r="T12" s="25">
        <v>0.8</v>
      </c>
      <c r="U12" s="5">
        <v>0</v>
      </c>
      <c r="V12" s="8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84">
        <v>30017002</v>
      </c>
      <c r="X12" s="6">
        <v>1</v>
      </c>
      <c r="Y12" s="6">
        <v>100</v>
      </c>
      <c r="Z12" s="6">
        <v>0</v>
      </c>
      <c r="AA12" s="126">
        <v>3</v>
      </c>
      <c r="AB12" s="24">
        <f t="shared" ref="AB12:AB14" si="28">L12</f>
        <v>362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7">
        <v>1</v>
      </c>
      <c r="AG12" s="24">
        <f t="shared" ref="AG12:AG14" ca="1" si="29">AD12</f>
        <v>2</v>
      </c>
      <c r="AH12" s="8">
        <v>25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70">
        <v>1</v>
      </c>
    </row>
    <row r="13" spans="1:40" ht="21" customHeight="1" x14ac:dyDescent="0.15">
      <c r="A13" s="16" t="str">
        <f t="shared" si="25"/>
        <v>30017_1-2/364&lt;lv35&gt;s3</v>
      </c>
      <c r="B13" s="22">
        <v>30017</v>
      </c>
      <c r="C13" s="21">
        <v>1</v>
      </c>
      <c r="D13" s="2" t="str">
        <f t="shared" si="26"/>
        <v>30017_1</v>
      </c>
      <c r="E13" s="4" t="str">
        <f ca="1">VLOOKUP($B13,OFFSET([2]quests!$A$1,0,0,COUNTA([2]quests!$A:$A),MATCH(E$1,[2]quests!$1:$1,0)-MATCH($B$1,[2]quests!$1:$1,0)+1),MATCH(E$1,[2]quests!$1:$1,0)-MATCH($B$1,[2]quests!$1:$1,0)+1,FALSE)</f>
        <v>狩人の挽歌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【超級】狩人の挽歌</v>
      </c>
      <c r="G13" s="85">
        <v>2</v>
      </c>
      <c r="H13" s="15" t="str">
        <f t="shared" si="27"/>
        <v>30017_1-2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185</v>
      </c>
      <c r="L13" s="85">
        <v>364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ノエル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35</v>
      </c>
      <c r="S13" s="25">
        <v>1.6</v>
      </c>
      <c r="T13" s="25">
        <v>1</v>
      </c>
      <c r="U13" s="5">
        <v>0</v>
      </c>
      <c r="V13" s="8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84">
        <v>30017003</v>
      </c>
      <c r="X13" s="6">
        <v>1</v>
      </c>
      <c r="Y13" s="6">
        <v>100</v>
      </c>
      <c r="Z13" s="6">
        <v>0</v>
      </c>
      <c r="AA13" s="126">
        <v>3</v>
      </c>
      <c r="AB13" s="24">
        <f t="shared" si="28"/>
        <v>364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4">
        <f t="shared" ca="1" si="29"/>
        <v>2</v>
      </c>
      <c r="AH13" s="8">
        <v>25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70">
        <v>1</v>
      </c>
    </row>
    <row r="14" spans="1:40" ht="21" customHeight="1" x14ac:dyDescent="0.15">
      <c r="A14" s="16" t="str">
        <f t="shared" si="25"/>
        <v>30017_1-2/366&lt;lv35&gt;s4</v>
      </c>
      <c r="B14" s="22">
        <v>30017</v>
      </c>
      <c r="C14" s="21">
        <v>1</v>
      </c>
      <c r="D14" s="2" t="str">
        <f t="shared" si="26"/>
        <v>30017_1</v>
      </c>
      <c r="E14" s="4" t="str">
        <f ca="1">VLOOKUP($B14,OFFSET([2]quests!$A$1,0,0,COUNTA([2]quests!$A:$A),MATCH(E$1,[2]quests!$1:$1,0)-MATCH($B$1,[2]quests!$1:$1,0)+1),MATCH(E$1,[2]quests!$1:$1,0)-MATCH($B$1,[2]quests!$1:$1,0)+1,FALSE)</f>
        <v>狩人の挽歌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【超級】狩人の挽歌</v>
      </c>
      <c r="G14" s="85">
        <v>2</v>
      </c>
      <c r="H14" s="15" t="str">
        <f t="shared" si="27"/>
        <v>30017_1-2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185</v>
      </c>
      <c r="L14" s="85">
        <v>366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トト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35</v>
      </c>
      <c r="S14" s="25">
        <v>1.4</v>
      </c>
      <c r="T14" s="25">
        <v>0.8</v>
      </c>
      <c r="U14" s="5">
        <v>0</v>
      </c>
      <c r="V14" s="8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84">
        <v>30017004</v>
      </c>
      <c r="X14" s="6">
        <v>1</v>
      </c>
      <c r="Y14" s="6">
        <v>100</v>
      </c>
      <c r="Z14" s="6">
        <v>0</v>
      </c>
      <c r="AA14" s="126">
        <v>4</v>
      </c>
      <c r="AB14" s="24">
        <f t="shared" si="28"/>
        <v>366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トト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4">
        <f t="shared" ca="1" si="29"/>
        <v>2</v>
      </c>
      <c r="AH14" s="8">
        <v>25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70">
        <v>1</v>
      </c>
    </row>
    <row r="15" spans="1:40" ht="21" customHeight="1" x14ac:dyDescent="0.15">
      <c r="A15" s="16" t="str">
        <f t="shared" si="0"/>
        <v>30017_1-3/131&lt;lv50&gt;s1</v>
      </c>
      <c r="B15" s="22">
        <v>30017</v>
      </c>
      <c r="C15" s="21">
        <v>1</v>
      </c>
      <c r="D15" s="2" t="str">
        <f t="shared" si="1"/>
        <v>30017_1</v>
      </c>
      <c r="E15" s="4" t="str">
        <f ca="1">VLOOKUP($B15,OFFSET([2]quests!$A$1,0,0,COUNTA([2]quests!$A:$A),MATCH(E$1,[2]quests!$1:$1,0)-MATCH($B$1,[2]quests!$1:$1,0)+1),MATCH(E$1,[2]quests!$1:$1,0)-MATCH($B$1,[2]quests!$1:$1,0)+1,FALSE)</f>
        <v>狩人の挽歌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【超級】狩人の挽歌</v>
      </c>
      <c r="G15" s="21">
        <v>3</v>
      </c>
      <c r="H15" s="15" t="str">
        <f t="shared" si="2"/>
        <v>30017_1-3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185</v>
      </c>
      <c r="L15" s="20">
        <v>131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月下の人狼 ローレンス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50</v>
      </c>
      <c r="S15" s="25">
        <v>1.6</v>
      </c>
      <c r="T15" s="25">
        <v>0.4</v>
      </c>
      <c r="U15" s="5">
        <v>0</v>
      </c>
      <c r="V15" s="8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5" s="132">
        <v>30017005</v>
      </c>
      <c r="X15" s="6">
        <v>1</v>
      </c>
      <c r="Y15" s="6">
        <v>100</v>
      </c>
      <c r="Z15" s="6">
        <v>1</v>
      </c>
      <c r="AA15" s="126">
        <v>1</v>
      </c>
      <c r="AB15" s="24">
        <f t="shared" si="3"/>
        <v>131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5" s="7">
        <v>1</v>
      </c>
      <c r="AG15" s="24">
        <f t="shared" ca="1" si="4"/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70">
        <v>1</v>
      </c>
    </row>
    <row r="16" spans="1:40" ht="21" customHeight="1" x14ac:dyDescent="0.15">
      <c r="A16" s="16" t="str">
        <f t="shared" ref="A16" si="30">B16&amp;"_"&amp;C16&amp;"-"&amp;G16&amp;"/"&amp;L16&amp;"&lt;lv"&amp;R16&amp;"&gt;s"&amp;AA16</f>
        <v>30017_1-3/26&lt;lv50&gt;s3</v>
      </c>
      <c r="B16" s="22">
        <v>30017</v>
      </c>
      <c r="C16" s="21">
        <v>1</v>
      </c>
      <c r="D16" s="2" t="str">
        <f t="shared" ref="D16" si="31">B16&amp;"_"&amp;C16</f>
        <v>30017_1</v>
      </c>
      <c r="E16" s="4" t="str">
        <f ca="1">VLOOKUP($B16,OFFSET([2]quests!$A$1,0,0,COUNTA([2]quests!$A:$A),MATCH(E$1,[2]quests!$1:$1,0)-MATCH($B$1,[2]quests!$1:$1,0)+1),MATCH(E$1,[2]quests!$1:$1,0)-MATCH($B$1,[2]quests!$1:$1,0)+1,FALSE)</f>
        <v>狩人の挽歌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【超級】狩人の挽歌</v>
      </c>
      <c r="G16" s="21">
        <v>3</v>
      </c>
      <c r="H16" s="15" t="str">
        <f t="shared" ref="H16" si="32">B16&amp;"_"&amp;C16&amp;"-"&amp;G16</f>
        <v>30017_1-3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185</v>
      </c>
      <c r="L16" s="20">
        <v>26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勇犬 ハチ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50</v>
      </c>
      <c r="S16" s="25">
        <v>2.5</v>
      </c>
      <c r="T16" s="25">
        <v>0.4</v>
      </c>
      <c r="U16" s="5">
        <v>0</v>
      </c>
      <c r="V16" s="8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84">
        <v>30017007</v>
      </c>
      <c r="X16" s="6">
        <v>2</v>
      </c>
      <c r="Y16" s="6">
        <v>100</v>
      </c>
      <c r="Z16" s="6">
        <v>0</v>
      </c>
      <c r="AA16" s="126">
        <v>3</v>
      </c>
      <c r="AB16" s="24">
        <f t="shared" ref="AB16" si="33">L16</f>
        <v>26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ref="AG16" ca="1" si="34">AD16</f>
        <v>2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70">
        <v>1</v>
      </c>
    </row>
    <row r="17" spans="1:40" ht="21" customHeight="1" thickBot="1" x14ac:dyDescent="0.2">
      <c r="A17" s="71" t="str">
        <f t="shared" si="0"/>
        <v>30017_1-4/452&lt;lv60&gt;s2</v>
      </c>
      <c r="B17" s="72">
        <v>30017</v>
      </c>
      <c r="C17" s="73">
        <v>1</v>
      </c>
      <c r="D17" s="74" t="str">
        <f t="shared" si="1"/>
        <v>30017_1</v>
      </c>
      <c r="E17" s="75" t="str">
        <f ca="1">VLOOKUP($B17,OFFSET([2]quests!$A$1,0,0,COUNTA([2]quests!$A:$A),MATCH(E$1,[2]quests!$1:$1,0)-MATCH($B$1,[2]quests!$1:$1,0)+1),MATCH(E$1,[2]quests!$1:$1,0)-MATCH($B$1,[2]quests!$1:$1,0)+1,FALSE)</f>
        <v>狩人の挽歌</v>
      </c>
      <c r="F17" s="75" t="str">
        <f ca="1">VLOOKUP($D17,OFFSET([2]stages!$A$1,0,0,COUNTA([2]stages!$A:$A),MATCH(F$1,[2]stages!$2:$2,0)-MATCH($D$1,[2]stages!$2:$2,0)+1),MATCH(F$1,[2]stages!$2:$2,0)-MATCH($D$1,[2]stages!$2:$2,0)+1,FALSE)</f>
        <v>【超級】狩人の挽歌</v>
      </c>
      <c r="G17" s="86">
        <v>4</v>
      </c>
      <c r="H17" s="74" t="str">
        <f t="shared" si="2"/>
        <v>30017_1-4</v>
      </c>
      <c r="I17" s="75">
        <f ca="1">VLOOKUP($H17,OFFSET(floors!$A$1,0,0,COUNTA(floors!$A:$A),MATCH(I$1,floors!$1:$1,0)-MATCH($H$1,floors!$1:$1,0)+1),MATCH(I$1,floors!$1:$1,0)-MATCH($H$1,floors!$1:$1,0)+1,FALSE)</f>
        <v>60</v>
      </c>
      <c r="J17" s="75">
        <f ca="1">VLOOKUP($H17,OFFSET(floors!$A$1,0,0,COUNTA(floors!$A:$A),MATCH(J$1,floors!$1:$1,0)-MATCH($H$1,floors!$1:$1,0)+1),MATCH(J$1,floors!$1:$1,0)-MATCH($H$1,floors!$1:$1,0)+1,FALSE)</f>
        <v>60</v>
      </c>
      <c r="K17" s="76">
        <v>1</v>
      </c>
      <c r="L17" s="86">
        <v>452</v>
      </c>
      <c r="M17" s="77" t="str">
        <f ca="1">VLOOKUP($L17,OFFSET([3]enemies!$A$1,0,0,COUNTA([3]enemies!$A:$A),MATCH(M$1,[3]enemies!$1:$1,0)-MATCH($L$1,[3]enemies!$1:$1,0)+1),MATCH(M$1,[3]enemies!$1:$1,0)-MATCH($L$1,[3]enemies!$1:$1,0)+1,FALSE)</f>
        <v>猛狐 エゾ</v>
      </c>
      <c r="N17" s="7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7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7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77">
        <f ca="1">VLOOKUP($L17,OFFSET([3]enemies!$A$1,0,0,COUNTA([3]enemies!$A:$A),MATCH(Q$1,[3]enemies!$1:$1,0)-MATCH($L$1,[3]enemies!$1:$1,0)+1),MATCH(Q$1,[3]enemies!$1:$1,0)-MATCH($L$1,[3]enemies!$1:$1,0)+1,FALSE)</f>
        <v>30</v>
      </c>
      <c r="R17" s="87">
        <v>60</v>
      </c>
      <c r="S17" s="99">
        <v>1.8</v>
      </c>
      <c r="T17" s="78">
        <v>0.9</v>
      </c>
      <c r="U17" s="87">
        <v>0</v>
      </c>
      <c r="V17" s="88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133">
        <v>30017008</v>
      </c>
      <c r="X17" s="79">
        <v>1</v>
      </c>
      <c r="Y17" s="79">
        <v>100</v>
      </c>
      <c r="Z17" s="79">
        <v>1</v>
      </c>
      <c r="AA17" s="127">
        <v>2</v>
      </c>
      <c r="AB17" s="80">
        <f t="shared" si="3"/>
        <v>452</v>
      </c>
      <c r="AC17" s="7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猛狐 エゾ</v>
      </c>
      <c r="AD17" s="75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7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Drop2N</v>
      </c>
      <c r="AF17" s="81">
        <v>1</v>
      </c>
      <c r="AG17" s="80">
        <f t="shared" ca="1" si="4"/>
        <v>4</v>
      </c>
      <c r="AH17" s="82">
        <v>50</v>
      </c>
      <c r="AI17" s="81">
        <v>0</v>
      </c>
      <c r="AJ17" s="81">
        <v>0</v>
      </c>
      <c r="AK17" s="81">
        <v>0</v>
      </c>
      <c r="AL17" s="81">
        <v>0</v>
      </c>
      <c r="AM17" s="81">
        <v>1</v>
      </c>
      <c r="AN17" s="83">
        <v>1</v>
      </c>
    </row>
    <row r="18" spans="1:40" ht="21" customHeight="1" x14ac:dyDescent="0.15">
      <c r="A18" s="16" t="str">
        <f t="shared" ref="A18:A33" ca="1" si="35">B18&amp;"_"&amp;C18&amp;"-"&amp;G18&amp;"/"&amp;L18&amp;"&lt;lv"&amp;R18&amp;"&gt;s"&amp;AA18</f>
        <v>30017_2-1/57&lt;lv35&gt;s2</v>
      </c>
      <c r="B18" s="22">
        <v>30017</v>
      </c>
      <c r="C18" s="21">
        <v>2</v>
      </c>
      <c r="D18" s="2" t="str">
        <f t="shared" ref="D18:D33" si="36">B18&amp;"_"&amp;C18</f>
        <v>30017_2</v>
      </c>
      <c r="E18" s="4" t="str">
        <f ca="1">VLOOKUP($B18,OFFSET([2]quests!$A$1,0,0,COUNTA([2]quests!$A:$A),MATCH(E$1,[2]quests!$1:$1,0)-MATCH($B$1,[2]quests!$1:$1,0)+1),MATCH(E$1,[2]quests!$1:$1,0)-MATCH($B$1,[2]quests!$1:$1,0)+1,FALSE)</f>
        <v>狩人の挽歌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【超絶級】狩人の挽歌</v>
      </c>
      <c r="G18" s="21">
        <v>1</v>
      </c>
      <c r="H18" s="15" t="str">
        <f t="shared" ref="H18:H33" si="37">B18&amp;"_"&amp;C18&amp;"-"&amp;G18</f>
        <v>30017_2-1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8" t="s">
        <v>53</v>
      </c>
      <c r="L18" s="20">
        <v>57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チェン・リー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89">
        <v>35</v>
      </c>
      <c r="S18" s="107">
        <v>2</v>
      </c>
      <c r="T18" s="25">
        <v>1.3</v>
      </c>
      <c r="U18" s="89">
        <v>0</v>
      </c>
      <c r="V18" s="90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3ターン攻撃力小UP</v>
      </c>
      <c r="W18" s="4">
        <f ca="1">VLOOKUP($L18,OFFSET([3]enemies!$A$1,0,0,COUNTA([3]enemies!$A:$A),MATCH(W$1,[3]enemies!$1:$1,0)-MATCH($L$1,[3]enemies!$1:$1,0)+1),MATCH(W$1,[3]enemies!$1:$1,0)-MATCH($L$1,[3]enemies!$1:$1,0)+1,FALSE)</f>
        <v>57</v>
      </c>
      <c r="X18" s="6">
        <v>0</v>
      </c>
      <c r="Y18" s="6">
        <v>100</v>
      </c>
      <c r="Z18" s="6">
        <v>0</v>
      </c>
      <c r="AA18" s="128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ref="AB18:AB32" si="38">L18</f>
        <v>57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ref="AG18:AG33" ca="1" si="39">AD18</f>
        <v>2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70">
        <v>1</v>
      </c>
    </row>
    <row r="19" spans="1:40" ht="21" customHeight="1" x14ac:dyDescent="0.15">
      <c r="A19" s="16" t="str">
        <f t="shared" ca="1" si="35"/>
        <v>30017_2-1/59&lt;lv35&gt;s2</v>
      </c>
      <c r="B19" s="22">
        <v>30017</v>
      </c>
      <c r="C19" s="21">
        <v>2</v>
      </c>
      <c r="D19" s="2" t="str">
        <f t="shared" si="36"/>
        <v>30017_2</v>
      </c>
      <c r="E19" s="4" t="str">
        <f ca="1">VLOOKUP($B19,OFFSET([2]quests!$A$1,0,0,COUNTA([2]quests!$A:$A),MATCH(E$1,[2]quests!$1:$1,0)-MATCH($B$1,[2]quests!$1:$1,0)+1),MATCH(E$1,[2]quests!$1:$1,0)-MATCH($B$1,[2]quests!$1:$1,0)+1,FALSE)</f>
        <v>狩人の挽歌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【超絶級】狩人の挽歌</v>
      </c>
      <c r="G19" s="21">
        <v>1</v>
      </c>
      <c r="H19" s="15" t="str">
        <f t="shared" si="37"/>
        <v>30017_2-1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8" t="s">
        <v>53</v>
      </c>
      <c r="L19" s="20">
        <v>59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マーチ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35</v>
      </c>
      <c r="S19" s="25">
        <v>2</v>
      </c>
      <c r="T19" s="25">
        <v>1.3</v>
      </c>
      <c r="U19" s="5">
        <v>0</v>
      </c>
      <c r="V19" s="4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9" s="4">
        <f ca="1">VLOOKUP($L19,OFFSET([3]enemies!$A$1,0,0,COUNTA([3]enemies!$A:$A),MATCH(W$1,[3]enemies!$1:$1,0)-MATCH($L$1,[3]enemies!$1:$1,0)+1),MATCH(W$1,[3]enemies!$1:$1,0)-MATCH($L$1,[3]enemies!$1:$1,0)+1,FALSE)</f>
        <v>59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f t="shared" si="38"/>
        <v>59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7">
        <v>1</v>
      </c>
      <c r="AG19" s="24">
        <f t="shared" ca="1" si="39"/>
        <v>2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70">
        <v>1</v>
      </c>
    </row>
    <row r="20" spans="1:40" ht="21" customHeight="1" x14ac:dyDescent="0.15">
      <c r="A20" s="16" t="str">
        <f t="shared" ca="1" si="35"/>
        <v>30017_2-1/61&lt;lv35&gt;s2</v>
      </c>
      <c r="B20" s="22">
        <v>30017</v>
      </c>
      <c r="C20" s="21">
        <v>2</v>
      </c>
      <c r="D20" s="2" t="str">
        <f t="shared" si="36"/>
        <v>30017_2</v>
      </c>
      <c r="E20" s="4" t="str">
        <f ca="1">VLOOKUP($B20,OFFSET([2]quests!$A$1,0,0,COUNTA([2]quests!$A:$A),MATCH(E$1,[2]quests!$1:$1,0)-MATCH($B$1,[2]quests!$1:$1,0)+1),MATCH(E$1,[2]quests!$1:$1,0)-MATCH($B$1,[2]quests!$1:$1,0)+1,FALSE)</f>
        <v>狩人の挽歌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【超絶級】狩人の挽歌</v>
      </c>
      <c r="G20" s="21">
        <v>1</v>
      </c>
      <c r="H20" s="15" t="str">
        <f t="shared" si="37"/>
        <v>30017_2-1</v>
      </c>
      <c r="I20" s="4">
        <f ca="1">VLOOKUP($H20,OFFSET(floors!$A$1,0,0,COUNTA(floors!$A:$A),MATCH(I$1,floors!$1:$1,0)-MATCH($H$1,floors!$1:$1,0)+1),MATCH(I$1,floors!$1:$1,0)-MATCH($H$1,floors!$1:$1,0)+1,FALSE)</f>
        <v>50</v>
      </c>
      <c r="J20" s="4">
        <f ca="1">VLOOKUP($H20,OFFSET(floors!$A$1,0,0,COUNTA(floors!$A:$A),MATCH(J$1,floors!$1:$1,0)-MATCH($H$1,floors!$1:$1,0)+1),MATCH(J$1,floors!$1:$1,0)-MATCH($H$1,floors!$1:$1,0)+1,FALSE)</f>
        <v>50</v>
      </c>
      <c r="K20" s="38" t="s">
        <v>53</v>
      </c>
      <c r="L20" s="20">
        <v>61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クロウ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35</v>
      </c>
      <c r="S20" s="25">
        <v>2</v>
      </c>
      <c r="T20" s="25">
        <v>1.3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0" s="4">
        <f ca="1">VLOOKUP($L20,OFFSET([3]enemies!$A$1,0,0,COUNTA([3]enemies!$A:$A),MATCH(W$1,[3]enemies!$1:$1,0)-MATCH($L$1,[3]enemies!$1:$1,0)+1),MATCH(W$1,[3]enemies!$1:$1,0)-MATCH($L$1,[3]enemies!$1:$1,0)+1,FALSE)</f>
        <v>61</v>
      </c>
      <c r="X20" s="6">
        <v>0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f t="shared" si="38"/>
        <v>61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7">
        <v>1</v>
      </c>
      <c r="AG20" s="24">
        <f t="shared" ca="1" si="39"/>
        <v>2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70">
        <v>1</v>
      </c>
    </row>
    <row r="21" spans="1:40" ht="21" customHeight="1" x14ac:dyDescent="0.15">
      <c r="A21" s="16" t="str">
        <f t="shared" ca="1" si="35"/>
        <v>30017_2-1/63&lt;lv35&gt;s2</v>
      </c>
      <c r="B21" s="22">
        <v>30017</v>
      </c>
      <c r="C21" s="21">
        <v>2</v>
      </c>
      <c r="D21" s="2" t="str">
        <f t="shared" si="36"/>
        <v>30017_2</v>
      </c>
      <c r="E21" s="4" t="str">
        <f ca="1">VLOOKUP($B21,OFFSET([2]quests!$A$1,0,0,COUNTA([2]quests!$A:$A),MATCH(E$1,[2]quests!$1:$1,0)-MATCH($B$1,[2]quests!$1:$1,0)+1),MATCH(E$1,[2]quests!$1:$1,0)-MATCH($B$1,[2]quests!$1:$1,0)+1,FALSE)</f>
        <v>狩人の挽歌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【超絶級】狩人の挽歌</v>
      </c>
      <c r="G21" s="21">
        <v>1</v>
      </c>
      <c r="H21" s="15" t="str">
        <f t="shared" si="37"/>
        <v>30017_2-1</v>
      </c>
      <c r="I21" s="4">
        <f ca="1">VLOOKUP($H21,OFFSET(floors!$A$1,0,0,COUNTA(floors!$A:$A),MATCH(I$1,floors!$1:$1,0)-MATCH($H$1,floors!$1:$1,0)+1),MATCH(I$1,floors!$1:$1,0)-MATCH($H$1,floors!$1:$1,0)+1,FALSE)</f>
        <v>50</v>
      </c>
      <c r="J21" s="4">
        <f ca="1">VLOOKUP($H21,OFFSET(floors!$A$1,0,0,COUNTA(floors!$A:$A),MATCH(J$1,floors!$1:$1,0)-MATCH($H$1,floors!$1:$1,0)+1),MATCH(J$1,floors!$1:$1,0)-MATCH($H$1,floors!$1:$1,0)+1,FALSE)</f>
        <v>50</v>
      </c>
      <c r="K21" s="38" t="s">
        <v>53</v>
      </c>
      <c r="L21" s="20">
        <v>63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トニー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35</v>
      </c>
      <c r="S21" s="25">
        <v>2</v>
      </c>
      <c r="T21" s="25">
        <v>1.3</v>
      </c>
      <c r="U21" s="5">
        <v>0</v>
      </c>
      <c r="V21" s="4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21" s="4">
        <f ca="1">VLOOKUP($L21,OFFSET([3]enemies!$A$1,0,0,COUNTA([3]enemies!$A:$A),MATCH(W$1,[3]enemies!$1:$1,0)-MATCH($L$1,[3]enemies!$1:$1,0)+1),MATCH(W$1,[3]enemies!$1:$1,0)-MATCH($L$1,[3]enemies!$1:$1,0)+1,FALSE)</f>
        <v>63</v>
      </c>
      <c r="X21" s="6">
        <v>0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2</v>
      </c>
      <c r="AB21" s="24">
        <f t="shared" si="38"/>
        <v>63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39"/>
        <v>2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70">
        <v>1</v>
      </c>
    </row>
    <row r="22" spans="1:40" ht="21" customHeight="1" x14ac:dyDescent="0.15">
      <c r="A22" s="16" t="str">
        <f t="shared" ca="1" si="35"/>
        <v>30017_2-1/65&lt;lv35&gt;s2</v>
      </c>
      <c r="B22" s="22">
        <v>30017</v>
      </c>
      <c r="C22" s="21">
        <v>2</v>
      </c>
      <c r="D22" s="2" t="str">
        <f t="shared" si="36"/>
        <v>30017_2</v>
      </c>
      <c r="E22" s="4" t="str">
        <f ca="1">VLOOKUP($B22,OFFSET([2]quests!$A$1,0,0,COUNTA([2]quests!$A:$A),MATCH(E$1,[2]quests!$1:$1,0)-MATCH($B$1,[2]quests!$1:$1,0)+1),MATCH(E$1,[2]quests!$1:$1,0)-MATCH($B$1,[2]quests!$1:$1,0)+1,FALSE)</f>
        <v>狩人の挽歌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【超絶級】狩人の挽歌</v>
      </c>
      <c r="G22" s="21">
        <v>1</v>
      </c>
      <c r="H22" s="15" t="str">
        <f t="shared" si="37"/>
        <v>30017_2-1</v>
      </c>
      <c r="I22" s="4">
        <f ca="1">VLOOKUP($H22,OFFSET(floors!$A$1,0,0,COUNTA(floors!$A:$A),MATCH(I$1,floors!$1:$1,0)-MATCH($H$1,floors!$1:$1,0)+1),MATCH(I$1,floors!$1:$1,0)-MATCH($H$1,floors!$1:$1,0)+1,FALSE)</f>
        <v>50</v>
      </c>
      <c r="J22" s="4">
        <f ca="1">VLOOKUP($H22,OFFSET(floors!$A$1,0,0,COUNTA(floors!$A:$A),MATCH(J$1,floors!$1:$1,0)-MATCH($H$1,floors!$1:$1,0)+1),MATCH(J$1,floors!$1:$1,0)-MATCH($H$1,floors!$1:$1,0)+1,FALSE)</f>
        <v>50</v>
      </c>
      <c r="K22" s="38" t="s">
        <v>53</v>
      </c>
      <c r="L22" s="20">
        <v>65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ファイアフォックス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35</v>
      </c>
      <c r="S22" s="25">
        <v>2</v>
      </c>
      <c r="T22" s="25">
        <v>1.3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 t="shared" si="38"/>
        <v>65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2" s="7">
        <v>1</v>
      </c>
      <c r="AG22" s="24">
        <f t="shared" ca="1" si="39"/>
        <v>2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70">
        <v>1</v>
      </c>
    </row>
    <row r="23" spans="1:40" ht="21" customHeight="1" x14ac:dyDescent="0.15">
      <c r="A23" s="16" t="str">
        <f t="shared" ca="1" si="35"/>
        <v>30017_2-1/68&lt;lv35&gt;s4</v>
      </c>
      <c r="B23" s="22">
        <v>30017</v>
      </c>
      <c r="C23" s="21">
        <v>2</v>
      </c>
      <c r="D23" s="2" t="str">
        <f t="shared" si="36"/>
        <v>30017_2</v>
      </c>
      <c r="E23" s="4" t="str">
        <f ca="1">VLOOKUP($B23,OFFSET([2]quests!$A$1,0,0,COUNTA([2]quests!$A:$A),MATCH(E$1,[2]quests!$1:$1,0)-MATCH($B$1,[2]quests!$1:$1,0)+1),MATCH(E$1,[2]quests!$1:$1,0)-MATCH($B$1,[2]quests!$1:$1,0)+1,FALSE)</f>
        <v>狩人の挽歌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【超絶級】狩人の挽歌</v>
      </c>
      <c r="G23" s="21">
        <v>1</v>
      </c>
      <c r="H23" s="15" t="str">
        <f t="shared" si="37"/>
        <v>30017_2-1</v>
      </c>
      <c r="I23" s="4">
        <f ca="1">VLOOKUP($H23,OFFSET(floors!$A$1,0,0,COUNTA(floors!$A:$A),MATCH(I$1,floors!$1:$1,0)-MATCH($H$1,floors!$1:$1,0)+1),MATCH(I$1,floors!$1:$1,0)-MATCH($H$1,floors!$1:$1,0)+1,FALSE)</f>
        <v>50</v>
      </c>
      <c r="J23" s="4">
        <f ca="1">VLOOKUP($H23,OFFSET(floors!$A$1,0,0,COUNTA(floors!$A:$A),MATCH(J$1,floors!$1:$1,0)-MATCH($H$1,floors!$1:$1,0)+1),MATCH(J$1,floors!$1:$1,0)-MATCH($H$1,floors!$1:$1,0)+1,FALSE)</f>
        <v>50</v>
      </c>
      <c r="K23" s="38" t="s">
        <v>53</v>
      </c>
      <c r="L23" s="20">
        <v>68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ストール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Drop1S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35</v>
      </c>
      <c r="S23" s="25">
        <v>2</v>
      </c>
      <c r="T23" s="25">
        <v>1.3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4</v>
      </c>
      <c r="AB23" s="24">
        <f t="shared" si="38"/>
        <v>68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ストール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Drop1S</v>
      </c>
      <c r="AF23" s="7">
        <v>1</v>
      </c>
      <c r="AG23" s="24">
        <f t="shared" ca="1" si="39"/>
        <v>2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70">
        <v>1</v>
      </c>
    </row>
    <row r="24" spans="1:40" ht="21" customHeight="1" x14ac:dyDescent="0.15">
      <c r="A24" s="16" t="str">
        <f t="shared" ca="1" si="35"/>
        <v>30017_2-1/71&lt;lv35&gt;s4</v>
      </c>
      <c r="B24" s="22">
        <v>30017</v>
      </c>
      <c r="C24" s="21">
        <v>2</v>
      </c>
      <c r="D24" s="2" t="str">
        <f t="shared" si="36"/>
        <v>30017_2</v>
      </c>
      <c r="E24" s="4" t="str">
        <f ca="1">VLOOKUP($B24,OFFSET([2]quests!$A$1,0,0,COUNTA([2]quests!$A:$A),MATCH(E$1,[2]quests!$1:$1,0)-MATCH($B$1,[2]quests!$1:$1,0)+1),MATCH(E$1,[2]quests!$1:$1,0)-MATCH($B$1,[2]quests!$1:$1,0)+1,FALSE)</f>
        <v>狩人の挽歌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【超絶級】狩人の挽歌</v>
      </c>
      <c r="G24" s="21">
        <v>1</v>
      </c>
      <c r="H24" s="15" t="str">
        <f t="shared" si="37"/>
        <v>30017_2-1</v>
      </c>
      <c r="I24" s="4">
        <f ca="1">VLOOKUP($H24,OFFSET(floors!$A$1,0,0,COUNTA(floors!$A:$A),MATCH(I$1,floors!$1:$1,0)-MATCH($H$1,floors!$1:$1,0)+1),MATCH(I$1,floors!$1:$1,0)-MATCH($H$1,floors!$1:$1,0)+1,FALSE)</f>
        <v>50</v>
      </c>
      <c r="J24" s="4">
        <f ca="1">VLOOKUP($H24,OFFSET(floors!$A$1,0,0,COUNTA(floors!$A:$A),MATCH(J$1,floors!$1:$1,0)-MATCH($H$1,floors!$1:$1,0)+1),MATCH(J$1,floors!$1:$1,0)-MATCH($H$1,floors!$1:$1,0)+1,FALSE)</f>
        <v>50</v>
      </c>
      <c r="K24" s="38" t="s">
        <v>53</v>
      </c>
      <c r="L24" s="20">
        <v>71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ダックス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35</v>
      </c>
      <c r="S24" s="25">
        <v>2</v>
      </c>
      <c r="T24" s="25">
        <v>1.3</v>
      </c>
      <c r="U24" s="5">
        <v>0</v>
      </c>
      <c r="V24" s="4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3ターン攻撃頻度が1ターンにUP</v>
      </c>
      <c r="W24" s="4">
        <f ca="1">VLOOKUP($L24,OFFSET([3]enemies!$A$1,0,0,COUNTA([3]enemies!$A:$A),MATCH(W$1,[3]enemies!$1:$1,0)-MATCH($L$1,[3]enemies!$1:$1,0)+1),MATCH(W$1,[3]enemies!$1:$1,0)-MATCH($L$1,[3]enemies!$1:$1,0)+1,FALSE)</f>
        <v>71</v>
      </c>
      <c r="X24" s="6">
        <v>1</v>
      </c>
      <c r="Y24" s="6">
        <v>100</v>
      </c>
      <c r="Z24" s="6">
        <v>1</v>
      </c>
      <c r="AA24" s="17">
        <f ca="1">VLOOKUP($L24,OFFSET([3]enemies!$A$1,0,0,COUNTA([3]enemies!$A:$A),MATCH(AA$1,[3]enemies!$1:$1,0)-MATCH($L$1,[3]enemies!$1:$1,0)+1),MATCH(AA$1,[3]enemies!$1:$1,0)-MATCH($L$1,[3]enemies!$1:$1,0)+1,FALSE)</f>
        <v>4</v>
      </c>
      <c r="AB24" s="24">
        <f t="shared" si="38"/>
        <v>71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7">
        <v>1</v>
      </c>
      <c r="AG24" s="24">
        <f t="shared" ca="1" si="39"/>
        <v>2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70">
        <v>1</v>
      </c>
    </row>
    <row r="25" spans="1:40" ht="21" customHeight="1" x14ac:dyDescent="0.15">
      <c r="A25" s="16" t="str">
        <f t="shared" ca="1" si="35"/>
        <v>30017_2-1/74&lt;lv35&gt;s3</v>
      </c>
      <c r="B25" s="22">
        <v>30017</v>
      </c>
      <c r="C25" s="21">
        <v>2</v>
      </c>
      <c r="D25" s="2" t="str">
        <f t="shared" si="36"/>
        <v>30017_2</v>
      </c>
      <c r="E25" s="4" t="str">
        <f ca="1">VLOOKUP($B25,OFFSET([2]quests!$A$1,0,0,COUNTA([2]quests!$A:$A),MATCH(E$1,[2]quests!$1:$1,0)-MATCH($B$1,[2]quests!$1:$1,0)+1),MATCH(E$1,[2]quests!$1:$1,0)-MATCH($B$1,[2]quests!$1:$1,0)+1,FALSE)</f>
        <v>狩人の挽歌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【超絶級】狩人の挽歌</v>
      </c>
      <c r="G25" s="21">
        <v>1</v>
      </c>
      <c r="H25" s="15" t="str">
        <f t="shared" si="37"/>
        <v>30017_2-1</v>
      </c>
      <c r="I25" s="4">
        <f ca="1">VLOOKUP($H25,OFFSET(floors!$A$1,0,0,COUNTA(floors!$A:$A),MATCH(I$1,floors!$1:$1,0)-MATCH($H$1,floors!$1:$1,0)+1),MATCH(I$1,floors!$1:$1,0)-MATCH($H$1,floors!$1:$1,0)+1,FALSE)</f>
        <v>50</v>
      </c>
      <c r="J25" s="4">
        <f ca="1">VLOOKUP($H25,OFFSET(floors!$A$1,0,0,COUNTA(floors!$A:$A),MATCH(J$1,floors!$1:$1,0)-MATCH($H$1,floors!$1:$1,0)+1),MATCH(J$1,floors!$1:$1,0)-MATCH($H$1,floors!$1:$1,0)+1,FALSE)</f>
        <v>50</v>
      </c>
      <c r="K25" s="38" t="s">
        <v>53</v>
      </c>
      <c r="L25" s="20">
        <v>74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サンダーバード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Drop1S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35</v>
      </c>
      <c r="S25" s="25">
        <v>2</v>
      </c>
      <c r="T25" s="25">
        <v>1.3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少しだけお邪魔パネル出現</v>
      </c>
      <c r="W25" s="4">
        <f ca="1">VLOOKUP($L25,OFFSET([3]enemies!$A$1,0,0,COUNTA([3]enemies!$A:$A),MATCH(W$1,[3]enemies!$1:$1,0)-MATCH($L$1,[3]enemies!$1:$1,0)+1),MATCH(W$1,[3]enemies!$1:$1,0)-MATCH($L$1,[3]enemies!$1:$1,0)+1,FALSE)</f>
        <v>74</v>
      </c>
      <c r="X25" s="6">
        <v>0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f t="shared" si="38"/>
        <v>74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25" s="7">
        <v>1</v>
      </c>
      <c r="AG25" s="24">
        <f t="shared" ca="1" si="39"/>
        <v>2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70">
        <v>1</v>
      </c>
    </row>
    <row r="26" spans="1:40" ht="21" customHeight="1" x14ac:dyDescent="0.15">
      <c r="A26" s="16" t="str">
        <f t="shared" si="35"/>
        <v>30017_2-1/121&lt;lv35&gt;s3</v>
      </c>
      <c r="B26" s="22">
        <v>30017</v>
      </c>
      <c r="C26" s="21">
        <v>2</v>
      </c>
      <c r="D26" s="2" t="str">
        <f t="shared" si="36"/>
        <v>30017_2</v>
      </c>
      <c r="E26" s="4" t="str">
        <f ca="1">VLOOKUP($B26,OFFSET([2]quests!$A$1,0,0,COUNTA([2]quests!$A:$A),MATCH(E$1,[2]quests!$1:$1,0)-MATCH($B$1,[2]quests!$1:$1,0)+1),MATCH(E$1,[2]quests!$1:$1,0)-MATCH($B$1,[2]quests!$1:$1,0)+1,FALSE)</f>
        <v>狩人の挽歌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【超絶級】狩人の挽歌</v>
      </c>
      <c r="G26" s="21">
        <v>1</v>
      </c>
      <c r="H26" s="15" t="str">
        <f t="shared" si="37"/>
        <v>30017_2-1</v>
      </c>
      <c r="I26" s="4">
        <f ca="1">VLOOKUP($H26,OFFSET(floors!$A$1,0,0,COUNTA(floors!$A:$A),MATCH(I$1,floors!$1:$1,0)-MATCH($H$1,floors!$1:$1,0)+1),MATCH(I$1,floors!$1:$1,0)-MATCH($H$1,floors!$1:$1,0)+1,FALSE)</f>
        <v>50</v>
      </c>
      <c r="J26" s="4">
        <f ca="1">VLOOKUP($H26,OFFSET(floors!$A$1,0,0,COUNTA(floors!$A:$A),MATCH(J$1,floors!$1:$1,0)-MATCH($H$1,floors!$1:$1,0)+1),MATCH(J$1,floors!$1:$1,0)-MATCH($H$1,floors!$1:$1,0)+1,FALSE)</f>
        <v>50</v>
      </c>
      <c r="K26" s="38" t="s">
        <v>53</v>
      </c>
      <c r="L26" s="20">
        <v>121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攻めの果実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35</v>
      </c>
      <c r="S26" s="25">
        <v>1.8</v>
      </c>
      <c r="T26" s="25">
        <v>3.6</v>
      </c>
      <c r="U26" s="5">
        <v>0</v>
      </c>
      <c r="V26" s="84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26" s="84">
        <v>1211</v>
      </c>
      <c r="X26" s="6">
        <v>0</v>
      </c>
      <c r="Y26" s="6">
        <v>50</v>
      </c>
      <c r="Z26" s="6">
        <v>1</v>
      </c>
      <c r="AA26" s="126">
        <v>3</v>
      </c>
      <c r="AB26" s="24">
        <f t="shared" si="38"/>
        <v>121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7">
        <v>1</v>
      </c>
      <c r="AG26" s="24">
        <f t="shared" ca="1" si="39"/>
        <v>3</v>
      </c>
      <c r="AH26" s="8">
        <v>100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70">
        <v>1</v>
      </c>
    </row>
    <row r="27" spans="1:40" ht="21" customHeight="1" x14ac:dyDescent="0.15">
      <c r="A27" s="16" t="str">
        <f t="shared" si="35"/>
        <v>30017_2-2/360&lt;lv35&gt;s1</v>
      </c>
      <c r="B27" s="22">
        <v>30017</v>
      </c>
      <c r="C27" s="21">
        <v>2</v>
      </c>
      <c r="D27" s="2" t="str">
        <f t="shared" si="36"/>
        <v>30017_2</v>
      </c>
      <c r="E27" s="4" t="str">
        <f ca="1">VLOOKUP($B27,OFFSET([2]quests!$A$1,0,0,COUNTA([2]quests!$A:$A),MATCH(E$1,[2]quests!$1:$1,0)-MATCH($B$1,[2]quests!$1:$1,0)+1),MATCH(E$1,[2]quests!$1:$1,0)-MATCH($B$1,[2]quests!$1:$1,0)+1,FALSE)</f>
        <v>狩人の挽歌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【超絶級】狩人の挽歌</v>
      </c>
      <c r="G27" s="85">
        <v>2</v>
      </c>
      <c r="H27" s="15" t="str">
        <f t="shared" si="37"/>
        <v>30017_2-2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185</v>
      </c>
      <c r="L27" s="85">
        <v>360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ガンテツ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35</v>
      </c>
      <c r="S27" s="25">
        <v>1.8</v>
      </c>
      <c r="T27" s="25">
        <v>1.2</v>
      </c>
      <c r="U27" s="5">
        <v>0</v>
      </c>
      <c r="V27" s="84" t="e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7" s="129">
        <v>30017001</v>
      </c>
      <c r="X27" s="6">
        <v>1</v>
      </c>
      <c r="Y27" s="6">
        <v>100</v>
      </c>
      <c r="Z27" s="6">
        <v>0</v>
      </c>
      <c r="AA27" s="126">
        <v>1</v>
      </c>
      <c r="AB27" s="24">
        <f t="shared" si="38"/>
        <v>360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7">
        <v>1</v>
      </c>
      <c r="AG27" s="24">
        <f t="shared" ca="1" si="39"/>
        <v>2</v>
      </c>
      <c r="AH27" s="8">
        <v>25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70">
        <v>1</v>
      </c>
    </row>
    <row r="28" spans="1:40" ht="21" customHeight="1" x14ac:dyDescent="0.15">
      <c r="A28" s="16" t="str">
        <f t="shared" si="35"/>
        <v>30017_2-2/362&lt;lv35&gt;s3</v>
      </c>
      <c r="B28" s="22">
        <v>30017</v>
      </c>
      <c r="C28" s="21">
        <v>2</v>
      </c>
      <c r="D28" s="2" t="str">
        <f t="shared" si="36"/>
        <v>30017_2</v>
      </c>
      <c r="E28" s="4" t="str">
        <f ca="1">VLOOKUP($B28,OFFSET([2]quests!$A$1,0,0,COUNTA([2]quests!$A:$A),MATCH(E$1,[2]quests!$1:$1,0)-MATCH($B$1,[2]quests!$1:$1,0)+1),MATCH(E$1,[2]quests!$1:$1,0)-MATCH($B$1,[2]quests!$1:$1,0)+1,FALSE)</f>
        <v>狩人の挽歌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【超絶級】狩人の挽歌</v>
      </c>
      <c r="G28" s="85">
        <v>2</v>
      </c>
      <c r="H28" s="15" t="str">
        <f t="shared" si="37"/>
        <v>30017_2-2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185</v>
      </c>
      <c r="L28" s="85">
        <v>362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ゆらら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35</v>
      </c>
      <c r="S28" s="25">
        <v>2</v>
      </c>
      <c r="T28" s="25">
        <v>0.8</v>
      </c>
      <c r="U28" s="5">
        <v>0</v>
      </c>
      <c r="V28" s="84" t="e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8" s="84">
        <v>30017002</v>
      </c>
      <c r="X28" s="6">
        <v>1</v>
      </c>
      <c r="Y28" s="6">
        <v>100</v>
      </c>
      <c r="Z28" s="6">
        <v>0</v>
      </c>
      <c r="AA28" s="126">
        <v>3</v>
      </c>
      <c r="AB28" s="24">
        <f t="shared" si="38"/>
        <v>362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7">
        <v>1</v>
      </c>
      <c r="AG28" s="24">
        <f t="shared" ca="1" si="39"/>
        <v>2</v>
      </c>
      <c r="AH28" s="8">
        <v>25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70">
        <v>1</v>
      </c>
    </row>
    <row r="29" spans="1:40" ht="21" customHeight="1" x14ac:dyDescent="0.15">
      <c r="A29" s="16" t="str">
        <f t="shared" si="35"/>
        <v>30017_2-2/364&lt;lv35&gt;s3</v>
      </c>
      <c r="B29" s="22">
        <v>30017</v>
      </c>
      <c r="C29" s="21">
        <v>2</v>
      </c>
      <c r="D29" s="2" t="str">
        <f t="shared" si="36"/>
        <v>30017_2</v>
      </c>
      <c r="E29" s="4" t="str">
        <f ca="1">VLOOKUP($B29,OFFSET([2]quests!$A$1,0,0,COUNTA([2]quests!$A:$A),MATCH(E$1,[2]quests!$1:$1,0)-MATCH($B$1,[2]quests!$1:$1,0)+1),MATCH(E$1,[2]quests!$1:$1,0)-MATCH($B$1,[2]quests!$1:$1,0)+1,FALSE)</f>
        <v>狩人の挽歌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【超絶級】狩人の挽歌</v>
      </c>
      <c r="G29" s="85">
        <v>2</v>
      </c>
      <c r="H29" s="15" t="str">
        <f t="shared" si="37"/>
        <v>30017_2-2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 t="s">
        <v>185</v>
      </c>
      <c r="L29" s="85">
        <v>364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ノエル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35</v>
      </c>
      <c r="S29" s="25">
        <v>1.8</v>
      </c>
      <c r="T29" s="25">
        <v>1</v>
      </c>
      <c r="U29" s="5">
        <v>0</v>
      </c>
      <c r="V29" s="84" t="e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9" s="84">
        <v>30017003</v>
      </c>
      <c r="X29" s="6">
        <v>1</v>
      </c>
      <c r="Y29" s="6">
        <v>100</v>
      </c>
      <c r="Z29" s="6">
        <v>0</v>
      </c>
      <c r="AA29" s="126">
        <v>3</v>
      </c>
      <c r="AB29" s="24">
        <f t="shared" si="38"/>
        <v>364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7">
        <v>1</v>
      </c>
      <c r="AG29" s="24">
        <f t="shared" ca="1" si="39"/>
        <v>2</v>
      </c>
      <c r="AH29" s="8">
        <v>25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70">
        <v>1</v>
      </c>
    </row>
    <row r="30" spans="1:40" ht="21" customHeight="1" x14ac:dyDescent="0.15">
      <c r="A30" s="16" t="str">
        <f t="shared" si="35"/>
        <v>30017_2-2/366&lt;lv35&gt;s4</v>
      </c>
      <c r="B30" s="22">
        <v>30017</v>
      </c>
      <c r="C30" s="21">
        <v>2</v>
      </c>
      <c r="D30" s="2" t="str">
        <f t="shared" si="36"/>
        <v>30017_2</v>
      </c>
      <c r="E30" s="4" t="str">
        <f ca="1">VLOOKUP($B30,OFFSET([2]quests!$A$1,0,0,COUNTA([2]quests!$A:$A),MATCH(E$1,[2]quests!$1:$1,0)-MATCH($B$1,[2]quests!$1:$1,0)+1),MATCH(E$1,[2]quests!$1:$1,0)-MATCH($B$1,[2]quests!$1:$1,0)+1,FALSE)</f>
        <v>狩人の挽歌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【超絶級】狩人の挽歌</v>
      </c>
      <c r="G30" s="85">
        <v>2</v>
      </c>
      <c r="H30" s="15" t="str">
        <f t="shared" si="37"/>
        <v>30017_2-2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 t="s">
        <v>185</v>
      </c>
      <c r="L30" s="85">
        <v>366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トト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35</v>
      </c>
      <c r="S30" s="25">
        <v>1.6</v>
      </c>
      <c r="T30" s="25">
        <v>0.8</v>
      </c>
      <c r="U30" s="5">
        <v>0</v>
      </c>
      <c r="V30" s="84" t="e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0" s="84">
        <v>30017004</v>
      </c>
      <c r="X30" s="6">
        <v>1</v>
      </c>
      <c r="Y30" s="6">
        <v>100</v>
      </c>
      <c r="Z30" s="6">
        <v>0</v>
      </c>
      <c r="AA30" s="126">
        <v>4</v>
      </c>
      <c r="AB30" s="24">
        <f t="shared" si="38"/>
        <v>366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トト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Drop1S</v>
      </c>
      <c r="AF30" s="7">
        <v>1</v>
      </c>
      <c r="AG30" s="24">
        <f t="shared" ca="1" si="39"/>
        <v>2</v>
      </c>
      <c r="AH30" s="8">
        <v>25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70">
        <v>1</v>
      </c>
    </row>
    <row r="31" spans="1:40" ht="21" customHeight="1" x14ac:dyDescent="0.15">
      <c r="A31" s="16" t="str">
        <f t="shared" si="35"/>
        <v>30017_2-3/131&lt;lv50&gt;s1</v>
      </c>
      <c r="B31" s="22">
        <v>30017</v>
      </c>
      <c r="C31" s="21">
        <v>2</v>
      </c>
      <c r="D31" s="2" t="str">
        <f t="shared" si="36"/>
        <v>30017_2</v>
      </c>
      <c r="E31" s="4" t="str">
        <f ca="1">VLOOKUP($B31,OFFSET([2]quests!$A$1,0,0,COUNTA([2]quests!$A:$A),MATCH(E$1,[2]quests!$1:$1,0)-MATCH($B$1,[2]quests!$1:$1,0)+1),MATCH(E$1,[2]quests!$1:$1,0)-MATCH($B$1,[2]quests!$1:$1,0)+1,FALSE)</f>
        <v>狩人の挽歌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【超絶級】狩人の挽歌</v>
      </c>
      <c r="G31" s="21">
        <v>3</v>
      </c>
      <c r="H31" s="15" t="str">
        <f t="shared" si="37"/>
        <v>30017_2-3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 t="s">
        <v>185</v>
      </c>
      <c r="L31" s="20">
        <v>131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月下の人狼 ローレンス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PremiumW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animal</v>
      </c>
      <c r="Q31" s="17">
        <f ca="1">VLOOKUP($L31,OFFSET([3]enemies!$A$1,0,0,COUNTA([3]enemies!$A:$A),MATCH(Q$1,[3]enemies!$1:$1,0)-MATCH($L$1,[3]enemies!$1:$1,0)+1),MATCH(Q$1,[3]enemies!$1:$1,0)-MATCH($L$1,[3]enemies!$1:$1,0)+1,FALSE)</f>
        <v>30</v>
      </c>
      <c r="R31" s="5">
        <v>50</v>
      </c>
      <c r="S31" s="25">
        <v>1.8</v>
      </c>
      <c r="T31" s="25">
        <v>0.5</v>
      </c>
      <c r="U31" s="5">
        <v>0</v>
      </c>
      <c r="V31" s="84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1" s="84">
        <v>30017006</v>
      </c>
      <c r="X31" s="6">
        <v>1</v>
      </c>
      <c r="Y31" s="6">
        <v>100</v>
      </c>
      <c r="Z31" s="6">
        <v>1</v>
      </c>
      <c r="AA31" s="126">
        <v>1</v>
      </c>
      <c r="AB31" s="24">
        <f t="shared" si="38"/>
        <v>131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1" s="7">
        <v>1</v>
      </c>
      <c r="AG31" s="24">
        <f t="shared" ca="1" si="39"/>
        <v>4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70">
        <v>1</v>
      </c>
    </row>
    <row r="32" spans="1:40" ht="21" customHeight="1" x14ac:dyDescent="0.15">
      <c r="A32" s="16" t="str">
        <f t="shared" si="35"/>
        <v>30017_2-3/26&lt;lv50&gt;s3</v>
      </c>
      <c r="B32" s="22">
        <v>30017</v>
      </c>
      <c r="C32" s="21">
        <v>2</v>
      </c>
      <c r="D32" s="2" t="str">
        <f t="shared" si="36"/>
        <v>30017_2</v>
      </c>
      <c r="E32" s="4" t="str">
        <f ca="1">VLOOKUP($B32,OFFSET([2]quests!$A$1,0,0,COUNTA([2]quests!$A:$A),MATCH(E$1,[2]quests!$1:$1,0)-MATCH($B$1,[2]quests!$1:$1,0)+1),MATCH(E$1,[2]quests!$1:$1,0)-MATCH($B$1,[2]quests!$1:$1,0)+1,FALSE)</f>
        <v>狩人の挽歌</v>
      </c>
      <c r="F32" s="4" t="str">
        <f ca="1">VLOOKUP($D32,OFFSET([2]stages!$A$1,0,0,COUNTA([2]stages!$A:$A),MATCH(F$1,[2]stages!$2:$2,0)-MATCH($D$1,[2]stages!$2:$2,0)+1),MATCH(F$1,[2]stages!$2:$2,0)-MATCH($D$1,[2]stages!$2:$2,0)+1,FALSE)</f>
        <v>【超絶級】狩人の挽歌</v>
      </c>
      <c r="G32" s="21">
        <v>3</v>
      </c>
      <c r="H32" s="15" t="str">
        <f t="shared" si="37"/>
        <v>30017_2-3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 t="s">
        <v>185</v>
      </c>
      <c r="L32" s="20">
        <v>26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勇犬 ハチ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Drop1N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50</v>
      </c>
      <c r="S32" s="25">
        <v>3</v>
      </c>
      <c r="T32" s="25">
        <v>0.4</v>
      </c>
      <c r="U32" s="5">
        <v>0</v>
      </c>
      <c r="V32" s="84" t="e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2" s="84">
        <v>30017007</v>
      </c>
      <c r="X32" s="6">
        <v>2</v>
      </c>
      <c r="Y32" s="6">
        <v>100</v>
      </c>
      <c r="Z32" s="6">
        <v>0</v>
      </c>
      <c r="AA32" s="126">
        <v>3</v>
      </c>
      <c r="AB32" s="24">
        <f t="shared" si="38"/>
        <v>26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Drop1N</v>
      </c>
      <c r="AF32" s="7">
        <v>1</v>
      </c>
      <c r="AG32" s="24">
        <f t="shared" ca="1" si="39"/>
        <v>2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70">
        <v>1</v>
      </c>
    </row>
    <row r="33" spans="1:40" ht="21" customHeight="1" x14ac:dyDescent="0.15">
      <c r="A33" s="109" t="str">
        <f t="shared" si="35"/>
        <v>30017_2-4/453&lt;lv60&gt;s2</v>
      </c>
      <c r="B33" s="22">
        <v>30017</v>
      </c>
      <c r="C33" s="110">
        <v>2</v>
      </c>
      <c r="D33" s="111" t="str">
        <f t="shared" si="36"/>
        <v>30017_2</v>
      </c>
      <c r="E33" s="4" t="str">
        <f ca="1">VLOOKUP($B33,OFFSET([2]quests!$A$1,0,0,COUNTA([2]quests!$A:$A),MATCH(E$1,[2]quests!$1:$1,0)-MATCH($B$1,[2]quests!$1:$1,0)+1),MATCH(E$1,[2]quests!$1:$1,0)-MATCH($B$1,[2]quests!$1:$1,0)+1,FALSE)</f>
        <v>狩人の挽歌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【超絶級】狩人の挽歌</v>
      </c>
      <c r="G33" s="112">
        <v>4</v>
      </c>
      <c r="H33" s="111" t="str">
        <f t="shared" si="37"/>
        <v>30017_2-4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113">
        <v>2</v>
      </c>
      <c r="L33" s="112">
        <v>453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急尾の猛狐 エゾ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Drop2N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7">
        <f ca="1">VLOOKUP($L33,OFFSET([3]enemies!$A$1,0,0,COUNTA([3]enemies!$A:$A),MATCH(Q$1,[3]enemies!$1:$1,0)-MATCH($L$1,[3]enemies!$1:$1,0)+1),MATCH(Q$1,[3]enemies!$1:$1,0)-MATCH($L$1,[3]enemies!$1:$1,0)+1,FALSE)</f>
        <v>60</v>
      </c>
      <c r="R33" s="114">
        <v>60</v>
      </c>
      <c r="S33" s="115">
        <v>1.8</v>
      </c>
      <c r="T33" s="115">
        <v>0.9</v>
      </c>
      <c r="U33" s="114">
        <v>0</v>
      </c>
      <c r="V33" s="116" t="e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3" s="84">
        <v>30017009</v>
      </c>
      <c r="X33" s="6">
        <v>1</v>
      </c>
      <c r="Y33" s="6">
        <v>100</v>
      </c>
      <c r="Z33" s="6">
        <v>1</v>
      </c>
      <c r="AA33" s="126">
        <v>2</v>
      </c>
      <c r="AB33" s="135">
        <v>452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猛狐 エゾ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3" s="118">
        <v>1</v>
      </c>
      <c r="AG33" s="117">
        <f t="shared" ca="1" si="39"/>
        <v>4</v>
      </c>
      <c r="AH33" s="8">
        <v>100</v>
      </c>
      <c r="AI33" s="118">
        <v>0</v>
      </c>
      <c r="AJ33" s="118">
        <v>0</v>
      </c>
      <c r="AK33" s="118">
        <v>0</v>
      </c>
      <c r="AL33" s="118">
        <v>0</v>
      </c>
      <c r="AM33" s="118">
        <v>1</v>
      </c>
      <c r="AN33" s="119">
        <v>1</v>
      </c>
    </row>
    <row r="34" spans="1:40" ht="21" customHeight="1" x14ac:dyDescent="0.15">
      <c r="A34" s="120"/>
      <c r="B34" s="121"/>
      <c r="C34" s="121"/>
      <c r="D34" s="122"/>
      <c r="E34" s="121"/>
      <c r="F34" s="121"/>
      <c r="G34" s="121"/>
      <c r="H34" s="121"/>
      <c r="I34" s="121"/>
      <c r="J34" s="121"/>
      <c r="K34" s="121"/>
      <c r="L34" s="123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4"/>
      <c r="AD34" s="122"/>
      <c r="AE34" s="122"/>
      <c r="AF34" s="125"/>
      <c r="AG34" s="121"/>
      <c r="AH34" s="121"/>
      <c r="AI34" s="121"/>
      <c r="AJ34" s="121"/>
      <c r="AK34" s="121"/>
      <c r="AL34" s="121"/>
      <c r="AM34" s="121"/>
      <c r="AN34" s="121"/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30017_1-4/452&lt;lv60&gt;sq1st2</v>
      </c>
      <c r="B2" s="22">
        <v>30017</v>
      </c>
      <c r="C2" s="21">
        <v>1</v>
      </c>
      <c r="D2" s="2" t="str">
        <f>B2&amp;"_"&amp;C2</f>
        <v>30017_1</v>
      </c>
      <c r="E2" s="4" t="str">
        <f ca="1">VLOOKUP($B2,OFFSET([2]quests!$A$1,0,0,COUNTA([2]quests!$A:$A),MATCH(E$1,[2]quests!$1:$1,0)-MATCH($B$1,[2]quests!$1:$1,0)+1),MATCH(E$1,[2]quests!$1:$1,0)-MATCH($B$1,[2]quests!$1:$1,0)+1,FALSE)</f>
        <v>狩人の挽歌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【超級】狩人の挽歌</v>
      </c>
      <c r="G2" s="21">
        <v>4</v>
      </c>
      <c r="H2" s="15" t="str">
        <f>B2&amp;"_"&amp;C2&amp;"-"&amp;G2</f>
        <v>30017_1-4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452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猛狐 エゾ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1.9</v>
      </c>
      <c r="U2" s="25">
        <v>0.8</v>
      </c>
      <c r="V2" s="5">
        <v>0</v>
      </c>
      <c r="W2" s="8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32">
        <v>30017010</v>
      </c>
      <c r="Y2" s="84">
        <v>2</v>
      </c>
    </row>
    <row r="3" spans="1:25" ht="21" customHeight="1" thickBot="1" x14ac:dyDescent="0.2">
      <c r="A3" s="91" t="str">
        <f>B3&amp;"_"&amp;C3&amp;"-"&amp;G3&amp;"/"&amp;M3&amp;"&lt;lv"&amp;S3&amp;"&gt;sq"&amp;K3&amp;"st"&amp;L3</f>
        <v>30017_1-4/452&lt;lv60&gt;sq1st3</v>
      </c>
      <c r="B3" s="92">
        <v>30017</v>
      </c>
      <c r="C3" s="93">
        <v>1</v>
      </c>
      <c r="D3" s="94" t="str">
        <f>B3&amp;"_"&amp;C3</f>
        <v>30017_1</v>
      </c>
      <c r="E3" s="95" t="str">
        <f ca="1">VLOOKUP($B3,OFFSET([2]quests!$A$1,0,0,COUNTA([2]quests!$A:$A),MATCH(E$1,[2]quests!$1:$1,0)-MATCH($B$1,[2]quests!$1:$1,0)+1),MATCH(E$1,[2]quests!$1:$1,0)-MATCH($B$1,[2]quests!$1:$1,0)+1,FALSE)</f>
        <v>狩人の挽歌</v>
      </c>
      <c r="F3" s="95" t="str">
        <f ca="1">VLOOKUP($D3,OFFSET([2]stages!$A$1,0,0,COUNTA([2]stages!$A:$A),MATCH(F$1,[2]stages!$2:$2,0)-MATCH($D$1,[2]stages!$2:$2,0)+1),MATCH(F$1,[2]stages!$2:$2,0)-MATCH($D$1,[2]stages!$2:$2,0)+1,FALSE)</f>
        <v>【超級】狩人の挽歌</v>
      </c>
      <c r="G3" s="93">
        <v>4</v>
      </c>
      <c r="H3" s="94" t="str">
        <f>B3&amp;"_"&amp;C3&amp;"-"&amp;G3</f>
        <v>30017_1-4</v>
      </c>
      <c r="I3" s="95">
        <f ca="1">VLOOKUP($H3,OFFSET(floors!$A$1,0,0,COUNTA(floors!$A:$A),MATCH(I$1,floors!$1:$1,0)-MATCH($H$1,floors!$1:$1,0)+1),MATCH(I$1,floors!$1:$1,0)-MATCH($H$1,floors!$1:$1,0)+1,FALSE)</f>
        <v>60</v>
      </c>
      <c r="J3" s="95">
        <f ca="1">VLOOKUP($H3,OFFSET(floors!$A$1,0,0,COUNTA(floors!$A:$A),MATCH(J$1,floors!$1:$1,0)-MATCH($H$1,floors!$1:$1,0)+1),MATCH(J$1,floors!$1:$1,0)-MATCH($H$1,floors!$1:$1,0)+1,FALSE)</f>
        <v>60</v>
      </c>
      <c r="K3" s="96">
        <v>1</v>
      </c>
      <c r="L3" s="96">
        <v>3</v>
      </c>
      <c r="M3" s="97">
        <v>452</v>
      </c>
      <c r="N3" s="98" t="str">
        <f ca="1">VLOOKUP($M3,OFFSET([3]enemies!$A$1,0,0,COUNTA([3]enemies!$A:$A),MATCH(N$1,[3]enemies!$1:$1,0)-MATCH($M$1,[3]enemies!$1:$1,0)+1),MATCH(N$1,[3]enemies!$1:$1,0)-MATCH($M$1,[3]enemies!$1:$1,0)+1,FALSE)</f>
        <v>猛狐 エゾ</v>
      </c>
      <c r="O3" s="98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98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98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98">
        <f ca="1">VLOOKUP($M3,OFFSET([3]enemies!$A$1,0,0,COUNTA([3]enemies!$A:$A),MATCH(R$1,[3]enemies!$1:$1,0)-MATCH($M$1,[3]enemies!$1:$1,0)+1),MATCH(R$1,[3]enemies!$1:$1,0)-MATCH($M$1,[3]enemies!$1:$1,0)+1,FALSE)</f>
        <v>30</v>
      </c>
      <c r="S3" s="87">
        <v>60</v>
      </c>
      <c r="T3" s="99">
        <v>1.9</v>
      </c>
      <c r="U3" s="99">
        <v>0.7</v>
      </c>
      <c r="V3" s="87">
        <v>0</v>
      </c>
      <c r="W3" s="88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34">
        <v>30017012</v>
      </c>
      <c r="Y3" s="88">
        <v>2</v>
      </c>
    </row>
    <row r="4" spans="1:25" ht="21" customHeight="1" x14ac:dyDescent="0.15">
      <c r="A4" s="100" t="str">
        <f>B4&amp;"_"&amp;C4&amp;"-"&amp;G4&amp;"/"&amp;M4&amp;"&lt;lv"&amp;S4&amp;"&gt;sq"&amp;K4&amp;"st"&amp;L4</f>
        <v>30017_2-4/453&lt;lv60&gt;sq2st2</v>
      </c>
      <c r="B4" s="101">
        <v>30017</v>
      </c>
      <c r="C4" s="102">
        <v>2</v>
      </c>
      <c r="D4" s="103" t="str">
        <f>B4&amp;"_"&amp;C4</f>
        <v>30017_2</v>
      </c>
      <c r="E4" s="90" t="str">
        <f ca="1">VLOOKUP($B4,OFFSET([2]quests!$A$1,0,0,COUNTA([2]quests!$A:$A),MATCH(E$1,[2]quests!$1:$1,0)-MATCH($B$1,[2]quests!$1:$1,0)+1),MATCH(E$1,[2]quests!$1:$1,0)-MATCH($B$1,[2]quests!$1:$1,0)+1,FALSE)</f>
        <v>狩人の挽歌</v>
      </c>
      <c r="F4" s="90" t="str">
        <f ca="1">VLOOKUP($D4,OFFSET([2]stages!$A$1,0,0,COUNTA([2]stages!$A:$A),MATCH(F$1,[2]stages!$2:$2,0)-MATCH($D$1,[2]stages!$2:$2,0)+1),MATCH(F$1,[2]stages!$2:$2,0)-MATCH($D$1,[2]stages!$2:$2,0)+1,FALSE)</f>
        <v>【超絶級】狩人の挽歌</v>
      </c>
      <c r="G4" s="102">
        <v>4</v>
      </c>
      <c r="H4" s="103" t="str">
        <f>B4&amp;"_"&amp;C4&amp;"-"&amp;G4</f>
        <v>30017_2-4</v>
      </c>
      <c r="I4" s="90">
        <f ca="1">VLOOKUP($H4,OFFSET(floors!$A$1,0,0,COUNTA(floors!$A:$A),MATCH(I$1,floors!$1:$1,0)-MATCH($H$1,floors!$1:$1,0)+1),MATCH(I$1,floors!$1:$1,0)-MATCH($H$1,floors!$1:$1,0)+1,FALSE)</f>
        <v>60</v>
      </c>
      <c r="J4" s="90">
        <f ca="1">VLOOKUP($H4,OFFSET(floors!$A$1,0,0,COUNTA(floors!$A:$A),MATCH(J$1,floors!$1:$1,0)-MATCH($H$1,floors!$1:$1,0)+1),MATCH(J$1,floors!$1:$1,0)-MATCH($H$1,floors!$1:$1,0)+1,FALSE)</f>
        <v>60</v>
      </c>
      <c r="K4" s="104">
        <v>2</v>
      </c>
      <c r="L4" s="104">
        <v>2</v>
      </c>
      <c r="M4" s="105">
        <v>453</v>
      </c>
      <c r="N4" s="106" t="str">
        <f ca="1">VLOOKUP($M4,OFFSET([3]enemies!$A$1,0,0,COUNTA([3]enemies!$A:$A),MATCH(N$1,[3]enemies!$1:$1,0)-MATCH($M$1,[3]enemies!$1:$1,0)+1),MATCH(N$1,[3]enemies!$1:$1,0)-MATCH($M$1,[3]enemies!$1:$1,0)+1,FALSE)</f>
        <v>急尾の猛狐 エゾ</v>
      </c>
      <c r="O4" s="106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06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06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06">
        <f ca="1">VLOOKUP($M4,OFFSET([3]enemies!$A$1,0,0,COUNTA([3]enemies!$A:$A),MATCH(R$1,[3]enemies!$1:$1,0)-MATCH($M$1,[3]enemies!$1:$1,0)+1),MATCH(R$1,[3]enemies!$1:$1,0)-MATCH($M$1,[3]enemies!$1:$1,0)+1,FALSE)</f>
        <v>60</v>
      </c>
      <c r="S4" s="89">
        <v>60</v>
      </c>
      <c r="T4" s="107">
        <v>1.9</v>
      </c>
      <c r="U4" s="107">
        <v>0.8</v>
      </c>
      <c r="V4" s="89">
        <v>0</v>
      </c>
      <c r="W4" s="108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08">
        <v>30017011</v>
      </c>
      <c r="Y4" s="108">
        <v>2</v>
      </c>
    </row>
    <row r="5" spans="1:25" ht="21" customHeight="1" x14ac:dyDescent="0.15">
      <c r="A5" s="16" t="str">
        <f>B5&amp;"_"&amp;C5&amp;"-"&amp;G5&amp;"/"&amp;M5&amp;"&lt;lv"&amp;S5&amp;"&gt;sq"&amp;K5&amp;"st"&amp;L5</f>
        <v>30017_2-4/453&lt;lv60&gt;sq2st3</v>
      </c>
      <c r="B5" s="22">
        <v>30017</v>
      </c>
      <c r="C5" s="21">
        <v>2</v>
      </c>
      <c r="D5" s="2" t="str">
        <f>B5&amp;"_"&amp;C5</f>
        <v>30017_2</v>
      </c>
      <c r="E5" s="4" t="str">
        <f ca="1">VLOOKUP($B5,OFFSET([2]quests!$A$1,0,0,COUNTA([2]quests!$A:$A),MATCH(E$1,[2]quests!$1:$1,0)-MATCH($B$1,[2]quests!$1:$1,0)+1),MATCH(E$1,[2]quests!$1:$1,0)-MATCH($B$1,[2]quests!$1:$1,0)+1,FALSE)</f>
        <v>狩人の挽歌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【超絶級】狩人の挽歌</v>
      </c>
      <c r="G5" s="21">
        <v>4</v>
      </c>
      <c r="H5" s="15" t="str">
        <f>B5&amp;"_"&amp;C5&amp;"-"&amp;G5</f>
        <v>30017_2-4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453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急尾の猛狐 エゾ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1.9</v>
      </c>
      <c r="U5" s="25">
        <v>0.7</v>
      </c>
      <c r="V5" s="5">
        <v>0</v>
      </c>
      <c r="W5" s="8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84">
        <v>30017013</v>
      </c>
      <c r="Y5" s="84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4"/>
  <sheetViews>
    <sheetView showGridLines="0" zoomScale="85" zoomScaleNormal="85" zoomScalePageLayoutView="85" workbookViewId="0">
      <pane xSplit="5" ySplit="1" topLeftCell="F2" activePane="bottomRight" state="frozen"/>
      <selection activeCell="F3" sqref="F3"/>
      <selection pane="topRight" activeCell="F3" sqref="F3"/>
      <selection pane="bottomLeft" activeCell="F3" sqref="F3"/>
      <selection pane="bottomRight" activeCell="E32" sqref="E3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30017001_30017001</v>
      </c>
      <c r="B2" s="47">
        <v>30017001</v>
      </c>
      <c r="C2" s="47">
        <v>30017001</v>
      </c>
      <c r="D2" s="46" t="str">
        <f>IFERROR(VLOOKUP(C2,enemy_skills!A:Y,4,FALSE),VLOOKUP(C2,[5]enemy_skills!$A:$E,4,FALSE))</f>
        <v>ja</v>
      </c>
      <c r="E2" s="46" t="str">
        <f>IFERROR(VLOOKUP(C2,enemy_skills!A:Y,5,FALSE),VLOOKUP(C2,[5]enemy_skills!$A:$E,5,FALSE))</f>
        <v>からしマヨビーム</v>
      </c>
      <c r="F2" s="47">
        <v>30017001</v>
      </c>
      <c r="G2" s="48">
        <f>VLOOKUP($F2,enemy_skill_triggers!$A:$J,2,FALSE)</f>
        <v>0</v>
      </c>
      <c r="H2" s="48">
        <f>VLOOKUP($F2,enemy_skill_triggers!$A:$J,3,FALSE)</f>
        <v>1</v>
      </c>
      <c r="I2" s="48">
        <f>VLOOKUP($F2,enemy_skill_triggers!$A:$J,4,FALSE)</f>
        <v>50</v>
      </c>
      <c r="J2" s="48" t="str">
        <f>VLOOKUP($F2,enemy_skill_triggers!$A:$J,5,FALSE)</f>
        <v>null</v>
      </c>
      <c r="K2" s="48" t="str">
        <f>VLOOKUP($F2,enemy_skill_triggers!$A:$J,6,FALSE)</f>
        <v>null</v>
      </c>
      <c r="L2" s="48" t="str">
        <f>VLOOKUP($F2,enemy_skill_triggers!$A:$J,7,FALSE)</f>
        <v>null</v>
      </c>
      <c r="M2" s="48" t="str">
        <f>VLOOKUP($F2,enemy_skill_triggers!$A:$J,8,FALSE)</f>
        <v>null</v>
      </c>
      <c r="N2" s="48" t="str">
        <f>VLOOKUP($F2,enemy_skill_triggers!$A:$J,9,FALSE)</f>
        <v>null</v>
      </c>
      <c r="O2" s="48">
        <f>VLOOKUP($F2,enemy_skill_triggers!$A:$J,10,FALSE)</f>
        <v>50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30017002_30017002</v>
      </c>
      <c r="B3" s="47">
        <v>30017002</v>
      </c>
      <c r="C3" s="47">
        <v>30017002</v>
      </c>
      <c r="D3" s="46" t="str">
        <f>IFERROR(VLOOKUP(C3,enemy_skills!A:Y,4,FALSE),VLOOKUP(C3,[5]enemy_skills!$A:$E,4,FALSE))</f>
        <v>ja</v>
      </c>
      <c r="E3" s="46" t="str">
        <f>IFERROR(VLOOKUP(C3,enemy_skills!A:Y,5,FALSE),VLOOKUP(C3,[5]enemy_skills!$A:$E,5,FALSE))</f>
        <v>どくのムチ</v>
      </c>
      <c r="F3" s="47">
        <v>30017001</v>
      </c>
      <c r="G3" s="48">
        <f>VLOOKUP($F3,enemy_skill_triggers!$A:$J,2,FALSE)</f>
        <v>0</v>
      </c>
      <c r="H3" s="48">
        <f>VLOOKUP($F3,enemy_skill_triggers!$A:$J,3,FALSE)</f>
        <v>1</v>
      </c>
      <c r="I3" s="48">
        <f>VLOOKUP($F3,enemy_skill_triggers!$A:$J,4,FALSE)</f>
        <v>50</v>
      </c>
      <c r="J3" s="48" t="str">
        <f>VLOOKUP($F3,enemy_skill_triggers!$A:$J,5,FALSE)</f>
        <v>null</v>
      </c>
      <c r="K3" s="48" t="str">
        <f>VLOOKUP($F3,enemy_skill_triggers!$A:$J,6,FALSE)</f>
        <v>null</v>
      </c>
      <c r="L3" s="48" t="str">
        <f>VLOOKUP($F3,enemy_skill_triggers!$A:$J,7,FALSE)</f>
        <v>null</v>
      </c>
      <c r="M3" s="48" t="str">
        <f>VLOOKUP($F3,enemy_skill_triggers!$A:$J,8,FALSE)</f>
        <v>null</v>
      </c>
      <c r="N3" s="48" t="str">
        <f>VLOOKUP($F3,enemy_skill_triggers!$A:$J,9,FALSE)</f>
        <v>null</v>
      </c>
      <c r="O3" s="48">
        <f>VLOOKUP($F3,enemy_skill_triggers!$A:$J,10,FALSE)</f>
        <v>50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30017003_30017003</v>
      </c>
      <c r="B4" s="47">
        <v>30017003</v>
      </c>
      <c r="C4" s="47">
        <v>30017003</v>
      </c>
      <c r="D4" s="46" t="str">
        <f>IFERROR(VLOOKUP(C4,enemy_skills!A:Y,4,FALSE),VLOOKUP(C4,[5]enemy_skills!$A:$E,4,FALSE))</f>
        <v>ja</v>
      </c>
      <c r="E4" s="46" t="str">
        <f>IFERROR(VLOOKUP(C4,enemy_skills!A:Y,5,FALSE),VLOOKUP(C4,[5]enemy_skills!$A:$E,5,FALSE))</f>
        <v>からたけ割り</v>
      </c>
      <c r="F4" s="47">
        <v>30017001</v>
      </c>
      <c r="G4" s="48">
        <f>VLOOKUP($F4,enemy_skill_triggers!$A:$J,2,FALSE)</f>
        <v>0</v>
      </c>
      <c r="H4" s="48">
        <f>VLOOKUP($F4,enemy_skill_triggers!$A:$J,3,FALSE)</f>
        <v>1</v>
      </c>
      <c r="I4" s="48">
        <f>VLOOKUP($F4,enemy_skill_triggers!$A:$J,4,FALSE)</f>
        <v>50</v>
      </c>
      <c r="J4" s="48" t="str">
        <f>VLOOKUP($F4,enemy_skill_triggers!$A:$J,5,FALSE)</f>
        <v>null</v>
      </c>
      <c r="K4" s="48" t="str">
        <f>VLOOKUP($F4,enemy_skill_triggers!$A:$J,6,FALSE)</f>
        <v>null</v>
      </c>
      <c r="L4" s="48" t="str">
        <f>VLOOKUP($F4,enemy_skill_triggers!$A:$J,7,FALSE)</f>
        <v>null</v>
      </c>
      <c r="M4" s="48" t="str">
        <f>VLOOKUP($F4,enemy_skill_triggers!$A:$J,8,FALSE)</f>
        <v>null</v>
      </c>
      <c r="N4" s="48" t="str">
        <f>VLOOKUP($F4,enemy_skill_triggers!$A:$J,9,FALSE)</f>
        <v>null</v>
      </c>
      <c r="O4" s="48">
        <f>VLOOKUP($F4,enemy_skill_triggers!$A:$J,10,FALSE)</f>
        <v>50</v>
      </c>
      <c r="P4" s="47"/>
      <c r="Q4" s="47"/>
      <c r="R4" s="47"/>
    </row>
    <row r="5" spans="1:18" ht="21" customHeight="1" x14ac:dyDescent="0.15">
      <c r="A5" s="39" t="str">
        <f t="shared" ref="A5" si="3">B5&amp;"_"&amp;C5</f>
        <v>30017004_30017004</v>
      </c>
      <c r="B5" s="47">
        <v>30017004</v>
      </c>
      <c r="C5" s="47">
        <v>30017004</v>
      </c>
      <c r="D5" s="46" t="str">
        <f>IFERROR(VLOOKUP(C5,enemy_skills!A:Y,4,FALSE),VLOOKUP(C5,[5]enemy_skills!$A:$E,4,FALSE))</f>
        <v>ja</v>
      </c>
      <c r="E5" s="46" t="str">
        <f>IFERROR(VLOOKUP(C5,enemy_skills!A:Y,5,FALSE),VLOOKUP(C5,[5]enemy_skills!$A:$E,5,FALSE))</f>
        <v>トトブラスター</v>
      </c>
      <c r="F5" s="47">
        <v>30017001</v>
      </c>
      <c r="G5" s="48">
        <f>VLOOKUP($F5,enemy_skill_triggers!$A:$J,2,FALSE)</f>
        <v>0</v>
      </c>
      <c r="H5" s="48">
        <f>VLOOKUP($F5,enemy_skill_triggers!$A:$J,3,FALSE)</f>
        <v>1</v>
      </c>
      <c r="I5" s="48">
        <f>VLOOKUP($F5,enemy_skill_triggers!$A:$J,4,FALSE)</f>
        <v>50</v>
      </c>
      <c r="J5" s="48" t="str">
        <f>VLOOKUP($F5,enemy_skill_triggers!$A:$J,5,FALSE)</f>
        <v>null</v>
      </c>
      <c r="K5" s="48" t="str">
        <f>VLOOKUP($F5,enemy_skill_triggers!$A:$J,6,FALSE)</f>
        <v>null</v>
      </c>
      <c r="L5" s="48" t="str">
        <f>VLOOKUP($F5,enemy_skill_triggers!$A:$J,7,FALSE)</f>
        <v>null</v>
      </c>
      <c r="M5" s="48" t="str">
        <f>VLOOKUP($F5,enemy_skill_triggers!$A:$J,8,FALSE)</f>
        <v>null</v>
      </c>
      <c r="N5" s="48" t="str">
        <f>VLOOKUP($F5,enemy_skill_triggers!$A:$J,9,FALSE)</f>
        <v>null</v>
      </c>
      <c r="O5" s="48">
        <f>VLOOKUP($F5,enemy_skill_triggers!$A:$J,10,FALSE)</f>
        <v>50</v>
      </c>
      <c r="P5" s="47"/>
      <c r="Q5" s="47"/>
      <c r="R5" s="47"/>
    </row>
    <row r="6" spans="1:18" ht="21" customHeight="1" x14ac:dyDescent="0.15">
      <c r="A6" s="39" t="str">
        <f t="shared" ref="A6" si="4">B6&amp;"_"&amp;C6</f>
        <v>30017005_30017005</v>
      </c>
      <c r="B6" s="130">
        <v>30017005</v>
      </c>
      <c r="C6" s="47">
        <v>30017005</v>
      </c>
      <c r="D6" s="46" t="str">
        <f>IFERROR(VLOOKUP(C6,enemy_skills!A:Y,4,FALSE),VLOOKUP(C6,[5]enemy_skills!$A:$E,4,FALSE))</f>
        <v>ja</v>
      </c>
      <c r="E6" s="46" t="str">
        <f>IFERROR(VLOOKUP(C6,enemy_skills!A:Y,5,FALSE),VLOOKUP(C6,[5]enemy_skills!$A:$E,5,FALSE))</f>
        <v>ソウルリンク！</v>
      </c>
      <c r="F6" s="47">
        <v>30017002</v>
      </c>
      <c r="G6" s="48">
        <f>VLOOKUP($F6,enemy_skill_triggers!$A:$J,2,FALSE)</f>
        <v>1</v>
      </c>
      <c r="H6" s="48">
        <f>VLOOKUP($F6,enemy_skill_triggers!$A:$J,3,FALSE)</f>
        <v>99</v>
      </c>
      <c r="I6" s="48">
        <f>VLOOKUP($F6,enemy_skill_triggers!$A:$J,4,FALSE)</f>
        <v>100</v>
      </c>
      <c r="J6" s="48" t="str">
        <f>VLOOKUP($F6,enemy_skill_triggers!$A:$J,5,FALSE)</f>
        <v>null</v>
      </c>
      <c r="K6" s="48" t="str">
        <f>VLOOKUP($F6,enemy_skill_triggers!$A:$J,6,FALSE)</f>
        <v>null</v>
      </c>
      <c r="L6" s="48">
        <f>VLOOKUP($F6,enemy_skill_triggers!$A:$J,7,FALSE)</f>
        <v>1</v>
      </c>
      <c r="M6" s="48" t="str">
        <f>VLOOKUP($F6,enemy_skill_triggers!$A:$J,8,FALSE)</f>
        <v>null</v>
      </c>
      <c r="N6" s="48" t="str">
        <f>VLOOKUP($F6,enemy_skill_triggers!$A:$J,9,FALSE)</f>
        <v>null</v>
      </c>
      <c r="O6" s="48">
        <f>VLOOKUP($F6,enemy_skill_triggers!$A:$J,10,FALSE)</f>
        <v>100</v>
      </c>
      <c r="P6" s="47"/>
      <c r="Q6" s="47"/>
      <c r="R6" s="47"/>
    </row>
    <row r="7" spans="1:18" ht="21" customHeight="1" x14ac:dyDescent="0.15">
      <c r="A7" s="39" t="str">
        <f t="shared" ref="A7" si="5">B7&amp;"_"&amp;C7</f>
        <v>30017005_30017007</v>
      </c>
      <c r="B7" s="130">
        <v>30017005</v>
      </c>
      <c r="C7" s="47">
        <v>30017007</v>
      </c>
      <c r="D7" s="46" t="str">
        <f>IFERROR(VLOOKUP(C7,enemy_skills!A:Y,4,FALSE),VLOOKUP(C7,[5]enemy_skills!$A:$E,4,FALSE))</f>
        <v>ja</v>
      </c>
      <c r="E7" s="46" t="str">
        <f>IFERROR(VLOOKUP(C7,enemy_skills!A:Y,5,FALSE),VLOOKUP(C7,[5]enemy_skills!$A:$E,5,FALSE))</f>
        <v>カイザーナックル</v>
      </c>
      <c r="F7" s="47">
        <v>30017001</v>
      </c>
      <c r="G7" s="48">
        <f>VLOOKUP($F7,enemy_skill_triggers!$A:$J,2,FALSE)</f>
        <v>0</v>
      </c>
      <c r="H7" s="48">
        <f>VLOOKUP($F7,enemy_skill_triggers!$A:$J,3,FALSE)</f>
        <v>1</v>
      </c>
      <c r="I7" s="48">
        <f>VLOOKUP($F7,enemy_skill_triggers!$A:$J,4,FALSE)</f>
        <v>50</v>
      </c>
      <c r="J7" s="48" t="str">
        <f>VLOOKUP($F7,enemy_skill_triggers!$A:$J,5,FALSE)</f>
        <v>null</v>
      </c>
      <c r="K7" s="48" t="str">
        <f>VLOOKUP($F7,enemy_skill_triggers!$A:$J,6,FALSE)</f>
        <v>null</v>
      </c>
      <c r="L7" s="48" t="str">
        <f>VLOOKUP($F7,enemy_skill_triggers!$A:$J,7,FALSE)</f>
        <v>null</v>
      </c>
      <c r="M7" s="48" t="str">
        <f>VLOOKUP($F7,enemy_skill_triggers!$A:$J,8,FALSE)</f>
        <v>null</v>
      </c>
      <c r="N7" s="48" t="str">
        <f>VLOOKUP($F7,enemy_skill_triggers!$A:$J,9,FALSE)</f>
        <v>null</v>
      </c>
      <c r="O7" s="48">
        <f>VLOOKUP($F7,enemy_skill_triggers!$A:$J,10,FALSE)</f>
        <v>50</v>
      </c>
      <c r="P7" s="47"/>
      <c r="Q7" s="47"/>
      <c r="R7" s="47"/>
    </row>
    <row r="8" spans="1:18" ht="21" customHeight="1" x14ac:dyDescent="0.15">
      <c r="A8" s="39" t="str">
        <f t="shared" ref="A8:A10" si="6">B8&amp;"_"&amp;C8</f>
        <v>30017005_30017008</v>
      </c>
      <c r="B8" s="130">
        <v>30017005</v>
      </c>
      <c r="C8" s="47">
        <v>30017008</v>
      </c>
      <c r="D8" s="46" t="str">
        <f>IFERROR(VLOOKUP(C8,enemy_skills!A:Y,4,FALSE),VLOOKUP(C8,[5]enemy_skills!$A:$E,4,FALSE))</f>
        <v>ja</v>
      </c>
      <c r="E8" s="46" t="str">
        <f>IFERROR(VLOOKUP(C8,enemy_skills!A:Y,5,FALSE),VLOOKUP(C8,[5]enemy_skills!$A:$E,5,FALSE))</f>
        <v>ぶちかまし</v>
      </c>
      <c r="F8" s="47">
        <v>30017003</v>
      </c>
      <c r="G8" s="48">
        <f>VLOOKUP($F8,enemy_skill_triggers!$A:$J,2,FALSE)</f>
        <v>0</v>
      </c>
      <c r="H8" s="48">
        <f>VLOOKUP($F8,enemy_skill_triggers!$A:$J,3,FALSE)</f>
        <v>2</v>
      </c>
      <c r="I8" s="48">
        <f>VLOOKUP($F8,enemy_skill_triggers!$A:$J,4,FALSE)</f>
        <v>70</v>
      </c>
      <c r="J8" s="48">
        <f>VLOOKUP($F8,enemy_skill_triggers!$A:$J,5,FALSE)</f>
        <v>70</v>
      </c>
      <c r="K8" s="48" t="str">
        <f>VLOOKUP($F8,enemy_skill_triggers!$A:$J,6,FALSE)</f>
        <v>null</v>
      </c>
      <c r="L8" s="48">
        <f>VLOOKUP($F8,enemy_skill_triggers!$A:$J,7,FALSE)</f>
        <v>3</v>
      </c>
      <c r="M8" s="48" t="str">
        <f>VLOOKUP($F8,enemy_skill_triggers!$A:$J,8,FALSE)</f>
        <v>null</v>
      </c>
      <c r="N8" s="48" t="str">
        <f>VLOOKUP($F8,enemy_skill_triggers!$A:$J,9,FALSE)</f>
        <v>null</v>
      </c>
      <c r="O8" s="48">
        <f>VLOOKUP($F8,enemy_skill_triggers!$A:$J,10,FALSE)</f>
        <v>70</v>
      </c>
      <c r="P8" s="47"/>
      <c r="Q8" s="47"/>
      <c r="R8" s="47"/>
    </row>
    <row r="9" spans="1:18" ht="21" customHeight="1" x14ac:dyDescent="0.15">
      <c r="A9" s="39" t="str">
        <f t="shared" si="6"/>
        <v>30017005_30017009</v>
      </c>
      <c r="B9" s="130">
        <v>30017005</v>
      </c>
      <c r="C9" s="47">
        <v>30017009</v>
      </c>
      <c r="D9" s="46" t="str">
        <f>IFERROR(VLOOKUP(C9,enemy_skills!A:Y,4,FALSE),VLOOKUP(C9,[5]enemy_skills!$A:$E,4,FALSE))</f>
        <v>ja</v>
      </c>
      <c r="E9" s="46" t="str">
        <f>IFERROR(VLOOKUP(C9,enemy_skills!A:Y,5,FALSE),VLOOKUP(C9,[5]enemy_skills!$A:$E,5,FALSE))</f>
        <v>リンクブレイク！</v>
      </c>
      <c r="F9" s="47">
        <v>30017004</v>
      </c>
      <c r="G9" s="48">
        <f>VLOOKUP($F9,enemy_skill_triggers!$A:$J,2,FALSE)</f>
        <v>0</v>
      </c>
      <c r="H9" s="48">
        <f>VLOOKUP($F9,enemy_skill_triggers!$A:$J,3,FALSE)</f>
        <v>10</v>
      </c>
      <c r="I9" s="48">
        <f>VLOOKUP($F9,enemy_skill_triggers!$A:$J,4,FALSE)</f>
        <v>100</v>
      </c>
      <c r="J9" s="48" t="str">
        <f>VLOOKUP($F9,enemy_skill_triggers!$A:$J,5,FALSE)</f>
        <v>null</v>
      </c>
      <c r="K9" s="48" t="str">
        <f>VLOOKUP($F9,enemy_skill_triggers!$A:$J,6,FALSE)</f>
        <v>null</v>
      </c>
      <c r="L9" s="48">
        <f>VLOOKUP($F9,enemy_skill_triggers!$A:$J,7,FALSE)</f>
        <v>1</v>
      </c>
      <c r="M9" s="48" t="str">
        <f>VLOOKUP($F9,enemy_skill_triggers!$A:$J,8,FALSE)</f>
        <v>null</v>
      </c>
      <c r="N9" s="48">
        <f>VLOOKUP($F9,enemy_skill_triggers!$A:$J,9,FALSE)</f>
        <v>26</v>
      </c>
      <c r="O9" s="48">
        <f>VLOOKUP($F9,enemy_skill_triggers!$A:$J,10,FALSE)</f>
        <v>100</v>
      </c>
      <c r="P9" s="47"/>
      <c r="Q9" s="47"/>
      <c r="R9" s="47"/>
    </row>
    <row r="10" spans="1:18" ht="21" customHeight="1" x14ac:dyDescent="0.15">
      <c r="A10" s="39" t="str">
        <f t="shared" si="6"/>
        <v>30017005_30017010</v>
      </c>
      <c r="B10" s="130">
        <v>30017005</v>
      </c>
      <c r="C10" s="47">
        <v>30017010</v>
      </c>
      <c r="D10" s="46" t="str">
        <f>IFERROR(VLOOKUP(C10,enemy_skills!A:Y,4,FALSE),VLOOKUP(C10,[5]enemy_skills!$A:$E,4,FALSE))</f>
        <v>ja</v>
      </c>
      <c r="E10" s="46" t="str">
        <f>IFERROR(VLOOKUP(C10,enemy_skills!A:Y,5,FALSE),VLOOKUP(C10,[5]enemy_skills!$A:$E,5,FALSE))</f>
        <v>リンクブレイク！</v>
      </c>
      <c r="F10" s="47">
        <v>30017005</v>
      </c>
      <c r="G10" s="48">
        <f>VLOOKUP($F10,enemy_skill_triggers!$A:$J,2,FALSE)</f>
        <v>0</v>
      </c>
      <c r="H10" s="48">
        <f>VLOOKUP($F10,enemy_skill_triggers!$A:$J,3,FALSE)</f>
        <v>9</v>
      </c>
      <c r="I10" s="48">
        <f>VLOOKUP($F10,enemy_skill_triggers!$A:$J,4,FALSE)</f>
        <v>100</v>
      </c>
      <c r="J10" s="48" t="str">
        <f>VLOOKUP($F10,enemy_skill_triggers!$A:$J,5,FALSE)</f>
        <v>null</v>
      </c>
      <c r="K10" s="48" t="str">
        <f>VLOOKUP($F10,enemy_skill_triggers!$A:$J,6,FALSE)</f>
        <v>null</v>
      </c>
      <c r="L10" s="48">
        <f>VLOOKUP($F10,enemy_skill_triggers!$A:$J,7,FALSE)</f>
        <v>1</v>
      </c>
      <c r="M10" s="48" t="str">
        <f>VLOOKUP($F10,enemy_skill_triggers!$A:$J,8,FALSE)</f>
        <v>null</v>
      </c>
      <c r="N10" s="48">
        <f>VLOOKUP($F10,enemy_skill_triggers!$A:$J,9,FALSE)</f>
        <v>26</v>
      </c>
      <c r="O10" s="48">
        <f>VLOOKUP($F10,enemy_skill_triggers!$A:$J,10,FALSE)</f>
        <v>100</v>
      </c>
      <c r="P10" s="47"/>
      <c r="Q10" s="47"/>
      <c r="R10" s="47"/>
    </row>
    <row r="11" spans="1:18" ht="21" customHeight="1" x14ac:dyDescent="0.15">
      <c r="A11" s="39" t="str">
        <f t="shared" ref="A11" si="7">B11&amp;"_"&amp;C11</f>
        <v>30017006_30017006</v>
      </c>
      <c r="B11" s="47">
        <v>30017006</v>
      </c>
      <c r="C11" s="47">
        <v>30017006</v>
      </c>
      <c r="D11" s="46" t="str">
        <f>IFERROR(VLOOKUP(C11,enemy_skills!A:Y,4,FALSE),VLOOKUP(C11,[5]enemy_skills!$A:$E,4,FALSE))</f>
        <v>ja</v>
      </c>
      <c r="E11" s="46" t="str">
        <f>IFERROR(VLOOKUP(C11,enemy_skills!A:Y,5,FALSE),VLOOKUP(C11,[5]enemy_skills!$A:$E,5,FALSE))</f>
        <v>ソウルリンク！</v>
      </c>
      <c r="F11" s="47">
        <v>30017002</v>
      </c>
      <c r="G11" s="48">
        <f>VLOOKUP($F11,enemy_skill_triggers!$A:$J,2,FALSE)</f>
        <v>1</v>
      </c>
      <c r="H11" s="48">
        <f>VLOOKUP($F11,enemy_skill_triggers!$A:$J,3,FALSE)</f>
        <v>99</v>
      </c>
      <c r="I11" s="48">
        <f>VLOOKUP($F11,enemy_skill_triggers!$A:$J,4,FALSE)</f>
        <v>100</v>
      </c>
      <c r="J11" s="48" t="str">
        <f>VLOOKUP($F11,enemy_skill_triggers!$A:$J,5,FALSE)</f>
        <v>null</v>
      </c>
      <c r="K11" s="48" t="str">
        <f>VLOOKUP($F11,enemy_skill_triggers!$A:$J,6,FALSE)</f>
        <v>null</v>
      </c>
      <c r="L11" s="48">
        <f>VLOOKUP($F11,enemy_skill_triggers!$A:$J,7,FALSE)</f>
        <v>1</v>
      </c>
      <c r="M11" s="48" t="str">
        <f>VLOOKUP($F11,enemy_skill_triggers!$A:$J,8,FALSE)</f>
        <v>null</v>
      </c>
      <c r="N11" s="48" t="str">
        <f>VLOOKUP($F11,enemy_skill_triggers!$A:$J,9,FALSE)</f>
        <v>null</v>
      </c>
      <c r="O11" s="48">
        <f>VLOOKUP($F11,enemy_skill_triggers!$A:$J,10,FALSE)</f>
        <v>100</v>
      </c>
      <c r="P11" s="47"/>
      <c r="Q11" s="47"/>
      <c r="R11" s="47"/>
    </row>
    <row r="12" spans="1:18" ht="21" customHeight="1" x14ac:dyDescent="0.15">
      <c r="A12" s="39" t="str">
        <f t="shared" ref="A12" si="8">B12&amp;"_"&amp;C12</f>
        <v>30017006_30017007</v>
      </c>
      <c r="B12" s="47">
        <v>30017006</v>
      </c>
      <c r="C12" s="47">
        <v>30017007</v>
      </c>
      <c r="D12" s="46" t="str">
        <f>IFERROR(VLOOKUP(C12,enemy_skills!A:Y,4,FALSE),VLOOKUP(C12,[5]enemy_skills!$A:$E,4,FALSE))</f>
        <v>ja</v>
      </c>
      <c r="E12" s="46" t="str">
        <f>IFERROR(VLOOKUP(C12,enemy_skills!A:Y,5,FALSE),VLOOKUP(C12,[5]enemy_skills!$A:$E,5,FALSE))</f>
        <v>カイザーナックル</v>
      </c>
      <c r="F12" s="47">
        <v>30017001</v>
      </c>
      <c r="G12" s="48">
        <f>VLOOKUP($F12,enemy_skill_triggers!$A:$J,2,FALSE)</f>
        <v>0</v>
      </c>
      <c r="H12" s="48">
        <f>VLOOKUP($F12,enemy_skill_triggers!$A:$J,3,FALSE)</f>
        <v>1</v>
      </c>
      <c r="I12" s="48">
        <f>VLOOKUP($F12,enemy_skill_triggers!$A:$J,4,FALSE)</f>
        <v>50</v>
      </c>
      <c r="J12" s="48" t="str">
        <f>VLOOKUP($F12,enemy_skill_triggers!$A:$J,5,FALSE)</f>
        <v>null</v>
      </c>
      <c r="K12" s="48" t="str">
        <f>VLOOKUP($F12,enemy_skill_triggers!$A:$J,6,FALSE)</f>
        <v>null</v>
      </c>
      <c r="L12" s="48" t="str">
        <f>VLOOKUP($F12,enemy_skill_triggers!$A:$J,7,FALSE)</f>
        <v>null</v>
      </c>
      <c r="M12" s="48" t="str">
        <f>VLOOKUP($F12,enemy_skill_triggers!$A:$J,8,FALSE)</f>
        <v>null</v>
      </c>
      <c r="N12" s="48" t="str">
        <f>VLOOKUP($F12,enemy_skill_triggers!$A:$J,9,FALSE)</f>
        <v>null</v>
      </c>
      <c r="O12" s="48">
        <f>VLOOKUP($F12,enemy_skill_triggers!$A:$J,10,FALSE)</f>
        <v>50</v>
      </c>
      <c r="P12" s="47"/>
      <c r="Q12" s="47"/>
      <c r="R12" s="47"/>
    </row>
    <row r="13" spans="1:18" ht="21" customHeight="1" x14ac:dyDescent="0.15">
      <c r="A13" s="39" t="str">
        <f t="shared" ref="A13" si="9">B13&amp;"_"&amp;C13</f>
        <v>30017006_30017008</v>
      </c>
      <c r="B13" s="47">
        <v>30017006</v>
      </c>
      <c r="C13" s="47">
        <v>30017008</v>
      </c>
      <c r="D13" s="46" t="str">
        <f>IFERROR(VLOOKUP(C13,enemy_skills!A:Y,4,FALSE),VLOOKUP(C13,[5]enemy_skills!$A:$E,4,FALSE))</f>
        <v>ja</v>
      </c>
      <c r="E13" s="46" t="str">
        <f>IFERROR(VLOOKUP(C13,enemy_skills!A:Y,5,FALSE),VLOOKUP(C13,[5]enemy_skills!$A:$E,5,FALSE))</f>
        <v>ぶちかまし</v>
      </c>
      <c r="F13" s="47">
        <v>30017003</v>
      </c>
      <c r="G13" s="48">
        <f>VLOOKUP($F13,enemy_skill_triggers!$A:$J,2,FALSE)</f>
        <v>0</v>
      </c>
      <c r="H13" s="48">
        <f>VLOOKUP($F13,enemy_skill_triggers!$A:$J,3,FALSE)</f>
        <v>2</v>
      </c>
      <c r="I13" s="48">
        <f>VLOOKUP($F13,enemy_skill_triggers!$A:$J,4,FALSE)</f>
        <v>70</v>
      </c>
      <c r="J13" s="48">
        <f>VLOOKUP($F13,enemy_skill_triggers!$A:$J,5,FALSE)</f>
        <v>70</v>
      </c>
      <c r="K13" s="48" t="str">
        <f>VLOOKUP($F13,enemy_skill_triggers!$A:$J,6,FALSE)</f>
        <v>null</v>
      </c>
      <c r="L13" s="48">
        <f>VLOOKUP($F13,enemy_skill_triggers!$A:$J,7,FALSE)</f>
        <v>3</v>
      </c>
      <c r="M13" s="48" t="str">
        <f>VLOOKUP($F13,enemy_skill_triggers!$A:$J,8,FALSE)</f>
        <v>null</v>
      </c>
      <c r="N13" s="48" t="str">
        <f>VLOOKUP($F13,enemy_skill_triggers!$A:$J,9,FALSE)</f>
        <v>null</v>
      </c>
      <c r="O13" s="48">
        <f>VLOOKUP($F13,enemy_skill_triggers!$A:$J,10,FALSE)</f>
        <v>70</v>
      </c>
      <c r="P13" s="47"/>
      <c r="Q13" s="47"/>
      <c r="R13" s="47"/>
    </row>
    <row r="14" spans="1:18" ht="21" customHeight="1" x14ac:dyDescent="0.15">
      <c r="A14" s="39" t="str">
        <f t="shared" ref="A14" si="10">B14&amp;"_"&amp;C14</f>
        <v>30017006_30017009</v>
      </c>
      <c r="B14" s="47">
        <v>30017006</v>
      </c>
      <c r="C14" s="47">
        <v>30017009</v>
      </c>
      <c r="D14" s="46" t="str">
        <f>IFERROR(VLOOKUP(C14,enemy_skills!A:Y,4,FALSE),VLOOKUP(C14,[5]enemy_skills!$A:$E,4,FALSE))</f>
        <v>ja</v>
      </c>
      <c r="E14" s="46" t="str">
        <f>IFERROR(VLOOKUP(C14,enemy_skills!A:Y,5,FALSE),VLOOKUP(C14,[5]enemy_skills!$A:$E,5,FALSE))</f>
        <v>リンクブレイク！</v>
      </c>
      <c r="F14" s="47">
        <v>30017004</v>
      </c>
      <c r="G14" s="48">
        <f>VLOOKUP($F14,enemy_skill_triggers!$A:$J,2,FALSE)</f>
        <v>0</v>
      </c>
      <c r="H14" s="48">
        <f>VLOOKUP($F14,enemy_skill_triggers!$A:$J,3,FALSE)</f>
        <v>10</v>
      </c>
      <c r="I14" s="48">
        <f>VLOOKUP($F14,enemy_skill_triggers!$A:$J,4,FALSE)</f>
        <v>100</v>
      </c>
      <c r="J14" s="48" t="str">
        <f>VLOOKUP($F14,enemy_skill_triggers!$A:$J,5,FALSE)</f>
        <v>null</v>
      </c>
      <c r="K14" s="48" t="str">
        <f>VLOOKUP($F14,enemy_skill_triggers!$A:$J,6,FALSE)</f>
        <v>null</v>
      </c>
      <c r="L14" s="48">
        <f>VLOOKUP($F14,enemy_skill_triggers!$A:$J,7,FALSE)</f>
        <v>1</v>
      </c>
      <c r="M14" s="48" t="str">
        <f>VLOOKUP($F14,enemy_skill_triggers!$A:$J,8,FALSE)</f>
        <v>null</v>
      </c>
      <c r="N14" s="48">
        <f>VLOOKUP($F14,enemy_skill_triggers!$A:$J,9,FALSE)</f>
        <v>26</v>
      </c>
      <c r="O14" s="48">
        <f>VLOOKUP($F14,enemy_skill_triggers!$A:$J,10,FALSE)</f>
        <v>100</v>
      </c>
      <c r="P14" s="47"/>
      <c r="Q14" s="47"/>
      <c r="R14" s="47"/>
    </row>
    <row r="15" spans="1:18" ht="21" customHeight="1" x14ac:dyDescent="0.15">
      <c r="A15" s="39" t="str">
        <f t="shared" ref="A15" si="11">B15&amp;"_"&amp;C15</f>
        <v>30017006_30017010</v>
      </c>
      <c r="B15" s="47">
        <v>30017006</v>
      </c>
      <c r="C15" s="47">
        <v>30017010</v>
      </c>
      <c r="D15" s="46" t="str">
        <f>IFERROR(VLOOKUP(C15,enemy_skills!A:Y,4,FALSE),VLOOKUP(C15,[5]enemy_skills!$A:$E,4,FALSE))</f>
        <v>ja</v>
      </c>
      <c r="E15" s="46" t="str">
        <f>IFERROR(VLOOKUP(C15,enemy_skills!A:Y,5,FALSE),VLOOKUP(C15,[5]enemy_skills!$A:$E,5,FALSE))</f>
        <v>リンクブレイク！</v>
      </c>
      <c r="F15" s="47">
        <v>30017005</v>
      </c>
      <c r="G15" s="48">
        <f>VLOOKUP($F15,enemy_skill_triggers!$A:$J,2,FALSE)</f>
        <v>0</v>
      </c>
      <c r="H15" s="48">
        <f>VLOOKUP($F15,enemy_skill_triggers!$A:$J,3,FALSE)</f>
        <v>9</v>
      </c>
      <c r="I15" s="48">
        <f>VLOOKUP($F15,enemy_skill_triggers!$A:$J,4,FALSE)</f>
        <v>100</v>
      </c>
      <c r="J15" s="48" t="str">
        <f>VLOOKUP($F15,enemy_skill_triggers!$A:$J,5,FALSE)</f>
        <v>null</v>
      </c>
      <c r="K15" s="48" t="str">
        <f>VLOOKUP($F15,enemy_skill_triggers!$A:$J,6,FALSE)</f>
        <v>null</v>
      </c>
      <c r="L15" s="48">
        <f>VLOOKUP($F15,enemy_skill_triggers!$A:$J,7,FALSE)</f>
        <v>1</v>
      </c>
      <c r="M15" s="48" t="str">
        <f>VLOOKUP($F15,enemy_skill_triggers!$A:$J,8,FALSE)</f>
        <v>null</v>
      </c>
      <c r="N15" s="48">
        <f>VLOOKUP($F15,enemy_skill_triggers!$A:$J,9,FALSE)</f>
        <v>26</v>
      </c>
      <c r="O15" s="48">
        <f>VLOOKUP($F15,enemy_skill_triggers!$A:$J,10,FALSE)</f>
        <v>100</v>
      </c>
      <c r="P15" s="47"/>
      <c r="Q15" s="47"/>
      <c r="R15" s="47"/>
    </row>
    <row r="16" spans="1:18" ht="21" customHeight="1" x14ac:dyDescent="0.15">
      <c r="A16" s="39" t="str">
        <f t="shared" ref="A16" si="12">B16&amp;"_"&amp;C16</f>
        <v>30017007_30017011</v>
      </c>
      <c r="B16" s="47">
        <v>30017007</v>
      </c>
      <c r="C16" s="47">
        <v>30017011</v>
      </c>
      <c r="D16" s="46" t="str">
        <f>IFERROR(VLOOKUP(C16,enemy_skills!A:Y,4,FALSE),VLOOKUP(C16,[5]enemy_skills!$A:$E,4,FALSE))</f>
        <v>ja</v>
      </c>
      <c r="E16" s="46" t="str">
        <f>IFERROR(VLOOKUP(C16,enemy_skills!A:Y,5,FALSE),VLOOKUP(C16,[5]enemy_skills!$A:$E,5,FALSE))</f>
        <v>れんぞくかみつき</v>
      </c>
      <c r="F16" s="47">
        <v>30017001</v>
      </c>
      <c r="G16" s="48">
        <f>VLOOKUP($F16,enemy_skill_triggers!$A:$J,2,FALSE)</f>
        <v>0</v>
      </c>
      <c r="H16" s="48">
        <f>VLOOKUP($F16,enemy_skill_triggers!$A:$J,3,FALSE)</f>
        <v>1</v>
      </c>
      <c r="I16" s="48">
        <f>VLOOKUP($F16,enemy_skill_triggers!$A:$J,4,FALSE)</f>
        <v>50</v>
      </c>
      <c r="J16" s="48" t="str">
        <f>VLOOKUP($F16,enemy_skill_triggers!$A:$J,5,FALSE)</f>
        <v>null</v>
      </c>
      <c r="K16" s="48" t="str">
        <f>VLOOKUP($F16,enemy_skill_triggers!$A:$J,6,FALSE)</f>
        <v>null</v>
      </c>
      <c r="L16" s="48" t="str">
        <f>VLOOKUP($F16,enemy_skill_triggers!$A:$J,7,FALSE)</f>
        <v>null</v>
      </c>
      <c r="M16" s="48" t="str">
        <f>VLOOKUP($F16,enemy_skill_triggers!$A:$J,8,FALSE)</f>
        <v>null</v>
      </c>
      <c r="N16" s="48" t="str">
        <f>VLOOKUP($F16,enemy_skill_triggers!$A:$J,9,FALSE)</f>
        <v>null</v>
      </c>
      <c r="O16" s="48">
        <f>VLOOKUP($F16,enemy_skill_triggers!$A:$J,10,FALSE)</f>
        <v>50</v>
      </c>
      <c r="P16" s="47"/>
      <c r="Q16" s="47"/>
      <c r="R16" s="47"/>
    </row>
    <row r="17" spans="1:18" ht="21" customHeight="1" x14ac:dyDescent="0.15">
      <c r="A17" s="39" t="str">
        <f t="shared" ref="A17" si="13">B17&amp;"_"&amp;C17</f>
        <v>30017008_30017012</v>
      </c>
      <c r="B17" s="130">
        <v>30017008</v>
      </c>
      <c r="C17" s="47">
        <v>30017012</v>
      </c>
      <c r="D17" s="46" t="str">
        <f>IFERROR(VLOOKUP(C17,enemy_skills!A:Y,4,FALSE),VLOOKUP(C17,[5]enemy_skills!$A:$E,4,FALSE))</f>
        <v>ja</v>
      </c>
      <c r="E17" s="46" t="str">
        <f>IFERROR(VLOOKUP(C17,enemy_skills!A:Y,5,FALSE),VLOOKUP(C17,[5]enemy_skills!$A:$E,5,FALSE))</f>
        <v>戦いに情けは無用！</v>
      </c>
      <c r="F17" s="47">
        <v>30017002</v>
      </c>
      <c r="G17" s="48">
        <f>VLOOKUP($F17,enemy_skill_triggers!$A:$J,2,FALSE)</f>
        <v>1</v>
      </c>
      <c r="H17" s="48">
        <f>VLOOKUP($F17,enemy_skill_triggers!$A:$J,3,FALSE)</f>
        <v>99</v>
      </c>
      <c r="I17" s="48">
        <f>VLOOKUP($F17,enemy_skill_triggers!$A:$J,4,FALSE)</f>
        <v>100</v>
      </c>
      <c r="J17" s="48" t="str">
        <f>VLOOKUP($F17,enemy_skill_triggers!$A:$J,5,FALSE)</f>
        <v>null</v>
      </c>
      <c r="K17" s="48" t="str">
        <f>VLOOKUP($F17,enemy_skill_triggers!$A:$J,6,FALSE)</f>
        <v>null</v>
      </c>
      <c r="L17" s="48">
        <f>VLOOKUP($F17,enemy_skill_triggers!$A:$J,7,FALSE)</f>
        <v>1</v>
      </c>
      <c r="M17" s="48" t="str">
        <f>VLOOKUP($F17,enemy_skill_triggers!$A:$J,8,FALSE)</f>
        <v>null</v>
      </c>
      <c r="N17" s="48" t="str">
        <f>VLOOKUP($F17,enemy_skill_triggers!$A:$J,9,FALSE)</f>
        <v>null</v>
      </c>
      <c r="O17" s="48">
        <f>VLOOKUP($F17,enemy_skill_triggers!$A:$J,10,FALSE)</f>
        <v>100</v>
      </c>
      <c r="P17" s="47"/>
      <c r="Q17" s="47"/>
      <c r="R17" s="47"/>
    </row>
    <row r="18" spans="1:18" ht="21" customHeight="1" x14ac:dyDescent="0.15">
      <c r="A18" s="39" t="str">
        <f t="shared" ref="A18" si="14">B18&amp;"_"&amp;C18</f>
        <v>30017008_30017013</v>
      </c>
      <c r="B18" s="130">
        <v>30017008</v>
      </c>
      <c r="C18" s="47">
        <v>30017013</v>
      </c>
      <c r="D18" s="46" t="str">
        <f>IFERROR(VLOOKUP(C18,enemy_skills!A:Y,4,FALSE),VLOOKUP(C18,[5]enemy_skills!$A:$E,4,FALSE))</f>
        <v>ja</v>
      </c>
      <c r="E18" s="46" t="str">
        <f>IFERROR(VLOOKUP(C18,enemy_skills!A:Y,5,FALSE),VLOOKUP(C18,[5]enemy_skills!$A:$E,5,FALSE))</f>
        <v>爆炎剣</v>
      </c>
      <c r="F18" s="47">
        <v>30017001</v>
      </c>
      <c r="G18" s="48">
        <f>VLOOKUP($F18,enemy_skill_triggers!$A:$J,2,FALSE)</f>
        <v>0</v>
      </c>
      <c r="H18" s="48">
        <f>VLOOKUP($F18,enemy_skill_triggers!$A:$J,3,FALSE)</f>
        <v>1</v>
      </c>
      <c r="I18" s="48">
        <f>VLOOKUP($F18,enemy_skill_triggers!$A:$J,4,FALSE)</f>
        <v>50</v>
      </c>
      <c r="J18" s="48" t="str">
        <f>VLOOKUP($F18,enemy_skill_triggers!$A:$J,5,FALSE)</f>
        <v>null</v>
      </c>
      <c r="K18" s="48" t="str">
        <f>VLOOKUP($F18,enemy_skill_triggers!$A:$J,6,FALSE)</f>
        <v>null</v>
      </c>
      <c r="L18" s="48" t="str">
        <f>VLOOKUP($F18,enemy_skill_triggers!$A:$J,7,FALSE)</f>
        <v>null</v>
      </c>
      <c r="M18" s="48" t="str">
        <f>VLOOKUP($F18,enemy_skill_triggers!$A:$J,8,FALSE)</f>
        <v>null</v>
      </c>
      <c r="N18" s="48" t="str">
        <f>VLOOKUP($F18,enemy_skill_triggers!$A:$J,9,FALSE)</f>
        <v>null</v>
      </c>
      <c r="O18" s="48">
        <f>VLOOKUP($F18,enemy_skill_triggers!$A:$J,10,FALSE)</f>
        <v>50</v>
      </c>
      <c r="P18" s="47"/>
      <c r="Q18" s="47"/>
      <c r="R18" s="47"/>
    </row>
    <row r="19" spans="1:18" ht="21" customHeight="1" x14ac:dyDescent="0.15">
      <c r="A19" s="39" t="str">
        <f t="shared" ref="A19" si="15">B19&amp;"_"&amp;C19</f>
        <v>30017008_30017014</v>
      </c>
      <c r="B19" s="130">
        <v>30017008</v>
      </c>
      <c r="C19" s="47">
        <v>30017014</v>
      </c>
      <c r="D19" s="46" t="str">
        <f>IFERROR(VLOOKUP(C19,enemy_skills!A:Y,4,FALSE),VLOOKUP(C19,[5]enemy_skills!$A:$E,4,FALSE))</f>
        <v>ja</v>
      </c>
      <c r="E19" s="46" t="str">
        <f>IFERROR(VLOOKUP(C19,enemy_skills!A:Y,5,FALSE),VLOOKUP(C19,[5]enemy_skills!$A:$E,5,FALSE))</f>
        <v>適者生存</v>
      </c>
      <c r="F19" s="47">
        <v>30017001</v>
      </c>
      <c r="G19" s="48">
        <f>VLOOKUP($F19,enemy_skill_triggers!$A:$J,2,FALSE)</f>
        <v>0</v>
      </c>
      <c r="H19" s="48">
        <f>VLOOKUP($F19,enemy_skill_triggers!$A:$J,3,FALSE)</f>
        <v>1</v>
      </c>
      <c r="I19" s="48">
        <f>VLOOKUP($F19,enemy_skill_triggers!$A:$J,4,FALSE)</f>
        <v>50</v>
      </c>
      <c r="J19" s="48" t="str">
        <f>VLOOKUP($F19,enemy_skill_triggers!$A:$J,5,FALSE)</f>
        <v>null</v>
      </c>
      <c r="K19" s="48" t="str">
        <f>VLOOKUP($F19,enemy_skill_triggers!$A:$J,6,FALSE)</f>
        <v>null</v>
      </c>
      <c r="L19" s="48" t="str">
        <f>VLOOKUP($F19,enemy_skill_triggers!$A:$J,7,FALSE)</f>
        <v>null</v>
      </c>
      <c r="M19" s="48" t="str">
        <f>VLOOKUP($F19,enemy_skill_triggers!$A:$J,8,FALSE)</f>
        <v>null</v>
      </c>
      <c r="N19" s="48" t="str">
        <f>VLOOKUP($F19,enemy_skill_triggers!$A:$J,9,FALSE)</f>
        <v>null</v>
      </c>
      <c r="O19" s="48">
        <f>VLOOKUP($F19,enemy_skill_triggers!$A:$J,10,FALSE)</f>
        <v>50</v>
      </c>
      <c r="P19" s="47"/>
      <c r="Q19" s="47"/>
      <c r="R19" s="47"/>
    </row>
    <row r="20" spans="1:18" ht="21" customHeight="1" x14ac:dyDescent="0.15">
      <c r="A20" s="39" t="str">
        <f t="shared" ref="A20:A23" si="16">B20&amp;"_"&amp;C20</f>
        <v>30017008_30017015</v>
      </c>
      <c r="B20" s="130">
        <v>30017008</v>
      </c>
      <c r="C20" s="47">
        <v>30017015</v>
      </c>
      <c r="D20" s="46" t="str">
        <f>IFERROR(VLOOKUP(C20,enemy_skills!A:Y,4,FALSE),VLOOKUP(C20,[5]enemy_skills!$A:$E,4,FALSE))</f>
        <v>ja</v>
      </c>
      <c r="E20" s="46" t="str">
        <f>IFERROR(VLOOKUP(C20,enemy_skills!A:Y,5,FALSE),VLOOKUP(C20,[5]enemy_skills!$A:$E,5,FALSE))</f>
        <v>灰塵剣</v>
      </c>
      <c r="F20" s="47">
        <v>30017006</v>
      </c>
      <c r="G20" s="48">
        <f>VLOOKUP($F20,enemy_skill_triggers!$A:$J,2,FALSE)</f>
        <v>0</v>
      </c>
      <c r="H20" s="48">
        <f>VLOOKUP($F20,enemy_skill_triggers!$A:$J,3,FALSE)</f>
        <v>2</v>
      </c>
      <c r="I20" s="48">
        <f>VLOOKUP($F20,enemy_skill_triggers!$A:$J,4,FALSE)</f>
        <v>100</v>
      </c>
      <c r="J20" s="48">
        <f>VLOOKUP($F20,enemy_skill_triggers!$A:$J,5,FALSE)</f>
        <v>30</v>
      </c>
      <c r="K20" s="48" t="str">
        <f>VLOOKUP($F20,enemy_skill_triggers!$A:$J,6,FALSE)</f>
        <v>null</v>
      </c>
      <c r="L20" s="48">
        <f>VLOOKUP($F20,enemy_skill_triggers!$A:$J,7,FALSE)</f>
        <v>2</v>
      </c>
      <c r="M20" s="48" t="str">
        <f>VLOOKUP($F20,enemy_skill_triggers!$A:$J,8,FALSE)</f>
        <v>null</v>
      </c>
      <c r="N20" s="48" t="str">
        <f>VLOOKUP($F20,enemy_skill_triggers!$A:$J,9,FALSE)</f>
        <v>null</v>
      </c>
      <c r="O20" s="48">
        <f>VLOOKUP($F20,enemy_skill_triggers!$A:$J,10,FALSE)</f>
        <v>100</v>
      </c>
      <c r="P20" s="47"/>
      <c r="Q20" s="47"/>
      <c r="R20" s="47"/>
    </row>
    <row r="21" spans="1:18" ht="21" customHeight="1" x14ac:dyDescent="0.15">
      <c r="A21" s="39" t="str">
        <f t="shared" si="16"/>
        <v>30017009_30017012</v>
      </c>
      <c r="B21" s="131">
        <v>30017009</v>
      </c>
      <c r="C21" s="47">
        <v>30017012</v>
      </c>
      <c r="D21" s="46" t="str">
        <f>IFERROR(VLOOKUP(C21,enemy_skills!A:Y,4,FALSE),VLOOKUP(C21,[5]enemy_skills!$A:$E,4,FALSE))</f>
        <v>ja</v>
      </c>
      <c r="E21" s="46" t="str">
        <f>IFERROR(VLOOKUP(C21,enemy_skills!A:Y,5,FALSE),VLOOKUP(C21,[5]enemy_skills!$A:$E,5,FALSE))</f>
        <v>戦いに情けは無用！</v>
      </c>
      <c r="F21" s="47">
        <v>30017002</v>
      </c>
      <c r="G21" s="48">
        <f>VLOOKUP($F21,enemy_skill_triggers!$A:$J,2,FALSE)</f>
        <v>1</v>
      </c>
      <c r="H21" s="48">
        <f>VLOOKUP($F21,enemy_skill_triggers!$A:$J,3,FALSE)</f>
        <v>99</v>
      </c>
      <c r="I21" s="48">
        <f>VLOOKUP($F21,enemy_skill_triggers!$A:$J,4,FALSE)</f>
        <v>100</v>
      </c>
      <c r="J21" s="48" t="str">
        <f>VLOOKUP($F21,enemy_skill_triggers!$A:$J,5,FALSE)</f>
        <v>null</v>
      </c>
      <c r="K21" s="48" t="str">
        <f>VLOOKUP($F21,enemy_skill_triggers!$A:$J,6,FALSE)</f>
        <v>null</v>
      </c>
      <c r="L21" s="48">
        <f>VLOOKUP($F21,enemy_skill_triggers!$A:$J,7,FALSE)</f>
        <v>1</v>
      </c>
      <c r="M21" s="48" t="str">
        <f>VLOOKUP($F21,enemy_skill_triggers!$A:$J,8,FALSE)</f>
        <v>null</v>
      </c>
      <c r="N21" s="48" t="str">
        <f>VLOOKUP($F21,enemy_skill_triggers!$A:$J,9,FALSE)</f>
        <v>null</v>
      </c>
      <c r="O21" s="48">
        <f>VLOOKUP($F21,enemy_skill_triggers!$A:$J,10,FALSE)</f>
        <v>100</v>
      </c>
      <c r="P21" s="47"/>
      <c r="Q21" s="47"/>
      <c r="R21" s="47"/>
    </row>
    <row r="22" spans="1:18" ht="21" customHeight="1" x14ac:dyDescent="0.15">
      <c r="A22" s="39" t="str">
        <f t="shared" si="16"/>
        <v>30017009_30017013</v>
      </c>
      <c r="B22" s="131">
        <v>30017009</v>
      </c>
      <c r="C22" s="47">
        <v>30017013</v>
      </c>
      <c r="D22" s="46" t="str">
        <f>IFERROR(VLOOKUP(C22,enemy_skills!A:Y,4,FALSE),VLOOKUP(C22,[5]enemy_skills!$A:$E,4,FALSE))</f>
        <v>ja</v>
      </c>
      <c r="E22" s="46" t="str">
        <f>IFERROR(VLOOKUP(C22,enemy_skills!A:Y,5,FALSE),VLOOKUP(C22,[5]enemy_skills!$A:$E,5,FALSE))</f>
        <v>爆炎剣</v>
      </c>
      <c r="F22" s="47">
        <v>30017001</v>
      </c>
      <c r="G22" s="48">
        <f>VLOOKUP($F22,enemy_skill_triggers!$A:$J,2,FALSE)</f>
        <v>0</v>
      </c>
      <c r="H22" s="48">
        <f>VLOOKUP($F22,enemy_skill_triggers!$A:$J,3,FALSE)</f>
        <v>1</v>
      </c>
      <c r="I22" s="48">
        <f>VLOOKUP($F22,enemy_skill_triggers!$A:$J,4,FALSE)</f>
        <v>50</v>
      </c>
      <c r="J22" s="48" t="str">
        <f>VLOOKUP($F22,enemy_skill_triggers!$A:$J,5,FALSE)</f>
        <v>null</v>
      </c>
      <c r="K22" s="48" t="str">
        <f>VLOOKUP($F22,enemy_skill_triggers!$A:$J,6,FALSE)</f>
        <v>null</v>
      </c>
      <c r="L22" s="48" t="str">
        <f>VLOOKUP($F22,enemy_skill_triggers!$A:$J,7,FALSE)</f>
        <v>null</v>
      </c>
      <c r="M22" s="48" t="str">
        <f>VLOOKUP($F22,enemy_skill_triggers!$A:$J,8,FALSE)</f>
        <v>null</v>
      </c>
      <c r="N22" s="48" t="str">
        <f>VLOOKUP($F22,enemy_skill_triggers!$A:$J,9,FALSE)</f>
        <v>null</v>
      </c>
      <c r="O22" s="48">
        <f>VLOOKUP($F22,enemy_skill_triggers!$A:$J,10,FALSE)</f>
        <v>50</v>
      </c>
      <c r="P22" s="47"/>
      <c r="Q22" s="47"/>
      <c r="R22" s="47"/>
    </row>
    <row r="23" spans="1:18" ht="21" customHeight="1" x14ac:dyDescent="0.15">
      <c r="A23" s="39" t="str">
        <f t="shared" si="16"/>
        <v>30017009_30017014</v>
      </c>
      <c r="B23" s="131">
        <v>30017009</v>
      </c>
      <c r="C23" s="47">
        <v>30017014</v>
      </c>
      <c r="D23" s="46" t="str">
        <f>IFERROR(VLOOKUP(C23,enemy_skills!A:Y,4,FALSE),VLOOKUP(C23,[5]enemy_skills!$A:$E,4,FALSE))</f>
        <v>ja</v>
      </c>
      <c r="E23" s="46" t="str">
        <f>IFERROR(VLOOKUP(C23,enemy_skills!A:Y,5,FALSE),VLOOKUP(C23,[5]enemy_skills!$A:$E,5,FALSE))</f>
        <v>適者生存</v>
      </c>
      <c r="F23" s="47">
        <v>30017001</v>
      </c>
      <c r="G23" s="48">
        <f>VLOOKUP($F23,enemy_skill_triggers!$A:$J,2,FALSE)</f>
        <v>0</v>
      </c>
      <c r="H23" s="48">
        <f>VLOOKUP($F23,enemy_skill_triggers!$A:$J,3,FALSE)</f>
        <v>1</v>
      </c>
      <c r="I23" s="48">
        <f>VLOOKUP($F23,enemy_skill_triggers!$A:$J,4,FALSE)</f>
        <v>50</v>
      </c>
      <c r="J23" s="48" t="str">
        <f>VLOOKUP($F23,enemy_skill_triggers!$A:$J,5,FALSE)</f>
        <v>null</v>
      </c>
      <c r="K23" s="48" t="str">
        <f>VLOOKUP($F23,enemy_skill_triggers!$A:$J,6,FALSE)</f>
        <v>null</v>
      </c>
      <c r="L23" s="48" t="str">
        <f>VLOOKUP($F23,enemy_skill_triggers!$A:$J,7,FALSE)</f>
        <v>null</v>
      </c>
      <c r="M23" s="48" t="str">
        <f>VLOOKUP($F23,enemy_skill_triggers!$A:$J,8,FALSE)</f>
        <v>null</v>
      </c>
      <c r="N23" s="48" t="str">
        <f>VLOOKUP($F23,enemy_skill_triggers!$A:$J,9,FALSE)</f>
        <v>null</v>
      </c>
      <c r="O23" s="48">
        <f>VLOOKUP($F23,enemy_skill_triggers!$A:$J,10,FALSE)</f>
        <v>50</v>
      </c>
      <c r="P23" s="47"/>
      <c r="Q23" s="47"/>
      <c r="R23" s="47"/>
    </row>
    <row r="24" spans="1:18" ht="21" customHeight="1" x14ac:dyDescent="0.15">
      <c r="A24" s="39" t="str">
        <f t="shared" ref="A24:A25" si="17">B24&amp;"_"&amp;C24</f>
        <v>30017009_30017015</v>
      </c>
      <c r="B24" s="131">
        <v>30017009</v>
      </c>
      <c r="C24" s="47">
        <v>30017015</v>
      </c>
      <c r="D24" s="46" t="str">
        <f>IFERROR(VLOOKUP(C24,enemy_skills!A:Y,4,FALSE),VLOOKUP(C24,[5]enemy_skills!$A:$E,4,FALSE))</f>
        <v>ja</v>
      </c>
      <c r="E24" s="46" t="str">
        <f>IFERROR(VLOOKUP(C24,enemy_skills!A:Y,5,FALSE),VLOOKUP(C24,[5]enemy_skills!$A:$E,5,FALSE))</f>
        <v>灰塵剣</v>
      </c>
      <c r="F24" s="47">
        <v>30017006</v>
      </c>
      <c r="G24" s="48">
        <f>VLOOKUP($F24,enemy_skill_triggers!$A:$J,2,FALSE)</f>
        <v>0</v>
      </c>
      <c r="H24" s="48">
        <f>VLOOKUP($F24,enemy_skill_triggers!$A:$J,3,FALSE)</f>
        <v>2</v>
      </c>
      <c r="I24" s="48">
        <f>VLOOKUP($F24,enemy_skill_triggers!$A:$J,4,FALSE)</f>
        <v>100</v>
      </c>
      <c r="J24" s="48">
        <f>VLOOKUP($F24,enemy_skill_triggers!$A:$J,5,FALSE)</f>
        <v>30</v>
      </c>
      <c r="K24" s="48" t="str">
        <f>VLOOKUP($F24,enemy_skill_triggers!$A:$J,6,FALSE)</f>
        <v>null</v>
      </c>
      <c r="L24" s="48">
        <f>VLOOKUP($F24,enemy_skill_triggers!$A:$J,7,FALSE)</f>
        <v>2</v>
      </c>
      <c r="M24" s="48" t="str">
        <f>VLOOKUP($F24,enemy_skill_triggers!$A:$J,8,FALSE)</f>
        <v>null</v>
      </c>
      <c r="N24" s="48" t="str">
        <f>VLOOKUP($F24,enemy_skill_triggers!$A:$J,9,FALSE)</f>
        <v>null</v>
      </c>
      <c r="O24" s="48">
        <f>VLOOKUP($F24,enemy_skill_triggers!$A:$J,10,FALSE)</f>
        <v>100</v>
      </c>
      <c r="P24" s="47"/>
      <c r="Q24" s="47"/>
      <c r="R24" s="47"/>
    </row>
    <row r="25" spans="1:18" ht="21" customHeight="1" x14ac:dyDescent="0.15">
      <c r="A25" s="39" t="str">
        <f t="shared" si="17"/>
        <v>30017010_30017016</v>
      </c>
      <c r="B25" s="130">
        <v>30017010</v>
      </c>
      <c r="C25" s="47">
        <v>30017016</v>
      </c>
      <c r="D25" s="46" t="str">
        <f>IFERROR(VLOOKUP(C25,enemy_skills!A:Y,4,FALSE),VLOOKUP(C25,[5]enemy_skills!$A:$E,4,FALSE))</f>
        <v>ja</v>
      </c>
      <c r="E25" s="46" t="str">
        <f>IFERROR(VLOOKUP(C25,enemy_skills!A:Y,5,FALSE),VLOOKUP(C25,[5]enemy_skills!$A:$E,5,FALSE))</f>
        <v>かなりの強者と見た</v>
      </c>
      <c r="F25" s="47">
        <v>30017002</v>
      </c>
      <c r="G25" s="48">
        <f>VLOOKUP($F25,enemy_skill_triggers!$A:$J,2,FALSE)</f>
        <v>1</v>
      </c>
      <c r="H25" s="48">
        <f>VLOOKUP($F25,enemy_skill_triggers!$A:$J,3,FALSE)</f>
        <v>99</v>
      </c>
      <c r="I25" s="48">
        <f>VLOOKUP($F25,enemy_skill_triggers!$A:$J,4,FALSE)</f>
        <v>100</v>
      </c>
      <c r="J25" s="48" t="str">
        <f>VLOOKUP($F25,enemy_skill_triggers!$A:$J,5,FALSE)</f>
        <v>null</v>
      </c>
      <c r="K25" s="48" t="str">
        <f>VLOOKUP($F25,enemy_skill_triggers!$A:$J,6,FALSE)</f>
        <v>null</v>
      </c>
      <c r="L25" s="48">
        <f>VLOOKUP($F25,enemy_skill_triggers!$A:$J,7,FALSE)</f>
        <v>1</v>
      </c>
      <c r="M25" s="48" t="str">
        <f>VLOOKUP($F25,enemy_skill_triggers!$A:$J,8,FALSE)</f>
        <v>null</v>
      </c>
      <c r="N25" s="48" t="str">
        <f>VLOOKUP($F25,enemy_skill_triggers!$A:$J,9,FALSE)</f>
        <v>null</v>
      </c>
      <c r="O25" s="48">
        <f>VLOOKUP($F25,enemy_skill_triggers!$A:$J,10,FALSE)</f>
        <v>100</v>
      </c>
      <c r="P25" s="47"/>
      <c r="Q25" s="47"/>
      <c r="R25" s="47"/>
    </row>
    <row r="26" spans="1:18" ht="21" customHeight="1" x14ac:dyDescent="0.15">
      <c r="A26" s="39" t="str">
        <f t="shared" ref="A26" si="18">B26&amp;"_"&amp;C26</f>
        <v>30017010_30017013</v>
      </c>
      <c r="B26" s="130">
        <v>30017010</v>
      </c>
      <c r="C26" s="47">
        <v>30017013</v>
      </c>
      <c r="D26" s="46" t="str">
        <f>IFERROR(VLOOKUP(C26,enemy_skills!A:Y,4,FALSE),VLOOKUP(C26,[5]enemy_skills!$A:$E,4,FALSE))</f>
        <v>ja</v>
      </c>
      <c r="E26" s="46" t="str">
        <f>IFERROR(VLOOKUP(C26,enemy_skills!A:Y,5,FALSE),VLOOKUP(C26,[5]enemy_skills!$A:$E,5,FALSE))</f>
        <v>爆炎剣</v>
      </c>
      <c r="F26" s="47">
        <v>30017001</v>
      </c>
      <c r="G26" s="48">
        <f>VLOOKUP($F26,enemy_skill_triggers!$A:$J,2,FALSE)</f>
        <v>0</v>
      </c>
      <c r="H26" s="48">
        <f>VLOOKUP($F26,enemy_skill_triggers!$A:$J,3,FALSE)</f>
        <v>1</v>
      </c>
      <c r="I26" s="48">
        <f>VLOOKUP($F26,enemy_skill_triggers!$A:$J,4,FALSE)</f>
        <v>50</v>
      </c>
      <c r="J26" s="48" t="str">
        <f>VLOOKUP($F26,enemy_skill_triggers!$A:$J,5,FALSE)</f>
        <v>null</v>
      </c>
      <c r="K26" s="48" t="str">
        <f>VLOOKUP($F26,enemy_skill_triggers!$A:$J,6,FALSE)</f>
        <v>null</v>
      </c>
      <c r="L26" s="48" t="str">
        <f>VLOOKUP($F26,enemy_skill_triggers!$A:$J,7,FALSE)</f>
        <v>null</v>
      </c>
      <c r="M26" s="48" t="str">
        <f>VLOOKUP($F26,enemy_skill_triggers!$A:$J,8,FALSE)</f>
        <v>null</v>
      </c>
      <c r="N26" s="48" t="str">
        <f>VLOOKUP($F26,enemy_skill_triggers!$A:$J,9,FALSE)</f>
        <v>null</v>
      </c>
      <c r="O26" s="48">
        <f>VLOOKUP($F26,enemy_skill_triggers!$A:$J,10,FALSE)</f>
        <v>50</v>
      </c>
      <c r="P26" s="47"/>
      <c r="Q26" s="47"/>
      <c r="R26" s="47"/>
    </row>
    <row r="27" spans="1:18" ht="21" customHeight="1" x14ac:dyDescent="0.15">
      <c r="A27" s="39" t="str">
        <f t="shared" ref="A27" si="19">B27&amp;"_"&amp;C27</f>
        <v>30017010_30017017</v>
      </c>
      <c r="B27" s="130">
        <v>30017010</v>
      </c>
      <c r="C27" s="47">
        <v>30017017</v>
      </c>
      <c r="D27" s="46" t="str">
        <f>IFERROR(VLOOKUP(C27,enemy_skills!A:Y,4,FALSE),VLOOKUP(C27,[5]enemy_skills!$A:$E,4,FALSE))</f>
        <v>ja</v>
      </c>
      <c r="E27" s="46" t="str">
        <f>IFERROR(VLOOKUP(C27,enemy_skills!A:Y,5,FALSE),VLOOKUP(C27,[5]enemy_skills!$A:$E,5,FALSE))</f>
        <v>焼き払い</v>
      </c>
      <c r="F27" s="47">
        <v>30017001</v>
      </c>
      <c r="G27" s="48">
        <f>VLOOKUP($F27,enemy_skill_triggers!$A:$J,2,FALSE)</f>
        <v>0</v>
      </c>
      <c r="H27" s="48">
        <f>VLOOKUP($F27,enemy_skill_triggers!$A:$J,3,FALSE)</f>
        <v>1</v>
      </c>
      <c r="I27" s="48">
        <f>VLOOKUP($F27,enemy_skill_triggers!$A:$J,4,FALSE)</f>
        <v>50</v>
      </c>
      <c r="J27" s="48" t="str">
        <f>VLOOKUP($F27,enemy_skill_triggers!$A:$J,5,FALSE)</f>
        <v>null</v>
      </c>
      <c r="K27" s="48" t="str">
        <f>VLOOKUP($F27,enemy_skill_triggers!$A:$J,6,FALSE)</f>
        <v>null</v>
      </c>
      <c r="L27" s="48" t="str">
        <f>VLOOKUP($F27,enemy_skill_triggers!$A:$J,7,FALSE)</f>
        <v>null</v>
      </c>
      <c r="M27" s="48" t="str">
        <f>VLOOKUP($F27,enemy_skill_triggers!$A:$J,8,FALSE)</f>
        <v>null</v>
      </c>
      <c r="N27" s="48" t="str">
        <f>VLOOKUP($F27,enemy_skill_triggers!$A:$J,9,FALSE)</f>
        <v>null</v>
      </c>
      <c r="O27" s="48">
        <f>VLOOKUP($F27,enemy_skill_triggers!$A:$J,10,FALSE)</f>
        <v>50</v>
      </c>
      <c r="P27" s="47"/>
      <c r="Q27" s="47"/>
      <c r="R27" s="47"/>
    </row>
    <row r="28" spans="1:18" ht="21" customHeight="1" x14ac:dyDescent="0.15">
      <c r="A28" s="39" t="str">
        <f t="shared" ref="A28" si="20">B28&amp;"_"&amp;C28</f>
        <v>30017010_30017018</v>
      </c>
      <c r="B28" s="130">
        <v>30017010</v>
      </c>
      <c r="C28" s="47">
        <v>30017018</v>
      </c>
      <c r="D28" s="46" t="str">
        <f>IFERROR(VLOOKUP(C28,enemy_skills!A:Y,4,FALSE),VLOOKUP(C28,[5]enemy_skills!$A:$E,4,FALSE))</f>
        <v>ja</v>
      </c>
      <c r="E28" s="46" t="str">
        <f>IFERROR(VLOOKUP(C28,enemy_skills!A:Y,5,FALSE),VLOOKUP(C28,[5]enemy_skills!$A:$E,5,FALSE))</f>
        <v>火炎旋風</v>
      </c>
      <c r="F28" s="47">
        <v>30017009</v>
      </c>
      <c r="G28" s="48">
        <f>VLOOKUP($F28,enemy_skill_triggers!$A:$J,2,FALSE)</f>
        <v>0</v>
      </c>
      <c r="H28" s="48">
        <f>VLOOKUP($F28,enemy_skill_triggers!$A:$J,3,FALSE)</f>
        <v>2</v>
      </c>
      <c r="I28" s="48">
        <f>VLOOKUP($F28,enemy_skill_triggers!$A:$J,4,FALSE)</f>
        <v>100</v>
      </c>
      <c r="J28" s="48" t="str">
        <f>VLOOKUP($F28,enemy_skill_triggers!$A:$J,5,FALSE)</f>
        <v>null</v>
      </c>
      <c r="K28" s="48" t="str">
        <f>VLOOKUP($F28,enemy_skill_triggers!$A:$J,6,FALSE)</f>
        <v>null</v>
      </c>
      <c r="L28" s="48" t="str">
        <f>VLOOKUP($F28,enemy_skill_triggers!$A:$J,7,FALSE)</f>
        <v>null</v>
      </c>
      <c r="M28" s="48">
        <f>VLOOKUP($F28,enemy_skill_triggers!$A:$J,8,FALSE)</f>
        <v>3</v>
      </c>
      <c r="N28" s="48" t="str">
        <f>VLOOKUP($F28,enemy_skill_triggers!$A:$J,9,FALSE)</f>
        <v>null</v>
      </c>
      <c r="O28" s="48">
        <f>VLOOKUP($F28,enemy_skill_triggers!$A:$J,10,FALSE)</f>
        <v>100</v>
      </c>
      <c r="P28" s="47"/>
      <c r="Q28" s="47"/>
      <c r="R28" s="47"/>
    </row>
    <row r="29" spans="1:18" ht="21" customHeight="1" x14ac:dyDescent="0.15">
      <c r="A29" s="39" t="str">
        <f t="shared" ref="A29:A33" si="21">B29&amp;"_"&amp;C29</f>
        <v>30017010_30017019</v>
      </c>
      <c r="B29" s="130">
        <v>30017010</v>
      </c>
      <c r="C29" s="47">
        <v>30017019</v>
      </c>
      <c r="D29" s="46" t="str">
        <f>IFERROR(VLOOKUP(C29,enemy_skills!A:Y,4,FALSE),VLOOKUP(C29,[5]enemy_skills!$A:$E,4,FALSE))</f>
        <v>ja</v>
      </c>
      <c r="E29" s="46" t="str">
        <f>IFERROR(VLOOKUP(C29,enemy_skills!A:Y,5,FALSE),VLOOKUP(C29,[5]enemy_skills!$A:$E,5,FALSE))</f>
        <v>一寸の断熱</v>
      </c>
      <c r="F29" s="47">
        <v>30017010</v>
      </c>
      <c r="G29" s="48">
        <f>VLOOKUP($F29,enemy_skill_triggers!$A:$J,2,FALSE)</f>
        <v>0</v>
      </c>
      <c r="H29" s="48">
        <f>VLOOKUP($F29,enemy_skill_triggers!$A:$J,3,FALSE)</f>
        <v>3</v>
      </c>
      <c r="I29" s="48">
        <f>VLOOKUP($F29,enemy_skill_triggers!$A:$J,4,FALSE)</f>
        <v>100</v>
      </c>
      <c r="J29" s="48">
        <f>VLOOKUP($F29,enemy_skill_triggers!$A:$J,5,FALSE)</f>
        <v>30</v>
      </c>
      <c r="K29" s="48" t="str">
        <f>VLOOKUP($F29,enemy_skill_triggers!$A:$J,6,FALSE)</f>
        <v>null</v>
      </c>
      <c r="L29" s="48">
        <f>VLOOKUP($F29,enemy_skill_triggers!$A:$J,7,FALSE)</f>
        <v>1</v>
      </c>
      <c r="M29" s="48" t="str">
        <f>VLOOKUP($F29,enemy_skill_triggers!$A:$J,8,FALSE)</f>
        <v>null</v>
      </c>
      <c r="N29" s="48" t="str">
        <f>VLOOKUP($F29,enemy_skill_triggers!$A:$J,9,FALSE)</f>
        <v>null</v>
      </c>
      <c r="O29" s="48">
        <f>VLOOKUP($F29,enemy_skill_triggers!$A:$J,10,FALSE)</f>
        <v>100</v>
      </c>
      <c r="P29" s="47"/>
      <c r="Q29" s="47"/>
      <c r="R29" s="47"/>
    </row>
    <row r="30" spans="1:18" ht="21" customHeight="1" x14ac:dyDescent="0.15">
      <c r="A30" s="39" t="str">
        <f t="shared" si="21"/>
        <v>30017011_30017016</v>
      </c>
      <c r="B30" s="131">
        <v>30017011</v>
      </c>
      <c r="C30" s="47">
        <v>30017016</v>
      </c>
      <c r="D30" s="46" t="str">
        <f>IFERROR(VLOOKUP(C30,enemy_skills!A:Y,4,FALSE),VLOOKUP(C30,[5]enemy_skills!$A:$E,4,FALSE))</f>
        <v>ja</v>
      </c>
      <c r="E30" s="46" t="str">
        <f>IFERROR(VLOOKUP(C30,enemy_skills!A:Y,5,FALSE),VLOOKUP(C30,[5]enemy_skills!$A:$E,5,FALSE))</f>
        <v>かなりの強者と見た</v>
      </c>
      <c r="F30" s="47">
        <v>30017002</v>
      </c>
      <c r="G30" s="48">
        <f>VLOOKUP($F30,enemy_skill_triggers!$A:$J,2,FALSE)</f>
        <v>1</v>
      </c>
      <c r="H30" s="48">
        <f>VLOOKUP($F30,enemy_skill_triggers!$A:$J,3,FALSE)</f>
        <v>99</v>
      </c>
      <c r="I30" s="48">
        <f>VLOOKUP($F30,enemy_skill_triggers!$A:$J,4,FALSE)</f>
        <v>100</v>
      </c>
      <c r="J30" s="48" t="str">
        <f>VLOOKUP($F30,enemy_skill_triggers!$A:$J,5,FALSE)</f>
        <v>null</v>
      </c>
      <c r="K30" s="48" t="str">
        <f>VLOOKUP($F30,enemy_skill_triggers!$A:$J,6,FALSE)</f>
        <v>null</v>
      </c>
      <c r="L30" s="48">
        <f>VLOOKUP($F30,enemy_skill_triggers!$A:$J,7,FALSE)</f>
        <v>1</v>
      </c>
      <c r="M30" s="48" t="str">
        <f>VLOOKUP($F30,enemy_skill_triggers!$A:$J,8,FALSE)</f>
        <v>null</v>
      </c>
      <c r="N30" s="48" t="str">
        <f>VLOOKUP($F30,enemy_skill_triggers!$A:$J,9,FALSE)</f>
        <v>null</v>
      </c>
      <c r="O30" s="48">
        <f>VLOOKUP($F30,enemy_skill_triggers!$A:$J,10,FALSE)</f>
        <v>100</v>
      </c>
      <c r="P30" s="47"/>
      <c r="Q30" s="47"/>
      <c r="R30" s="47"/>
    </row>
    <row r="31" spans="1:18" ht="21" customHeight="1" x14ac:dyDescent="0.15">
      <c r="A31" s="39" t="str">
        <f t="shared" si="21"/>
        <v>30017011_30017015</v>
      </c>
      <c r="B31" s="131">
        <v>30017011</v>
      </c>
      <c r="C31" s="47">
        <v>30017015</v>
      </c>
      <c r="D31" s="46" t="str">
        <f>IFERROR(VLOOKUP(C31,enemy_skills!A:Y,4,FALSE),VLOOKUP(C31,[5]enemy_skills!$A:$E,4,FALSE))</f>
        <v>ja</v>
      </c>
      <c r="E31" s="46" t="str">
        <f>IFERROR(VLOOKUP(C31,enemy_skills!A:Y,5,FALSE),VLOOKUP(C31,[5]enemy_skills!$A:$E,5,FALSE))</f>
        <v>灰塵剣</v>
      </c>
      <c r="F31" s="47">
        <v>30017001</v>
      </c>
      <c r="G31" s="48">
        <f>VLOOKUP($F31,enemy_skill_triggers!$A:$J,2,FALSE)</f>
        <v>0</v>
      </c>
      <c r="H31" s="48">
        <f>VLOOKUP($F31,enemy_skill_triggers!$A:$J,3,FALSE)</f>
        <v>1</v>
      </c>
      <c r="I31" s="48">
        <f>VLOOKUP($F31,enemy_skill_triggers!$A:$J,4,FALSE)</f>
        <v>50</v>
      </c>
      <c r="J31" s="48" t="str">
        <f>VLOOKUP($F31,enemy_skill_triggers!$A:$J,5,FALSE)</f>
        <v>null</v>
      </c>
      <c r="K31" s="48" t="str">
        <f>VLOOKUP($F31,enemy_skill_triggers!$A:$J,6,FALSE)</f>
        <v>null</v>
      </c>
      <c r="L31" s="48" t="str">
        <f>VLOOKUP($F31,enemy_skill_triggers!$A:$J,7,FALSE)</f>
        <v>null</v>
      </c>
      <c r="M31" s="48" t="str">
        <f>VLOOKUP($F31,enemy_skill_triggers!$A:$J,8,FALSE)</f>
        <v>null</v>
      </c>
      <c r="N31" s="48" t="str">
        <f>VLOOKUP($F31,enemy_skill_triggers!$A:$J,9,FALSE)</f>
        <v>null</v>
      </c>
      <c r="O31" s="48">
        <f>VLOOKUP($F31,enemy_skill_triggers!$A:$J,10,FALSE)</f>
        <v>50</v>
      </c>
      <c r="P31" s="47"/>
      <c r="Q31" s="47"/>
      <c r="R31" s="47"/>
    </row>
    <row r="32" spans="1:18" ht="21" customHeight="1" x14ac:dyDescent="0.15">
      <c r="A32" s="39" t="str">
        <f t="shared" si="21"/>
        <v>30017011_30017017</v>
      </c>
      <c r="B32" s="131">
        <v>30017011</v>
      </c>
      <c r="C32" s="47">
        <v>30017017</v>
      </c>
      <c r="D32" s="46" t="str">
        <f>IFERROR(VLOOKUP(C32,enemy_skills!A:Y,4,FALSE),VLOOKUP(C32,[5]enemy_skills!$A:$E,4,FALSE))</f>
        <v>ja</v>
      </c>
      <c r="E32" s="46" t="str">
        <f>IFERROR(VLOOKUP(C32,enemy_skills!A:Y,5,FALSE),VLOOKUP(C32,[5]enemy_skills!$A:$E,5,FALSE))</f>
        <v>焼き払い</v>
      </c>
      <c r="F32" s="47">
        <v>30017001</v>
      </c>
      <c r="G32" s="48">
        <f>VLOOKUP($F32,enemy_skill_triggers!$A:$J,2,FALSE)</f>
        <v>0</v>
      </c>
      <c r="H32" s="48">
        <f>VLOOKUP($F32,enemy_skill_triggers!$A:$J,3,FALSE)</f>
        <v>1</v>
      </c>
      <c r="I32" s="48">
        <f>VLOOKUP($F32,enemy_skill_triggers!$A:$J,4,FALSE)</f>
        <v>50</v>
      </c>
      <c r="J32" s="48" t="str">
        <f>VLOOKUP($F32,enemy_skill_triggers!$A:$J,5,FALSE)</f>
        <v>null</v>
      </c>
      <c r="K32" s="48" t="str">
        <f>VLOOKUP($F32,enemy_skill_triggers!$A:$J,6,FALSE)</f>
        <v>null</v>
      </c>
      <c r="L32" s="48" t="str">
        <f>VLOOKUP($F32,enemy_skill_triggers!$A:$J,7,FALSE)</f>
        <v>null</v>
      </c>
      <c r="M32" s="48" t="str">
        <f>VLOOKUP($F32,enemy_skill_triggers!$A:$J,8,FALSE)</f>
        <v>null</v>
      </c>
      <c r="N32" s="48" t="str">
        <f>VLOOKUP($F32,enemy_skill_triggers!$A:$J,9,FALSE)</f>
        <v>null</v>
      </c>
      <c r="O32" s="48">
        <f>VLOOKUP($F32,enemy_skill_triggers!$A:$J,10,FALSE)</f>
        <v>50</v>
      </c>
      <c r="P32" s="47"/>
      <c r="Q32" s="47"/>
      <c r="R32" s="47"/>
    </row>
    <row r="33" spans="1:18" ht="21" customHeight="1" x14ac:dyDescent="0.15">
      <c r="A33" s="39" t="str">
        <f t="shared" si="21"/>
        <v>30017011_30017018</v>
      </c>
      <c r="B33" s="131">
        <v>30017011</v>
      </c>
      <c r="C33" s="47">
        <v>30017018</v>
      </c>
      <c r="D33" s="46" t="str">
        <f>IFERROR(VLOOKUP(C33,enemy_skills!A:Y,4,FALSE),VLOOKUP(C33,[5]enemy_skills!$A:$E,4,FALSE))</f>
        <v>ja</v>
      </c>
      <c r="E33" s="46" t="str">
        <f>IFERROR(VLOOKUP(C33,enemy_skills!A:Y,5,FALSE),VLOOKUP(C33,[5]enemy_skills!$A:$E,5,FALSE))</f>
        <v>火炎旋風</v>
      </c>
      <c r="F33" s="47">
        <v>30017009</v>
      </c>
      <c r="G33" s="48">
        <f>VLOOKUP($F33,enemy_skill_triggers!$A:$J,2,FALSE)</f>
        <v>0</v>
      </c>
      <c r="H33" s="48">
        <f>VLOOKUP($F33,enemy_skill_triggers!$A:$J,3,FALSE)</f>
        <v>2</v>
      </c>
      <c r="I33" s="48">
        <f>VLOOKUP($F33,enemy_skill_triggers!$A:$J,4,FALSE)</f>
        <v>100</v>
      </c>
      <c r="J33" s="48" t="str">
        <f>VLOOKUP($F33,enemy_skill_triggers!$A:$J,5,FALSE)</f>
        <v>null</v>
      </c>
      <c r="K33" s="48" t="str">
        <f>VLOOKUP($F33,enemy_skill_triggers!$A:$J,6,FALSE)</f>
        <v>null</v>
      </c>
      <c r="L33" s="48" t="str">
        <f>VLOOKUP($F33,enemy_skill_triggers!$A:$J,7,FALSE)</f>
        <v>null</v>
      </c>
      <c r="M33" s="48">
        <f>VLOOKUP($F33,enemy_skill_triggers!$A:$J,8,FALSE)</f>
        <v>3</v>
      </c>
      <c r="N33" s="48" t="str">
        <f>VLOOKUP($F33,enemy_skill_triggers!$A:$J,9,FALSE)</f>
        <v>null</v>
      </c>
      <c r="O33" s="48">
        <f>VLOOKUP($F33,enemy_skill_triggers!$A:$J,10,FALSE)</f>
        <v>100</v>
      </c>
      <c r="P33" s="47"/>
      <c r="Q33" s="47"/>
      <c r="R33" s="47"/>
    </row>
    <row r="34" spans="1:18" ht="21" customHeight="1" x14ac:dyDescent="0.15">
      <c r="A34" s="39" t="str">
        <f t="shared" ref="A34:A35" si="22">B34&amp;"_"&amp;C34</f>
        <v>30017011_30017020</v>
      </c>
      <c r="B34" s="131">
        <v>30017011</v>
      </c>
      <c r="C34" s="47">
        <v>30017020</v>
      </c>
      <c r="D34" s="46" t="str">
        <f>IFERROR(VLOOKUP(C34,enemy_skills!A:Y,4,FALSE),VLOOKUP(C34,[5]enemy_skills!$A:$E,4,FALSE))</f>
        <v>ja</v>
      </c>
      <c r="E34" s="46" t="str">
        <f>IFERROR(VLOOKUP(C34,enemy_skills!A:Y,5,FALSE),VLOOKUP(C34,[5]enemy_skills!$A:$E,5,FALSE))</f>
        <v>一寸の断熱</v>
      </c>
      <c r="F34" s="47">
        <v>30017010</v>
      </c>
      <c r="G34" s="48">
        <f>VLOOKUP($F34,enemy_skill_triggers!$A:$J,2,FALSE)</f>
        <v>0</v>
      </c>
      <c r="H34" s="48">
        <f>VLOOKUP($F34,enemy_skill_triggers!$A:$J,3,FALSE)</f>
        <v>3</v>
      </c>
      <c r="I34" s="48">
        <f>VLOOKUP($F34,enemy_skill_triggers!$A:$J,4,FALSE)</f>
        <v>100</v>
      </c>
      <c r="J34" s="48">
        <f>VLOOKUP($F34,enemy_skill_triggers!$A:$J,5,FALSE)</f>
        <v>30</v>
      </c>
      <c r="K34" s="48" t="str">
        <f>VLOOKUP($F34,enemy_skill_triggers!$A:$J,6,FALSE)</f>
        <v>null</v>
      </c>
      <c r="L34" s="48">
        <f>VLOOKUP($F34,enemy_skill_triggers!$A:$J,7,FALSE)</f>
        <v>1</v>
      </c>
      <c r="M34" s="48" t="str">
        <f>VLOOKUP($F34,enemy_skill_triggers!$A:$J,8,FALSE)</f>
        <v>null</v>
      </c>
      <c r="N34" s="48" t="str">
        <f>VLOOKUP($F34,enemy_skill_triggers!$A:$J,9,FALSE)</f>
        <v>null</v>
      </c>
      <c r="O34" s="48">
        <f>VLOOKUP($F34,enemy_skill_triggers!$A:$J,10,FALSE)</f>
        <v>100</v>
      </c>
      <c r="P34" s="47"/>
      <c r="Q34" s="47"/>
      <c r="R34" s="47"/>
    </row>
    <row r="35" spans="1:18" ht="21" customHeight="1" x14ac:dyDescent="0.15">
      <c r="A35" s="39" t="str">
        <f t="shared" si="22"/>
        <v>30017012_30017021</v>
      </c>
      <c r="B35" s="130">
        <v>30017012</v>
      </c>
      <c r="C35" s="47">
        <v>30017021</v>
      </c>
      <c r="D35" s="46" t="str">
        <f>IFERROR(VLOOKUP(C35,enemy_skills!A:Y,4,FALSE),VLOOKUP(C35,[5]enemy_skills!$A:$E,4,FALSE))</f>
        <v>ja</v>
      </c>
      <c r="E35" s="46" t="str">
        <f>IFERROR(VLOOKUP(C35,enemy_skills!A:Y,5,FALSE),VLOOKUP(C35,[5]enemy_skills!$A:$E,5,FALSE))</f>
        <v>まだだ…更なる力を…！</v>
      </c>
      <c r="F35" s="47">
        <v>30017002</v>
      </c>
      <c r="G35" s="48">
        <f>VLOOKUP($F35,enemy_skill_triggers!$A:$J,2,FALSE)</f>
        <v>1</v>
      </c>
      <c r="H35" s="48">
        <f>VLOOKUP($F35,enemy_skill_triggers!$A:$J,3,FALSE)</f>
        <v>99</v>
      </c>
      <c r="I35" s="48">
        <f>VLOOKUP($F35,enemy_skill_triggers!$A:$J,4,FALSE)</f>
        <v>100</v>
      </c>
      <c r="J35" s="48" t="str">
        <f>VLOOKUP($F35,enemy_skill_triggers!$A:$J,5,FALSE)</f>
        <v>null</v>
      </c>
      <c r="K35" s="48" t="str">
        <f>VLOOKUP($F35,enemy_skill_triggers!$A:$J,6,FALSE)</f>
        <v>null</v>
      </c>
      <c r="L35" s="48">
        <f>VLOOKUP($F35,enemy_skill_triggers!$A:$J,7,FALSE)</f>
        <v>1</v>
      </c>
      <c r="M35" s="48" t="str">
        <f>VLOOKUP($F35,enemy_skill_triggers!$A:$J,8,FALSE)</f>
        <v>null</v>
      </c>
      <c r="N35" s="48" t="str">
        <f>VLOOKUP($F35,enemy_skill_triggers!$A:$J,9,FALSE)</f>
        <v>null</v>
      </c>
      <c r="O35" s="48">
        <f>VLOOKUP($F35,enemy_skill_triggers!$A:$J,10,FALSE)</f>
        <v>100</v>
      </c>
      <c r="P35" s="47"/>
      <c r="Q35" s="47"/>
      <c r="R35" s="47"/>
    </row>
    <row r="36" spans="1:18" ht="21" customHeight="1" x14ac:dyDescent="0.15">
      <c r="A36" s="39" t="str">
        <f t="shared" ref="A36" si="23">B36&amp;"_"&amp;C36</f>
        <v>30017012_30017015</v>
      </c>
      <c r="B36" s="130">
        <v>30017012</v>
      </c>
      <c r="C36" s="47">
        <v>30017015</v>
      </c>
      <c r="D36" s="46" t="str">
        <f>IFERROR(VLOOKUP(C36,enemy_skills!A:Y,4,FALSE),VLOOKUP(C36,[5]enemy_skills!$A:$E,4,FALSE))</f>
        <v>ja</v>
      </c>
      <c r="E36" s="46" t="str">
        <f>IFERROR(VLOOKUP(C36,enemy_skills!A:Y,5,FALSE),VLOOKUP(C36,[5]enemy_skills!$A:$E,5,FALSE))</f>
        <v>灰塵剣</v>
      </c>
      <c r="F36" s="47">
        <v>30017001</v>
      </c>
      <c r="G36" s="48">
        <f>VLOOKUP($F36,enemy_skill_triggers!$A:$J,2,FALSE)</f>
        <v>0</v>
      </c>
      <c r="H36" s="48">
        <f>VLOOKUP($F36,enemy_skill_triggers!$A:$J,3,FALSE)</f>
        <v>1</v>
      </c>
      <c r="I36" s="48">
        <f>VLOOKUP($F36,enemy_skill_triggers!$A:$J,4,FALSE)</f>
        <v>50</v>
      </c>
      <c r="J36" s="48" t="str">
        <f>VLOOKUP($F36,enemy_skill_triggers!$A:$J,5,FALSE)</f>
        <v>null</v>
      </c>
      <c r="K36" s="48" t="str">
        <f>VLOOKUP($F36,enemy_skill_triggers!$A:$J,6,FALSE)</f>
        <v>null</v>
      </c>
      <c r="L36" s="48" t="str">
        <f>VLOOKUP($F36,enemy_skill_triggers!$A:$J,7,FALSE)</f>
        <v>null</v>
      </c>
      <c r="M36" s="48" t="str">
        <f>VLOOKUP($F36,enemy_skill_triggers!$A:$J,8,FALSE)</f>
        <v>null</v>
      </c>
      <c r="N36" s="48" t="str">
        <f>VLOOKUP($F36,enemy_skill_triggers!$A:$J,9,FALSE)</f>
        <v>null</v>
      </c>
      <c r="O36" s="48">
        <f>VLOOKUP($F36,enemy_skill_triggers!$A:$J,10,FALSE)</f>
        <v>50</v>
      </c>
      <c r="P36" s="47"/>
      <c r="Q36" s="47"/>
      <c r="R36" s="47"/>
    </row>
    <row r="37" spans="1:18" ht="21" customHeight="1" x14ac:dyDescent="0.15">
      <c r="A37" s="39" t="str">
        <f t="shared" ref="A37" si="24">B37&amp;"_"&amp;C37</f>
        <v>30017012_30017017</v>
      </c>
      <c r="B37" s="130">
        <v>30017012</v>
      </c>
      <c r="C37" s="47">
        <v>30017017</v>
      </c>
      <c r="D37" s="46" t="str">
        <f>IFERROR(VLOOKUP(C37,enemy_skills!A:Y,4,FALSE),VLOOKUP(C37,[5]enemy_skills!$A:$E,4,FALSE))</f>
        <v>ja</v>
      </c>
      <c r="E37" s="46" t="str">
        <f>IFERROR(VLOOKUP(C37,enemy_skills!A:Y,5,FALSE),VLOOKUP(C37,[5]enemy_skills!$A:$E,5,FALSE))</f>
        <v>焼き払い</v>
      </c>
      <c r="F37" s="47">
        <v>30017011</v>
      </c>
      <c r="G37" s="48">
        <f>VLOOKUP($F37,enemy_skill_triggers!$A:$J,2,FALSE)</f>
        <v>0</v>
      </c>
      <c r="H37" s="48">
        <f>VLOOKUP($F37,enemy_skill_triggers!$A:$J,3,FALSE)</f>
        <v>1</v>
      </c>
      <c r="I37" s="48">
        <f>VLOOKUP($F37,enemy_skill_triggers!$A:$J,4,FALSE)</f>
        <v>30</v>
      </c>
      <c r="J37" s="48" t="str">
        <f>VLOOKUP($F37,enemy_skill_triggers!$A:$J,5,FALSE)</f>
        <v>null</v>
      </c>
      <c r="K37" s="48" t="str">
        <f>VLOOKUP($F37,enemy_skill_triggers!$A:$J,6,FALSE)</f>
        <v>null</v>
      </c>
      <c r="L37" s="48" t="str">
        <f>VLOOKUP($F37,enemy_skill_triggers!$A:$J,7,FALSE)</f>
        <v>null</v>
      </c>
      <c r="M37" s="48" t="str">
        <f>VLOOKUP($F37,enemy_skill_triggers!$A:$J,8,FALSE)</f>
        <v>null</v>
      </c>
      <c r="N37" s="48" t="str">
        <f>VLOOKUP($F37,enemy_skill_triggers!$A:$J,9,FALSE)</f>
        <v>null</v>
      </c>
      <c r="O37" s="48">
        <f>VLOOKUP($F37,enemy_skill_triggers!$A:$J,10,FALSE)</f>
        <v>30</v>
      </c>
      <c r="P37" s="47"/>
      <c r="Q37" s="47"/>
      <c r="R37" s="47"/>
    </row>
    <row r="38" spans="1:18" ht="21" customHeight="1" x14ac:dyDescent="0.15">
      <c r="A38" s="39" t="str">
        <f t="shared" ref="A38" si="25">B38&amp;"_"&amp;C38</f>
        <v>30017012_30017018</v>
      </c>
      <c r="B38" s="130">
        <v>30017012</v>
      </c>
      <c r="C38" s="47">
        <v>30017018</v>
      </c>
      <c r="D38" s="46" t="str">
        <f>IFERROR(VLOOKUP(C38,enemy_skills!A:Y,4,FALSE),VLOOKUP(C38,[5]enemy_skills!$A:$E,4,FALSE))</f>
        <v>ja</v>
      </c>
      <c r="E38" s="46" t="str">
        <f>IFERROR(VLOOKUP(C38,enemy_skills!A:Y,5,FALSE),VLOOKUP(C38,[5]enemy_skills!$A:$E,5,FALSE))</f>
        <v>火炎旋風</v>
      </c>
      <c r="F38" s="47">
        <v>30017009</v>
      </c>
      <c r="G38" s="48">
        <f>VLOOKUP($F38,enemy_skill_triggers!$A:$J,2,FALSE)</f>
        <v>0</v>
      </c>
      <c r="H38" s="48">
        <f>VLOOKUP($F38,enemy_skill_triggers!$A:$J,3,FALSE)</f>
        <v>2</v>
      </c>
      <c r="I38" s="48">
        <f>VLOOKUP($F38,enemy_skill_triggers!$A:$J,4,FALSE)</f>
        <v>100</v>
      </c>
      <c r="J38" s="48" t="str">
        <f>VLOOKUP($F38,enemy_skill_triggers!$A:$J,5,FALSE)</f>
        <v>null</v>
      </c>
      <c r="K38" s="48" t="str">
        <f>VLOOKUP($F38,enemy_skill_triggers!$A:$J,6,FALSE)</f>
        <v>null</v>
      </c>
      <c r="L38" s="48" t="str">
        <f>VLOOKUP($F38,enemy_skill_triggers!$A:$J,7,FALSE)</f>
        <v>null</v>
      </c>
      <c r="M38" s="48">
        <f>VLOOKUP($F38,enemy_skill_triggers!$A:$J,8,FALSE)</f>
        <v>3</v>
      </c>
      <c r="N38" s="48" t="str">
        <f>VLOOKUP($F38,enemy_skill_triggers!$A:$J,9,FALSE)</f>
        <v>null</v>
      </c>
      <c r="O38" s="48">
        <f>VLOOKUP($F38,enemy_skill_triggers!$A:$J,10,FALSE)</f>
        <v>100</v>
      </c>
      <c r="P38" s="47"/>
      <c r="Q38" s="47"/>
      <c r="R38" s="47"/>
    </row>
    <row r="39" spans="1:18" ht="21" customHeight="1" x14ac:dyDescent="0.15">
      <c r="A39" s="39" t="str">
        <f t="shared" ref="A39:A43" si="26">B39&amp;"_"&amp;C39</f>
        <v>30017012_30017023</v>
      </c>
      <c r="B39" s="130">
        <v>30017012</v>
      </c>
      <c r="C39" s="47">
        <v>30017023</v>
      </c>
      <c r="D39" s="46" t="str">
        <f>IFERROR(VLOOKUP(C39,enemy_skills!A:Y,4,FALSE),VLOOKUP(C39,[5]enemy_skills!$A:$E,4,FALSE))</f>
        <v>ja</v>
      </c>
      <c r="E39" s="46" t="str">
        <f>IFERROR(VLOOKUP(C39,enemy_skills!A:Y,5,FALSE),VLOOKUP(C39,[5]enemy_skills!$A:$E,5,FALSE))</f>
        <v>負ける…ものかぁッ！！</v>
      </c>
      <c r="F39" s="47">
        <v>30017010</v>
      </c>
      <c r="G39" s="48">
        <f>VLOOKUP($F39,enemy_skill_triggers!$A:$J,2,FALSE)</f>
        <v>0</v>
      </c>
      <c r="H39" s="48">
        <f>VLOOKUP($F39,enemy_skill_triggers!$A:$J,3,FALSE)</f>
        <v>3</v>
      </c>
      <c r="I39" s="48">
        <f>VLOOKUP($F39,enemy_skill_triggers!$A:$J,4,FALSE)</f>
        <v>100</v>
      </c>
      <c r="J39" s="48">
        <f>VLOOKUP($F39,enemy_skill_triggers!$A:$J,5,FALSE)</f>
        <v>30</v>
      </c>
      <c r="K39" s="48" t="str">
        <f>VLOOKUP($F39,enemy_skill_triggers!$A:$J,6,FALSE)</f>
        <v>null</v>
      </c>
      <c r="L39" s="48">
        <f>VLOOKUP($F39,enemy_skill_triggers!$A:$J,7,FALSE)</f>
        <v>1</v>
      </c>
      <c r="M39" s="48" t="str">
        <f>VLOOKUP($F39,enemy_skill_triggers!$A:$J,8,FALSE)</f>
        <v>null</v>
      </c>
      <c r="N39" s="48" t="str">
        <f>VLOOKUP($F39,enemy_skill_triggers!$A:$J,9,FALSE)</f>
        <v>null</v>
      </c>
      <c r="O39" s="48">
        <f>VLOOKUP($F39,enemy_skill_triggers!$A:$J,10,FALSE)</f>
        <v>100</v>
      </c>
      <c r="P39" s="47"/>
      <c r="Q39" s="47"/>
      <c r="R39" s="47"/>
    </row>
    <row r="40" spans="1:18" ht="21" customHeight="1" x14ac:dyDescent="0.15">
      <c r="A40" s="39" t="str">
        <f t="shared" si="26"/>
        <v>30017013_30017021</v>
      </c>
      <c r="B40" s="131">
        <v>30017013</v>
      </c>
      <c r="C40" s="47">
        <v>30017021</v>
      </c>
      <c r="D40" s="46" t="str">
        <f>IFERROR(VLOOKUP(C40,enemy_skills!A:Y,4,FALSE),VLOOKUP(C40,[5]enemy_skills!$A:$E,4,FALSE))</f>
        <v>ja</v>
      </c>
      <c r="E40" s="46" t="str">
        <f>IFERROR(VLOOKUP(C40,enemy_skills!A:Y,5,FALSE),VLOOKUP(C40,[5]enemy_skills!$A:$E,5,FALSE))</f>
        <v>まだだ…更なる力を…！</v>
      </c>
      <c r="F40" s="47">
        <v>30017002</v>
      </c>
      <c r="G40" s="48">
        <f>VLOOKUP($F40,enemy_skill_triggers!$A:$J,2,FALSE)</f>
        <v>1</v>
      </c>
      <c r="H40" s="48">
        <f>VLOOKUP($F40,enemy_skill_triggers!$A:$J,3,FALSE)</f>
        <v>99</v>
      </c>
      <c r="I40" s="48">
        <f>VLOOKUP($F40,enemy_skill_triggers!$A:$J,4,FALSE)</f>
        <v>100</v>
      </c>
      <c r="J40" s="48" t="str">
        <f>VLOOKUP($F40,enemy_skill_triggers!$A:$J,5,FALSE)</f>
        <v>null</v>
      </c>
      <c r="K40" s="48" t="str">
        <f>VLOOKUP($F40,enemy_skill_triggers!$A:$J,6,FALSE)</f>
        <v>null</v>
      </c>
      <c r="L40" s="48">
        <f>VLOOKUP($F40,enemy_skill_triggers!$A:$J,7,FALSE)</f>
        <v>1</v>
      </c>
      <c r="M40" s="48" t="str">
        <f>VLOOKUP($F40,enemy_skill_triggers!$A:$J,8,FALSE)</f>
        <v>null</v>
      </c>
      <c r="N40" s="48" t="str">
        <f>VLOOKUP($F40,enemy_skill_triggers!$A:$J,9,FALSE)</f>
        <v>null</v>
      </c>
      <c r="O40" s="48">
        <f>VLOOKUP($F40,enemy_skill_triggers!$A:$J,10,FALSE)</f>
        <v>100</v>
      </c>
      <c r="P40" s="47"/>
      <c r="Q40" s="47"/>
      <c r="R40" s="47"/>
    </row>
    <row r="41" spans="1:18" ht="21" customHeight="1" x14ac:dyDescent="0.15">
      <c r="A41" s="39" t="str">
        <f t="shared" si="26"/>
        <v>30017013_30017022</v>
      </c>
      <c r="B41" s="131">
        <v>30017013</v>
      </c>
      <c r="C41" s="47">
        <v>30017022</v>
      </c>
      <c r="D41" s="46" t="str">
        <f>IFERROR(VLOOKUP(C41,enemy_skills!A:Y,4,FALSE),VLOOKUP(C41,[5]enemy_skills!$A:$E,4,FALSE))</f>
        <v>ja</v>
      </c>
      <c r="E41" s="46" t="str">
        <f>IFERROR(VLOOKUP(C41,enemy_skills!A:Y,5,FALSE),VLOOKUP(C41,[5]enemy_skills!$A:$E,5,FALSE))</f>
        <v>練武爆炎剣</v>
      </c>
      <c r="F41" s="47">
        <v>30017001</v>
      </c>
      <c r="G41" s="48">
        <f>VLOOKUP($F41,enemy_skill_triggers!$A:$J,2,FALSE)</f>
        <v>0</v>
      </c>
      <c r="H41" s="48">
        <f>VLOOKUP($F41,enemy_skill_triggers!$A:$J,3,FALSE)</f>
        <v>1</v>
      </c>
      <c r="I41" s="48">
        <f>VLOOKUP($F41,enemy_skill_triggers!$A:$J,4,FALSE)</f>
        <v>50</v>
      </c>
      <c r="J41" s="48" t="str">
        <f>VLOOKUP($F41,enemy_skill_triggers!$A:$J,5,FALSE)</f>
        <v>null</v>
      </c>
      <c r="K41" s="48" t="str">
        <f>VLOOKUP($F41,enemy_skill_triggers!$A:$J,6,FALSE)</f>
        <v>null</v>
      </c>
      <c r="L41" s="48" t="str">
        <f>VLOOKUP($F41,enemy_skill_triggers!$A:$J,7,FALSE)</f>
        <v>null</v>
      </c>
      <c r="M41" s="48" t="str">
        <f>VLOOKUP($F41,enemy_skill_triggers!$A:$J,8,FALSE)</f>
        <v>null</v>
      </c>
      <c r="N41" s="48" t="str">
        <f>VLOOKUP($F41,enemy_skill_triggers!$A:$J,9,FALSE)</f>
        <v>null</v>
      </c>
      <c r="O41" s="48">
        <f>VLOOKUP($F41,enemy_skill_triggers!$A:$J,10,FALSE)</f>
        <v>50</v>
      </c>
      <c r="P41" s="47"/>
      <c r="Q41" s="47"/>
      <c r="R41" s="47"/>
    </row>
    <row r="42" spans="1:18" ht="21" customHeight="1" x14ac:dyDescent="0.15">
      <c r="A42" s="39" t="str">
        <f t="shared" si="26"/>
        <v>30017013_30017017</v>
      </c>
      <c r="B42" s="131">
        <v>30017013</v>
      </c>
      <c r="C42" s="47">
        <v>30017017</v>
      </c>
      <c r="D42" s="46" t="str">
        <f>IFERROR(VLOOKUP(C42,enemy_skills!A:Y,4,FALSE),VLOOKUP(C42,[5]enemy_skills!$A:$E,4,FALSE))</f>
        <v>ja</v>
      </c>
      <c r="E42" s="46" t="str">
        <f>IFERROR(VLOOKUP(C42,enemy_skills!A:Y,5,FALSE),VLOOKUP(C42,[5]enemy_skills!$A:$E,5,FALSE))</f>
        <v>焼き払い</v>
      </c>
      <c r="F42" s="47">
        <v>30017011</v>
      </c>
      <c r="G42" s="48">
        <f>VLOOKUP($F42,enemy_skill_triggers!$A:$J,2,FALSE)</f>
        <v>0</v>
      </c>
      <c r="H42" s="48">
        <f>VLOOKUP($F42,enemy_skill_triggers!$A:$J,3,FALSE)</f>
        <v>1</v>
      </c>
      <c r="I42" s="48">
        <f>VLOOKUP($F42,enemy_skill_triggers!$A:$J,4,FALSE)</f>
        <v>30</v>
      </c>
      <c r="J42" s="48" t="str">
        <f>VLOOKUP($F42,enemy_skill_triggers!$A:$J,5,FALSE)</f>
        <v>null</v>
      </c>
      <c r="K42" s="48" t="str">
        <f>VLOOKUP($F42,enemy_skill_triggers!$A:$J,6,FALSE)</f>
        <v>null</v>
      </c>
      <c r="L42" s="48" t="str">
        <f>VLOOKUP($F42,enemy_skill_triggers!$A:$J,7,FALSE)</f>
        <v>null</v>
      </c>
      <c r="M42" s="48" t="str">
        <f>VLOOKUP($F42,enemy_skill_triggers!$A:$J,8,FALSE)</f>
        <v>null</v>
      </c>
      <c r="N42" s="48" t="str">
        <f>VLOOKUP($F42,enemy_skill_triggers!$A:$J,9,FALSE)</f>
        <v>null</v>
      </c>
      <c r="O42" s="48">
        <f>VLOOKUP($F42,enemy_skill_triggers!$A:$J,10,FALSE)</f>
        <v>30</v>
      </c>
      <c r="P42" s="47"/>
      <c r="Q42" s="47"/>
      <c r="R42" s="47"/>
    </row>
    <row r="43" spans="1:18" ht="21" customHeight="1" x14ac:dyDescent="0.15">
      <c r="A43" s="39" t="str">
        <f t="shared" si="26"/>
        <v>30017013_30017018</v>
      </c>
      <c r="B43" s="131">
        <v>30017013</v>
      </c>
      <c r="C43" s="47">
        <v>30017018</v>
      </c>
      <c r="D43" s="46" t="str">
        <f>IFERROR(VLOOKUP(C43,enemy_skills!A:Y,4,FALSE),VLOOKUP(C43,[5]enemy_skills!$A:$E,4,FALSE))</f>
        <v>ja</v>
      </c>
      <c r="E43" s="46" t="str">
        <f>IFERROR(VLOOKUP(C43,enemy_skills!A:Y,5,FALSE),VLOOKUP(C43,[5]enemy_skills!$A:$E,5,FALSE))</f>
        <v>火炎旋風</v>
      </c>
      <c r="F43" s="47">
        <v>30017009</v>
      </c>
      <c r="G43" s="48">
        <f>VLOOKUP($F43,enemy_skill_triggers!$A:$J,2,FALSE)</f>
        <v>0</v>
      </c>
      <c r="H43" s="48">
        <f>VLOOKUP($F43,enemy_skill_triggers!$A:$J,3,FALSE)</f>
        <v>2</v>
      </c>
      <c r="I43" s="48">
        <f>VLOOKUP($F43,enemy_skill_triggers!$A:$J,4,FALSE)</f>
        <v>100</v>
      </c>
      <c r="J43" s="48" t="str">
        <f>VLOOKUP($F43,enemy_skill_triggers!$A:$J,5,FALSE)</f>
        <v>null</v>
      </c>
      <c r="K43" s="48" t="str">
        <f>VLOOKUP($F43,enemy_skill_triggers!$A:$J,6,FALSE)</f>
        <v>null</v>
      </c>
      <c r="L43" s="48" t="str">
        <f>VLOOKUP($F43,enemy_skill_triggers!$A:$J,7,FALSE)</f>
        <v>null</v>
      </c>
      <c r="M43" s="48">
        <f>VLOOKUP($F43,enemy_skill_triggers!$A:$J,8,FALSE)</f>
        <v>3</v>
      </c>
      <c r="N43" s="48" t="str">
        <f>VLOOKUP($F43,enemy_skill_triggers!$A:$J,9,FALSE)</f>
        <v>null</v>
      </c>
      <c r="O43" s="48">
        <f>VLOOKUP($F43,enemy_skill_triggers!$A:$J,10,FALSE)</f>
        <v>100</v>
      </c>
      <c r="P43" s="47"/>
      <c r="Q43" s="47"/>
      <c r="R43" s="47"/>
    </row>
    <row r="44" spans="1:18" ht="21" customHeight="1" x14ac:dyDescent="0.15">
      <c r="A44" s="39" t="str">
        <f t="shared" ref="A44" si="27">B44&amp;"_"&amp;C44</f>
        <v>30017013_30017024</v>
      </c>
      <c r="B44" s="131">
        <v>30017013</v>
      </c>
      <c r="C44" s="47">
        <v>30017024</v>
      </c>
      <c r="D44" s="46" t="str">
        <f>IFERROR(VLOOKUP(C44,enemy_skills!A:Y,4,FALSE),VLOOKUP(C44,[5]enemy_skills!$A:$E,4,FALSE))</f>
        <v>ja</v>
      </c>
      <c r="E44" s="46" t="str">
        <f>IFERROR(VLOOKUP(C44,enemy_skills!A:Y,5,FALSE),VLOOKUP(C44,[5]enemy_skills!$A:$E,5,FALSE))</f>
        <v>負ける…ものかぁッ！！</v>
      </c>
      <c r="F44" s="47">
        <v>30017010</v>
      </c>
      <c r="G44" s="48">
        <f>VLOOKUP($F44,enemy_skill_triggers!$A:$J,2,FALSE)</f>
        <v>0</v>
      </c>
      <c r="H44" s="48">
        <f>VLOOKUP($F44,enemy_skill_triggers!$A:$J,3,FALSE)</f>
        <v>3</v>
      </c>
      <c r="I44" s="48">
        <f>VLOOKUP($F44,enemy_skill_triggers!$A:$J,4,FALSE)</f>
        <v>100</v>
      </c>
      <c r="J44" s="48">
        <f>VLOOKUP($F44,enemy_skill_triggers!$A:$J,5,FALSE)</f>
        <v>30</v>
      </c>
      <c r="K44" s="48" t="str">
        <f>VLOOKUP($F44,enemy_skill_triggers!$A:$J,6,FALSE)</f>
        <v>null</v>
      </c>
      <c r="L44" s="48">
        <f>VLOOKUP($F44,enemy_skill_triggers!$A:$J,7,FALSE)</f>
        <v>1</v>
      </c>
      <c r="M44" s="48" t="str">
        <f>VLOOKUP($F44,enemy_skill_triggers!$A:$J,8,FALSE)</f>
        <v>null</v>
      </c>
      <c r="N44" s="48" t="str">
        <f>VLOOKUP($F44,enemy_skill_triggers!$A:$J,9,FALSE)</f>
        <v>null</v>
      </c>
      <c r="O44" s="48">
        <f>VLOOKUP($F44,enemy_skill_triggers!$A:$J,10,FALSE)</f>
        <v>100</v>
      </c>
      <c r="P44" s="47"/>
      <c r="Q44" s="47"/>
      <c r="R4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5"/>
  <sheetViews>
    <sheetView showGridLines="0" zoomScale="85" zoomScaleNormal="85" zoomScalePageLayoutView="85" workbookViewId="0">
      <pane ySplit="1" topLeftCell="A6" activePane="bottomLeft" state="frozenSplit"/>
      <selection activeCell="F3" sqref="F3"/>
      <selection pane="bottomLeft" activeCell="B26" sqref="B2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52" style="49" hidden="1" customWidth="1" outlineLevel="1"/>
    <col min="7" max="7" width="18.33203125" style="49" hidden="1" customWidth="1" outlineLevel="1"/>
    <col min="8" max="10" width="18.6640625" style="49" hidden="1" customWidth="1" outlineLevel="1"/>
    <col min="11" max="11" width="23.6640625" style="49" customWidth="1" collapsed="1"/>
    <col min="12" max="17" width="23.6640625" style="49" hidden="1" customWidth="1" outlineLevel="1"/>
    <col min="18" max="18" width="23.6640625" style="49" customWidth="1" collapsed="1"/>
    <col min="19" max="23" width="23.6640625" style="49" hidden="1" customWidth="1" outlineLevel="1"/>
    <col min="24" max="24" width="23.6640625" style="49" customWidth="1" collapsed="1"/>
    <col min="25" max="25" width="44.1640625" style="49" bestFit="1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1" t="s">
        <v>132</v>
      </c>
      <c r="G1" s="41" t="s">
        <v>138</v>
      </c>
      <c r="H1" s="41" t="s">
        <v>140</v>
      </c>
      <c r="I1" s="41" t="s">
        <v>139</v>
      </c>
      <c r="J1" s="41" t="s">
        <v>141</v>
      </c>
      <c r="K1" s="41" t="s">
        <v>133</v>
      </c>
      <c r="L1" s="41" t="s">
        <v>131</v>
      </c>
      <c r="M1" s="41" t="s">
        <v>134</v>
      </c>
      <c r="N1" s="41" t="s">
        <v>142</v>
      </c>
      <c r="O1" s="41" t="s">
        <v>143</v>
      </c>
      <c r="P1" s="41" t="s">
        <v>144</v>
      </c>
      <c r="Q1" s="41" t="s">
        <v>145</v>
      </c>
      <c r="R1" s="41" t="s">
        <v>135</v>
      </c>
      <c r="S1" s="41" t="s">
        <v>136</v>
      </c>
      <c r="T1" s="41" t="s">
        <v>146</v>
      </c>
      <c r="U1" s="41" t="s">
        <v>147</v>
      </c>
      <c r="V1" s="41" t="s">
        <v>148</v>
      </c>
      <c r="W1" s="41" t="s">
        <v>149</v>
      </c>
      <c r="X1" s="41" t="s">
        <v>137</v>
      </c>
      <c r="Y1" s="40" t="s">
        <v>83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30017001</v>
      </c>
      <c r="B2" s="47" t="s">
        <v>187</v>
      </c>
      <c r="C2" s="50">
        <v>3</v>
      </c>
      <c r="D2" s="50" t="s">
        <v>127</v>
      </c>
      <c r="E2" s="51" t="s">
        <v>186</v>
      </c>
      <c r="F2" s="63" t="str">
        <f t="shared" ref="F2:F25" si="0">IFERROR(LEFT(B2,FIND("],",B2)),B2)</f>
        <v>[effect:dark, turn:2,target:unit_all,animation:enemy_dark]</v>
      </c>
      <c r="G2" s="63">
        <f t="shared" ref="G2:G25" si="1">FIND("effect:",F2)+7</f>
        <v>9</v>
      </c>
      <c r="H2" s="63">
        <f t="shared" ref="H2:H25" si="2">IFERROR(FIND(",",F2),LEN(F2))</f>
        <v>13</v>
      </c>
      <c r="I2" s="63">
        <f t="shared" ref="I2:I25" si="3">FIND("target:",F2)+7</f>
        <v>29</v>
      </c>
      <c r="J2" s="63">
        <f t="shared" ref="J2:J25" si="4">FIND(",",F2,H2+1)</f>
        <v>21</v>
      </c>
      <c r="K2" s="63" t="str">
        <f>IFERROR(VLOOKUP(MID(F2,I2,J2-I2),[6]skilldef!$C:$D,2,FALSE),"-") &amp; " / " &amp; IFERROR(VLOOKUP(MID(F2,G2,H2-G2),[6]skilldef!$A:$B,2,FALSE),"-")</f>
        <v>- / 暗黒</v>
      </c>
      <c r="L2" s="63" t="str">
        <f t="shared" ref="L2:L25" si="5">IFERROR(RIGHT(B2,LEN(B2)-FIND("],",B2)-1),"none")</f>
        <v>[effect:rush, count:1, val:1.0]</v>
      </c>
      <c r="M2" s="48" t="str">
        <f t="shared" ref="M2:M14" si="6">IFERROR(LEFT(L2,FIND("],",L2)+R12),L2)</f>
        <v>[effect:rush, count:1, val:1.0]</v>
      </c>
      <c r="N2" s="63">
        <f t="shared" ref="N2:N25" si="7">FIND("effect:",M2)+7</f>
        <v>9</v>
      </c>
      <c r="O2" s="63">
        <f t="shared" ref="O2:O25" si="8">IFERROR(FIND(",",M2),LEN(M2))</f>
        <v>13</v>
      </c>
      <c r="P2" s="63" t="e">
        <f t="shared" ref="P2:P25" si="9">FIND("target:",M2)+7</f>
        <v>#VALUE!</v>
      </c>
      <c r="Q2" s="63">
        <f t="shared" ref="Q2:Q25" si="10">FIND(",",M2,O2+1)</f>
        <v>22</v>
      </c>
      <c r="R2" s="63" t="str">
        <f>IFERROR(VLOOKUP(MID(M2,P2,Q2-P2),[6]skilldef!$C:$D,2,FALSE),"-") &amp; " / " &amp; IFERROR(VLOOKUP(MID(M2,N2,O2-N2),[6]skilldef!$A:$B,2,FALSE),"-")</f>
        <v>- / 連続攻撃</v>
      </c>
      <c r="S2" s="48" t="str">
        <f t="shared" ref="S2:S25" si="11">IFERROR(RIGHT(L2,LEN(L2)-FIND("],",L2)-1),"none")</f>
        <v>none</v>
      </c>
      <c r="T2" s="63" t="e">
        <f t="shared" ref="T2:T25" si="12">FIND("effect:",S2)+7</f>
        <v>#VALUE!</v>
      </c>
      <c r="U2" s="63">
        <f t="shared" ref="U2:U25" si="13">IFERROR(FIND(",",S2),LEN(S2))</f>
        <v>4</v>
      </c>
      <c r="V2" s="63" t="e">
        <f t="shared" ref="V2:V25" si="14">FIND("target:",S2)+7</f>
        <v>#VALUE!</v>
      </c>
      <c r="W2" s="63" t="e">
        <f t="shared" ref="W2:W25" si="15">FIND(",",S2,U2+1)</f>
        <v>#VALUE!</v>
      </c>
      <c r="X2" s="63" t="str">
        <f>IFERROR(VLOOKUP(MID(S2,V2,W2-V2),[6]skilldef!$C:$D,2,FALSE),"-") &amp; " / " &amp; IFERROR(VLOOKUP(MID(S2,T2,U2-T2),[6]skilldef!$A:$B,2,FALSE),"-")</f>
        <v>- / -</v>
      </c>
      <c r="Y2" s="51" t="s">
        <v>188</v>
      </c>
      <c r="Z2" s="50"/>
      <c r="AA2" s="52"/>
      <c r="AB2" s="50"/>
    </row>
    <row r="3" spans="1:28" ht="21" customHeight="1" x14ac:dyDescent="0.15">
      <c r="A3" s="47">
        <v>30017002</v>
      </c>
      <c r="B3" s="47" t="s">
        <v>191</v>
      </c>
      <c r="C3" s="50">
        <v>3</v>
      </c>
      <c r="D3" s="50" t="s">
        <v>127</v>
      </c>
      <c r="E3" s="51" t="s">
        <v>189</v>
      </c>
      <c r="F3" s="63" t="str">
        <f t="shared" si="0"/>
        <v>[effect:virus, turn:3, rate:1.0, val:0.05, animation:enemy_virus]</v>
      </c>
      <c r="G3" s="63">
        <f t="shared" si="1"/>
        <v>9</v>
      </c>
      <c r="H3" s="63">
        <f t="shared" si="2"/>
        <v>14</v>
      </c>
      <c r="I3" s="63" t="e">
        <f t="shared" si="3"/>
        <v>#VALUE!</v>
      </c>
      <c r="J3" s="63">
        <f t="shared" si="4"/>
        <v>22</v>
      </c>
      <c r="K3" s="63" t="str">
        <f>IFERROR(VLOOKUP(MID(F3,I3,J3-I3),[6]skilldef!$C:$D,2,FALSE),"-") &amp; " / " &amp; IFERROR(VLOOKUP(MID(F3,G3,H3-G3),[6]skilldef!$A:$B,2,FALSE),"-")</f>
        <v>- / ウィルス</v>
      </c>
      <c r="L3" s="63" t="str">
        <f t="shared" si="5"/>
        <v>[effect:rush, count:1, val:1.0]</v>
      </c>
      <c r="M3" s="48" t="str">
        <f t="shared" si="6"/>
        <v>[effect:rush, count:1, val:1.0]</v>
      </c>
      <c r="N3" s="63">
        <f t="shared" si="7"/>
        <v>9</v>
      </c>
      <c r="O3" s="63">
        <f t="shared" si="8"/>
        <v>13</v>
      </c>
      <c r="P3" s="63" t="e">
        <f t="shared" si="9"/>
        <v>#VALUE!</v>
      </c>
      <c r="Q3" s="63">
        <f t="shared" si="10"/>
        <v>22</v>
      </c>
      <c r="R3" s="63" t="str">
        <f>IFERROR(VLOOKUP(MID(M3,P3,Q3-P3),[6]skilldef!$C:$D,2,FALSE),"-") &amp; " / " &amp; IFERROR(VLOOKUP(MID(M3,N3,O3-N3),[6]skilldef!$A:$B,2,FALSE),"-")</f>
        <v>- / 連続攻撃</v>
      </c>
      <c r="S3" s="48" t="str">
        <f t="shared" si="11"/>
        <v>none</v>
      </c>
      <c r="T3" s="63" t="e">
        <f t="shared" si="12"/>
        <v>#VALUE!</v>
      </c>
      <c r="U3" s="63">
        <f t="shared" si="13"/>
        <v>4</v>
      </c>
      <c r="V3" s="63" t="e">
        <f t="shared" si="14"/>
        <v>#VALUE!</v>
      </c>
      <c r="W3" s="63" t="e">
        <f t="shared" si="15"/>
        <v>#VALUE!</v>
      </c>
      <c r="X3" s="63" t="str">
        <f>IFERROR(VLOOKUP(MID(S3,V3,W3-V3),[6]skilldef!$C:$D,2,FALSE),"-") &amp; " / " &amp; IFERROR(VLOOKUP(MID(S3,T3,U3-T3),[6]skilldef!$A:$B,2,FALSE),"-")</f>
        <v>- / -</v>
      </c>
      <c r="Y3" s="51" t="s">
        <v>190</v>
      </c>
      <c r="Z3" s="50"/>
      <c r="AA3" s="52"/>
      <c r="AB3" s="50"/>
    </row>
    <row r="4" spans="1:28" ht="21" customHeight="1" x14ac:dyDescent="0.15">
      <c r="A4" s="47">
        <v>30017003</v>
      </c>
      <c r="B4" s="47" t="s">
        <v>192</v>
      </c>
      <c r="C4" s="50">
        <v>3</v>
      </c>
      <c r="D4" s="50" t="s">
        <v>127</v>
      </c>
      <c r="E4" s="51" t="s">
        <v>195</v>
      </c>
      <c r="F4" s="63" t="str">
        <f t="shared" si="0"/>
        <v>[effect:degrade_unit, target:unit_all, turn:3, status:action, val:1.0,animation:enemy_tap_down]</v>
      </c>
      <c r="G4" s="63">
        <f t="shared" si="1"/>
        <v>9</v>
      </c>
      <c r="H4" s="63">
        <f t="shared" si="2"/>
        <v>21</v>
      </c>
      <c r="I4" s="63">
        <f t="shared" si="3"/>
        <v>30</v>
      </c>
      <c r="J4" s="63">
        <f t="shared" si="4"/>
        <v>38</v>
      </c>
      <c r="K4" s="63" t="str">
        <f>IFERROR(VLOOKUP(MID(F4,I4,J4-I4),[6]skilldef!$C:$D,2,FALSE),"-") &amp; " / " &amp; IFERROR(VLOOKUP(MID(F4,G4,H4-G4),[6]skilldef!$A:$B,2,FALSE),"-")</f>
        <v>味方全体に / ステータスDOWN</v>
      </c>
      <c r="L4" s="63" t="str">
        <f t="shared" si="5"/>
        <v>[effect:rush, count:1, val:1.0]</v>
      </c>
      <c r="M4" s="48" t="str">
        <f t="shared" si="6"/>
        <v>[effect:rush, count:1, val:1.0]</v>
      </c>
      <c r="N4" s="63">
        <f t="shared" si="7"/>
        <v>9</v>
      </c>
      <c r="O4" s="63">
        <f t="shared" si="8"/>
        <v>13</v>
      </c>
      <c r="P4" s="63" t="e">
        <f t="shared" si="9"/>
        <v>#VALUE!</v>
      </c>
      <c r="Q4" s="63">
        <f t="shared" si="10"/>
        <v>22</v>
      </c>
      <c r="R4" s="63" t="str">
        <f>IFERROR(VLOOKUP(MID(M4,P4,Q4-P4),[6]skilldef!$C:$D,2,FALSE),"-") &amp; " / " &amp; IFERROR(VLOOKUP(MID(M4,N4,O4-N4),[6]skilldef!$A:$B,2,FALSE),"-")</f>
        <v>- / 連続攻撃</v>
      </c>
      <c r="S4" s="48" t="str">
        <f t="shared" si="11"/>
        <v>none</v>
      </c>
      <c r="T4" s="63" t="e">
        <f t="shared" si="12"/>
        <v>#VALUE!</v>
      </c>
      <c r="U4" s="63">
        <f t="shared" si="13"/>
        <v>4</v>
      </c>
      <c r="V4" s="63" t="e">
        <f t="shared" si="14"/>
        <v>#VALUE!</v>
      </c>
      <c r="W4" s="63" t="e">
        <f t="shared" si="15"/>
        <v>#VALUE!</v>
      </c>
      <c r="X4" s="63" t="str">
        <f>IFERROR(VLOOKUP(MID(S4,V4,W4-V4),[6]skilldef!$C:$D,2,FALSE),"-") &amp; " / " &amp; IFERROR(VLOOKUP(MID(S4,T4,U4-T4),[6]skilldef!$A:$B,2,FALSE),"-")</f>
        <v>- / -</v>
      </c>
      <c r="Y4" s="51" t="s">
        <v>193</v>
      </c>
      <c r="Z4" s="50"/>
      <c r="AA4" s="52"/>
      <c r="AB4" s="50"/>
    </row>
    <row r="5" spans="1:28" ht="21" customHeight="1" x14ac:dyDescent="0.15">
      <c r="A5" s="47">
        <v>30017004</v>
      </c>
      <c r="B5" s="47" t="s">
        <v>197</v>
      </c>
      <c r="C5" s="50">
        <v>3</v>
      </c>
      <c r="D5" s="50" t="s">
        <v>127</v>
      </c>
      <c r="E5" s="51" t="s">
        <v>196</v>
      </c>
      <c r="F5" s="63" t="str">
        <f t="shared" si="0"/>
        <v>[effect:rush, count:6, val:0.3]</v>
      </c>
      <c r="G5" s="63">
        <f t="shared" si="1"/>
        <v>9</v>
      </c>
      <c r="H5" s="63">
        <f t="shared" si="2"/>
        <v>13</v>
      </c>
      <c r="I5" s="63" t="e">
        <f t="shared" si="3"/>
        <v>#VALUE!</v>
      </c>
      <c r="J5" s="63">
        <f t="shared" si="4"/>
        <v>22</v>
      </c>
      <c r="K5" s="63" t="str">
        <f>IFERROR(VLOOKUP(MID(F5,I5,J5-I5),[6]skilldef!$C:$D,2,FALSE),"-") &amp; " / " &amp; IFERROR(VLOOKUP(MID(F5,G5,H5-G5),[6]skilldef!$A:$B,2,FALSE),"-")</f>
        <v>- / 連続攻撃</v>
      </c>
      <c r="L5" s="63" t="str">
        <f t="shared" si="5"/>
        <v>none</v>
      </c>
      <c r="M5" s="48" t="str">
        <f t="shared" si="6"/>
        <v>none</v>
      </c>
      <c r="N5" s="63" t="e">
        <f t="shared" si="7"/>
        <v>#VALUE!</v>
      </c>
      <c r="O5" s="63">
        <f t="shared" si="8"/>
        <v>4</v>
      </c>
      <c r="P5" s="63" t="e">
        <f t="shared" si="9"/>
        <v>#VALUE!</v>
      </c>
      <c r="Q5" s="63" t="e">
        <f t="shared" si="10"/>
        <v>#VALUE!</v>
      </c>
      <c r="R5" s="63" t="str">
        <f>IFERROR(VLOOKUP(MID(M5,P5,Q5-P5),[6]skilldef!$C:$D,2,FALSE),"-") &amp; " / " &amp; IFERROR(VLOOKUP(MID(M5,N5,O5-N5),[6]skilldef!$A:$B,2,FALSE),"-")</f>
        <v>- / -</v>
      </c>
      <c r="S5" s="48" t="str">
        <f t="shared" si="11"/>
        <v>none</v>
      </c>
      <c r="T5" s="63" t="e">
        <f t="shared" si="12"/>
        <v>#VALUE!</v>
      </c>
      <c r="U5" s="63">
        <f t="shared" si="13"/>
        <v>4</v>
      </c>
      <c r="V5" s="63" t="e">
        <f t="shared" si="14"/>
        <v>#VALUE!</v>
      </c>
      <c r="W5" s="63" t="e">
        <f t="shared" si="15"/>
        <v>#VALUE!</v>
      </c>
      <c r="X5" s="63" t="str">
        <f>IFERROR(VLOOKUP(MID(S5,V5,W5-V5),[6]skilldef!$C:$D,2,FALSE),"-") &amp; " / " &amp; IFERROR(VLOOKUP(MID(S5,T5,U5-T5),[6]skilldef!$A:$B,2,FALSE),"-")</f>
        <v>- / -</v>
      </c>
      <c r="Y5" s="51" t="s">
        <v>194</v>
      </c>
      <c r="Z5" s="50"/>
      <c r="AA5" s="52"/>
      <c r="AB5" s="50"/>
    </row>
    <row r="6" spans="1:28" ht="21" customHeight="1" x14ac:dyDescent="0.15">
      <c r="A6" s="130">
        <v>30017005</v>
      </c>
      <c r="B6" s="47" t="s">
        <v>256</v>
      </c>
      <c r="C6" s="50">
        <v>3</v>
      </c>
      <c r="D6" s="50" t="s">
        <v>127</v>
      </c>
      <c r="E6" s="51" t="s">
        <v>198</v>
      </c>
      <c r="F6" s="63" t="str">
        <f t="shared" si="0"/>
        <v>[effect:enhance_enemy, target:myself, turn:-1, status:attack, val:0.35, animation:enemy_enhance_enemy]</v>
      </c>
      <c r="G6" s="63">
        <f t="shared" si="1"/>
        <v>9</v>
      </c>
      <c r="H6" s="63">
        <f t="shared" si="2"/>
        <v>22</v>
      </c>
      <c r="I6" s="63">
        <f t="shared" si="3"/>
        <v>31</v>
      </c>
      <c r="J6" s="63">
        <f t="shared" si="4"/>
        <v>37</v>
      </c>
      <c r="K6" s="63" t="str">
        <f>IFERROR(VLOOKUP(MID(F6,I6,J6-I6),[6]skilldef!$C:$D,2,FALSE),"-") &amp; " / " &amp; IFERROR(VLOOKUP(MID(F6,G6,H6-G6),[6]skilldef!$A:$B,2,FALSE),"-")</f>
        <v>自分自身に / ステータス強化</v>
      </c>
      <c r="L6" s="63" t="str">
        <f t="shared" si="5"/>
        <v>[effect:enhance_enemy, target:myself, turn:-1, status:defense, val:4000, calc:add, animation:enemy_enhance_enemy]</v>
      </c>
      <c r="M6" s="48" t="str">
        <f t="shared" si="6"/>
        <v>[effect:enhance_enemy, target:myself, turn:-1, status:defense, val:4000, calc:add, animation:enemy_enhance_enemy]</v>
      </c>
      <c r="N6" s="63">
        <f t="shared" si="7"/>
        <v>9</v>
      </c>
      <c r="O6" s="63">
        <f t="shared" si="8"/>
        <v>22</v>
      </c>
      <c r="P6" s="63">
        <f t="shared" si="9"/>
        <v>31</v>
      </c>
      <c r="Q6" s="63">
        <f t="shared" si="10"/>
        <v>37</v>
      </c>
      <c r="R6" s="63" t="str">
        <f>IFERROR(VLOOKUP(MID(M6,P6,Q6-P6),[6]skilldef!$C:$D,2,FALSE),"-") &amp; " / " &amp; IFERROR(VLOOKUP(MID(M6,N6,O6-N6),[6]skilldef!$A:$B,2,FALSE),"-")</f>
        <v>自分自身に / ステータス強化</v>
      </c>
      <c r="S6" s="48" t="str">
        <f t="shared" si="11"/>
        <v>none</v>
      </c>
      <c r="T6" s="63" t="e">
        <f t="shared" si="12"/>
        <v>#VALUE!</v>
      </c>
      <c r="U6" s="63">
        <f t="shared" si="13"/>
        <v>4</v>
      </c>
      <c r="V6" s="63" t="e">
        <f t="shared" si="14"/>
        <v>#VALUE!</v>
      </c>
      <c r="W6" s="63" t="e">
        <f t="shared" si="15"/>
        <v>#VALUE!</v>
      </c>
      <c r="X6" s="63" t="str">
        <f>IFERROR(VLOOKUP(MID(S6,V6,W6-V6),[6]skilldef!$C:$D,2,FALSE),"-") &amp; " / " &amp; IFERROR(VLOOKUP(MID(S6,T6,U6-T6),[6]skilldef!$A:$B,2,FALSE),"-")</f>
        <v>- / -</v>
      </c>
      <c r="Y6" s="51" t="s">
        <v>199</v>
      </c>
      <c r="Z6" s="50"/>
      <c r="AA6" s="52"/>
      <c r="AB6" s="50"/>
    </row>
    <row r="7" spans="1:28" ht="21" customHeight="1" x14ac:dyDescent="0.15">
      <c r="A7" s="131">
        <v>30017006</v>
      </c>
      <c r="B7" s="47" t="s">
        <v>237</v>
      </c>
      <c r="C7" s="50">
        <v>3</v>
      </c>
      <c r="D7" s="50" t="s">
        <v>127</v>
      </c>
      <c r="E7" s="51" t="s">
        <v>198</v>
      </c>
      <c r="F7" s="63" t="str">
        <f t="shared" si="0"/>
        <v>[effect:enhance_enemy, target:myself, turn:-1, status:attack, val:0.4, animation:enemy_enhance_enemy]</v>
      </c>
      <c r="G7" s="63">
        <f t="shared" si="1"/>
        <v>9</v>
      </c>
      <c r="H7" s="63">
        <f t="shared" si="2"/>
        <v>22</v>
      </c>
      <c r="I7" s="63">
        <f t="shared" si="3"/>
        <v>31</v>
      </c>
      <c r="J7" s="63">
        <f t="shared" si="4"/>
        <v>37</v>
      </c>
      <c r="K7" s="63" t="str">
        <f>IFERROR(VLOOKUP(MID(F7,I7,J7-I7),[6]skilldef!$C:$D,2,FALSE),"-") &amp; " / " &amp; IFERROR(VLOOKUP(MID(F7,G7,H7-G7),[6]skilldef!$A:$B,2,FALSE),"-")</f>
        <v>自分自身に / ステータス強化</v>
      </c>
      <c r="L7" s="63" t="str">
        <f t="shared" si="5"/>
        <v>[effect:enhance_enemy, target:myself, turn:-1, status:defense, val:8000, calc:add, animation:enemy_enhance_enemy]</v>
      </c>
      <c r="M7" s="48" t="str">
        <f t="shared" si="6"/>
        <v>[effect:enhance_enemy, target:myself, turn:-1, status:defense, val:8000, calc:add, animation:enemy_enhance_enemy]</v>
      </c>
      <c r="N7" s="63">
        <f t="shared" si="7"/>
        <v>9</v>
      </c>
      <c r="O7" s="63">
        <f t="shared" si="8"/>
        <v>22</v>
      </c>
      <c r="P7" s="63">
        <f t="shared" si="9"/>
        <v>31</v>
      </c>
      <c r="Q7" s="63">
        <f t="shared" si="10"/>
        <v>37</v>
      </c>
      <c r="R7" s="63" t="str">
        <f>IFERROR(VLOOKUP(MID(M7,P7,Q7-P7),[6]skilldef!$C:$D,2,FALSE),"-") &amp; " / " &amp; IFERROR(VLOOKUP(MID(M7,N7,O7-N7),[6]skilldef!$A:$B,2,FALSE),"-")</f>
        <v>自分自身に / ステータス強化</v>
      </c>
      <c r="S7" s="48" t="str">
        <f t="shared" si="11"/>
        <v>none</v>
      </c>
      <c r="T7" s="63" t="e">
        <f t="shared" si="12"/>
        <v>#VALUE!</v>
      </c>
      <c r="U7" s="63">
        <f t="shared" si="13"/>
        <v>4</v>
      </c>
      <c r="V7" s="63" t="e">
        <f t="shared" si="14"/>
        <v>#VALUE!</v>
      </c>
      <c r="W7" s="63" t="e">
        <f t="shared" si="15"/>
        <v>#VALUE!</v>
      </c>
      <c r="X7" s="63" t="str">
        <f>IFERROR(VLOOKUP(MID(S7,V7,W7-V7),[6]skilldef!$C:$D,2,FALSE),"-") &amp; " / " &amp; IFERROR(VLOOKUP(MID(S7,T7,U7-T7),[6]skilldef!$A:$B,2,FALSE),"-")</f>
        <v>- / -</v>
      </c>
      <c r="Y7" s="51" t="s">
        <v>199</v>
      </c>
      <c r="Z7" s="50"/>
      <c r="AA7" s="52"/>
      <c r="AB7" s="50"/>
    </row>
    <row r="8" spans="1:28" ht="21" customHeight="1" x14ac:dyDescent="0.15">
      <c r="A8" s="47">
        <v>30017007</v>
      </c>
      <c r="B8" s="47" t="s">
        <v>239</v>
      </c>
      <c r="C8" s="50">
        <v>3</v>
      </c>
      <c r="D8" s="50" t="s">
        <v>127</v>
      </c>
      <c r="E8" s="51" t="s">
        <v>200</v>
      </c>
      <c r="F8" s="63" t="str">
        <f t="shared" si="0"/>
        <v>[effect:critical, val:1.4.0, animation:enemy_critical]</v>
      </c>
      <c r="G8" s="63">
        <f t="shared" si="1"/>
        <v>9</v>
      </c>
      <c r="H8" s="63">
        <f t="shared" si="2"/>
        <v>17</v>
      </c>
      <c r="I8" s="63" t="e">
        <f t="shared" si="3"/>
        <v>#VALUE!</v>
      </c>
      <c r="J8" s="63">
        <f t="shared" si="4"/>
        <v>28</v>
      </c>
      <c r="K8" s="63" t="str">
        <f>IFERROR(VLOOKUP(MID(F8,I8,J8-I8),[6]skilldef!$C:$D,2,FALSE),"-") &amp; " / " &amp; IFERROR(VLOOKUP(MID(F8,G8,H8-G8),[6]skilldef!$A:$B,2,FALSE),"-")</f>
        <v>- / 大攻撃</v>
      </c>
      <c r="L8" s="63" t="str">
        <f t="shared" si="5"/>
        <v>none</v>
      </c>
      <c r="M8" s="48" t="str">
        <f t="shared" si="6"/>
        <v>none</v>
      </c>
      <c r="N8" s="63" t="e">
        <f t="shared" si="7"/>
        <v>#VALUE!</v>
      </c>
      <c r="O8" s="63">
        <f t="shared" si="8"/>
        <v>4</v>
      </c>
      <c r="P8" s="63" t="e">
        <f t="shared" si="9"/>
        <v>#VALUE!</v>
      </c>
      <c r="Q8" s="63" t="e">
        <f t="shared" si="10"/>
        <v>#VALUE!</v>
      </c>
      <c r="R8" s="63" t="str">
        <f>IFERROR(VLOOKUP(MID(M8,P8,Q8-P8),[6]skilldef!$C:$D,2,FALSE),"-") &amp; " / " &amp; IFERROR(VLOOKUP(MID(M8,N8,O8-N8),[6]skilldef!$A:$B,2,FALSE),"-")</f>
        <v>- / -</v>
      </c>
      <c r="S8" s="48" t="str">
        <f t="shared" si="11"/>
        <v>none</v>
      </c>
      <c r="T8" s="63" t="e">
        <f t="shared" si="12"/>
        <v>#VALUE!</v>
      </c>
      <c r="U8" s="63">
        <f t="shared" si="13"/>
        <v>4</v>
      </c>
      <c r="V8" s="63" t="e">
        <f t="shared" si="14"/>
        <v>#VALUE!</v>
      </c>
      <c r="W8" s="63" t="e">
        <f t="shared" si="15"/>
        <v>#VALUE!</v>
      </c>
      <c r="X8" s="63" t="str">
        <f>IFERROR(VLOOKUP(MID(S8,V8,W8-V8),[6]skilldef!$C:$D,2,FALSE),"-") &amp; " / " &amp; IFERROR(VLOOKUP(MID(S8,T8,U8-T8),[6]skilldef!$A:$B,2,FALSE),"-")</f>
        <v>- / -</v>
      </c>
      <c r="Y8" s="51" t="s">
        <v>240</v>
      </c>
      <c r="Z8" s="50"/>
      <c r="AA8" s="52"/>
      <c r="AB8" s="50"/>
    </row>
    <row r="9" spans="1:28" ht="21" customHeight="1" x14ac:dyDescent="0.15">
      <c r="A9" s="47">
        <v>30017008</v>
      </c>
      <c r="B9" s="47" t="s">
        <v>202</v>
      </c>
      <c r="C9" s="50">
        <v>3</v>
      </c>
      <c r="D9" s="50" t="s">
        <v>127</v>
      </c>
      <c r="E9" s="51" t="s">
        <v>201</v>
      </c>
      <c r="F9" s="63" t="str">
        <f t="shared" si="0"/>
        <v>[effect:spread, val:0.5, animation:enemy_spread]</v>
      </c>
      <c r="G9" s="63">
        <f t="shared" si="1"/>
        <v>9</v>
      </c>
      <c r="H9" s="63">
        <f t="shared" si="2"/>
        <v>15</v>
      </c>
      <c r="I9" s="63" t="e">
        <f t="shared" si="3"/>
        <v>#VALUE!</v>
      </c>
      <c r="J9" s="63">
        <f t="shared" si="4"/>
        <v>24</v>
      </c>
      <c r="K9" s="63" t="str">
        <f>IFERROR(VLOOKUP(MID(F9,I9,J9-I9),[6]skilldef!$C:$D,2,FALSE),"-") &amp; " / " &amp; IFERROR(VLOOKUP(MID(F9,G9,H9-G9),[6]skilldef!$A:$B,2,FALSE),"-")</f>
        <v>- / 全体攻撃</v>
      </c>
      <c r="L9" s="63" t="str">
        <f t="shared" si="5"/>
        <v>none</v>
      </c>
      <c r="M9" s="48" t="str">
        <f t="shared" si="6"/>
        <v>none</v>
      </c>
      <c r="N9" s="63" t="e">
        <f t="shared" si="7"/>
        <v>#VALUE!</v>
      </c>
      <c r="O9" s="63">
        <f t="shared" si="8"/>
        <v>4</v>
      </c>
      <c r="P9" s="63" t="e">
        <f t="shared" si="9"/>
        <v>#VALUE!</v>
      </c>
      <c r="Q9" s="63" t="e">
        <f t="shared" si="10"/>
        <v>#VALUE!</v>
      </c>
      <c r="R9" s="63" t="str">
        <f>IFERROR(VLOOKUP(MID(M9,P9,Q9-P9),[6]skilldef!$C:$D,2,FALSE),"-") &amp; " / " &amp; IFERROR(VLOOKUP(MID(M9,N9,O9-N9),[6]skilldef!$A:$B,2,FALSE),"-")</f>
        <v>- / -</v>
      </c>
      <c r="S9" s="48" t="str">
        <f t="shared" si="11"/>
        <v>none</v>
      </c>
      <c r="T9" s="63" t="e">
        <f t="shared" si="12"/>
        <v>#VALUE!</v>
      </c>
      <c r="U9" s="63">
        <f t="shared" si="13"/>
        <v>4</v>
      </c>
      <c r="V9" s="63" t="e">
        <f t="shared" si="14"/>
        <v>#VALUE!</v>
      </c>
      <c r="W9" s="63" t="e">
        <f t="shared" si="15"/>
        <v>#VALUE!</v>
      </c>
      <c r="X9" s="63" t="str">
        <f>IFERROR(VLOOKUP(MID(S9,V9,W9-V9),[6]skilldef!$C:$D,2,FALSE),"-") &amp; " / " &amp; IFERROR(VLOOKUP(MID(S9,T9,U9-T9),[6]skilldef!$A:$B,2,FALSE),"-")</f>
        <v>- / -</v>
      </c>
      <c r="Y9" s="51" t="s">
        <v>203</v>
      </c>
      <c r="Z9" s="50"/>
      <c r="AA9" s="52"/>
      <c r="AB9" s="50"/>
    </row>
    <row r="10" spans="1:28" ht="21" customHeight="1" x14ac:dyDescent="0.15">
      <c r="A10" s="47">
        <v>30017009</v>
      </c>
      <c r="B10" s="47" t="s">
        <v>228</v>
      </c>
      <c r="C10" s="50">
        <v>3</v>
      </c>
      <c r="D10" s="50" t="s">
        <v>127</v>
      </c>
      <c r="E10" s="51" t="s">
        <v>204</v>
      </c>
      <c r="F10" s="63" t="str">
        <f t="shared" si="0"/>
        <v>[effect:degrade_unit,target:myself,target:myself, turn:1, status:defense, val:0, calc:add, animation:enemy_enhance_enemy]</v>
      </c>
      <c r="G10" s="63">
        <f t="shared" si="1"/>
        <v>9</v>
      </c>
      <c r="H10" s="63">
        <f t="shared" si="2"/>
        <v>21</v>
      </c>
      <c r="I10" s="63">
        <f t="shared" si="3"/>
        <v>29</v>
      </c>
      <c r="J10" s="63">
        <f t="shared" si="4"/>
        <v>35</v>
      </c>
      <c r="K10" s="63" t="str">
        <f>IFERROR(VLOOKUP(MID(F10,I10,J10-I10),[6]skilldef!$C:$D,2,FALSE),"-") &amp; " / " &amp; IFERROR(VLOOKUP(MID(F10,G10,H10-G10),[6]skilldef!$A:$B,2,FALSE),"-")</f>
        <v>自分自身に / ステータスDOWN</v>
      </c>
      <c r="L10" s="63" t="str">
        <f t="shared" si="5"/>
        <v>[effect:fix_speed,target:myself,turn:2]</v>
      </c>
      <c r="M10" s="48" t="str">
        <f t="shared" si="6"/>
        <v>[effect:fix_speed,target:myself,turn:2]</v>
      </c>
      <c r="N10" s="63">
        <f t="shared" si="7"/>
        <v>9</v>
      </c>
      <c r="O10" s="63">
        <f t="shared" si="8"/>
        <v>18</v>
      </c>
      <c r="P10" s="63">
        <f t="shared" si="9"/>
        <v>26</v>
      </c>
      <c r="Q10" s="63">
        <f t="shared" si="10"/>
        <v>32</v>
      </c>
      <c r="R10" s="63" t="str">
        <f>IFERROR(VLOOKUP(MID(M10,P10,Q10-P10),[6]skilldef!$C:$D,2,FALSE),"-") &amp; " / " &amp; IFERROR(VLOOKUP(MID(M10,N10,O10-N10),[6]skilldef!$A:$B,2,FALSE),"-")</f>
        <v>自分自身に / 行動値設定</v>
      </c>
      <c r="S10" s="48" t="str">
        <f t="shared" si="11"/>
        <v>none</v>
      </c>
      <c r="T10" s="63" t="e">
        <f t="shared" si="12"/>
        <v>#VALUE!</v>
      </c>
      <c r="U10" s="63">
        <f t="shared" si="13"/>
        <v>4</v>
      </c>
      <c r="V10" s="63" t="e">
        <f t="shared" si="14"/>
        <v>#VALUE!</v>
      </c>
      <c r="W10" s="63" t="e">
        <f t="shared" si="15"/>
        <v>#VALUE!</v>
      </c>
      <c r="X10" s="63" t="str">
        <f>IFERROR(VLOOKUP(MID(S10,V10,W10-V10),[6]skilldef!$C:$D,2,FALSE),"-") &amp; " / " &amp; IFERROR(VLOOKUP(MID(S10,T10,U10-T10),[6]skilldef!$A:$B,2,FALSE),"-")</f>
        <v>- / -</v>
      </c>
      <c r="Y10" s="51" t="s">
        <v>229</v>
      </c>
      <c r="Z10" s="50"/>
      <c r="AA10" s="52"/>
      <c r="AB10" s="50"/>
    </row>
    <row r="11" spans="1:28" ht="21" customHeight="1" x14ac:dyDescent="0.15">
      <c r="A11" s="47">
        <v>30017010</v>
      </c>
      <c r="B11" s="47" t="s">
        <v>248</v>
      </c>
      <c r="C11" s="50">
        <v>3</v>
      </c>
      <c r="D11" s="50" t="s">
        <v>127</v>
      </c>
      <c r="E11" s="51" t="s">
        <v>204</v>
      </c>
      <c r="F11" s="63" t="str">
        <f t="shared" si="0"/>
        <v>[effect:degrade_unit,target:myself, turn:1, status:attack, val:0, animation:enemy_enhance_enemy]</v>
      </c>
      <c r="G11" s="63">
        <f t="shared" si="1"/>
        <v>9</v>
      </c>
      <c r="H11" s="63">
        <f t="shared" si="2"/>
        <v>21</v>
      </c>
      <c r="I11" s="63">
        <f t="shared" si="3"/>
        <v>29</v>
      </c>
      <c r="J11" s="63">
        <f t="shared" si="4"/>
        <v>35</v>
      </c>
      <c r="K11" s="63" t="str">
        <f>IFERROR(VLOOKUP(MID(F11,I11,J11-I11),[6]skilldef!$C:$D,2,FALSE),"-") &amp; " / " &amp; IFERROR(VLOOKUP(MID(F11,G11,H11-G11),[6]skilldef!$A:$B,2,FALSE),"-")</f>
        <v>自分自身に / ステータスDOWN</v>
      </c>
      <c r="L11" s="63" t="str">
        <f t="shared" si="5"/>
        <v>[effect:fix_speed,target:myself,turn:2]</v>
      </c>
      <c r="M11" s="48" t="str">
        <f t="shared" si="6"/>
        <v>[effect:fix_speed,target:myself,turn:2]</v>
      </c>
      <c r="N11" s="63">
        <f t="shared" si="7"/>
        <v>9</v>
      </c>
      <c r="O11" s="63">
        <f t="shared" si="8"/>
        <v>18</v>
      </c>
      <c r="P11" s="63">
        <f t="shared" si="9"/>
        <v>26</v>
      </c>
      <c r="Q11" s="63">
        <f t="shared" si="10"/>
        <v>32</v>
      </c>
      <c r="R11" s="63" t="str">
        <f>IFERROR(VLOOKUP(MID(M11,P11,Q11-P11),[6]skilldef!$C:$D,2,FALSE),"-") &amp; " / " &amp; IFERROR(VLOOKUP(MID(M11,N11,O11-N11),[6]skilldef!$A:$B,2,FALSE),"-")</f>
        <v>自分自身に / 行動値設定</v>
      </c>
      <c r="S11" s="48" t="str">
        <f t="shared" si="11"/>
        <v>none</v>
      </c>
      <c r="T11" s="63" t="e">
        <f t="shared" si="12"/>
        <v>#VALUE!</v>
      </c>
      <c r="U11" s="63">
        <f t="shared" si="13"/>
        <v>4</v>
      </c>
      <c r="V11" s="63" t="e">
        <f t="shared" si="14"/>
        <v>#VALUE!</v>
      </c>
      <c r="W11" s="63" t="e">
        <f t="shared" si="15"/>
        <v>#VALUE!</v>
      </c>
      <c r="X11" s="63" t="str">
        <f>IFERROR(VLOOKUP(MID(S11,V11,W11-V11),[6]skilldef!$C:$D,2,FALSE),"-") &amp; " / " &amp; IFERROR(VLOOKUP(MID(S11,T11,U11-T11),[6]skilldef!$A:$B,2,FALSE),"-")</f>
        <v>- / -</v>
      </c>
      <c r="Y11" s="51" t="s">
        <v>230</v>
      </c>
      <c r="Z11" s="50"/>
      <c r="AA11" s="52"/>
      <c r="AB11" s="50"/>
    </row>
    <row r="12" spans="1:28" ht="21" customHeight="1" x14ac:dyDescent="0.15">
      <c r="A12" s="47">
        <v>30017011</v>
      </c>
      <c r="B12" s="47" t="s">
        <v>205</v>
      </c>
      <c r="C12" s="50">
        <v>3</v>
      </c>
      <c r="D12" s="50" t="s">
        <v>127</v>
      </c>
      <c r="E12" s="51" t="s">
        <v>206</v>
      </c>
      <c r="F12" s="63" t="str">
        <f t="shared" si="0"/>
        <v>[effect:rush, count:5, val:0.25]</v>
      </c>
      <c r="G12" s="63">
        <f t="shared" si="1"/>
        <v>9</v>
      </c>
      <c r="H12" s="63">
        <f t="shared" si="2"/>
        <v>13</v>
      </c>
      <c r="I12" s="63" t="e">
        <f t="shared" si="3"/>
        <v>#VALUE!</v>
      </c>
      <c r="J12" s="63">
        <f t="shared" si="4"/>
        <v>22</v>
      </c>
      <c r="K12" s="63" t="str">
        <f>IFERROR(VLOOKUP(MID(F12,I12,J12-I12),[6]skilldef!$C:$D,2,FALSE),"-") &amp; " / " &amp; IFERROR(VLOOKUP(MID(F12,G12,H12-G12),[6]skilldef!$A:$B,2,FALSE),"-")</f>
        <v>- / 連続攻撃</v>
      </c>
      <c r="L12" s="63" t="str">
        <f t="shared" si="5"/>
        <v>none</v>
      </c>
      <c r="M12" s="48" t="str">
        <f t="shared" si="6"/>
        <v>none</v>
      </c>
      <c r="N12" s="63" t="e">
        <f t="shared" si="7"/>
        <v>#VALUE!</v>
      </c>
      <c r="O12" s="63">
        <f t="shared" si="8"/>
        <v>4</v>
      </c>
      <c r="P12" s="63" t="e">
        <f t="shared" si="9"/>
        <v>#VALUE!</v>
      </c>
      <c r="Q12" s="63" t="e">
        <f t="shared" si="10"/>
        <v>#VALUE!</v>
      </c>
      <c r="R12" s="63" t="str">
        <f>IFERROR(VLOOKUP(MID(M12,P12,Q12-P12),[6]skilldef!$C:$D,2,FALSE),"-") &amp; " / " &amp; IFERROR(VLOOKUP(MID(M12,N12,O12-N12),[6]skilldef!$A:$B,2,FALSE),"-")</f>
        <v>- / -</v>
      </c>
      <c r="S12" s="48" t="str">
        <f t="shared" si="11"/>
        <v>none</v>
      </c>
      <c r="T12" s="63" t="e">
        <f t="shared" si="12"/>
        <v>#VALUE!</v>
      </c>
      <c r="U12" s="63">
        <f t="shared" si="13"/>
        <v>4</v>
      </c>
      <c r="V12" s="63" t="e">
        <f t="shared" si="14"/>
        <v>#VALUE!</v>
      </c>
      <c r="W12" s="63" t="e">
        <f t="shared" si="15"/>
        <v>#VALUE!</v>
      </c>
      <c r="X12" s="63" t="str">
        <f>IFERROR(VLOOKUP(MID(S12,V12,W12-V12),[6]skilldef!$C:$D,2,FALSE),"-") &amp; " / " &amp; IFERROR(VLOOKUP(MID(S12,T12,U12-T12),[6]skilldef!$A:$B,2,FALSE),"-")</f>
        <v>- / -</v>
      </c>
      <c r="Y12" s="51" t="s">
        <v>207</v>
      </c>
      <c r="Z12" s="50"/>
      <c r="AA12" s="52"/>
      <c r="AB12" s="50"/>
    </row>
    <row r="13" spans="1:28" ht="21" customHeight="1" x14ac:dyDescent="0.15">
      <c r="A13" s="47">
        <v>30017012</v>
      </c>
      <c r="B13" s="47" t="s">
        <v>241</v>
      </c>
      <c r="C13" s="50">
        <v>3</v>
      </c>
      <c r="D13" s="50" t="s">
        <v>127</v>
      </c>
      <c r="E13" s="51" t="s">
        <v>255</v>
      </c>
      <c r="F13" s="63" t="str">
        <f t="shared" si="0"/>
        <v>[effect:spread, val:0.15, animation:enemy_spread]</v>
      </c>
      <c r="G13" s="63">
        <f t="shared" si="1"/>
        <v>9</v>
      </c>
      <c r="H13" s="63">
        <f t="shared" si="2"/>
        <v>15</v>
      </c>
      <c r="I13" s="63" t="e">
        <f t="shared" si="3"/>
        <v>#VALUE!</v>
      </c>
      <c r="J13" s="63">
        <f t="shared" si="4"/>
        <v>25</v>
      </c>
      <c r="K13" s="63" t="str">
        <f>IFERROR(VLOOKUP(MID(F13,I13,J13-I13),[6]skilldef!$C:$D,2,FALSE),"-") &amp; " / " &amp; IFERROR(VLOOKUP(MID(F13,G13,H13-G13),[6]skilldef!$A:$B,2,FALSE),"-")</f>
        <v>- / 全体攻撃</v>
      </c>
      <c r="L13" s="63" t="str">
        <f t="shared" si="5"/>
        <v>[effect:fix_speed,target:myself,turn:2]</v>
      </c>
      <c r="M13" s="48" t="str">
        <f t="shared" si="6"/>
        <v>[effect:fix_speed,target:myself,turn:2]</v>
      </c>
      <c r="N13" s="63">
        <f t="shared" si="7"/>
        <v>9</v>
      </c>
      <c r="O13" s="63">
        <f t="shared" si="8"/>
        <v>18</v>
      </c>
      <c r="P13" s="63">
        <f t="shared" si="9"/>
        <v>26</v>
      </c>
      <c r="Q13" s="63">
        <f t="shared" si="10"/>
        <v>32</v>
      </c>
      <c r="R13" s="63" t="str">
        <f>IFERROR(VLOOKUP(MID(M13,P13,Q13-P13),[6]skilldef!$C:$D,2,FALSE),"-") &amp; " / " &amp; IFERROR(VLOOKUP(MID(M13,N13,O13-N13),[6]skilldef!$A:$B,2,FALSE),"-")</f>
        <v>自分自身に / 行動値設定</v>
      </c>
      <c r="S13" s="48" t="str">
        <f t="shared" si="11"/>
        <v>none</v>
      </c>
      <c r="T13" s="63" t="e">
        <f t="shared" si="12"/>
        <v>#VALUE!</v>
      </c>
      <c r="U13" s="63">
        <f t="shared" si="13"/>
        <v>4</v>
      </c>
      <c r="V13" s="63" t="e">
        <f t="shared" si="14"/>
        <v>#VALUE!</v>
      </c>
      <c r="W13" s="63" t="e">
        <f t="shared" si="15"/>
        <v>#VALUE!</v>
      </c>
      <c r="X13" s="63" t="str">
        <f>IFERROR(VLOOKUP(MID(S13,V13,W13-V13),[6]skilldef!$C:$D,2,FALSE),"-") &amp; " / " &amp; IFERROR(VLOOKUP(MID(S13,T13,U13-T13),[6]skilldef!$A:$B,2,FALSE),"-")</f>
        <v>- / -</v>
      </c>
      <c r="Y13" s="51" t="s">
        <v>244</v>
      </c>
      <c r="Z13" s="50"/>
      <c r="AA13" s="52"/>
      <c r="AB13" s="50"/>
    </row>
    <row r="14" spans="1:28" ht="21" customHeight="1" x14ac:dyDescent="0.15">
      <c r="A14" s="47">
        <v>30017013</v>
      </c>
      <c r="B14" s="47" t="s">
        <v>249</v>
      </c>
      <c r="C14" s="50">
        <v>3</v>
      </c>
      <c r="D14" s="50" t="s">
        <v>127</v>
      </c>
      <c r="E14" s="51" t="s">
        <v>208</v>
      </c>
      <c r="F14" s="63" t="str">
        <f t="shared" si="0"/>
        <v>[effect:rush, count:3, val:0.4]</v>
      </c>
      <c r="G14" s="63">
        <f t="shared" si="1"/>
        <v>9</v>
      </c>
      <c r="H14" s="63">
        <f t="shared" si="2"/>
        <v>13</v>
      </c>
      <c r="I14" s="63" t="e">
        <f t="shared" si="3"/>
        <v>#VALUE!</v>
      </c>
      <c r="J14" s="63">
        <f t="shared" si="4"/>
        <v>22</v>
      </c>
      <c r="K14" s="63" t="str">
        <f>IFERROR(VLOOKUP(MID(F14,I14,J14-I14),[6]skilldef!$C:$D,2,FALSE),"-") &amp; " / " &amp; IFERROR(VLOOKUP(MID(F14,G14,H14-G14),[6]skilldef!$A:$B,2,FALSE),"-")</f>
        <v>- / 連続攻撃</v>
      </c>
      <c r="L14" s="63" t="str">
        <f t="shared" si="5"/>
        <v>none</v>
      </c>
      <c r="M14" s="48" t="str">
        <f t="shared" si="6"/>
        <v>none</v>
      </c>
      <c r="N14" s="63" t="e">
        <f t="shared" si="7"/>
        <v>#VALUE!</v>
      </c>
      <c r="O14" s="63">
        <f t="shared" si="8"/>
        <v>4</v>
      </c>
      <c r="P14" s="63" t="e">
        <f t="shared" si="9"/>
        <v>#VALUE!</v>
      </c>
      <c r="Q14" s="63" t="e">
        <f t="shared" si="10"/>
        <v>#VALUE!</v>
      </c>
      <c r="R14" s="63" t="str">
        <f>IFERROR(VLOOKUP(MID(M14,P14,Q14-P14),[6]skilldef!$C:$D,2,FALSE),"-") &amp; " / " &amp; IFERROR(VLOOKUP(MID(M14,N14,O14-N14),[6]skilldef!$A:$B,2,FALSE),"-")</f>
        <v>- / -</v>
      </c>
      <c r="S14" s="48" t="str">
        <f t="shared" si="11"/>
        <v>none</v>
      </c>
      <c r="T14" s="63" t="e">
        <f t="shared" si="12"/>
        <v>#VALUE!</v>
      </c>
      <c r="U14" s="63">
        <f t="shared" si="13"/>
        <v>4</v>
      </c>
      <c r="V14" s="63" t="e">
        <f t="shared" si="14"/>
        <v>#VALUE!</v>
      </c>
      <c r="W14" s="63" t="e">
        <f t="shared" si="15"/>
        <v>#VALUE!</v>
      </c>
      <c r="X14" s="63" t="str">
        <f>IFERROR(VLOOKUP(MID(S14,V14,W14-V14),[6]skilldef!$C:$D,2,FALSE),"-") &amp; " / " &amp; IFERROR(VLOOKUP(MID(S14,T14,U14-T14),[6]skilldef!$A:$B,2,FALSE),"-")</f>
        <v>- / -</v>
      </c>
      <c r="Y14" s="51" t="s">
        <v>209</v>
      </c>
      <c r="Z14" s="50"/>
      <c r="AA14" s="52"/>
      <c r="AB14" s="50"/>
    </row>
    <row r="15" spans="1:28" ht="21" customHeight="1" x14ac:dyDescent="0.15">
      <c r="A15" s="47">
        <v>30017014</v>
      </c>
      <c r="B15" s="47" t="s">
        <v>236</v>
      </c>
      <c r="C15" s="50">
        <v>3</v>
      </c>
      <c r="D15" s="50" t="s">
        <v>127</v>
      </c>
      <c r="E15" s="51" t="s">
        <v>210</v>
      </c>
      <c r="F15" s="63" t="str">
        <f t="shared" si="0"/>
        <v>[effect:damage_anti_tribe, target:unit_one, tribe:animal, val1:1.6, val2:0.8]</v>
      </c>
      <c r="G15" s="63">
        <f t="shared" si="1"/>
        <v>9</v>
      </c>
      <c r="H15" s="63">
        <f t="shared" si="2"/>
        <v>26</v>
      </c>
      <c r="I15" s="63">
        <f t="shared" si="3"/>
        <v>35</v>
      </c>
      <c r="J15" s="63">
        <f t="shared" si="4"/>
        <v>43</v>
      </c>
      <c r="K15" s="63" t="str">
        <f>IFERROR(VLOOKUP(MID(F15,I15,J15-I15),[6]skilldef!$C:$D,2,FALSE),"-") &amp; " / " &amp; IFERROR(VLOOKUP(MID(F15,G15,H15-G15),[6]skilldef!$A:$B,2,FALSE),"-")</f>
        <v>味方単体に / 種族キラー</v>
      </c>
      <c r="L15" s="63" t="str">
        <f t="shared" si="5"/>
        <v>none</v>
      </c>
      <c r="M15" s="48" t="str">
        <f>IFERROR(LEFT(L15,FIND("],",L15)+#REF!),L15)</f>
        <v>none</v>
      </c>
      <c r="N15" s="63" t="e">
        <f t="shared" si="7"/>
        <v>#VALUE!</v>
      </c>
      <c r="O15" s="63">
        <f t="shared" si="8"/>
        <v>4</v>
      </c>
      <c r="P15" s="63" t="e">
        <f t="shared" si="9"/>
        <v>#VALUE!</v>
      </c>
      <c r="Q15" s="63" t="e">
        <f t="shared" si="10"/>
        <v>#VALUE!</v>
      </c>
      <c r="R15" s="63" t="str">
        <f>IFERROR(VLOOKUP(MID(M15,P15,Q15-P15),[6]skilldef!$C:$D,2,FALSE),"-") &amp; " / " &amp; IFERROR(VLOOKUP(MID(M15,N15,O15-N15),[6]skilldef!$A:$B,2,FALSE),"-")</f>
        <v>- / -</v>
      </c>
      <c r="S15" s="48" t="str">
        <f t="shared" si="11"/>
        <v>none</v>
      </c>
      <c r="T15" s="63" t="e">
        <f t="shared" si="12"/>
        <v>#VALUE!</v>
      </c>
      <c r="U15" s="63">
        <f t="shared" si="13"/>
        <v>4</v>
      </c>
      <c r="V15" s="63" t="e">
        <f t="shared" si="14"/>
        <v>#VALUE!</v>
      </c>
      <c r="W15" s="63" t="e">
        <f t="shared" si="15"/>
        <v>#VALUE!</v>
      </c>
      <c r="X15" s="63" t="str">
        <f>IFERROR(VLOOKUP(MID(S15,V15,W15-V15),[6]skilldef!$C:$D,2,FALSE),"-") &amp; " / " &amp; IFERROR(VLOOKUP(MID(S15,T15,U15-T15),[6]skilldef!$A:$B,2,FALSE),"-")</f>
        <v>- / -</v>
      </c>
      <c r="Y15" s="51" t="s">
        <v>291</v>
      </c>
      <c r="Z15" s="50"/>
      <c r="AA15" s="52"/>
      <c r="AB15" s="50"/>
    </row>
    <row r="16" spans="1:28" ht="21" customHeight="1" x14ac:dyDescent="0.15">
      <c r="A16" s="47">
        <v>30017015</v>
      </c>
      <c r="B16" s="47" t="s">
        <v>231</v>
      </c>
      <c r="C16" s="50">
        <v>3</v>
      </c>
      <c r="D16" s="50" t="s">
        <v>127</v>
      </c>
      <c r="E16" s="51" t="s">
        <v>252</v>
      </c>
      <c r="F16" s="63" t="str">
        <f t="shared" si="0"/>
        <v>[effect:rush, count:6, val:0.2]</v>
      </c>
      <c r="G16" s="63">
        <f t="shared" si="1"/>
        <v>9</v>
      </c>
      <c r="H16" s="63">
        <f t="shared" si="2"/>
        <v>13</v>
      </c>
      <c r="I16" s="63" t="e">
        <f t="shared" si="3"/>
        <v>#VALUE!</v>
      </c>
      <c r="J16" s="63">
        <f t="shared" si="4"/>
        <v>22</v>
      </c>
      <c r="K16" s="63" t="str">
        <f>IFERROR(VLOOKUP(MID(F16,I16,J16-I16),[6]skilldef!$C:$D,2,FALSE),"-") &amp; " / " &amp; IFERROR(VLOOKUP(MID(F16,G16,H16-G16),[6]skilldef!$A:$B,2,FALSE),"-")</f>
        <v>- / 連続攻撃</v>
      </c>
      <c r="L16" s="63" t="str">
        <f t="shared" si="5"/>
        <v>none</v>
      </c>
      <c r="M16" s="48" t="str">
        <f t="shared" ref="M16:M25" si="16">IFERROR(LEFT(L16,FIND("],",L16)+R25),L16)</f>
        <v>none</v>
      </c>
      <c r="N16" s="63" t="e">
        <f t="shared" si="7"/>
        <v>#VALUE!</v>
      </c>
      <c r="O16" s="63">
        <f t="shared" si="8"/>
        <v>4</v>
      </c>
      <c r="P16" s="63" t="e">
        <f t="shared" si="9"/>
        <v>#VALUE!</v>
      </c>
      <c r="Q16" s="63" t="e">
        <f t="shared" si="10"/>
        <v>#VALUE!</v>
      </c>
      <c r="R16" s="63" t="str">
        <f>IFERROR(VLOOKUP(MID(M16,P16,Q16-P16),[6]skilldef!$C:$D,2,FALSE),"-") &amp; " / " &amp; IFERROR(VLOOKUP(MID(M16,N16,O16-N16),[6]skilldef!$A:$B,2,FALSE),"-")</f>
        <v>- / -</v>
      </c>
      <c r="S16" s="48" t="str">
        <f t="shared" si="11"/>
        <v>none</v>
      </c>
      <c r="T16" s="63" t="e">
        <f t="shared" si="12"/>
        <v>#VALUE!</v>
      </c>
      <c r="U16" s="63">
        <f t="shared" si="13"/>
        <v>4</v>
      </c>
      <c r="V16" s="63" t="e">
        <f t="shared" si="14"/>
        <v>#VALUE!</v>
      </c>
      <c r="W16" s="63" t="e">
        <f t="shared" si="15"/>
        <v>#VALUE!</v>
      </c>
      <c r="X16" s="63" t="str">
        <f>IFERROR(VLOOKUP(MID(S16,V16,W16-V16),[6]skilldef!$C:$D,2,FALSE),"-") &amp; " / " &amp; IFERROR(VLOOKUP(MID(S16,T16,U16-T16),[6]skilldef!$A:$B,2,FALSE),"-")</f>
        <v>- / -</v>
      </c>
      <c r="Y16" s="51" t="s">
        <v>194</v>
      </c>
      <c r="Z16" s="50"/>
      <c r="AA16" s="52"/>
      <c r="AB16" s="50"/>
    </row>
    <row r="17" spans="1:28" ht="21" customHeight="1" x14ac:dyDescent="0.15">
      <c r="A17" s="47">
        <v>30017016</v>
      </c>
      <c r="B17" s="47" t="s">
        <v>234</v>
      </c>
      <c r="C17" s="50">
        <v>3</v>
      </c>
      <c r="D17" s="50" t="s">
        <v>127</v>
      </c>
      <c r="E17" s="51" t="s">
        <v>253</v>
      </c>
      <c r="F17" s="63" t="str">
        <f t="shared" si="0"/>
        <v>[effect:freq_turn, target:myself, turn:3, val:1, animation:enemy_freq_turn]</v>
      </c>
      <c r="G17" s="63">
        <f t="shared" si="1"/>
        <v>9</v>
      </c>
      <c r="H17" s="63">
        <f t="shared" si="2"/>
        <v>18</v>
      </c>
      <c r="I17" s="63">
        <f t="shared" si="3"/>
        <v>27</v>
      </c>
      <c r="J17" s="63">
        <f t="shared" si="4"/>
        <v>33</v>
      </c>
      <c r="K17" s="63" t="str">
        <f>IFERROR(VLOOKUP(MID(F17,I17,J17-I17),[6]skilldef!$C:$D,2,FALSE),"-") &amp; " / " &amp; IFERROR(VLOOKUP(MID(F17,G17,H17-G17),[6]skilldef!$A:$B,2,FALSE),"-")</f>
        <v>自分自身に / 攻撃頻度がUP</v>
      </c>
      <c r="L17" s="63" t="str">
        <f t="shared" si="5"/>
        <v>none</v>
      </c>
      <c r="M17" s="48" t="str">
        <f t="shared" si="16"/>
        <v>none</v>
      </c>
      <c r="N17" s="63" t="e">
        <f t="shared" si="7"/>
        <v>#VALUE!</v>
      </c>
      <c r="O17" s="63">
        <f t="shared" si="8"/>
        <v>4</v>
      </c>
      <c r="P17" s="63" t="e">
        <f t="shared" si="9"/>
        <v>#VALUE!</v>
      </c>
      <c r="Q17" s="63" t="e">
        <f t="shared" si="10"/>
        <v>#VALUE!</v>
      </c>
      <c r="R17" s="63" t="str">
        <f>IFERROR(VLOOKUP(MID(M17,P17,Q17-P17),[6]skilldef!$C:$D,2,FALSE),"-") &amp; " / " &amp; IFERROR(VLOOKUP(MID(M17,N17,O17-N17),[6]skilldef!$A:$B,2,FALSE),"-")</f>
        <v>- / -</v>
      </c>
      <c r="S17" s="48" t="str">
        <f t="shared" si="11"/>
        <v>none</v>
      </c>
      <c r="T17" s="63" t="e">
        <f t="shared" si="12"/>
        <v>#VALUE!</v>
      </c>
      <c r="U17" s="63">
        <f t="shared" si="13"/>
        <v>4</v>
      </c>
      <c r="V17" s="63" t="e">
        <f t="shared" si="14"/>
        <v>#VALUE!</v>
      </c>
      <c r="W17" s="63" t="e">
        <f t="shared" si="15"/>
        <v>#VALUE!</v>
      </c>
      <c r="X17" s="63" t="str">
        <f>IFERROR(VLOOKUP(MID(S17,V17,W17-V17),[6]skilldef!$C:$D,2,FALSE),"-") &amp; " / " &amp; IFERROR(VLOOKUP(MID(S17,T17,U17-T17),[6]skilldef!$A:$B,2,FALSE),"-")</f>
        <v>- / -</v>
      </c>
      <c r="Y17" s="51" t="s">
        <v>257</v>
      </c>
      <c r="Z17" s="50"/>
      <c r="AA17" s="52"/>
      <c r="AB17" s="50"/>
    </row>
    <row r="18" spans="1:28" ht="21" customHeight="1" x14ac:dyDescent="0.15">
      <c r="A18" s="47">
        <v>30017017</v>
      </c>
      <c r="B18" s="47" t="s">
        <v>251</v>
      </c>
      <c r="C18" s="50">
        <v>3</v>
      </c>
      <c r="D18" s="50" t="s">
        <v>127</v>
      </c>
      <c r="E18" s="51" t="s">
        <v>211</v>
      </c>
      <c r="F18" s="63" t="str">
        <f t="shared" si="0"/>
        <v>[effect:dis_panel, target:block_green, turn:4, animation:enemy_dis_green]</v>
      </c>
      <c r="G18" s="63">
        <f t="shared" si="1"/>
        <v>9</v>
      </c>
      <c r="H18" s="63">
        <f t="shared" si="2"/>
        <v>18</v>
      </c>
      <c r="I18" s="63">
        <f t="shared" si="3"/>
        <v>27</v>
      </c>
      <c r="J18" s="63">
        <f t="shared" si="4"/>
        <v>38</v>
      </c>
      <c r="K18" s="63" t="str">
        <f>IFERROR(VLOOKUP(MID(F18,I18,J18-I18),[6]skilldef!$C:$D,2,FALSE),"-") &amp; " / " &amp; IFERROR(VLOOKUP(MID(F18,G18,H18-G18),[6]skilldef!$A:$B,2,FALSE),"-")</f>
        <v>緑パネルを / ディスパネル</v>
      </c>
      <c r="L18" s="63" t="str">
        <f t="shared" si="5"/>
        <v>[effect:spread, val:0.32, animation:enemy_spread]</v>
      </c>
      <c r="M18" s="48" t="str">
        <f t="shared" si="16"/>
        <v>[effect:spread, val:0.32, animation:enemy_spread]</v>
      </c>
      <c r="N18" s="63">
        <f t="shared" si="7"/>
        <v>9</v>
      </c>
      <c r="O18" s="63">
        <f t="shared" si="8"/>
        <v>15</v>
      </c>
      <c r="P18" s="63" t="e">
        <f t="shared" si="9"/>
        <v>#VALUE!</v>
      </c>
      <c r="Q18" s="63">
        <f t="shared" si="10"/>
        <v>25</v>
      </c>
      <c r="R18" s="63" t="str">
        <f>IFERROR(VLOOKUP(MID(M18,P18,Q18-P18),[6]skilldef!$C:$D,2,FALSE),"-") &amp; " / " &amp; IFERROR(VLOOKUP(MID(M18,N18,O18-N18),[6]skilldef!$A:$B,2,FALSE),"-")</f>
        <v>- / 全体攻撃</v>
      </c>
      <c r="S18" s="48" t="str">
        <f t="shared" si="11"/>
        <v>none</v>
      </c>
      <c r="T18" s="63" t="e">
        <f t="shared" si="12"/>
        <v>#VALUE!</v>
      </c>
      <c r="U18" s="63">
        <f t="shared" si="13"/>
        <v>4</v>
      </c>
      <c r="V18" s="63" t="e">
        <f t="shared" si="14"/>
        <v>#VALUE!</v>
      </c>
      <c r="W18" s="63" t="e">
        <f t="shared" si="15"/>
        <v>#VALUE!</v>
      </c>
      <c r="X18" s="63" t="str">
        <f>IFERROR(VLOOKUP(MID(S18,V18,W18-V18),[6]skilldef!$C:$D,2,FALSE),"-") &amp; " / " &amp; IFERROR(VLOOKUP(MID(S18,T18,U18-T18),[6]skilldef!$A:$B,2,FALSE),"-")</f>
        <v>- / -</v>
      </c>
      <c r="Y18" s="51" t="s">
        <v>212</v>
      </c>
      <c r="Z18" s="50"/>
      <c r="AA18" s="52"/>
      <c r="AB18" s="50"/>
    </row>
    <row r="19" spans="1:28" ht="21" customHeight="1" x14ac:dyDescent="0.15">
      <c r="A19" s="47">
        <v>30017018</v>
      </c>
      <c r="B19" s="47" t="s">
        <v>232</v>
      </c>
      <c r="C19" s="50">
        <v>3</v>
      </c>
      <c r="D19" s="50" t="s">
        <v>127</v>
      </c>
      <c r="E19" s="51" t="s">
        <v>213</v>
      </c>
      <c r="F19" s="63" t="str">
        <f t="shared" si="0"/>
        <v>[effect:spread, val:0.4, animation:enemy_spread]</v>
      </c>
      <c r="G19" s="63">
        <f t="shared" si="1"/>
        <v>9</v>
      </c>
      <c r="H19" s="63">
        <f t="shared" si="2"/>
        <v>15</v>
      </c>
      <c r="I19" s="63" t="e">
        <f t="shared" si="3"/>
        <v>#VALUE!</v>
      </c>
      <c r="J19" s="63">
        <f t="shared" si="4"/>
        <v>24</v>
      </c>
      <c r="K19" s="63" t="str">
        <f>IFERROR(VLOOKUP(MID(F19,I19,J19-I19),[6]skilldef!$C:$D,2,FALSE),"-") &amp; " / " &amp; IFERROR(VLOOKUP(MID(F19,G19,H19-G19),[6]skilldef!$A:$B,2,FALSE),"-")</f>
        <v>- / 全体攻撃</v>
      </c>
      <c r="L19" s="63" t="str">
        <f t="shared" si="5"/>
        <v>none</v>
      </c>
      <c r="M19" s="48" t="str">
        <f t="shared" si="16"/>
        <v>none</v>
      </c>
      <c r="N19" s="63" t="e">
        <f t="shared" si="7"/>
        <v>#VALUE!</v>
      </c>
      <c r="O19" s="63">
        <f t="shared" si="8"/>
        <v>4</v>
      </c>
      <c r="P19" s="63" t="e">
        <f t="shared" si="9"/>
        <v>#VALUE!</v>
      </c>
      <c r="Q19" s="63" t="e">
        <f t="shared" si="10"/>
        <v>#VALUE!</v>
      </c>
      <c r="R19" s="63" t="str">
        <f>IFERROR(VLOOKUP(MID(M19,P19,Q19-P19),[6]skilldef!$C:$D,2,FALSE),"-") &amp; " / " &amp; IFERROR(VLOOKUP(MID(M19,N19,O19-N19),[6]skilldef!$A:$B,2,FALSE),"-")</f>
        <v>- / -</v>
      </c>
      <c r="S19" s="48" t="str">
        <f t="shared" si="11"/>
        <v>none</v>
      </c>
      <c r="T19" s="63" t="e">
        <f t="shared" si="12"/>
        <v>#VALUE!</v>
      </c>
      <c r="U19" s="63">
        <f t="shared" si="13"/>
        <v>4</v>
      </c>
      <c r="V19" s="63" t="e">
        <f t="shared" si="14"/>
        <v>#VALUE!</v>
      </c>
      <c r="W19" s="63" t="e">
        <f t="shared" si="15"/>
        <v>#VALUE!</v>
      </c>
      <c r="X19" s="63" t="str">
        <f>IFERROR(VLOOKUP(MID(S19,V19,W19-V19),[6]skilldef!$C:$D,2,FALSE),"-") &amp; " / " &amp; IFERROR(VLOOKUP(MID(S19,T19,U19-T19),[6]skilldef!$A:$B,2,FALSE),"-")</f>
        <v>- / -</v>
      </c>
      <c r="Y19" s="51" t="s">
        <v>214</v>
      </c>
      <c r="Z19" s="50"/>
      <c r="AA19" s="52"/>
      <c r="AB19" s="50"/>
    </row>
    <row r="20" spans="1:28" ht="21" customHeight="1" x14ac:dyDescent="0.15">
      <c r="A20" s="130">
        <v>30017019</v>
      </c>
      <c r="B20" s="47" t="s">
        <v>247</v>
      </c>
      <c r="C20" s="50">
        <v>3</v>
      </c>
      <c r="D20" s="50" t="s">
        <v>127</v>
      </c>
      <c r="E20" s="51" t="s">
        <v>216</v>
      </c>
      <c r="F20" s="63" t="str">
        <f t="shared" si="0"/>
        <v>[effect:charge, status:attack, val:0.8, animation:enemy_charge]</v>
      </c>
      <c r="G20" s="63">
        <f t="shared" si="1"/>
        <v>9</v>
      </c>
      <c r="H20" s="63">
        <f t="shared" si="2"/>
        <v>15</v>
      </c>
      <c r="I20" s="63" t="e">
        <f t="shared" si="3"/>
        <v>#VALUE!</v>
      </c>
      <c r="J20" s="63">
        <f t="shared" si="4"/>
        <v>30</v>
      </c>
      <c r="K20" s="63" t="str">
        <f>IFERROR(VLOOKUP(MID(F20,I20,J20-I20),[6]skilldef!$C:$D,2,FALSE),"-") &amp; " / " &amp; IFERROR(VLOOKUP(MID(F20,G20,H20-G20),[6]skilldef!$A:$B,2,FALSE),"-")</f>
        <v>- / 溜め</v>
      </c>
      <c r="L20" s="63" t="str">
        <f t="shared" si="5"/>
        <v>none</v>
      </c>
      <c r="M20" s="48" t="str">
        <f t="shared" si="16"/>
        <v>none</v>
      </c>
      <c r="N20" s="63" t="e">
        <f t="shared" si="7"/>
        <v>#VALUE!</v>
      </c>
      <c r="O20" s="63">
        <f t="shared" si="8"/>
        <v>4</v>
      </c>
      <c r="P20" s="63" t="e">
        <f t="shared" si="9"/>
        <v>#VALUE!</v>
      </c>
      <c r="Q20" s="63" t="e">
        <f t="shared" si="10"/>
        <v>#VALUE!</v>
      </c>
      <c r="R20" s="63" t="str">
        <f>IFERROR(VLOOKUP(MID(M20,P20,Q20-P20),[6]skilldef!$C:$D,2,FALSE),"-") &amp; " / " &amp; IFERROR(VLOOKUP(MID(M20,N20,O20-N20),[6]skilldef!$A:$B,2,FALSE),"-")</f>
        <v>- / -</v>
      </c>
      <c r="S20" s="48" t="str">
        <f t="shared" si="11"/>
        <v>none</v>
      </c>
      <c r="T20" s="63" t="e">
        <f t="shared" si="12"/>
        <v>#VALUE!</v>
      </c>
      <c r="U20" s="63">
        <f t="shared" si="13"/>
        <v>4</v>
      </c>
      <c r="V20" s="63" t="e">
        <f t="shared" si="14"/>
        <v>#VALUE!</v>
      </c>
      <c r="W20" s="63" t="e">
        <f t="shared" si="15"/>
        <v>#VALUE!</v>
      </c>
      <c r="X20" s="63" t="str">
        <f>IFERROR(VLOOKUP(MID(S20,V20,W20-V20),[6]skilldef!$C:$D,2,FALSE),"-") &amp; " / " &amp; IFERROR(VLOOKUP(MID(S20,T20,U20-T20),[6]skilldef!$A:$B,2,FALSE),"-")</f>
        <v>- / -</v>
      </c>
      <c r="Y20" s="51" t="s">
        <v>215</v>
      </c>
      <c r="Z20" s="50"/>
      <c r="AA20" s="52"/>
      <c r="AB20" s="50"/>
    </row>
    <row r="21" spans="1:28" ht="21" customHeight="1" x14ac:dyDescent="0.15">
      <c r="A21" s="131">
        <v>30017020</v>
      </c>
      <c r="B21" s="47" t="s">
        <v>242</v>
      </c>
      <c r="C21" s="50">
        <v>3</v>
      </c>
      <c r="D21" s="50" t="s">
        <v>127</v>
      </c>
      <c r="E21" s="51" t="s">
        <v>216</v>
      </c>
      <c r="F21" s="63" t="str">
        <f t="shared" si="0"/>
        <v>[effect:heal, target:enemy_one, val:0.2, animation:enemy_heal]</v>
      </c>
      <c r="G21" s="63">
        <f t="shared" si="1"/>
        <v>9</v>
      </c>
      <c r="H21" s="63">
        <f t="shared" si="2"/>
        <v>13</v>
      </c>
      <c r="I21" s="63">
        <f t="shared" si="3"/>
        <v>22</v>
      </c>
      <c r="J21" s="63">
        <f t="shared" si="4"/>
        <v>31</v>
      </c>
      <c r="K21" s="63" t="str">
        <f>IFERROR(VLOOKUP(MID(F21,I21,J21-I21),[6]skilldef!$C:$D,2,FALSE),"-") &amp; " / " &amp; IFERROR(VLOOKUP(MID(F21,G21,H21-G21),[6]skilldef!$A:$B,2,FALSE),"-")</f>
        <v>敵単体に / 回復</v>
      </c>
      <c r="L21" s="63" t="str">
        <f t="shared" si="5"/>
        <v>[effect:charge, status:attack, val:0.8 animation:enemy_charge]</v>
      </c>
      <c r="M21" s="48" t="str">
        <f t="shared" si="16"/>
        <v>[effect:charge, status:attack, val:0.8 animation:enemy_charge]</v>
      </c>
      <c r="N21" s="63">
        <f t="shared" si="7"/>
        <v>9</v>
      </c>
      <c r="O21" s="63">
        <f t="shared" si="8"/>
        <v>15</v>
      </c>
      <c r="P21" s="63" t="e">
        <f t="shared" si="9"/>
        <v>#VALUE!</v>
      </c>
      <c r="Q21" s="63">
        <f t="shared" si="10"/>
        <v>30</v>
      </c>
      <c r="R21" s="63" t="str">
        <f>IFERROR(VLOOKUP(MID(M21,P21,Q21-P21),[6]skilldef!$C:$D,2,FALSE),"-") &amp; " / " &amp; IFERROR(VLOOKUP(MID(M21,N21,O21-N21),[6]skilldef!$A:$B,2,FALSE),"-")</f>
        <v>- / 溜め</v>
      </c>
      <c r="S21" s="48" t="str">
        <f t="shared" si="11"/>
        <v>none</v>
      </c>
      <c r="T21" s="63" t="e">
        <f t="shared" si="12"/>
        <v>#VALUE!</v>
      </c>
      <c r="U21" s="63">
        <f t="shared" si="13"/>
        <v>4</v>
      </c>
      <c r="V21" s="63" t="e">
        <f t="shared" si="14"/>
        <v>#VALUE!</v>
      </c>
      <c r="W21" s="63" t="e">
        <f t="shared" si="15"/>
        <v>#VALUE!</v>
      </c>
      <c r="X21" s="63" t="str">
        <f>IFERROR(VLOOKUP(MID(S21,V21,W21-V21),[6]skilldef!$C:$D,2,FALSE),"-") &amp; " / " &amp; IFERROR(VLOOKUP(MID(S21,T21,U21-T21),[6]skilldef!$A:$B,2,FALSE),"-")</f>
        <v>- / -</v>
      </c>
      <c r="Y21" s="51" t="s">
        <v>246</v>
      </c>
      <c r="Z21" s="50"/>
      <c r="AA21" s="52"/>
      <c r="AB21" s="50"/>
    </row>
    <row r="22" spans="1:28" ht="21" customHeight="1" x14ac:dyDescent="0.15">
      <c r="A22" s="47">
        <v>30017021</v>
      </c>
      <c r="B22" s="47" t="s">
        <v>238</v>
      </c>
      <c r="C22" s="50">
        <v>3</v>
      </c>
      <c r="D22" s="50" t="s">
        <v>127</v>
      </c>
      <c r="E22" s="51" t="s">
        <v>258</v>
      </c>
      <c r="F22" s="63" t="str">
        <f t="shared" si="0"/>
        <v>[effect:freq_turn, target:myself, turn:-1, val:1, animation:enemy_freq_turn]</v>
      </c>
      <c r="G22" s="63">
        <f t="shared" si="1"/>
        <v>9</v>
      </c>
      <c r="H22" s="63">
        <f t="shared" si="2"/>
        <v>18</v>
      </c>
      <c r="I22" s="63">
        <f t="shared" si="3"/>
        <v>27</v>
      </c>
      <c r="J22" s="63">
        <f t="shared" si="4"/>
        <v>33</v>
      </c>
      <c r="K22" s="63" t="str">
        <f>IFERROR(VLOOKUP(MID(F22,I22,J22-I22),[6]skilldef!$C:$D,2,FALSE),"-") &amp; " / " &amp; IFERROR(VLOOKUP(MID(F22,G22,H22-G22),[6]skilldef!$A:$B,2,FALSE),"-")</f>
        <v>自分自身に / 攻撃頻度がUP</v>
      </c>
      <c r="L22" s="63" t="str">
        <f t="shared" si="5"/>
        <v>[effect:degrade_unit, target:unit_all, turn:-1, status:action, val:1.0,animation:enemy_tap_down]</v>
      </c>
      <c r="M22" s="48" t="str">
        <f t="shared" si="16"/>
        <v>[effect:degrade_unit, target:unit_all, turn:-1, status:action, val:1.0,animation:enemy_tap_down]</v>
      </c>
      <c r="N22" s="63">
        <f t="shared" si="7"/>
        <v>9</v>
      </c>
      <c r="O22" s="63">
        <f t="shared" si="8"/>
        <v>21</v>
      </c>
      <c r="P22" s="63">
        <f t="shared" si="9"/>
        <v>30</v>
      </c>
      <c r="Q22" s="63">
        <f t="shared" si="10"/>
        <v>38</v>
      </c>
      <c r="R22" s="63" t="str">
        <f>IFERROR(VLOOKUP(MID(M22,P22,Q22-P22),[6]skilldef!$C:$D,2,FALSE),"-") &amp; " / " &amp; IFERROR(VLOOKUP(MID(M22,N22,O22-N22),[6]skilldef!$A:$B,2,FALSE),"-")</f>
        <v>味方全体に / ステータスDOWN</v>
      </c>
      <c r="S22" s="48" t="str">
        <f t="shared" si="11"/>
        <v>none</v>
      </c>
      <c r="T22" s="63" t="e">
        <f t="shared" si="12"/>
        <v>#VALUE!</v>
      </c>
      <c r="U22" s="63">
        <f t="shared" si="13"/>
        <v>4</v>
      </c>
      <c r="V22" s="63" t="e">
        <f t="shared" si="14"/>
        <v>#VALUE!</v>
      </c>
      <c r="W22" s="63" t="e">
        <f t="shared" si="15"/>
        <v>#VALUE!</v>
      </c>
      <c r="X22" s="63" t="str">
        <f>IFERROR(VLOOKUP(MID(S22,V22,W22-V22),[6]skilldef!$C:$D,2,FALSE),"-") &amp; " / " &amp; IFERROR(VLOOKUP(MID(S22,T22,U22-T22),[6]skilldef!$A:$B,2,FALSE),"-")</f>
        <v>- / -</v>
      </c>
      <c r="Y22" s="51" t="s">
        <v>243</v>
      </c>
      <c r="Z22" s="50"/>
      <c r="AA22" s="52"/>
      <c r="AB22" s="50"/>
    </row>
    <row r="23" spans="1:28" ht="21" customHeight="1" x14ac:dyDescent="0.15">
      <c r="A23" s="47">
        <v>30017022</v>
      </c>
      <c r="B23" s="47" t="s">
        <v>250</v>
      </c>
      <c r="C23" s="50">
        <v>3</v>
      </c>
      <c r="D23" s="50" t="s">
        <v>127</v>
      </c>
      <c r="E23" s="51" t="s">
        <v>217</v>
      </c>
      <c r="F23" s="63" t="str">
        <f t="shared" si="0"/>
        <v>[effect:rush, count:9, val:0.17]</v>
      </c>
      <c r="G23" s="63">
        <f t="shared" si="1"/>
        <v>9</v>
      </c>
      <c r="H23" s="63">
        <f t="shared" si="2"/>
        <v>13</v>
      </c>
      <c r="I23" s="63" t="e">
        <f t="shared" si="3"/>
        <v>#VALUE!</v>
      </c>
      <c r="J23" s="63">
        <f t="shared" si="4"/>
        <v>22</v>
      </c>
      <c r="K23" s="63" t="str">
        <f>IFERROR(VLOOKUP(MID(F23,I23,J23-I23),[6]skilldef!$C:$D,2,FALSE),"-") &amp; " / " &amp; IFERROR(VLOOKUP(MID(F23,G23,H23-G23),[6]skilldef!$A:$B,2,FALSE),"-")</f>
        <v>- / 連続攻撃</v>
      </c>
      <c r="L23" s="63" t="str">
        <f t="shared" si="5"/>
        <v>none</v>
      </c>
      <c r="M23" s="48" t="str">
        <f t="shared" si="16"/>
        <v>none</v>
      </c>
      <c r="N23" s="63" t="e">
        <f t="shared" si="7"/>
        <v>#VALUE!</v>
      </c>
      <c r="O23" s="63">
        <f t="shared" si="8"/>
        <v>4</v>
      </c>
      <c r="P23" s="63" t="e">
        <f t="shared" si="9"/>
        <v>#VALUE!</v>
      </c>
      <c r="Q23" s="63" t="e">
        <f t="shared" si="10"/>
        <v>#VALUE!</v>
      </c>
      <c r="R23" s="63" t="str">
        <f>IFERROR(VLOOKUP(MID(M23,P23,Q23-P23),[6]skilldef!$C:$D,2,FALSE),"-") &amp; " / " &amp; IFERROR(VLOOKUP(MID(M23,N23,O23-N23),[6]skilldef!$A:$B,2,FALSE),"-")</f>
        <v>- / -</v>
      </c>
      <c r="S23" s="48" t="str">
        <f t="shared" si="11"/>
        <v>none</v>
      </c>
      <c r="T23" s="63" t="e">
        <f t="shared" si="12"/>
        <v>#VALUE!</v>
      </c>
      <c r="U23" s="63">
        <f t="shared" si="13"/>
        <v>4</v>
      </c>
      <c r="V23" s="63" t="e">
        <f t="shared" si="14"/>
        <v>#VALUE!</v>
      </c>
      <c r="W23" s="63" t="e">
        <f t="shared" si="15"/>
        <v>#VALUE!</v>
      </c>
      <c r="X23" s="63" t="str">
        <f>IFERROR(VLOOKUP(MID(S23,V23,W23-V23),[6]skilldef!$C:$D,2,FALSE),"-") &amp; " / " &amp; IFERROR(VLOOKUP(MID(S23,T23,U23-T23),[6]skilldef!$A:$B,2,FALSE),"-")</f>
        <v>- / -</v>
      </c>
      <c r="Y23" s="51" t="s">
        <v>218</v>
      </c>
      <c r="Z23" s="50"/>
      <c r="AA23" s="52"/>
      <c r="AB23" s="50"/>
    </row>
    <row r="24" spans="1:28" ht="21" customHeight="1" x14ac:dyDescent="0.15">
      <c r="A24" s="130">
        <v>30017023</v>
      </c>
      <c r="B24" s="47" t="s">
        <v>235</v>
      </c>
      <c r="C24" s="50">
        <v>3</v>
      </c>
      <c r="D24" s="50" t="s">
        <v>127</v>
      </c>
      <c r="E24" s="51" t="s">
        <v>254</v>
      </c>
      <c r="F24" s="63" t="str">
        <f t="shared" si="0"/>
        <v>[effect:enhance_enemy, target:myself, turn:-1, status:attack, val:0.3, animation:enemy_enhance_enemy]</v>
      </c>
      <c r="G24" s="63">
        <f t="shared" si="1"/>
        <v>9</v>
      </c>
      <c r="H24" s="63">
        <f t="shared" si="2"/>
        <v>22</v>
      </c>
      <c r="I24" s="63">
        <f t="shared" si="3"/>
        <v>31</v>
      </c>
      <c r="J24" s="63">
        <f t="shared" si="4"/>
        <v>37</v>
      </c>
      <c r="K24" s="63" t="str">
        <f>IFERROR(VLOOKUP(MID(F24,I24,J24-I24),[6]skilldef!$C:$D,2,FALSE),"-") &amp; " / " &amp; IFERROR(VLOOKUP(MID(F24,G24,H24-G24),[6]skilldef!$A:$B,2,FALSE),"-")</f>
        <v>自分自身に / ステータス強化</v>
      </c>
      <c r="L24" s="63" t="str">
        <f t="shared" si="5"/>
        <v>none</v>
      </c>
      <c r="M24" s="48" t="str">
        <f t="shared" si="16"/>
        <v>none</v>
      </c>
      <c r="N24" s="63" t="e">
        <f t="shared" si="7"/>
        <v>#VALUE!</v>
      </c>
      <c r="O24" s="63">
        <f t="shared" si="8"/>
        <v>4</v>
      </c>
      <c r="P24" s="63" t="e">
        <f t="shared" si="9"/>
        <v>#VALUE!</v>
      </c>
      <c r="Q24" s="63" t="e">
        <f t="shared" si="10"/>
        <v>#VALUE!</v>
      </c>
      <c r="R24" s="63" t="str">
        <f>IFERROR(VLOOKUP(MID(M24,P24,Q24-P24),[6]skilldef!$C:$D,2,FALSE),"-") &amp; " / " &amp; IFERROR(VLOOKUP(MID(M24,N24,O24-N24),[6]skilldef!$A:$B,2,FALSE),"-")</f>
        <v>- / -</v>
      </c>
      <c r="S24" s="48" t="str">
        <f t="shared" si="11"/>
        <v>none</v>
      </c>
      <c r="T24" s="63" t="e">
        <f t="shared" si="12"/>
        <v>#VALUE!</v>
      </c>
      <c r="U24" s="63">
        <f t="shared" si="13"/>
        <v>4</v>
      </c>
      <c r="V24" s="63" t="e">
        <f t="shared" si="14"/>
        <v>#VALUE!</v>
      </c>
      <c r="W24" s="63" t="e">
        <f t="shared" si="15"/>
        <v>#VALUE!</v>
      </c>
      <c r="X24" s="63" t="str">
        <f>IFERROR(VLOOKUP(MID(S24,V24,W24-V24),[6]skilldef!$C:$D,2,FALSE),"-") &amp; " / " &amp; IFERROR(VLOOKUP(MID(S24,T24,U24-T24),[6]skilldef!$A:$B,2,FALSE),"-")</f>
        <v>- / -</v>
      </c>
      <c r="Y24" s="51" t="s">
        <v>220</v>
      </c>
      <c r="Z24" s="50"/>
      <c r="AA24" s="52"/>
      <c r="AB24" s="50"/>
    </row>
    <row r="25" spans="1:28" ht="21" customHeight="1" x14ac:dyDescent="0.15">
      <c r="A25" s="131">
        <v>30017024</v>
      </c>
      <c r="B25" s="47" t="s">
        <v>245</v>
      </c>
      <c r="C25" s="50">
        <v>3</v>
      </c>
      <c r="D25" s="50" t="s">
        <v>127</v>
      </c>
      <c r="E25" s="51" t="s">
        <v>254</v>
      </c>
      <c r="F25" s="63" t="str">
        <f t="shared" si="0"/>
        <v>[effect:heal, target:enemy_one, val:0.2, animation:enemy_heal]</v>
      </c>
      <c r="G25" s="63">
        <f t="shared" si="1"/>
        <v>9</v>
      </c>
      <c r="H25" s="63">
        <f t="shared" si="2"/>
        <v>13</v>
      </c>
      <c r="I25" s="63">
        <f t="shared" si="3"/>
        <v>22</v>
      </c>
      <c r="J25" s="63">
        <f t="shared" si="4"/>
        <v>31</v>
      </c>
      <c r="K25" s="63" t="str">
        <f>IFERROR(VLOOKUP(MID(F25,I25,J25-I25),[6]skilldef!$C:$D,2,FALSE),"-") &amp; " / " &amp; IFERROR(VLOOKUP(MID(F25,G25,H25-G25),[6]skilldef!$A:$B,2,FALSE),"-")</f>
        <v>敵単体に / 回復</v>
      </c>
      <c r="L25" s="63" t="str">
        <f t="shared" si="5"/>
        <v>[effect:enhance_enemy, target:myself, turn:-1, status:attack, val:0.3, animation:enemy_enhance_enemy]</v>
      </c>
      <c r="M25" s="48" t="str">
        <f t="shared" si="16"/>
        <v>[effect:enhance_enemy, target:myself, turn:-1, status:attack, val:0.3, animation:enemy_enhance_enemy]</v>
      </c>
      <c r="N25" s="63">
        <f t="shared" si="7"/>
        <v>9</v>
      </c>
      <c r="O25" s="63">
        <f t="shared" si="8"/>
        <v>22</v>
      </c>
      <c r="P25" s="63">
        <f t="shared" si="9"/>
        <v>31</v>
      </c>
      <c r="Q25" s="63">
        <f t="shared" si="10"/>
        <v>37</v>
      </c>
      <c r="R25" s="63" t="str">
        <f>IFERROR(VLOOKUP(MID(M25,P25,Q25-P25),[6]skilldef!$C:$D,2,FALSE),"-") &amp; " / " &amp; IFERROR(VLOOKUP(MID(M25,N25,O25-N25),[6]skilldef!$A:$B,2,FALSE),"-")</f>
        <v>自分自身に / ステータス強化</v>
      </c>
      <c r="S25" s="48" t="str">
        <f t="shared" si="11"/>
        <v>none</v>
      </c>
      <c r="T25" s="63" t="e">
        <f t="shared" si="12"/>
        <v>#VALUE!</v>
      </c>
      <c r="U25" s="63">
        <f t="shared" si="13"/>
        <v>4</v>
      </c>
      <c r="V25" s="63" t="e">
        <f t="shared" si="14"/>
        <v>#VALUE!</v>
      </c>
      <c r="W25" s="63" t="e">
        <f t="shared" si="15"/>
        <v>#VALUE!</v>
      </c>
      <c r="X25" s="63" t="str">
        <f>IFERROR(VLOOKUP(MID(S25,V25,W25-V25),[6]skilldef!$C:$D,2,FALSE),"-") &amp; " / " &amp; IFERROR(VLOOKUP(MID(S25,T25,U25-T25),[6]skilldef!$A:$B,2,FALSE),"-")</f>
        <v>- / -</v>
      </c>
      <c r="Y25" s="51" t="s">
        <v>219</v>
      </c>
      <c r="Z25" s="50"/>
      <c r="AA25" s="52"/>
      <c r="AB2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2"/>
  <sheetViews>
    <sheetView showGridLines="0" workbookViewId="0">
      <pane ySplit="1" topLeftCell="A2" activePane="bottomLeft" state="frozenSplit"/>
      <selection activeCell="F3" sqref="F3"/>
      <selection pane="bottomLeft" activeCell="E4" sqref="E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30017001</v>
      </c>
      <c r="B2" s="47">
        <v>0</v>
      </c>
      <c r="C2" s="47">
        <v>1</v>
      </c>
      <c r="D2" s="47">
        <v>50</v>
      </c>
      <c r="E2" s="47" t="s">
        <v>221</v>
      </c>
      <c r="F2" s="47" t="s">
        <v>89</v>
      </c>
      <c r="G2" s="47" t="s">
        <v>222</v>
      </c>
      <c r="H2" s="47" t="s">
        <v>89</v>
      </c>
      <c r="I2" s="47" t="s">
        <v>89</v>
      </c>
      <c r="J2" s="48">
        <f t="shared" ref="J2" si="0">D2</f>
        <v>50</v>
      </c>
    </row>
    <row r="3" spans="1:11" ht="21" customHeight="1" x14ac:dyDescent="0.15">
      <c r="A3" s="47">
        <v>30017002</v>
      </c>
      <c r="B3" s="47">
        <v>1</v>
      </c>
      <c r="C3" s="47">
        <v>99</v>
      </c>
      <c r="D3" s="47">
        <v>100</v>
      </c>
      <c r="E3" s="47" t="s">
        <v>221</v>
      </c>
      <c r="F3" s="47" t="s">
        <v>89</v>
      </c>
      <c r="G3" s="47">
        <v>1</v>
      </c>
      <c r="H3" s="47" t="s">
        <v>89</v>
      </c>
      <c r="I3" s="47" t="s">
        <v>89</v>
      </c>
      <c r="J3" s="48">
        <f t="shared" ref="J3" si="1">D3</f>
        <v>100</v>
      </c>
    </row>
    <row r="4" spans="1:11" ht="21" customHeight="1" x14ac:dyDescent="0.15">
      <c r="A4" s="47">
        <v>30017003</v>
      </c>
      <c r="B4" s="47">
        <v>0</v>
      </c>
      <c r="C4" s="47">
        <v>2</v>
      </c>
      <c r="D4" s="47">
        <v>70</v>
      </c>
      <c r="E4" s="47">
        <v>70</v>
      </c>
      <c r="F4" s="47" t="s">
        <v>89</v>
      </c>
      <c r="G4" s="47">
        <v>3</v>
      </c>
      <c r="H4" s="47" t="s">
        <v>89</v>
      </c>
      <c r="I4" s="47" t="s">
        <v>89</v>
      </c>
      <c r="J4" s="48">
        <f t="shared" ref="J4" si="2">D4</f>
        <v>70</v>
      </c>
    </row>
    <row r="5" spans="1:11" ht="21" customHeight="1" x14ac:dyDescent="0.15">
      <c r="A5" s="47">
        <v>30017004</v>
      </c>
      <c r="B5" s="47">
        <v>0</v>
      </c>
      <c r="C5" s="47">
        <v>10</v>
      </c>
      <c r="D5" s="47">
        <v>100</v>
      </c>
      <c r="E5" s="47" t="s">
        <v>223</v>
      </c>
      <c r="F5" s="47" t="s">
        <v>89</v>
      </c>
      <c r="G5" s="47">
        <v>1</v>
      </c>
      <c r="H5" s="47" t="s">
        <v>89</v>
      </c>
      <c r="I5" s="47">
        <v>26</v>
      </c>
      <c r="J5" s="48">
        <f t="shared" ref="J5" si="3">D5</f>
        <v>100</v>
      </c>
    </row>
    <row r="6" spans="1:11" ht="21" customHeight="1" x14ac:dyDescent="0.15">
      <c r="A6" s="47">
        <v>30017005</v>
      </c>
      <c r="B6" s="47">
        <v>0</v>
      </c>
      <c r="C6" s="47">
        <v>9</v>
      </c>
      <c r="D6" s="47">
        <v>100</v>
      </c>
      <c r="E6" s="47" t="s">
        <v>223</v>
      </c>
      <c r="F6" s="47" t="s">
        <v>89</v>
      </c>
      <c r="G6" s="47">
        <v>1</v>
      </c>
      <c r="H6" s="47" t="s">
        <v>89</v>
      </c>
      <c r="I6" s="47">
        <v>26</v>
      </c>
      <c r="J6" s="48">
        <f t="shared" ref="J6" si="4">D6</f>
        <v>100</v>
      </c>
    </row>
    <row r="7" spans="1:11" ht="21" customHeight="1" x14ac:dyDescent="0.15">
      <c r="A7" s="47">
        <v>30017006</v>
      </c>
      <c r="B7" s="47">
        <v>0</v>
      </c>
      <c r="C7" s="47">
        <v>2</v>
      </c>
      <c r="D7" s="47">
        <v>100</v>
      </c>
      <c r="E7" s="47">
        <v>30</v>
      </c>
      <c r="F7" s="47" t="s">
        <v>89</v>
      </c>
      <c r="G7" s="47">
        <v>2</v>
      </c>
      <c r="H7" s="47" t="s">
        <v>89</v>
      </c>
      <c r="I7" s="47" t="s">
        <v>222</v>
      </c>
      <c r="J7" s="48">
        <f t="shared" ref="J7" si="5">D7</f>
        <v>100</v>
      </c>
    </row>
    <row r="8" spans="1:11" ht="21" customHeight="1" x14ac:dyDescent="0.15">
      <c r="A8" s="47">
        <v>30017007</v>
      </c>
      <c r="B8" s="47">
        <v>0</v>
      </c>
      <c r="C8" s="47">
        <v>1</v>
      </c>
      <c r="D8" s="47">
        <v>60</v>
      </c>
      <c r="E8" s="47" t="s">
        <v>224</v>
      </c>
      <c r="F8" s="47">
        <v>70</v>
      </c>
      <c r="G8" s="47" t="s">
        <v>222</v>
      </c>
      <c r="H8" s="47" t="s">
        <v>89</v>
      </c>
      <c r="I8" s="47" t="s">
        <v>222</v>
      </c>
      <c r="J8" s="48">
        <f t="shared" ref="J8" si="6">D8</f>
        <v>60</v>
      </c>
    </row>
    <row r="9" spans="1:11" ht="21" customHeight="1" x14ac:dyDescent="0.15">
      <c r="A9" s="47">
        <v>30017008</v>
      </c>
      <c r="B9" s="47">
        <v>0</v>
      </c>
      <c r="C9" s="47">
        <v>1</v>
      </c>
      <c r="D9" s="47">
        <v>60</v>
      </c>
      <c r="E9" s="47">
        <v>70</v>
      </c>
      <c r="F9" s="47" t="s">
        <v>225</v>
      </c>
      <c r="G9" s="47" t="s">
        <v>222</v>
      </c>
      <c r="H9" s="47" t="s">
        <v>89</v>
      </c>
      <c r="I9" s="47" t="s">
        <v>222</v>
      </c>
      <c r="J9" s="48">
        <f t="shared" ref="J9" si="7">D9</f>
        <v>60</v>
      </c>
    </row>
    <row r="10" spans="1:11" ht="21" customHeight="1" x14ac:dyDescent="0.15">
      <c r="A10" s="47">
        <v>30017009</v>
      </c>
      <c r="B10" s="47">
        <v>0</v>
      </c>
      <c r="C10" s="47">
        <v>2</v>
      </c>
      <c r="D10" s="47">
        <v>100</v>
      </c>
      <c r="E10" s="47" t="s">
        <v>221</v>
      </c>
      <c r="F10" s="47" t="s">
        <v>225</v>
      </c>
      <c r="G10" s="47" t="s">
        <v>222</v>
      </c>
      <c r="H10" s="47">
        <v>3</v>
      </c>
      <c r="I10" s="47" t="s">
        <v>222</v>
      </c>
      <c r="J10" s="48">
        <f t="shared" ref="J10:J11" si="8">D10</f>
        <v>100</v>
      </c>
    </row>
    <row r="11" spans="1:11" ht="21" customHeight="1" x14ac:dyDescent="0.15">
      <c r="A11" s="47">
        <v>30017010</v>
      </c>
      <c r="B11" s="47">
        <v>0</v>
      </c>
      <c r="C11" s="47">
        <v>3</v>
      </c>
      <c r="D11" s="47">
        <v>100</v>
      </c>
      <c r="E11" s="47">
        <v>30</v>
      </c>
      <c r="F11" s="47" t="s">
        <v>89</v>
      </c>
      <c r="G11" s="47">
        <v>1</v>
      </c>
      <c r="H11" s="47" t="s">
        <v>233</v>
      </c>
      <c r="I11" s="47" t="s">
        <v>222</v>
      </c>
      <c r="J11" s="48">
        <f t="shared" si="8"/>
        <v>100</v>
      </c>
    </row>
    <row r="12" spans="1:11" ht="21" customHeight="1" x14ac:dyDescent="0.15">
      <c r="A12" s="47">
        <v>30017011</v>
      </c>
      <c r="B12" s="47">
        <v>0</v>
      </c>
      <c r="C12" s="47">
        <v>1</v>
      </c>
      <c r="D12" s="47">
        <v>30</v>
      </c>
      <c r="E12" s="47" t="s">
        <v>222</v>
      </c>
      <c r="F12" s="47" t="s">
        <v>89</v>
      </c>
      <c r="G12" s="47" t="s">
        <v>226</v>
      </c>
      <c r="H12" s="47" t="s">
        <v>227</v>
      </c>
      <c r="I12" s="47" t="s">
        <v>222</v>
      </c>
      <c r="J12" s="48">
        <f t="shared" ref="J12" si="9">D12</f>
        <v>30</v>
      </c>
    </row>
  </sheetData>
  <autoFilter ref="A1:G1"/>
  <phoneticPr fontId="5"/>
  <conditionalFormatting sqref="K1:K2 K6 K11 K13:K1048576">
    <cfRule type="duplicateValues" dxfId="8" priority="9"/>
  </conditionalFormatting>
  <conditionalFormatting sqref="K3">
    <cfRule type="duplicateValues" dxfId="7" priority="8"/>
  </conditionalFormatting>
  <conditionalFormatting sqref="K4">
    <cfRule type="duplicateValues" dxfId="6" priority="7"/>
  </conditionalFormatting>
  <conditionalFormatting sqref="K5">
    <cfRule type="duplicateValues" dxfId="5" priority="6"/>
  </conditionalFormatting>
  <conditionalFormatting sqref="K7">
    <cfRule type="duplicateValues" dxfId="4" priority="5"/>
  </conditionalFormatting>
  <conditionalFormatting sqref="K8">
    <cfRule type="duplicateValues" dxfId="3" priority="4"/>
  </conditionalFormatting>
  <conditionalFormatting sqref="K9">
    <cfRule type="duplicateValues" dxfId="2" priority="3"/>
  </conditionalFormatting>
  <conditionalFormatting sqref="K10">
    <cfRule type="duplicateValues" dxfId="1" priority="2"/>
  </conditionalFormatting>
  <conditionalFormatting sqref="K1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E4" sqref="E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153</v>
      </c>
      <c r="B1" s="64" t="s">
        <v>154</v>
      </c>
      <c r="C1" s="65" t="s">
        <v>155</v>
      </c>
      <c r="D1" s="66" t="s">
        <v>156</v>
      </c>
      <c r="E1" s="67" t="s">
        <v>157</v>
      </c>
      <c r="F1" s="64" t="s">
        <v>158</v>
      </c>
      <c r="G1" s="64" t="s">
        <v>159</v>
      </c>
      <c r="H1" s="64" t="s">
        <v>160</v>
      </c>
      <c r="I1" s="64" t="s">
        <v>161</v>
      </c>
      <c r="J1" s="64" t="s">
        <v>162</v>
      </c>
      <c r="K1" s="64" t="s">
        <v>163</v>
      </c>
      <c r="L1" s="64" t="s">
        <v>164</v>
      </c>
      <c r="M1" s="64" t="s">
        <v>165</v>
      </c>
      <c r="N1" s="64" t="s">
        <v>166</v>
      </c>
      <c r="O1" s="64" t="s">
        <v>167</v>
      </c>
      <c r="P1" s="64" t="s">
        <v>168</v>
      </c>
      <c r="Q1" s="64" t="s">
        <v>169</v>
      </c>
      <c r="R1" s="64" t="s">
        <v>170</v>
      </c>
    </row>
    <row r="2" spans="1:18" x14ac:dyDescent="0.15">
      <c r="A2" s="57">
        <f>floors!C2</f>
        <v>30017</v>
      </c>
      <c r="B2" s="57">
        <v>1</v>
      </c>
      <c r="C2" s="57" t="str">
        <f>A2&amp; "_"&amp;B2</f>
        <v>30017_1</v>
      </c>
      <c r="D2" s="57" t="str">
        <f>VLOOKUP(C2,[2]stages!$A:$AE,31,FALSE)</f>
        <v>multionly</v>
      </c>
      <c r="E2" s="57">
        <v>1</v>
      </c>
      <c r="F2" s="57" t="s">
        <v>171</v>
      </c>
      <c r="G2" s="57">
        <v>1000</v>
      </c>
      <c r="H2" s="57" t="s">
        <v>172</v>
      </c>
      <c r="I2" s="57" t="s">
        <v>172</v>
      </c>
      <c r="J2" s="57" t="s">
        <v>172</v>
      </c>
      <c r="K2" s="57" t="s">
        <v>172</v>
      </c>
      <c r="L2" s="57" t="s">
        <v>172</v>
      </c>
      <c r="M2" s="57" t="s">
        <v>172</v>
      </c>
      <c r="N2" s="57" t="s">
        <v>172</v>
      </c>
      <c r="O2" s="57" t="s">
        <v>172</v>
      </c>
      <c r="P2" s="57">
        <v>100</v>
      </c>
      <c r="Q2" s="57" t="s">
        <v>173</v>
      </c>
      <c r="R2" s="57" t="s">
        <v>174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6"/>
  <sheetViews>
    <sheetView showGridLines="0" workbookViewId="0">
      <pane ySplit="1" topLeftCell="A2" activePane="bottomLeft" state="frozen"/>
      <selection pane="bottomLeft" activeCell="N6" sqref="N6"/>
    </sheetView>
  </sheetViews>
  <sheetFormatPr baseColWidth="12" defaultColWidth="13" defaultRowHeight="15" outlineLevelCol="1" x14ac:dyDescent="0.15"/>
  <cols>
    <col min="2" max="2" width="13" style="15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143" t="s">
        <v>60</v>
      </c>
      <c r="B1" s="144" t="s">
        <v>274</v>
      </c>
      <c r="C1" s="137" t="s">
        <v>275</v>
      </c>
      <c r="D1" s="145" t="s">
        <v>276</v>
      </c>
      <c r="E1" s="145" t="s">
        <v>33</v>
      </c>
      <c r="F1" s="137" t="s">
        <v>277</v>
      </c>
      <c r="G1" s="145" t="s">
        <v>278</v>
      </c>
      <c r="H1" s="145" t="s">
        <v>33</v>
      </c>
      <c r="I1" s="137" t="s">
        <v>279</v>
      </c>
      <c r="J1" s="137" t="s">
        <v>280</v>
      </c>
      <c r="K1" s="146" t="s">
        <v>281</v>
      </c>
      <c r="L1" s="147" t="s">
        <v>282</v>
      </c>
      <c r="M1" s="147" t="s">
        <v>283</v>
      </c>
      <c r="N1" s="148" t="s">
        <v>284</v>
      </c>
      <c r="O1" s="149" t="s">
        <v>285</v>
      </c>
    </row>
    <row r="2" spans="1:15" ht="60" x14ac:dyDescent="0.15">
      <c r="A2" s="150" t="str">
        <f t="shared" ref="A2" si="0">C2&amp;"_"&amp;F2&amp;"_"&amp;J2</f>
        <v>30017_1_1</v>
      </c>
      <c r="B2" s="151" t="s">
        <v>286</v>
      </c>
      <c r="C2" s="152">
        <f>floors!C$2</f>
        <v>30017</v>
      </c>
      <c r="D2" s="153" t="str">
        <f ca="1">VLOOKUP($C2,OFFSET([2]quests!$A$1,0,0,COUNTA([2]quests!$A:$A),MATCH(D$1,[2]quests!$1:$1,0)-MATCH($C$1,[2]quests!$1:$1,0)+1),MATCH(D$1,[2]quests!$1:$1,0)-MATCH($C$1,[2]quests!$1:$1,0)+1,FALSE)</f>
        <v>狩人の挽歌</v>
      </c>
      <c r="E2" s="153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154">
        <v>1</v>
      </c>
      <c r="G2" s="153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【超級】狩人の挽歌</v>
      </c>
      <c r="H2" s="153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" s="155">
        <v>0</v>
      </c>
      <c r="J2" s="154">
        <v>1</v>
      </c>
      <c r="K2" s="156" t="str">
        <f>C2&amp;TEXT(J2,"00")</f>
        <v>3001701</v>
      </c>
      <c r="L2" s="154" t="s">
        <v>287</v>
      </c>
      <c r="M2" s="157" t="s">
        <v>288</v>
      </c>
      <c r="N2" s="159" t="s">
        <v>292</v>
      </c>
      <c r="O2" s="57" t="s">
        <v>289</v>
      </c>
    </row>
    <row r="3" spans="1:15" ht="42" customHeight="1" x14ac:dyDescent="0.15">
      <c r="A3" s="150" t="str">
        <f t="shared" ref="A3:A4" si="1">C3&amp;"_"&amp;F3&amp;"_"&amp;J3</f>
        <v>30017_1_2</v>
      </c>
      <c r="B3" s="151" t="s">
        <v>286</v>
      </c>
      <c r="C3" s="152">
        <f>floors!C$2</f>
        <v>30017</v>
      </c>
      <c r="D3" s="153" t="str">
        <f ca="1">VLOOKUP($C3,OFFSET([2]quests!$A$1,0,0,COUNTA([2]quests!$A:$A),MATCH(D$1,[2]quests!$1:$1,0)-MATCH($C$1,[2]quests!$1:$1,0)+1),MATCH(D$1,[2]quests!$1:$1,0)-MATCH($C$1,[2]quests!$1:$1,0)+1,FALSE)</f>
        <v>狩人の挽歌</v>
      </c>
      <c r="E3" s="153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154">
        <v>1</v>
      </c>
      <c r="G3" s="153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【超級】狩人の挽歌</v>
      </c>
      <c r="H3" s="153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3" s="155">
        <v>0</v>
      </c>
      <c r="J3" s="154">
        <v>2</v>
      </c>
      <c r="K3" s="156" t="str">
        <f>C3&amp;TEXT(J3,"00")</f>
        <v>3001702</v>
      </c>
      <c r="L3" s="154" t="s">
        <v>287</v>
      </c>
      <c r="M3" s="157" t="s">
        <v>288</v>
      </c>
      <c r="N3" s="159" t="s">
        <v>293</v>
      </c>
      <c r="O3" s="57" t="s">
        <v>289</v>
      </c>
    </row>
    <row r="4" spans="1:15" ht="42" customHeight="1" x14ac:dyDescent="0.15">
      <c r="A4" s="150" t="str">
        <f t="shared" si="1"/>
        <v>30017_2_3</v>
      </c>
      <c r="B4" s="151" t="s">
        <v>286</v>
      </c>
      <c r="C4" s="152">
        <f>floors!C$2</f>
        <v>30017</v>
      </c>
      <c r="D4" s="153" t="str">
        <f ca="1">VLOOKUP($C4,OFFSET([2]quests!$A$1,0,0,COUNTA([2]quests!$A:$A),MATCH(D$1,[2]quests!$1:$1,0)-MATCH($C$1,[2]quests!$1:$1,0)+1),MATCH(D$1,[2]quests!$1:$1,0)-MATCH($C$1,[2]quests!$1:$1,0)+1,FALSE)</f>
        <v>狩人の挽歌</v>
      </c>
      <c r="E4" s="153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154">
        <v>2</v>
      </c>
      <c r="G4" s="153" t="str">
        <f ca="1">VLOOKUP($C4&amp;"_"&amp;$F4,OFFSET([2]stages!$A$1,0,0,COUNTA([2]stages!$A:$A),MATCH(G$1,[2]stages!$2:$2,0)-MATCH("temp_stage",[2]stages!$2:$2,0)+1),MATCH(G$1,[2]stages!$2:$2,0)-MATCH("temp_stage",[2]stages!$2:$2,0)+1,FALSE)</f>
        <v>【超絶級】狩人の挽歌</v>
      </c>
      <c r="H4" s="153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4" s="155">
        <v>0</v>
      </c>
      <c r="J4" s="154">
        <v>3</v>
      </c>
      <c r="K4" s="156" t="str">
        <f>C4&amp;TEXT(J4,"00")</f>
        <v>3001703</v>
      </c>
      <c r="L4" s="154" t="s">
        <v>287</v>
      </c>
      <c r="M4" s="157" t="s">
        <v>288</v>
      </c>
      <c r="N4" s="159" t="s">
        <v>294</v>
      </c>
      <c r="O4" s="57" t="s">
        <v>289</v>
      </c>
    </row>
    <row r="5" spans="1:15" ht="60" x14ac:dyDescent="0.15">
      <c r="A5" s="150" t="str">
        <f t="shared" ref="A5" si="2">C5&amp;"_"&amp;F5&amp;"_"&amp;J5</f>
        <v>30017_2_4</v>
      </c>
      <c r="B5" s="151" t="s">
        <v>286</v>
      </c>
      <c r="C5" s="152">
        <f>floors!C$2</f>
        <v>30017</v>
      </c>
      <c r="D5" s="153" t="str">
        <f ca="1">VLOOKUP($C5,OFFSET([2]quests!$A$1,0,0,COUNTA([2]quests!$A:$A),MATCH(D$1,[2]quests!$1:$1,0)-MATCH($C$1,[2]quests!$1:$1,0)+1),MATCH(D$1,[2]quests!$1:$1,0)-MATCH($C$1,[2]quests!$1:$1,0)+1,FALSE)</f>
        <v>狩人の挽歌</v>
      </c>
      <c r="E5" s="153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154">
        <v>2</v>
      </c>
      <c r="G5" s="153" t="str">
        <f ca="1">VLOOKUP($C5&amp;"_"&amp;$F5,OFFSET([2]stages!$A$1,0,0,COUNTA([2]stages!$A:$A),MATCH(G$1,[2]stages!$2:$2,0)-MATCH("temp_stage",[2]stages!$2:$2,0)+1),MATCH(G$1,[2]stages!$2:$2,0)-MATCH("temp_stage",[2]stages!$2:$2,0)+1,FALSE)</f>
        <v>【超絶級】狩人の挽歌</v>
      </c>
      <c r="H5" s="153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5" s="155">
        <v>0</v>
      </c>
      <c r="J5" s="154">
        <v>4</v>
      </c>
      <c r="K5" s="156" t="str">
        <f>C5&amp;TEXT(J5,"00")</f>
        <v>3001704</v>
      </c>
      <c r="L5" s="154" t="s">
        <v>287</v>
      </c>
      <c r="M5" s="157" t="s">
        <v>288</v>
      </c>
      <c r="N5" s="159" t="s">
        <v>293</v>
      </c>
      <c r="O5" s="57" t="s">
        <v>289</v>
      </c>
    </row>
    <row r="6" spans="1:15" ht="60" x14ac:dyDescent="0.15">
      <c r="A6" s="150" t="str">
        <f t="shared" ref="A6" si="3">C6&amp;"_"&amp;F6&amp;"_"&amp;J6</f>
        <v>30017_2_5</v>
      </c>
      <c r="B6" s="151" t="s">
        <v>286</v>
      </c>
      <c r="C6" s="152">
        <f>floors!C$2</f>
        <v>30017</v>
      </c>
      <c r="D6" s="153" t="str">
        <f ca="1">VLOOKUP($C6,OFFSET([2]quests!$A$1,0,0,COUNTA([2]quests!$A:$A),MATCH(D$1,[2]quests!$1:$1,0)-MATCH($C$1,[2]quests!$1:$1,0)+1),MATCH(D$1,[2]quests!$1:$1,0)-MATCH($C$1,[2]quests!$1:$1,0)+1,FALSE)</f>
        <v>狩人の挽歌</v>
      </c>
      <c r="E6" s="153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154">
        <v>2</v>
      </c>
      <c r="G6" s="153" t="str">
        <f ca="1">VLOOKUP($C6&amp;"_"&amp;$F6,OFFSET([2]stages!$A$1,0,0,COUNTA([2]stages!$A:$A),MATCH(G$1,[2]stages!$2:$2,0)-MATCH("temp_stage",[2]stages!$2:$2,0)+1),MATCH(G$1,[2]stages!$2:$2,0)-MATCH("temp_stage",[2]stages!$2:$2,0)+1,FALSE)</f>
        <v>【超絶級】狩人の挽歌</v>
      </c>
      <c r="H6" s="153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6" s="155">
        <v>0</v>
      </c>
      <c r="J6" s="154">
        <v>5</v>
      </c>
      <c r="K6" s="156" t="str">
        <f>C6&amp;TEXT(J6,"00")</f>
        <v>3001705</v>
      </c>
      <c r="L6" s="154" t="s">
        <v>287</v>
      </c>
      <c r="M6" s="157" t="s">
        <v>288</v>
      </c>
      <c r="N6" s="159" t="s">
        <v>295</v>
      </c>
      <c r="O6" s="57" t="s">
        <v>289</v>
      </c>
    </row>
  </sheetData>
  <phoneticPr fontId="5"/>
  <dataValidations count="1">
    <dataValidation type="list" allowBlank="1" showInputMessage="1" showErrorMessage="1" sqref="B2:B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2017-03-08T03:43:06Z</dcterms:modified>
</cp:coreProperties>
</file>