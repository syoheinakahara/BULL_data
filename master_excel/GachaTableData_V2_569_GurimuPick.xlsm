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3"/>
  </bookViews>
  <sheets>
    <sheet name="確率の考え方" sheetId="110" r:id="rId1"/>
    <sheet name="Sheet1" sheetId="107" r:id="rId2"/>
    <sheet name="output" sheetId="103" r:id="rId3"/>
    <sheet name="input_569100" sheetId="153" r:id="rId4"/>
    <sheet name="tables_569100" sheetId="154" r:id="rId5"/>
    <sheet name="tables_settle_569103" sheetId="161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tables_569100!$A$1:$V$294</definedName>
    <definedName name="_xlnm._FilterDatabase" localSheetId="5" hidden="1">tables_settle_569103!$A$1:$V$1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53" l="1"/>
  <c r="B28" i="153"/>
  <c r="B29" i="153"/>
  <c r="B27" i="153"/>
  <c r="B18" i="153"/>
  <c r="I139" i="154"/>
  <c r="D139" i="154"/>
  <c r="J139" i="154"/>
  <c r="E139" i="154"/>
  <c r="C139" i="154"/>
  <c r="Q3" i="153"/>
  <c r="I157" i="154"/>
  <c r="D157" i="154"/>
  <c r="J157" i="154"/>
  <c r="E157" i="154"/>
  <c r="C157" i="154"/>
  <c r="Q4" i="153"/>
  <c r="I207" i="154"/>
  <c r="D207" i="154"/>
  <c r="J207" i="154"/>
  <c r="E207" i="154"/>
  <c r="C207" i="154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E23" i="153"/>
  <c r="B10" i="153"/>
  <c r="F6" i="153"/>
  <c r="E6" i="153"/>
  <c r="B23" i="153"/>
  <c r="E26" i="153"/>
  <c r="B26" i="153"/>
  <c r="F5" i="153"/>
  <c r="E28" i="153"/>
  <c r="E29" i="153"/>
  <c r="C28" i="153"/>
  <c r="B21" i="153"/>
  <c r="E22" i="153"/>
  <c r="B22" i="153"/>
  <c r="B6" i="153"/>
  <c r="E20" i="153"/>
  <c r="B20" i="153"/>
  <c r="E25" i="153"/>
  <c r="B25" i="153"/>
  <c r="E19" i="153"/>
  <c r="B19" i="153"/>
  <c r="E24" i="153"/>
  <c r="B24" i="153"/>
  <c r="B17" i="153"/>
  <c r="B32" i="153"/>
  <c r="A36" i="153"/>
  <c r="C19" i="153"/>
  <c r="C20" i="153"/>
  <c r="C21" i="153"/>
  <c r="C22" i="153"/>
  <c r="C23" i="153"/>
  <c r="C24" i="153"/>
  <c r="C25" i="153"/>
  <c r="C26" i="153"/>
  <c r="C27" i="153"/>
  <c r="C29" i="153"/>
  <c r="C30" i="153"/>
  <c r="C31" i="153"/>
  <c r="C32" i="153"/>
  <c r="D32" i="153"/>
  <c r="I2" i="161"/>
  <c r="D2" i="161"/>
  <c r="J2" i="161"/>
  <c r="E2" i="161"/>
  <c r="F2" i="161"/>
  <c r="C2" i="161"/>
  <c r="I3" i="161"/>
  <c r="D3" i="161"/>
  <c r="J3" i="161"/>
  <c r="E3" i="161"/>
  <c r="F3" i="161"/>
  <c r="C3" i="161"/>
  <c r="I4" i="161"/>
  <c r="D4" i="161"/>
  <c r="J4" i="161"/>
  <c r="E4" i="161"/>
  <c r="F4" i="161"/>
  <c r="C4" i="161"/>
  <c r="H2" i="161"/>
  <c r="K2" i="161"/>
  <c r="L2" i="161"/>
  <c r="M2" i="161"/>
  <c r="N2" i="161"/>
  <c r="P2" i="161"/>
  <c r="H3" i="161"/>
  <c r="K3" i="161"/>
  <c r="L3" i="161"/>
  <c r="M3" i="161"/>
  <c r="N3" i="161"/>
  <c r="P3" i="161"/>
  <c r="H4" i="161"/>
  <c r="K4" i="161"/>
  <c r="L4" i="161"/>
  <c r="M4" i="161"/>
  <c r="N4" i="161"/>
  <c r="P4" i="161"/>
  <c r="G31" i="153"/>
  <c r="E31" i="153"/>
  <c r="H31" i="153"/>
  <c r="I31" i="153"/>
  <c r="J31" i="153"/>
  <c r="F31" i="153"/>
  <c r="D31" i="153"/>
  <c r="A2" i="153"/>
  <c r="G23" i="153"/>
  <c r="H23" i="153"/>
  <c r="R5" i="153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R3" i="153"/>
  <c r="O138" i="154"/>
  <c r="G28" i="153"/>
  <c r="H28" i="153"/>
  <c r="R4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R6" i="153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R7" i="153"/>
  <c r="O206" i="154"/>
  <c r="R8" i="153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A350" i="154"/>
  <c r="A349" i="154"/>
  <c r="A348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9" i="153"/>
  <c r="R10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<sst xmlns="http://schemas.openxmlformats.org/spreadsheetml/2006/main" count="424" uniqueCount="255">
  <si>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</si>
  <si>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</si>
  <si>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</si>
  <si>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</si>
  <si>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</si>
  <si>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</si>
  <si>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</si>
  <si>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</si>
  <si>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</si>
  <si>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</si>
  <si>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</si>
  <si>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</si>
  <si>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</si>
  <si>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</si>
  <si>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</si>
  <si>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</si>
  <si>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</si>
  <si>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</si>
  <si>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</si>
  <si>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</si>
  <si>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</si>
  <si>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</si>
  <si>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</si>
  <si>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</si>
  <si>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</si>
  <si>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</si>
  <si>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</si>
  <si>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</si>
  <si>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</si>
  <si>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</si>
  <si>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</si>
  <si>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</si>
  <si>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</si>
  <si>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</si>
  <si>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</si>
  <si>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</si>
  <si>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</si>
  <si>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</si>
  <si>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</si>
  <si>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</si>
  <si>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</si>
  <si>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</si>
  <si>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</si>
  <si>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</si>
  <si>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</si>
  <si>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</si>
  <si>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</si>
  <si>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</si>
  <si>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</si>
  <si>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</si>
  <si>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</si>
  <si>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</si>
  <si>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</si>
  <si>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</si>
  <si>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</si>
  <si>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</si>
  <si>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</si>
  <si>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</si>
  <si>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</si>
  <si>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</si>
  <si>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</si>
  <si>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</si>
  <si>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</si>
  <si>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</si>
  <si>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</si>
  <si>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</si>
  <si>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</si>
  <si>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</si>
  <si>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</si>
  <si>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</si>
  <si>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</si>
  <si>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</si>
  <si>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</si>
  <si>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</si>
  <si>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</si>
  <si>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</si>
  <si>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</si>
  <si>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</si>
  <si>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</si>
  <si>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</si>
  <si>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</si>
  <si>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</si>
  <si>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</si>
  <si>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</si>
  <si>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</si>
  <si>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</si>
  <si>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</si>
  <si>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</si>
  <si>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</si>
  <si>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</si>
  <si>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</si>
  <si>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</si>
  <si>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</si>
  <si>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</si>
  <si>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</si>
  <si>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</si>
  <si>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</si>
  <si>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</si>
  <si>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</si>
  <si>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</si>
  <si>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</si>
  <si>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</si>
  <si>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</si>
  <si>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</si>
  <si>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</si>
  <si>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</si>
  <si>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</si>
  <si>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</si>
  <si>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</si>
  <si>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</si>
  <si>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</si>
  <si>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</si>
  <si>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</si>
  <si>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</si>
  <si>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</si>
  <si>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</si>
  <si>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</si>
  <si>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</si>
  <si>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</si>
  <si>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</si>
  <si>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</si>
  <si>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</si>
  <si>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</si>
  <si>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</si>
  <si>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</si>
  <si>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</si>
  <si>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</si>
  <si>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</si>
  <si>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</si>
  <si>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</si>
  <si>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</si>
  <si>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</si>
  <si>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</si>
  <si>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</si>
  <si>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</si>
  <si>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</si>
  <si>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</si>
  <si>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</si>
  <si>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</si>
  <si>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</si>
  <si>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</si>
  <si>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</si>
  <si>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</si>
  <si>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</si>
  <si>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</si>
  <si>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</si>
  <si>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</si>
  <si>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</si>
  <si>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</si>
  <si>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</si>
  <si>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</si>
  <si>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</si>
  <si>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</si>
  <si>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</si>
  <si>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</si>
  <si>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</si>
  <si>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</si>
  <si>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</si>
  <si>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</si>
  <si>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</si>
  <si>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</si>
  <si>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</si>
  <si>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</si>
  <si>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</si>
  <si>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</si>
  <si>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</si>
  <si>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</si>
  <si>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</si>
  <si>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</si>
  <si>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</si>
  <si>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</si>
  <si>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</si>
  <si>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</si>
  <si>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</si>
  <si>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</si>
  <si>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</si>
  <si>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</si>
  <si>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</si>
  <si>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</si>
  <si>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</si>
  <si>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</si>
  <si>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</si>
  <si>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</si>
  <si>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</si>
  <si>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</si>
  <si>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</si>
  <si>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</si>
  <si>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</si>
  <si>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</si>
  <si>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</si>
  <si>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</si>
  <si>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</si>
  <si>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</si>
  <si>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</si>
  <si>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</si>
  <si>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</si>
  <si>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</si>
  <si>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</si>
  <si>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</si>
  <si>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</si>
  <si>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</si>
  <si>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</si>
  <si>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</si>
  <si>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</si>
  <si>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</si>
  <si>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</si>
  <si>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</si>
  <si>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</si>
  <si>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</si>
  <si>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</si>
  <si>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</si>
  <si>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</si>
  <si>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</si>
  <si>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</si>
  <si>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</si>
  <si>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</si>
  <si>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</si>
  <si>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</si>
  <si>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</si>
  <si>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</si>
  <si>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</si>
  <si>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</si>
  <si>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</si>
  <si>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</si>
  <si>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</si>
  <si>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</si>
  <si>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</si>
  <si>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</si>
  <si>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</si>
  <si>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</si>
  <si>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</si>
  <si>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</si>
  <si>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</si>
  <si>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</si>
  <si>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</si>
  <si>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</si>
  <si>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</si>
  <si>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</si>
  <si>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</si>
  <si>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</si>
  <si>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</si>
  <si>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</si>
  <si>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</si>
  <si>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</si>
  <si>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</si>
  <si>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</si>
  <si>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</si>
  <si>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</si>
  <si>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</si>
  <si>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</si>
  <si>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old</t>
    <phoneticPr fontId="22"/>
  </si>
  <si>
    <t>tables_561104</t>
    <phoneticPr fontId="22"/>
  </si>
  <si>
    <t>tables_569100</t>
    <phoneticPr fontId="22"/>
  </si>
  <si>
    <t>tables_settle_569103</t>
    <phoneticPr fontId="22"/>
  </si>
  <si>
    <t>569103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</si>
</sst>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4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4" borderId="0" xfId="2" applyFont="1" applyFill="1" applyAlignment="1">
      <alignment vertical="center"/>
    </xf>
    <xf numFmtId="0" fontId="27" fillId="4" borderId="1" xfId="3663" quotePrefix="1" applyNumberFormat="1" applyFont="1" applyFill="1" applyBorder="1" applyAlignment="1">
      <alignment vertical="center"/>
    </xf>
    <xf numFmtId="0" fontId="3" fillId="4" borderId="1" xfId="2978" applyFont="1" applyFill="1" applyBorder="1"/>
    <xf numFmtId="0" fontId="2" fillId="4" borderId="1" xfId="2978" applyFont="1" applyFill="1" applyBorder="1"/>
    <xf numFmtId="0" fontId="54" fillId="4" borderId="1" xfId="0" applyFont="1" applyFill="1" applyBorder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heal</v>
          </cell>
          <cell r="L1418" t="str">
            <v>回復タイプ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heal</v>
          </cell>
          <cell r="L1419" t="str">
            <v>回復タイプ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heal</v>
          </cell>
          <cell r="L1447" t="str">
            <v>回復タイプ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heal</v>
          </cell>
          <cell r="L1448" t="str">
            <v>回復タイプ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27.3984375" style="18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61" t="s">
        <v>110</v>
      </c>
      <c r="C2" s="50" t="str">
        <f t="shared" ref="C2" si="0">RIGHT(F2,6)</f>
        <v>569100</v>
      </c>
      <c r="D2" s="19" t="s">
        <v>45</v>
      </c>
      <c r="E2" s="17" t="str">
        <f t="shared" ref="E2" si="1">B2&amp;C2&amp;D2</f>
        <v>gacha_select_tables_569100.tmp</v>
      </c>
      <c r="F2" s="100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241</v>
      </c>
      <c r="B3" s="61" t="s">
        <v>110</v>
      </c>
      <c r="C3" s="50" t="str">
        <f t="shared" ref="C3:C7" si="2">RIGHT(F3,6)</f>
        <v>561104</v>
      </c>
      <c r="D3" s="19" t="s">
        <v>45</v>
      </c>
      <c r="E3" s="17" t="str">
        <f t="shared" ref="E3:E10" si="3">B3&amp;C3&amp;D3</f>
        <v>gacha_select_tables_561104.tmp</v>
      </c>
      <c r="F3" s="99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250</v>
      </c>
      <c r="B4" s="91" t="s">
        <v>247</v>
      </c>
      <c r="C4" s="92" t="str">
        <f t="shared" si="2"/>
        <v>569103</v>
      </c>
      <c r="D4" s="19" t="s">
        <v>248</v>
      </c>
      <c r="E4" s="17" t="str">
        <f t="shared" si="3"/>
        <v>gacha_settle_tables_569103.tmp</v>
      </c>
      <c r="F4" s="100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561</v>
      </c>
      <c r="D8" s="19" t="s">
        <v>46</v>
      </c>
      <c r="E8" s="17" t="str">
        <f t="shared" si="3"/>
        <v>gacha_bonus_tables_561.tmp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561</v>
      </c>
      <c r="D9" s="19" t="s">
        <v>46</v>
      </c>
      <c r="E9" s="17" t="str">
        <f t="shared" si="3"/>
        <v>gifts_tmp_561.tmp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561</v>
      </c>
      <c r="D10" s="19" t="s">
        <v>46</v>
      </c>
      <c r="E10" s="17" t="str">
        <f t="shared" si="3"/>
        <v>gifts_i18n_561.tmp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/>
  </sheetViews>
  <sheetFormatPr baseColWidth="12" defaultRowHeight="14" x14ac:dyDescent="0.15"/>
  <cols>
    <col min="1" max="2" width="24.19921875" bestFit="1" customWidth="1"/>
    <col min="13" max="13" width="29.3984375" bestFit="1" customWidth="1"/>
    <col min="17" max="17" width="18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320</v>
      </c>
      <c r="M3" s="37" t="str">
        <f>VLOOKUP(L3,[1]characters!$A:$C,3,FALSE)</f>
        <v>烈志士 近藤勇</v>
      </c>
      <c r="N3" s="63">
        <v>7.4999999999999997E-3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VLOOKUP(L3,tables_569100!B:C,2,FALSE)</f>
        <v>PremiumSS4</v>
      </c>
      <c r="R3" s="62">
        <f t="shared" ref="R3:R20" si="1">N3*A$36</f>
        <v>158400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321</v>
      </c>
      <c r="M4" s="37" t="str">
        <f>VLOOKUP(L4,[1]characters!$A:$C,3,FALSE)</f>
        <v>巌鉄の烈志士 近藤勇</v>
      </c>
      <c r="N4" s="63">
        <v>7.4999999999999997E-3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VLOOKUP(L4,tables_569100!B:C,2,FALSE)</f>
        <v>PremiumSS5</v>
      </c>
      <c r="R4" s="62">
        <f t="shared" si="1"/>
        <v>158400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4.5454545454545455E-4</v>
      </c>
      <c r="F5">
        <f>(COUNTIF(tables_569100!C:C,input_569100!A28)+COUNTIF(tables_569100!C:C,input_569100!A29))</f>
        <v>72</v>
      </c>
      <c r="H5" s="83">
        <v>4.4999999999999998E-2</v>
      </c>
      <c r="I5" s="31">
        <v>6</v>
      </c>
      <c r="L5" s="1">
        <v>390</v>
      </c>
      <c r="M5" s="37" t="str">
        <f>VLOOKUP(L5,[1]characters!$A:$C,3,FALSE)</f>
        <v>華環の旅客 親指姫</v>
      </c>
      <c r="N5" s="63">
        <v>7.4999999999999997E-3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VLOOKUP(L5,tables_569100!B:C,2,FALSE)</f>
        <v>PremiumSS4</v>
      </c>
      <c r="R5" s="62">
        <f t="shared" si="1"/>
        <v>158400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9.6354166666666671E-3</v>
      </c>
      <c r="F6">
        <f>(COUNTIF(tables_569100!C:C,input_569100!A25)+COUNTIF(tables_569100!C:C,input_569100!A18)+COUNTIF(tables_569100!C:C,input_569100!A20)+COUNTIF(tables_569100!C:C,input_569100!A22))</f>
        <v>96</v>
      </c>
      <c r="H6" s="86">
        <v>0</v>
      </c>
      <c r="I6" s="31">
        <v>0</v>
      </c>
      <c r="L6" s="1">
        <v>391</v>
      </c>
      <c r="M6" s="37" t="str">
        <f>VLOOKUP(L6,[1]characters!$A:$C,3,FALSE)</f>
        <v>燕翼の旅人 親指姫</v>
      </c>
      <c r="N6" s="63">
        <v>7.4999999999999997E-3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VLOOKUP(L6,tables_569100!B:C,2,FALSE)</f>
        <v>PremiumSS5</v>
      </c>
      <c r="R6" s="62">
        <f t="shared" si="1"/>
        <v>158400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>
        <v>492</v>
      </c>
      <c r="M7" s="37" t="str">
        <f>VLOOKUP(L7,[1]characters!$A:$C,3,FALSE)</f>
        <v>ブートレグ・ペロー</v>
      </c>
      <c r="N7" s="63">
        <v>7.4999999999999997E-3</v>
      </c>
      <c r="O7" s="37">
        <f>VLOOKUP(L7,[1]characters!$A:$I,9,FALSE)</f>
        <v>4</v>
      </c>
      <c r="P7" s="37" t="str">
        <f>VLOOKUP(L7,[1]characters!$A:$J,10,FALSE)</f>
        <v>PremiumSS</v>
      </c>
      <c r="Q7" s="37" t="str">
        <f>VLOOKUP(L7,tables_569100!B:C,2,FALSE)</f>
        <v>PremiumSS4</v>
      </c>
      <c r="R7" s="62">
        <f t="shared" si="1"/>
        <v>158400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493</v>
      </c>
      <c r="M8" s="37" t="str">
        <f>VLOOKUP(L8,[1]characters!$A:$C,3,FALSE)</f>
        <v>跋扈の機脚 ブートレグ・ペロー</v>
      </c>
      <c r="N8" s="63">
        <v>7.4999999999999997E-3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VLOOKUP(L8,tables_569100!B:C,2,FALSE)</f>
        <v>PremiumSS5</v>
      </c>
      <c r="R8" s="62">
        <f t="shared" si="1"/>
        <v>158400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6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1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1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2.2499999999999999E-2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2.2499999999999999E-2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COUNTIF(tables_569100!C:C,input_569100!A17)-COUNTIF(Q:Q,A17)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0" si="5">IFERROR(ROUND(G17/E17,5),0)</f>
        <v>0</v>
      </c>
      <c r="I17">
        <f t="shared" ref="I17:I30" si="6">MOD(H17,1)</f>
        <v>0</v>
      </c>
      <c r="J17">
        <f t="shared" ref="J17:J30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B6-SUM(B20,B22,B25,B27,C27)</f>
        <v>0.19798238636363641</v>
      </c>
      <c r="C18" s="84">
        <f t="shared" si="2"/>
        <v>0</v>
      </c>
      <c r="D18" s="74">
        <f t="shared" si="3"/>
        <v>0.19798238636363641</v>
      </c>
      <c r="E18">
        <f>COUNTIF(tables_569100!C:C,input_569100!A18)-COUNTIF(Q:Q,A18)</f>
        <v>20</v>
      </c>
      <c r="F18" s="43">
        <f>IFERROR(B18/E18,0)</f>
        <v>9.8991193181818208E-3</v>
      </c>
      <c r="G18">
        <f t="shared" si="4"/>
        <v>4181388.0000000009</v>
      </c>
      <c r="H18">
        <f t="shared" si="5"/>
        <v>209069.4</v>
      </c>
      <c r="I18">
        <f t="shared" si="6"/>
        <v>0.39999999999417923</v>
      </c>
      <c r="J18">
        <f t="shared" si="7"/>
        <v>2.5000000000363798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COUNTIF(tables_569100!C:C,input_569100!A19)-COUNTIF(Q:Q,A19)</f>
        <v>52</v>
      </c>
      <c r="F19" s="43">
        <f t="shared" ref="F19:F30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0.45093750000000005</v>
      </c>
      <c r="C20" s="84">
        <f t="shared" si="2"/>
        <v>0</v>
      </c>
      <c r="D20" s="74">
        <f t="shared" si="3"/>
        <v>0.45093750000000005</v>
      </c>
      <c r="E20">
        <f>COUNTIF(tables_569100!C:C,input_569100!A20)-COUNTIF(Q:Q,A20)</f>
        <v>52</v>
      </c>
      <c r="F20" s="43">
        <f t="shared" si="8"/>
        <v>8.6718750000000008E-3</v>
      </c>
      <c r="G20">
        <f t="shared" si="4"/>
        <v>9523800.0000000019</v>
      </c>
      <c r="H20">
        <f t="shared" si="5"/>
        <v>183150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4.483011363636364E-2</v>
      </c>
      <c r="C21" s="84">
        <f t="shared" si="2"/>
        <v>0</v>
      </c>
      <c r="D21" s="74">
        <f t="shared" si="3"/>
        <v>4.483011363636364E-2</v>
      </c>
      <c r="E21">
        <f>COUNTIF(tables_569100!C:C,input_569100!A21)-COUNTIF(Q:Q,A21)</f>
        <v>52</v>
      </c>
      <c r="F21" s="43">
        <f t="shared" si="8"/>
        <v>8.6211756993006996E-4</v>
      </c>
      <c r="G21">
        <f t="shared" si="4"/>
        <v>946812.00000000012</v>
      </c>
      <c r="H21">
        <f t="shared" si="5"/>
        <v>18207.92308</v>
      </c>
      <c r="I21">
        <f t="shared" si="6"/>
        <v>0.92308000000048196</v>
      </c>
      <c r="J21">
        <f t="shared" si="7"/>
        <v>1.0833297222336935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0.16765625000000001</v>
      </c>
      <c r="C22" s="84">
        <f t="shared" si="2"/>
        <v>0</v>
      </c>
      <c r="D22" s="74">
        <f t="shared" si="3"/>
        <v>0.16765625000000001</v>
      </c>
      <c r="E22">
        <f>COUNTIF(tables_569100!C:C,input_569100!A22)-COUNTIF(Q:Q,A22)</f>
        <v>20</v>
      </c>
      <c r="F22" s="43">
        <f t="shared" si="8"/>
        <v>8.3828124999999996E-3</v>
      </c>
      <c r="G22">
        <f t="shared" si="4"/>
        <v>3540900</v>
      </c>
      <c r="H22">
        <f t="shared" si="5"/>
        <v>177045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2.5052083333333336E-2</v>
      </c>
      <c r="C23" s="84">
        <f t="shared" si="2"/>
        <v>0</v>
      </c>
      <c r="D23" s="74">
        <f t="shared" si="3"/>
        <v>2.5052083333333336E-2</v>
      </c>
      <c r="E23">
        <f>COUNTIF(tables_569100!C:C,input_569100!A23)-COUNTIF(Q:Q,A23)</f>
        <v>26</v>
      </c>
      <c r="F23" s="43">
        <f t="shared" si="8"/>
        <v>9.635416666666668E-4</v>
      </c>
      <c r="G23">
        <f t="shared" si="4"/>
        <v>529100</v>
      </c>
      <c r="H23">
        <f t="shared" si="5"/>
        <v>20350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COUNTIF(tables_569100!C:C,input_569100!A24)-COUNTIF(Q:Q,A24)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3.4687500000000003E-2</v>
      </c>
      <c r="C25" s="84">
        <f t="shared" si="2"/>
        <v>0</v>
      </c>
      <c r="D25" s="74">
        <f t="shared" si="3"/>
        <v>3.4687500000000003E-2</v>
      </c>
      <c r="E25">
        <f>COUNTIF(tables_569100!C:C,input_569100!A25)-COUNTIF(Q:Q,A25)</f>
        <v>4</v>
      </c>
      <c r="F25" s="43">
        <f t="shared" si="8"/>
        <v>8.6718750000000008E-3</v>
      </c>
      <c r="G25">
        <f t="shared" si="4"/>
        <v>732600.00000000012</v>
      </c>
      <c r="H25">
        <f t="shared" si="5"/>
        <v>183150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3.8541666666666672E-3</v>
      </c>
      <c r="C26" s="84">
        <f t="shared" si="2"/>
        <v>0</v>
      </c>
      <c r="D26" s="74">
        <f t="shared" si="3"/>
        <v>3.8541666666666672E-3</v>
      </c>
      <c r="E26">
        <f>COUNTIF(tables_569100!C:C,input_569100!A26)-COUNTIF(Q:Q,A26)</f>
        <v>4</v>
      </c>
      <c r="F26" s="43">
        <f t="shared" si="8"/>
        <v>9.635416666666668E-4</v>
      </c>
      <c r="G26">
        <f t="shared" si="4"/>
        <v>81400.000000000015</v>
      </c>
      <c r="H26">
        <f t="shared" si="5"/>
        <v>20350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B11-B28-B29-C28-C27</f>
        <v>2.6236363636363641E-2</v>
      </c>
      <c r="C27" s="84">
        <f t="shared" si="2"/>
        <v>2.2499999999999999E-2</v>
      </c>
      <c r="D27" s="74">
        <f t="shared" si="3"/>
        <v>3.7363636363636418E-3</v>
      </c>
      <c r="E27">
        <f>COUNTIF(tables_569100!C:C,input_569100!A27)-COUNTIF(Q:Q,A27)</f>
        <v>25</v>
      </c>
      <c r="F27" s="43">
        <f>IFERROR(B27/E27,0)</f>
        <v>1.0494545454545457E-3</v>
      </c>
      <c r="G27">
        <f t="shared" si="4"/>
        <v>554112.00000000012</v>
      </c>
      <c r="H27">
        <f t="shared" si="5"/>
        <v>22164.48</v>
      </c>
      <c r="I27">
        <f t="shared" si="6"/>
        <v>0.47999999999956344</v>
      </c>
      <c r="J27">
        <f t="shared" si="7"/>
        <v>2.083333333335228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1.3636363636363637E-3</v>
      </c>
      <c r="C28" s="84">
        <f t="shared" si="2"/>
        <v>2.2499999999999999E-2</v>
      </c>
      <c r="D28" s="74">
        <f t="shared" si="3"/>
        <v>-2.1136363636363634E-2</v>
      </c>
      <c r="E28">
        <f>COUNTIF(tables_569100!C:C,input_569100!A28)-COUNTIF(Q:Q,A28)</f>
        <v>25</v>
      </c>
      <c r="F28" s="43">
        <f t="shared" si="8"/>
        <v>5.4545454545454553E-5</v>
      </c>
      <c r="G28">
        <f t="shared" si="4"/>
        <v>28800.000000000004</v>
      </c>
      <c r="H28">
        <f t="shared" si="5"/>
        <v>1152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E$5*E29*B$7*1.2</f>
        <v>2.3999999999999998E-3</v>
      </c>
      <c r="C29" s="84">
        <f t="shared" si="2"/>
        <v>0</v>
      </c>
      <c r="D29" s="74">
        <f t="shared" si="3"/>
        <v>2.3999999999999998E-3</v>
      </c>
      <c r="E29">
        <f>COUNTIF(tables_569100!C:C,input_569100!A29)-COUNTIF(Q:Q,A29)</f>
        <v>44</v>
      </c>
      <c r="F29" s="43">
        <f t="shared" si="8"/>
        <v>5.4545454545454539E-5</v>
      </c>
      <c r="G29">
        <f t="shared" si="4"/>
        <v>50687.999999999993</v>
      </c>
      <c r="H29">
        <f t="shared" si="5"/>
        <v>1152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COUNTIF(tables_569100!C:C,input_569100!A30)-COUNTIF(Q:Q,A30)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ref="D31" si="9">B31-C31</f>
        <v>0</v>
      </c>
      <c r="E31">
        <f>COUNTIF(tables_569100!C:C,input_569100!A31)-COUNTIF(Q:Q,A31)</f>
        <v>0</v>
      </c>
      <c r="F31" s="43">
        <f t="shared" ref="F31" si="10">IFERROR(B31/E31,0)</f>
        <v>0</v>
      </c>
      <c r="G31">
        <f t="shared" si="4"/>
        <v>0</v>
      </c>
      <c r="H31">
        <f t="shared" ref="H31" si="11">IFERROR(ROUND(G31/E31,5),0)</f>
        <v>0</v>
      </c>
      <c r="I31">
        <f t="shared" ref="I31" si="12">MOD(H31,1)</f>
        <v>0</v>
      </c>
      <c r="J31">
        <f t="shared" ref="J31" si="13">IFERROR(1/I31,1)</f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0.95500000000000007</v>
      </c>
      <c r="C32" s="41">
        <f>SUM(C19:C31)</f>
        <v>4.4999999999999998E-2</v>
      </c>
      <c r="D32" s="42">
        <f t="shared" si="3"/>
        <v>0.91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21120000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SUMIF(tables_569100!C:C,input_569100!A40,tables_569100!O:O)</f>
        <v>0</v>
      </c>
      <c r="C40" s="54">
        <f t="shared" ref="C40:C46" ca="1" si="14">B40/B$47</f>
        <v>0</v>
      </c>
      <c r="E40">
        <v>3</v>
      </c>
      <c r="F40">
        <f ca="1">SUMIF(tables_569100!J:J,input_569100!E40,tables_569100!O:O)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SUMIF(tables_569100!C:C,input_569100!A41,tables_569100!O:O)</f>
        <v>9523800</v>
      </c>
      <c r="C41" s="54">
        <f t="shared" ca="1" si="14"/>
        <v>0.79339056127588425</v>
      </c>
      <c r="E41">
        <v>4</v>
      </c>
      <c r="F41">
        <f ca="1">SUMIF(tables_569100!J:J,input_569100!E41,tables_569100!O:O)</f>
        <v>19008000.000000007</v>
      </c>
      <c r="G41">
        <f ca="1">F41/A36</f>
        <v>0.90000000000000036</v>
      </c>
    </row>
    <row r="42" spans="1:7" x14ac:dyDescent="0.15">
      <c r="A42" s="33" t="s">
        <v>106</v>
      </c>
      <c r="B42">
        <f ca="1">SUMIF(tables_569100!C:C,input_569100!A42,tables_569100!O:O)</f>
        <v>1029311.9999999997</v>
      </c>
      <c r="C42" s="54">
        <f t="shared" ca="1" si="14"/>
        <v>8.5747960415800697E-2</v>
      </c>
      <c r="E42">
        <v>5</v>
      </c>
      <c r="F42">
        <f ca="1">SUMIF(tables_569100!J:J,input_569100!E42,tables_569100!O:O)</f>
        <v>2112000.0001600012</v>
      </c>
      <c r="G42">
        <f ca="1">F42/A36</f>
        <v>0.10000000000757582</v>
      </c>
    </row>
    <row r="43" spans="1:7" x14ac:dyDescent="0.15">
      <c r="A43" s="33" t="s">
        <v>109</v>
      </c>
      <c r="B43">
        <f>SUMIF(tables_569100!C:C,input_569100!A43,tables_569100!O:O)</f>
        <v>0</v>
      </c>
      <c r="C43" s="54">
        <f t="shared" ca="1" si="14"/>
        <v>0</v>
      </c>
      <c r="F43" s="55"/>
    </row>
    <row r="44" spans="1:7" x14ac:dyDescent="0.15">
      <c r="A44" s="33" t="s">
        <v>105</v>
      </c>
      <c r="B44">
        <f ca="1">SUMIF(tables_569100!C:C,input_569100!A44,tables_569100!O:O)</f>
        <v>946812.00015999936</v>
      </c>
      <c r="C44" s="54">
        <f t="shared" ca="1" si="14"/>
        <v>7.8875207819324694E-2</v>
      </c>
      <c r="E44" t="s">
        <v>54</v>
      </c>
      <c r="F44" s="55"/>
    </row>
    <row r="45" spans="1:7" x14ac:dyDescent="0.15">
      <c r="A45" s="33" t="s">
        <v>107</v>
      </c>
      <c r="B45">
        <f ca="1">SUMIF(tables_569100!C:C,input_569100!A45,tables_569100!O:O)</f>
        <v>504000</v>
      </c>
      <c r="C45" s="54">
        <f t="shared" ca="1" si="14"/>
        <v>4.1986270488990285E-2</v>
      </c>
      <c r="E45" t="s">
        <v>204</v>
      </c>
      <c r="F45" s="55">
        <f ca="1">SUMIF(tables_569100!I:I,input_569100!E45,tables_569100!P:P)</f>
        <v>0.20376363636209288</v>
      </c>
    </row>
    <row r="46" spans="1:7" x14ac:dyDescent="0.15">
      <c r="A46" s="33" t="s">
        <v>108</v>
      </c>
      <c r="B46">
        <f>SUMIF(tables_569100!C:C,input_569100!A46,tables_569100!O:O)</f>
        <v>0</v>
      </c>
      <c r="C46" s="54">
        <f t="shared" ca="1" si="14"/>
        <v>0</v>
      </c>
      <c r="E46" t="s">
        <v>205</v>
      </c>
      <c r="F46" s="55">
        <f ca="1">SUMIF(tables_569100!I:I,input_569100!E46,tables_569100!P:P)</f>
        <v>0.19098412368984113</v>
      </c>
    </row>
    <row r="47" spans="1:7" x14ac:dyDescent="0.15">
      <c r="A47" s="39" t="s">
        <v>59</v>
      </c>
      <c r="B47">
        <f ca="1">SUM(B40:B46)</f>
        <v>12003924.000159999</v>
      </c>
      <c r="C47" s="55">
        <f ca="1">SUM(C40:C46)</f>
        <v>0.99999999999999989</v>
      </c>
      <c r="E47" t="s">
        <v>206</v>
      </c>
      <c r="F47" s="55">
        <f ca="1">SUMIF(tables_569100!I:I,input_569100!E47,tables_569100!P:P)</f>
        <v>0.53025223994863457</v>
      </c>
    </row>
    <row r="48" spans="1:7" x14ac:dyDescent="0.15">
      <c r="E48" t="s">
        <v>207</v>
      </c>
      <c r="F48" s="55">
        <f ca="1">SUMIF(tables_569100!I:I,input_569100!E48,tables_569100!P:P)</f>
        <v>7.4509090908526601E-2</v>
      </c>
      <c r="G48" s="55"/>
    </row>
    <row r="49" spans="5:6" x14ac:dyDescent="0.15">
      <c r="E49" t="s">
        <v>249</v>
      </c>
      <c r="F49" s="55">
        <f ca="1">SUMIF(tables_569100!I:I,input_569100!E49,tables_569100!P:P)</f>
        <v>4.9090909090537219E-4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8"/>
  <sheetViews>
    <sheetView showGridLines="0" zoomScale="75" zoomScaleNormal="75" zoomScalePageLayoutView="75" workbookViewId="0">
      <pane ySplit="1" topLeftCell="A98" activePane="bottomLeft" state="frozen"/>
      <selection activeCell="B33" sqref="B33"/>
      <selection pane="bottomLeft" activeCell="A356" sqref="A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input_569100!A$2</f>
        <v>569100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IFERROR(VLOOKUP(B2,input_569100!L:R,7,FALSE),VLOOKUP(tables_569100!C2,input_569100!A:H,8,FALSE))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input_569100!A$2</f>
        <v>569100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IFERROR(VLOOKUP(B3,input_569100!L:R,7,FALSE),VLOOKUP(tables_569100!C3,input_569100!A:H,8,FALSE))</f>
        <v>209069.4</v>
      </c>
      <c r="P3" s="46">
        <f t="shared" ca="1" si="1"/>
        <v>9.8991193181068304E-3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input_569100!A$2</f>
        <v>569100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IFERROR(VLOOKUP(B4,input_569100!L:R,7,FALSE),VLOOKUP(tables_569100!C4,input_569100!A:H,8,FALSE))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input_569100!A$2</f>
        <v>569100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IFERROR(VLOOKUP(B5,input_569100!L:R,7,FALSE),VLOOKUP(tables_569100!C5,input_569100!A:H,8,FALSE))</f>
        <v>209069.4</v>
      </c>
      <c r="P5" s="46">
        <f t="shared" ca="1" si="1"/>
        <v>9.8991193181068304E-3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input_569100!A$2</f>
        <v>569100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IFERROR(VLOOKUP(B6,input_569100!L:R,7,FALSE),VLOOKUP(tables_569100!C6,input_569100!A:H,8,FALSE))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input_569100!A$2</f>
        <v>569100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IFERROR(VLOOKUP(B7,input_569100!L:R,7,FALSE),VLOOKUP(tables_569100!C7,input_569100!A:H,8,FALSE))</f>
        <v>209069.4</v>
      </c>
      <c r="P7" s="46">
        <f t="shared" ca="1" si="1"/>
        <v>9.8991193181068304E-3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input_569100!A$2</f>
        <v>569100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IFERROR(VLOOKUP(B8,input_569100!L:R,7,FALSE),VLOOKUP(tables_569100!C8,input_569100!A:H,8,FALSE))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input_569100!A$2</f>
        <v>569100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IFERROR(VLOOKUP(B9,input_569100!L:R,7,FALSE),VLOOKUP(tables_569100!C9,input_569100!A:H,8,FALSE))</f>
        <v>209069.4</v>
      </c>
      <c r="P9" s="46">
        <f t="shared" ca="1" si="1"/>
        <v>9.8991193181068304E-3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input_569100!A$2</f>
        <v>569100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IFERROR(VLOOKUP(B10,input_569100!L:R,7,FALSE),VLOOKUP(tables_569100!C10,input_569100!A:H,8,FALSE))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input_569100!A$2</f>
        <v>569100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IFERROR(VLOOKUP(B11,input_569100!L:R,7,FALSE),VLOOKUP(tables_569100!C11,input_569100!A:H,8,FALSE))</f>
        <v>209069.4</v>
      </c>
      <c r="P11" s="46">
        <f t="shared" ca="1" si="1"/>
        <v>9.8991193181068304E-3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input_569100!A$2</f>
        <v>569100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IFERROR(VLOOKUP(B12,input_569100!L:R,7,FALSE),VLOOKUP(tables_569100!C12,input_569100!A:H,8,FALSE))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input_569100!A$2</f>
        <v>569100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IFERROR(VLOOKUP(B13,input_569100!L:R,7,FALSE),VLOOKUP(tables_569100!C13,input_569100!A:H,8,FALSE))</f>
        <v>209069.4</v>
      </c>
      <c r="P13" s="46">
        <f t="shared" ca="1" si="1"/>
        <v>9.8991193181068304E-3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input_569100!A$2</f>
        <v>569100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IFERROR(VLOOKUP(B14,input_569100!L:R,7,FALSE),VLOOKUP(tables_569100!C14,input_569100!A:H,8,FALSE))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input_569100!A$2</f>
        <v>569100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IFERROR(VLOOKUP(B15,input_569100!L:R,7,FALSE),VLOOKUP(tables_569100!C15,input_569100!A:H,8,FALSE))</f>
        <v>209069.4</v>
      </c>
      <c r="P15" s="46">
        <f t="shared" ca="1" si="1"/>
        <v>9.8991193181068304E-3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input_569100!A$2</f>
        <v>569100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IFERROR(VLOOKUP(B16,input_569100!L:R,7,FALSE),VLOOKUP(tables_569100!C16,input_569100!A:H,8,FALSE))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input_569100!A$2</f>
        <v>569100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IFERROR(VLOOKUP(B17,input_569100!L:R,7,FALSE),VLOOKUP(tables_569100!C17,input_569100!A:H,8,FALSE))</f>
        <v>209069.4</v>
      </c>
      <c r="P17" s="46">
        <f t="shared" ca="1" si="1"/>
        <v>9.8991193181068304E-3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input_569100!A$2</f>
        <v>569100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IFERROR(VLOOKUP(B18,input_569100!L:R,7,FALSE),VLOOKUP(tables_569100!C18,input_569100!A:H,8,FALSE))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input_569100!A$2</f>
        <v>569100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IFERROR(VLOOKUP(B19,input_569100!L:R,7,FALSE),VLOOKUP(tables_569100!C19,input_569100!A:H,8,FALSE))</f>
        <v>209069.4</v>
      </c>
      <c r="P19" s="46">
        <f t="shared" ca="1" si="1"/>
        <v>9.8991193181068304E-3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input_569100!A$2</f>
        <v>569100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IFERROR(VLOOKUP(B20,input_569100!L:R,7,FALSE),VLOOKUP(tables_569100!C20,input_569100!A:H,8,FALSE))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input_569100!A$2</f>
        <v>569100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IFERROR(VLOOKUP(B21,input_569100!L:R,7,FALSE),VLOOKUP(tables_569100!C21,input_569100!A:H,8,FALSE))</f>
        <v>209069.4</v>
      </c>
      <c r="P21" s="46">
        <f t="shared" ca="1" si="1"/>
        <v>9.8991193181068304E-3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input_569100!A$2</f>
        <v>569100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IFERROR(VLOOKUP(B22,input_569100!L:R,7,FALSE),VLOOKUP(tables_569100!C22,input_569100!A:H,8,FALSE))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input_569100!A$2</f>
        <v>569100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IFERROR(VLOOKUP(B23,input_569100!L:R,7,FALSE),VLOOKUP(tables_569100!C23,input_569100!A:H,8,FALSE))</f>
        <v>209069.4</v>
      </c>
      <c r="P23" s="46">
        <f t="shared" ca="1" si="1"/>
        <v>9.8991193181068304E-3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input_569100!A$2</f>
        <v>569100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IFERROR(VLOOKUP(B24,input_569100!L:R,7,FALSE),VLOOKUP(tables_569100!C24,input_569100!A:H,8,FALSE))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input_569100!A$2</f>
        <v>569100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IFERROR(VLOOKUP(B25,input_569100!L:R,7,FALSE),VLOOKUP(tables_569100!C25,input_569100!A:H,8,FALSE))</f>
        <v>209069.4</v>
      </c>
      <c r="P25" s="46">
        <f t="shared" ca="1" si="1"/>
        <v>9.8991193181068304E-3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input_569100!A$2</f>
        <v>569100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IFERROR(VLOOKUP(B26,input_569100!L:R,7,FALSE),VLOOKUP(tables_569100!C26,input_569100!A:H,8,FALSE))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input_569100!A$2</f>
        <v>569100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IFERROR(VLOOKUP(B27,input_569100!L:R,7,FALSE),VLOOKUP(tables_569100!C27,input_569100!A:H,8,FALSE))</f>
        <v>209069.4</v>
      </c>
      <c r="P27" s="46">
        <f t="shared" ca="1" si="1"/>
        <v>9.8991193181068304E-3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input_569100!A$2</f>
        <v>569100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IFERROR(VLOOKUP(B28,input_569100!L:R,7,FALSE),VLOOKUP(tables_569100!C28,input_569100!A:H,8,FALSE))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input_569100!A$2</f>
        <v>569100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IFERROR(VLOOKUP(B29,input_569100!L:R,7,FALSE),VLOOKUP(tables_569100!C29,input_569100!A:H,8,FALSE))</f>
        <v>209069.4</v>
      </c>
      <c r="P29" s="46">
        <f t="shared" ca="1" si="1"/>
        <v>9.8991193181068304E-3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input_569100!A$2</f>
        <v>569100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IFERROR(VLOOKUP(B30,input_569100!L:R,7,FALSE),VLOOKUP(tables_569100!C30,input_569100!A:H,8,FALSE))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input_569100!A$2</f>
        <v>569100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IFERROR(VLOOKUP(B31,input_569100!L:R,7,FALSE),VLOOKUP(tables_569100!C31,input_569100!A:H,8,FALSE))</f>
        <v>209069.4</v>
      </c>
      <c r="P31" s="46">
        <f t="shared" ca="1" si="1"/>
        <v>9.8991193181068304E-3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input_569100!A$2</f>
        <v>569100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IFERROR(VLOOKUP(B32,input_569100!L:R,7,FALSE),VLOOKUP(tables_569100!C32,input_569100!A:H,8,FALSE))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input_569100!A$2</f>
        <v>569100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IFERROR(VLOOKUP(B33,input_569100!L:R,7,FALSE),VLOOKUP(tables_569100!C33,input_569100!A:H,8,FALSE))</f>
        <v>209069.4</v>
      </c>
      <c r="P33" s="46">
        <f t="shared" ca="1" si="1"/>
        <v>9.8991193181068304E-3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input_569100!A$2</f>
        <v>569100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IFERROR(VLOOKUP(B34,input_569100!L:R,7,FALSE),VLOOKUP(tables_569100!C34,input_569100!A:H,8,FALSE))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input_569100!A$2</f>
        <v>569100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IFERROR(VLOOKUP(B35,input_569100!L:R,7,FALSE),VLOOKUP(tables_569100!C35,input_569100!A:H,8,FALSE))</f>
        <v>209069.4</v>
      </c>
      <c r="P35" s="46">
        <f t="shared" ca="1" si="1"/>
        <v>9.8991193181068304E-3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input_569100!A$2</f>
        <v>569100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IFERROR(VLOOKUP(B36,input_569100!L:R,7,FALSE),VLOOKUP(tables_569100!C36,input_569100!A:H,8,FALSE))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input_569100!A$2</f>
        <v>569100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IFERROR(VLOOKUP(B37,input_569100!L:R,7,FALSE),VLOOKUP(tables_569100!C37,input_569100!A:H,8,FALSE))</f>
        <v>209069.4</v>
      </c>
      <c r="P37" s="46">
        <f t="shared" ca="1" si="1"/>
        <v>9.8991193181068304E-3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input_569100!A$2</f>
        <v>569100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IFERROR(VLOOKUP(B38,input_569100!L:R,7,FALSE),VLOOKUP(tables_569100!C38,input_569100!A:H,8,FALSE))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input_569100!A$2</f>
        <v>569100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IFERROR(VLOOKUP(B39,input_569100!L:R,7,FALSE),VLOOKUP(tables_569100!C39,input_569100!A:H,8,FALSE))</f>
        <v>209069.4</v>
      </c>
      <c r="P39" s="46">
        <f t="shared" ca="1" si="1"/>
        <v>9.8991193181068304E-3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input_569100!A$2</f>
        <v>569100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IFERROR(VLOOKUP(B40,input_569100!L:R,7,FALSE),VLOOKUP(tables_569100!C40,input_569100!A:H,8,FALSE))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input_569100!A$2</f>
        <v>569100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IFERROR(VLOOKUP(B41,input_569100!L:R,7,FALSE),VLOOKUP(tables_569100!C41,input_569100!A:H,8,FALSE))</f>
        <v>209069.4</v>
      </c>
      <c r="P41" s="46">
        <f t="shared" ca="1" si="1"/>
        <v>9.8991193181068304E-3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input_569100!A$2</f>
        <v>569100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IFERROR(VLOOKUP(B42,input_569100!L:R,7,FALSE),VLOOKUP(tables_569100!C42,input_569100!A:H,8,FALSE))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input_569100!A$2</f>
        <v>569100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IFERROR(VLOOKUP(B43,input_569100!L:R,7,FALSE),VLOOKUP(tables_569100!C43,input_569100!A:H,8,FALSE))</f>
        <v>183150</v>
      </c>
      <c r="P43" s="46">
        <f t="shared" ca="1" si="1"/>
        <v>8.6718749999343103E-3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input_569100!A$2</f>
        <v>569100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IFERROR(VLOOKUP(B44,input_569100!L:R,7,FALSE),VLOOKUP(tables_569100!C44,input_569100!A:H,8,FALSE))</f>
        <v>20350</v>
      </c>
      <c r="P44" s="46">
        <f t="shared" ca="1" si="1"/>
        <v>9.6354166665936773E-4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input_569100!A$2</f>
        <v>569100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IFERROR(VLOOKUP(B45,input_569100!L:R,7,FALSE),VLOOKUP(tables_569100!C45,input_569100!A:H,8,FALSE))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input_569100!A$2</f>
        <v>569100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IFERROR(VLOOKUP(B46,input_569100!L:R,7,FALSE),VLOOKUP(tables_569100!C46,input_569100!A:H,8,FALSE))</f>
        <v>183150</v>
      </c>
      <c r="P46" s="46">
        <f t="shared" ca="1" si="1"/>
        <v>8.6718749999343103E-3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input_569100!A$2</f>
        <v>569100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IFERROR(VLOOKUP(B47,input_569100!L:R,7,FALSE),VLOOKUP(tables_569100!C47,input_569100!A:H,8,FALSE))</f>
        <v>20350</v>
      </c>
      <c r="P47" s="46">
        <f t="shared" ca="1" si="1"/>
        <v>9.6354166665936773E-4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input_569100!A$2</f>
        <v>569100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IFERROR(VLOOKUP(B48,input_569100!L:R,7,FALSE),VLOOKUP(tables_569100!C48,input_569100!A:H,8,FALSE))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input_569100!A$2</f>
        <v>569100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IFERROR(VLOOKUP(B49,input_569100!L:R,7,FALSE),VLOOKUP(tables_569100!C49,input_569100!A:H,8,FALSE))</f>
        <v>183150</v>
      </c>
      <c r="P49" s="46">
        <f t="shared" ca="1" si="1"/>
        <v>8.6718749999343103E-3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input_569100!A$2</f>
        <v>569100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IFERROR(VLOOKUP(B50,input_569100!L:R,7,FALSE),VLOOKUP(tables_569100!C50,input_569100!A:H,8,FALSE))</f>
        <v>20350</v>
      </c>
      <c r="P50" s="46">
        <f t="shared" ca="1" si="1"/>
        <v>9.6354166665936773E-4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input_569100!A$2</f>
        <v>569100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IFERROR(VLOOKUP(B51,input_569100!L:R,7,FALSE),VLOOKUP(tables_569100!C51,input_569100!A:H,8,FALSE))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input_569100!A$2</f>
        <v>569100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IFERROR(VLOOKUP(B52,input_569100!L:R,7,FALSE),VLOOKUP(tables_569100!C52,input_569100!A:H,8,FALSE))</f>
        <v>183150</v>
      </c>
      <c r="P52" s="46">
        <f t="shared" ca="1" si="1"/>
        <v>8.6718749999343103E-3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input_569100!A$2</f>
        <v>569100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IFERROR(VLOOKUP(B53,input_569100!L:R,7,FALSE),VLOOKUP(tables_569100!C53,input_569100!A:H,8,FALSE))</f>
        <v>18207.92308</v>
      </c>
      <c r="P53" s="46">
        <f t="shared" ca="1" si="1"/>
        <v>8.6211757006922698E-4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input_569100!A$2</f>
        <v>569100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IFERROR(VLOOKUP(B54,input_569100!L:R,7,FALSE),VLOOKUP(tables_569100!C54,input_569100!A:H,8,FALSE))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input_569100!A$2</f>
        <v>569100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IFERROR(VLOOKUP(B55,input_569100!L:R,7,FALSE),VLOOKUP(tables_569100!C55,input_569100!A:H,8,FALSE))</f>
        <v>183150</v>
      </c>
      <c r="P55" s="46">
        <f t="shared" ca="1" si="1"/>
        <v>8.6718749999343103E-3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input_569100!A$2</f>
        <v>569100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IFERROR(VLOOKUP(B56,input_569100!L:R,7,FALSE),VLOOKUP(tables_569100!C56,input_569100!A:H,8,FALSE))</f>
        <v>18207.92308</v>
      </c>
      <c r="P56" s="46">
        <f t="shared" ca="1" si="1"/>
        <v>8.6211757006922698E-4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input_569100!A$2</f>
        <v>569100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IFERROR(VLOOKUP(B57,input_569100!L:R,7,FALSE),VLOOKUP(tables_569100!C57,input_569100!A:H,8,FALSE))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input_569100!A$2</f>
        <v>569100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IFERROR(VLOOKUP(B58,input_569100!L:R,7,FALSE),VLOOKUP(tables_569100!C58,input_569100!A:H,8,FALSE))</f>
        <v>183150</v>
      </c>
      <c r="P58" s="46">
        <f t="shared" ca="1" si="1"/>
        <v>8.6718749999343103E-3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input_569100!A$2</f>
        <v>569100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IFERROR(VLOOKUP(B59,input_569100!L:R,7,FALSE),VLOOKUP(tables_569100!C59,input_569100!A:H,8,FALSE))</f>
        <v>18207.92308</v>
      </c>
      <c r="P59" s="46">
        <f t="shared" ca="1" si="1"/>
        <v>8.6211757006922698E-4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input_569100!A$2</f>
        <v>569100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IFERROR(VLOOKUP(B60,input_569100!L:R,7,FALSE),VLOOKUP(tables_569100!C60,input_569100!A:H,8,FALSE))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input_569100!A$2</f>
        <v>569100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IFERROR(VLOOKUP(B61,input_569100!L:R,7,FALSE),VLOOKUP(tables_569100!C61,input_569100!A:H,8,FALSE))</f>
        <v>183150</v>
      </c>
      <c r="P61" s="46">
        <f t="shared" ca="1" si="1"/>
        <v>8.6718749999343103E-3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input_569100!A$2</f>
        <v>569100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IFERROR(VLOOKUP(B62,input_569100!L:R,7,FALSE),VLOOKUP(tables_569100!C62,input_569100!A:H,8,FALSE))</f>
        <v>18207.92308</v>
      </c>
      <c r="P62" s="46">
        <f t="shared" ca="1" si="1"/>
        <v>8.6211757006922698E-4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input_569100!A$2</f>
        <v>569100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IFERROR(VLOOKUP(B63,input_569100!L:R,7,FALSE),VLOOKUP(tables_569100!C63,input_569100!A:H,8,FALSE))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input_569100!A$2</f>
        <v>569100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IFERROR(VLOOKUP(B64,input_569100!L:R,7,FALSE),VLOOKUP(tables_569100!C64,input_569100!A:H,8,FALSE))</f>
        <v>183150</v>
      </c>
      <c r="P64" s="46">
        <f t="shared" ca="1" si="1"/>
        <v>8.6718749999343103E-3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input_569100!A$2</f>
        <v>569100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IFERROR(VLOOKUP(B65,input_569100!L:R,7,FALSE),VLOOKUP(tables_569100!C65,input_569100!A:H,8,FALSE))</f>
        <v>18207.92308</v>
      </c>
      <c r="P65" s="46">
        <f t="shared" ca="1" si="1"/>
        <v>8.6211757006922698E-4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input_569100!A$2</f>
        <v>569100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IFERROR(VLOOKUP(B66,input_569100!L:R,7,FALSE),VLOOKUP(tables_569100!C66,input_569100!A:H,8,FALSE))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input_569100!A$2</f>
        <v>569100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IFERROR(VLOOKUP(B67,input_569100!L:R,7,FALSE),VLOOKUP(tables_569100!C67,input_569100!A:H,8,FALSE))</f>
        <v>183150</v>
      </c>
      <c r="P67" s="46">
        <f t="shared" ca="1" si="4"/>
        <v>8.6718749999343103E-3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input_569100!A$2</f>
        <v>569100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IFERROR(VLOOKUP(B68,input_569100!L:R,7,FALSE),VLOOKUP(tables_569100!C68,input_569100!A:H,8,FALSE))</f>
        <v>18207.92308</v>
      </c>
      <c r="P68" s="46">
        <f t="shared" ca="1" si="4"/>
        <v>8.6211757006922698E-4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input_569100!A$2</f>
        <v>569100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IFERROR(VLOOKUP(B69,input_569100!L:R,7,FALSE),VLOOKUP(tables_569100!C69,input_569100!A:H,8,FALSE))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input_569100!A$2</f>
        <v>569100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IFERROR(VLOOKUP(B70,input_569100!L:R,7,FALSE),VLOOKUP(tables_569100!C70,input_569100!A:H,8,FALSE))</f>
        <v>183150</v>
      </c>
      <c r="P70" s="46">
        <f t="shared" ca="1" si="4"/>
        <v>8.6718749999343103E-3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input_569100!A$2</f>
        <v>569100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IFERROR(VLOOKUP(B71,input_569100!L:R,7,FALSE),VLOOKUP(tables_569100!C71,input_569100!A:H,8,FALSE))</f>
        <v>18207.92308</v>
      </c>
      <c r="P71" s="46">
        <f t="shared" ca="1" si="4"/>
        <v>8.6211757006922698E-4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input_569100!A$2</f>
        <v>569100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IFERROR(VLOOKUP(B72,input_569100!L:R,7,FALSE),VLOOKUP(tables_569100!C72,input_569100!A:H,8,FALSE))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input_569100!A$2</f>
        <v>569100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IFERROR(VLOOKUP(B73,input_569100!L:R,7,FALSE),VLOOKUP(tables_569100!C73,input_569100!A:H,8,FALSE))</f>
        <v>183150</v>
      </c>
      <c r="P73" s="46">
        <f t="shared" ca="1" si="4"/>
        <v>8.6718749999343103E-3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input_569100!A$2</f>
        <v>569100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IFERROR(VLOOKUP(B74,input_569100!L:R,7,FALSE),VLOOKUP(tables_569100!C74,input_569100!A:H,8,FALSE))</f>
        <v>18207.92308</v>
      </c>
      <c r="P74" s="46">
        <f t="shared" ca="1" si="4"/>
        <v>8.6211757006922698E-4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input_569100!A$2</f>
        <v>569100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IFERROR(VLOOKUP(B75,input_569100!L:R,7,FALSE),VLOOKUP(tables_569100!C75,input_569100!A:H,8,FALSE))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input_569100!A$2</f>
        <v>569100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IFERROR(VLOOKUP(B76,input_569100!L:R,7,FALSE),VLOOKUP(tables_569100!C76,input_569100!A:H,8,FALSE))</f>
        <v>183150</v>
      </c>
      <c r="P76" s="46">
        <f t="shared" ca="1" si="4"/>
        <v>8.6718749999343103E-3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input_569100!A$2</f>
        <v>569100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IFERROR(VLOOKUP(B77,input_569100!L:R,7,FALSE),VLOOKUP(tables_569100!C77,input_569100!A:H,8,FALSE))</f>
        <v>18207.92308</v>
      </c>
      <c r="P77" s="46">
        <f t="shared" ca="1" si="4"/>
        <v>8.6211757006922698E-4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input_569100!A$2</f>
        <v>569100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IFERROR(VLOOKUP(B78,input_569100!L:R,7,FALSE),VLOOKUP(tables_569100!C78,input_569100!A:H,8,FALSE))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input_569100!A$2</f>
        <v>569100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IFERROR(VLOOKUP(B79,input_569100!L:R,7,FALSE),VLOOKUP(tables_569100!C79,input_569100!A:H,8,FALSE))</f>
        <v>183150</v>
      </c>
      <c r="P79" s="46">
        <f t="shared" ca="1" si="4"/>
        <v>8.6718749999343103E-3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input_569100!A$2</f>
        <v>569100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IFERROR(VLOOKUP(B80,input_569100!L:R,7,FALSE),VLOOKUP(tables_569100!C80,input_569100!A:H,8,FALSE))</f>
        <v>18207.92308</v>
      </c>
      <c r="P80" s="46">
        <f t="shared" ca="1" si="4"/>
        <v>8.6211757006922698E-4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input_569100!A$2</f>
        <v>569100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IFERROR(VLOOKUP(B81,input_569100!L:R,7,FALSE),VLOOKUP(tables_569100!C81,input_569100!A:H,8,FALSE))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input_569100!A$2</f>
        <v>569100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IFERROR(VLOOKUP(B82,input_569100!L:R,7,FALSE),VLOOKUP(tables_569100!C82,input_569100!A:H,8,FALSE))</f>
        <v>183150</v>
      </c>
      <c r="P82" s="46">
        <f t="shared" ca="1" si="4"/>
        <v>8.6718749999343103E-3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input_569100!A$2</f>
        <v>569100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IFERROR(VLOOKUP(B83,input_569100!L:R,7,FALSE),VLOOKUP(tables_569100!C83,input_569100!A:H,8,FALSE))</f>
        <v>18207.92308</v>
      </c>
      <c r="P83" s="46">
        <f t="shared" ca="1" si="4"/>
        <v>8.6211757006922698E-4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input_569100!A$2</f>
        <v>569100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IFERROR(VLOOKUP(B84,input_569100!L:R,7,FALSE),VLOOKUP(tables_569100!C84,input_569100!A:H,8,FALSE))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input_569100!A$2</f>
        <v>569100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IFERROR(VLOOKUP(B85,input_569100!L:R,7,FALSE),VLOOKUP(tables_569100!C85,input_569100!A:H,8,FALSE))</f>
        <v>183150</v>
      </c>
      <c r="P85" s="46">
        <f t="shared" ca="1" si="4"/>
        <v>8.6718749999343103E-3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input_569100!A$2</f>
        <v>569100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IFERROR(VLOOKUP(B86,input_569100!L:R,7,FALSE),VLOOKUP(tables_569100!C86,input_569100!A:H,8,FALSE))</f>
        <v>18207.92308</v>
      </c>
      <c r="P86" s="46">
        <f t="shared" ca="1" si="4"/>
        <v>8.6211757006922698E-4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input_569100!A$2</f>
        <v>569100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IFERROR(VLOOKUP(B87,input_569100!L:R,7,FALSE),VLOOKUP(tables_569100!C87,input_569100!A:H,8,FALSE))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input_569100!A$2</f>
        <v>569100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IFERROR(VLOOKUP(B88,input_569100!L:R,7,FALSE),VLOOKUP(tables_569100!C88,input_569100!A:H,8,FALSE))</f>
        <v>183150</v>
      </c>
      <c r="P88" s="46">
        <f t="shared" ca="1" si="4"/>
        <v>8.6718749999343103E-3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input_569100!A$2</f>
        <v>569100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IFERROR(VLOOKUP(B89,input_569100!L:R,7,FALSE),VLOOKUP(tables_569100!C89,input_569100!A:H,8,FALSE))</f>
        <v>18207.92308</v>
      </c>
      <c r="P89" s="46">
        <f t="shared" ca="1" si="4"/>
        <v>8.6211757006922698E-4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input_569100!A$2</f>
        <v>569100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IFERROR(VLOOKUP(B90,input_569100!L:R,7,FALSE),VLOOKUP(tables_569100!C90,input_569100!A:H,8,FALSE))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input_569100!A$2</f>
        <v>569100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IFERROR(VLOOKUP(B91,input_569100!L:R,7,FALSE),VLOOKUP(tables_569100!C91,input_569100!A:H,8,FALSE))</f>
        <v>183150</v>
      </c>
      <c r="P91" s="46">
        <f t="shared" ca="1" si="4"/>
        <v>8.6718749999343103E-3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input_569100!A$2</f>
        <v>569100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IFERROR(VLOOKUP(B92,input_569100!L:R,7,FALSE),VLOOKUP(tables_569100!C92,input_569100!A:H,8,FALSE))</f>
        <v>18207.92308</v>
      </c>
      <c r="P92" s="46">
        <f t="shared" ca="1" si="4"/>
        <v>8.6211757006922698E-4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input_569100!A$2</f>
        <v>569100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IFERROR(VLOOKUP(B93,input_569100!L:R,7,FALSE),VLOOKUP(tables_569100!C93,input_569100!A:H,8,FALSE))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input_569100!A$2</f>
        <v>569100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IFERROR(VLOOKUP(B94,input_569100!L:R,7,FALSE),VLOOKUP(tables_569100!C94,input_569100!A:H,8,FALSE))</f>
        <v>183150</v>
      </c>
      <c r="P94" s="46">
        <f t="shared" ca="1" si="4"/>
        <v>8.6718749999343103E-3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input_569100!A$2</f>
        <v>569100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IFERROR(VLOOKUP(B95,input_569100!L:R,7,FALSE),VLOOKUP(tables_569100!C95,input_569100!A:H,8,FALSE))</f>
        <v>18207.92308</v>
      </c>
      <c r="P95" s="46">
        <f t="shared" ca="1" si="4"/>
        <v>8.6211757006922698E-4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input_569100!A$2</f>
        <v>569100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IFERROR(VLOOKUP(B96,input_569100!L:R,7,FALSE),VLOOKUP(tables_569100!C96,input_569100!A:H,8,FALSE))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input_569100!A$2</f>
        <v>569100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IFERROR(VLOOKUP(B97,input_569100!L:R,7,FALSE),VLOOKUP(tables_569100!C97,input_569100!A:H,8,FALSE))</f>
        <v>183150</v>
      </c>
      <c r="P97" s="46">
        <f t="shared" ca="1" si="4"/>
        <v>8.6718749999343103E-3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input_569100!A$2</f>
        <v>569100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IFERROR(VLOOKUP(B98,input_569100!L:R,7,FALSE),VLOOKUP(tables_569100!C98,input_569100!A:H,8,FALSE))</f>
        <v>18207.92308</v>
      </c>
      <c r="P98" s="46">
        <f t="shared" ca="1" si="4"/>
        <v>8.6211757006922698E-4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input_569100!A$2</f>
        <v>569100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IFERROR(VLOOKUP(B99,input_569100!L:R,7,FALSE),VLOOKUP(tables_569100!C99,input_569100!A:H,8,FALSE))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input_569100!A$2</f>
        <v>569100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IFERROR(VLOOKUP(B100,input_569100!L:R,7,FALSE),VLOOKUP(tables_569100!C100,input_569100!A:H,8,FALSE))</f>
        <v>183150</v>
      </c>
      <c r="P100" s="46">
        <f t="shared" ca="1" si="4"/>
        <v>8.6718749999343103E-3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input_569100!A$2</f>
        <v>569100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IFERROR(VLOOKUP(B101,input_569100!L:R,7,FALSE),VLOOKUP(tables_569100!C101,input_569100!A:H,8,FALSE))</f>
        <v>18207.92308</v>
      </c>
      <c r="P101" s="46">
        <f t="shared" ca="1" si="4"/>
        <v>8.6211757006922698E-4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input_569100!A$2</f>
        <v>569100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IFERROR(VLOOKUP(B102,input_569100!L:R,7,FALSE),VLOOKUP(tables_569100!C102,input_569100!A:H,8,FALSE))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input_569100!A$2</f>
        <v>569100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IFERROR(VLOOKUP(B103,input_569100!L:R,7,FALSE),VLOOKUP(tables_569100!C103,input_569100!A:H,8,FALSE))</f>
        <v>183150</v>
      </c>
      <c r="P103" s="46">
        <f t="shared" ca="1" si="4"/>
        <v>8.6718749999343103E-3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input_569100!A$2</f>
        <v>569100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IFERROR(VLOOKUP(B104,input_569100!L:R,7,FALSE),VLOOKUP(tables_569100!C104,input_569100!A:H,8,FALSE))</f>
        <v>18207.92308</v>
      </c>
      <c r="P104" s="46">
        <f t="shared" ca="1" si="4"/>
        <v>8.6211757006922698E-4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input_569100!A$2</f>
        <v>569100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IFERROR(VLOOKUP(B105,input_569100!L:R,7,FALSE),VLOOKUP(tables_569100!C105,input_569100!A:H,8,FALSE))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input_569100!A$2</f>
        <v>569100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IFERROR(VLOOKUP(B106,input_569100!L:R,7,FALSE),VLOOKUP(tables_569100!C106,input_569100!A:H,8,FALSE))</f>
        <v>183150</v>
      </c>
      <c r="P106" s="46">
        <f t="shared" ca="1" si="4"/>
        <v>8.6718749999343103E-3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input_569100!A$2</f>
        <v>569100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IFERROR(VLOOKUP(B107,input_569100!L:R,7,FALSE),VLOOKUP(tables_569100!C107,input_569100!A:H,8,FALSE))</f>
        <v>18207.92308</v>
      </c>
      <c r="P107" s="46">
        <f t="shared" ca="1" si="4"/>
        <v>8.6211757006922698E-4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input_569100!A$2</f>
        <v>569100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IFERROR(VLOOKUP(B108,input_569100!L:R,7,FALSE),VLOOKUP(tables_569100!C108,input_569100!A:H,8,FALSE))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input_569100!A$2</f>
        <v>569100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IFERROR(VLOOKUP(B109,input_569100!L:R,7,FALSE),VLOOKUP(tables_569100!C109,input_569100!A:H,8,FALSE))</f>
        <v>183150</v>
      </c>
      <c r="P109" s="46">
        <f t="shared" ca="1" si="4"/>
        <v>8.6718749999343103E-3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input_569100!A$2</f>
        <v>569100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IFERROR(VLOOKUP(B110,input_569100!L:R,7,FALSE),VLOOKUP(tables_569100!C110,input_569100!A:H,8,FALSE))</f>
        <v>18207.92308</v>
      </c>
      <c r="P110" s="46">
        <f t="shared" ca="1" si="4"/>
        <v>8.6211757006922698E-4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input_569100!A$2</f>
        <v>569100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IFERROR(VLOOKUP(B111,input_569100!L:R,7,FALSE),VLOOKUP(tables_569100!C111,input_569100!A:H,8,FALSE))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input_569100!A$2</f>
        <v>569100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IFERROR(VLOOKUP(B112,input_569100!L:R,7,FALSE),VLOOKUP(tables_569100!C112,input_569100!A:H,8,FALSE))</f>
        <v>183150</v>
      </c>
      <c r="P112" s="46">
        <f t="shared" ca="1" si="4"/>
        <v>8.6718749999343103E-3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input_569100!A$2</f>
        <v>569100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IFERROR(VLOOKUP(B113,input_569100!L:R,7,FALSE),VLOOKUP(tables_569100!C113,input_569100!A:H,8,FALSE))</f>
        <v>20350</v>
      </c>
      <c r="P113" s="46">
        <f t="shared" ca="1" si="4"/>
        <v>9.6354166665936773E-4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input_569100!A$2</f>
        <v>569100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IFERROR(VLOOKUP(B114,input_569100!L:R,7,FALSE),VLOOKUP(tables_569100!C114,input_569100!A:H,8,FALSE))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input_569100!A$2</f>
        <v>569100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IFERROR(VLOOKUP(B115,input_569100!L:R,7,FALSE),VLOOKUP(tables_569100!C115,input_569100!A:H,8,FALSE))</f>
        <v>183150</v>
      </c>
      <c r="P115" s="46">
        <f t="shared" ca="1" si="4"/>
        <v>8.6718749999343103E-3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input_569100!A$2</f>
        <v>569100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IFERROR(VLOOKUP(B116,input_569100!L:R,7,FALSE),VLOOKUP(tables_569100!C116,input_569100!A:H,8,FALSE))</f>
        <v>18207.92308</v>
      </c>
      <c r="P116" s="46">
        <f t="shared" ca="1" si="4"/>
        <v>8.6211757006922698E-4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input_569100!A$2</f>
        <v>569100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IFERROR(VLOOKUP(B117,input_569100!L:R,7,FALSE),VLOOKUP(tables_569100!C117,input_569100!A:H,8,FALSE))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input_569100!A$2</f>
        <v>569100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IFERROR(VLOOKUP(B118,input_569100!L:R,7,FALSE),VLOOKUP(tables_569100!C118,input_569100!A:H,8,FALSE))</f>
        <v>183150</v>
      </c>
      <c r="P118" s="46">
        <f t="shared" ca="1" si="4"/>
        <v>8.6718749999343103E-3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input_569100!A$2</f>
        <v>569100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IFERROR(VLOOKUP(B119,input_569100!L:R,7,FALSE),VLOOKUP(tables_569100!C119,input_569100!A:H,8,FALSE))</f>
        <v>18207.92308</v>
      </c>
      <c r="P119" s="46">
        <f t="shared" ca="1" si="4"/>
        <v>8.6211757006922698E-4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input_569100!A$2</f>
        <v>569100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IFERROR(VLOOKUP(B120,input_569100!L:R,7,FALSE),VLOOKUP(tables_569100!C120,input_569100!A:H,8,FALSE))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input_569100!A$2</f>
        <v>569100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IFERROR(VLOOKUP(B121,input_569100!L:R,7,FALSE),VLOOKUP(tables_569100!C121,input_569100!A:H,8,FALSE))</f>
        <v>183150</v>
      </c>
      <c r="P121" s="46">
        <f t="shared" ca="1" si="4"/>
        <v>8.6718749999343103E-3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input_569100!A$2</f>
        <v>569100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IFERROR(VLOOKUP(B122,input_569100!L:R,7,FALSE),VLOOKUP(tables_569100!C122,input_569100!A:H,8,FALSE))</f>
        <v>18207.92308</v>
      </c>
      <c r="P122" s="46">
        <f t="shared" ca="1" si="4"/>
        <v>8.6211757006922698E-4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input_569100!A$2</f>
        <v>569100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IFERROR(VLOOKUP(B123,input_569100!L:R,7,FALSE),VLOOKUP(tables_569100!C123,input_569100!A:H,8,FALSE))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input_569100!A$2</f>
        <v>569100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IFERROR(VLOOKUP(B124,input_569100!L:R,7,FALSE),VLOOKUP(tables_569100!C124,input_569100!A:H,8,FALSE))</f>
        <v>183150</v>
      </c>
      <c r="P124" s="46">
        <f t="shared" ca="1" si="4"/>
        <v>8.6718749999343103E-3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input_569100!A$2</f>
        <v>569100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IFERROR(VLOOKUP(B125,input_569100!L:R,7,FALSE),VLOOKUP(tables_569100!C125,input_569100!A:H,8,FALSE))</f>
        <v>18207.92308</v>
      </c>
      <c r="P125" s="46">
        <f t="shared" ca="1" si="4"/>
        <v>8.6211757006922698E-4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input_569100!A$2</f>
        <v>569100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IFERROR(VLOOKUP(B126,input_569100!L:R,7,FALSE),VLOOKUP(tables_569100!C126,input_569100!A:H,8,FALSE))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input_569100!A$2</f>
        <v>569100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IFERROR(VLOOKUP(B127,input_569100!L:R,7,FALSE),VLOOKUP(tables_569100!C127,input_569100!A:H,8,FALSE))</f>
        <v>183150</v>
      </c>
      <c r="P127" s="46">
        <f t="shared" ca="1" si="4"/>
        <v>8.6718749999343103E-3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input_569100!A$2</f>
        <v>569100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IFERROR(VLOOKUP(B128,input_569100!L:R,7,FALSE),VLOOKUP(tables_569100!C128,input_569100!A:H,8,FALSE))</f>
        <v>18207.92308</v>
      </c>
      <c r="P128" s="46">
        <f t="shared" ca="1" si="4"/>
        <v>8.6211757006922698E-4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input_569100!A$2</f>
        <v>569100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IFERROR(VLOOKUP(B129,input_569100!L:R,7,FALSE),VLOOKUP(tables_569100!C129,input_569100!A:H,8,FALSE))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input_569100!A$2</f>
        <v>569100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IFERROR(VLOOKUP(B130,input_569100!L:R,7,FALSE),VLOOKUP(tables_569100!C130,input_569100!A:H,8,FALSE))</f>
        <v>183150</v>
      </c>
      <c r="P130" s="46">
        <f t="shared" ref="P130:P193" ca="1" si="7">O130/SUM(O:O)</f>
        <v>8.6718749999343103E-3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input_569100!A$2</f>
        <v>569100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IFERROR(VLOOKUP(B131,input_569100!L:R,7,FALSE),VLOOKUP(tables_569100!C131,input_569100!A:H,8,FALSE))</f>
        <v>18207.92308</v>
      </c>
      <c r="P131" s="46">
        <f t="shared" ca="1" si="7"/>
        <v>8.6211757006922698E-4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input_569100!A$2</f>
        <v>569100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IFERROR(VLOOKUP(B132,input_569100!L:R,7,FALSE),VLOOKUP(tables_569100!C132,input_569100!A:H,8,FALSE))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input_569100!A$2</f>
        <v>569100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IFERROR(VLOOKUP(B133,input_569100!L:R,7,FALSE),VLOOKUP(tables_569100!C133,input_569100!A:H,8,FALSE))</f>
        <v>183150</v>
      </c>
      <c r="P133" s="46">
        <f t="shared" ca="1" si="7"/>
        <v>8.6718749999343103E-3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input_569100!A$2</f>
        <v>569100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IFERROR(VLOOKUP(B134,input_569100!L:R,7,FALSE),VLOOKUP(tables_569100!C134,input_569100!A:H,8,FALSE))</f>
        <v>18207.92308</v>
      </c>
      <c r="P134" s="46">
        <f t="shared" ca="1" si="7"/>
        <v>8.6211757006922698E-4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input_569100!A$2</f>
        <v>569100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IFERROR(VLOOKUP(B135,input_569100!L:R,7,FALSE),VLOOKUP(tables_569100!C135,input_569100!A:H,8,FALSE))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input_569100!A$2</f>
        <v>569100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IFERROR(VLOOKUP(B136,input_569100!L:R,7,FALSE),VLOOKUP(tables_569100!C136,input_569100!A:H,8,FALSE))</f>
        <v>183150</v>
      </c>
      <c r="P136" s="46">
        <f t="shared" ca="1" si="7"/>
        <v>8.6718749999343103E-3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input_569100!A$2</f>
        <v>569100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IFERROR(VLOOKUP(B137,input_569100!L:R,7,FALSE),VLOOKUP(tables_569100!C137,input_569100!A:H,8,FALSE))</f>
        <v>18207.92308</v>
      </c>
      <c r="P137" s="46">
        <f t="shared" ca="1" si="7"/>
        <v>8.6211757006922698E-4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input_569100!A$2</f>
        <v>569100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IFERROR(VLOOKUP(B138,input_569100!L:R,7,FALSE),VLOOKUP(tables_569100!C138,input_569100!A:H,8,FALSE))</f>
        <v>158400</v>
      </c>
      <c r="P138" s="46">
        <f t="shared" ca="1" si="7"/>
        <v>7.4999999999431867E-3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input_569100!A$2</f>
        <v>569100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IFERROR(VLOOKUP(B139,input_569100!L:R,7,FALSE),VLOOKUP(tables_569100!C139,input_569100!A:H,8,FALSE))</f>
        <v>158400</v>
      </c>
      <c r="P139" s="46">
        <f t="shared" ca="1" si="7"/>
        <v>7.4999999999431867E-3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input_569100!A$2</f>
        <v>569100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IFERROR(VLOOKUP(B140,input_569100!L:R,7,FALSE),VLOOKUP(tables_569100!C140,input_569100!A:H,8,FALSE))</f>
        <v>22164.48</v>
      </c>
      <c r="P140" s="46">
        <f t="shared" ca="1" si="7"/>
        <v>1.0494545454465957E-3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input_569100!A$2</f>
        <v>569100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IFERROR(VLOOKUP(B141,input_569100!L:R,7,FALSE),VLOOKUP(tables_569100!C141,input_569100!A:H,8,FALSE))</f>
        <v>1152</v>
      </c>
      <c r="P141" s="46">
        <f t="shared" ca="1" si="7"/>
        <v>5.4545454545041357E-5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input_569100!A$2</f>
        <v>569100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IFERROR(VLOOKUP(B142,input_569100!L:R,7,FALSE),VLOOKUP(tables_569100!C142,input_569100!A:H,8,FALSE))</f>
        <v>22164.48</v>
      </c>
      <c r="P142" s="46">
        <f t="shared" ca="1" si="7"/>
        <v>1.0494545454465957E-3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input_569100!A$2</f>
        <v>569100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IFERROR(VLOOKUP(B143,input_569100!L:R,7,FALSE),VLOOKUP(tables_569100!C143,input_569100!A:H,8,FALSE))</f>
        <v>1152</v>
      </c>
      <c r="P143" s="46">
        <f t="shared" ca="1" si="7"/>
        <v>5.4545454545041357E-5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input_569100!A$2</f>
        <v>569100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IFERROR(VLOOKUP(B144,input_569100!L:R,7,FALSE),VLOOKUP(tables_569100!C144,input_569100!A:H,8,FALSE))</f>
        <v>22164.48</v>
      </c>
      <c r="P144" s="46">
        <f t="shared" ca="1" si="7"/>
        <v>1.0494545454465957E-3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input_569100!A$2</f>
        <v>569100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IFERROR(VLOOKUP(B145,input_569100!L:R,7,FALSE),VLOOKUP(tables_569100!C145,input_569100!A:H,8,FALSE))</f>
        <v>1152</v>
      </c>
      <c r="P145" s="46">
        <f t="shared" ca="1" si="7"/>
        <v>5.4545454545041357E-5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input_569100!A$2</f>
        <v>569100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IFERROR(VLOOKUP(B146,input_569100!L:R,7,FALSE),VLOOKUP(tables_569100!C146,input_569100!A:H,8,FALSE))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input_569100!A$2</f>
        <v>569100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IFERROR(VLOOKUP(B147,input_569100!L:R,7,FALSE),VLOOKUP(tables_569100!C147,input_569100!A:H,8,FALSE))</f>
        <v>183150</v>
      </c>
      <c r="P147" s="46">
        <f t="shared" ca="1" si="7"/>
        <v>8.6718749999343103E-3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input_569100!A$2</f>
        <v>569100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IFERROR(VLOOKUP(B148,input_569100!L:R,7,FALSE),VLOOKUP(tables_569100!C148,input_569100!A:H,8,FALSE))</f>
        <v>18207.92308</v>
      </c>
      <c r="P148" s="46">
        <f t="shared" ca="1" si="7"/>
        <v>8.6211757006922698E-4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input_569100!A$2</f>
        <v>569100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IFERROR(VLOOKUP(B149,input_569100!L:R,7,FALSE),VLOOKUP(tables_569100!C149,input_569100!A:H,8,FALSE))</f>
        <v>22164.48</v>
      </c>
      <c r="P149" s="46">
        <f t="shared" ca="1" si="7"/>
        <v>1.0494545454465957E-3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input_569100!A$2</f>
        <v>569100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IFERROR(VLOOKUP(B150,input_569100!L:R,7,FALSE),VLOOKUP(tables_569100!C150,input_569100!A:H,8,FALSE))</f>
        <v>1152</v>
      </c>
      <c r="P150" s="46">
        <f t="shared" ca="1" si="7"/>
        <v>5.4545454545041357E-5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input_569100!A$2</f>
        <v>569100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IFERROR(VLOOKUP(B151,input_569100!L:R,7,FALSE),VLOOKUP(tables_569100!C151,input_569100!A:H,8,FALSE))</f>
        <v>22164.48</v>
      </c>
      <c r="P151" s="46">
        <f t="shared" ca="1" si="7"/>
        <v>1.0494545454465957E-3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input_569100!A$2</f>
        <v>569100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IFERROR(VLOOKUP(B152,input_569100!L:R,7,FALSE),VLOOKUP(tables_569100!C152,input_569100!A:H,8,FALSE))</f>
        <v>1152</v>
      </c>
      <c r="P152" s="46">
        <f t="shared" ca="1" si="7"/>
        <v>5.4545454545041357E-5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input_569100!A$2</f>
        <v>569100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IFERROR(VLOOKUP(B153,input_569100!L:R,7,FALSE),VLOOKUP(tables_569100!C153,input_569100!A:H,8,FALSE))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input_569100!A$2</f>
        <v>569100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IFERROR(VLOOKUP(B154,input_569100!L:R,7,FALSE),VLOOKUP(tables_569100!C154,input_569100!A:H,8,FALSE))</f>
        <v>183150</v>
      </c>
      <c r="P154" s="46">
        <f t="shared" ca="1" si="7"/>
        <v>8.6718749999343103E-3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input_569100!A$2</f>
        <v>569100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IFERROR(VLOOKUP(B155,input_569100!L:R,7,FALSE),VLOOKUP(tables_569100!C155,input_569100!A:H,8,FALSE))</f>
        <v>18207.92308</v>
      </c>
      <c r="P155" s="46">
        <f t="shared" ca="1" si="7"/>
        <v>8.6211757006922698E-4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input_569100!A$2</f>
        <v>569100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IFERROR(VLOOKUP(B156,input_569100!L:R,7,FALSE),VLOOKUP(tables_569100!C156,input_569100!A:H,8,FALSE))</f>
        <v>158400</v>
      </c>
      <c r="P156" s="46">
        <f t="shared" ca="1" si="7"/>
        <v>7.4999999999431867E-3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input_569100!A$2</f>
        <v>569100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IFERROR(VLOOKUP(B157,input_569100!L:R,7,FALSE),VLOOKUP(tables_569100!C157,input_569100!A:H,8,FALSE))</f>
        <v>158400</v>
      </c>
      <c r="P157" s="46">
        <f t="shared" ca="1" si="7"/>
        <v>7.4999999999431867E-3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input_569100!A$2</f>
        <v>569100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IFERROR(VLOOKUP(B158,input_569100!L:R,7,FALSE),VLOOKUP(tables_569100!C158,input_569100!A:H,8,FALSE))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input_569100!A$2</f>
        <v>569100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IFERROR(VLOOKUP(B159,input_569100!L:R,7,FALSE),VLOOKUP(tables_569100!C159,input_569100!A:H,8,FALSE))</f>
        <v>183150</v>
      </c>
      <c r="P159" s="46">
        <f t="shared" ca="1" si="7"/>
        <v>8.6718749999343103E-3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input_569100!A$2</f>
        <v>569100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IFERROR(VLOOKUP(B160,input_569100!L:R,7,FALSE),VLOOKUP(tables_569100!C160,input_569100!A:H,8,FALSE))</f>
        <v>18207.92308</v>
      </c>
      <c r="P160" s="46">
        <f t="shared" ca="1" si="7"/>
        <v>8.6211757006922698E-4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input_569100!A$2</f>
        <v>569100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IFERROR(VLOOKUP(B161,input_569100!L:R,7,FALSE),VLOOKUP(tables_569100!C161,input_569100!A:H,8,FALSE))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input_569100!A$2</f>
        <v>569100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IFERROR(VLOOKUP(B162,input_569100!L:R,7,FALSE),VLOOKUP(tables_569100!C162,input_569100!A:H,8,FALSE))</f>
        <v>183150</v>
      </c>
      <c r="P162" s="46">
        <f t="shared" ca="1" si="7"/>
        <v>8.6718749999343103E-3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input_569100!A$2</f>
        <v>569100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IFERROR(VLOOKUP(B163,input_569100!L:R,7,FALSE),VLOOKUP(tables_569100!C163,input_569100!A:H,8,FALSE))</f>
        <v>18207.92308</v>
      </c>
      <c r="P163" s="46">
        <f t="shared" ca="1" si="7"/>
        <v>8.6211757006922698E-4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input_569100!A$2</f>
        <v>569100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IFERROR(VLOOKUP(B164,input_569100!L:R,7,FALSE),VLOOKUP(tables_569100!C164,input_569100!A:H,8,FALSE))</f>
        <v>22164.48</v>
      </c>
      <c r="P164" s="46">
        <f t="shared" ca="1" si="7"/>
        <v>1.0494545454465957E-3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input_569100!A$2</f>
        <v>569100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IFERROR(VLOOKUP(B165,input_569100!L:R,7,FALSE),VLOOKUP(tables_569100!C165,input_569100!A:H,8,FALSE))</f>
        <v>1152</v>
      </c>
      <c r="P165" s="46">
        <f t="shared" ca="1" si="7"/>
        <v>5.4545454545041357E-5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input_569100!A$2</f>
        <v>569100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IFERROR(VLOOKUP(B166,input_569100!L:R,7,FALSE),VLOOKUP(tables_569100!C166,input_569100!A:H,8,FALSE))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input_569100!A$2</f>
        <v>569100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IFERROR(VLOOKUP(B167,input_569100!L:R,7,FALSE),VLOOKUP(tables_569100!C167,input_569100!A:H,8,FALSE))</f>
        <v>183150</v>
      </c>
      <c r="P167" s="46">
        <f t="shared" ca="1" si="7"/>
        <v>8.6718749999343103E-3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input_569100!A$2</f>
        <v>569100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IFERROR(VLOOKUP(B168,input_569100!L:R,7,FALSE),VLOOKUP(tables_569100!C168,input_569100!A:H,8,FALSE))</f>
        <v>18207.92308</v>
      </c>
      <c r="P168" s="46">
        <f t="shared" ca="1" si="7"/>
        <v>8.6211757006922698E-4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input_569100!A$2</f>
        <v>569100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IFERROR(VLOOKUP(B169,input_569100!L:R,7,FALSE),VLOOKUP(tables_569100!C169,input_569100!A:H,8,FALSE))</f>
        <v>22164.48</v>
      </c>
      <c r="P169" s="46">
        <f t="shared" ca="1" si="7"/>
        <v>1.0494545454465957E-3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input_569100!A$2</f>
        <v>569100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IFERROR(VLOOKUP(B170,input_569100!L:R,7,FALSE),VLOOKUP(tables_569100!C170,input_569100!A:H,8,FALSE))</f>
        <v>1152</v>
      </c>
      <c r="P170" s="46">
        <f t="shared" ca="1" si="7"/>
        <v>5.4545454545041357E-5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input_569100!A$2</f>
        <v>569100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IFERROR(VLOOKUP(B171,input_569100!L:R,7,FALSE),VLOOKUP(tables_569100!C171,input_569100!A:H,8,FALSE))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input_569100!A$2</f>
        <v>569100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IFERROR(VLOOKUP(B172,input_569100!L:R,7,FALSE),VLOOKUP(tables_569100!C172,input_569100!A:H,8,FALSE))</f>
        <v>183150</v>
      </c>
      <c r="P172" s="46">
        <f t="shared" ca="1" si="7"/>
        <v>8.6718749999343103E-3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input_569100!A$2</f>
        <v>569100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IFERROR(VLOOKUP(B173,input_569100!L:R,7,FALSE),VLOOKUP(tables_569100!C173,input_569100!A:H,8,FALSE))</f>
        <v>18207.92308</v>
      </c>
      <c r="P173" s="46">
        <f t="shared" ca="1" si="7"/>
        <v>8.6211757006922698E-4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input_569100!A$2</f>
        <v>569100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IFERROR(VLOOKUP(B174,input_569100!L:R,7,FALSE),VLOOKUP(tables_569100!C174,input_569100!A:H,8,FALSE))</f>
        <v>22164.48</v>
      </c>
      <c r="P174" s="46">
        <f t="shared" ca="1" si="7"/>
        <v>1.0494545454465957E-3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input_569100!A$2</f>
        <v>569100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IFERROR(VLOOKUP(B175,input_569100!L:R,7,FALSE),VLOOKUP(tables_569100!C175,input_569100!A:H,8,FALSE))</f>
        <v>1152</v>
      </c>
      <c r="P175" s="46">
        <f t="shared" ca="1" si="7"/>
        <v>5.4545454545041357E-5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input_569100!A$2</f>
        <v>569100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IFERROR(VLOOKUP(B176,input_569100!L:R,7,FALSE),VLOOKUP(tables_569100!C176,input_569100!A:H,8,FALSE))</f>
        <v>22164.48</v>
      </c>
      <c r="P176" s="46">
        <f t="shared" ca="1" si="7"/>
        <v>1.0494545454465957E-3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input_569100!A$2</f>
        <v>569100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IFERROR(VLOOKUP(B177,input_569100!L:R,7,FALSE),VLOOKUP(tables_569100!C177,input_569100!A:H,8,FALSE))</f>
        <v>1152</v>
      </c>
      <c r="P177" s="46">
        <f t="shared" ca="1" si="7"/>
        <v>5.4545454545041357E-5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input_569100!A$2</f>
        <v>569100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IFERROR(VLOOKUP(B178,input_569100!L:R,7,FALSE),VLOOKUP(tables_569100!C178,input_569100!A:H,8,FALSE))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input_569100!A$2</f>
        <v>569100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IFERROR(VLOOKUP(B179,input_569100!L:R,7,FALSE),VLOOKUP(tables_569100!C179,input_569100!A:H,8,FALSE))</f>
        <v>183150</v>
      </c>
      <c r="P179" s="46">
        <f t="shared" ca="1" si="7"/>
        <v>8.6718749999343103E-3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input_569100!A$2</f>
        <v>569100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IFERROR(VLOOKUP(B180,input_569100!L:R,7,FALSE),VLOOKUP(tables_569100!C180,input_569100!A:H,8,FALSE))</f>
        <v>18207.92308</v>
      </c>
      <c r="P180" s="46">
        <f t="shared" ca="1" si="7"/>
        <v>8.6211757006922698E-4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input_569100!A$2</f>
        <v>569100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IFERROR(VLOOKUP(B181,input_569100!L:R,7,FALSE),VLOOKUP(tables_569100!C181,input_569100!A:H,8,FALSE))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input_569100!A$2</f>
        <v>569100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IFERROR(VLOOKUP(B182,input_569100!L:R,7,FALSE),VLOOKUP(tables_569100!C182,input_569100!A:H,8,FALSE))</f>
        <v>183150</v>
      </c>
      <c r="P182" s="46">
        <f t="shared" ca="1" si="7"/>
        <v>8.6718749999343103E-3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input_569100!A$2</f>
        <v>569100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IFERROR(VLOOKUP(B183,input_569100!L:R,7,FALSE),VLOOKUP(tables_569100!C183,input_569100!A:H,8,FALSE))</f>
        <v>18207.92308</v>
      </c>
      <c r="P183" s="46">
        <f t="shared" ca="1" si="7"/>
        <v>8.6211757006922698E-4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input_569100!A$2</f>
        <v>569100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IFERROR(VLOOKUP(B184,input_569100!L:R,7,FALSE),VLOOKUP(tables_569100!C184,input_569100!A:H,8,FALSE))</f>
        <v>22164.48</v>
      </c>
      <c r="P184" s="46">
        <f t="shared" ca="1" si="7"/>
        <v>1.0494545454465957E-3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input_569100!A$2</f>
        <v>569100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IFERROR(VLOOKUP(B185,input_569100!L:R,7,FALSE),VLOOKUP(tables_569100!C185,input_569100!A:H,8,FALSE))</f>
        <v>1152</v>
      </c>
      <c r="P185" s="46">
        <f t="shared" ca="1" si="7"/>
        <v>5.4545454545041357E-5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input_569100!A$2</f>
        <v>569100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IFERROR(VLOOKUP(B186,input_569100!L:R,7,FALSE),VLOOKUP(tables_569100!C186,input_569100!A:H,8,FALSE))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input_569100!A$2</f>
        <v>569100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IFERROR(VLOOKUP(B187,input_569100!L:R,7,FALSE),VLOOKUP(tables_569100!C187,input_569100!A:H,8,FALSE))</f>
        <v>183150</v>
      </c>
      <c r="P187" s="46">
        <f t="shared" ca="1" si="7"/>
        <v>8.6718749999343103E-3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input_569100!A$2</f>
        <v>569100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IFERROR(VLOOKUP(B188,input_569100!L:R,7,FALSE),VLOOKUP(tables_569100!C188,input_569100!A:H,8,FALSE))</f>
        <v>18207.92308</v>
      </c>
      <c r="P188" s="46">
        <f t="shared" ca="1" si="7"/>
        <v>8.6211757006922698E-4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input_569100!A$2</f>
        <v>569100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IFERROR(VLOOKUP(B189,input_569100!L:R,7,FALSE),VLOOKUP(tables_569100!C189,input_569100!A:H,8,FALSE))</f>
        <v>22164.48</v>
      </c>
      <c r="P189" s="46">
        <f t="shared" ca="1" si="7"/>
        <v>1.0494545454465957E-3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input_569100!A$2</f>
        <v>569100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IFERROR(VLOOKUP(B190,input_569100!L:R,7,FALSE),VLOOKUP(tables_569100!C190,input_569100!A:H,8,FALSE))</f>
        <v>1152</v>
      </c>
      <c r="P190" s="46">
        <f t="shared" ca="1" si="7"/>
        <v>5.4545454545041357E-5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input_569100!A$2</f>
        <v>569100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IFERROR(VLOOKUP(B191,input_569100!L:R,7,FALSE),VLOOKUP(tables_569100!C191,input_569100!A:H,8,FALSE))</f>
        <v>22164.48</v>
      </c>
      <c r="P191" s="46">
        <f t="shared" ca="1" si="7"/>
        <v>1.0494545454465957E-3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input_569100!A$2</f>
        <v>569100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IFERROR(VLOOKUP(B192,input_569100!L:R,7,FALSE),VLOOKUP(tables_569100!C192,input_569100!A:H,8,FALSE))</f>
        <v>1152</v>
      </c>
      <c r="P192" s="46">
        <f t="shared" ca="1" si="7"/>
        <v>5.4545454545041357E-5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input_569100!A$2</f>
        <v>569100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IFERROR(VLOOKUP(B193,input_569100!L:R,7,FALSE),VLOOKUP(tables_569100!C193,input_569100!A:H,8,FALSE))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input_569100!A$2</f>
        <v>569100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IFERROR(VLOOKUP(B194,input_569100!L:R,7,FALSE),VLOOKUP(tables_569100!C194,input_569100!A:H,8,FALSE))</f>
        <v>183150</v>
      </c>
      <c r="P194" s="46">
        <f t="shared" ref="P194:P257" ca="1" si="10">O194/SUM(O:O)</f>
        <v>8.6718749999343103E-3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input_569100!A$2</f>
        <v>569100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IFERROR(VLOOKUP(B195,input_569100!L:R,7,FALSE),VLOOKUP(tables_569100!C195,input_569100!A:H,8,FALSE))</f>
        <v>18207.92308</v>
      </c>
      <c r="P195" s="46">
        <f t="shared" ca="1" si="10"/>
        <v>8.6211757006922698E-4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input_569100!A$2</f>
        <v>569100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IFERROR(VLOOKUP(B196,input_569100!L:R,7,FALSE),VLOOKUP(tables_569100!C196,input_569100!A:H,8,FALSE))</f>
        <v>22164.48</v>
      </c>
      <c r="P196" s="46">
        <f t="shared" ca="1" si="10"/>
        <v>1.0494545454465957E-3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input_569100!A$2</f>
        <v>569100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IFERROR(VLOOKUP(B197,input_569100!L:R,7,FALSE),VLOOKUP(tables_569100!C197,input_569100!A:H,8,FALSE))</f>
        <v>1152</v>
      </c>
      <c r="P197" s="46">
        <f t="shared" ca="1" si="10"/>
        <v>5.4545454545041357E-5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input_569100!A$2</f>
        <v>569100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IFERROR(VLOOKUP(B198,input_569100!L:R,7,FALSE),VLOOKUP(tables_569100!C198,input_569100!A:H,8,FALSE))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input_569100!A$2</f>
        <v>569100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IFERROR(VLOOKUP(B199,input_569100!L:R,7,FALSE),VLOOKUP(tables_569100!C199,input_569100!A:H,8,FALSE))</f>
        <v>183150</v>
      </c>
      <c r="P199" s="46">
        <f t="shared" ca="1" si="10"/>
        <v>8.6718749999343103E-3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input_569100!A$2</f>
        <v>569100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IFERROR(VLOOKUP(B200,input_569100!L:R,7,FALSE),VLOOKUP(tables_569100!C200,input_569100!A:H,8,FALSE))</f>
        <v>18207.92308</v>
      </c>
      <c r="P200" s="46">
        <f t="shared" ca="1" si="10"/>
        <v>8.6211757006922698E-4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input_569100!A$2</f>
        <v>569100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IFERROR(VLOOKUP(B201,input_569100!L:R,7,FALSE),VLOOKUP(tables_569100!C201,input_569100!A:H,8,FALSE))</f>
        <v>22164.48</v>
      </c>
      <c r="P201" s="46">
        <f t="shared" ca="1" si="10"/>
        <v>1.0494545454465957E-3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input_569100!A$2</f>
        <v>569100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IFERROR(VLOOKUP(B202,input_569100!L:R,7,FALSE),VLOOKUP(tables_569100!C202,input_569100!A:H,8,FALSE))</f>
        <v>1152</v>
      </c>
      <c r="P202" s="46">
        <f t="shared" ca="1" si="10"/>
        <v>5.4545454545041357E-5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input_569100!A$2</f>
        <v>569100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IFERROR(VLOOKUP(B203,input_569100!L:R,7,FALSE),VLOOKUP(tables_569100!C203,input_569100!A:H,8,FALSE))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input_569100!A$2</f>
        <v>569100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IFERROR(VLOOKUP(B204,input_569100!L:R,7,FALSE),VLOOKUP(tables_569100!C204,input_569100!A:H,8,FALSE))</f>
        <v>183150</v>
      </c>
      <c r="P204" s="46">
        <f t="shared" ca="1" si="10"/>
        <v>8.6718749999343103E-3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input_569100!A$2</f>
        <v>569100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IFERROR(VLOOKUP(B205,input_569100!L:R,7,FALSE),VLOOKUP(tables_569100!C205,input_569100!A:H,8,FALSE))</f>
        <v>18207.92308</v>
      </c>
      <c r="P205" s="46">
        <f t="shared" ca="1" si="10"/>
        <v>8.6211757006922698E-4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input_569100!A$2</f>
        <v>569100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IFERROR(VLOOKUP(B206,input_569100!L:R,7,FALSE),VLOOKUP(tables_569100!C206,input_569100!A:H,8,FALSE))</f>
        <v>158400</v>
      </c>
      <c r="P206" s="46">
        <f t="shared" ca="1" si="10"/>
        <v>7.4999999999431867E-3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input_569100!A$2</f>
        <v>569100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IFERROR(VLOOKUP(B207,input_569100!L:R,7,FALSE),VLOOKUP(tables_569100!C207,input_569100!A:H,8,FALSE))</f>
        <v>158400</v>
      </c>
      <c r="P207" s="46">
        <f t="shared" ca="1" si="10"/>
        <v>7.4999999999431867E-3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input_569100!A$2</f>
        <v>569100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IFERROR(VLOOKUP(B208,input_569100!L:R,7,FALSE),VLOOKUP(tables_569100!C208,input_569100!A:H,8,FALSE))</f>
        <v>22164.48</v>
      </c>
      <c r="P208" s="46">
        <f t="shared" ca="1" si="10"/>
        <v>1.0494545454465957E-3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input_569100!A$2</f>
        <v>569100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IFERROR(VLOOKUP(B209,input_569100!L:R,7,FALSE),VLOOKUP(tables_569100!C209,input_569100!A:H,8,FALSE))</f>
        <v>1152</v>
      </c>
      <c r="P209" s="46">
        <f t="shared" ca="1" si="10"/>
        <v>5.4545454545041357E-5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input_569100!A$2</f>
        <v>569100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IFERROR(VLOOKUP(B210,input_569100!L:R,7,FALSE),VLOOKUP(tables_569100!C210,input_569100!A:H,8,FALSE))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input_569100!A$2</f>
        <v>569100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IFERROR(VLOOKUP(B211,input_569100!L:R,7,FALSE),VLOOKUP(tables_569100!C211,input_569100!A:H,8,FALSE))</f>
        <v>183150</v>
      </c>
      <c r="P211" s="46">
        <f t="shared" ca="1" si="10"/>
        <v>8.6718749999343103E-3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input_569100!A$2</f>
        <v>569100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IFERROR(VLOOKUP(B212,input_569100!L:R,7,FALSE),VLOOKUP(tables_569100!C212,input_569100!A:H,8,FALSE))</f>
        <v>18207.92308</v>
      </c>
      <c r="P212" s="46">
        <f t="shared" ca="1" si="10"/>
        <v>8.6211757006922698E-4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input_569100!A$2</f>
        <v>569100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IFERROR(VLOOKUP(B213,input_569100!L:R,7,FALSE),VLOOKUP(tables_569100!C213,input_569100!A:H,8,FALSE))</f>
        <v>22164.48</v>
      </c>
      <c r="P213" s="46">
        <f t="shared" ca="1" si="10"/>
        <v>1.0494545454465957E-3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input_569100!A$2</f>
        <v>569100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IFERROR(VLOOKUP(B214,input_569100!L:R,7,FALSE),VLOOKUP(tables_569100!C214,input_569100!A:H,8,FALSE))</f>
        <v>1152</v>
      </c>
      <c r="P214" s="46">
        <f t="shared" ca="1" si="10"/>
        <v>5.4545454545041357E-5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input_569100!A$2</f>
        <v>569100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IFERROR(VLOOKUP(B215,input_569100!L:R,7,FALSE),VLOOKUP(tables_569100!C215,input_569100!A:H,8,FALSE))</f>
        <v>20350</v>
      </c>
      <c r="P215" s="46">
        <f t="shared" ca="1" si="10"/>
        <v>9.6354166665936773E-4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input_569100!A$2</f>
        <v>569100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IFERROR(VLOOKUP(B216,input_569100!L:R,7,FALSE),VLOOKUP(tables_569100!C216,input_569100!A:H,8,FALSE))</f>
        <v>20350</v>
      </c>
      <c r="P216" s="46">
        <f t="shared" ca="1" si="10"/>
        <v>9.6354166665936773E-4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input_569100!A$2</f>
        <v>569100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IFERROR(VLOOKUP(B217,input_569100!L:R,7,FALSE),VLOOKUP(tables_569100!C217,input_569100!A:H,8,FALSE))</f>
        <v>20350</v>
      </c>
      <c r="P217" s="46">
        <f t="shared" ca="1" si="10"/>
        <v>9.6354166665936773E-4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input_569100!A$2</f>
        <v>569100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IFERROR(VLOOKUP(B218,input_569100!L:R,7,FALSE),VLOOKUP(tables_569100!C218,input_569100!A:H,8,FALSE))</f>
        <v>20350</v>
      </c>
      <c r="P218" s="46">
        <f t="shared" ca="1" si="10"/>
        <v>9.6354166665936773E-4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input_569100!A$2</f>
        <v>569100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IFERROR(VLOOKUP(B219,input_569100!L:R,7,FALSE),VLOOKUP(tables_569100!C219,input_569100!A:H,8,FALSE))</f>
        <v>20350</v>
      </c>
      <c r="P219" s="46">
        <f t="shared" ca="1" si="10"/>
        <v>9.6354166665936773E-4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input_569100!A$2</f>
        <v>569100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IFERROR(VLOOKUP(B220,input_569100!L:R,7,FALSE),VLOOKUP(tables_569100!C220,input_569100!A:H,8,FALSE))</f>
        <v>20350</v>
      </c>
      <c r="P220" s="46">
        <f t="shared" ca="1" si="10"/>
        <v>9.6354166665936773E-4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input_569100!A$2</f>
        <v>569100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IFERROR(VLOOKUP(B221,input_569100!L:R,7,FALSE),VLOOKUP(tables_569100!C221,input_569100!A:H,8,FALSE))</f>
        <v>22164.48</v>
      </c>
      <c r="P221" s="46">
        <f t="shared" ca="1" si="10"/>
        <v>1.0494545454465957E-3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input_569100!A$2</f>
        <v>569100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IFERROR(VLOOKUP(B222,input_569100!L:R,7,FALSE),VLOOKUP(tables_569100!C222,input_569100!A:H,8,FALSE))</f>
        <v>1152</v>
      </c>
      <c r="P222" s="46">
        <f t="shared" ca="1" si="10"/>
        <v>5.4545454545041357E-5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input_569100!A$2</f>
        <v>569100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IFERROR(VLOOKUP(B223,input_569100!L:R,7,FALSE),VLOOKUP(tables_569100!C223,input_569100!A:H,8,FALSE))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input_569100!A$2</f>
        <v>569100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IFERROR(VLOOKUP(B224,input_569100!L:R,7,FALSE),VLOOKUP(tables_569100!C224,input_569100!A:H,8,FALSE))</f>
        <v>183150</v>
      </c>
      <c r="P224" s="46">
        <f t="shared" ca="1" si="10"/>
        <v>8.6718749999343103E-3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input_569100!A$2</f>
        <v>569100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IFERROR(VLOOKUP(B225,input_569100!L:R,7,FALSE),VLOOKUP(tables_569100!C225,input_569100!A:H,8,FALSE))</f>
        <v>18207.92308</v>
      </c>
      <c r="P225" s="46">
        <f t="shared" ca="1" si="10"/>
        <v>8.6211757006922698E-4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input_569100!A$2</f>
        <v>569100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IFERROR(VLOOKUP(B226,input_569100!L:R,7,FALSE),VLOOKUP(tables_569100!C226,input_569100!A:H,8,FALSE))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input_569100!A$2</f>
        <v>569100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IFERROR(VLOOKUP(B227,input_569100!L:R,7,FALSE),VLOOKUP(tables_569100!C227,input_569100!A:H,8,FALSE))</f>
        <v>183150</v>
      </c>
      <c r="P227" s="46">
        <f t="shared" ca="1" si="10"/>
        <v>8.6718749999343103E-3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input_569100!A$2</f>
        <v>569100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IFERROR(VLOOKUP(B228,input_569100!L:R,7,FALSE),VLOOKUP(tables_569100!C228,input_569100!A:H,8,FALSE))</f>
        <v>18207.92308</v>
      </c>
      <c r="P228" s="46">
        <f t="shared" ca="1" si="10"/>
        <v>8.6211757006922698E-4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input_569100!A$2</f>
        <v>569100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IFERROR(VLOOKUP(B229,input_569100!L:R,7,FALSE),VLOOKUP(tables_569100!C229,input_569100!A:H,8,FALSE))</f>
        <v>22164.48</v>
      </c>
      <c r="P229" s="46">
        <f t="shared" ca="1" si="10"/>
        <v>1.0494545454465957E-3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input_569100!A$2</f>
        <v>569100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IFERROR(VLOOKUP(B230,input_569100!L:R,7,FALSE),VLOOKUP(tables_569100!C230,input_569100!A:H,8,FALSE))</f>
        <v>1152</v>
      </c>
      <c r="P230" s="46">
        <f t="shared" ca="1" si="10"/>
        <v>5.4545454545041357E-5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input_569100!A$2</f>
        <v>569100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IFERROR(VLOOKUP(B231,input_569100!L:R,7,FALSE),VLOOKUP(tables_569100!C231,input_569100!A:H,8,FALSE))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input_569100!A$2</f>
        <v>569100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IFERROR(VLOOKUP(B232,input_569100!L:R,7,FALSE),VLOOKUP(tables_569100!C232,input_569100!A:H,8,FALSE))</f>
        <v>183150</v>
      </c>
      <c r="P232" s="46">
        <f t="shared" ca="1" si="10"/>
        <v>8.6718749999343103E-3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input_569100!A$2</f>
        <v>569100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IFERROR(VLOOKUP(B233,input_569100!L:R,7,FALSE),VLOOKUP(tables_569100!C233,input_569100!A:H,8,FALSE))</f>
        <v>18207.92308</v>
      </c>
      <c r="P233" s="46">
        <f t="shared" ca="1" si="10"/>
        <v>8.6211757006922698E-4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input_569100!A$2</f>
        <v>569100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IFERROR(VLOOKUP(B234,input_569100!L:R,7,FALSE),VLOOKUP(tables_569100!C234,input_569100!A:H,8,FALSE))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input_569100!A$2</f>
        <v>569100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IFERROR(VLOOKUP(B235,input_569100!L:R,7,FALSE),VLOOKUP(tables_569100!C235,input_569100!A:H,8,FALSE))</f>
        <v>183150</v>
      </c>
      <c r="P235" s="46">
        <f t="shared" ca="1" si="10"/>
        <v>8.6718749999343103E-3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input_569100!A$2</f>
        <v>569100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IFERROR(VLOOKUP(B236,input_569100!L:R,7,FALSE),VLOOKUP(tables_569100!C236,input_569100!A:H,8,FALSE))</f>
        <v>18207.92308</v>
      </c>
      <c r="P236" s="46">
        <f t="shared" ca="1" si="10"/>
        <v>8.6211757006922698E-4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input_569100!A$2</f>
        <v>569100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IFERROR(VLOOKUP(B237,input_569100!L:R,7,FALSE),VLOOKUP(tables_569100!C237,input_569100!A:H,8,FALSE))</f>
        <v>22164.48</v>
      </c>
      <c r="P237" s="46">
        <f t="shared" ca="1" si="10"/>
        <v>1.0494545454465957E-3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input_569100!A$2</f>
        <v>569100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IFERROR(VLOOKUP(B238,input_569100!L:R,7,FALSE),VLOOKUP(tables_569100!C238,input_569100!A:H,8,FALSE))</f>
        <v>1152</v>
      </c>
      <c r="P238" s="46">
        <f t="shared" ca="1" si="10"/>
        <v>5.4545454545041357E-5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input_569100!A$2</f>
        <v>569100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IFERROR(VLOOKUP(B239,input_569100!L:R,7,FALSE),VLOOKUP(tables_569100!C239,input_569100!A:H,8,FALSE))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input_569100!A$2</f>
        <v>569100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IFERROR(VLOOKUP(B240,input_569100!L:R,7,FALSE),VLOOKUP(tables_569100!C240,input_569100!A:H,8,FALSE))</f>
        <v>183150</v>
      </c>
      <c r="P240" s="46">
        <f t="shared" ca="1" si="10"/>
        <v>8.6718749999343103E-3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input_569100!A$2</f>
        <v>569100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IFERROR(VLOOKUP(B241,input_569100!L:R,7,FALSE),VLOOKUP(tables_569100!C241,input_569100!A:H,8,FALSE))</f>
        <v>18207.92308</v>
      </c>
      <c r="P241" s="46">
        <f t="shared" ca="1" si="10"/>
        <v>8.6211757006922698E-4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input_569100!A$2</f>
        <v>569100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IFERROR(VLOOKUP(B242,input_569100!L:R,7,FALSE),VLOOKUP(tables_569100!C242,input_569100!A:H,8,FALSE))</f>
        <v>22164.48</v>
      </c>
      <c r="P242" s="46">
        <f t="shared" ca="1" si="10"/>
        <v>1.0494545454465957E-3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input_569100!A$2</f>
        <v>569100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IFERROR(VLOOKUP(B243,input_569100!L:R,7,FALSE),VLOOKUP(tables_569100!C243,input_569100!A:H,8,FALSE))</f>
        <v>1152</v>
      </c>
      <c r="P243" s="46">
        <f t="shared" ca="1" si="10"/>
        <v>5.4545454545041357E-5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input_569100!A$2</f>
        <v>569100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IFERROR(VLOOKUP(B244,input_569100!L:R,7,FALSE),VLOOKUP(tables_569100!C244,input_569100!A:H,8,FALSE))</f>
        <v>22164.48</v>
      </c>
      <c r="P244" s="46">
        <f t="shared" ca="1" si="10"/>
        <v>1.0494545454465957E-3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input_569100!A$2</f>
        <v>569100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IFERROR(VLOOKUP(B245,input_569100!L:R,7,FALSE),VLOOKUP(tables_569100!C245,input_569100!A:H,8,FALSE))</f>
        <v>1152</v>
      </c>
      <c r="P245" s="46">
        <f t="shared" ca="1" si="10"/>
        <v>5.4545454545041357E-5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input_569100!A$2</f>
        <v>569100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IFERROR(VLOOKUP(B246,input_569100!L:R,7,FALSE),VLOOKUP(tables_569100!C246,input_569100!A:H,8,FALSE))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input_569100!A$2</f>
        <v>569100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IFERROR(VLOOKUP(B247,input_569100!L:R,7,FALSE),VLOOKUP(tables_569100!C247,input_569100!A:H,8,FALSE))</f>
        <v>183150</v>
      </c>
      <c r="P247" s="46">
        <f t="shared" ca="1" si="10"/>
        <v>8.6718749999343103E-3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input_569100!A$2</f>
        <v>569100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IFERROR(VLOOKUP(B248,input_569100!L:R,7,FALSE),VLOOKUP(tables_569100!C248,input_569100!A:H,8,FALSE))</f>
        <v>18207.92308</v>
      </c>
      <c r="P248" s="46">
        <f t="shared" ca="1" si="10"/>
        <v>8.6211757006922698E-4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input_569100!A$2</f>
        <v>569100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IFERROR(VLOOKUP(B249,input_569100!L:R,7,FALSE),VLOOKUP(tables_569100!C249,input_569100!A:H,8,FALSE))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input_569100!A$2</f>
        <v>569100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IFERROR(VLOOKUP(B250,input_569100!L:R,7,FALSE),VLOOKUP(tables_569100!C250,input_569100!A:H,8,FALSE))</f>
        <v>183150</v>
      </c>
      <c r="P250" s="46">
        <f t="shared" ca="1" si="10"/>
        <v>8.6718749999343103E-3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input_569100!A$2</f>
        <v>569100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IFERROR(VLOOKUP(B251,input_569100!L:R,7,FALSE),VLOOKUP(tables_569100!C251,input_569100!A:H,8,FALSE))</f>
        <v>18207.92308</v>
      </c>
      <c r="P251" s="46">
        <f t="shared" ca="1" si="10"/>
        <v>8.6211757006922698E-4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input_569100!A$2</f>
        <v>569100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IFERROR(VLOOKUP(B252,input_569100!L:R,7,FALSE),VLOOKUP(tables_569100!C252,input_569100!A:H,8,FALSE))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input_569100!A$2</f>
        <v>569100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IFERROR(VLOOKUP(B253,input_569100!L:R,7,FALSE),VLOOKUP(tables_569100!C253,input_569100!A:H,8,FALSE))</f>
        <v>183150</v>
      </c>
      <c r="P253" s="46">
        <f t="shared" ca="1" si="10"/>
        <v>8.6718749999343103E-3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input_569100!A$2</f>
        <v>569100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IFERROR(VLOOKUP(B254,input_569100!L:R,7,FALSE),VLOOKUP(tables_569100!C254,input_569100!A:H,8,FALSE))</f>
        <v>18207.92308</v>
      </c>
      <c r="P254" s="46">
        <f t="shared" ca="1" si="10"/>
        <v>8.6211757006922698E-4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input_569100!A$2</f>
        <v>569100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IFERROR(VLOOKUP(B255,input_569100!L:R,7,FALSE),VLOOKUP(tables_569100!C255,input_569100!A:H,8,FALSE))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input_569100!A$2</f>
        <v>569100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IFERROR(VLOOKUP(B256,input_569100!L:R,7,FALSE),VLOOKUP(tables_569100!C256,input_569100!A:H,8,FALSE))</f>
        <v>183150</v>
      </c>
      <c r="P256" s="46">
        <f t="shared" ca="1" si="10"/>
        <v>8.6718749999343103E-3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input_569100!A$2</f>
        <v>569100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IFERROR(VLOOKUP(B257,input_569100!L:R,7,FALSE),VLOOKUP(tables_569100!C257,input_569100!A:H,8,FALSE))</f>
        <v>18207.92308</v>
      </c>
      <c r="P257" s="46">
        <f t="shared" ca="1" si="10"/>
        <v>8.6211757006922698E-4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input_569100!A$2</f>
        <v>569100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IFERROR(VLOOKUP(B258,input_569100!L:R,7,FALSE),VLOOKUP(tables_569100!C258,input_569100!A:H,8,FALSE))</f>
        <v>22164.48</v>
      </c>
      <c r="P258" s="46">
        <f t="shared" ref="P258:P321" ca="1" si="13">O258/SUM(O:O)</f>
        <v>1.0494545454465957E-3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input_569100!A$2</f>
        <v>569100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IFERROR(VLOOKUP(B259,input_569100!L:R,7,FALSE),VLOOKUP(tables_569100!C259,input_569100!A:H,8,FALSE))</f>
        <v>1152</v>
      </c>
      <c r="P259" s="46">
        <f t="shared" ca="1" si="13"/>
        <v>5.4545454545041357E-5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input_569100!A$2</f>
        <v>569100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IFERROR(VLOOKUP(B260,input_569100!L:R,7,FALSE),VLOOKUP(tables_569100!C260,input_569100!A:H,8,FALSE))</f>
        <v>22164.48</v>
      </c>
      <c r="P260" s="46">
        <f t="shared" ca="1" si="13"/>
        <v>1.0494545454465957E-3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input_569100!A$2</f>
        <v>569100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IFERROR(VLOOKUP(B261,input_569100!L:R,7,FALSE),VLOOKUP(tables_569100!C261,input_569100!A:H,8,FALSE))</f>
        <v>1152</v>
      </c>
      <c r="P261" s="46">
        <f t="shared" ca="1" si="13"/>
        <v>5.4545454545041357E-5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input_569100!A$2</f>
        <v>569100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IFERROR(VLOOKUP(B262,input_569100!L:R,7,FALSE),VLOOKUP(tables_569100!C262,input_569100!A:H,8,FALSE))</f>
        <v>177045</v>
      </c>
      <c r="P262" s="46">
        <f t="shared" ca="1" si="13"/>
        <v>8.3828124999365001E-3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input_569100!A$2</f>
        <v>569100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IFERROR(VLOOKUP(B263,input_569100!L:R,7,FALSE),VLOOKUP(tables_569100!C263,input_569100!A:H,8,FALSE))</f>
        <v>20350</v>
      </c>
      <c r="P263" s="46">
        <f t="shared" ca="1" si="13"/>
        <v>9.6354166665936773E-4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input_569100!A$2</f>
        <v>569100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IFERROR(VLOOKUP(B264,input_569100!L:R,7,FALSE),VLOOKUP(tables_569100!C264,input_569100!A:H,8,FALSE))</f>
        <v>177045</v>
      </c>
      <c r="P264" s="46">
        <f t="shared" ca="1" si="13"/>
        <v>8.3828124999365001E-3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input_569100!A$2</f>
        <v>569100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IFERROR(VLOOKUP(B265,input_569100!L:R,7,FALSE),VLOOKUP(tables_569100!C265,input_569100!A:H,8,FALSE))</f>
        <v>20350</v>
      </c>
      <c r="P265" s="46">
        <f t="shared" ca="1" si="13"/>
        <v>9.6354166665936773E-4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input_569100!A$2</f>
        <v>569100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IFERROR(VLOOKUP(B266,input_569100!L:R,7,FALSE),VLOOKUP(tables_569100!C266,input_569100!A:H,8,FALSE))</f>
        <v>1152</v>
      </c>
      <c r="P266" s="46">
        <f t="shared" ca="1" si="13"/>
        <v>5.4545454545041357E-5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input_569100!A$2</f>
        <v>569100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IFERROR(VLOOKUP(B267,input_569100!L:R,7,FALSE),VLOOKUP(tables_569100!C267,input_569100!A:H,8,FALSE))</f>
        <v>1152</v>
      </c>
      <c r="P267" s="46">
        <f t="shared" ca="1" si="13"/>
        <v>5.4545454545041357E-5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input_569100!A$2</f>
        <v>569100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IFERROR(VLOOKUP(B268,input_569100!L:R,7,FALSE),VLOOKUP(tables_569100!C268,input_569100!A:H,8,FALSE))</f>
        <v>1152</v>
      </c>
      <c r="P268" s="46">
        <f t="shared" ca="1" si="13"/>
        <v>5.4545454545041357E-5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input_569100!A$2</f>
        <v>569100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IFERROR(VLOOKUP(B269,input_569100!L:R,7,FALSE),VLOOKUP(tables_569100!C269,input_569100!A:H,8,FALSE))</f>
        <v>1152</v>
      </c>
      <c r="P269" s="46">
        <f t="shared" ca="1" si="13"/>
        <v>5.4545454545041357E-5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input_569100!A$2</f>
        <v>569100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IFERROR(VLOOKUP(B270,input_569100!L:R,7,FALSE),VLOOKUP(tables_569100!C270,input_569100!A:H,8,FALSE))</f>
        <v>177045</v>
      </c>
      <c r="P270" s="46">
        <f t="shared" ca="1" si="13"/>
        <v>8.3828124999365001E-3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input_569100!A$2</f>
        <v>569100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IFERROR(VLOOKUP(B271,input_569100!L:R,7,FALSE),VLOOKUP(tables_569100!C271,input_569100!A:H,8,FALSE))</f>
        <v>20350</v>
      </c>
      <c r="P271" s="46">
        <f t="shared" ca="1" si="13"/>
        <v>9.6354166665936773E-4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input_569100!A$2</f>
        <v>569100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IFERROR(VLOOKUP(B272,input_569100!L:R,7,FALSE),VLOOKUP(tables_569100!C272,input_569100!A:H,8,FALSE))</f>
        <v>177045</v>
      </c>
      <c r="P272" s="46">
        <f t="shared" ca="1" si="13"/>
        <v>8.3828124999365001E-3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input_569100!A$2</f>
        <v>569100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IFERROR(VLOOKUP(B273,input_569100!L:R,7,FALSE),VLOOKUP(tables_569100!C273,input_569100!A:H,8,FALSE))</f>
        <v>20350</v>
      </c>
      <c r="P273" s="46">
        <f t="shared" ca="1" si="13"/>
        <v>9.6354166665936773E-4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input_569100!A$2</f>
        <v>569100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IFERROR(VLOOKUP(B274,input_569100!L:R,7,FALSE),VLOOKUP(tables_569100!C274,input_569100!A:H,8,FALSE))</f>
        <v>22164.48</v>
      </c>
      <c r="P274" s="46">
        <f t="shared" ca="1" si="13"/>
        <v>1.0494545454465957E-3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input_569100!A$2</f>
        <v>569100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IFERROR(VLOOKUP(B275,input_569100!L:R,7,FALSE),VLOOKUP(tables_569100!C275,input_569100!A:H,8,FALSE))</f>
        <v>1152</v>
      </c>
      <c r="P275" s="46">
        <f t="shared" ca="1" si="13"/>
        <v>5.4545454545041357E-5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input_569100!A$2</f>
        <v>569100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IFERROR(VLOOKUP(B276,input_569100!L:R,7,FALSE),VLOOKUP(tables_569100!C276,input_569100!A:H,8,FALSE))</f>
        <v>22164.48</v>
      </c>
      <c r="P276" s="46">
        <f t="shared" ca="1" si="13"/>
        <v>1.0494545454465957E-3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input_569100!A$2</f>
        <v>569100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IFERROR(VLOOKUP(B277,input_569100!L:R,7,FALSE),VLOOKUP(tables_569100!C277,input_569100!A:H,8,FALSE))</f>
        <v>1152</v>
      </c>
      <c r="P277" s="46">
        <f t="shared" ca="1" si="13"/>
        <v>5.4545454545041357E-5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input_569100!A$2</f>
        <v>569100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IFERROR(VLOOKUP(B278,input_569100!L:R,7,FALSE),VLOOKUP(tables_569100!C278,input_569100!A:H,8,FALSE))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input_569100!A$2</f>
        <v>569100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IFERROR(VLOOKUP(B279,input_569100!L:R,7,FALSE),VLOOKUP(tables_569100!C279,input_569100!A:H,8,FALSE))</f>
        <v>183150</v>
      </c>
      <c r="P279" s="46">
        <f t="shared" ca="1" si="13"/>
        <v>8.6718749999343103E-3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input_569100!A$2</f>
        <v>569100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IFERROR(VLOOKUP(B280,input_569100!L:R,7,FALSE),VLOOKUP(tables_569100!C280,input_569100!A:H,8,FALSE))</f>
        <v>18207.92308</v>
      </c>
      <c r="P280" s="46">
        <f t="shared" ca="1" si="13"/>
        <v>8.6211757006922698E-4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input_569100!A$2</f>
        <v>569100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IFERROR(VLOOKUP(B281,input_569100!L:R,7,FALSE),VLOOKUP(tables_569100!C281,input_569100!A:H,8,FALSE))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input_569100!A$2</f>
        <v>569100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IFERROR(VLOOKUP(B282,input_569100!L:R,7,FALSE),VLOOKUP(tables_569100!C282,input_569100!A:H,8,FALSE))</f>
        <v>183150</v>
      </c>
      <c r="P282" s="46">
        <f t="shared" ca="1" si="13"/>
        <v>8.6718749999343103E-3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input_569100!A$2</f>
        <v>569100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IFERROR(VLOOKUP(B283,input_569100!L:R,7,FALSE),VLOOKUP(tables_569100!C283,input_569100!A:H,8,FALSE))</f>
        <v>18207.92308</v>
      </c>
      <c r="P283" s="46">
        <f t="shared" ca="1" si="13"/>
        <v>8.6211757006922698E-4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input_569100!A$2</f>
        <v>569100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IFERROR(VLOOKUP(B284,input_569100!L:R,7,FALSE),VLOOKUP(tables_569100!C284,input_569100!A:H,8,FALSE))</f>
        <v>1152</v>
      </c>
      <c r="P284" s="46">
        <f t="shared" ca="1" si="13"/>
        <v>5.4545454545041357E-5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input_569100!A$2</f>
        <v>569100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IFERROR(VLOOKUP(B285,input_569100!L:R,7,FALSE),VLOOKUP(tables_569100!C285,input_569100!A:H,8,FALSE))</f>
        <v>1152</v>
      </c>
      <c r="P285" s="46">
        <f t="shared" ca="1" si="13"/>
        <v>5.4545454545041357E-5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input_569100!A$2</f>
        <v>569100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IFERROR(VLOOKUP(B286,input_569100!L:R,7,FALSE),VLOOKUP(tables_569100!C286,input_569100!A:H,8,FALSE))</f>
        <v>177045</v>
      </c>
      <c r="P286" s="46">
        <f t="shared" ca="1" si="13"/>
        <v>8.3828124999365001E-3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input_569100!A$2</f>
        <v>569100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IFERROR(VLOOKUP(B287,input_569100!L:R,7,FALSE),VLOOKUP(tables_569100!C287,input_569100!A:H,8,FALSE))</f>
        <v>20350</v>
      </c>
      <c r="P287" s="46">
        <f t="shared" ca="1" si="13"/>
        <v>9.6354166665936773E-4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input_569100!A$2</f>
        <v>569100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IFERROR(VLOOKUP(B288,input_569100!L:R,7,FALSE),VLOOKUP(tables_569100!C288,input_569100!A:H,8,FALSE))</f>
        <v>177045</v>
      </c>
      <c r="P288" s="46">
        <f t="shared" ca="1" si="13"/>
        <v>8.3828124999365001E-3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input_569100!A$2</f>
        <v>569100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IFERROR(VLOOKUP(B289,input_569100!L:R,7,FALSE),VLOOKUP(tables_569100!C289,input_569100!A:H,8,FALSE))</f>
        <v>20350</v>
      </c>
      <c r="P289" s="46">
        <f t="shared" ca="1" si="13"/>
        <v>9.6354166665936773E-4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input_569100!A$2</f>
        <v>569100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IFERROR(VLOOKUP(B290,input_569100!L:R,7,FALSE),VLOOKUP(tables_569100!C290,input_569100!A:H,8,FALSE))</f>
        <v>177045</v>
      </c>
      <c r="P290" s="46">
        <f t="shared" ca="1" si="13"/>
        <v>8.3828124999365001E-3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input_569100!A$2</f>
        <v>569100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IFERROR(VLOOKUP(B291,input_569100!L:R,7,FALSE),VLOOKUP(tables_569100!C291,input_569100!A:H,8,FALSE))</f>
        <v>20350</v>
      </c>
      <c r="P291" s="46">
        <f t="shared" ca="1" si="13"/>
        <v>9.6354166665936773E-4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input_569100!A$2</f>
        <v>569100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IFERROR(VLOOKUP(B292,input_569100!L:R,7,FALSE),VLOOKUP(tables_569100!C292,input_569100!A:H,8,FALSE))</f>
        <v>177045</v>
      </c>
      <c r="P292" s="46">
        <f t="shared" ca="1" si="13"/>
        <v>8.3828124999365001E-3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input_569100!A$2</f>
        <v>569100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IFERROR(VLOOKUP(B293,input_569100!L:R,7,FALSE),VLOOKUP(tables_569100!C293,input_569100!A:H,8,FALSE))</f>
        <v>20350</v>
      </c>
      <c r="P293" s="46">
        <f t="shared" ca="1" si="13"/>
        <v>9.6354166665936773E-4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input_569100!A$2</f>
        <v>569100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IFERROR(VLOOKUP(B294,input_569100!L:R,7,FALSE),VLOOKUP(tables_569100!C294,input_569100!A:H,8,FALSE))</f>
        <v>1152</v>
      </c>
      <c r="P294" s="46">
        <f t="shared" ca="1" si="13"/>
        <v>5.4545454545041357E-5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input_569100!A$2</f>
        <v>569100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IFERROR(VLOOKUP(B295,input_569100!L:R,7,FALSE),VLOOKUP(tables_569100!C295,input_569100!A:H,8,FALSE))</f>
        <v>1152</v>
      </c>
      <c r="P295" s="46">
        <f t="shared" ca="1" si="13"/>
        <v>5.4545454545041357E-5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input_569100!A$2</f>
        <v>569100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IFERROR(VLOOKUP(B296,input_569100!L:R,7,FALSE),VLOOKUP(tables_569100!C296,input_569100!A:H,8,FALSE))</f>
        <v>1152</v>
      </c>
      <c r="P296" s="46">
        <f t="shared" ca="1" si="13"/>
        <v>5.4545454545041357E-5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input_569100!A$2</f>
        <v>569100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IFERROR(VLOOKUP(B297,input_569100!L:R,7,FALSE),VLOOKUP(tables_569100!C297,input_569100!A:H,8,FALSE))</f>
        <v>177045</v>
      </c>
      <c r="P297" s="46">
        <f t="shared" ca="1" si="13"/>
        <v>8.3828124999365001E-3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input_569100!A$2</f>
        <v>569100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IFERROR(VLOOKUP(B298,input_569100!L:R,7,FALSE),VLOOKUP(tables_569100!C298,input_569100!A:H,8,FALSE))</f>
        <v>20350</v>
      </c>
      <c r="P298" s="46">
        <f t="shared" ca="1" si="13"/>
        <v>9.6354166665936773E-4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input_569100!A$2</f>
        <v>569100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IFERROR(VLOOKUP(B299,input_569100!L:R,7,FALSE),VLOOKUP(tables_569100!C299,input_569100!A:H,8,FALSE))</f>
        <v>1152</v>
      </c>
      <c r="P299" s="46">
        <f t="shared" ca="1" si="13"/>
        <v>5.4545454545041357E-5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input_569100!A$2</f>
        <v>569100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IFERROR(VLOOKUP(B300,input_569100!L:R,7,FALSE),VLOOKUP(tables_569100!C300,input_569100!A:H,8,FALSE))</f>
        <v>1152</v>
      </c>
      <c r="P300" s="46">
        <f t="shared" ca="1" si="13"/>
        <v>5.4545454545041357E-5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input_569100!A$2</f>
        <v>569100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IFERROR(VLOOKUP(B301,input_569100!L:R,7,FALSE),VLOOKUP(tables_569100!C301,input_569100!A:H,8,FALSE))</f>
        <v>1152</v>
      </c>
      <c r="P301" s="46">
        <f t="shared" ca="1" si="13"/>
        <v>5.4545454545041357E-5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input_569100!A$2</f>
        <v>569100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IFERROR(VLOOKUP(B302,input_569100!L:R,7,FALSE),VLOOKUP(tables_569100!C302,input_569100!A:H,8,FALSE))</f>
        <v>1152</v>
      </c>
      <c r="P302" s="46">
        <f t="shared" ca="1" si="13"/>
        <v>5.4545454545041357E-5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input_569100!A$2</f>
        <v>569100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IFERROR(VLOOKUP(B303,input_569100!L:R,7,FALSE),VLOOKUP(tables_569100!C303,input_569100!A:H,8,FALSE))</f>
        <v>177045</v>
      </c>
      <c r="P303" s="46">
        <f t="shared" ca="1" si="13"/>
        <v>8.3828124999365001E-3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input_569100!A$2</f>
        <v>569100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IFERROR(VLOOKUP(B304,input_569100!L:R,7,FALSE),VLOOKUP(tables_569100!C304,input_569100!A:H,8,FALSE))</f>
        <v>20350</v>
      </c>
      <c r="P304" s="46">
        <f t="shared" ca="1" si="13"/>
        <v>9.6354166665936773E-4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input_569100!A$2</f>
        <v>569100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IFERROR(VLOOKUP(B305,input_569100!L:R,7,FALSE),VLOOKUP(tables_569100!C305,input_569100!A:H,8,FALSE))</f>
        <v>1152</v>
      </c>
      <c r="P305" s="46">
        <f t="shared" ca="1" si="13"/>
        <v>5.4545454545041357E-5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input_569100!A$2</f>
        <v>569100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IFERROR(VLOOKUP(B306,input_569100!L:R,7,FALSE),VLOOKUP(tables_569100!C306,input_569100!A:H,8,FALSE))</f>
        <v>177045</v>
      </c>
      <c r="P306" s="46">
        <f t="shared" ca="1" si="13"/>
        <v>8.3828124999365001E-3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input_569100!A$2</f>
        <v>569100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IFERROR(VLOOKUP(B307,input_569100!L:R,7,FALSE),VLOOKUP(tables_569100!C307,input_569100!A:H,8,FALSE))</f>
        <v>20350</v>
      </c>
      <c r="P307" s="46">
        <f t="shared" ca="1" si="13"/>
        <v>9.6354166665936773E-4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input_569100!A$2</f>
        <v>569100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IFERROR(VLOOKUP(B308,input_569100!L:R,7,FALSE),VLOOKUP(tables_569100!C308,input_569100!A:H,8,FALSE))</f>
        <v>1152</v>
      </c>
      <c r="P308" s="46">
        <f t="shared" ca="1" si="13"/>
        <v>5.4545454545041357E-5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input_569100!A$2</f>
        <v>569100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IFERROR(VLOOKUP(B309,input_569100!L:R,7,FALSE),VLOOKUP(tables_569100!C309,input_569100!A:H,8,FALSE))</f>
        <v>1152</v>
      </c>
      <c r="P309" s="46">
        <f t="shared" ca="1" si="13"/>
        <v>5.4545454545041357E-5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input_569100!A$2</f>
        <v>569100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IFERROR(VLOOKUP(B310,input_569100!L:R,7,FALSE),VLOOKUP(tables_569100!C310,input_569100!A:H,8,FALSE))</f>
        <v>1152</v>
      </c>
      <c r="P310" s="46">
        <f t="shared" ca="1" si="13"/>
        <v>5.4545454545041357E-5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input_569100!A$2</f>
        <v>569100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IFERROR(VLOOKUP(B311,input_569100!L:R,7,FALSE),VLOOKUP(tables_569100!C311,input_569100!A:H,8,FALSE))</f>
        <v>177045</v>
      </c>
      <c r="P311" s="46">
        <f t="shared" ca="1" si="13"/>
        <v>8.3828124999365001E-3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input_569100!A$2</f>
        <v>569100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IFERROR(VLOOKUP(B312,input_569100!L:R,7,FALSE),VLOOKUP(tables_569100!C312,input_569100!A:H,8,FALSE))</f>
        <v>20350</v>
      </c>
      <c r="P312" s="46">
        <f t="shared" ca="1" si="13"/>
        <v>9.6354166665936773E-4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input_569100!A$2</f>
        <v>569100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IFERROR(VLOOKUP(B313,input_569100!L:R,7,FALSE),VLOOKUP(tables_569100!C313,input_569100!A:H,8,FALSE))</f>
        <v>1152</v>
      </c>
      <c r="P313" s="46">
        <f t="shared" ca="1" si="13"/>
        <v>5.4545454545041357E-5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input_569100!A$2</f>
        <v>569100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IFERROR(VLOOKUP(B314,input_569100!L:R,7,FALSE),VLOOKUP(tables_569100!C314,input_569100!A:H,8,FALSE))</f>
        <v>1152</v>
      </c>
      <c r="P314" s="46">
        <f t="shared" ca="1" si="13"/>
        <v>5.4545454545041357E-5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input_569100!A$2</f>
        <v>569100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IFERROR(VLOOKUP(B315,input_569100!L:R,7,FALSE),VLOOKUP(tables_569100!C315,input_569100!A:H,8,FALSE))</f>
        <v>1152</v>
      </c>
      <c r="P315" s="46">
        <f t="shared" ca="1" si="13"/>
        <v>5.4545454545041357E-5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input_569100!A$2</f>
        <v>569100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IFERROR(VLOOKUP(B316,input_569100!L:R,7,FALSE),VLOOKUP(tables_569100!C316,input_569100!A:H,8,FALSE))</f>
        <v>1152</v>
      </c>
      <c r="P316" s="46">
        <f t="shared" ca="1" si="13"/>
        <v>5.4545454545041357E-5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input_569100!A$2</f>
        <v>569100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IFERROR(VLOOKUP(B317,input_569100!L:R,7,FALSE),VLOOKUP(tables_569100!C317,input_569100!A:H,8,FALSE))</f>
        <v>1152</v>
      </c>
      <c r="P317" s="46">
        <f t="shared" ca="1" si="13"/>
        <v>5.4545454545041357E-5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input_569100!A$2</f>
        <v>569100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IFERROR(VLOOKUP(B318,input_569100!L:R,7,FALSE),VLOOKUP(tables_569100!C318,input_569100!A:H,8,FALSE))</f>
        <v>177045</v>
      </c>
      <c r="P318" s="46">
        <f t="shared" ca="1" si="13"/>
        <v>8.3828124999365001E-3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input_569100!A$2</f>
        <v>569100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IFERROR(VLOOKUP(B319,input_569100!L:R,7,FALSE),VLOOKUP(tables_569100!C319,input_569100!A:H,8,FALSE))</f>
        <v>20350</v>
      </c>
      <c r="P319" s="46">
        <f t="shared" ca="1" si="13"/>
        <v>9.6354166665936773E-4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input_569100!A$2</f>
        <v>569100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IFERROR(VLOOKUP(B320,input_569100!L:R,7,FALSE),VLOOKUP(tables_569100!C320,input_569100!A:H,8,FALSE))</f>
        <v>1152</v>
      </c>
      <c r="P320" s="46">
        <f t="shared" ca="1" si="13"/>
        <v>5.4545454545041357E-5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input_569100!A$2</f>
        <v>569100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IFERROR(VLOOKUP(B321,input_569100!L:R,7,FALSE),VLOOKUP(tables_569100!C321,input_569100!A:H,8,FALSE))</f>
        <v>1152</v>
      </c>
      <c r="P321" s="46">
        <f t="shared" ca="1" si="13"/>
        <v>5.4545454545041357E-5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input_569100!A$2</f>
        <v>569100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IFERROR(VLOOKUP(B322,input_569100!L:R,7,FALSE),VLOOKUP(tables_569100!C322,input_569100!A:H,8,FALSE))</f>
        <v>1152</v>
      </c>
      <c r="P322" s="46">
        <f t="shared" ref="P322:P340" ca="1" si="26">O322/SUM(O:O)</f>
        <v>5.4545454545041357E-5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input_569100!A$2</f>
        <v>569100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IFERROR(VLOOKUP(B323,input_569100!L:R,7,FALSE),VLOOKUP(tables_569100!C323,input_569100!A:H,8,FALSE))</f>
        <v>1152</v>
      </c>
      <c r="P323" s="46">
        <f t="shared" ca="1" si="26"/>
        <v>5.4545454545041357E-5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input_569100!A$2</f>
        <v>569100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IFERROR(VLOOKUP(B324,input_569100!L:R,7,FALSE),VLOOKUP(tables_569100!C324,input_569100!A:H,8,FALSE))</f>
        <v>177045</v>
      </c>
      <c r="P324" s="46">
        <f t="shared" ca="1" si="26"/>
        <v>8.3828124999365001E-3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input_569100!A$2</f>
        <v>569100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IFERROR(VLOOKUP(B325,input_569100!L:R,7,FALSE),VLOOKUP(tables_569100!C325,input_569100!A:H,8,FALSE))</f>
        <v>20350</v>
      </c>
      <c r="P325" s="46">
        <f t="shared" ca="1" si="26"/>
        <v>9.6354166665936773E-4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input_569100!A$2</f>
        <v>569100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IFERROR(VLOOKUP(B326,input_569100!L:R,7,FALSE),VLOOKUP(tables_569100!C326,input_569100!A:H,8,FALSE))</f>
        <v>177045</v>
      </c>
      <c r="P326" s="46">
        <f t="shared" ca="1" si="26"/>
        <v>8.3828124999365001E-3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input_569100!A$2</f>
        <v>569100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IFERROR(VLOOKUP(B327,input_569100!L:R,7,FALSE),VLOOKUP(tables_569100!C327,input_569100!A:H,8,FALSE))</f>
        <v>20350</v>
      </c>
      <c r="P327" s="46">
        <f t="shared" ca="1" si="26"/>
        <v>9.6354166665936773E-4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input_569100!A$2</f>
        <v>569100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IFERROR(VLOOKUP(B328,input_569100!L:R,7,FALSE),VLOOKUP(tables_569100!C328,input_569100!A:H,8,FALSE))</f>
        <v>1152</v>
      </c>
      <c r="P328" s="46">
        <f t="shared" ca="1" si="26"/>
        <v>5.4545454545041357E-5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input_569100!A$2</f>
        <v>569100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IFERROR(VLOOKUP(B329,input_569100!L:R,7,FALSE),VLOOKUP(tables_569100!C329,input_569100!A:H,8,FALSE))</f>
        <v>1152</v>
      </c>
      <c r="P329" s="46">
        <f t="shared" ca="1" si="26"/>
        <v>5.4545454545041357E-5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input_569100!A$2</f>
        <v>569100</v>
      </c>
      <c r="B330" s="2">
        <v>1157</v>
      </c>
      <c r="C330" s="7" t="str">
        <f t="shared" si="28"/>
        <v>PremiumSS5R5only</v>
      </c>
      <c r="D330" s="93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IFERROR(VLOOKUP(B330,input_569100!L:R,7,FALSE),VLOOKUP(tables_569100!C330,input_569100!A:H,8,FALSE))</f>
        <v>1152</v>
      </c>
      <c r="P330" s="46">
        <f t="shared" ca="1" si="26"/>
        <v>5.4545454545041357E-5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input_569100!A$2</f>
        <v>569100</v>
      </c>
      <c r="B331" s="60">
        <v>1214</v>
      </c>
      <c r="C331" s="7" t="str">
        <f t="shared" ref="C331:C335" si="29">D331&amp;J331&amp;E331&amp;F331&amp;G331</f>
        <v>PremiumSS5R5only</v>
      </c>
      <c r="D331" s="93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IFERROR(VLOOKUP(B331,input_569100!L:R,7,FALSE),VLOOKUP(tables_569100!C331,input_569100!A:H,8,FALSE))</f>
        <v>1152</v>
      </c>
      <c r="P331" s="46">
        <f t="shared" ca="1" si="26"/>
        <v>5.4545454545041357E-5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input_569100!A$2</f>
        <v>569100</v>
      </c>
      <c r="B332" s="60">
        <v>1212</v>
      </c>
      <c r="C332" s="7" t="str">
        <f t="shared" si="29"/>
        <v>PremiumSS5R5only</v>
      </c>
      <c r="D332" s="93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IFERROR(VLOOKUP(B332,input_569100!L:R,7,FALSE),VLOOKUP(tables_569100!C332,input_569100!A:H,8,FALSE))</f>
        <v>1152</v>
      </c>
      <c r="P332" s="46">
        <f t="shared" ca="1" si="26"/>
        <v>5.4545454545041357E-5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input_569100!A$2</f>
        <v>569100</v>
      </c>
      <c r="B333" s="60">
        <v>1208</v>
      </c>
      <c r="C333" s="7" t="str">
        <f t="shared" si="29"/>
        <v>PremiumSS5R5only</v>
      </c>
      <c r="D333" s="93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IFERROR(VLOOKUP(B333,input_569100!L:R,7,FALSE),VLOOKUP(tables_569100!C333,input_569100!A:H,8,FALSE))</f>
        <v>1152</v>
      </c>
      <c r="P333" s="46">
        <f t="shared" ca="1" si="26"/>
        <v>5.4545454545041357E-5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input_569100!A$2</f>
        <v>569100</v>
      </c>
      <c r="B334" s="89">
        <v>1210</v>
      </c>
      <c r="C334" s="7" t="str">
        <f t="shared" si="29"/>
        <v>Premium4R3less</v>
      </c>
      <c r="D334" s="93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IFERROR(VLOOKUP(B334,input_569100!L:R,7,FALSE),VLOOKUP(tables_569100!C334,input_569100!A:H,8,FALSE))</f>
        <v>177045</v>
      </c>
      <c r="P334" s="46">
        <f t="shared" ca="1" si="26"/>
        <v>8.3828124999365001E-3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input_569100!A$2</f>
        <v>569100</v>
      </c>
      <c r="B335" s="60">
        <v>1211</v>
      </c>
      <c r="C335" s="7" t="str">
        <f t="shared" si="29"/>
        <v>Premium5R3less</v>
      </c>
      <c r="D335" s="93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IFERROR(VLOOKUP(B335,input_569100!L:R,7,FALSE),VLOOKUP(tables_569100!C335,input_569100!A:H,8,FALSE))</f>
        <v>20350</v>
      </c>
      <c r="P335" s="46">
        <f t="shared" ca="1" si="26"/>
        <v>9.6354166665936773E-4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input_569100!A$2</f>
        <v>569100</v>
      </c>
      <c r="B336" s="2">
        <v>1224</v>
      </c>
      <c r="C336" s="7" t="str">
        <f t="shared" ref="C336:C340" si="31">D336&amp;J336&amp;E336&amp;F336&amp;G336</f>
        <v>Premium4R3less</v>
      </c>
      <c r="D336" s="93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IFERROR(VLOOKUP(B336,input_569100!L:R,7,FALSE),VLOOKUP(tables_569100!C336,input_569100!A:H,8,FALSE))</f>
        <v>177045</v>
      </c>
      <c r="P336" s="46">
        <f t="shared" ca="1" si="26"/>
        <v>8.3828124999365001E-3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input_569100!A$2</f>
        <v>569100</v>
      </c>
      <c r="B337" s="2">
        <v>1225</v>
      </c>
      <c r="C337" s="7" t="str">
        <f t="shared" si="31"/>
        <v>Premium5R3less</v>
      </c>
      <c r="D337" s="93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IFERROR(VLOOKUP(B337,input_569100!L:R,7,FALSE),VLOOKUP(tables_569100!C337,input_569100!A:H,8,FALSE))</f>
        <v>20350</v>
      </c>
      <c r="P337" s="46">
        <f t="shared" ca="1" si="26"/>
        <v>9.6354166665936773E-4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input_569100!A$2</f>
        <v>569100</v>
      </c>
      <c r="B338" s="2">
        <v>1226</v>
      </c>
      <c r="C338" s="7" t="str">
        <f t="shared" si="31"/>
        <v>PremiumSS5R5only</v>
      </c>
      <c r="D338" s="93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IFERROR(VLOOKUP(B338,input_569100!L:R,7,FALSE),VLOOKUP(tables_569100!C338,input_569100!A:H,8,FALSE))</f>
        <v>1152</v>
      </c>
      <c r="P338" s="46">
        <f t="shared" ca="1" si="26"/>
        <v>5.4545454545041357E-5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input_569100!A$2</f>
        <v>569100</v>
      </c>
      <c r="B339" s="2">
        <v>1228</v>
      </c>
      <c r="C339" s="7" t="str">
        <f t="shared" si="31"/>
        <v>PremiumSS5R5only</v>
      </c>
      <c r="D339" s="93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IFERROR(VLOOKUP(B339,input_569100!L:R,7,FALSE),VLOOKUP(tables_569100!C339,input_569100!A:H,8,FALSE))</f>
        <v>1152</v>
      </c>
      <c r="P339" s="46">
        <f t="shared" ca="1" si="26"/>
        <v>5.4545454545041357E-5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input_569100!A$2</f>
        <v>569100</v>
      </c>
      <c r="B340" s="2">
        <v>1230</v>
      </c>
      <c r="C340" s="7" t="str">
        <f t="shared" si="31"/>
        <v>PremiumSS5R5only</v>
      </c>
      <c r="D340" s="93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IFERROR(VLOOKUP(B340,input_569100!L:R,7,FALSE),VLOOKUP(tables_569100!C340,input_569100!A:H,8,FALSE))</f>
        <v>1152</v>
      </c>
      <c r="P340" s="46">
        <f t="shared" ca="1" si="26"/>
        <v>5.4545454545041357E-5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input_569100!A$2</f>
        <v>569100</v>
      </c>
      <c r="B341" s="94">
        <v>1244</v>
      </c>
      <c r="C341" s="7" t="str">
        <f t="shared" ref="C341:C346" si="33">D341&amp;J341&amp;E341&amp;F341&amp;G341</f>
        <v>PremiumSS5R5only</v>
      </c>
      <c r="D341" s="93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IFERROR(VLOOKUP(B341,input_569100!L:R,7,FALSE),VLOOKUP(tables_569100!C341,input_569100!A:H,8,FALSE))</f>
        <v>1152</v>
      </c>
      <c r="P341" s="46">
        <f t="shared" ref="P341:P346" ca="1" si="35">O341/SUM(O:O)</f>
        <v>5.4545454545041357E-5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input_569100!A$2</f>
        <v>569100</v>
      </c>
      <c r="B342" s="94">
        <v>1246</v>
      </c>
      <c r="C342" s="7" t="str">
        <f t="shared" si="33"/>
        <v>PremiumSS5R5only</v>
      </c>
      <c r="D342" s="93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IFERROR(VLOOKUP(B342,input_569100!L:R,7,FALSE),VLOOKUP(tables_569100!C342,input_569100!A:H,8,FALSE))</f>
        <v>1152</v>
      </c>
      <c r="P342" s="46">
        <f t="shared" ca="1" si="35"/>
        <v>5.4545454545041357E-5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input_569100!A$2</f>
        <v>569100</v>
      </c>
      <c r="B343" s="94">
        <v>1248</v>
      </c>
      <c r="C343" s="7" t="str">
        <f t="shared" si="33"/>
        <v>Premium4R3less</v>
      </c>
      <c r="D343" s="93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IFERROR(VLOOKUP(B343,input_569100!L:R,7,FALSE),VLOOKUP(tables_569100!C343,input_569100!A:H,8,FALSE))</f>
        <v>177045</v>
      </c>
      <c r="P343" s="46">
        <f t="shared" ca="1" si="35"/>
        <v>8.3828124999365001E-3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input_569100!A$2</f>
        <v>569100</v>
      </c>
      <c r="B344" s="94">
        <v>1249</v>
      </c>
      <c r="C344" s="7" t="str">
        <f t="shared" si="33"/>
        <v>Premium5R3less</v>
      </c>
      <c r="D344" s="93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IFERROR(VLOOKUP(B344,input_569100!L:R,7,FALSE),VLOOKUP(tables_569100!C344,input_569100!A:H,8,FALSE))</f>
        <v>20350</v>
      </c>
      <c r="P344" s="46">
        <f t="shared" ca="1" si="35"/>
        <v>9.6354166665936773E-4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input_569100!A$2</f>
        <v>569100</v>
      </c>
      <c r="B345" s="94">
        <v>1250</v>
      </c>
      <c r="C345" s="7" t="str">
        <f t="shared" si="33"/>
        <v>PremiumSS5R5only</v>
      </c>
      <c r="D345" s="93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IFERROR(VLOOKUP(B345,input_569100!L:R,7,FALSE),VLOOKUP(tables_569100!C345,input_569100!A:H,8,FALSE))</f>
        <v>1152</v>
      </c>
      <c r="P345" s="46">
        <f t="shared" ca="1" si="35"/>
        <v>5.4545454545041357E-5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input_569100!A$2</f>
        <v>569100</v>
      </c>
      <c r="B346" s="1">
        <v>1260</v>
      </c>
      <c r="C346" s="7" t="str">
        <f t="shared" si="33"/>
        <v>PremiumSS5R5only</v>
      </c>
      <c r="D346" s="93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IFERROR(VLOOKUP(B346,input_569100!L:R,7,FALSE),VLOOKUP(tables_569100!C346,input_569100!A:H,8,FALSE))</f>
        <v>1152</v>
      </c>
      <c r="P346" s="46">
        <f t="shared" ca="1" si="35"/>
        <v>5.4545454545041357E-5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input_569100!A$2</f>
        <v>569100</v>
      </c>
      <c r="B347" s="1">
        <v>1262</v>
      </c>
      <c r="C347" s="7" t="str">
        <f t="shared" ref="C347" si="36">D347&amp;J347&amp;E347&amp;F347&amp;G347</f>
        <v>PremiumSS5R5only</v>
      </c>
      <c r="D347" s="93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IFERROR(VLOOKUP(B347,input_569100!L:R,7,FALSE),VLOOKUP(tables_569100!C347,input_569100!A:H,8,FALSE))</f>
        <v>1152</v>
      </c>
      <c r="P347" s="46">
        <f ca="1">O347/SUM(O:O)</f>
        <v>5.4545454545041357E-5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input_569100!A$2</f>
        <v>569100</v>
      </c>
      <c r="B348" s="1">
        <v>1264</v>
      </c>
      <c r="C348" s="7" t="str">
        <f t="shared" ref="C348:C355" si="38">D348&amp;J348&amp;E348&amp;F348&amp;G348</f>
        <v>PremiumSS5R5only</v>
      </c>
      <c r="D348" s="93" t="str">
        <f t="shared" ref="D348:D355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IFERROR(VLOOKUP(B348,input_569100!L:R,7,FALSE),VLOOKUP(tables_569100!C348,input_569100!A:H,8,FALSE))</f>
        <v>1152</v>
      </c>
      <c r="P348" s="46">
        <f t="shared" ref="P348:P355" ca="1" si="40">O348/SUM(O:O)</f>
        <v>5.4545454545041357E-5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input_569100!A$2</f>
        <v>569100</v>
      </c>
      <c r="B349" s="1">
        <v>1266</v>
      </c>
      <c r="C349" s="7" t="str">
        <f t="shared" si="38"/>
        <v>Premium4R3less</v>
      </c>
      <c r="D349" s="93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IFERROR(VLOOKUP(B349,input_569100!L:R,7,FALSE),VLOOKUP(tables_569100!C349,input_569100!A:H,8,FALSE))</f>
        <v>177045</v>
      </c>
      <c r="P349" s="46">
        <f t="shared" ca="1" si="40"/>
        <v>8.3828124999365001E-3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input_569100!A$2</f>
        <v>569100</v>
      </c>
      <c r="B350" s="1">
        <v>1267</v>
      </c>
      <c r="C350" s="7" t="str">
        <f t="shared" si="38"/>
        <v>Premium5R3less</v>
      </c>
      <c r="D350" s="93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IFERROR(VLOOKUP(B350,input_569100!L:R,7,FALSE),VLOOKUP(tables_569100!C350,input_569100!A:H,8,FALSE))</f>
        <v>20350</v>
      </c>
      <c r="P350" s="46">
        <f t="shared" ca="1" si="40"/>
        <v>9.6354166665936773E-4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input_569100!A$2</f>
        <v>569100</v>
      </c>
      <c r="B351" s="97">
        <v>1332</v>
      </c>
      <c r="C351" s="7" t="str">
        <f t="shared" si="38"/>
        <v>PremiumSS5R5only</v>
      </c>
      <c r="D351" s="93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IFERROR(VLOOKUP(B351,input_569100!L:R,7,FALSE),VLOOKUP(tables_569100!C351,input_569100!A:H,8,FALSE))</f>
        <v>1152</v>
      </c>
      <c r="P351" s="46">
        <f t="shared" ca="1" si="40"/>
        <v>5.4545454545041357E-5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input_569100!A$2</f>
        <v>569100</v>
      </c>
      <c r="B352" s="97">
        <v>1336</v>
      </c>
      <c r="C352" s="7" t="str">
        <f t="shared" si="38"/>
        <v>PremiumSS5R5only</v>
      </c>
      <c r="D352" s="93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IFERROR(VLOOKUP(B352,input_569100!L:R,7,FALSE),VLOOKUP(tables_569100!C352,input_569100!A:H,8,FALSE))</f>
        <v>1152</v>
      </c>
      <c r="P352" s="46">
        <f t="shared" ca="1" si="40"/>
        <v>5.4545454545041357E-5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input_569100!A$2</f>
        <v>569100</v>
      </c>
      <c r="B353" s="97">
        <v>1338</v>
      </c>
      <c r="C353" s="7" t="str">
        <f t="shared" si="38"/>
        <v>PremiumSS5R5only</v>
      </c>
      <c r="D353" s="93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IFERROR(VLOOKUP(B353,input_569100!L:R,7,FALSE),VLOOKUP(tables_569100!C353,input_569100!A:H,8,FALSE))</f>
        <v>1152</v>
      </c>
      <c r="P353" s="46">
        <f t="shared" ca="1" si="40"/>
        <v>5.4545454545041357E-5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input_569100!A$2</f>
        <v>569100</v>
      </c>
      <c r="B354" s="97">
        <v>1334</v>
      </c>
      <c r="C354" s="7" t="str">
        <f t="shared" si="38"/>
        <v>Premium4R3less</v>
      </c>
      <c r="D354" s="93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IFERROR(VLOOKUP(B354,input_569100!L:R,7,FALSE),VLOOKUP(tables_569100!C354,input_569100!A:H,8,FALSE))</f>
        <v>177045</v>
      </c>
      <c r="P354" s="46">
        <f t="shared" ca="1" si="40"/>
        <v>8.3828124999365001E-3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input_569100!A$2</f>
        <v>569100</v>
      </c>
      <c r="B355" s="97">
        <v>1335</v>
      </c>
      <c r="C355" s="7" t="str">
        <f t="shared" si="38"/>
        <v>Premium5R3less</v>
      </c>
      <c r="D355" s="93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IFERROR(VLOOKUP(B355,input_569100!L:R,7,FALSE),VLOOKUP(tables_569100!C355,input_569100!A:H,8,FALSE))</f>
        <v>20350</v>
      </c>
      <c r="P355" s="46">
        <f t="shared" ca="1" si="40"/>
        <v>9.6354166665936773E-4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  <row r="358" spans="1:22" customFormat="1" ht="21" customHeight="1" x14ac:dyDescent="0.15"/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5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customFormat="1" ht="21" customHeight="1" x14ac:dyDescent="0.15">
      <c r="A2" s="2" t="s">
        <v>254</v>
      </c>
      <c r="B2" s="97">
        <v>811</v>
      </c>
      <c r="C2" s="7" t="str">
        <f t="shared" ref="C2:C4" si="0">D2&amp;J2&amp;E2&amp;F2&amp;G2</f>
        <v>PremiumSS6R5only</v>
      </c>
      <c r="D2" s="93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咲き誇る旅航者 親指姫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heal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10</v>
      </c>
      <c r="P2" s="46">
        <f>O2/SUM(O:O)</f>
        <v>0.33333333333333331</v>
      </c>
      <c r="Q2" s="101">
        <v>99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customFormat="1" ht="21" customHeight="1" x14ac:dyDescent="0.15">
      <c r="A3" s="2" t="s">
        <v>254</v>
      </c>
      <c r="B3" s="97">
        <v>821</v>
      </c>
      <c r="C3" s="7" t="str">
        <f t="shared" si="0"/>
        <v>PremiumSS6R5only</v>
      </c>
      <c r="D3" s="93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急蹴の硬機脚 ブートレグ・ペロー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animal</v>
      </c>
      <c r="N3" s="7" t="str">
        <f>VLOOKUP(B3,[1]characters!$A:$G,7,FALSE)</f>
        <v>男性</v>
      </c>
      <c r="O3" s="45">
        <v>10</v>
      </c>
      <c r="P3" s="46">
        <f>O3/SUM(O:O)</f>
        <v>0.33333333333333331</v>
      </c>
      <c r="Q3" s="101">
        <v>99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customFormat="1" ht="21" customHeight="1" x14ac:dyDescent="0.15">
      <c r="A4" s="2" t="s">
        <v>254</v>
      </c>
      <c r="B4" s="97">
        <v>838</v>
      </c>
      <c r="C4" s="7" t="str">
        <f t="shared" si="0"/>
        <v>PremiumSS6R5only</v>
      </c>
      <c r="D4" s="93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巌鋼の爆烈志士 近藤勇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hp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10</v>
      </c>
      <c r="P4" s="46">
        <f>O4/SUM(O:O)</f>
        <v>0.33333333333333331</v>
      </c>
      <c r="Q4" s="101">
        <v>99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customFormat="1" ht="21" customHeight="1" x14ac:dyDescent="0.15"/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6"/>
  <sheetViews>
    <sheetView showGridLines="0" workbookViewId="0">
      <pane ySplit="1" topLeftCell="A2" activePane="bottomLeft" state="frozen"/>
      <selection activeCell="M24" sqref="M24"/>
      <selection pane="bottomLeft" activeCell="A2" sqref="A2:Q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8"/>
      <c r="B2" s="96"/>
      <c r="C2" s="78"/>
      <c r="D2" s="78"/>
      <c r="E2" s="78"/>
      <c r="F2" s="78"/>
      <c r="G2" s="2"/>
      <c r="H2" s="2"/>
      <c r="I2" s="2"/>
      <c r="J2" s="2"/>
      <c r="K2" s="2"/>
      <c r="L2" s="2"/>
      <c r="M2" s="2"/>
      <c r="N2" s="78"/>
      <c r="O2" s="78"/>
      <c r="P2" s="78"/>
      <c r="Q2" s="79"/>
    </row>
    <row r="3" spans="1:17" ht="22" customHeight="1" x14ac:dyDescent="0.15">
      <c r="A3" s="98"/>
      <c r="B3" s="96"/>
      <c r="C3" s="2"/>
      <c r="D3" s="2"/>
      <c r="E3" s="2"/>
      <c r="F3" s="78"/>
      <c r="G3" s="2"/>
      <c r="H3" s="2"/>
      <c r="I3" s="2"/>
      <c r="J3" s="2"/>
      <c r="K3" s="2"/>
      <c r="L3" s="2"/>
      <c r="M3" s="2"/>
      <c r="N3" s="78"/>
      <c r="O3" s="78"/>
      <c r="P3" s="78"/>
      <c r="Q3" s="79"/>
    </row>
    <row r="4" spans="1:17" ht="21" customHeight="1" x14ac:dyDescent="0.15">
      <c r="A4" s="98"/>
      <c r="B4" s="96"/>
      <c r="C4" s="2"/>
      <c r="D4" s="2"/>
      <c r="E4" s="2"/>
      <c r="F4" s="78"/>
      <c r="G4" s="2"/>
      <c r="H4" s="2"/>
      <c r="I4" s="2"/>
      <c r="J4" s="2"/>
      <c r="K4" s="2"/>
      <c r="L4" s="2"/>
      <c r="M4" s="2"/>
      <c r="N4" s="78"/>
      <c r="O4" s="78"/>
      <c r="P4" s="78"/>
      <c r="Q4" s="79"/>
    </row>
    <row r="5" spans="1:17" customFormat="1" ht="21" customHeight="1" x14ac:dyDescent="0.15"/>
    <row r="6" spans="1:17" customFormat="1" ht="21" customHeight="1" x14ac:dyDescent="0.15"/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input_569100</vt:lpstr>
      <vt:lpstr>tables_569100</vt:lpstr>
      <vt:lpstr>tables_settle_569103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2017-04-13T05:08:22Z</dcterms:modified>
</cp:coreProperties>
</file>