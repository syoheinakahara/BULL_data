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0" yWindow="460" windowWidth="38400" windowHeight="202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" i="21" l="1"/>
  <c r="B17" i="21"/>
  <c r="I17" i="21"/>
  <c r="J17" i="21"/>
  <c r="O16" i="21"/>
  <c r="B16" i="21"/>
  <c r="I16" i="21"/>
  <c r="J16" i="21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B13" i="21"/>
  <c r="I13" i="21"/>
  <c r="J13" i="21"/>
  <c r="O13" i="21"/>
  <c r="B14" i="21"/>
  <c r="I14" i="21"/>
  <c r="J14" i="21"/>
  <c r="O14" i="21"/>
  <c r="B15" i="21"/>
  <c r="I15" i="21"/>
  <c r="J15" i="21"/>
  <c r="O15" i="21"/>
  <c r="I12" i="21"/>
  <c r="B12" i="21"/>
  <c r="J12" i="21"/>
  <c r="O12" i="21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O4" i="21"/>
  <c r="O5" i="21"/>
  <c r="O6" i="21"/>
  <c r="O7" i="21"/>
  <c r="O8" i="21"/>
  <c r="O9" i="21"/>
  <c r="O10" i="21"/>
  <c r="O11" i="21"/>
  <c r="B4" i="21"/>
  <c r="I4" i="21"/>
  <c r="J4" i="21"/>
  <c r="B5" i="21"/>
  <c r="I5" i="21"/>
  <c r="J5" i="21"/>
  <c r="B6" i="21"/>
  <c r="I6" i="21"/>
  <c r="J6" i="21"/>
  <c r="B7" i="21"/>
  <c r="I7" i="21"/>
  <c r="J7" i="21"/>
  <c r="B8" i="21"/>
  <c r="I8" i="21"/>
  <c r="J8" i="21"/>
  <c r="B9" i="21"/>
  <c r="I9" i="21"/>
  <c r="J9" i="21"/>
  <c r="B10" i="21"/>
  <c r="I10" i="21"/>
  <c r="J10" i="21"/>
  <c r="B11" i="21"/>
  <c r="I11" i="21"/>
  <c r="J11" i="21"/>
  <c r="I3" i="21"/>
  <c r="C9" i="21"/>
  <c r="D9" i="21"/>
  <c r="F9" i="21"/>
  <c r="G9" i="21"/>
  <c r="C4" i="21"/>
  <c r="D4" i="21"/>
  <c r="F4" i="21"/>
  <c r="G4" i="21"/>
  <c r="O3" i="21"/>
  <c r="O2" i="21"/>
  <c r="E51" i="9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D58" i="9"/>
  <c r="E58" i="9"/>
  <c r="G58" i="9"/>
  <c r="H58" i="9"/>
  <c r="I58" i="9"/>
  <c r="J58" i="9"/>
  <c r="K58" i="9"/>
  <c r="L58" i="9"/>
  <c r="M58" i="9"/>
  <c r="N58" i="9"/>
  <c r="J44" i="11"/>
  <c r="O58" i="9"/>
  <c r="D59" i="9"/>
  <c r="E59" i="9"/>
  <c r="G59" i="9"/>
  <c r="H59" i="9"/>
  <c r="I59" i="9"/>
  <c r="J59" i="9"/>
  <c r="K59" i="9"/>
  <c r="L59" i="9"/>
  <c r="M59" i="9"/>
  <c r="N59" i="9"/>
  <c r="O59" i="9"/>
  <c r="D60" i="9"/>
  <c r="E60" i="9"/>
  <c r="G60" i="9"/>
  <c r="H60" i="9"/>
  <c r="I60" i="9"/>
  <c r="J60" i="9"/>
  <c r="K60" i="9"/>
  <c r="L60" i="9"/>
  <c r="M60" i="9"/>
  <c r="N60" i="9"/>
  <c r="J46" i="11"/>
  <c r="O60" i="9"/>
  <c r="D61" i="9"/>
  <c r="E61" i="9"/>
  <c r="G61" i="9"/>
  <c r="H61" i="9"/>
  <c r="I61" i="9"/>
  <c r="J61" i="9"/>
  <c r="K61" i="9"/>
  <c r="L61" i="9"/>
  <c r="M61" i="9"/>
  <c r="N61" i="9"/>
  <c r="O61" i="9"/>
  <c r="D62" i="9"/>
  <c r="E62" i="9"/>
  <c r="G62" i="9"/>
  <c r="H62" i="9"/>
  <c r="I62" i="9"/>
  <c r="J62" i="9"/>
  <c r="K62" i="9"/>
  <c r="L62" i="9"/>
  <c r="M62" i="9"/>
  <c r="N62" i="9"/>
  <c r="J48" i="11"/>
  <c r="O62" i="9"/>
  <c r="D63" i="9"/>
  <c r="E63" i="9"/>
  <c r="G63" i="9"/>
  <c r="H63" i="9"/>
  <c r="I63" i="9"/>
  <c r="J63" i="9"/>
  <c r="K63" i="9"/>
  <c r="L63" i="9"/>
  <c r="M63" i="9"/>
  <c r="N63" i="9"/>
  <c r="O63" i="9"/>
  <c r="D39" i="9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J38" i="11"/>
  <c r="J37" i="11"/>
  <c r="L37" i="10"/>
  <c r="M37" i="10"/>
  <c r="M52" i="10"/>
  <c r="N52" i="10"/>
  <c r="Q52" i="10"/>
  <c r="P52" i="10"/>
  <c r="R52" i="10"/>
  <c r="O52" i="10"/>
  <c r="S52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2" i="18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J49" i="11"/>
  <c r="J43" i="11"/>
  <c r="O57" i="9"/>
  <c r="N57" i="9"/>
  <c r="M57" i="9"/>
  <c r="L57" i="9"/>
  <c r="K57" i="9"/>
  <c r="J57" i="9"/>
  <c r="I57" i="9"/>
  <c r="H57" i="9"/>
  <c r="G57" i="9"/>
  <c r="E57" i="9"/>
  <c r="D57" i="9"/>
  <c r="J42" i="11"/>
  <c r="O56" i="9"/>
  <c r="N56" i="9"/>
  <c r="M56" i="9"/>
  <c r="L56" i="9"/>
  <c r="K56" i="9"/>
  <c r="J56" i="9"/>
  <c r="I56" i="9"/>
  <c r="H56" i="9"/>
  <c r="G56" i="9"/>
  <c r="E56" i="9"/>
  <c r="D56" i="9"/>
  <c r="J47" i="11"/>
  <c r="J41" i="11"/>
  <c r="O55" i="9"/>
  <c r="N55" i="9"/>
  <c r="M55" i="9"/>
  <c r="L55" i="9"/>
  <c r="K55" i="9"/>
  <c r="J55" i="9"/>
  <c r="I55" i="9"/>
  <c r="H55" i="9"/>
  <c r="G55" i="9"/>
  <c r="E55" i="9"/>
  <c r="D55" i="9"/>
  <c r="J40" i="11"/>
  <c r="O54" i="9"/>
  <c r="N54" i="9"/>
  <c r="M54" i="9"/>
  <c r="L54" i="9"/>
  <c r="K54" i="9"/>
  <c r="J54" i="9"/>
  <c r="I54" i="9"/>
  <c r="H54" i="9"/>
  <c r="G54" i="9"/>
  <c r="E54" i="9"/>
  <c r="D54" i="9"/>
  <c r="J45" i="11"/>
  <c r="J39" i="11"/>
  <c r="O53" i="9"/>
  <c r="N53" i="9"/>
  <c r="M53" i="9"/>
  <c r="L53" i="9"/>
  <c r="K53" i="9"/>
  <c r="J53" i="9"/>
  <c r="I53" i="9"/>
  <c r="H53" i="9"/>
  <c r="G53" i="9"/>
  <c r="E53" i="9"/>
  <c r="D53" i="9"/>
  <c r="O52" i="9"/>
  <c r="N52" i="9"/>
  <c r="M52" i="9"/>
  <c r="L52" i="9"/>
  <c r="K52" i="9"/>
  <c r="J52" i="9"/>
  <c r="I52" i="9"/>
  <c r="H52" i="9"/>
  <c r="G52" i="9"/>
  <c r="E52" i="9"/>
  <c r="D52" i="9"/>
  <c r="O51" i="9"/>
  <c r="N51" i="9"/>
  <c r="M51" i="9"/>
  <c r="L51" i="9"/>
  <c r="K51" i="9"/>
  <c r="J51" i="9"/>
  <c r="I51" i="9"/>
  <c r="H51" i="9"/>
  <c r="G51" i="9"/>
  <c r="D51" i="9"/>
  <c r="O50" i="9"/>
  <c r="N50" i="9"/>
  <c r="M50" i="9"/>
  <c r="L50" i="9"/>
  <c r="K50" i="9"/>
  <c r="J50" i="9"/>
  <c r="I50" i="9"/>
  <c r="H50" i="9"/>
  <c r="G50" i="9"/>
  <c r="E50" i="9"/>
  <c r="D50" i="9"/>
  <c r="O49" i="9"/>
  <c r="N49" i="9"/>
  <c r="M49" i="9"/>
  <c r="L49" i="9"/>
  <c r="K49" i="9"/>
  <c r="J49" i="9"/>
  <c r="I49" i="9"/>
  <c r="H49" i="9"/>
  <c r="G49" i="9"/>
  <c r="E49" i="9"/>
  <c r="D49" i="9"/>
  <c r="O48" i="9"/>
  <c r="N48" i="9"/>
  <c r="M48" i="9"/>
  <c r="L48" i="9"/>
  <c r="K48" i="9"/>
  <c r="J48" i="9"/>
  <c r="I48" i="9"/>
  <c r="H48" i="9"/>
  <c r="G48" i="9"/>
  <c r="E48" i="9"/>
  <c r="D48" i="9"/>
  <c r="J36" i="11"/>
  <c r="O47" i="9"/>
  <c r="N47" i="9"/>
  <c r="M47" i="9"/>
  <c r="L47" i="9"/>
  <c r="K47" i="9"/>
  <c r="J47" i="9"/>
  <c r="I47" i="9"/>
  <c r="H47" i="9"/>
  <c r="G47" i="9"/>
  <c r="E47" i="9"/>
  <c r="D47" i="9"/>
  <c r="D45" i="9"/>
  <c r="E45" i="9"/>
  <c r="G45" i="9"/>
  <c r="H45" i="9"/>
  <c r="I45" i="9"/>
  <c r="J45" i="9"/>
  <c r="K45" i="9"/>
  <c r="L45" i="9"/>
  <c r="M45" i="9"/>
  <c r="N45" i="9"/>
  <c r="O45" i="9"/>
  <c r="D46" i="9"/>
  <c r="E46" i="9"/>
  <c r="G46" i="9"/>
  <c r="H46" i="9"/>
  <c r="I46" i="9"/>
  <c r="J46" i="9"/>
  <c r="K46" i="9"/>
  <c r="L46" i="9"/>
  <c r="M46" i="9"/>
  <c r="N46" i="9"/>
  <c r="O46" i="9"/>
  <c r="L12" i="10"/>
  <c r="M12" i="10"/>
  <c r="M50" i="10"/>
  <c r="N50" i="10"/>
  <c r="Q50" i="10"/>
  <c r="P50" i="10"/>
  <c r="R50" i="10"/>
  <c r="O50" i="10"/>
  <c r="S50" i="10"/>
  <c r="M35" i="10"/>
  <c r="N35" i="10"/>
  <c r="Q35" i="10"/>
  <c r="P35" i="10"/>
  <c r="R35" i="10"/>
  <c r="O35" i="10"/>
  <c r="S35" i="10"/>
  <c r="M24" i="10"/>
  <c r="N24" i="10"/>
  <c r="Q24" i="10"/>
  <c r="P24" i="10"/>
  <c r="R24" i="10"/>
  <c r="O24" i="10"/>
  <c r="S24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L13" i="10"/>
  <c r="M13" i="10"/>
  <c r="M36" i="10"/>
  <c r="M51" i="10"/>
  <c r="N51" i="10"/>
  <c r="Q51" i="10"/>
  <c r="P51" i="10"/>
  <c r="R51" i="10"/>
  <c r="O51" i="10"/>
  <c r="S51" i="10"/>
  <c r="N36" i="10"/>
  <c r="Q36" i="10"/>
  <c r="P36" i="10"/>
  <c r="R36" i="10"/>
  <c r="O36" i="10"/>
  <c r="S36" i="10"/>
  <c r="M25" i="10"/>
  <c r="N25" i="10"/>
  <c r="Q25" i="10"/>
  <c r="P25" i="10"/>
  <c r="R25" i="10"/>
  <c r="O25" i="10"/>
  <c r="S25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52" i="10"/>
  <c r="H52" i="10"/>
  <c r="I52" i="10"/>
  <c r="J52" i="10"/>
  <c r="K52" i="10"/>
  <c r="L52" i="10"/>
  <c r="T52" i="10"/>
  <c r="U52" i="10"/>
  <c r="V52" i="10"/>
  <c r="W52" i="10"/>
  <c r="X52" i="10"/>
  <c r="Y52" i="10"/>
  <c r="D44" i="9"/>
  <c r="E44" i="9"/>
  <c r="G44" i="9"/>
  <c r="H44" i="9"/>
  <c r="I44" i="9"/>
  <c r="J44" i="9"/>
  <c r="K44" i="9"/>
  <c r="L44" i="9"/>
  <c r="M44" i="9"/>
  <c r="N44" i="9"/>
  <c r="O44" i="9"/>
  <c r="D43" i="9"/>
  <c r="E43" i="9"/>
  <c r="G43" i="9"/>
  <c r="H43" i="9"/>
  <c r="I43" i="9"/>
  <c r="J43" i="9"/>
  <c r="K43" i="9"/>
  <c r="L43" i="9"/>
  <c r="M43" i="9"/>
  <c r="N43" i="9"/>
  <c r="O43" i="9"/>
  <c r="D34" i="9"/>
  <c r="E34" i="9"/>
  <c r="G34" i="9"/>
  <c r="H34" i="9"/>
  <c r="I34" i="9"/>
  <c r="J34" i="9"/>
  <c r="K34" i="9"/>
  <c r="L34" i="9"/>
  <c r="M34" i="9"/>
  <c r="N34" i="9"/>
  <c r="J34" i="11"/>
  <c r="O34" i="9"/>
  <c r="D35" i="9"/>
  <c r="E35" i="9"/>
  <c r="G35" i="9"/>
  <c r="H35" i="9"/>
  <c r="I35" i="9"/>
  <c r="J35" i="9"/>
  <c r="K35" i="9"/>
  <c r="L35" i="9"/>
  <c r="M35" i="9"/>
  <c r="N35" i="9"/>
  <c r="J35" i="11"/>
  <c r="O35" i="9"/>
  <c r="D36" i="9"/>
  <c r="E36" i="9"/>
  <c r="G36" i="9"/>
  <c r="H36" i="9"/>
  <c r="I36" i="9"/>
  <c r="J36" i="9"/>
  <c r="K36" i="9"/>
  <c r="L36" i="9"/>
  <c r="M36" i="9"/>
  <c r="N36" i="9"/>
  <c r="O36" i="9"/>
  <c r="D37" i="9"/>
  <c r="E37" i="9"/>
  <c r="G37" i="9"/>
  <c r="H37" i="9"/>
  <c r="I37" i="9"/>
  <c r="J37" i="9"/>
  <c r="K37" i="9"/>
  <c r="L37" i="9"/>
  <c r="M37" i="9"/>
  <c r="N37" i="9"/>
  <c r="O37" i="9"/>
  <c r="D38" i="9"/>
  <c r="E38" i="9"/>
  <c r="G38" i="9"/>
  <c r="H38" i="9"/>
  <c r="I38" i="9"/>
  <c r="J38" i="9"/>
  <c r="K38" i="9"/>
  <c r="L38" i="9"/>
  <c r="M38" i="9"/>
  <c r="N38" i="9"/>
  <c r="O38" i="9"/>
  <c r="E39" i="9"/>
  <c r="G39" i="9"/>
  <c r="H39" i="9"/>
  <c r="I39" i="9"/>
  <c r="J39" i="9"/>
  <c r="K39" i="9"/>
  <c r="L39" i="9"/>
  <c r="M39" i="9"/>
  <c r="N39" i="9"/>
  <c r="O39" i="9"/>
  <c r="D40" i="9"/>
  <c r="E40" i="9"/>
  <c r="G40" i="9"/>
  <c r="H40" i="9"/>
  <c r="I40" i="9"/>
  <c r="J40" i="9"/>
  <c r="K40" i="9"/>
  <c r="L40" i="9"/>
  <c r="M40" i="9"/>
  <c r="N40" i="9"/>
  <c r="O40" i="9"/>
  <c r="D41" i="9"/>
  <c r="E41" i="9"/>
  <c r="G41" i="9"/>
  <c r="H41" i="9"/>
  <c r="I41" i="9"/>
  <c r="J41" i="9"/>
  <c r="K41" i="9"/>
  <c r="L41" i="9"/>
  <c r="M41" i="9"/>
  <c r="N41" i="9"/>
  <c r="O41" i="9"/>
  <c r="D42" i="9"/>
  <c r="E42" i="9"/>
  <c r="G42" i="9"/>
  <c r="H42" i="9"/>
  <c r="I42" i="9"/>
  <c r="J42" i="9"/>
  <c r="K42" i="9"/>
  <c r="L42" i="9"/>
  <c r="M42" i="9"/>
  <c r="N42" i="9"/>
  <c r="O42" i="9"/>
  <c r="G51" i="10"/>
  <c r="H51" i="10"/>
  <c r="I51" i="10"/>
  <c r="J51" i="10"/>
  <c r="K51" i="10"/>
  <c r="L51" i="10"/>
  <c r="T51" i="10"/>
  <c r="U51" i="10"/>
  <c r="V51" i="10"/>
  <c r="W51" i="10"/>
  <c r="X51" i="10"/>
  <c r="Y51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T50" i="10"/>
  <c r="U50" i="10"/>
  <c r="V50" i="10"/>
  <c r="W50" i="10"/>
  <c r="X50" i="10"/>
  <c r="Y50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D3" i="9"/>
  <c r="E3" i="9"/>
  <c r="G3" i="9"/>
  <c r="H3" i="9"/>
  <c r="I3" i="9"/>
  <c r="J3" i="9"/>
  <c r="K3" i="9"/>
  <c r="L3" i="9"/>
  <c r="M3" i="9"/>
  <c r="N3" i="9"/>
  <c r="J3" i="11"/>
  <c r="O3" i="9"/>
  <c r="D4" i="9"/>
  <c r="E4" i="9"/>
  <c r="G4" i="9"/>
  <c r="H4" i="9"/>
  <c r="I4" i="9"/>
  <c r="J4" i="9"/>
  <c r="K4" i="9"/>
  <c r="L4" i="9"/>
  <c r="M4" i="9"/>
  <c r="N4" i="9"/>
  <c r="J4" i="11"/>
  <c r="O4" i="9"/>
  <c r="D5" i="9"/>
  <c r="E5" i="9"/>
  <c r="G5" i="9"/>
  <c r="H5" i="9"/>
  <c r="I5" i="9"/>
  <c r="J5" i="9"/>
  <c r="K5" i="9"/>
  <c r="L5" i="9"/>
  <c r="M5" i="9"/>
  <c r="N5" i="9"/>
  <c r="J5" i="11"/>
  <c r="O5" i="9"/>
  <c r="D6" i="9"/>
  <c r="E6" i="9"/>
  <c r="G6" i="9"/>
  <c r="H6" i="9"/>
  <c r="I6" i="9"/>
  <c r="J6" i="9"/>
  <c r="K6" i="9"/>
  <c r="L6" i="9"/>
  <c r="M6" i="9"/>
  <c r="N6" i="9"/>
  <c r="J6" i="11"/>
  <c r="O6" i="9"/>
  <c r="D7" i="9"/>
  <c r="E7" i="9"/>
  <c r="G7" i="9"/>
  <c r="H7" i="9"/>
  <c r="I7" i="9"/>
  <c r="J7" i="9"/>
  <c r="K7" i="9"/>
  <c r="L7" i="9"/>
  <c r="M7" i="9"/>
  <c r="N7" i="9"/>
  <c r="J7" i="11"/>
  <c r="O7" i="9"/>
  <c r="D8" i="9"/>
  <c r="E8" i="9"/>
  <c r="G8" i="9"/>
  <c r="H8" i="9"/>
  <c r="I8" i="9"/>
  <c r="J8" i="9"/>
  <c r="K8" i="9"/>
  <c r="L8" i="9"/>
  <c r="M8" i="9"/>
  <c r="N8" i="9"/>
  <c r="J8" i="11"/>
  <c r="O8" i="9"/>
  <c r="D9" i="9"/>
  <c r="E9" i="9"/>
  <c r="G9" i="9"/>
  <c r="H9" i="9"/>
  <c r="I9" i="9"/>
  <c r="J9" i="9"/>
  <c r="K9" i="9"/>
  <c r="L9" i="9"/>
  <c r="M9" i="9"/>
  <c r="N9" i="9"/>
  <c r="J9" i="11"/>
  <c r="O9" i="9"/>
  <c r="D10" i="9"/>
  <c r="E10" i="9"/>
  <c r="G10" i="9"/>
  <c r="H10" i="9"/>
  <c r="I10" i="9"/>
  <c r="J10" i="9"/>
  <c r="K10" i="9"/>
  <c r="L10" i="9"/>
  <c r="M10" i="9"/>
  <c r="N10" i="9"/>
  <c r="J10" i="11"/>
  <c r="O10" i="9"/>
  <c r="D11" i="9"/>
  <c r="E11" i="9"/>
  <c r="G11" i="9"/>
  <c r="H11" i="9"/>
  <c r="I11" i="9"/>
  <c r="J11" i="9"/>
  <c r="K11" i="9"/>
  <c r="L11" i="9"/>
  <c r="M11" i="9"/>
  <c r="N11" i="9"/>
  <c r="J11" i="11"/>
  <c r="O11" i="9"/>
  <c r="D12" i="9"/>
  <c r="E12" i="9"/>
  <c r="G12" i="9"/>
  <c r="H12" i="9"/>
  <c r="I12" i="9"/>
  <c r="J12" i="9"/>
  <c r="K12" i="9"/>
  <c r="L12" i="9"/>
  <c r="M12" i="9"/>
  <c r="N12" i="9"/>
  <c r="J12" i="11"/>
  <c r="O12" i="9"/>
  <c r="D13" i="9"/>
  <c r="E13" i="9"/>
  <c r="G13" i="9"/>
  <c r="H13" i="9"/>
  <c r="I13" i="9"/>
  <c r="J13" i="9"/>
  <c r="K13" i="9"/>
  <c r="L13" i="9"/>
  <c r="M13" i="9"/>
  <c r="N13" i="9"/>
  <c r="J13" i="11"/>
  <c r="O13" i="9"/>
  <c r="D14" i="9"/>
  <c r="E14" i="9"/>
  <c r="G14" i="9"/>
  <c r="H14" i="9"/>
  <c r="I14" i="9"/>
  <c r="J14" i="9"/>
  <c r="K14" i="9"/>
  <c r="L14" i="9"/>
  <c r="M14" i="9"/>
  <c r="N14" i="9"/>
  <c r="J14" i="11"/>
  <c r="O14" i="9"/>
  <c r="D15" i="9"/>
  <c r="E15" i="9"/>
  <c r="G15" i="9"/>
  <c r="H15" i="9"/>
  <c r="I15" i="9"/>
  <c r="J15" i="9"/>
  <c r="K15" i="9"/>
  <c r="L15" i="9"/>
  <c r="M15" i="9"/>
  <c r="N15" i="9"/>
  <c r="J15" i="11"/>
  <c r="O15" i="9"/>
  <c r="D16" i="9"/>
  <c r="E16" i="9"/>
  <c r="G16" i="9"/>
  <c r="H16" i="9"/>
  <c r="I16" i="9"/>
  <c r="J16" i="9"/>
  <c r="K16" i="9"/>
  <c r="L16" i="9"/>
  <c r="M16" i="9"/>
  <c r="N16" i="9"/>
  <c r="J16" i="11"/>
  <c r="O16" i="9"/>
  <c r="D17" i="9"/>
  <c r="E17" i="9"/>
  <c r="G17" i="9"/>
  <c r="H17" i="9"/>
  <c r="I17" i="9"/>
  <c r="J17" i="9"/>
  <c r="K17" i="9"/>
  <c r="L17" i="9"/>
  <c r="M17" i="9"/>
  <c r="N17" i="9"/>
  <c r="J17" i="11"/>
  <c r="O17" i="9"/>
  <c r="D18" i="9"/>
  <c r="E18" i="9"/>
  <c r="G18" i="9"/>
  <c r="H18" i="9"/>
  <c r="I18" i="9"/>
  <c r="J18" i="9"/>
  <c r="K18" i="9"/>
  <c r="L18" i="9"/>
  <c r="M18" i="9"/>
  <c r="N18" i="9"/>
  <c r="J18" i="11"/>
  <c r="O18" i="9"/>
  <c r="D19" i="9"/>
  <c r="E19" i="9"/>
  <c r="G19" i="9"/>
  <c r="H19" i="9"/>
  <c r="I19" i="9"/>
  <c r="J19" i="9"/>
  <c r="K19" i="9"/>
  <c r="L19" i="9"/>
  <c r="M19" i="9"/>
  <c r="N19" i="9"/>
  <c r="J19" i="11"/>
  <c r="O19" i="9"/>
  <c r="D20" i="9"/>
  <c r="E20" i="9"/>
  <c r="G20" i="9"/>
  <c r="H20" i="9"/>
  <c r="I20" i="9"/>
  <c r="J20" i="9"/>
  <c r="K20" i="9"/>
  <c r="L20" i="9"/>
  <c r="M20" i="9"/>
  <c r="N20" i="9"/>
  <c r="J20" i="11"/>
  <c r="O20" i="9"/>
  <c r="D21" i="9"/>
  <c r="E21" i="9"/>
  <c r="G21" i="9"/>
  <c r="H21" i="9"/>
  <c r="I21" i="9"/>
  <c r="J21" i="9"/>
  <c r="K21" i="9"/>
  <c r="L21" i="9"/>
  <c r="M21" i="9"/>
  <c r="N21" i="9"/>
  <c r="J21" i="11"/>
  <c r="O21" i="9"/>
  <c r="D22" i="9"/>
  <c r="E22" i="9"/>
  <c r="G22" i="9"/>
  <c r="H22" i="9"/>
  <c r="I22" i="9"/>
  <c r="J22" i="9"/>
  <c r="K22" i="9"/>
  <c r="L22" i="9"/>
  <c r="M22" i="9"/>
  <c r="N22" i="9"/>
  <c r="J22" i="11"/>
  <c r="O22" i="9"/>
  <c r="D23" i="9"/>
  <c r="E23" i="9"/>
  <c r="G23" i="9"/>
  <c r="H23" i="9"/>
  <c r="I23" i="9"/>
  <c r="J23" i="9"/>
  <c r="K23" i="9"/>
  <c r="L23" i="9"/>
  <c r="M23" i="9"/>
  <c r="N23" i="9"/>
  <c r="J23" i="11"/>
  <c r="O23" i="9"/>
  <c r="D24" i="9"/>
  <c r="E24" i="9"/>
  <c r="G24" i="9"/>
  <c r="H24" i="9"/>
  <c r="I24" i="9"/>
  <c r="J24" i="9"/>
  <c r="K24" i="9"/>
  <c r="L24" i="9"/>
  <c r="M24" i="9"/>
  <c r="N24" i="9"/>
  <c r="J24" i="11"/>
  <c r="O24" i="9"/>
  <c r="D25" i="9"/>
  <c r="E25" i="9"/>
  <c r="G25" i="9"/>
  <c r="H25" i="9"/>
  <c r="I25" i="9"/>
  <c r="J25" i="9"/>
  <c r="K25" i="9"/>
  <c r="L25" i="9"/>
  <c r="M25" i="9"/>
  <c r="N25" i="9"/>
  <c r="J25" i="11"/>
  <c r="O25" i="9"/>
  <c r="D26" i="9"/>
  <c r="E26" i="9"/>
  <c r="G26" i="9"/>
  <c r="H26" i="9"/>
  <c r="I26" i="9"/>
  <c r="J26" i="9"/>
  <c r="K26" i="9"/>
  <c r="L26" i="9"/>
  <c r="M26" i="9"/>
  <c r="N26" i="9"/>
  <c r="J26" i="11"/>
  <c r="O26" i="9"/>
  <c r="D27" i="9"/>
  <c r="E27" i="9"/>
  <c r="G27" i="9"/>
  <c r="H27" i="9"/>
  <c r="I27" i="9"/>
  <c r="J27" i="9"/>
  <c r="K27" i="9"/>
  <c r="L27" i="9"/>
  <c r="M27" i="9"/>
  <c r="N27" i="9"/>
  <c r="J27" i="11"/>
  <c r="O27" i="9"/>
  <c r="D28" i="9"/>
  <c r="E28" i="9"/>
  <c r="G28" i="9"/>
  <c r="H28" i="9"/>
  <c r="I28" i="9"/>
  <c r="J28" i="9"/>
  <c r="K28" i="9"/>
  <c r="L28" i="9"/>
  <c r="M28" i="9"/>
  <c r="N28" i="9"/>
  <c r="J28" i="11"/>
  <c r="O28" i="9"/>
  <c r="D29" i="9"/>
  <c r="E29" i="9"/>
  <c r="G29" i="9"/>
  <c r="H29" i="9"/>
  <c r="I29" i="9"/>
  <c r="J29" i="9"/>
  <c r="K29" i="9"/>
  <c r="L29" i="9"/>
  <c r="M29" i="9"/>
  <c r="N29" i="9"/>
  <c r="J29" i="11"/>
  <c r="O29" i="9"/>
  <c r="D30" i="9"/>
  <c r="E30" i="9"/>
  <c r="G30" i="9"/>
  <c r="H30" i="9"/>
  <c r="I30" i="9"/>
  <c r="J30" i="9"/>
  <c r="K30" i="9"/>
  <c r="L30" i="9"/>
  <c r="M30" i="9"/>
  <c r="N30" i="9"/>
  <c r="J30" i="11"/>
  <c r="O30" i="9"/>
  <c r="D31" i="9"/>
  <c r="E31" i="9"/>
  <c r="G31" i="9"/>
  <c r="H31" i="9"/>
  <c r="I31" i="9"/>
  <c r="J31" i="9"/>
  <c r="K31" i="9"/>
  <c r="L31" i="9"/>
  <c r="M31" i="9"/>
  <c r="N31" i="9"/>
  <c r="J31" i="11"/>
  <c r="O31" i="9"/>
  <c r="D32" i="9"/>
  <c r="E32" i="9"/>
  <c r="G32" i="9"/>
  <c r="H32" i="9"/>
  <c r="I32" i="9"/>
  <c r="J32" i="9"/>
  <c r="K32" i="9"/>
  <c r="L32" i="9"/>
  <c r="M32" i="9"/>
  <c r="N32" i="9"/>
  <c r="J32" i="11"/>
  <c r="O32" i="9"/>
  <c r="D33" i="9"/>
  <c r="E33" i="9"/>
  <c r="G33" i="9"/>
  <c r="H33" i="9"/>
  <c r="I33" i="9"/>
  <c r="J33" i="9"/>
  <c r="K33" i="9"/>
  <c r="L33" i="9"/>
  <c r="M33" i="9"/>
  <c r="N33" i="9"/>
  <c r="J33" i="11"/>
  <c r="O33" i="9"/>
  <c r="B3" i="21"/>
  <c r="C3" i="21"/>
  <c r="D3" i="21"/>
  <c r="F3" i="21"/>
  <c r="G3" i="21"/>
  <c r="J3" i="21"/>
  <c r="C5" i="21"/>
  <c r="D5" i="21"/>
  <c r="F5" i="21"/>
  <c r="G5" i="21"/>
  <c r="C6" i="21"/>
  <c r="D6" i="21"/>
  <c r="F6" i="21"/>
  <c r="G6" i="21"/>
  <c r="C7" i="21"/>
  <c r="D7" i="21"/>
  <c r="F7" i="21"/>
  <c r="G7" i="21"/>
  <c r="C8" i="21"/>
  <c r="D8" i="21"/>
  <c r="F8" i="21"/>
  <c r="G8" i="21"/>
  <c r="C10" i="21"/>
  <c r="D10" i="21"/>
  <c r="F10" i="21"/>
  <c r="G10" i="21"/>
  <c r="C11" i="21"/>
  <c r="D11" i="21"/>
  <c r="F11" i="21"/>
  <c r="G11" i="21"/>
  <c r="G3" i="10"/>
  <c r="H3" i="10"/>
  <c r="I3" i="10"/>
  <c r="J3" i="10"/>
  <c r="K3" i="10"/>
  <c r="L3" i="10"/>
  <c r="M3" i="10"/>
  <c r="M15" i="10"/>
  <c r="N15" i="10"/>
  <c r="Q15" i="10"/>
  <c r="P15" i="10"/>
  <c r="R15" i="10"/>
  <c r="O15" i="10"/>
  <c r="S15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6" i="10"/>
  <c r="M2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7" i="10"/>
  <c r="M27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8" i="10"/>
  <c r="M28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9" i="10"/>
  <c r="M29" i="10"/>
  <c r="N29" i="10"/>
  <c r="Q29" i="10"/>
  <c r="P29" i="10"/>
  <c r="R29" i="10"/>
  <c r="O29" i="10"/>
  <c r="S29" i="10"/>
  <c r="N19" i="10"/>
  <c r="Q19" i="10"/>
  <c r="P19" i="10"/>
  <c r="R19" i="10"/>
  <c r="O19" i="10"/>
  <c r="S19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20" i="10"/>
  <c r="M31" i="10"/>
  <c r="N31" i="10"/>
  <c r="Q31" i="10"/>
  <c r="P31" i="10"/>
  <c r="R31" i="10"/>
  <c r="O31" i="10"/>
  <c r="S31" i="10"/>
  <c r="N20" i="10"/>
  <c r="Q20" i="10"/>
  <c r="P20" i="10"/>
  <c r="R20" i="10"/>
  <c r="O20" i="10"/>
  <c r="S20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21" i="10"/>
  <c r="M32" i="10"/>
  <c r="N32" i="10"/>
  <c r="Q32" i="10"/>
  <c r="P32" i="10"/>
  <c r="R32" i="10"/>
  <c r="O32" i="10"/>
  <c r="S32" i="10"/>
  <c r="N21" i="10"/>
  <c r="Q21" i="10"/>
  <c r="P21" i="10"/>
  <c r="R21" i="10"/>
  <c r="O21" i="10"/>
  <c r="S21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2" i="10"/>
  <c r="M33" i="10"/>
  <c r="N33" i="10"/>
  <c r="Q33" i="10"/>
  <c r="P33" i="10"/>
  <c r="R33" i="10"/>
  <c r="O33" i="10"/>
  <c r="S33" i="10"/>
  <c r="N22" i="10"/>
  <c r="Q22" i="10"/>
  <c r="P22" i="10"/>
  <c r="R22" i="10"/>
  <c r="O22" i="10"/>
  <c r="S22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3" i="10"/>
  <c r="M34" i="10"/>
  <c r="N34" i="10"/>
  <c r="Q34" i="10"/>
  <c r="P34" i="10"/>
  <c r="R34" i="10"/>
  <c r="O34" i="10"/>
  <c r="S34" i="10"/>
  <c r="N23" i="10"/>
  <c r="Q23" i="10"/>
  <c r="P23" i="10"/>
  <c r="R23" i="10"/>
  <c r="O23" i="10"/>
  <c r="S23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T36" i="10"/>
  <c r="U36" i="10"/>
  <c r="V36" i="10"/>
  <c r="W36" i="10"/>
  <c r="X36" i="10"/>
  <c r="Y36" i="10"/>
  <c r="A3" i="7"/>
  <c r="D3" i="7"/>
  <c r="E3" i="7"/>
  <c r="F3" i="7"/>
  <c r="H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I3" i="7"/>
  <c r="J3" i="7"/>
  <c r="N3" i="7"/>
  <c r="O3" i="7"/>
  <c r="P3" i="7"/>
  <c r="Q3" i="7"/>
  <c r="R3" i="7"/>
  <c r="U3" i="7"/>
  <c r="W3" i="7"/>
  <c r="Y3" i="7"/>
  <c r="AC3" i="1"/>
  <c r="A3" i="1"/>
  <c r="D3" i="1"/>
  <c r="E3" i="1"/>
  <c r="F3" i="1"/>
  <c r="H3" i="1"/>
  <c r="I3" i="1"/>
  <c r="J3" i="1"/>
  <c r="M3" i="1"/>
  <c r="N3" i="1"/>
  <c r="O3" i="1"/>
  <c r="P3" i="1"/>
  <c r="Q3" i="1"/>
  <c r="T3" i="1"/>
  <c r="V3" i="1"/>
  <c r="X3" i="1"/>
  <c r="AD3" i="1"/>
  <c r="AE3" i="1"/>
  <c r="AF3" i="1"/>
  <c r="AG3" i="1"/>
  <c r="AI3" i="1"/>
  <c r="AC4" i="1"/>
  <c r="A4" i="1"/>
  <c r="D4" i="1"/>
  <c r="E4" i="1"/>
  <c r="F4" i="1"/>
  <c r="H4" i="1"/>
  <c r="I4" i="1"/>
  <c r="J4" i="1"/>
  <c r="M4" i="1"/>
  <c r="N4" i="1"/>
  <c r="O4" i="1"/>
  <c r="P4" i="1"/>
  <c r="Q4" i="1"/>
  <c r="T4" i="1"/>
  <c r="V4" i="1"/>
  <c r="X4" i="1"/>
  <c r="AD4" i="1"/>
  <c r="AE4" i="1"/>
  <c r="AF4" i="1"/>
  <c r="AG4" i="1"/>
  <c r="AI4" i="1"/>
  <c r="AC5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X5" i="1"/>
  <c r="AD5" i="1"/>
  <c r="AE5" i="1"/>
  <c r="AF5" i="1"/>
  <c r="AG5" i="1"/>
  <c r="AI5" i="1"/>
  <c r="AC6" i="1"/>
  <c r="A6" i="1"/>
  <c r="D6" i="1"/>
  <c r="E6" i="1"/>
  <c r="F6" i="1"/>
  <c r="H6" i="1"/>
  <c r="I6" i="1"/>
  <c r="J6" i="1"/>
  <c r="M6" i="1"/>
  <c r="N6" i="1"/>
  <c r="O6" i="1"/>
  <c r="P6" i="1"/>
  <c r="Q6" i="1"/>
  <c r="T6" i="1"/>
  <c r="V6" i="1"/>
  <c r="X6" i="1"/>
  <c r="AD6" i="1"/>
  <c r="AE6" i="1"/>
  <c r="AF6" i="1"/>
  <c r="AG6" i="1"/>
  <c r="AI6" i="1"/>
  <c r="AC7" i="1"/>
  <c r="A7" i="1"/>
  <c r="D7" i="1"/>
  <c r="E7" i="1"/>
  <c r="F7" i="1"/>
  <c r="H7" i="1"/>
  <c r="I7" i="1"/>
  <c r="J7" i="1"/>
  <c r="M7" i="1"/>
  <c r="N7" i="1"/>
  <c r="O7" i="1"/>
  <c r="P7" i="1"/>
  <c r="Q7" i="1"/>
  <c r="T7" i="1"/>
  <c r="V7" i="1"/>
  <c r="X7" i="1"/>
  <c r="AD7" i="1"/>
  <c r="AE7" i="1"/>
  <c r="AF7" i="1"/>
  <c r="AG7" i="1"/>
  <c r="AI7" i="1"/>
  <c r="AC8" i="1"/>
  <c r="A8" i="1"/>
  <c r="D8" i="1"/>
  <c r="E8" i="1"/>
  <c r="F8" i="1"/>
  <c r="H8" i="1"/>
  <c r="I8" i="1"/>
  <c r="J8" i="1"/>
  <c r="M8" i="1"/>
  <c r="N8" i="1"/>
  <c r="O8" i="1"/>
  <c r="P8" i="1"/>
  <c r="Q8" i="1"/>
  <c r="T8" i="1"/>
  <c r="V8" i="1"/>
  <c r="X8" i="1"/>
  <c r="AD8" i="1"/>
  <c r="AE8" i="1"/>
  <c r="AF8" i="1"/>
  <c r="AG8" i="1"/>
  <c r="AI8" i="1"/>
  <c r="A9" i="1"/>
  <c r="D9" i="1"/>
  <c r="E9" i="1"/>
  <c r="F9" i="1"/>
  <c r="H9" i="1"/>
  <c r="I9" i="1"/>
  <c r="J9" i="1"/>
  <c r="M9" i="1"/>
  <c r="N9" i="1"/>
  <c r="O9" i="1"/>
  <c r="P9" i="1"/>
  <c r="Q9" i="1"/>
  <c r="T9" i="1"/>
  <c r="V9" i="1"/>
  <c r="X9" i="1"/>
  <c r="AE9" i="1"/>
  <c r="AF9" i="1"/>
  <c r="AG9" i="1"/>
  <c r="AI9" i="1"/>
  <c r="A10" i="1"/>
  <c r="D10" i="1"/>
  <c r="E10" i="1"/>
  <c r="F10" i="1"/>
  <c r="H10" i="1"/>
  <c r="I10" i="1"/>
  <c r="J10" i="1"/>
  <c r="M10" i="1"/>
  <c r="N10" i="1"/>
  <c r="O10" i="1"/>
  <c r="P10" i="1"/>
  <c r="Q10" i="1"/>
  <c r="T10" i="1"/>
  <c r="V10" i="1"/>
  <c r="X10" i="1"/>
  <c r="AE10" i="1"/>
  <c r="AF10" i="1"/>
  <c r="AG10" i="1"/>
  <c r="AI10" i="1"/>
  <c r="AC11" i="1"/>
  <c r="A11" i="1"/>
  <c r="D11" i="1"/>
  <c r="E11" i="1"/>
  <c r="F11" i="1"/>
  <c r="H11" i="1"/>
  <c r="I11" i="1"/>
  <c r="J11" i="1"/>
  <c r="M11" i="1"/>
  <c r="N11" i="1"/>
  <c r="O11" i="1"/>
  <c r="P11" i="1"/>
  <c r="Q11" i="1"/>
  <c r="T11" i="1"/>
  <c r="V11" i="1"/>
  <c r="X11" i="1"/>
  <c r="AD11" i="1"/>
  <c r="AE11" i="1"/>
  <c r="AF11" i="1"/>
  <c r="AG11" i="1"/>
  <c r="AI11" i="1"/>
  <c r="AC12" i="1"/>
  <c r="A12" i="1"/>
  <c r="D12" i="1"/>
  <c r="E12" i="1"/>
  <c r="F12" i="1"/>
  <c r="H12" i="1"/>
  <c r="I12" i="1"/>
  <c r="J12" i="1"/>
  <c r="M12" i="1"/>
  <c r="N12" i="1"/>
  <c r="O12" i="1"/>
  <c r="P12" i="1"/>
  <c r="Q12" i="1"/>
  <c r="T12" i="1"/>
  <c r="V12" i="1"/>
  <c r="X12" i="1"/>
  <c r="AD12" i="1"/>
  <c r="AE12" i="1"/>
  <c r="AF12" i="1"/>
  <c r="AG12" i="1"/>
  <c r="AI12" i="1"/>
  <c r="AC13" i="1"/>
  <c r="A13" i="1"/>
  <c r="D13" i="1"/>
  <c r="E13" i="1"/>
  <c r="F13" i="1"/>
  <c r="H13" i="1"/>
  <c r="I13" i="1"/>
  <c r="J13" i="1"/>
  <c r="M13" i="1"/>
  <c r="N13" i="1"/>
  <c r="O13" i="1"/>
  <c r="P13" i="1"/>
  <c r="Q13" i="1"/>
  <c r="T13" i="1"/>
  <c r="V13" i="1"/>
  <c r="X13" i="1"/>
  <c r="AD13" i="1"/>
  <c r="AE13" i="1"/>
  <c r="AF13" i="1"/>
  <c r="AG13" i="1"/>
  <c r="AI13" i="1"/>
  <c r="AC14" i="1"/>
  <c r="A14" i="1"/>
  <c r="D14" i="1"/>
  <c r="E14" i="1"/>
  <c r="F14" i="1"/>
  <c r="H14" i="1"/>
  <c r="I14" i="1"/>
  <c r="J14" i="1"/>
  <c r="M14" i="1"/>
  <c r="N14" i="1"/>
  <c r="O14" i="1"/>
  <c r="P14" i="1"/>
  <c r="Q14" i="1"/>
  <c r="T14" i="1"/>
  <c r="V14" i="1"/>
  <c r="X14" i="1"/>
  <c r="AD14" i="1"/>
  <c r="AE14" i="1"/>
  <c r="AF14" i="1"/>
  <c r="AG14" i="1"/>
  <c r="AI14" i="1"/>
  <c r="AC15" i="1"/>
  <c r="A15" i="1"/>
  <c r="D15" i="1"/>
  <c r="E15" i="1"/>
  <c r="F15" i="1"/>
  <c r="H15" i="1"/>
  <c r="I15" i="1"/>
  <c r="J15" i="1"/>
  <c r="M15" i="1"/>
  <c r="N15" i="1"/>
  <c r="O15" i="1"/>
  <c r="P15" i="1"/>
  <c r="Q15" i="1"/>
  <c r="T15" i="1"/>
  <c r="V15" i="1"/>
  <c r="X15" i="1"/>
  <c r="AD15" i="1"/>
  <c r="AE15" i="1"/>
  <c r="AF15" i="1"/>
  <c r="AG15" i="1"/>
  <c r="AI15" i="1"/>
  <c r="AC16" i="1"/>
  <c r="A16" i="1"/>
  <c r="D16" i="1"/>
  <c r="E16" i="1"/>
  <c r="F16" i="1"/>
  <c r="H16" i="1"/>
  <c r="I16" i="1"/>
  <c r="J16" i="1"/>
  <c r="M16" i="1"/>
  <c r="N16" i="1"/>
  <c r="O16" i="1"/>
  <c r="P16" i="1"/>
  <c r="Q16" i="1"/>
  <c r="T16" i="1"/>
  <c r="V16" i="1"/>
  <c r="X16" i="1"/>
  <c r="AD16" i="1"/>
  <c r="AE16" i="1"/>
  <c r="AF16" i="1"/>
  <c r="AG16" i="1"/>
  <c r="AI16" i="1"/>
  <c r="AC17" i="1"/>
  <c r="A17" i="1"/>
  <c r="D17" i="1"/>
  <c r="E17" i="1"/>
  <c r="F17" i="1"/>
  <c r="H17" i="1"/>
  <c r="I17" i="1"/>
  <c r="J17" i="1"/>
  <c r="M17" i="1"/>
  <c r="N17" i="1"/>
  <c r="O17" i="1"/>
  <c r="P17" i="1"/>
  <c r="Q17" i="1"/>
  <c r="T17" i="1"/>
  <c r="V17" i="1"/>
  <c r="X17" i="1"/>
  <c r="AD17" i="1"/>
  <c r="AE17" i="1"/>
  <c r="AF17" i="1"/>
  <c r="AG17" i="1"/>
  <c r="AI17" i="1"/>
  <c r="A18" i="1"/>
  <c r="D18" i="1"/>
  <c r="E18" i="1"/>
  <c r="F18" i="1"/>
  <c r="H18" i="1"/>
  <c r="I18" i="1"/>
  <c r="J18" i="1"/>
  <c r="M18" i="1"/>
  <c r="N18" i="1"/>
  <c r="O18" i="1"/>
  <c r="P18" i="1"/>
  <c r="Q18" i="1"/>
  <c r="T18" i="1"/>
  <c r="V18" i="1"/>
  <c r="X18" i="1"/>
  <c r="AE18" i="1"/>
  <c r="AF18" i="1"/>
  <c r="AG18" i="1"/>
  <c r="AI18" i="1"/>
  <c r="A19" i="1"/>
  <c r="D19" i="1"/>
  <c r="E19" i="1"/>
  <c r="F19" i="1"/>
  <c r="H19" i="1"/>
  <c r="I19" i="1"/>
  <c r="J19" i="1"/>
  <c r="M19" i="1"/>
  <c r="N19" i="1"/>
  <c r="O19" i="1"/>
  <c r="P19" i="1"/>
  <c r="Q19" i="1"/>
  <c r="T19" i="1"/>
  <c r="V19" i="1"/>
  <c r="X19" i="1"/>
  <c r="AE19" i="1"/>
  <c r="AF19" i="1"/>
  <c r="AG19" i="1"/>
  <c r="AI19" i="1"/>
  <c r="H2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W2" i="7"/>
  <c r="U2" i="7"/>
  <c r="V2" i="1"/>
  <c r="T2" i="1"/>
  <c r="N2" i="22"/>
  <c r="G2" i="22"/>
  <c r="F2" i="22"/>
  <c r="D2" i="22"/>
  <c r="C2" i="22"/>
  <c r="A2" i="22"/>
  <c r="C13" i="16"/>
  <c r="E13" i="16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C4" i="16"/>
  <c r="C5" i="16"/>
  <c r="C6" i="16"/>
  <c r="C7" i="16"/>
  <c r="C8" i="16"/>
  <c r="C9" i="16"/>
  <c r="C3" i="16"/>
  <c r="E9" i="16"/>
  <c r="Y2" i="7"/>
  <c r="X2" i="1"/>
  <c r="R2" i="7"/>
  <c r="Q2" i="7"/>
  <c r="P2" i="7"/>
  <c r="O2" i="7"/>
  <c r="N2" i="7"/>
  <c r="AD2" i="1"/>
  <c r="AG2" i="1"/>
  <c r="AF2" i="1"/>
  <c r="AE2" i="1"/>
  <c r="AC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<sst xmlns="http://schemas.openxmlformats.org/spreadsheetml/2006/main" count="1122" uniqueCount="439">
  <si>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</si>
  <si>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</si>
  <si>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</si>
  <si>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</si>
  <si>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</si>
  <si>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</si>
  <si>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</si>
  <si>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</si>
  <si>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</si>
  <si>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</si>
  <si>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</si>
  <si>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</si>
  <si>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</si>
  <si>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</si>
  <si>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</si>
  <si>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</si>
  <si>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</si>
  <si>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</si>
  <si>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</si>
  <si>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</si>
  <si>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</si>
  <si>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</si>
  <si>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</si>
  <si>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</si>
  <si>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</si>
  <si>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</si>
  <si>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</si>
  <si>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</si>
  <si>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</si>
  <si>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</si>
  <si>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</si>
  <si>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</si>
  <si>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</si>
  <si>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</si>
  <si>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</si>
  <si>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</si>
  <si>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</si>
  <si>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</si>
  <si>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</si>
  <si>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</si>
  <si>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</si>
  <si>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</si>
  <si>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</si>
  <si>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</si>
  <si>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</si>
  <si>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</si>
  <si>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</si>
  <si>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</si>
  <si>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</si>
  <si>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</si>
  <si>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</si>
  <si>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</si>
  <si>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</si>
  <si>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</si>
  <si>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</si>
  <si>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</si>
  <si>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</si>
  <si>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</si>
  <si>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</si>
  <si>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</si>
  <si>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</si>
  <si>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</si>
  <si>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</si>
  <si>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</si>
  <si>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</si>
  <si>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</si>
  <si>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</si>
  <si>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</si>
  <si>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</si>
  <si>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</si>
  <si>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</si>
  <si>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</si>
  <si>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</si>
  <si>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</si>
  <si>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</si>
  <si>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</si>
  <si>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</si>
  <si>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</si>
  <si>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</si>
  <si>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</si>
  <si>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</si>
  <si>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</si>
  <si>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</si>
  <si>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</si>
  <si>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</si>
  <si>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</si>
  <si>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</si>
  <si>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</si>
  <si>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</si>
  <si>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</si>
  <si>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</si>
  <si>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</si>
  <si>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</si>
  <si>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</si>
  <si>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</si>
  <si>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</si>
  <si>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</si>
  <si>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</si>
  <si>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</si>
  <si>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</si>
  <si>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</si>
  <si>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</si>
  <si>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</si>
  <si>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</si>
  <si>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</si>
  <si>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</si>
  <si>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</si>
  <si>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</si>
  <si>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</si>
  <si>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</si>
  <si>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</si>
  <si>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</si>
  <si>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</si>
  <si>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</si>
  <si>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</si>
  <si>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</si>
  <si>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</si>
  <si>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</si>
  <si>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</si>
  <si>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</si>
  <si>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</si>
  <si>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</si>
  <si>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</si>
  <si>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</si>
  <si>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</si>
  <si>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</si>
  <si>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</si>
  <si>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</si>
  <si>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</si>
  <si>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</si>
  <si>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</si>
  <si>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</si>
  <si>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</si>
  <si>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</si>
  <si>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</si>
  <si>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</si>
  <si>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</si>
  <si>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</si>
  <si>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</si>
  <si>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</si>
  <si>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</si>
  <si>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</si>
  <si>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</si>
  <si>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</si>
  <si>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</si>
  <si>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</si>
  <si>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</si>
  <si>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</si>
  <si>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</si>
  <si>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</si>
  <si>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</si>
  <si>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</si>
  <si>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</si>
  <si>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</si>
  <si>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</si>
  <si>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</si>
  <si>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</si>
  <si>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</si>
  <si>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</si>
  <si>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</si>
  <si>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</si>
  <si>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</si>
  <si>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</si>
  <si>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</si>
  <si>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</si>
  <si>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</si>
  <si>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</si>
  <si>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</si>
  <si>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</si>
  <si>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</si>
  <si>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</si>
  <si>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</si>
  <si>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</si>
  <si>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</si>
  <si>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</si>
  <si>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</si>
  <si>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</si>
  <si>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</si>
  <si>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</si>
  <si>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</si>
  <si>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</si>
  <si>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</si>
  <si>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</si>
  <si>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</si>
  <si>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</si>
  <si>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</si>
  <si>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</si>
  <si>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</si>
  <si>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</si>
  <si>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</si>
  <si>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</si>
  <si>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</si>
  <si>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</si>
  <si>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</si>
  <si>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</si>
  <si>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</si>
  <si>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</si>
  <si>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</si>
  <si>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</si>
  <si>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</si>
  <si>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</si>
  <si>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</si>
  <si>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</si>
  <si>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</si>
  <si>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</si>
  <si>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</si>
  <si>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</si>
  <si>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</si>
  <si>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</si>
  <si>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</si>
  <si>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</si>
  <si>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</si>
  <si>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</si>
  <si>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</si>
  <si>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</si>
  <si>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</si>
  <si>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</si>
  <si>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</si>
  <si>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</si>
  <si>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</si>
  <si>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</si>
  <si>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</si>
  <si>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</si>
  <si>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</si>
  <si>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</si>
  <si>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</si>
  <si>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</si>
  <si>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</si>
  <si>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</si>
  <si>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</si>
  <si>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</si>
  <si>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</si>
  <si>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</si>
  <si>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</si>
  <si>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</si>
  <si>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</si>
  <si>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</si>
  <si>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</si>
  <si>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</si>
  <si>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</si>
  <si>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</si>
  <si>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</si>
  <si>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</si>
  <si>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</si>
  <si>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</si>
  <si>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</si>
  <si>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</si>
  <si>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</si>
  <si>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</si>
  <si>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</si>
  <si>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</si>
  <si>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</si>
  <si>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</si>
  <si>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</si>
  <si>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</si>
  <si>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</si>
  <si>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連続攻撃</t>
    <rPh sb="0" eb="4">
      <t>レンゾクコウゲキ</t>
    </rPh>
    <phoneticPr fontId="5"/>
  </si>
  <si>
    <t xml:space="preserve">[effect:degrade_unit, target:unit_all, turn:3, status:attack, val:0.5, calc:mul],[effect:enhance_fever, val:666, animation:fevergauge_up03]    </t>
    <phoneticPr fontId="5"/>
  </si>
  <si>
    <t xml:space="preserve">[effect:enhance_enemy, target:enemy_all, turn:-1, status:attack, val:500, calc:add, animation:enemy_enhance_attack]    </t>
    <phoneticPr fontId="5"/>
  </si>
  <si>
    <t xml:space="preserve">[effect:fix_speed, target:myself, turn:1]    </t>
    <phoneticPr fontId="5"/>
  </si>
  <si>
    <t xml:space="preserve">[effect:degrade_unit, target:unit_all, turn:3, status:heal, val:0.3, calc:mul, animation:degrade_unit_all_heal],[effect:enhance_fever, val:333, animation:fevergauge_up03]    </t>
    <phoneticPr fontId="5"/>
  </si>
  <si>
    <t xml:space="preserve">[effect:rush, count:2, val:0.6]    </t>
    <phoneticPr fontId="5"/>
  </si>
  <si>
    <t>2ターンの間、攻撃者にカウンター</t>
    <rPh sb="5" eb="6">
      <t>アイダ</t>
    </rPh>
    <rPh sb="7" eb="9">
      <t>コウゲキサｙ</t>
    </rPh>
    <rPh sb="9" eb="10">
      <t>シャ</t>
    </rPh>
    <phoneticPr fontId="5"/>
  </si>
  <si>
    <t>[effect:degrade_fever, val:1000, animation:fevergauge_down]</t>
    <phoneticPr fontId="5"/>
  </si>
  <si>
    <t>全体攻撃＋一定確率で1ターンスリープ</t>
    <rPh sb="0" eb="4">
      <t>ゼンタイコウゲキ</t>
    </rPh>
    <rPh sb="5" eb="9">
      <t>イッテイカクリツ</t>
    </rPh>
    <phoneticPr fontId="5"/>
  </si>
  <si>
    <t>LB小原</t>
    <rPh sb="2" eb="4">
      <t>オバラ</t>
    </rPh>
    <phoneticPr fontId="5"/>
  </si>
  <si>
    <t>出現リスト内のドラゴンがヤマタノオロチのみのため
対象としてドラゴン種族を使用しています</t>
    <rPh sb="0" eb="2">
      <t>シュツゲｎ</t>
    </rPh>
    <rPh sb="5" eb="6">
      <t>ナイ</t>
    </rPh>
    <rPh sb="25" eb="27">
      <t>タイショウ</t>
    </rPh>
    <rPh sb="34" eb="36">
      <t>シュゾク</t>
    </rPh>
    <rPh sb="37" eb="39">
      <t>siyou</t>
    </rPh>
    <phoneticPr fontId="5"/>
  </si>
  <si>
    <t>大吟醸スプラッシュ</t>
    <rPh sb="0" eb="3">
      <t>ダイギンジョウスプラッシュ</t>
    </rPh>
    <phoneticPr fontId="5"/>
  </si>
  <si>
    <t xml:space="preserve">[effect:spread, val:0.3],[effect:damage_gravity, target:enemy_all, val:0.1, animation:damage_gravity_all03],[effect:force_change_block, new_block:jammer, target:block_blue, ignore01:crash, ignore02:crack_bomb, count:0, val:0]    </t>
    <phoneticPr fontId="5"/>
  </si>
  <si>
    <t xml:space="preserve">[effect:heal, target:enemy_dragon, val:0.3, animation:enemy_heal],[effect:regenerate, target:unit_all, turn:3, val:0.1, type:hp_ratio, animation:heal01],[effect:enhance_fever, val:300, animation:fevergauge_up03]        </t>
    <phoneticPr fontId="5"/>
  </si>
  <si>
    <t>無礼講</t>
    <rPh sb="0" eb="3">
      <t>ブレイコウ</t>
    </rPh>
    <phoneticPr fontId="5"/>
  </si>
  <si>
    <t xml:space="preserve">[effect:spread, val:0.3],[effect:sleep, target:unit_all, turn:1, rate:0.5, calc_type:target_one, animation:sleep01]    </t>
    <phoneticPr fontId="5"/>
  </si>
  <si>
    <t xml:space="preserve">[effect:spread, val:0.2],[effect:hungup, target:unit_all, turn:1, rate:0.5, calc_type:target_one, animation:hungup01]    </t>
    <phoneticPr fontId="5"/>
  </si>
  <si>
    <t xml:space="preserve">[effect:freq_turn, target:myself, turn:3, val:1, animation:enemy_freq_turn]    </t>
    <phoneticPr fontId="5"/>
  </si>
  <si>
    <t>責務からの逃避</t>
    <rPh sb="0" eb="2">
      <t>セキムカラノトウヒ</t>
    </rPh>
    <phoneticPr fontId="5"/>
  </si>
  <si>
    <t>3回連続攻撃</t>
    <rPh sb="2" eb="6">
      <t>レンゾクコウゲキ</t>
    </rPh>
    <phoneticPr fontId="5"/>
  </si>
  <si>
    <t xml:space="preserve">[effect:rush, count:3, val:0.45]    </t>
    <phoneticPr fontId="5"/>
  </si>
  <si>
    <t xml:space="preserve">[effect:enemy_counter, target:myself, invoke_condition:unit_all, counter_target:attacker, turn:5, val:0.35, animation:enemy_counter]    </t>
    <phoneticPr fontId="5"/>
  </si>
  <si>
    <t>リフレックスアクセラレート</t>
    <phoneticPr fontId="5"/>
  </si>
  <si>
    <t xml:space="preserve">[effect:rush, count:8, val:0.2]    </t>
    <phoneticPr fontId="5"/>
  </si>
  <si>
    <t>バインドクロー</t>
    <phoneticPr fontId="5"/>
  </si>
  <si>
    <t>ぐうっ負けねぇぞ！</t>
    <rPh sb="3" eb="4">
      <t>マケナイ</t>
    </rPh>
    <phoneticPr fontId="5"/>
  </si>
  <si>
    <t>ミリー開幕</t>
    <rPh sb="3" eb="5">
      <t>カイマク</t>
    </rPh>
    <phoneticPr fontId="5"/>
  </si>
  <si>
    <t>チェンリーA開幕</t>
    <rPh sb="6" eb="8">
      <t>カイマク</t>
    </rPh>
    <phoneticPr fontId="5"/>
  </si>
  <si>
    <t>チェンリーB開幕</t>
    <rPh sb="6" eb="8">
      <t>カイマク</t>
    </rPh>
    <phoneticPr fontId="5"/>
  </si>
  <si>
    <t>チェンリーB開幕プロメテウス存在時</t>
    <rPh sb="6" eb="8">
      <t>カイマク</t>
    </rPh>
    <rPh sb="14" eb="17">
      <t>ソンザイジ</t>
    </rPh>
    <phoneticPr fontId="5"/>
  </si>
  <si>
    <t>チェンリーA開幕プロメテウス存在時</t>
    <rPh sb="6" eb="8">
      <t>カイマク</t>
    </rPh>
    <rPh sb="14" eb="17">
      <t>ソンザイジ</t>
    </rPh>
    <phoneticPr fontId="5"/>
  </si>
  <si>
    <t xml:space="preserve">[effect:enhance_enemy, target:enemy_all, turn:-1, status:defense, val:250, calc:add, animation:enemy_enhance_defense]    </t>
    <phoneticPr fontId="5"/>
  </si>
  <si>
    <t>エネミー全員防御力アップ</t>
    <rPh sb="6" eb="9">
      <t>ボウギョリョク</t>
    </rPh>
    <phoneticPr fontId="5"/>
  </si>
  <si>
    <t>攻撃頻度UP</t>
    <rPh sb="0" eb="4">
      <t>コウゲキヒンド</t>
    </rPh>
    <phoneticPr fontId="5"/>
  </si>
  <si>
    <t>チェンリーAHP低下で発動</t>
    <rPh sb="8" eb="10">
      <t>テイカ</t>
    </rPh>
    <phoneticPr fontId="5"/>
  </si>
  <si>
    <t>チェンリーBHP低下で発動</t>
    <rPh sb="8" eb="10">
      <t>テイカ</t>
    </rPh>
    <rPh sb="11" eb="13">
      <t>ハツドウ</t>
    </rPh>
    <phoneticPr fontId="5"/>
  </si>
  <si>
    <t>フェンリル</t>
    <phoneticPr fontId="5"/>
  </si>
  <si>
    <t>ローレンス</t>
    <phoneticPr fontId="5"/>
  </si>
  <si>
    <t>ヘラクレス</t>
    <phoneticPr fontId="5"/>
  </si>
  <si>
    <t>アトラス</t>
    <phoneticPr fontId="5"/>
  </si>
  <si>
    <t>アトラスR5撃破時</t>
    <rPh sb="6" eb="9">
      <t>ゲキハジ</t>
    </rPh>
    <phoneticPr fontId="5"/>
  </si>
  <si>
    <t xml:space="preserve">[effect:enemy_message, val1:2, val2:1.8]    </t>
    <phoneticPr fontId="5"/>
  </si>
  <si>
    <t>くうっ！やるじゃないか</t>
    <phoneticPr fontId="5"/>
  </si>
  <si>
    <t>アトラス（破壊数ごとに固定値でダメUP、30個破壊で25000）</t>
    <phoneticPr fontId="5"/>
  </si>
  <si>
    <t>アトラスR6撃破時</t>
    <rPh sb="6" eb="9">
      <t>ゲキハジ</t>
    </rPh>
    <phoneticPr fontId="5"/>
  </si>
  <si>
    <t>[effect:virus, target:unit_all, turn:2, rate:1, val:0.2, calc_type:target_all, animation:enemy_virus],[effect:degrade_fever, val:200, animation:fevergauge_down]</t>
    <phoneticPr fontId="5"/>
  </si>
  <si>
    <t>ボムパネル縮小＋フィーバーゲージ減少
＋単体攻撃</t>
    <rPh sb="5" eb="7">
      <t>シュクショウ</t>
    </rPh>
    <rPh sb="16" eb="18">
      <t>ゲンショウ</t>
    </rPh>
    <rPh sb="20" eb="24">
      <t>タンタイコウゲキ</t>
    </rPh>
    <phoneticPr fontId="5"/>
  </si>
  <si>
    <t>ウィザード級</t>
    <rPh sb="5" eb="6">
      <t>キュウ</t>
    </rPh>
    <phoneticPr fontId="5"/>
  </si>
  <si>
    <t>クイックスキャン＆リカバリー</t>
    <phoneticPr fontId="5"/>
  </si>
  <si>
    <t>ヤマタノオロチ</t>
    <phoneticPr fontId="5"/>
  </si>
  <si>
    <t>[effect:spread, val:0.3]</t>
    <phoneticPr fontId="5"/>
  </si>
  <si>
    <t xml:space="preserve">[effect:enemy_message, val1:2, val2:1.8]    </t>
    <phoneticPr fontId="5"/>
  </si>
  <si>
    <t>アトラスR61G</t>
    <phoneticPr fontId="5"/>
  </si>
  <si>
    <t>アトラスR62G</t>
    <phoneticPr fontId="5"/>
  </si>
  <si>
    <t>アトラスR5</t>
    <phoneticPr fontId="5"/>
  </si>
  <si>
    <t>null</t>
    <phoneticPr fontId="5"/>
  </si>
  <si>
    <t xml:space="preserve">[effect:heal, target:enemy_all, val:0.25, animation:enemy_heal],[effect:sleep, target:unit_all, turn:1, rate:0.3, calc_type:target_one, animation:sleep01],[effect:force_change_block, new_block:block_heart, target:block_yellow, ignore01:crash, ignore02:crack_bomb, ignore03:color_break, count:3, val:0, animation:change_block]       </t>
    <phoneticPr fontId="5"/>
  </si>
  <si>
    <t>link</t>
  </si>
  <si>
    <t>unit</t>
  </si>
  <si>
    <t>ああもう！わかったって！</t>
    <phoneticPr fontId="5"/>
  </si>
  <si>
    <t>俺にしかできねぇ仕事…か…
しょうがねえな…戻るわ！ありがとうな</t>
    <rPh sb="0" eb="1">
      <t>オレニシカ</t>
    </rPh>
    <rPh sb="8" eb="10">
      <t>シゴト</t>
    </rPh>
    <rPh sb="22" eb="23">
      <t>モドッテヤル</t>
    </rPh>
    <phoneticPr fontId="5"/>
  </si>
  <si>
    <t xml:space="preserve">[effect:enhance_enemy, target:myself, turn:-1, status:defense, val:6000, calc:add, animation:enemy_enhance_defense]    </t>
    <phoneticPr fontId="5"/>
  </si>
  <si>
    <t>単体攻撃＋1ターンスキルバインド</t>
    <rPh sb="0" eb="2">
      <t>タンタイ</t>
    </rPh>
    <phoneticPr fontId="5"/>
  </si>
  <si>
    <t>[effect:rush, count:1, val:0.9],[effect:hungup, target:unit_all, turn:1, rate:1, calc_type:target_one, animation:hungup01]</t>
    <phoneticPr fontId="5"/>
  </si>
  <si>
    <t>[effect:degrade_unit, target:unit_all, turn:-1, status:attack, val:0.3, calc:mul],[effect:degrade_unit, target:unit_all, turn:-1, status:defense, val:0.3, calc:mul],[effect:degrade_unit, target:unit_all, turn:-1, status:heal, val:0.3, calc:mul]</t>
    <phoneticPr fontId="5"/>
  </si>
  <si>
    <t xml:space="preserve">[effect:enhance_enemy, target:myself, turn:-1, status:defense, val:3000, calc:add, animation:enemy_enhance_defense]    </t>
    <phoneticPr fontId="5"/>
  </si>
  <si>
    <t>Cパネル＆ボムパネル以外を
ランダムで15個お邪魔パネルに変換</t>
    <rPh sb="10" eb="12">
      <t>イガイ</t>
    </rPh>
    <rPh sb="29" eb="31">
      <t>ヘンカｎ</t>
    </rPh>
    <phoneticPr fontId="5"/>
  </si>
  <si>
    <t>赤パネルをお邪魔パネルに変換＋単体攻撃</t>
    <phoneticPr fontId="5"/>
  </si>
  <si>
    <t>ハートパネルをお邪魔パネルに変換＋単体攻撃</t>
    <phoneticPr fontId="5"/>
  </si>
  <si>
    <t>防火障壁生成</t>
    <rPh sb="0" eb="2">
      <t>ボウカ</t>
    </rPh>
    <rPh sb="2" eb="4">
      <t>ショウヘキ</t>
    </rPh>
    <rPh sb="4" eb="6">
      <t>seisei</t>
    </rPh>
    <phoneticPr fontId="5"/>
  </si>
  <si>
    <t>解除するまで攻撃力＆防御力＆回復力DOWN</t>
    <phoneticPr fontId="5"/>
  </si>
  <si>
    <t>パケットブロードキャスト</t>
    <phoneticPr fontId="5"/>
  </si>
  <si>
    <t xml:space="preserve">[effect:enhance_enemy, target:myself, turn:-1, status:defense, val:1500, calc:add, animation:enemy_enhance_defense]    </t>
    <phoneticPr fontId="5"/>
  </si>
  <si>
    <t>モジュール式重層防壁α</t>
    <rPh sb="5" eb="6">
      <t>シキ</t>
    </rPh>
    <rPh sb="6" eb="8">
      <t>juusou</t>
    </rPh>
    <rPh sb="8" eb="10">
      <t>ボウヘキ</t>
    </rPh>
    <phoneticPr fontId="5"/>
  </si>
  <si>
    <t>モジュール式重層防壁β</t>
    <rPh sb="5" eb="6">
      <t>シキ</t>
    </rPh>
    <rPh sb="6" eb="8">
      <t>juusou</t>
    </rPh>
    <rPh sb="8" eb="10">
      <t>ボウヘキ</t>
    </rPh>
    <phoneticPr fontId="5"/>
  </si>
  <si>
    <t>モジュール式重層防壁γ</t>
    <rPh sb="5" eb="6">
      <t>シキ</t>
    </rPh>
    <rPh sb="6" eb="8">
      <t>juusou</t>
    </rPh>
    <rPh sb="8" eb="10">
      <t>ボウヘキ</t>
    </rPh>
    <phoneticPr fontId="5"/>
  </si>
  <si>
    <t>old</t>
  </si>
  <si>
    <t>全員に2ターンダメージのウィルス
＋フィーバーゲージ減少</t>
    <rPh sb="26" eb="28">
      <t>ゲンショウ</t>
    </rPh>
    <phoneticPr fontId="5"/>
  </si>
  <si>
    <t>種族：アニマルに大ダメージの全体攻撃</t>
    <rPh sb="0" eb="2">
      <t>シュゾク</t>
    </rPh>
    <rPh sb="8" eb="9">
      <t>ダイダメージ</t>
    </rPh>
    <rPh sb="14" eb="18">
      <t>ゼンタイコウゲキ</t>
    </rPh>
    <phoneticPr fontId="5"/>
  </si>
  <si>
    <t>全体攻撃
＋一定確率で1ターンスキルバインド</t>
    <rPh sb="0" eb="4">
      <t>ゼンタイコウゲキ</t>
    </rPh>
    <rPh sb="6" eb="10">
      <t>イッテイカクリツ</t>
    </rPh>
    <phoneticPr fontId="5"/>
  </si>
  <si>
    <t>3ターンの間行動頻度UP</t>
    <rPh sb="5" eb="6">
      <t>アイダ</t>
    </rPh>
    <rPh sb="6" eb="10">
      <t>コウドウヒンド</t>
    </rPh>
    <phoneticPr fontId="5"/>
  </si>
  <si>
    <t>だが俺はまだ！自由を諦めないぞ！</t>
    <rPh sb="2" eb="3">
      <t>オレハ</t>
    </rPh>
    <rPh sb="7" eb="9">
      <t>ジユウ</t>
    </rPh>
    <rPh sb="10" eb="11">
      <t>アキラメナイ</t>
    </rPh>
    <phoneticPr fontId="5"/>
  </si>
  <si>
    <t>カウンター状態のユニットに大ダメージの全体攻撃
＋カウンター状態を解除
＋解除されるまでカウンター</t>
    <rPh sb="13" eb="14">
      <t>ダイダメージ</t>
    </rPh>
    <rPh sb="19" eb="23">
      <t>ゼンタイコウゲキ</t>
    </rPh>
    <rPh sb="30" eb="32">
      <t>ジョウタイ</t>
    </rPh>
    <rPh sb="33" eb="35">
      <t>カイジョ</t>
    </rPh>
    <phoneticPr fontId="5"/>
  </si>
  <si>
    <t>3ターンの間行動頻度1にアップ</t>
    <rPh sb="5" eb="6">
      <t>アイダ</t>
    </rPh>
    <phoneticPr fontId="5"/>
  </si>
  <si>
    <t>離散型遮蔽防壁TypeA</t>
    <rPh sb="0" eb="3">
      <t>risanngata</t>
    </rPh>
    <rPh sb="3" eb="5">
      <t>シャヘイ</t>
    </rPh>
    <rPh sb="5" eb="7">
      <t>ボウヘキ</t>
    </rPh>
    <phoneticPr fontId="5"/>
  </si>
  <si>
    <t>離散型遮蔽防壁TypeB</t>
    <rPh sb="0" eb="3">
      <t>リサンガタ</t>
    </rPh>
    <rPh sb="3" eb="7">
      <t>シャヘイボウヘキ</t>
    </rPh>
    <phoneticPr fontId="5"/>
  </si>
  <si>
    <t>掩蔽防壁強化Mod.A</t>
    <rPh sb="0" eb="2">
      <t>エンペイ</t>
    </rPh>
    <rPh sb="2" eb="4">
      <t>シャヘイボウヘキ</t>
    </rPh>
    <rPh sb="4" eb="6">
      <t>キョウカ</t>
    </rPh>
    <phoneticPr fontId="5"/>
  </si>
  <si>
    <t>掩蔽防壁強化Mod.B</t>
    <rPh sb="0" eb="2">
      <t>エンペイ</t>
    </rPh>
    <rPh sb="2" eb="4">
      <t>シャヘイボウヘキ</t>
    </rPh>
    <rPh sb="4" eb="6">
      <t>キョウカ</t>
    </rPh>
    <phoneticPr fontId="5"/>
  </si>
  <si>
    <t>「俺特製の防壁モジュールを見せてやろうッ！」
解除するまで防御力UP</t>
    <rPh sb="1" eb="2">
      <t>オレノ</t>
    </rPh>
    <rPh sb="2" eb="4">
      <t>トクセイ</t>
    </rPh>
    <rPh sb="5" eb="7">
      <t>ボウヘキ</t>
    </rPh>
    <rPh sb="13" eb="14">
      <t>ミセテヤロウ</t>
    </rPh>
    <rPh sb="23" eb="25">
      <t>カイジョ</t>
    </rPh>
    <rPh sb="29" eb="32">
      <t>ボウギョリョク</t>
    </rPh>
    <phoneticPr fontId="5"/>
  </si>
  <si>
    <t>モジュール式重層防壁α改</t>
    <rPh sb="5" eb="6">
      <t>シキ</t>
    </rPh>
    <rPh sb="6" eb="8">
      <t>juusou</t>
    </rPh>
    <rPh sb="8" eb="10">
      <t>ボウヘキ</t>
    </rPh>
    <rPh sb="11" eb="12">
      <t>カイ</t>
    </rPh>
    <phoneticPr fontId="5"/>
  </si>
  <si>
    <t>モジュール式重層防壁β改</t>
    <rPh sb="5" eb="6">
      <t>シキ</t>
    </rPh>
    <rPh sb="6" eb="8">
      <t>juusou</t>
    </rPh>
    <rPh sb="8" eb="10">
      <t>ボウヘキ</t>
    </rPh>
    <rPh sb="11" eb="12">
      <t>カイ</t>
    </rPh>
    <phoneticPr fontId="5"/>
  </si>
  <si>
    <t>モジュール式重層防壁γ改</t>
    <rPh sb="5" eb="6">
      <t>シキ</t>
    </rPh>
    <rPh sb="6" eb="8">
      <t>juusou</t>
    </rPh>
    <rPh sb="8" eb="10">
      <t>ボウヘキ</t>
    </rPh>
    <rPh sb="11" eb="12">
      <t>kai</t>
    </rPh>
    <phoneticPr fontId="5"/>
  </si>
  <si>
    <t xml:space="preserve">[effect:rush, count:2, val:0.6]    </t>
    <phoneticPr fontId="5"/>
  </si>
  <si>
    <t xml:space="preserve">[effect:enemy_counter, target:myself, invoke_condition:unit_all, counter_target:attacker, turn:2, val:0.5, animation:enemy_counter]    </t>
    <phoneticPr fontId="5"/>
  </si>
  <si>
    <t>エネミー全体回復
＋一定確率で1ターンスリープ
＋黄パネルを最大5個ハートパネルに変換</t>
    <rPh sb="10" eb="14">
      <t>イッテイカクリツ</t>
    </rPh>
    <rPh sb="25" eb="26">
      <t>キ</t>
    </rPh>
    <rPh sb="30" eb="32">
      <t>サイダイ</t>
    </rPh>
    <rPh sb="33" eb="34">
      <t>コ</t>
    </rPh>
    <phoneticPr fontId="5"/>
  </si>
  <si>
    <t>ウォォォォォォォッ！</t>
    <phoneticPr fontId="5"/>
  </si>
  <si>
    <t>オレの拳はどうだッ！</t>
    <rPh sb="3" eb="4">
      <t>コブシ</t>
    </rPh>
    <phoneticPr fontId="5"/>
  </si>
  <si>
    <t>ハァァァァッ！</t>
    <phoneticPr fontId="5"/>
  </si>
  <si>
    <t>センスオブハンター</t>
    <phoneticPr fontId="5"/>
  </si>
  <si>
    <t>これならどう？</t>
    <phoneticPr fontId="5"/>
  </si>
  <si>
    <t>バリケード設置</t>
    <rPh sb="5" eb="7">
      <t>セッチ</t>
    </rPh>
    <phoneticPr fontId="5"/>
  </si>
  <si>
    <t>獲物は逃がさない！</t>
    <rPh sb="0" eb="2">
      <t>エモノ</t>
    </rPh>
    <rPh sb="3" eb="4">
      <t>ニガサナイ</t>
    </rPh>
    <phoneticPr fontId="5"/>
  </si>
  <si>
    <t>ほら呑んで呑んで〜</t>
    <rPh sb="2" eb="3">
      <t>nonnde</t>
    </rPh>
    <rPh sb="5" eb="6">
      <t>ノンデー</t>
    </rPh>
    <phoneticPr fontId="5"/>
  </si>
  <si>
    <t>虚数空間支配</t>
    <rPh sb="0" eb="2">
      <t>キョスウ</t>
    </rPh>
    <rPh sb="2" eb="6">
      <t>クウカンシハイ</t>
    </rPh>
    <phoneticPr fontId="5"/>
  </si>
  <si>
    <t>お邪魔パネルを10個生成
＋お邪魔パネル最大20個にプロテクト</t>
    <rPh sb="10" eb="12">
      <t>セイセイ</t>
    </rPh>
    <phoneticPr fontId="5"/>
  </si>
  <si>
    <t>お邪魔パネルを5個生成
＋お邪魔パネル最大10個にプロテクト</t>
    <phoneticPr fontId="5"/>
  </si>
  <si>
    <t xml:space="preserve">[effect:enhance_enemy, target:myself, turn:-1, status:defense, val:12000, calc:add, animation:enemy_enhance_defense]    </t>
    <phoneticPr fontId="5"/>
  </si>
  <si>
    <t xml:space="preserve">[effect:enhance_enemy, target:myself, turn:-1, status:defense, val:6000, calc:add, animation:enemy_enhance_defense]    </t>
    <phoneticPr fontId="5"/>
  </si>
  <si>
    <t>「防壁モジュールを2重に同時展開だ！
さぁ、どう出てくる？」
解除するまで防御力UP</t>
    <rPh sb="1" eb="3">
      <t>ボウヘキ</t>
    </rPh>
    <rPh sb="10" eb="16">
      <t>タジュウテンカイ</t>
    </rPh>
    <rPh sb="31" eb="33">
      <t>カイジョ</t>
    </rPh>
    <rPh sb="37" eb="40">
      <t>ボウギョリョク</t>
    </rPh>
    <phoneticPr fontId="5"/>
  </si>
  <si>
    <t>バックアップ領域破壊</t>
    <rPh sb="6" eb="8">
      <t>リョウイキ</t>
    </rPh>
    <rPh sb="8" eb="10">
      <t>ハカイ</t>
    </rPh>
    <phoneticPr fontId="5"/>
  </si>
  <si>
    <t>5ターンの間、毎ターンHP回復15％</t>
    <rPh sb="5" eb="6">
      <t>アイダ</t>
    </rPh>
    <phoneticPr fontId="5"/>
  </si>
  <si>
    <t>[effect:regenerate, target:unit_all, turn:5, val:0.15, type:hp_ratio, animation:heal01]</t>
    <phoneticPr fontId="5"/>
  </si>
  <si>
    <t>ダイレクトチャネリング</t>
    <phoneticPr fontId="5"/>
  </si>
  <si>
    <t>全体攻撃＋お邪魔パネルを7個生成</t>
    <rPh sb="0" eb="4">
      <t>ゼンタイコウゲキ</t>
    </rPh>
    <rPh sb="14" eb="16">
      <t>セイセイ</t>
    </rPh>
    <phoneticPr fontId="5"/>
  </si>
  <si>
    <t>連続攻撃＋お邪魔パネルを10個生成</t>
    <rPh sb="0" eb="4">
      <t>レンゾクコウゲキ</t>
    </rPh>
    <rPh sb="15" eb="17">
      <t>セイセイ</t>
    </rPh>
    <phoneticPr fontId="5"/>
  </si>
  <si>
    <t>リバースドア</t>
    <phoneticPr fontId="5"/>
  </si>
  <si>
    <t>マルチキャスト</t>
    <phoneticPr fontId="5"/>
  </si>
  <si>
    <t>カウンタークラック</t>
    <phoneticPr fontId="5"/>
  </si>
  <si>
    <t xml:space="preserve">[effect:rush, count:2, val:0.5]    </t>
    <phoneticPr fontId="5"/>
  </si>
  <si>
    <t xml:space="preserve">[effect:enhance_enemy, target:myself, turn:2, status:attack, val:0.5, calc:mul, animation:enemy_enhance_attack]    </t>
    <phoneticPr fontId="5"/>
  </si>
  <si>
    <t>2ターンの間攻撃力アップ</t>
    <rPh sb="5" eb="6">
      <t>アイダ</t>
    </rPh>
    <rPh sb="6" eb="9">
      <t>コウゲキリョク</t>
    </rPh>
    <phoneticPr fontId="5"/>
  </si>
  <si>
    <t>「くっ！防壁モジュール残り4個、全部展開だ！
貫けるものなら貫いてみろッ！！」
解除するまで防御力UP</t>
    <rPh sb="4" eb="6">
      <t>ボウヘキ</t>
    </rPh>
    <rPh sb="11" eb="12">
      <t>ノコリ</t>
    </rPh>
    <rPh sb="16" eb="18">
      <t>ゼンブ</t>
    </rPh>
    <rPh sb="18" eb="20">
      <t>テンカイ</t>
    </rPh>
    <rPh sb="23" eb="24">
      <t>ツラヌケ</t>
    </rPh>
    <rPh sb="30" eb="31">
      <t>ツラヌキ</t>
    </rPh>
    <rPh sb="40" eb="42">
      <t>カイジョ</t>
    </rPh>
    <rPh sb="46" eb="49">
      <t>ボウギョリョク</t>
    </rPh>
    <phoneticPr fontId="5"/>
  </si>
  <si>
    <t>生き返るわぁ〜</t>
    <rPh sb="0" eb="1">
      <t>イキカエル</t>
    </rPh>
    <phoneticPr fontId="5"/>
  </si>
  <si>
    <t>獣の矜持を忘れるな！！</t>
    <phoneticPr fontId="5"/>
  </si>
  <si>
    <t>ランダムで最大7個お邪魔パネルに変換</t>
    <rPh sb="5" eb="7">
      <t>サイダイ</t>
    </rPh>
    <rPh sb="16" eb="18">
      <t>ヘンカｎ</t>
    </rPh>
    <phoneticPr fontId="5"/>
  </si>
  <si>
    <t>全体攻撃</t>
    <rPh sb="0" eb="4">
      <t>ゼンタイコウゲキ</t>
    </rPh>
    <phoneticPr fontId="5"/>
  </si>
  <si>
    <t>3ターン攻撃力DOWN
＋フィーバーゲージ増加</t>
    <rPh sb="4" eb="7">
      <t>コウゲキリョク</t>
    </rPh>
    <rPh sb="21" eb="23">
      <t>ゾウカ</t>
    </rPh>
    <phoneticPr fontId="5"/>
  </si>
  <si>
    <t>エネミー全体の攻撃力UP</t>
    <rPh sb="4" eb="6">
      <t>ゼンタイ</t>
    </rPh>
    <rPh sb="7" eb="10">
      <t>コウゲキリョク</t>
    </rPh>
    <phoneticPr fontId="5"/>
  </si>
  <si>
    <t>3ターン回復力DOWN
＋フィーバーゲージ増加</t>
    <rPh sb="4" eb="6">
      <t>カイフク</t>
    </rPh>
    <phoneticPr fontId="5"/>
  </si>
  <si>
    <t xml:space="preserve">[effect:spread, val:0.3],[effect:sleep, target:enemy_dragon, turn:2, rate:1, calc_type:target_one, animation:sleep01],[effect:heal, target:enemy_dragon, val:0.25, animation:enemy_heal]        </t>
    <phoneticPr fontId="5"/>
  </si>
  <si>
    <t>アトラスのモジュール式重層防壁には
防御力ダウンのスキルで対抗しましょう</t>
    <rPh sb="11" eb="15">
      <t>ジュウソウボウヘキ</t>
    </rPh>
    <rPh sb="18" eb="21">
      <t>ボウギョリョク</t>
    </rPh>
    <rPh sb="29" eb="31">
      <t>タイコウ</t>
    </rPh>
    <phoneticPr fontId="5"/>
  </si>
  <si>
    <t>全体攻撃＋青パネルをお邪魔パネルに変換</t>
    <rPh sb="0" eb="4">
      <t>ゼンタイコウゲキ</t>
    </rPh>
    <rPh sb="5" eb="6">
      <t>アオ</t>
    </rPh>
    <rPh sb="17" eb="19">
      <t>ヘンカン</t>
    </rPh>
    <phoneticPr fontId="5"/>
  </si>
  <si>
    <t>ヤマタノオロチのHPが回復
＋3ターンの間HP回復＋フィーバーゲージ増加</t>
    <rPh sb="11" eb="13">
      <t>カイフク</t>
    </rPh>
    <rPh sb="23" eb="25">
      <t>カイフク</t>
    </rPh>
    <rPh sb="34" eb="36">
      <t>ゾウカ</t>
    </rPh>
    <phoneticPr fontId="5"/>
  </si>
  <si>
    <t>（非常に強い酒を飲まされた！）</t>
    <rPh sb="1" eb="3">
      <t>ヒジョウ</t>
    </rPh>
    <rPh sb="4" eb="5">
      <t>ツヨイ</t>
    </rPh>
    <rPh sb="6" eb="7">
      <t>サケ</t>
    </rPh>
    <rPh sb="8" eb="9">
      <t>ノマサレタ</t>
    </rPh>
    <phoneticPr fontId="5"/>
  </si>
  <si>
    <t>ヤマタノオロチは酔って眠っている！
全体攻撃＋自身に2ターンスリープ＆HP回復</t>
    <rPh sb="8" eb="9">
      <t>ヨイツブレタ</t>
    </rPh>
    <rPh sb="11" eb="12">
      <t>ネムッテイル</t>
    </rPh>
    <rPh sb="18" eb="22">
      <t>ゼンタイコウゲキ</t>
    </rPh>
    <rPh sb="23" eb="25">
      <t>ジシｎ</t>
    </rPh>
    <rPh sb="37" eb="39">
      <t>カイフク</t>
    </rPh>
    <phoneticPr fontId="5"/>
  </si>
  <si>
    <t>3ターン回復力DOWN
＋フィーバーゲージ増加</t>
    <phoneticPr fontId="5"/>
  </si>
  <si>
    <t>フィーバーゲージ減少</t>
    <rPh sb="8" eb="10">
      <t>ゲンショウ</t>
    </rPh>
    <phoneticPr fontId="5"/>
  </si>
  <si>
    <t>ああっもう！お前たち！
任務中に酒なんか飲むな！</t>
    <phoneticPr fontId="5"/>
  </si>
  <si>
    <t>トリプルバッファリング</t>
    <phoneticPr fontId="5"/>
  </si>
  <si>
    <t>シエスタへの誘い</t>
    <rPh sb="6" eb="7">
      <t>イザナイ</t>
    </rPh>
    <phoneticPr fontId="5"/>
  </si>
  <si>
    <t>サボタージュへの誘い</t>
    <rPh sb="8" eb="9">
      <t>サソイ</t>
    </rPh>
    <phoneticPr fontId="5"/>
  </si>
  <si>
    <t xml:space="preserve">[effect:break_attack_fix, target:enemy_all, val:1000, lowest_val:1000, count:30, color:green, block01:jammer],[effect:dark, target:unit_all, turn:1, animation:enemy_dark]    </t>
    <phoneticPr fontId="5"/>
  </si>
  <si>
    <t>隠れるためだけと思ったか！？</t>
    <rPh sb="8" eb="9">
      <t>オモッタカ</t>
    </rPh>
    <phoneticPr fontId="5"/>
  </si>
  <si>
    <t>お邪魔パネルを最大30個吸収して全体攻撃
（吸収数に応じてダメージアップ）＋1ターン暗闇</t>
    <rPh sb="7" eb="9">
      <t>サイダイ</t>
    </rPh>
    <rPh sb="12" eb="21">
      <t>キュウシュウスウ</t>
    </rPh>
    <rPh sb="22" eb="25">
      <t>キュウシュウスウ</t>
    </rPh>
    <rPh sb="26" eb="27">
      <t>オウジテ</t>
    </rPh>
    <rPh sb="42" eb="44">
      <t>クラヤミ</t>
    </rPh>
    <phoneticPr fontId="5"/>
  </si>
  <si>
    <t xml:space="preserve">[effect:damage_status_break, target:unit_all, status:counter, color:green, val1:1.5, val2:0.3],[effect:enemy_counter, target:myself, invoke_condition:unit_all, counter_target:attacker, turn:-1, val:0.2, animation:enemy_counter]        </t>
    <phoneticPr fontId="5"/>
  </si>
  <si>
    <t xml:space="preserve">[effect:damage_anti_tribe, target:unit_all, tribe:animal, val1:1.25, val2:0.25]    </t>
    <phoneticPr fontId="5"/>
  </si>
  <si>
    <t>アトラスはお邪魔パネル変換スキルを
多用してきますので
アビリティのお邪魔ブレイクや
変換スキルを用意しましょう</t>
    <rPh sb="11" eb="13">
      <t>ヘンカｎ</t>
    </rPh>
    <rPh sb="18" eb="20">
      <t>タヨウ</t>
    </rPh>
    <rPh sb="43" eb="45">
      <t>ヘンカｎ</t>
    </rPh>
    <rPh sb="49" eb="51">
      <t>ヨウイ</t>
    </rPh>
    <phoneticPr fontId="5"/>
  </si>
  <si>
    <t>ヘラクレスの攻撃では一定確率で
スリープやスキルバインドが発動します
注意しましょう</t>
    <rPh sb="6" eb="8">
      <t>コウゲキ</t>
    </rPh>
    <rPh sb="29" eb="31">
      <t>ハツドウ</t>
    </rPh>
    <rPh sb="35" eb="37">
      <t>チュウイ</t>
    </rPh>
    <phoneticPr fontId="5"/>
  </si>
  <si>
    <t>フェンリルの先制攻撃は
アニマルに大ダメージとなります
HPを高めに保つか　パーティ内の
アニマルの数を減らしましょう</t>
    <rPh sb="17" eb="18">
      <t>ダイ</t>
    </rPh>
    <rPh sb="31" eb="32">
      <t>タカメニ</t>
    </rPh>
    <rPh sb="34" eb="35">
      <t>タモツカ</t>
    </rPh>
    <rPh sb="42" eb="43">
      <t>ナイ</t>
    </rPh>
    <rPh sb="50" eb="51">
      <t>ヘンセイスウ</t>
    </rPh>
    <rPh sb="52" eb="53">
      <t>ヘラシマショウ</t>
    </rPh>
    <phoneticPr fontId="5"/>
  </si>
  <si>
    <t>アトラス</t>
    <phoneticPr fontId="5"/>
  </si>
  <si>
    <t>セレスティアル・スフィア</t>
    <phoneticPr fontId="5"/>
  </si>
  <si>
    <t>Cパネル＆ボムパネル以外を
ランダムで10個お邪魔パネルに変換</t>
    <phoneticPr fontId="5"/>
  </si>
  <si>
    <t>「あの仕事は重たいから嫌なんだよッ！！」
5ターンの間カウンター状態</t>
    <rPh sb="26" eb="27">
      <t>アイダ</t>
    </rPh>
    <rPh sb="32" eb="34">
      <t>ジョウタイ</t>
    </rPh>
    <phoneticPr fontId="5"/>
  </si>
  <si>
    <t>「ハハッ！俺の動きについてこられるかっ？」
8回連続攻撃</t>
    <rPh sb="24" eb="28">
      <t>レンゾクコウゲキ</t>
    </rPh>
    <phoneticPr fontId="5"/>
  </si>
  <si>
    <t>　熱くなったろ？</t>
    <rPh sb="1" eb="2">
      <t>atuku</t>
    </rPh>
    <phoneticPr fontId="5"/>
  </si>
  <si>
    <t>　よう！一杯どうだ？</t>
    <phoneticPr fontId="5"/>
  </si>
  <si>
    <t>まぁ一緒に呑もう　</t>
    <phoneticPr fontId="5"/>
  </si>
  <si>
    <t>今日も酒が進む！　</t>
    <rPh sb="0" eb="2">
      <t>キョウモ</t>
    </rPh>
    <rPh sb="5" eb="6">
      <t>ススム</t>
    </rPh>
    <phoneticPr fontId="5"/>
  </si>
  <si>
    <t>兄貴！
俺っちからも一献！　</t>
    <phoneticPr fontId="5"/>
  </si>
  <si>
    <t>とっておきの一本だ！　</t>
    <rPh sb="6" eb="8">
      <t>イッポｎ</t>
    </rPh>
    <phoneticPr fontId="5"/>
  </si>
  <si>
    <t>酔ってないっすよ　</t>
    <rPh sb="0" eb="1">
      <t>ヨッパラッテ</t>
    </rPh>
    <phoneticPr fontId="5"/>
  </si>
  <si>
    <t>超絶級</t>
    <rPh sb="0" eb="3">
      <t>チョウゼツキュウ</t>
    </rPh>
    <phoneticPr fontId="5"/>
  </si>
  <si>
    <t>ウィザード級</t>
    <phoneticPr fontId="5"/>
  </si>
  <si>
    <t>3ターン攻撃力DOWN
＋フィーバーゲージ増加</t>
    <phoneticPr fontId="5"/>
  </si>
  <si>
    <t>プロメテウス兄貴！
一杯いかがっすか</t>
    <rPh sb="10" eb="12">
      <t>イッパイ</t>
    </rPh>
    <phoneticPr fontId="5"/>
  </si>
  <si>
    <t xml:space="preserve">[effect:break_attack_fix, target:enemy_all, val:500, lowest_val:500, count:20, color:green, block01:jammer],[effect:dark, target:unit_all, turn:1, animation:enemy_dark]    </t>
    <phoneticPr fontId="5"/>
  </si>
  <si>
    <t>お邪魔パネルを最大20個吸収して全体攻撃
（吸収数に応じてダメージアップ）＋1ターン暗闇</t>
    <rPh sb="7" eb="9">
      <t>サイダイ</t>
    </rPh>
    <rPh sb="12" eb="21">
      <t>キュウシュウスウ</t>
    </rPh>
    <rPh sb="22" eb="25">
      <t>キュウシュウスウ</t>
    </rPh>
    <rPh sb="26" eb="27">
      <t>オウジテ</t>
    </rPh>
    <rPh sb="42" eb="44">
      <t>クラヤミ</t>
    </rPh>
    <phoneticPr fontId="5"/>
  </si>
  <si>
    <t>セレスティアル・スフィアの管理</t>
    <rPh sb="13" eb="15">
      <t>カンリ</t>
    </rPh>
    <phoneticPr fontId="5"/>
  </si>
  <si>
    <t>ALICEの各サービス間の情報伝達や
リソース配分を管理する統合管理システム
管理AIには専用のチューニングが必要</t>
    <rPh sb="30" eb="32">
      <t>トウゴウ</t>
    </rPh>
    <rPh sb="32" eb="34">
      <t>カンリ</t>
    </rPh>
    <rPh sb="39" eb="41">
      <t>カンリ</t>
    </rPh>
    <rPh sb="45" eb="47">
      <t>センヨウ</t>
    </rPh>
    <rPh sb="55" eb="57">
      <t>ヒツヨウ</t>
    </rPh>
    <phoneticPr fontId="5"/>
  </si>
  <si>
    <t>ALICE基幹システムの負荷に耐えうる
現在唯一の管理AIですが
その重責に不満が蓄積しているという噂も…</t>
    <rPh sb="5" eb="7">
      <t>kikann</t>
    </rPh>
    <rPh sb="12" eb="14">
      <t>フカ</t>
    </rPh>
    <rPh sb="15" eb="16">
      <t>タエウル</t>
    </rPh>
    <rPh sb="20" eb="22">
      <t>ゲンザイ</t>
    </rPh>
    <rPh sb="22" eb="24">
      <t>ユイイツノ</t>
    </rPh>
    <rPh sb="35" eb="37">
      <t>ジュウセキニ</t>
    </rPh>
    <rPh sb="38" eb="40">
      <t>フマｎ</t>
    </rPh>
    <rPh sb="41" eb="43">
      <t>チクセキシテイルトイウ</t>
    </rPh>
    <rPh sb="50" eb="51">
      <t>ウワサ</t>
    </rPh>
    <phoneticPr fontId="5"/>
  </si>
  <si>
    <t>セレスティアル・スフィアの負荷に耐えうる
現在唯一の管理AIです
その重責に不満が蓄積しているという噂も…</t>
    <rPh sb="13" eb="15">
      <t>フカ</t>
    </rPh>
    <rPh sb="16" eb="17">
      <t>タエウル</t>
    </rPh>
    <rPh sb="21" eb="23">
      <t>ゲンザイ</t>
    </rPh>
    <rPh sb="23" eb="25">
      <t>ユイイツノ</t>
    </rPh>
    <rPh sb="35" eb="37">
      <t>ジュウセキニ</t>
    </rPh>
    <rPh sb="38" eb="40">
      <t>フマｎ</t>
    </rPh>
    <rPh sb="41" eb="43">
      <t>チクセキシテイルトイウ</t>
    </rPh>
    <rPh sb="50" eb="51">
      <t>ウワサ</t>
    </rPh>
    <phoneticPr fontId="5"/>
  </si>
  <si>
    <t>[effect:force_change_block, new_block:jammer, target:block_heart, ignore01:crash, ignore02:crack_bomb, count:0, val:0],[effect:rush, count:1, val:0.6]</t>
    <phoneticPr fontId="5"/>
  </si>
  <si>
    <t>[effect:force_change_block, new_block:jammer, target:block_red, ignore01:crash, ignore02:crack_bomb, count:0, val:0],[effect:rush, count:1, val:0.6]</t>
    <phoneticPr fontId="5"/>
  </si>
  <si>
    <t>専用チューニングなしでは
想像を絶する負荷を受けるため
管理業務に対応可能なのは
現時点ではアトラスただ１人です</t>
    <rPh sb="13" eb="15">
      <t>ソウゾウ</t>
    </rPh>
    <rPh sb="16" eb="17">
      <t>ゼッスル</t>
    </rPh>
    <rPh sb="19" eb="21">
      <t>フカ</t>
    </rPh>
    <rPh sb="22" eb="23">
      <t>ウケルタメ</t>
    </rPh>
    <rPh sb="41" eb="44">
      <t>ゲンジテｎ</t>
    </rPh>
    <phoneticPr fontId="5"/>
  </si>
  <si>
    <t>ミリーはお邪魔パネル変換を使います
アビリティのお邪魔ブレイクや
変換できるスキルを準備しましょう</t>
    <rPh sb="10" eb="12">
      <t>ヘンカｎ</t>
    </rPh>
    <rPh sb="13" eb="14">
      <t>ツカイマス</t>
    </rPh>
    <rPh sb="33" eb="35">
      <t>ヘンカｎ</t>
    </rPh>
    <rPh sb="42" eb="44">
      <t>ジュンビ</t>
    </rPh>
    <phoneticPr fontId="5"/>
  </si>
  <si>
    <t xml:space="preserve">[effect:scale_bomb, val:-6, count:-1, animation:change_block],[effect:degrade_fever, val:1000, animation:fevergauge_down],[effect:rush, count:1, val:0.6]       </t>
    <phoneticPr fontId="5"/>
  </si>
  <si>
    <t>[effect:force_change_block, new_block:jammer, target:block_all, ignore01:block_positive, ignore02:block_negative, count:7, val:0]</t>
    <phoneticPr fontId="5"/>
  </si>
  <si>
    <t>[effect:force_change_block, new_block:jammer, target:block_all, ignore01:block_positive, ignore02:block_negative, count:10, val:0]</t>
    <phoneticPr fontId="5"/>
  </si>
  <si>
    <t>[effect:force_change_block, new_block:jammer, target:block_all, ignore01:block_positive, ignore02:block_negative, count:15, val:0]</t>
    <phoneticPr fontId="5"/>
  </si>
  <si>
    <t>[effect:rush, count:2, val:0.45],[effect:force_change_block, new_block:jammer, target:block_all, ignore01:block_positive, ignore02:block_negative, count:10, val:0]</t>
    <phoneticPr fontId="5"/>
  </si>
  <si>
    <t>[effect:spread, val:0.248],[effect:force_change_block, new_block:jammer, target:block_all, ignore01:block_positive, ignore02:block_negative, count:7, val:0]</t>
    <phoneticPr fontId="5"/>
  </si>
  <si>
    <t>[effect:force_change_block, new_block:jammer, target:block_all, ignore01:block_positive, ignore02:block_negative, count:10, val:0],[effect:panel_freeze, target:jammer, count:20, break_count:1]</t>
    <phoneticPr fontId="5"/>
  </si>
  <si>
    <t>[effect:force_change_block, new_block:jammer, target:block_all, ignore01:block_positive, ignore02:block_negative, count:5, val:0],[effect:panel_freeze, target:jammer, count:10, break_count:1]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</si>
</sst>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5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14" fontId="16" fillId="32" borderId="7" xfId="0" applyNumberFormat="1" applyFont="1" applyFill="1" applyBorder="1" applyAlignment="1">
      <alignment horizontal="left" vertical="center"/>
    </xf>
    <xf numFmtId="0" fontId="16" fillId="32" borderId="0" xfId="0" applyFont="1" applyFill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14" fontId="16" fillId="33" borderId="7" xfId="0" applyNumberFormat="1" applyFont="1" applyFill="1" applyBorder="1" applyAlignment="1">
      <alignment horizontal="left" vertical="center"/>
    </xf>
    <xf numFmtId="0" fontId="16" fillId="33" borderId="0" xfId="0" applyFont="1" applyFill="1" applyAlignment="1">
      <alignment vertical="center"/>
    </xf>
    <xf numFmtId="38" fontId="16" fillId="0" borderId="7" xfId="628" applyFont="1" applyFill="1" applyBorder="1" applyAlignment="1">
      <alignment wrapText="1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4" fillId="7" borderId="23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3" borderId="24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vertical="center"/>
    </xf>
    <xf numFmtId="0" fontId="16" fillId="0" borderId="23" xfId="0" applyFont="1" applyBorder="1" applyAlignment="1">
      <alignment vertical="center"/>
    </xf>
    <xf numFmtId="0" fontId="30" fillId="0" borderId="25" xfId="0" applyFont="1" applyFill="1" applyBorder="1"/>
    <xf numFmtId="0" fontId="29" fillId="0" borderId="25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6" xfId="0" applyFont="1" applyBorder="1" applyAlignment="1">
      <alignment vertical="center"/>
    </xf>
    <xf numFmtId="177" fontId="8" fillId="0" borderId="26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176" fontId="4" fillId="0" borderId="28" xfId="0" applyNumberFormat="1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6" fillId="0" borderId="24" xfId="0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6" fillId="5" borderId="29" xfId="0" applyFont="1" applyFill="1" applyBorder="1" applyAlignment="1">
      <alignment vertical="center"/>
    </xf>
    <xf numFmtId="0" fontId="8" fillId="0" borderId="30" xfId="0" applyFont="1" applyBorder="1" applyAlignment="1">
      <alignment vertical="center"/>
    </xf>
    <xf numFmtId="177" fontId="8" fillId="0" borderId="30" xfId="0" applyNumberFormat="1" applyFont="1" applyBorder="1" applyAlignment="1">
      <alignment vertical="center"/>
    </xf>
    <xf numFmtId="1" fontId="32" fillId="31" borderId="24" xfId="0" applyNumberFormat="1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23" xfId="0" applyFont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48501</v>
          </cell>
        </row>
        <row r="246">
          <cell r="A246">
            <v>48502</v>
          </cell>
        </row>
        <row r="247">
          <cell r="A247">
            <v>48701</v>
          </cell>
        </row>
        <row r="248">
          <cell r="A248">
            <v>41001</v>
          </cell>
        </row>
        <row r="249">
          <cell r="A249">
            <v>41002</v>
          </cell>
        </row>
        <row r="250">
          <cell r="A250">
            <v>41003</v>
          </cell>
        </row>
        <row r="251">
          <cell r="A251">
            <v>41004</v>
          </cell>
        </row>
        <row r="252">
          <cell r="A252">
            <v>41005</v>
          </cell>
        </row>
        <row r="253">
          <cell r="A253">
            <v>41006</v>
          </cell>
        </row>
        <row r="254">
          <cell r="A254">
            <v>41007</v>
          </cell>
        </row>
        <row r="255">
          <cell r="A255">
            <v>41008</v>
          </cell>
        </row>
        <row r="256">
          <cell r="A256">
            <v>41009</v>
          </cell>
        </row>
        <row r="257">
          <cell r="A257">
            <v>41010</v>
          </cell>
        </row>
        <row r="258">
          <cell r="A258">
            <v>41011</v>
          </cell>
        </row>
        <row r="259">
          <cell r="A259">
            <v>41012</v>
          </cell>
        </row>
        <row r="260">
          <cell r="A260">
            <v>41013</v>
          </cell>
        </row>
        <row r="261">
          <cell r="A261">
            <v>41014</v>
          </cell>
        </row>
        <row r="262">
          <cell r="A262">
            <v>41015</v>
          </cell>
        </row>
        <row r="263">
          <cell r="A263">
            <v>47001</v>
          </cell>
        </row>
        <row r="264">
          <cell r="A264">
            <v>47002</v>
          </cell>
        </row>
        <row r="265">
          <cell r="A265">
            <v>47003</v>
          </cell>
        </row>
        <row r="266">
          <cell r="A266">
            <v>47004</v>
          </cell>
        </row>
        <row r="267">
          <cell r="A267">
            <v>47005</v>
          </cell>
        </row>
        <row r="268">
          <cell r="A268">
            <v>47006</v>
          </cell>
        </row>
        <row r="269">
          <cell r="A269">
            <v>47007</v>
          </cell>
        </row>
        <row r="270">
          <cell r="A270">
            <v>47008</v>
          </cell>
        </row>
        <row r="271">
          <cell r="A271">
            <v>47009</v>
          </cell>
        </row>
        <row r="272">
          <cell r="A272">
            <v>47010</v>
          </cell>
        </row>
        <row r="273">
          <cell r="A273">
            <v>47011</v>
          </cell>
        </row>
        <row r="274">
          <cell r="A274">
            <v>49001</v>
          </cell>
        </row>
        <row r="275">
          <cell r="A275">
            <v>49002</v>
          </cell>
        </row>
        <row r="276">
          <cell r="A276">
            <v>49003</v>
          </cell>
        </row>
        <row r="277">
          <cell r="A277">
            <v>49004</v>
          </cell>
        </row>
        <row r="278">
          <cell r="A278">
            <v>49005</v>
          </cell>
        </row>
        <row r="279">
          <cell r="A279">
            <v>49006</v>
          </cell>
        </row>
        <row r="280">
          <cell r="A280">
            <v>49007</v>
          </cell>
        </row>
        <row r="281">
          <cell r="A281">
            <v>49008</v>
          </cell>
        </row>
        <row r="282">
          <cell r="A282">
            <v>49009</v>
          </cell>
        </row>
        <row r="283">
          <cell r="A283">
            <v>49010</v>
          </cell>
        </row>
        <row r="284">
          <cell r="A284">
            <v>49011</v>
          </cell>
        </row>
        <row r="285">
          <cell r="A285">
            <v>49012</v>
          </cell>
        </row>
        <row r="286">
          <cell r="A286">
            <v>49013</v>
          </cell>
        </row>
        <row r="287">
          <cell r="A287">
            <v>49014</v>
          </cell>
        </row>
        <row r="288">
          <cell r="A288">
            <v>49015</v>
          </cell>
        </row>
        <row r="289">
          <cell r="A289">
            <v>50001</v>
          </cell>
        </row>
        <row r="290">
          <cell r="A290">
            <v>50002</v>
          </cell>
        </row>
        <row r="291">
          <cell r="A291">
            <v>50003</v>
          </cell>
        </row>
        <row r="292">
          <cell r="A292">
            <v>50004</v>
          </cell>
        </row>
        <row r="293">
          <cell r="A293">
            <v>50005</v>
          </cell>
        </row>
        <row r="294">
          <cell r="A294">
            <v>50006</v>
          </cell>
        </row>
        <row r="295">
          <cell r="A295">
            <v>50007</v>
          </cell>
        </row>
        <row r="296">
          <cell r="A296">
            <v>50008</v>
          </cell>
        </row>
        <row r="297">
          <cell r="A297">
            <v>50009</v>
          </cell>
        </row>
        <row r="298">
          <cell r="A298">
            <v>50010</v>
          </cell>
        </row>
        <row r="299">
          <cell r="A299">
            <v>50011</v>
          </cell>
        </row>
        <row r="300">
          <cell r="A300">
            <v>50012</v>
          </cell>
        </row>
        <row r="301">
          <cell r="A301">
            <v>50013</v>
          </cell>
        </row>
        <row r="302">
          <cell r="A302">
            <v>50014</v>
          </cell>
        </row>
        <row r="303">
          <cell r="A303">
            <v>51001</v>
          </cell>
        </row>
        <row r="304">
          <cell r="A304">
            <v>51002</v>
          </cell>
        </row>
        <row r="305">
          <cell r="A305">
            <v>58001</v>
          </cell>
        </row>
        <row r="306">
          <cell r="A306">
            <v>59001</v>
          </cell>
        </row>
        <row r="307">
          <cell r="A307">
            <v>59002</v>
          </cell>
        </row>
        <row r="308">
          <cell r="A308">
            <v>60001</v>
          </cell>
        </row>
        <row r="309">
          <cell r="A309">
            <v>60002</v>
          </cell>
        </row>
        <row r="310">
          <cell r="A310">
            <v>60003</v>
          </cell>
        </row>
        <row r="311">
          <cell r="A311">
            <v>60004</v>
          </cell>
        </row>
        <row r="312">
          <cell r="A312">
            <v>60005</v>
          </cell>
        </row>
        <row r="313">
          <cell r="A313">
            <v>60006</v>
          </cell>
        </row>
        <row r="314">
          <cell r="A314">
            <v>60007</v>
          </cell>
        </row>
        <row r="315">
          <cell r="A315">
            <v>60010</v>
          </cell>
        </row>
        <row r="316">
          <cell r="A316">
            <v>60011</v>
          </cell>
        </row>
        <row r="317">
          <cell r="A317">
            <v>61011</v>
          </cell>
        </row>
        <row r="318">
          <cell r="A318">
            <v>60012</v>
          </cell>
        </row>
        <row r="319">
          <cell r="A319">
            <v>60013</v>
          </cell>
        </row>
        <row r="320">
          <cell r="A320">
            <v>60014</v>
          </cell>
        </row>
        <row r="321">
          <cell r="A321">
            <v>60015</v>
          </cell>
        </row>
        <row r="322">
          <cell r="A322">
            <v>60016</v>
          </cell>
        </row>
        <row r="323">
          <cell r="A323">
            <v>60017</v>
          </cell>
        </row>
        <row r="324">
          <cell r="A324">
            <v>60018</v>
          </cell>
        </row>
        <row r="325">
          <cell r="A325">
            <v>60019</v>
          </cell>
        </row>
        <row r="326">
          <cell r="A326">
            <v>60020</v>
          </cell>
        </row>
        <row r="327">
          <cell r="A327">
            <v>60025</v>
          </cell>
        </row>
        <row r="328">
          <cell r="A328">
            <v>60026</v>
          </cell>
        </row>
        <row r="329">
          <cell r="A329">
            <v>60027</v>
          </cell>
        </row>
        <row r="330">
          <cell r="A330">
            <v>60028</v>
          </cell>
        </row>
        <row r="331">
          <cell r="A331">
            <v>65525</v>
          </cell>
        </row>
        <row r="332">
          <cell r="A332">
            <v>65526</v>
          </cell>
        </row>
        <row r="333">
          <cell r="A333">
            <v>65527</v>
          </cell>
        </row>
        <row r="334">
          <cell r="A334">
            <v>65528</v>
          </cell>
        </row>
        <row r="335">
          <cell r="A335">
            <v>65529</v>
          </cell>
        </row>
        <row r="336">
          <cell r="A336">
            <v>65530</v>
          </cell>
        </row>
        <row r="337">
          <cell r="A337">
            <v>65531</v>
          </cell>
        </row>
        <row r="338">
          <cell r="A338">
            <v>65532</v>
          </cell>
        </row>
        <row r="339">
          <cell r="A339">
            <v>65533</v>
          </cell>
        </row>
        <row r="340">
          <cell r="A340">
            <v>65534</v>
          </cell>
        </row>
        <row r="341">
          <cell r="A341">
            <v>65535</v>
          </cell>
        </row>
        <row r="342">
          <cell r="A342">
            <v>60021</v>
          </cell>
        </row>
        <row r="343">
          <cell r="A343">
            <v>60022</v>
          </cell>
        </row>
        <row r="344">
          <cell r="A344">
            <v>60023</v>
          </cell>
        </row>
        <row r="345">
          <cell r="A34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48001_1</v>
          </cell>
        </row>
        <row r="852">
          <cell r="A852" t="str">
            <v>48002_1</v>
          </cell>
        </row>
        <row r="853">
          <cell r="A853" t="str">
            <v>48002_2</v>
          </cell>
        </row>
        <row r="854">
          <cell r="A854" t="str">
            <v>48002_3</v>
          </cell>
        </row>
        <row r="855">
          <cell r="A855" t="str">
            <v>48003_1</v>
          </cell>
        </row>
        <row r="856">
          <cell r="A856" t="str">
            <v>48003_2</v>
          </cell>
        </row>
        <row r="857">
          <cell r="A857" t="str">
            <v>48004_1</v>
          </cell>
        </row>
        <row r="858">
          <cell r="A858" t="str">
            <v>48004_2</v>
          </cell>
        </row>
        <row r="859">
          <cell r="A859" t="str">
            <v>48005_1</v>
          </cell>
        </row>
        <row r="860">
          <cell r="A860" t="str">
            <v>48005_2</v>
          </cell>
        </row>
        <row r="861">
          <cell r="A861" t="str">
            <v>48006_1</v>
          </cell>
        </row>
        <row r="862">
          <cell r="A862" t="str">
            <v>48006_2</v>
          </cell>
        </row>
        <row r="863">
          <cell r="A863" t="str">
            <v>48007_1</v>
          </cell>
        </row>
        <row r="864">
          <cell r="A864" t="str">
            <v>48007_2</v>
          </cell>
        </row>
        <row r="865">
          <cell r="A865" t="str">
            <v>48008_1</v>
          </cell>
        </row>
        <row r="866">
          <cell r="A866" t="str">
            <v>48008_2</v>
          </cell>
        </row>
        <row r="867">
          <cell r="A867" t="str">
            <v>48009_1</v>
          </cell>
        </row>
        <row r="868">
          <cell r="A868" t="str">
            <v>48009_2</v>
          </cell>
        </row>
        <row r="869">
          <cell r="A869" t="str">
            <v>48010_1</v>
          </cell>
        </row>
        <row r="870">
          <cell r="A870" t="str">
            <v>48011_1</v>
          </cell>
        </row>
        <row r="871">
          <cell r="A871" t="str">
            <v>48011_2</v>
          </cell>
        </row>
        <row r="872">
          <cell r="A872" t="str">
            <v>48501_1</v>
          </cell>
        </row>
        <row r="873">
          <cell r="A873" t="str">
            <v>48501_2</v>
          </cell>
        </row>
        <row r="874">
          <cell r="A874" t="str">
            <v>48502_1</v>
          </cell>
        </row>
        <row r="875">
          <cell r="A875" t="str">
            <v>48502_2</v>
          </cell>
        </row>
        <row r="876">
          <cell r="A876" t="str">
            <v>48701_1</v>
          </cell>
        </row>
        <row r="877">
          <cell r="A877" t="str">
            <v>48701_2</v>
          </cell>
        </row>
        <row r="878">
          <cell r="A878" t="str">
            <v>49001_1</v>
          </cell>
        </row>
        <row r="879">
          <cell r="A879" t="str">
            <v>49002_1</v>
          </cell>
        </row>
        <row r="880">
          <cell r="A880" t="str">
            <v>49002_2</v>
          </cell>
        </row>
        <row r="881">
          <cell r="A881" t="str">
            <v>49003_1</v>
          </cell>
        </row>
        <row r="882">
          <cell r="A882" t="str">
            <v>49003_2</v>
          </cell>
        </row>
        <row r="883">
          <cell r="A883" t="str">
            <v>49004_1</v>
          </cell>
        </row>
        <row r="884">
          <cell r="A884" t="str">
            <v>49004_2</v>
          </cell>
        </row>
        <row r="885">
          <cell r="A885" t="str">
            <v>49004_3</v>
          </cell>
        </row>
        <row r="886">
          <cell r="A886" t="str">
            <v>49005_1</v>
          </cell>
        </row>
        <row r="887">
          <cell r="A887" t="str">
            <v>49006_1</v>
          </cell>
        </row>
        <row r="888">
          <cell r="A888" t="str">
            <v>49006_2</v>
          </cell>
        </row>
        <row r="889">
          <cell r="A889" t="str">
            <v>49007_1</v>
          </cell>
        </row>
        <row r="890">
          <cell r="A890" t="str">
            <v>49007_2</v>
          </cell>
        </row>
        <row r="891">
          <cell r="A891" t="str">
            <v>49007_3</v>
          </cell>
        </row>
        <row r="892">
          <cell r="A892" t="str">
            <v>49008_1</v>
          </cell>
        </row>
        <row r="893">
          <cell r="A893" t="str">
            <v>49009_1</v>
          </cell>
        </row>
        <row r="894">
          <cell r="A894" t="str">
            <v>49010_1</v>
          </cell>
        </row>
        <row r="895">
          <cell r="A895" t="str">
            <v>49011_1</v>
          </cell>
        </row>
        <row r="896">
          <cell r="A896" t="str">
            <v>49012_1</v>
          </cell>
        </row>
        <row r="897">
          <cell r="A897" t="str">
            <v>49013_1</v>
          </cell>
        </row>
        <row r="898">
          <cell r="A898" t="str">
            <v>49014_1</v>
          </cell>
        </row>
        <row r="899">
          <cell r="A899" t="str">
            <v>49014_2</v>
          </cell>
        </row>
        <row r="900">
          <cell r="A900" t="str">
            <v>49015_1</v>
          </cell>
        </row>
        <row r="901">
          <cell r="A901" t="str">
            <v>49015_2</v>
          </cell>
        </row>
        <row r="902">
          <cell r="A902" t="str">
            <v>49015_3</v>
          </cell>
        </row>
        <row r="903">
          <cell r="A903" t="str">
            <v>50001_1</v>
          </cell>
        </row>
        <row r="904">
          <cell r="A904" t="str">
            <v>50002_1</v>
          </cell>
        </row>
        <row r="905">
          <cell r="A905" t="str">
            <v>50003_1</v>
          </cell>
        </row>
        <row r="906">
          <cell r="A906" t="str">
            <v>50004_1</v>
          </cell>
        </row>
        <row r="907">
          <cell r="A907" t="str">
            <v>50005_1</v>
          </cell>
        </row>
        <row r="908">
          <cell r="A908" t="str">
            <v>50006_1</v>
          </cell>
        </row>
        <row r="909">
          <cell r="A909" t="str">
            <v>50007_1</v>
          </cell>
        </row>
        <row r="910">
          <cell r="A910" t="str">
            <v>50008_1</v>
          </cell>
        </row>
        <row r="911">
          <cell r="A911" t="str">
            <v>50009_1</v>
          </cell>
        </row>
        <row r="912">
          <cell r="A912" t="str">
            <v>50010_1</v>
          </cell>
        </row>
        <row r="913">
          <cell r="A913" t="str">
            <v>50011_1</v>
          </cell>
        </row>
        <row r="914">
          <cell r="A914" t="str">
            <v>50012_1</v>
          </cell>
        </row>
        <row r="915">
          <cell r="A915" t="str">
            <v>50013_1</v>
          </cell>
        </row>
        <row r="916">
          <cell r="A916" t="str">
            <v>50014_1</v>
          </cell>
        </row>
        <row r="917">
          <cell r="A917" t="str">
            <v>51001_1</v>
          </cell>
        </row>
        <row r="918">
          <cell r="A918" t="str">
            <v>51002_1</v>
          </cell>
        </row>
        <row r="919">
          <cell r="A919" t="str">
            <v>58001_1</v>
          </cell>
        </row>
        <row r="920">
          <cell r="A920" t="str">
            <v>59001_1</v>
          </cell>
        </row>
        <row r="921">
          <cell r="A921" t="str">
            <v>59002_1</v>
          </cell>
        </row>
        <row r="922">
          <cell r="A922" t="str">
            <v>60001_1</v>
          </cell>
        </row>
        <row r="923">
          <cell r="A923" t="str">
            <v>60002_1</v>
          </cell>
        </row>
        <row r="924">
          <cell r="A924" t="str">
            <v>60002_2</v>
          </cell>
        </row>
        <row r="925">
          <cell r="A925" t="str">
            <v>60003_1</v>
          </cell>
        </row>
        <row r="926">
          <cell r="A926" t="str">
            <v>60003_2</v>
          </cell>
        </row>
        <row r="927">
          <cell r="A927" t="str">
            <v>60003_3</v>
          </cell>
        </row>
        <row r="928">
          <cell r="A928" t="str">
            <v>60004_1</v>
          </cell>
        </row>
        <row r="929">
          <cell r="A929" t="str">
            <v>60005_1</v>
          </cell>
        </row>
        <row r="930">
          <cell r="A930" t="str">
            <v>60006_1</v>
          </cell>
        </row>
        <row r="931">
          <cell r="A931" t="str">
            <v>60006_2</v>
          </cell>
        </row>
        <row r="932">
          <cell r="A932" t="str">
            <v>60006_3</v>
          </cell>
        </row>
        <row r="933">
          <cell r="A933" t="str">
            <v>60007_1</v>
          </cell>
        </row>
        <row r="934">
          <cell r="A934" t="str">
            <v>60007_2</v>
          </cell>
        </row>
        <row r="935">
          <cell r="A935" t="str">
            <v>60007_3</v>
          </cell>
        </row>
        <row r="936">
          <cell r="A936" t="str">
            <v>60010_1</v>
          </cell>
        </row>
        <row r="937">
          <cell r="A937" t="str">
            <v>60011_1</v>
          </cell>
        </row>
        <row r="938">
          <cell r="A938" t="str">
            <v>60011_2</v>
          </cell>
        </row>
        <row r="939">
          <cell r="A939" t="str">
            <v>60012_1</v>
          </cell>
        </row>
        <row r="940">
          <cell r="A940" t="str">
            <v>60013_1</v>
          </cell>
        </row>
        <row r="941">
          <cell r="A941" t="str">
            <v>60013_2</v>
          </cell>
        </row>
        <row r="942">
          <cell r="A942" t="str">
            <v>60013_3</v>
          </cell>
        </row>
        <row r="943">
          <cell r="A943" t="str">
            <v>60014_1</v>
          </cell>
        </row>
        <row r="944">
          <cell r="A944" t="str">
            <v>60015_1</v>
          </cell>
        </row>
        <row r="945">
          <cell r="A945" t="str">
            <v>60016_1</v>
          </cell>
        </row>
        <row r="946">
          <cell r="A946" t="str">
            <v>60017_1</v>
          </cell>
        </row>
        <row r="947">
          <cell r="A947" t="str">
            <v>60018_1</v>
          </cell>
        </row>
        <row r="948">
          <cell r="A948" t="str">
            <v>60019_1</v>
          </cell>
        </row>
        <row r="949">
          <cell r="A949" t="str">
            <v>60020_1</v>
          </cell>
        </row>
        <row r="950">
          <cell r="A950" t="str">
            <v>60021_3</v>
          </cell>
        </row>
        <row r="951">
          <cell r="A951" t="str">
            <v>60022_3</v>
          </cell>
        </row>
        <row r="952">
          <cell r="A952" t="str">
            <v>60023_3</v>
          </cell>
        </row>
        <row r="953">
          <cell r="A953" t="str">
            <v>60024_3</v>
          </cell>
        </row>
        <row r="954">
          <cell r="A954" t="str">
            <v>60025_1</v>
          </cell>
        </row>
        <row r="955">
          <cell r="A955" t="str">
            <v>60026_1</v>
          </cell>
        </row>
        <row r="956">
          <cell r="A956" t="str">
            <v>61011_1</v>
          </cell>
        </row>
        <row r="957">
          <cell r="A957" t="str">
            <v>60027_1</v>
          </cell>
        </row>
        <row r="958">
          <cell r="A958" t="str">
            <v>60028_1</v>
          </cell>
        </row>
        <row r="959">
          <cell r="A959" t="str">
            <v>65525_1</v>
          </cell>
        </row>
        <row r="960">
          <cell r="A960" t="str">
            <v>65526_1</v>
          </cell>
        </row>
        <row r="961">
          <cell r="A961" t="str">
            <v>65526_2</v>
          </cell>
        </row>
        <row r="962">
          <cell r="A962" t="str">
            <v>65527_1</v>
          </cell>
        </row>
        <row r="963">
          <cell r="A963" t="str">
            <v>65528_1</v>
          </cell>
        </row>
        <row r="964">
          <cell r="A964" t="str">
            <v>65529_1</v>
          </cell>
        </row>
        <row r="965">
          <cell r="A965" t="str">
            <v>65530_1</v>
          </cell>
        </row>
        <row r="966">
          <cell r="A966" t="str">
            <v>65531_1</v>
          </cell>
        </row>
        <row r="967">
          <cell r="A967" t="str">
            <v>65531_2</v>
          </cell>
        </row>
        <row r="968">
          <cell r="A968" t="str">
            <v>65532_1</v>
          </cell>
        </row>
        <row r="969">
          <cell r="A969" t="str">
            <v>65532_2</v>
          </cell>
        </row>
        <row r="970">
          <cell r="A970" t="str">
            <v>65533_1</v>
          </cell>
        </row>
        <row r="971">
          <cell r="A971" t="str">
            <v>65533_2</v>
          </cell>
        </row>
        <row r="972">
          <cell r="A972" t="str">
            <v>65534_1</v>
          </cell>
        </row>
        <row r="973">
          <cell r="A973" t="str">
            <v>65534_2</v>
          </cell>
        </row>
        <row r="974">
          <cell r="A974" t="str">
            <v>65535_1</v>
          </cell>
        </row>
        <row r="975">
          <cell r="A975" t="str">
            <v>65535_2</v>
          </cell>
        </row>
        <row r="976">
          <cell r="A976" t="str">
            <v>65535_3</v>
          </cell>
        </row>
        <row r="977">
          <cell r="A977" t="str">
            <v>65535_4</v>
          </cell>
        </row>
        <row r="978">
          <cell r="A978" t="str">
            <v>65535_5</v>
          </cell>
        </row>
        <row r="979">
          <cell r="A979" t="str">
            <v>65535_6</v>
          </cell>
        </row>
        <row r="980">
          <cell r="A980" t="str">
            <v>65535_7</v>
          </cell>
        </row>
        <row r="981">
          <cell r="A981" t="str">
            <v>65535_8</v>
          </cell>
        </row>
        <row r="982">
          <cell r="A982" t="str">
            <v>65535_9</v>
          </cell>
        </row>
        <row r="983">
          <cell r="A98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1452</v>
          </cell>
        </row>
        <row r="1406">
          <cell r="A1406">
            <v>1453</v>
          </cell>
        </row>
        <row r="1407">
          <cell r="A1407">
            <v>1454</v>
          </cell>
        </row>
        <row r="1408">
          <cell r="A1408">
            <v>1455</v>
          </cell>
        </row>
        <row r="1409">
          <cell r="A1409">
            <v>1456</v>
          </cell>
        </row>
        <row r="1410">
          <cell r="A1410">
            <v>1457</v>
          </cell>
        </row>
        <row r="1411">
          <cell r="A1411">
            <v>1458</v>
          </cell>
        </row>
        <row r="1412">
          <cell r="A1412">
            <v>1459</v>
          </cell>
        </row>
        <row r="1413">
          <cell r="A1413">
            <v>1460</v>
          </cell>
        </row>
        <row r="1414">
          <cell r="A1414">
            <v>1461</v>
          </cell>
        </row>
        <row r="1415">
          <cell r="A1415">
            <v>1462</v>
          </cell>
        </row>
        <row r="1416">
          <cell r="A1416">
            <v>1463</v>
          </cell>
        </row>
        <row r="1417">
          <cell r="A1417">
            <v>1464</v>
          </cell>
        </row>
        <row r="1418">
          <cell r="A1418">
            <v>1465</v>
          </cell>
        </row>
        <row r="1419">
          <cell r="A1419">
            <v>1466</v>
          </cell>
        </row>
        <row r="1420">
          <cell r="A1420">
            <v>1467</v>
          </cell>
        </row>
        <row r="1421">
          <cell r="A1421">
            <v>1468</v>
          </cell>
        </row>
        <row r="1422">
          <cell r="A1422">
            <v>1469</v>
          </cell>
        </row>
        <row r="1423">
          <cell r="A1423">
            <v>1470</v>
          </cell>
        </row>
        <row r="1424">
          <cell r="A1424">
            <v>1488</v>
          </cell>
        </row>
        <row r="1425">
          <cell r="A1425">
            <v>1489</v>
          </cell>
        </row>
        <row r="1426">
          <cell r="A1426">
            <v>1497</v>
          </cell>
        </row>
        <row r="1427">
          <cell r="A1427">
            <v>1498</v>
          </cell>
        </row>
        <row r="1428">
          <cell r="A1428">
            <v>1499</v>
          </cell>
        </row>
        <row r="1429">
          <cell r="A1429">
            <v>1500</v>
          </cell>
        </row>
        <row r="1430">
          <cell r="A1430">
            <v>1504</v>
          </cell>
        </row>
        <row r="1431">
          <cell r="A1431">
            <v>1505</v>
          </cell>
        </row>
        <row r="1432">
          <cell r="A1432">
            <v>1506</v>
          </cell>
        </row>
        <row r="1433">
          <cell r="A1433">
            <v>1507</v>
          </cell>
        </row>
        <row r="1434">
          <cell r="A1434">
            <v>1508</v>
          </cell>
        </row>
        <row r="1435">
          <cell r="A1435">
            <v>1509</v>
          </cell>
        </row>
        <row r="1436">
          <cell r="A1436">
            <v>1510</v>
          </cell>
        </row>
        <row r="1437">
          <cell r="A1437">
            <v>1511</v>
          </cell>
        </row>
        <row r="1438">
          <cell r="A1438">
            <v>1512</v>
          </cell>
        </row>
        <row r="1439">
          <cell r="A1439">
            <v>1513</v>
          </cell>
        </row>
        <row r="1440">
          <cell r="A1440">
            <v>1514</v>
          </cell>
        </row>
        <row r="1441">
          <cell r="A1441">
            <v>1515</v>
          </cell>
        </row>
        <row r="1442">
          <cell r="A1442">
            <v>1516</v>
          </cell>
        </row>
        <row r="1443">
          <cell r="A1443">
            <v>1517</v>
          </cell>
        </row>
        <row r="1444">
          <cell r="A1444">
            <v>1518</v>
          </cell>
        </row>
        <row r="1445">
          <cell r="A1445">
            <v>1519</v>
          </cell>
        </row>
        <row r="1446">
          <cell r="A1446">
            <v>1520</v>
          </cell>
        </row>
        <row r="1447">
          <cell r="A1447">
            <v>1521</v>
          </cell>
        </row>
        <row r="1448">
          <cell r="A1448">
            <v>1522</v>
          </cell>
        </row>
        <row r="1449">
          <cell r="A1449">
            <v>1523</v>
          </cell>
        </row>
        <row r="1450">
          <cell r="A1450">
            <v>1524</v>
          </cell>
        </row>
        <row r="1451">
          <cell r="A1451">
            <v>1525</v>
          </cell>
        </row>
        <row r="1452">
          <cell r="A1452">
            <v>1526</v>
          </cell>
        </row>
        <row r="1453">
          <cell r="A1453">
            <v>1527</v>
          </cell>
        </row>
        <row r="1454">
          <cell r="A1454">
            <v>1528</v>
          </cell>
        </row>
        <row r="1455">
          <cell r="A1455">
            <v>1529</v>
          </cell>
        </row>
        <row r="1456">
          <cell r="A1456">
            <v>1530</v>
          </cell>
        </row>
        <row r="1457">
          <cell r="A1457">
            <v>1531</v>
          </cell>
        </row>
        <row r="1458">
          <cell r="A1458">
            <v>1532</v>
          </cell>
        </row>
        <row r="1459">
          <cell r="A1459">
            <v>1533</v>
          </cell>
        </row>
        <row r="1460">
          <cell r="A1460">
            <v>1534</v>
          </cell>
        </row>
        <row r="1461">
          <cell r="A1461">
            <v>1535</v>
          </cell>
        </row>
        <row r="1462">
          <cell r="A1462">
            <v>1536</v>
          </cell>
        </row>
        <row r="1463">
          <cell r="A1463">
            <v>1537</v>
          </cell>
        </row>
        <row r="1464">
          <cell r="A1464">
            <v>1538</v>
          </cell>
        </row>
        <row r="1465">
          <cell r="A1465">
            <v>1539</v>
          </cell>
        </row>
        <row r="1466">
          <cell r="A1466">
            <v>1540</v>
          </cell>
        </row>
        <row r="1467">
          <cell r="A1467">
            <v>1541</v>
          </cell>
        </row>
        <row r="1468">
          <cell r="A1468">
            <v>1542</v>
          </cell>
        </row>
        <row r="1469">
          <cell r="A1469">
            <v>1543</v>
          </cell>
        </row>
        <row r="1470">
          <cell r="A1470">
            <v>1544</v>
          </cell>
        </row>
        <row r="1471">
          <cell r="A1471">
            <v>1545</v>
          </cell>
        </row>
        <row r="1472">
          <cell r="A1472">
            <v>1546</v>
          </cell>
        </row>
        <row r="1473">
          <cell r="A1473">
            <v>1547</v>
          </cell>
        </row>
        <row r="1474">
          <cell r="A1474">
            <v>1548</v>
          </cell>
        </row>
        <row r="1475">
          <cell r="A1475">
            <v>1549</v>
          </cell>
        </row>
        <row r="1476">
          <cell r="A1476">
            <v>1550</v>
          </cell>
        </row>
        <row r="1477">
          <cell r="A1477">
            <v>5001</v>
          </cell>
        </row>
        <row r="1478">
          <cell r="A1478">
            <v>5002</v>
          </cell>
        </row>
        <row r="1479">
          <cell r="A1479">
            <v>5003</v>
          </cell>
        </row>
        <row r="1480">
          <cell r="A1480">
            <v>5004</v>
          </cell>
        </row>
        <row r="1481">
          <cell r="A1481">
            <v>5005</v>
          </cell>
        </row>
        <row r="1482">
          <cell r="A1482">
            <v>5006</v>
          </cell>
        </row>
        <row r="1483">
          <cell r="A1483">
            <v>5007</v>
          </cell>
        </row>
        <row r="1484">
          <cell r="A1484">
            <v>5008</v>
          </cell>
        </row>
        <row r="1485">
          <cell r="A1485">
            <v>6001</v>
          </cell>
        </row>
        <row r="1486">
          <cell r="A1486">
            <v>6002</v>
          </cell>
        </row>
        <row r="1487">
          <cell r="A1487">
            <v>6003</v>
          </cell>
        </row>
        <row r="1488">
          <cell r="A1488">
            <v>6004</v>
          </cell>
        </row>
        <row r="1489">
          <cell r="A1489">
            <v>6005</v>
          </cell>
        </row>
        <row r="1490">
          <cell r="A1490">
            <v>6006</v>
          </cell>
        </row>
        <row r="1491">
          <cell r="A1491">
            <v>6007</v>
          </cell>
        </row>
        <row r="1492">
          <cell r="A1492">
            <v>6008</v>
          </cell>
        </row>
        <row r="1493">
          <cell r="A1493">
            <v>6009</v>
          </cell>
        </row>
        <row r="1494">
          <cell r="A1494">
            <v>6010</v>
          </cell>
        </row>
        <row r="1495">
          <cell r="A1495">
            <v>6011</v>
          </cell>
        </row>
        <row r="1496">
          <cell r="A1496">
            <v>6012</v>
          </cell>
        </row>
        <row r="1497">
          <cell r="A1497">
            <v>6013</v>
          </cell>
        </row>
        <row r="1498">
          <cell r="A1498">
            <v>6014</v>
          </cell>
        </row>
        <row r="1499">
          <cell r="A1499">
            <v>6015</v>
          </cell>
        </row>
        <row r="1500">
          <cell r="A1500">
            <v>6016</v>
          </cell>
        </row>
        <row r="1501">
          <cell r="A1501">
            <v>6017</v>
          </cell>
        </row>
        <row r="1502">
          <cell r="A1502">
            <v>6018</v>
          </cell>
        </row>
        <row r="1503">
          <cell r="A1503">
            <v>6019</v>
          </cell>
        </row>
        <row r="1504">
          <cell r="A1504">
            <v>6020</v>
          </cell>
        </row>
        <row r="1505">
          <cell r="A1505">
            <v>8001</v>
          </cell>
        </row>
        <row r="1506">
          <cell r="A1506">
            <v>8002</v>
          </cell>
        </row>
        <row r="1507">
          <cell r="A1507">
            <v>8003</v>
          </cell>
        </row>
        <row r="1508">
          <cell r="A1508">
            <v>8004</v>
          </cell>
        </row>
        <row r="1509">
          <cell r="A1509">
            <v>8005</v>
          </cell>
        </row>
        <row r="1510">
          <cell r="A1510">
            <v>8006</v>
          </cell>
        </row>
        <row r="1511">
          <cell r="A1511">
            <v>8007</v>
          </cell>
        </row>
        <row r="1512">
          <cell r="A1512">
            <v>8008</v>
          </cell>
        </row>
        <row r="1513">
          <cell r="A1513">
            <v>8009</v>
          </cell>
        </row>
        <row r="1514">
          <cell r="A1514">
            <v>8010</v>
          </cell>
        </row>
        <row r="1515">
          <cell r="A1515">
            <v>8011</v>
          </cell>
        </row>
        <row r="1516">
          <cell r="A1516">
            <v>8012</v>
          </cell>
        </row>
        <row r="1517">
          <cell r="A1517">
            <v>8013</v>
          </cell>
        </row>
        <row r="1518">
          <cell r="A1518">
            <v>8014</v>
          </cell>
        </row>
        <row r="1519">
          <cell r="A1519">
            <v>8015</v>
          </cell>
        </row>
        <row r="1520">
          <cell r="A1520">
            <v>8016</v>
          </cell>
        </row>
        <row r="1521">
          <cell r="A1521">
            <v>8017</v>
          </cell>
        </row>
        <row r="1522">
          <cell r="A1522">
            <v>8018</v>
          </cell>
        </row>
        <row r="1523">
          <cell r="A1523">
            <v>8019</v>
          </cell>
        </row>
        <row r="1524">
          <cell r="A1524">
            <v>8020</v>
          </cell>
        </row>
        <row r="1525">
          <cell r="A1525">
            <v>8021</v>
          </cell>
        </row>
        <row r="1526">
          <cell r="A1526">
            <v>8022</v>
          </cell>
        </row>
        <row r="1527">
          <cell r="A1527">
            <v>8023</v>
          </cell>
        </row>
        <row r="1528">
          <cell r="A1528">
            <v>8024</v>
          </cell>
        </row>
        <row r="1529">
          <cell r="A1529">
            <v>8025</v>
          </cell>
        </row>
        <row r="1530">
          <cell r="A1530">
            <v>8026</v>
          </cell>
        </row>
        <row r="1531">
          <cell r="A1531">
            <v>8027</v>
          </cell>
        </row>
        <row r="1532">
          <cell r="A1532">
            <v>8028</v>
          </cell>
        </row>
        <row r="1533">
          <cell r="A1533">
            <v>8029</v>
          </cell>
        </row>
        <row r="1534">
          <cell r="A1534">
            <v>8030</v>
          </cell>
        </row>
        <row r="1535">
          <cell r="A1535">
            <v>8031</v>
          </cell>
        </row>
        <row r="1536">
          <cell r="A1536">
            <v>8032</v>
          </cell>
        </row>
        <row r="1537">
          <cell r="A1537">
            <v>8033</v>
          </cell>
        </row>
        <row r="1538">
          <cell r="A1538">
            <v>8034</v>
          </cell>
        </row>
        <row r="1539">
          <cell r="A1539">
            <v>8035</v>
          </cell>
        </row>
        <row r="1540">
          <cell r="A1540">
            <v>8036</v>
          </cell>
        </row>
        <row r="1541">
          <cell r="A1541">
            <v>8037</v>
          </cell>
        </row>
        <row r="1542">
          <cell r="A1542">
            <v>8038</v>
          </cell>
        </row>
        <row r="1543">
          <cell r="A1543">
            <v>8039</v>
          </cell>
        </row>
        <row r="1544">
          <cell r="A1544">
            <v>8040</v>
          </cell>
        </row>
        <row r="1545">
          <cell r="A1545">
            <v>8041</v>
          </cell>
        </row>
        <row r="1546">
          <cell r="A1546">
            <v>8042</v>
          </cell>
        </row>
        <row r="1547">
          <cell r="A1547">
            <v>8043</v>
          </cell>
        </row>
        <row r="1548">
          <cell r="A1548">
            <v>8044</v>
          </cell>
        </row>
        <row r="1549">
          <cell r="A1549">
            <v>8045</v>
          </cell>
        </row>
        <row r="1550">
          <cell r="A1550">
            <v>8046</v>
          </cell>
        </row>
        <row r="1551">
          <cell r="A1551">
            <v>8047</v>
          </cell>
        </row>
        <row r="1552">
          <cell r="A1552">
            <v>8048</v>
          </cell>
        </row>
        <row r="1553">
          <cell r="A1553">
            <v>8049</v>
          </cell>
        </row>
        <row r="1554">
          <cell r="A1554">
            <v>8050</v>
          </cell>
        </row>
        <row r="1555">
          <cell r="A1555">
            <v>8051</v>
          </cell>
        </row>
        <row r="1556">
          <cell r="A1556">
            <v>8052</v>
          </cell>
        </row>
        <row r="1557">
          <cell r="A1557">
            <v>8053</v>
          </cell>
        </row>
        <row r="1558">
          <cell r="A1558">
            <v>8054</v>
          </cell>
        </row>
        <row r="1559">
          <cell r="A1559">
            <v>8055</v>
          </cell>
        </row>
        <row r="1560">
          <cell r="A1560">
            <v>8056</v>
          </cell>
        </row>
        <row r="1561">
          <cell r="A1561">
            <v>8057</v>
          </cell>
        </row>
        <row r="1562">
          <cell r="A1562">
            <v>8058</v>
          </cell>
        </row>
        <row r="1563">
          <cell r="A1563">
            <v>8059</v>
          </cell>
        </row>
        <row r="1564">
          <cell r="A1564">
            <v>8060</v>
          </cell>
        </row>
        <row r="1565">
          <cell r="A1565">
            <v>8061</v>
          </cell>
        </row>
        <row r="1566">
          <cell r="A1566">
            <v>8062</v>
          </cell>
        </row>
        <row r="1567">
          <cell r="A1567">
            <v>8063</v>
          </cell>
        </row>
        <row r="1568">
          <cell r="A1568">
            <v>8064</v>
          </cell>
        </row>
        <row r="1569">
          <cell r="A1569">
            <v>8065</v>
          </cell>
        </row>
        <row r="1570">
          <cell r="A1570">
            <v>8066</v>
          </cell>
        </row>
        <row r="1571">
          <cell r="A1571">
            <v>8067</v>
          </cell>
        </row>
        <row r="1572">
          <cell r="A1572">
            <v>8068</v>
          </cell>
        </row>
        <row r="1573">
          <cell r="A1573">
            <v>8069</v>
          </cell>
        </row>
        <row r="1574">
          <cell r="A1574">
            <v>8070</v>
          </cell>
        </row>
        <row r="1575">
          <cell r="A1575">
            <v>8071</v>
          </cell>
        </row>
        <row r="1576">
          <cell r="A1576">
            <v>8072</v>
          </cell>
        </row>
        <row r="1577">
          <cell r="A1577">
            <v>8073</v>
          </cell>
        </row>
        <row r="1578">
          <cell r="A1578">
            <v>8074</v>
          </cell>
        </row>
        <row r="1579">
          <cell r="A1579">
            <v>8075</v>
          </cell>
        </row>
        <row r="1580">
          <cell r="A1580">
            <v>8076</v>
          </cell>
        </row>
        <row r="1581">
          <cell r="A1581">
            <v>8077</v>
          </cell>
        </row>
        <row r="1582">
          <cell r="A1582">
            <v>8078</v>
          </cell>
        </row>
        <row r="1583">
          <cell r="A1583">
            <v>8079</v>
          </cell>
        </row>
        <row r="1584">
          <cell r="A1584">
            <v>8080</v>
          </cell>
        </row>
        <row r="1585">
          <cell r="A1585">
            <v>8081</v>
          </cell>
        </row>
        <row r="1586">
          <cell r="A1586">
            <v>8082</v>
          </cell>
        </row>
        <row r="1587">
          <cell r="A1587">
            <v>8083</v>
          </cell>
        </row>
        <row r="1588">
          <cell r="A1588">
            <v>8084</v>
          </cell>
        </row>
        <row r="1589">
          <cell r="A1589">
            <v>8087</v>
          </cell>
        </row>
        <row r="1590">
          <cell r="A1590">
            <v>8088</v>
          </cell>
        </row>
        <row r="1591">
          <cell r="A1591">
            <v>8089</v>
          </cell>
        </row>
        <row r="1592">
          <cell r="A1592">
            <v>8090</v>
          </cell>
        </row>
        <row r="1593">
          <cell r="A1593">
            <v>8095</v>
          </cell>
        </row>
        <row r="1594">
          <cell r="A1594">
            <v>8096</v>
          </cell>
        </row>
        <row r="1595">
          <cell r="A1595">
            <v>8097</v>
          </cell>
        </row>
        <row r="1596">
          <cell r="A1596">
            <v>8098</v>
          </cell>
        </row>
        <row r="1597">
          <cell r="A1597">
            <v>8099</v>
          </cell>
        </row>
        <row r="1598">
          <cell r="A1598">
            <v>9001</v>
          </cell>
        </row>
        <row r="1599">
          <cell r="A1599">
            <v>9002</v>
          </cell>
        </row>
        <row r="1600">
          <cell r="A1600">
            <v>9003</v>
          </cell>
        </row>
        <row r="1601">
          <cell r="A1601">
            <v>9004</v>
          </cell>
        </row>
        <row r="1602">
          <cell r="A1602">
            <v>10001</v>
          </cell>
        </row>
        <row r="1603">
          <cell r="A1603">
            <v>10002</v>
          </cell>
        </row>
        <row r="1604">
          <cell r="A1604">
            <v>10003</v>
          </cell>
        </row>
        <row r="1605">
          <cell r="A1605">
            <v>10004</v>
          </cell>
        </row>
        <row r="1606">
          <cell r="A1606">
            <v>10005</v>
          </cell>
        </row>
        <row r="1607">
          <cell r="A1607">
            <v>10006</v>
          </cell>
        </row>
        <row r="1608">
          <cell r="A1608">
            <v>10007</v>
          </cell>
        </row>
        <row r="1609">
          <cell r="A1609">
            <v>10008</v>
          </cell>
        </row>
        <row r="1610">
          <cell r="A1610">
            <v>10009</v>
          </cell>
        </row>
        <row r="1611">
          <cell r="A1611">
            <v>10010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28" sqref="E2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332</v>
      </c>
      <c r="B2" s="57" t="s">
        <v>107</v>
      </c>
      <c r="C2" s="62">
        <v>40024</v>
      </c>
      <c r="D2" s="57" t="s">
        <v>108</v>
      </c>
      <c r="E2" s="56" t="str">
        <f>B2&amp;C2&amp;D2</f>
        <v>floors_40024.tmp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332</v>
      </c>
      <c r="B3" s="57" t="s">
        <v>110</v>
      </c>
      <c r="C3" s="62">
        <f>C$2</f>
        <v>40024</v>
      </c>
      <c r="D3" s="57" t="s">
        <v>108</v>
      </c>
      <c r="E3" s="56" t="str">
        <f>B3&amp;C3&amp;D3</f>
        <v>enemy_habitats_40024.tmp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180</v>
      </c>
    </row>
    <row r="4" spans="1:30" x14ac:dyDescent="0.15">
      <c r="A4" s="61" t="s">
        <v>332</v>
      </c>
      <c r="B4" s="57" t="s">
        <v>112</v>
      </c>
      <c r="C4" s="62">
        <f t="shared" ref="C4:C13" si="0">C$2</f>
        <v>40024</v>
      </c>
      <c r="D4" s="57" t="s">
        <v>108</v>
      </c>
      <c r="E4" s="56" t="str">
        <f>B4&amp;C4&amp;D4</f>
        <v>enemy_habitat_S_40024.tmp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332</v>
      </c>
      <c r="B5" s="57" t="s">
        <v>114</v>
      </c>
      <c r="C5" s="62">
        <f t="shared" si="0"/>
        <v>40024</v>
      </c>
      <c r="D5" s="57" t="s">
        <v>108</v>
      </c>
      <c r="E5" s="56" t="str">
        <f>B5&amp;C5&amp;D5</f>
        <v>enemy_skill_sets_40024.tmp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332</v>
      </c>
      <c r="B6" s="57" t="s">
        <v>116</v>
      </c>
      <c r="C6" s="62">
        <f t="shared" si="0"/>
        <v>40024</v>
      </c>
      <c r="D6" s="57" t="s">
        <v>117</v>
      </c>
      <c r="E6" s="56" t="str">
        <f t="shared" ref="E6:E10" si="1">B6&amp;C6&amp;D6</f>
        <v>enemy_skills_tmp_40024.tmp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332</v>
      </c>
      <c r="B7" s="57" t="s">
        <v>118</v>
      </c>
      <c r="C7" s="62">
        <f t="shared" si="0"/>
        <v>40024</v>
      </c>
      <c r="D7" s="57" t="s">
        <v>108</v>
      </c>
      <c r="E7" s="56" t="str">
        <f>B7&amp;C7&amp;D7</f>
        <v>enemy_skills_i18n_40024.tmp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332</v>
      </c>
      <c r="B8" s="57" t="s">
        <v>120</v>
      </c>
      <c r="C8" s="62">
        <f t="shared" si="0"/>
        <v>40024</v>
      </c>
      <c r="D8" s="57" t="s">
        <v>121</v>
      </c>
      <c r="E8" s="56" t="str">
        <f t="shared" si="1"/>
        <v>enemy_skill_triggers_40024.tmp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332</v>
      </c>
      <c r="B9" s="67" t="s">
        <v>179</v>
      </c>
      <c r="C9" s="62">
        <f t="shared" si="0"/>
        <v>40024</v>
      </c>
      <c r="D9" s="67" t="s">
        <v>173</v>
      </c>
      <c r="E9" s="68" t="str">
        <f t="shared" si="1"/>
        <v>stage_bug_bonuses_40024.tmp</v>
      </c>
      <c r="F9" s="67" t="s">
        <v>174</v>
      </c>
      <c r="G9" s="64" t="s">
        <v>151</v>
      </c>
      <c r="H9" s="64" t="s">
        <v>175</v>
      </c>
      <c r="I9" s="64" t="s">
        <v>176</v>
      </c>
      <c r="J9" s="66" t="s">
        <v>177</v>
      </c>
      <c r="K9" s="64" t="s">
        <v>178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332</v>
      </c>
      <c r="B10" s="67" t="s">
        <v>203</v>
      </c>
      <c r="C10" s="62">
        <f>C$2</f>
        <v>40024</v>
      </c>
      <c r="D10" s="67" t="s">
        <v>182</v>
      </c>
      <c r="E10" s="68" t="str">
        <f t="shared" si="1"/>
        <v>stage_hints_data_c_40024.tmp</v>
      </c>
      <c r="F10" s="67" t="s">
        <v>211</v>
      </c>
      <c r="G10" s="73" t="s">
        <v>183</v>
      </c>
      <c r="H10" s="73" t="s">
        <v>175</v>
      </c>
      <c r="I10" s="74" t="s">
        <v>184</v>
      </c>
      <c r="J10" s="66" t="s">
        <v>185</v>
      </c>
      <c r="K10" s="66" t="s">
        <v>186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1" t="s">
        <v>332</v>
      </c>
      <c r="B11" s="67" t="s">
        <v>204</v>
      </c>
      <c r="C11" s="62">
        <f t="shared" si="0"/>
        <v>40024</v>
      </c>
      <c r="D11" s="67" t="s">
        <v>173</v>
      </c>
      <c r="E11" s="68" t="str">
        <f t="shared" ref="E11:E13" si="2">B11&amp;C11&amp;D11</f>
        <v>stage_hints_data_f_40024.tmp</v>
      </c>
      <c r="F11" s="67" t="s">
        <v>212</v>
      </c>
      <c r="G11" s="73" t="s">
        <v>183</v>
      </c>
      <c r="H11" s="73" t="s">
        <v>175</v>
      </c>
      <c r="I11" s="74" t="s">
        <v>184</v>
      </c>
      <c r="J11" s="66" t="s">
        <v>185</v>
      </c>
      <c r="K11" s="66" t="s">
        <v>186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61" t="s">
        <v>332</v>
      </c>
      <c r="B12" s="67" t="s">
        <v>205</v>
      </c>
      <c r="C12" s="62">
        <f t="shared" si="0"/>
        <v>40024</v>
      </c>
      <c r="D12" s="67" t="s">
        <v>173</v>
      </c>
      <c r="E12" s="68" t="str">
        <f t="shared" si="2"/>
        <v>stage_hints_i18n_40024.tmp</v>
      </c>
      <c r="F12" s="67" t="s">
        <v>213</v>
      </c>
      <c r="G12" s="74" t="s">
        <v>206</v>
      </c>
      <c r="H12" s="93" t="s">
        <v>207</v>
      </c>
      <c r="I12" s="73" t="s">
        <v>208</v>
      </c>
      <c r="J12" s="101" t="s">
        <v>209</v>
      </c>
      <c r="K12" s="66" t="s">
        <v>210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1" t="s">
        <v>332</v>
      </c>
      <c r="B13" s="67" t="s">
        <v>253</v>
      </c>
      <c r="C13" s="62">
        <f t="shared" si="0"/>
        <v>40024</v>
      </c>
      <c r="D13" s="67" t="s">
        <v>234</v>
      </c>
      <c r="E13" s="68" t="str">
        <f t="shared" si="2"/>
        <v>stage_bonuses_40024.tmp</v>
      </c>
      <c r="F13" s="67" t="s">
        <v>233</v>
      </c>
      <c r="G13" s="73" t="s">
        <v>235</v>
      </c>
      <c r="H13" s="73" t="s">
        <v>236</v>
      </c>
      <c r="I13" s="73" t="s">
        <v>237</v>
      </c>
      <c r="J13" s="73" t="s">
        <v>238</v>
      </c>
      <c r="K13" s="73" t="s">
        <v>239</v>
      </c>
      <c r="L13" s="73" t="s">
        <v>240</v>
      </c>
      <c r="M13" s="73" t="s">
        <v>241</v>
      </c>
      <c r="N13" s="73" t="s">
        <v>242</v>
      </c>
      <c r="O13" s="73" t="s">
        <v>243</v>
      </c>
      <c r="P13" s="73" t="s">
        <v>244</v>
      </c>
      <c r="Q13" s="73" t="s">
        <v>245</v>
      </c>
      <c r="R13" s="73" t="s">
        <v>246</v>
      </c>
      <c r="S13" s="73" t="s">
        <v>247</v>
      </c>
      <c r="T13" s="73" t="s">
        <v>248</v>
      </c>
      <c r="U13" s="73" t="s">
        <v>249</v>
      </c>
      <c r="V13" s="73" t="s">
        <v>250</v>
      </c>
      <c r="W13" s="73" t="s">
        <v>251</v>
      </c>
      <c r="X13" s="73" t="s">
        <v>252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D27" sqref="D2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40024_1-1</v>
      </c>
      <c r="B2" s="16" t="str">
        <f>IF(COUNTIF(enemy_habitats!$H:$H,A2),"OK","NG")</f>
        <v>OK</v>
      </c>
      <c r="C2" s="7">
        <v>40024</v>
      </c>
      <c r="D2" s="11" t="str">
        <f ca="1">VLOOKUP($C2,OFFSET([2]quests!$A$1,0,0,COUNTA([2]quests!$A:$A),MATCH(D$1,[2]quests!$1:$1,0)-MATCH($C$1,[2]quests!$1:$1,0)+1),MATCH(D$1,[2]quests!$1:$1,0)-MATCH($C$1,[2]quests!$1:$1,0)+1,FALSE)</f>
        <v>アトラス襲来！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降臨24</v>
      </c>
      <c r="F2" s="21">
        <v>1</v>
      </c>
      <c r="G2" s="23" t="str">
        <f>C2&amp;"_"&amp;F2</f>
        <v>40024_1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【超絶級】アトラス襲来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9" si="0">G3&amp;"-"&amp;I3</f>
        <v>40024_1-2</v>
      </c>
      <c r="B3" s="16" t="str">
        <f>IF(COUNTIF(enemy_habitats!$H:$H,A3),"OK","NG")</f>
        <v>OK</v>
      </c>
      <c r="C3" s="7">
        <v>40024</v>
      </c>
      <c r="D3" s="11" t="str">
        <f ca="1">VLOOKUP($C3,OFFSET([2]quests!$A$1,0,0,COUNTA([2]quests!$A:$A),MATCH(D$1,[2]quests!$1:$1,0)-MATCH($C$1,[2]quests!$1:$1,0)+1),MATCH(D$1,[2]quests!$1:$1,0)-MATCH($C$1,[2]quests!$1:$1,0)+1,FALSE)</f>
        <v>アトラス襲来！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降臨24</v>
      </c>
      <c r="F3" s="21">
        <v>1</v>
      </c>
      <c r="G3" s="23" t="str">
        <f t="shared" ref="G3:G9" si="1">C3&amp;"_"&amp;F3</f>
        <v>40024_1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【超絶級】アトラス襲来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40024_1-3</v>
      </c>
      <c r="B4" s="16" t="str">
        <f>IF(COUNTIF(enemy_habitats!$H:$H,A4),"OK","NG")</f>
        <v>OK</v>
      </c>
      <c r="C4" s="7">
        <v>40024</v>
      </c>
      <c r="D4" s="11" t="str">
        <f ca="1">VLOOKUP($C4,OFFSET([2]quests!$A$1,0,0,COUNTA([2]quests!$A:$A),MATCH(D$1,[2]quests!$1:$1,0)-MATCH($C$1,[2]quests!$1:$1,0)+1),MATCH(D$1,[2]quests!$1:$1,0)-MATCH($C$1,[2]quests!$1:$1,0)+1,FALSE)</f>
        <v>アトラス襲来！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降臨24</v>
      </c>
      <c r="F4" s="21">
        <v>1</v>
      </c>
      <c r="G4" s="23" t="str">
        <f t="shared" si="1"/>
        <v>40024_1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【超絶級】アトラス襲来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40024_1-4</v>
      </c>
      <c r="B5" s="16" t="str">
        <f>IF(COUNTIF(enemy_habitats!$H:$H,A5),"OK","NG")</f>
        <v>OK</v>
      </c>
      <c r="C5" s="7">
        <v>40024</v>
      </c>
      <c r="D5" s="11" t="str">
        <f ca="1">VLOOKUP($C5,OFFSET([2]quests!$A$1,0,0,COUNTA([2]quests!$A:$A),MATCH(D$1,[2]quests!$1:$1,0)-MATCH($C$1,[2]quests!$1:$1,0)+1),MATCH(D$1,[2]quests!$1:$1,0)-MATCH($C$1,[2]quests!$1:$1,0)+1,FALSE)</f>
        <v>アトラス襲来！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降臨24</v>
      </c>
      <c r="F5" s="21">
        <v>1</v>
      </c>
      <c r="G5" s="23" t="str">
        <f t="shared" si="1"/>
        <v>40024_1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【超絶級】アトラス襲来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40024_2-1</v>
      </c>
      <c r="B6" s="16" t="str">
        <f>IF(COUNTIF(enemy_habitats!$H:$H,A6),"OK","NG")</f>
        <v>OK</v>
      </c>
      <c r="C6" s="7">
        <v>40024</v>
      </c>
      <c r="D6" s="11" t="str">
        <f ca="1">VLOOKUP($C6,OFFSET([2]quests!$A$1,0,0,COUNTA([2]quests!$A:$A),MATCH(D$1,[2]quests!$1:$1,0)-MATCH($C$1,[2]quests!$1:$1,0)+1),MATCH(D$1,[2]quests!$1:$1,0)-MATCH($C$1,[2]quests!$1:$1,0)+1,FALSE)</f>
        <v>アトラス襲来！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降臨24</v>
      </c>
      <c r="F6" s="21">
        <v>2</v>
      </c>
      <c r="G6" s="23" t="str">
        <f t="shared" si="1"/>
        <v>40024_2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【ウィザード級】アトラス襲来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40024_2-2</v>
      </c>
      <c r="B7" s="16" t="str">
        <f>IF(COUNTIF(enemy_habitats!$H:$H,A7),"OK","NG")</f>
        <v>OK</v>
      </c>
      <c r="C7" s="7">
        <v>40024</v>
      </c>
      <c r="D7" s="11" t="str">
        <f ca="1">VLOOKUP($C7,OFFSET([2]quests!$A$1,0,0,COUNTA([2]quests!$A:$A),MATCH(D$1,[2]quests!$1:$1,0)-MATCH($C$1,[2]quests!$1:$1,0)+1),MATCH(D$1,[2]quests!$1:$1,0)-MATCH($C$1,[2]quests!$1:$1,0)+1,FALSE)</f>
        <v>アトラス襲来！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降臨24</v>
      </c>
      <c r="F7" s="21">
        <v>2</v>
      </c>
      <c r="G7" s="23" t="str">
        <f t="shared" si="1"/>
        <v>40024_2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【ウィザード級】アトラス襲来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40024_2-3</v>
      </c>
      <c r="B8" s="16" t="str">
        <f>IF(COUNTIF(enemy_habitats!$H:$H,A8),"OK","NG")</f>
        <v>OK</v>
      </c>
      <c r="C8" s="7">
        <v>40024</v>
      </c>
      <c r="D8" s="11" t="str">
        <f ca="1">VLOOKUP($C8,OFFSET([2]quests!$A$1,0,0,COUNTA([2]quests!$A:$A),MATCH(D$1,[2]quests!$1:$1,0)-MATCH($C$1,[2]quests!$1:$1,0)+1),MATCH(D$1,[2]quests!$1:$1,0)-MATCH($C$1,[2]quests!$1:$1,0)+1,FALSE)</f>
        <v>アトラス襲来！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降臨24</v>
      </c>
      <c r="F8" s="21">
        <v>2</v>
      </c>
      <c r="G8" s="23" t="str">
        <f t="shared" si="1"/>
        <v>40024_2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【ウィザード級】アトラス襲来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40024_2-4</v>
      </c>
      <c r="B9" s="16" t="str">
        <f>IF(COUNTIF(enemy_habitats!$H:$H,A9),"OK","NG")</f>
        <v>OK</v>
      </c>
      <c r="C9" s="7">
        <v>40024</v>
      </c>
      <c r="D9" s="11" t="str">
        <f ca="1">VLOOKUP($C9,OFFSET([2]quests!$A$1,0,0,COUNTA([2]quests!$A:$A),MATCH(D$1,[2]quests!$1:$1,0)-MATCH($C$1,[2]quests!$1:$1,0)+1),MATCH(D$1,[2]quests!$1:$1,0)-MATCH($C$1,[2]quests!$1:$1,0)+1,FALSE)</f>
        <v>アトラス襲来！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降臨24</v>
      </c>
      <c r="F9" s="21">
        <v>2</v>
      </c>
      <c r="G9" s="23" t="str">
        <f t="shared" si="1"/>
        <v>40024_2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【ウィザード級】アトラス襲来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9"/>
  <sheetViews>
    <sheetView showGridLines="0" zoomScale="75" zoomScaleNormal="75" zoomScalePageLayoutView="75" workbookViewId="0">
      <pane xSplit="17" ySplit="1" topLeftCell="X2" activePane="bottomRight" state="frozen"/>
      <selection pane="topRight" activeCell="N1" sqref="N1"/>
      <selection pane="bottomLeft" activeCell="A2" sqref="A2"/>
      <selection pane="bottomRight" activeCell="K18" sqref="K1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22.1640625" style="3" bestFit="1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254</v>
      </c>
      <c r="U1" s="26" t="s">
        <v>50</v>
      </c>
      <c r="V1" s="102" t="s">
        <v>255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181</v>
      </c>
    </row>
    <row r="2" spans="1:42" ht="21" customHeight="1" x14ac:dyDescent="0.15">
      <c r="A2" s="16" t="str">
        <f ca="1">B2&amp;"_"&amp;C2&amp;"-"&amp;G2&amp;"/"&amp;L2&amp;"&lt;lv"&amp;R2&amp;"&gt;s"&amp;AC2</f>
        <v>40024_1-1/270&lt;lv50&gt;s2</v>
      </c>
      <c r="B2" s="22">
        <v>40024</v>
      </c>
      <c r="C2" s="21">
        <v>1</v>
      </c>
      <c r="D2" s="2" t="str">
        <f>B2&amp;"_"&amp;C2</f>
        <v>40024_1</v>
      </c>
      <c r="E2" s="4" t="str">
        <f ca="1">VLOOKUP($B2,OFFSET([2]quests!$A$1,0,0,COUNTA([2]quests!$A:$A),MATCH(E$1,[2]quests!$1:$1,0)-MATCH($B$1,[2]quests!$1:$1,0)+1),MATCH(E$1,[2]quests!$1:$1,0)-MATCH($B$1,[2]quests!$1:$1,0)+1,FALSE)</f>
        <v>アトラス襲来！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【超絶級】アトラス襲来</v>
      </c>
      <c r="G2" s="21">
        <v>1</v>
      </c>
      <c r="H2" s="15" t="str">
        <f>B2&amp;"_"&amp;C2&amp;"-"&amp;G2</f>
        <v>40024_1-1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270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風爪のミリー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50</v>
      </c>
      <c r="S2" s="131">
        <v>1.3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83449.600000000006</v>
      </c>
      <c r="U2" s="25">
        <v>0.7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4716.5999999999995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7">
        <v>40024000</v>
      </c>
      <c r="Z2" s="6">
        <v>1</v>
      </c>
      <c r="AA2" s="6">
        <v>100</v>
      </c>
      <c r="AB2" s="6">
        <v>1</v>
      </c>
      <c r="AC2" s="17">
        <f ca="1">VLOOKUP($L2,OFFSET([3]enemies!$A$1,0,0,COUNTA([3]enemies!$A:$A),MATCH(AC$1,[3]enemies!$1:$1,0)-MATCH($L$1,[3]enemies!$1:$1,0)+1),MATCH(AC$1,[3]enemies!$1:$1,0)-MATCH($L$1,[3]enemies!$1:$1,0)+1,FALSE)</f>
        <v>2</v>
      </c>
      <c r="AD2" s="24">
        <f>L2</f>
        <v>270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風爪のミリー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4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ref="A3:A19" ca="1" si="0">B3&amp;"_"&amp;C3&amp;"-"&amp;G3&amp;"/"&amp;L3&amp;"&lt;lv"&amp;R3&amp;"&gt;s"&amp;AC3</f>
        <v>40024_1-1/57&lt;lv50&gt;s2</v>
      </c>
      <c r="B3" s="22">
        <v>40024</v>
      </c>
      <c r="C3" s="21">
        <v>1</v>
      </c>
      <c r="D3" s="2" t="str">
        <f t="shared" ref="D3:D19" si="1">B3&amp;"_"&amp;C3</f>
        <v>40024_1</v>
      </c>
      <c r="E3" s="4" t="str">
        <f ca="1">VLOOKUP($B3,OFFSET([2]quests!$A$1,0,0,COUNTA([2]quests!$A:$A),MATCH(E$1,[2]quests!$1:$1,0)-MATCH($B$1,[2]quests!$1:$1,0)+1),MATCH(E$1,[2]quests!$1:$1,0)-MATCH($B$1,[2]quests!$1:$1,0)+1,FALSE)</f>
        <v>アトラス襲来！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【超絶級】アトラス襲来</v>
      </c>
      <c r="G3" s="21">
        <v>1</v>
      </c>
      <c r="H3" s="15" t="str">
        <f t="shared" ref="H3:H19" si="2">B3&amp;"_"&amp;C3&amp;"-"&amp;G3</f>
        <v>40024_1-1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57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チェン・リー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50</v>
      </c>
      <c r="S3" s="25">
        <v>3.5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36050</v>
      </c>
      <c r="U3" s="25">
        <v>1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3467</v>
      </c>
      <c r="W3" s="5">
        <v>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3" s="47">
        <v>40024001</v>
      </c>
      <c r="Z3" s="6">
        <v>1</v>
      </c>
      <c r="AA3" s="6">
        <v>100</v>
      </c>
      <c r="AB3" s="6">
        <v>0</v>
      </c>
      <c r="AC3" s="17">
        <f ca="1">VLOOKUP($L3,OFFSET([3]enemies!$A$1,0,0,COUNTA([3]enemies!$A:$A),MATCH(AC$1,[3]enemies!$1:$1,0)-MATCH($L$1,[3]enemies!$1:$1,0)+1),MATCH(AC$1,[3]enemies!$1:$1,0)-MATCH($L$1,[3]enemies!$1:$1,0)+1,FALSE)</f>
        <v>2</v>
      </c>
      <c r="AD3" s="24">
        <f t="shared" ref="AD3:AD17" si="3">L3</f>
        <v>57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チェン・リー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4">
        <f t="shared" ref="AI3:AI19" ca="1" si="4">AF3</f>
        <v>2</v>
      </c>
      <c r="AJ3" s="8">
        <v>20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ca="1" si="0"/>
        <v>40024_1-1/57&lt;lv51&gt;s2</v>
      </c>
      <c r="B4" s="22">
        <v>40024</v>
      </c>
      <c r="C4" s="21">
        <v>1</v>
      </c>
      <c r="D4" s="2" t="str">
        <f t="shared" si="1"/>
        <v>40024_1</v>
      </c>
      <c r="E4" s="4" t="str">
        <f ca="1">VLOOKUP($B4,OFFSET([2]quests!$A$1,0,0,COUNTA([2]quests!$A:$A),MATCH(E$1,[2]quests!$1:$1,0)-MATCH($B$1,[2]quests!$1:$1,0)+1),MATCH(E$1,[2]quests!$1:$1,0)-MATCH($B$1,[2]quests!$1:$1,0)+1,FALSE)</f>
        <v>アトラス襲来！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【超絶級】アトラス襲来</v>
      </c>
      <c r="G4" s="21">
        <v>1</v>
      </c>
      <c r="H4" s="15" t="str">
        <f t="shared" si="2"/>
        <v>40024_1-1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57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チェン・リー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51</v>
      </c>
      <c r="S4" s="25">
        <v>3.5</v>
      </c>
      <c r="T4" s="10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36750</v>
      </c>
      <c r="U4" s="25">
        <v>1</v>
      </c>
      <c r="V4" s="10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3534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7">
        <v>40024002</v>
      </c>
      <c r="Z4" s="6">
        <v>1</v>
      </c>
      <c r="AA4" s="6">
        <v>100</v>
      </c>
      <c r="AB4" s="6">
        <v>0</v>
      </c>
      <c r="AC4" s="17">
        <f ca="1">VLOOKUP($L4,OFFSET([3]enemies!$A$1,0,0,COUNTA([3]enemies!$A:$A),MATCH(AC$1,[3]enemies!$1:$1,0)-MATCH($L$1,[3]enemies!$1:$1,0)+1),MATCH(AC$1,[3]enemies!$1:$1,0)-MATCH($L$1,[3]enemies!$1:$1,0)+1,FALSE)</f>
        <v>2</v>
      </c>
      <c r="AD4" s="24">
        <f t="shared" si="3"/>
        <v>57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チェン・リー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Drop1N</v>
      </c>
      <c r="AH4" s="7">
        <v>1</v>
      </c>
      <c r="AI4" s="24">
        <f t="shared" ca="1" si="4"/>
        <v>2</v>
      </c>
      <c r="AJ4" s="8">
        <v>20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ca="1" si="0"/>
        <v>40024_1-2/401&lt;lv50&gt;s3</v>
      </c>
      <c r="B5" s="22">
        <v>40024</v>
      </c>
      <c r="C5" s="21">
        <v>1</v>
      </c>
      <c r="D5" s="2" t="str">
        <f t="shared" si="1"/>
        <v>40024_1</v>
      </c>
      <c r="E5" s="4" t="str">
        <f ca="1">VLOOKUP($B5,OFFSET([2]quests!$A$1,0,0,COUNTA([2]quests!$A:$A),MATCH(E$1,[2]quests!$1:$1,0)-MATCH($B$1,[2]quests!$1:$1,0)+1),MATCH(E$1,[2]quests!$1:$1,0)-MATCH($B$1,[2]quests!$1:$1,0)+1,FALSE)</f>
        <v>アトラス襲来！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【超絶級】アトラス襲来</v>
      </c>
      <c r="G5" s="21">
        <v>2</v>
      </c>
      <c r="H5" s="15" t="str">
        <f t="shared" si="2"/>
        <v>40024_1-2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401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紅銀の孤狼 フェンリル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50</v>
      </c>
      <c r="S5" s="25">
        <v>1.8</v>
      </c>
      <c r="T5" s="10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120510</v>
      </c>
      <c r="U5" s="25">
        <v>0.6</v>
      </c>
      <c r="V5" s="10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4675.8</v>
      </c>
      <c r="W5" s="5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47">
        <v>40024003</v>
      </c>
      <c r="Z5" s="6">
        <v>0</v>
      </c>
      <c r="AA5" s="6">
        <v>50</v>
      </c>
      <c r="AB5" s="6">
        <v>2</v>
      </c>
      <c r="AC5" s="17">
        <f ca="1">VLOOKUP($L5,OFFSET([3]enemies!$A$1,0,0,COUNTA([3]enemies!$A:$A),MATCH(AC$1,[3]enemies!$1:$1,0)-MATCH($L$1,[3]enemies!$1:$1,0)+1),MATCH(AC$1,[3]enemies!$1:$1,0)-MATCH($L$1,[3]enemies!$1:$1,0)+1,FALSE)</f>
        <v>3</v>
      </c>
      <c r="AD5" s="24">
        <f t="shared" si="3"/>
        <v>401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紅銀の孤狼 フェンリル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ca="1" si="0"/>
        <v>40024_1-2/131&lt;lv50&gt;s3</v>
      </c>
      <c r="B6" s="22">
        <v>40024</v>
      </c>
      <c r="C6" s="21">
        <v>1</v>
      </c>
      <c r="D6" s="2" t="str">
        <f t="shared" si="1"/>
        <v>40024_1</v>
      </c>
      <c r="E6" s="4" t="str">
        <f ca="1">VLOOKUP($B6,OFFSET([2]quests!$A$1,0,0,COUNTA([2]quests!$A:$A),MATCH(E$1,[2]quests!$1:$1,0)-MATCH($B$1,[2]quests!$1:$1,0)+1),MATCH(E$1,[2]quests!$1:$1,0)-MATCH($B$1,[2]quests!$1:$1,0)+1,FALSE)</f>
        <v>アトラス襲来！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【超絶級】アトラス襲来</v>
      </c>
      <c r="G6" s="21">
        <v>2</v>
      </c>
      <c r="H6" s="15" t="str">
        <f t="shared" si="2"/>
        <v>40024_1-2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131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月下の人狼 ローレンス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50</v>
      </c>
      <c r="S6" s="25">
        <v>1.8</v>
      </c>
      <c r="T6" s="10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120510</v>
      </c>
      <c r="U6" s="25">
        <v>0.6</v>
      </c>
      <c r="V6" s="10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4492.2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47">
        <v>40024004</v>
      </c>
      <c r="Z6" s="6">
        <v>0</v>
      </c>
      <c r="AA6" s="6">
        <v>50</v>
      </c>
      <c r="AB6" s="6">
        <v>2</v>
      </c>
      <c r="AC6" s="17">
        <f ca="1">VLOOKUP($L6,OFFSET([3]enemies!$A$1,0,0,COUNTA([3]enemies!$A:$A),MATCH(AC$1,[3]enemies!$1:$1,0)-MATCH($L$1,[3]enemies!$1:$1,0)+1),MATCH(AC$1,[3]enemies!$1:$1,0)-MATCH($L$1,[3]enemies!$1:$1,0)+1,FALSE)</f>
        <v>3</v>
      </c>
      <c r="AD6" s="24">
        <f t="shared" si="3"/>
        <v>131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月下の人狼 ローレンス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6" s="7">
        <v>1</v>
      </c>
      <c r="AI6" s="24">
        <f t="shared" ca="1" si="4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ca="1" si="0"/>
        <v>40024_1-2/383&lt;lv50&gt;s3</v>
      </c>
      <c r="B7" s="22">
        <v>40024</v>
      </c>
      <c r="C7" s="21">
        <v>1</v>
      </c>
      <c r="D7" s="2" t="str">
        <f t="shared" si="1"/>
        <v>40024_1</v>
      </c>
      <c r="E7" s="4" t="str">
        <f ca="1">VLOOKUP($B7,OFFSET([2]quests!$A$1,0,0,COUNTA([2]quests!$A:$A),MATCH(E$1,[2]quests!$1:$1,0)-MATCH($B$1,[2]quests!$1:$1,0)+1),MATCH(E$1,[2]quests!$1:$1,0)-MATCH($B$1,[2]quests!$1:$1,0)+1,FALSE)</f>
        <v>アトラス襲来！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【超絶級】アトラス襲来</v>
      </c>
      <c r="G7" s="21">
        <v>2</v>
      </c>
      <c r="H7" s="15" t="str">
        <f t="shared" si="2"/>
        <v>40024_1-2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383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酒宴の蟒蛇 ヤマタノオロチ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dragon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50</v>
      </c>
      <c r="S7" s="25">
        <v>1.1000000000000001</v>
      </c>
      <c r="T7" s="10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125259.20000000001</v>
      </c>
      <c r="U7" s="25">
        <v>1</v>
      </c>
      <c r="V7" s="10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4785</v>
      </c>
      <c r="W7" s="5">
        <v>0</v>
      </c>
      <c r="X7" s="4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47">
        <v>40024005</v>
      </c>
      <c r="Z7" s="6">
        <v>0</v>
      </c>
      <c r="AA7" s="6">
        <v>50</v>
      </c>
      <c r="AB7" s="6">
        <v>1</v>
      </c>
      <c r="AC7" s="17">
        <f ca="1">VLOOKUP($L7,OFFSET([3]enemies!$A$1,0,0,COUNTA([3]enemies!$A:$A),MATCH(AC$1,[3]enemies!$1:$1,0)-MATCH($L$1,[3]enemies!$1:$1,0)+1),MATCH(AC$1,[3]enemies!$1:$1,0)-MATCH($L$1,[3]enemies!$1:$1,0)+1,FALSE)</f>
        <v>3</v>
      </c>
      <c r="AD7" s="24">
        <f t="shared" si="3"/>
        <v>383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酒宴の蟒蛇 ヤマタノオロチ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7" s="7">
        <v>1</v>
      </c>
      <c r="AI7" s="24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ca="1" si="0"/>
        <v>40024_1-2/224&lt;lv50&gt;s2</v>
      </c>
      <c r="B8" s="22">
        <v>40024</v>
      </c>
      <c r="C8" s="21">
        <v>1</v>
      </c>
      <c r="D8" s="2" t="str">
        <f t="shared" si="1"/>
        <v>40024_1</v>
      </c>
      <c r="E8" s="4" t="str">
        <f ca="1">VLOOKUP($B8,OFFSET([2]quests!$A$1,0,0,COUNTA([2]quests!$A:$A),MATCH(E$1,[2]quests!$1:$1,0)-MATCH($B$1,[2]quests!$1:$1,0)+1),MATCH(E$1,[2]quests!$1:$1,0)-MATCH($B$1,[2]quests!$1:$1,0)+1,FALSE)</f>
        <v>アトラス襲来！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【超絶級】アトラス襲来</v>
      </c>
      <c r="G8" s="21">
        <v>2</v>
      </c>
      <c r="H8" s="15" t="str">
        <f t="shared" si="2"/>
        <v>40024_1-2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224</v>
      </c>
      <c r="M8" s="17" t="str">
        <f ca="1">VLOOKUP($L8,OFFSET([3]enemies!$A$1,0,0,COUNTA([3]enemies!$A:$A),MATCH(M$1,[3]enemies!$1:$1,0)-MATCH($L$1,[3]enemies!$1:$1,0)+1),MATCH(M$1,[3]enemies!$1:$1,0)-MATCH($L$1,[3]enemies!$1:$1,0)+1,FALSE)</f>
        <v>巨腕 ヘラクレス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50</v>
      </c>
      <c r="S8" s="25">
        <v>2</v>
      </c>
      <c r="T8" s="103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123348</v>
      </c>
      <c r="U8" s="25">
        <v>0.9</v>
      </c>
      <c r="V8" s="103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4699.8</v>
      </c>
      <c r="W8" s="5">
        <v>0</v>
      </c>
      <c r="X8" s="4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47">
        <v>40024006</v>
      </c>
      <c r="Z8" s="6">
        <v>0</v>
      </c>
      <c r="AA8" s="6">
        <v>50</v>
      </c>
      <c r="AB8" s="6">
        <v>1</v>
      </c>
      <c r="AC8" s="17">
        <f ca="1">VLOOKUP($L8,OFFSET([3]enemies!$A$1,0,0,COUNTA([3]enemies!$A:$A),MATCH(AC$1,[3]enemies!$1:$1,0)-MATCH($L$1,[3]enemies!$1:$1,0)+1),MATCH(AC$1,[3]enemies!$1:$1,0)-MATCH($L$1,[3]enemies!$1:$1,0)+1,FALSE)</f>
        <v>2</v>
      </c>
      <c r="AD8" s="24">
        <f t="shared" si="3"/>
        <v>224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巨腕 ヘラクレス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8" s="7">
        <v>1</v>
      </c>
      <c r="AI8" s="24">
        <f t="shared" ca="1" si="4"/>
        <v>4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si="0"/>
        <v>40024_1-3/788&lt;lv50&gt;s2</v>
      </c>
      <c r="B9" s="22">
        <v>40024</v>
      </c>
      <c r="C9" s="21">
        <v>1</v>
      </c>
      <c r="D9" s="2" t="str">
        <f t="shared" si="1"/>
        <v>40024_1</v>
      </c>
      <c r="E9" s="4" t="str">
        <f ca="1">VLOOKUP($B9,OFFSET([2]quests!$A$1,0,0,COUNTA([2]quests!$A:$A),MATCH(E$1,[2]quests!$1:$1,0)-MATCH($B$1,[2]quests!$1:$1,0)+1),MATCH(E$1,[2]quests!$1:$1,0)-MATCH($B$1,[2]quests!$1:$1,0)+1,FALSE)</f>
        <v>アトラス襲来！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【超絶級】アトラス襲来</v>
      </c>
      <c r="G9" s="21">
        <v>3</v>
      </c>
      <c r="H9" s="15" t="str">
        <f t="shared" si="2"/>
        <v>40024_1-3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788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アトラス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50</v>
      </c>
      <c r="S9" s="25">
        <v>3.4</v>
      </c>
      <c r="T9" s="103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291478.59999999998</v>
      </c>
      <c r="U9" s="25">
        <v>1</v>
      </c>
      <c r="V9" s="103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5622</v>
      </c>
      <c r="W9" s="5">
        <v>0</v>
      </c>
      <c r="X9" s="4" t="e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9" s="47">
        <v>40024007</v>
      </c>
      <c r="Z9" s="6">
        <v>1</v>
      </c>
      <c r="AA9" s="6">
        <v>100</v>
      </c>
      <c r="AB9" s="6">
        <v>1</v>
      </c>
      <c r="AC9" s="17">
        <v>2</v>
      </c>
      <c r="AD9" s="24">
        <v>788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アトラス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7">
        <v>1</v>
      </c>
      <c r="AI9" s="24">
        <f t="shared" ca="1" si="4"/>
        <v>5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s="154" customFormat="1" ht="21" customHeight="1" thickBot="1" x14ac:dyDescent="0.2">
      <c r="A10" s="138" t="str">
        <f t="shared" si="0"/>
        <v>40024_1-4/789&lt;lv50&gt;s2</v>
      </c>
      <c r="B10" s="139">
        <v>40024</v>
      </c>
      <c r="C10" s="140">
        <v>1</v>
      </c>
      <c r="D10" s="141" t="str">
        <f t="shared" si="1"/>
        <v>40024_1</v>
      </c>
      <c r="E10" s="142" t="str">
        <f ca="1">VLOOKUP($B10,OFFSET([2]quests!$A$1,0,0,COUNTA([2]quests!$A:$A),MATCH(E$1,[2]quests!$1:$1,0)-MATCH($B$1,[2]quests!$1:$1,0)+1),MATCH(E$1,[2]quests!$1:$1,0)-MATCH($B$1,[2]quests!$1:$1,0)+1,FALSE)</f>
        <v>アトラス襲来！</v>
      </c>
      <c r="F10" s="142" t="str">
        <f ca="1">VLOOKUP($D10,OFFSET([2]stages!$A$1,0,0,COUNTA([2]stages!$A:$A),MATCH(F$1,[2]stages!$2:$2,0)-MATCH($D$1,[2]stages!$2:$2,0)+1),MATCH(F$1,[2]stages!$2:$2,0)-MATCH($D$1,[2]stages!$2:$2,0)+1,FALSE)</f>
        <v>【超絶級】アトラス襲来</v>
      </c>
      <c r="G10" s="140">
        <v>4</v>
      </c>
      <c r="H10" s="141" t="str">
        <f t="shared" si="2"/>
        <v>40024_1-4</v>
      </c>
      <c r="I10" s="142">
        <f ca="1">VLOOKUP($H10,OFFSET(floors!$A$1,0,0,COUNTA(floors!$A:$A),MATCH(I$1,floors!$1:$1,0)-MATCH($H$1,floors!$1:$1,0)+1),MATCH(I$1,floors!$1:$1,0)-MATCH($H$1,floors!$1:$1,0)+1,FALSE)</f>
        <v>60</v>
      </c>
      <c r="J10" s="142">
        <f ca="1">VLOOKUP($H10,OFFSET(floors!$A$1,0,0,COUNTA(floors!$A:$A),MATCH(J$1,floors!$1:$1,0)-MATCH($H$1,floors!$1:$1,0)+1),MATCH(J$1,floors!$1:$1,0)-MATCH($H$1,floors!$1:$1,0)+1,FALSE)</f>
        <v>60</v>
      </c>
      <c r="K10" s="143">
        <v>1</v>
      </c>
      <c r="L10" s="144">
        <v>789</v>
      </c>
      <c r="M10" s="145" t="str">
        <f ca="1">VLOOKUP($L10,OFFSET([3]enemies!$A$1,0,0,COUNTA([3]enemies!$A:$A),MATCH(M$1,[3]enemies!$1:$1,0)-MATCH($L$1,[3]enemies!$1:$1,0)+1),MATCH(M$1,[3]enemies!$1:$1,0)-MATCH($L$1,[3]enemies!$1:$1,0)+1,FALSE)</f>
        <v>極闘の大鋼腕 アトラス</v>
      </c>
      <c r="N10" s="145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45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45" t="str">
        <f ca="1">VLOOKUP($L10,OFFSET([3]enemies!$A$1,0,0,COUNTA([3]enemies!$A:$A),MATCH(P$1,[3]enemies!$1:$1,0)-MATCH($L$1,[3]enemies!$1:$1,0)+1),MATCH(P$1,[3]enemies!$1:$1,0)-MATCH($L$1,[3]enemies!$1:$1,0)+1,FALSE)</f>
        <v>god</v>
      </c>
      <c r="Q10" s="145">
        <f ca="1">VLOOKUP($L10,OFFSET([3]enemies!$A$1,0,0,COUNTA([3]enemies!$A:$A),MATCH(Q$1,[3]enemies!$1:$1,0)-MATCH($L$1,[3]enemies!$1:$1,0)+1),MATCH(Q$1,[3]enemies!$1:$1,0)-MATCH($L$1,[3]enemies!$1:$1,0)+1,FALSE)</f>
        <v>60</v>
      </c>
      <c r="R10" s="146">
        <v>50</v>
      </c>
      <c r="S10" s="25">
        <v>4.4000000000000004</v>
      </c>
      <c r="T10" s="148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377207.60000000003</v>
      </c>
      <c r="U10" s="147">
        <v>1.2</v>
      </c>
      <c r="V10" s="148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6746.4</v>
      </c>
      <c r="W10" s="146">
        <v>0</v>
      </c>
      <c r="X10" s="142" t="e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0" s="120">
        <v>40024008</v>
      </c>
      <c r="Z10" s="149">
        <v>1</v>
      </c>
      <c r="AA10" s="149">
        <v>100</v>
      </c>
      <c r="AB10" s="149">
        <v>1</v>
      </c>
      <c r="AC10" s="145">
        <v>2</v>
      </c>
      <c r="AD10" s="150">
        <v>788</v>
      </c>
      <c r="AE10" s="142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アトラス</v>
      </c>
      <c r="AF10" s="142">
        <f ca="1">VLOOKUP($AD10,OFFSET([4]characters!$A$1,0,0,COUNTA([4]characters!$A:$A),MATCH(AF$1,[4]characters!$1:$1,0)-MATCH("character_id",[4]characters!$1:$1,0)+1),MATCH(AF$1,[4]characters!$1:$1,0)-MATCH("character_id",[4]characters!$1:$1,0)+1,FALSE)</f>
        <v>5</v>
      </c>
      <c r="AG10" s="142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151">
        <v>1</v>
      </c>
      <c r="AI10" s="150">
        <f t="shared" ca="1" si="4"/>
        <v>5</v>
      </c>
      <c r="AJ10" s="152">
        <v>15</v>
      </c>
      <c r="AK10" s="151">
        <v>0</v>
      </c>
      <c r="AL10" s="151">
        <v>0</v>
      </c>
      <c r="AM10" s="151">
        <v>0</v>
      </c>
      <c r="AN10" s="151">
        <v>0</v>
      </c>
      <c r="AO10" s="151">
        <v>1</v>
      </c>
      <c r="AP10" s="153">
        <v>1</v>
      </c>
    </row>
    <row r="11" spans="1:42" ht="21" customHeight="1" x14ac:dyDescent="0.15">
      <c r="A11" s="16" t="str">
        <f t="shared" ca="1" si="0"/>
        <v>40024_2-1/270&lt;lv60&gt;s2</v>
      </c>
      <c r="B11" s="22">
        <v>40024</v>
      </c>
      <c r="C11" s="126">
        <v>2</v>
      </c>
      <c r="D11" s="127" t="str">
        <f t="shared" si="1"/>
        <v>40024_2</v>
      </c>
      <c r="E11" s="4" t="str">
        <f ca="1">VLOOKUP($B11,OFFSET([2]quests!$A$1,0,0,COUNTA([2]quests!$A:$A),MATCH(E$1,[2]quests!$1:$1,0)-MATCH($B$1,[2]quests!$1:$1,0)+1),MATCH(E$1,[2]quests!$1:$1,0)-MATCH($B$1,[2]quests!$1:$1,0)+1,FALSE)</f>
        <v>アトラス襲来！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【ウィザード級】アトラス襲来</v>
      </c>
      <c r="G11" s="126">
        <v>1</v>
      </c>
      <c r="H11" s="127" t="str">
        <f t="shared" si="2"/>
        <v>40024_2-1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128" t="s">
        <v>53</v>
      </c>
      <c r="L11" s="129">
        <v>270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風爪のミリー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130">
        <v>60</v>
      </c>
      <c r="S11" s="131">
        <v>1.3</v>
      </c>
      <c r="T11" s="13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99652.800000000003</v>
      </c>
      <c r="U11" s="131">
        <v>1</v>
      </c>
      <c r="V11" s="13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8047</v>
      </c>
      <c r="W11" s="130">
        <v>0</v>
      </c>
      <c r="X11" s="4" t="e">
        <f ca="1">VLOOKUP($Y11,OFFSET([5]enemy_skill_sets!$B$1,0,0,COUNTA([5]enemy_skill_sets!$B:$B),MATCH(M$1,[5]enemy_skill_sets!$1:$1,0)-MATCH($Y$1,[5]enemy_skill_sets!$1:$1,0)+2),MATCH(M$1,[5]enemy_skill_sets!$1:$1,0)-MATCH($Y$1,[5]enemy_skill_sets!$1:$1,0)+2,FALSE)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1" s="116">
        <v>40024000</v>
      </c>
      <c r="Z11" s="133">
        <v>1</v>
      </c>
      <c r="AA11" s="133">
        <v>100</v>
      </c>
      <c r="AB11" s="133">
        <v>1</v>
      </c>
      <c r="AC11" s="17">
        <f ca="1">VLOOKUP($L11,OFFSET([3]enemies!$A$1,0,0,COUNTA([3]enemies!$A:$A),MATCH(AC$1,[3]enemies!$1:$1,0)-MATCH($L$1,[3]enemies!$1:$1,0)+1),MATCH(AC$1,[3]enemies!$1:$1,0)-MATCH($L$1,[3]enemies!$1:$1,0)+1,FALSE)</f>
        <v>2</v>
      </c>
      <c r="AD11" s="134">
        <f t="shared" si="3"/>
        <v>270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風爪のミリー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" s="135">
        <v>1</v>
      </c>
      <c r="AI11" s="134">
        <f t="shared" ca="1" si="4"/>
        <v>4</v>
      </c>
      <c r="AJ11" s="136">
        <v>0</v>
      </c>
      <c r="AK11" s="135">
        <v>0</v>
      </c>
      <c r="AL11" s="135">
        <v>0</v>
      </c>
      <c r="AM11" s="135">
        <v>0</v>
      </c>
      <c r="AN11" s="135">
        <v>0</v>
      </c>
      <c r="AO11" s="135">
        <v>1</v>
      </c>
      <c r="AP11" s="137">
        <v>1</v>
      </c>
    </row>
    <row r="12" spans="1:42" ht="21" customHeight="1" x14ac:dyDescent="0.15">
      <c r="A12" s="16" t="str">
        <f t="shared" ca="1" si="0"/>
        <v>40024_2-1/57&lt;lv60&gt;s2</v>
      </c>
      <c r="B12" s="22">
        <v>40024</v>
      </c>
      <c r="C12" s="21">
        <v>2</v>
      </c>
      <c r="D12" s="2" t="str">
        <f t="shared" si="1"/>
        <v>40024_2</v>
      </c>
      <c r="E12" s="4" t="str">
        <f ca="1">VLOOKUP($B12,OFFSET([2]quests!$A$1,0,0,COUNTA([2]quests!$A:$A),MATCH(E$1,[2]quests!$1:$1,0)-MATCH($B$1,[2]quests!$1:$1,0)+1),MATCH(E$1,[2]quests!$1:$1,0)-MATCH($B$1,[2]quests!$1:$1,0)+1,FALSE)</f>
        <v>アトラス襲来！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【ウィザード級】アトラス襲来</v>
      </c>
      <c r="G12" s="21">
        <v>1</v>
      </c>
      <c r="H12" s="15" t="str">
        <f t="shared" si="2"/>
        <v>40024_2-1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57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チェン・リー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60</v>
      </c>
      <c r="S12" s="25">
        <v>3.5</v>
      </c>
      <c r="T12" s="103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43050</v>
      </c>
      <c r="U12" s="25">
        <v>1</v>
      </c>
      <c r="V12" s="103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4140</v>
      </c>
      <c r="W12" s="5">
        <v>0</v>
      </c>
      <c r="X12" s="4" t="e">
        <f ca="1">VLOOKUP($Y12,OFFSET([5]enemy_skill_sets!$B$1,0,0,COUNTA([5]enemy_skill_sets!$B:$B),MATCH(M$1,[5]enemy_skill_sets!$1:$1,0)-MATCH($Y$1,[5]enemy_skill_sets!$1:$1,0)+2),MATCH(M$1,[5]enemy_skill_sets!$1:$1,0)-MATCH($Y$1,[5]enemy_skill_sets!$1:$1,0)+2,FALSE)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2" s="47">
        <v>40024001</v>
      </c>
      <c r="Z12" s="6">
        <v>1</v>
      </c>
      <c r="AA12" s="6">
        <v>100</v>
      </c>
      <c r="AB12" s="6">
        <v>0</v>
      </c>
      <c r="AC12" s="17">
        <f ca="1">VLOOKUP($L12,OFFSET([3]enemies!$A$1,0,0,COUNTA([3]enemies!$A:$A),MATCH(AC$1,[3]enemies!$1:$1,0)-MATCH($L$1,[3]enemies!$1:$1,0)+1),MATCH(AC$1,[3]enemies!$1:$1,0)-MATCH($L$1,[3]enemies!$1:$1,0)+1,FALSE)</f>
        <v>2</v>
      </c>
      <c r="AD12" s="24">
        <f t="shared" si="3"/>
        <v>57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チェン・リー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Drop1N</v>
      </c>
      <c r="AH12" s="7">
        <v>1</v>
      </c>
      <c r="AI12" s="24">
        <f t="shared" ca="1" si="4"/>
        <v>2</v>
      </c>
      <c r="AJ12" s="8">
        <v>20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x14ac:dyDescent="0.15">
      <c r="A13" s="16" t="str">
        <f t="shared" ca="1" si="0"/>
        <v>40024_2-1/57&lt;lv61&gt;s2</v>
      </c>
      <c r="B13" s="22">
        <v>40024</v>
      </c>
      <c r="C13" s="21">
        <v>2</v>
      </c>
      <c r="D13" s="2" t="str">
        <f t="shared" si="1"/>
        <v>40024_2</v>
      </c>
      <c r="E13" s="4" t="str">
        <f ca="1">VLOOKUP($B13,OFFSET([2]quests!$A$1,0,0,COUNTA([2]quests!$A:$A),MATCH(E$1,[2]quests!$1:$1,0)-MATCH($B$1,[2]quests!$1:$1,0)+1),MATCH(E$1,[2]quests!$1:$1,0)-MATCH($B$1,[2]quests!$1:$1,0)+1,FALSE)</f>
        <v>アトラス襲来！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【ウィザード級】アトラス襲来</v>
      </c>
      <c r="G13" s="21">
        <v>1</v>
      </c>
      <c r="H13" s="15" t="str">
        <f t="shared" si="2"/>
        <v>40024_2-1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57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チェン・リー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61</v>
      </c>
      <c r="S13" s="25">
        <v>3.5</v>
      </c>
      <c r="T13" s="103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43750</v>
      </c>
      <c r="U13" s="25">
        <v>1</v>
      </c>
      <c r="V13" s="103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4208</v>
      </c>
      <c r="W13" s="5">
        <v>0</v>
      </c>
      <c r="X13" s="4" t="e">
        <f ca="1">VLOOKUP($Y13,OFFSET([5]enemy_skill_sets!$B$1,0,0,COUNTA([5]enemy_skill_sets!$B:$B),MATCH(M$1,[5]enemy_skill_sets!$1:$1,0)-MATCH($Y$1,[5]enemy_skill_sets!$1:$1,0)+2),MATCH(M$1,[5]enemy_skill_sets!$1:$1,0)-MATCH($Y$1,[5]enemy_skill_sets!$1:$1,0)+2,FALSE)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3" s="47">
        <v>40024002</v>
      </c>
      <c r="Z13" s="6">
        <v>1</v>
      </c>
      <c r="AA13" s="6">
        <v>100</v>
      </c>
      <c r="AB13" s="6">
        <v>0</v>
      </c>
      <c r="AC13" s="17">
        <f ca="1">VLOOKUP($L13,OFFSET([3]enemies!$A$1,0,0,COUNTA([3]enemies!$A:$A),MATCH(AC$1,[3]enemies!$1:$1,0)-MATCH($L$1,[3]enemies!$1:$1,0)+1),MATCH(AC$1,[3]enemies!$1:$1,0)-MATCH($L$1,[3]enemies!$1:$1,0)+1,FALSE)</f>
        <v>2</v>
      </c>
      <c r="AD13" s="24">
        <f t="shared" si="3"/>
        <v>57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チェン・リー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2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Drop1N</v>
      </c>
      <c r="AH13" s="7">
        <v>1</v>
      </c>
      <c r="AI13" s="24">
        <f t="shared" ca="1" si="4"/>
        <v>2</v>
      </c>
      <c r="AJ13" s="8">
        <v>20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  <row r="14" spans="1:42" ht="21" customHeight="1" x14ac:dyDescent="0.15">
      <c r="A14" s="16" t="str">
        <f t="shared" ca="1" si="0"/>
        <v>40024_2-2/401&lt;lv60&gt;s3</v>
      </c>
      <c r="B14" s="22">
        <v>40024</v>
      </c>
      <c r="C14" s="21">
        <v>2</v>
      </c>
      <c r="D14" s="2" t="str">
        <f t="shared" si="1"/>
        <v>40024_2</v>
      </c>
      <c r="E14" s="4" t="str">
        <f ca="1">VLOOKUP($B14,OFFSET([2]quests!$A$1,0,0,COUNTA([2]quests!$A:$A),MATCH(E$1,[2]quests!$1:$1,0)-MATCH($B$1,[2]quests!$1:$1,0)+1),MATCH(E$1,[2]quests!$1:$1,0)-MATCH($B$1,[2]quests!$1:$1,0)+1,FALSE)</f>
        <v>アトラス襲来！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【ウィザード級】アトラス襲来</v>
      </c>
      <c r="G14" s="21">
        <v>2</v>
      </c>
      <c r="H14" s="15" t="str">
        <f t="shared" si="2"/>
        <v>40024_2-2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401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紅銀の孤狼 フェンリル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60</v>
      </c>
      <c r="S14" s="25">
        <v>1.8</v>
      </c>
      <c r="T14" s="103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143910</v>
      </c>
      <c r="U14" s="25">
        <v>0.8</v>
      </c>
      <c r="V14" s="103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7444.8</v>
      </c>
      <c r="W14" s="5">
        <v>0</v>
      </c>
      <c r="X14" s="4" t="e">
        <f ca="1">VLOOKUP($Y14,OFFSET([5]enemy_skill_sets!$B$1,0,0,COUNTA([5]enemy_skill_sets!$B:$B),MATCH(M$1,[5]enemy_skill_sets!$1:$1,0)-MATCH($Y$1,[5]enemy_skill_sets!$1:$1,0)+2),MATCH(M$1,[5]enemy_skill_sets!$1:$1,0)-MATCH($Y$1,[5]enemy_skill_sets!$1:$1,0)+2,FALSE)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4" s="47">
        <v>40024003</v>
      </c>
      <c r="Z14" s="6">
        <v>0</v>
      </c>
      <c r="AA14" s="6">
        <v>50</v>
      </c>
      <c r="AB14" s="6">
        <v>2</v>
      </c>
      <c r="AC14" s="17">
        <f ca="1">VLOOKUP($L14,OFFSET([3]enemies!$A$1,0,0,COUNTA([3]enemies!$A:$A),MATCH(AC$1,[3]enemies!$1:$1,0)-MATCH($L$1,[3]enemies!$1:$1,0)+1),MATCH(AC$1,[3]enemies!$1:$1,0)-MATCH($L$1,[3]enemies!$1:$1,0)+1,FALSE)</f>
        <v>3</v>
      </c>
      <c r="AD14" s="24">
        <f t="shared" si="3"/>
        <v>401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紅銀の孤狼 フェンリル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4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4" s="7">
        <v>1</v>
      </c>
      <c r="AI14" s="24">
        <f t="shared" ca="1" si="4"/>
        <v>4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9">
        <v>1</v>
      </c>
    </row>
    <row r="15" spans="1:42" ht="21" customHeight="1" x14ac:dyDescent="0.15">
      <c r="A15" s="16" t="str">
        <f t="shared" ca="1" si="0"/>
        <v>40024_2-2/131&lt;lv60&gt;s3</v>
      </c>
      <c r="B15" s="22">
        <v>40024</v>
      </c>
      <c r="C15" s="21">
        <v>2</v>
      </c>
      <c r="D15" s="2" t="str">
        <f t="shared" si="1"/>
        <v>40024_2</v>
      </c>
      <c r="E15" s="4" t="str">
        <f ca="1">VLOOKUP($B15,OFFSET([2]quests!$A$1,0,0,COUNTA([2]quests!$A:$A),MATCH(E$1,[2]quests!$1:$1,0)-MATCH($B$1,[2]quests!$1:$1,0)+1),MATCH(E$1,[2]quests!$1:$1,0)-MATCH($B$1,[2]quests!$1:$1,0)+1,FALSE)</f>
        <v>アトラス襲来！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【ウィザード級】アトラス襲来</v>
      </c>
      <c r="G15" s="21">
        <v>2</v>
      </c>
      <c r="H15" s="15" t="str">
        <f t="shared" si="2"/>
        <v>40024_2-2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131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月下の人狼 ローレンス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PremiumW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60</v>
      </c>
      <c r="S15" s="25">
        <v>1.8</v>
      </c>
      <c r="T15" s="103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143910</v>
      </c>
      <c r="U15" s="25">
        <v>0.7</v>
      </c>
      <c r="V15" s="103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6258.7</v>
      </c>
      <c r="W15" s="5">
        <v>0</v>
      </c>
      <c r="X15" s="4" t="e">
        <f ca="1">VLOOKUP($Y15,OFFSET([5]enemy_skill_sets!$B$1,0,0,COUNTA([5]enemy_skill_sets!$B:$B),MATCH(M$1,[5]enemy_skill_sets!$1:$1,0)-MATCH($Y$1,[5]enemy_skill_sets!$1:$1,0)+2),MATCH(M$1,[5]enemy_skill_sets!$1:$1,0)-MATCH($Y$1,[5]enemy_skill_sets!$1:$1,0)+2,FALSE)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5" s="47">
        <v>40024004</v>
      </c>
      <c r="Z15" s="6">
        <v>0</v>
      </c>
      <c r="AA15" s="6">
        <v>50</v>
      </c>
      <c r="AB15" s="6">
        <v>2</v>
      </c>
      <c r="AC15" s="17">
        <f ca="1">VLOOKUP($L15,OFFSET([3]enemies!$A$1,0,0,COUNTA([3]enemies!$A:$A),MATCH(AC$1,[3]enemies!$1:$1,0)-MATCH($L$1,[3]enemies!$1:$1,0)+1),MATCH(AC$1,[3]enemies!$1:$1,0)-MATCH($L$1,[3]enemies!$1:$1,0)+1,FALSE)</f>
        <v>3</v>
      </c>
      <c r="AD15" s="24">
        <f t="shared" si="3"/>
        <v>131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月下の人狼 ローレンス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4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5" s="7">
        <v>1</v>
      </c>
      <c r="AI15" s="24">
        <f t="shared" ca="1" si="4"/>
        <v>4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9">
        <v>1</v>
      </c>
    </row>
    <row r="16" spans="1:42" ht="21" customHeight="1" x14ac:dyDescent="0.15">
      <c r="A16" s="16" t="str">
        <f t="shared" ca="1" si="0"/>
        <v>40024_2-2/383&lt;lv60&gt;s3</v>
      </c>
      <c r="B16" s="22">
        <v>40024</v>
      </c>
      <c r="C16" s="21">
        <v>2</v>
      </c>
      <c r="D16" s="2" t="str">
        <f t="shared" si="1"/>
        <v>40024_2</v>
      </c>
      <c r="E16" s="4" t="str">
        <f ca="1">VLOOKUP($B16,OFFSET([2]quests!$A$1,0,0,COUNTA([2]quests!$A:$A),MATCH(E$1,[2]quests!$1:$1,0)-MATCH($B$1,[2]quests!$1:$1,0)+1),MATCH(E$1,[2]quests!$1:$1,0)-MATCH($B$1,[2]quests!$1:$1,0)+1,FALSE)</f>
        <v>アトラス襲来！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【ウィザード級】アトラス襲来</v>
      </c>
      <c r="G16" s="21">
        <v>2</v>
      </c>
      <c r="H16" s="15" t="str">
        <f t="shared" si="2"/>
        <v>40024_2-2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383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酒宴の蟒蛇 ヤマタノオロチ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PremiumSS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dragon</v>
      </c>
      <c r="Q16" s="17">
        <f ca="1">VLOOKUP($L16,OFFSET([3]enemies!$A$1,0,0,COUNTA([3]enemies!$A:$A),MATCH(Q$1,[3]enemies!$1:$1,0)-MATCH($L$1,[3]enemies!$1:$1,0)+1),MATCH(Q$1,[3]enemies!$1:$1,0)-MATCH($L$1,[3]enemies!$1:$1,0)+1,FALSE)</f>
        <v>30</v>
      </c>
      <c r="R16" s="5">
        <v>60</v>
      </c>
      <c r="S16" s="25">
        <v>1.1000000000000001</v>
      </c>
      <c r="T16" s="103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149581.30000000002</v>
      </c>
      <c r="U16" s="25">
        <v>1</v>
      </c>
      <c r="V16" s="103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5714</v>
      </c>
      <c r="W16" s="5">
        <v>0</v>
      </c>
      <c r="X16" s="4" t="e">
        <f ca="1">VLOOKUP($Y16,OFFSET([5]enemy_skill_sets!$B$1,0,0,COUNTA([5]enemy_skill_sets!$B:$B),MATCH(M$1,[5]enemy_skill_sets!$1:$1,0)-MATCH($Y$1,[5]enemy_skill_sets!$1:$1,0)+2),MATCH(M$1,[5]enemy_skill_sets!$1:$1,0)-MATCH($Y$1,[5]enemy_skill_sets!$1:$1,0)+2,FALSE)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6" s="47">
        <v>40024005</v>
      </c>
      <c r="Z16" s="6">
        <v>0</v>
      </c>
      <c r="AA16" s="6">
        <v>50</v>
      </c>
      <c r="AB16" s="6">
        <v>1</v>
      </c>
      <c r="AC16" s="17">
        <f ca="1">VLOOKUP($L16,OFFSET([3]enemies!$A$1,0,0,COUNTA([3]enemies!$A:$A),MATCH(AC$1,[3]enemies!$1:$1,0)-MATCH($L$1,[3]enemies!$1:$1,0)+1),MATCH(AC$1,[3]enemies!$1:$1,0)-MATCH($L$1,[3]enemies!$1:$1,0)+1,FALSE)</f>
        <v>3</v>
      </c>
      <c r="AD16" s="24">
        <f t="shared" si="3"/>
        <v>383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酒宴の蟒蛇 ヤマタノオロチ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4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6" s="7">
        <v>1</v>
      </c>
      <c r="AI16" s="24">
        <f t="shared" ca="1" si="4"/>
        <v>4</v>
      </c>
      <c r="AJ16" s="8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9">
        <v>1</v>
      </c>
    </row>
    <row r="17" spans="1:42" ht="21" customHeight="1" x14ac:dyDescent="0.15">
      <c r="A17" s="16" t="str">
        <f t="shared" ca="1" si="0"/>
        <v>40024_2-2/224&lt;lv60&gt;s2</v>
      </c>
      <c r="B17" s="22">
        <v>40024</v>
      </c>
      <c r="C17" s="21">
        <v>2</v>
      </c>
      <c r="D17" s="2" t="str">
        <f t="shared" si="1"/>
        <v>40024_2</v>
      </c>
      <c r="E17" s="4" t="str">
        <f ca="1">VLOOKUP($B17,OFFSET([2]quests!$A$1,0,0,COUNTA([2]quests!$A:$A),MATCH(E$1,[2]quests!$1:$1,0)-MATCH($B$1,[2]quests!$1:$1,0)+1),MATCH(E$1,[2]quests!$1:$1,0)-MATCH($B$1,[2]quests!$1:$1,0)+1,FALSE)</f>
        <v>アトラス襲来！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【ウィザード級】アトラス襲来</v>
      </c>
      <c r="G17" s="21">
        <v>2</v>
      </c>
      <c r="H17" s="15" t="str">
        <f t="shared" si="2"/>
        <v>40024_2-2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224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巨腕 ヘラクレス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PremiumN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7">
        <f ca="1">VLOOKUP($L17,OFFSET([3]enemies!$A$1,0,0,COUNTA([3]enemies!$A:$A),MATCH(Q$1,[3]enemies!$1:$1,0)-MATCH($L$1,[3]enemies!$1:$1,0)+1),MATCH(Q$1,[3]enemies!$1:$1,0)-MATCH($L$1,[3]enemies!$1:$1,0)+1,FALSE)</f>
        <v>30</v>
      </c>
      <c r="R17" s="5">
        <v>60</v>
      </c>
      <c r="S17" s="25">
        <v>2</v>
      </c>
      <c r="T17" s="103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147300</v>
      </c>
      <c r="U17" s="25">
        <v>1</v>
      </c>
      <c r="V17" s="103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6235</v>
      </c>
      <c r="W17" s="5">
        <v>0</v>
      </c>
      <c r="X17" s="4" t="e">
        <f ca="1">VLOOKUP($Y17,OFFSET([5]enemy_skill_sets!$B$1,0,0,COUNTA([5]enemy_skill_sets!$B:$B),MATCH(M$1,[5]enemy_skill_sets!$1:$1,0)-MATCH($Y$1,[5]enemy_skill_sets!$1:$1,0)+2),MATCH(M$1,[5]enemy_skill_sets!$1:$1,0)-MATCH($Y$1,[5]enemy_skill_sets!$1:$1,0)+2,FALSE)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7" s="47">
        <v>40024006</v>
      </c>
      <c r="Z17" s="6">
        <v>0</v>
      </c>
      <c r="AA17" s="6">
        <v>50</v>
      </c>
      <c r="AB17" s="6">
        <v>1</v>
      </c>
      <c r="AC17" s="17">
        <f ca="1">VLOOKUP($L17,OFFSET([3]enemies!$A$1,0,0,COUNTA([3]enemies!$A:$A),MATCH(AC$1,[3]enemies!$1:$1,0)-MATCH($L$1,[3]enemies!$1:$1,0)+1),MATCH(AC$1,[3]enemies!$1:$1,0)-MATCH($L$1,[3]enemies!$1:$1,0)+1,FALSE)</f>
        <v>2</v>
      </c>
      <c r="AD17" s="24">
        <f t="shared" si="3"/>
        <v>224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巨腕 ヘラクレス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4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7" s="7">
        <v>1</v>
      </c>
      <c r="AI17" s="24">
        <f t="shared" ca="1" si="4"/>
        <v>4</v>
      </c>
      <c r="AJ17" s="8">
        <v>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9">
        <v>1</v>
      </c>
    </row>
    <row r="18" spans="1:42" ht="21" customHeight="1" x14ac:dyDescent="0.15">
      <c r="A18" s="16" t="str">
        <f t="shared" si="0"/>
        <v>40024_2-3/788&lt;lv60&gt;s2</v>
      </c>
      <c r="B18" s="22">
        <v>40024</v>
      </c>
      <c r="C18" s="21">
        <v>2</v>
      </c>
      <c r="D18" s="2" t="str">
        <f t="shared" si="1"/>
        <v>40024_2</v>
      </c>
      <c r="E18" s="4" t="str">
        <f ca="1">VLOOKUP($B18,OFFSET([2]quests!$A$1,0,0,COUNTA([2]quests!$A:$A),MATCH(E$1,[2]quests!$1:$1,0)-MATCH($B$1,[2]quests!$1:$1,0)+1),MATCH(E$1,[2]quests!$1:$1,0)-MATCH($B$1,[2]quests!$1:$1,0)+1,FALSE)</f>
        <v>アトラス襲来！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【ウィザード級】アトラス襲来</v>
      </c>
      <c r="G18" s="21">
        <v>3</v>
      </c>
      <c r="H18" s="15" t="str">
        <f t="shared" si="2"/>
        <v>40024_2-3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53</v>
      </c>
      <c r="L18" s="20">
        <v>788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アトラス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DropWizS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god</v>
      </c>
      <c r="Q18" s="17">
        <f ca="1">VLOOKUP($L18,OFFSET([3]enemies!$A$1,0,0,COUNTA([3]enemies!$A:$A),MATCH(Q$1,[3]enemies!$1:$1,0)-MATCH($L$1,[3]enemies!$1:$1,0)+1),MATCH(Q$1,[3]enemies!$1:$1,0)-MATCH($L$1,[3]enemies!$1:$1,0)+1,FALSE)</f>
        <v>60</v>
      </c>
      <c r="R18" s="5">
        <v>60</v>
      </c>
      <c r="S18" s="25">
        <v>3.4</v>
      </c>
      <c r="T18" s="103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348075</v>
      </c>
      <c r="U18" s="25">
        <v>1.2</v>
      </c>
      <c r="V18" s="103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8055.5999999999995</v>
      </c>
      <c r="W18" s="5">
        <v>0</v>
      </c>
      <c r="X18" s="4" t="e">
        <f ca="1">VLOOKUP($Y18,OFFSET([5]enemy_skill_sets!$B$1,0,0,COUNTA([5]enemy_skill_sets!$B:$B),MATCH(M$1,[5]enemy_skill_sets!$1:$1,0)-MATCH($Y$1,[5]enemy_skill_sets!$1:$1,0)+2),MATCH(M$1,[5]enemy_skill_sets!$1:$1,0)-MATCH($Y$1,[5]enemy_skill_sets!$1:$1,0)+2,FALSE)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8" s="47">
        <v>40024007</v>
      </c>
      <c r="Z18" s="6">
        <v>1</v>
      </c>
      <c r="AA18" s="6">
        <v>100</v>
      </c>
      <c r="AB18" s="6">
        <v>1</v>
      </c>
      <c r="AC18" s="17">
        <v>2</v>
      </c>
      <c r="AD18" s="24">
        <v>788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アトラス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5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8" s="7">
        <v>1</v>
      </c>
      <c r="AI18" s="24">
        <f t="shared" ca="1" si="4"/>
        <v>5</v>
      </c>
      <c r="AJ18" s="8">
        <v>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9">
        <v>1</v>
      </c>
    </row>
    <row r="19" spans="1:42" ht="21" customHeight="1" x14ac:dyDescent="0.15">
      <c r="A19" s="16" t="str">
        <f t="shared" si="0"/>
        <v>40024_2-4/789&lt;lv60&gt;s2</v>
      </c>
      <c r="B19" s="22">
        <v>40024</v>
      </c>
      <c r="C19" s="21">
        <v>2</v>
      </c>
      <c r="D19" s="2" t="str">
        <f t="shared" si="1"/>
        <v>40024_2</v>
      </c>
      <c r="E19" s="4" t="str">
        <f ca="1">VLOOKUP($B19,OFFSET([2]quests!$A$1,0,0,COUNTA([2]quests!$A:$A),MATCH(E$1,[2]quests!$1:$1,0)-MATCH($B$1,[2]quests!$1:$1,0)+1),MATCH(E$1,[2]quests!$1:$1,0)-MATCH($B$1,[2]quests!$1:$1,0)+1,FALSE)</f>
        <v>アトラス襲来！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【ウィザード級】アトラス襲来</v>
      </c>
      <c r="G19" s="21">
        <v>4</v>
      </c>
      <c r="H19" s="15" t="str">
        <f t="shared" si="2"/>
        <v>40024_2-4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>
        <v>2</v>
      </c>
      <c r="L19" s="20">
        <v>789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極闘の大鋼腕 アトラス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DropWizS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god</v>
      </c>
      <c r="Q19" s="17">
        <f ca="1">VLOOKUP($L19,OFFSET([3]enemies!$A$1,0,0,COUNTA([3]enemies!$A:$A),MATCH(Q$1,[3]enemies!$1:$1,0)-MATCH($L$1,[3]enemies!$1:$1,0)+1),MATCH(Q$1,[3]enemies!$1:$1,0)-MATCH($L$1,[3]enemies!$1:$1,0)+1,FALSE)</f>
        <v>60</v>
      </c>
      <c r="R19" s="5">
        <v>60</v>
      </c>
      <c r="S19" s="25">
        <v>4.4000000000000004</v>
      </c>
      <c r="T19" s="103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450450.00000000006</v>
      </c>
      <c r="U19" s="25">
        <v>1.4</v>
      </c>
      <c r="V19" s="103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9398.1999999999989</v>
      </c>
      <c r="W19" s="5">
        <v>0</v>
      </c>
      <c r="X19" s="4" t="e">
        <f ca="1">VLOOKUP($Y19,OFFSET([5]enemy_skill_sets!$B$1,0,0,COUNTA([5]enemy_skill_sets!$B:$B),MATCH(M$1,[5]enemy_skill_sets!$1:$1,0)-MATCH($Y$1,[5]enemy_skill_sets!$1:$1,0)+2),MATCH(M$1,[5]enemy_skill_sets!$1:$1,0)-MATCH($Y$1,[5]enemy_skill_sets!$1:$1,0)+2,FALSE)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9" s="47">
        <v>40024008</v>
      </c>
      <c r="Z19" s="6">
        <v>1</v>
      </c>
      <c r="AA19" s="6">
        <v>100</v>
      </c>
      <c r="AB19" s="6">
        <v>1</v>
      </c>
      <c r="AC19" s="17">
        <v>2</v>
      </c>
      <c r="AD19" s="24">
        <v>788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アトラス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5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9" s="7">
        <v>1</v>
      </c>
      <c r="AI19" s="24">
        <f t="shared" ca="1" si="4"/>
        <v>5</v>
      </c>
      <c r="AJ19" s="8">
        <v>30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3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V27" sqref="V27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254</v>
      </c>
      <c r="V1" s="26" t="s">
        <v>50</v>
      </c>
      <c r="W1" s="102" t="s">
        <v>255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40024_1-4/789&lt;lv50&gt;sq1st2</v>
      </c>
      <c r="B2" s="22">
        <v>40024</v>
      </c>
      <c r="C2" s="21">
        <v>1</v>
      </c>
      <c r="D2" s="2" t="str">
        <f>B2&amp;"_"&amp;C2</f>
        <v>40024_1</v>
      </c>
      <c r="E2" s="4" t="str">
        <f ca="1">VLOOKUP($B2,OFFSET([2]quests!$A$1,0,0,COUNTA([2]quests!$A:$A),MATCH(E$1,[2]quests!$1:$1,0)-MATCH($B$1,[2]quests!$1:$1,0)+1),MATCH(E$1,[2]quests!$1:$1,0)-MATCH($B$1,[2]quests!$1:$1,0)+1,FALSE)</f>
        <v>アトラス襲来！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【超絶級】アトラス襲来</v>
      </c>
      <c r="G2" s="21">
        <v>4</v>
      </c>
      <c r="H2" s="15" t="str">
        <f>B2&amp;"_"&amp;C2&amp;"-"&amp;G2</f>
        <v>40024_1-4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789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極闘の大鋼腕 アトラス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50</v>
      </c>
      <c r="T2" s="25">
        <v>6.2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531519.80000000005</v>
      </c>
      <c r="V2" s="25">
        <v>1.4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7870.7999999999993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7">
        <v>40024009</v>
      </c>
      <c r="AA2" s="70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40024_2-4/789&lt;lv60&gt;sq2st2</v>
      </c>
      <c r="B3" s="22">
        <v>40024</v>
      </c>
      <c r="C3" s="21">
        <v>2</v>
      </c>
      <c r="D3" s="2" t="str">
        <f>B3&amp;"_"&amp;C3</f>
        <v>40024_2</v>
      </c>
      <c r="E3" s="4" t="str">
        <f ca="1">VLOOKUP($B3,OFFSET([2]quests!$A$1,0,0,COUNTA([2]quests!$A:$A),MATCH(E$1,[2]quests!$1:$1,0)-MATCH($B$1,[2]quests!$1:$1,0)+1),MATCH(E$1,[2]quests!$1:$1,0)-MATCH($B$1,[2]quests!$1:$1,0)+1,FALSE)</f>
        <v>アトラス襲来！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【ウィザード級】アトラス襲来</v>
      </c>
      <c r="G3" s="21">
        <v>4</v>
      </c>
      <c r="H3" s="15" t="str">
        <f>B3&amp;"_"&amp;C3&amp;"-"&amp;G3</f>
        <v>40024_2-4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789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極闘の大鋼腕 アトラス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60</v>
      </c>
      <c r="T3" s="25">
        <v>7.4</v>
      </c>
      <c r="U3" s="10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757575</v>
      </c>
      <c r="V3" s="25">
        <v>1.8</v>
      </c>
      <c r="W3" s="10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12083.4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7">
        <v>40024010</v>
      </c>
      <c r="AA3" s="70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3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A21" sqref="A21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22.164062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63" si="0">B2&amp;"_"&amp;C2</f>
        <v>40024000_40024300</v>
      </c>
      <c r="B2" s="47">
        <v>40024000</v>
      </c>
      <c r="C2" s="47">
        <v>40024300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ああっもう！お前たち！_x000D_任務中に酒なんか飲むな！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フィーバーゲージ減少</v>
      </c>
      <c r="F2" s="47">
        <v>40024600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40024000_40024301</v>
      </c>
      <c r="B3" s="47">
        <v>40024000</v>
      </c>
      <c r="C3" s="47">
        <v>40024301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バリケード設置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ランダムで最大7個お邪魔パネルに変換</v>
      </c>
      <c r="F3" s="47">
        <v>40024601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" s="47"/>
      <c r="Q3" s="47"/>
      <c r="R3" s="47"/>
    </row>
    <row r="4" spans="1:18" ht="21" customHeight="1" x14ac:dyDescent="0.15">
      <c r="A4" s="39" t="str">
        <f t="shared" si="0"/>
        <v>40024000_40024302</v>
      </c>
      <c r="B4" s="47">
        <v>40024000</v>
      </c>
      <c r="C4" s="47">
        <v>40024302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獣の矜持を忘れるな！！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" s="47">
        <v>40024602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" s="47"/>
      <c r="Q4" s="47"/>
      <c r="R4" s="47"/>
    </row>
    <row r="5" spans="1:18" ht="21" customHeight="1" x14ac:dyDescent="0.15">
      <c r="A5" s="39" t="str">
        <f t="shared" si="0"/>
        <v>40024000_40024303</v>
      </c>
      <c r="B5" s="47">
        <v>40024000</v>
      </c>
      <c r="C5" s="47">
        <v>40024303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獲物は逃がさない！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連続攻撃</v>
      </c>
      <c r="F5" s="47">
        <v>40024603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0"/>
        <v>40024001_40024304</v>
      </c>
      <c r="B6" s="47">
        <v>40024001</v>
      </c>
      <c r="C6" s="47">
        <v>40024304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　よう！一杯どうだ？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3ターン攻撃力DOWN_x000D_＋フィーバーゲージ増加</v>
      </c>
      <c r="F6" s="47">
        <v>40024605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0"/>
        <v>40024001_40024305</v>
      </c>
      <c r="B7" s="47">
        <v>40024001</v>
      </c>
      <c r="C7" s="47">
        <v>40024305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プロメテウス兄貴！_x000D_一杯いかがっすか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3ターン攻撃力DOWN_x000D_＋フィーバーゲージ増加</v>
      </c>
      <c r="F7" s="47">
        <v>40024604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883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0"/>
        <v>40024001_40024306</v>
      </c>
      <c r="B8" s="47">
        <v>40024001</v>
      </c>
      <c r="C8" s="47">
        <v>40024306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　熱くなったろ？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エネミー全体の攻撃力UP</v>
      </c>
      <c r="F8" s="47">
        <v>40024606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" s="47"/>
      <c r="Q8" s="47"/>
      <c r="R8" s="47"/>
    </row>
    <row r="9" spans="1:18" ht="21" customHeight="1" x14ac:dyDescent="0.15">
      <c r="A9" s="39" t="str">
        <f t="shared" si="0"/>
        <v>40024001_40024307</v>
      </c>
      <c r="B9" s="47">
        <v>40024001</v>
      </c>
      <c r="C9" s="47">
        <v>40024307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今日も酒が進む！　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9" s="47">
        <v>40024607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0"/>
        <v>40024002_40024308</v>
      </c>
      <c r="B10" s="47">
        <v>40024002</v>
      </c>
      <c r="C10" s="47">
        <v>40024308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まぁ一緒に呑もう　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3ターン回復力DOWN_x000D_＋フィーバーゲージ増加</v>
      </c>
      <c r="F10" s="47">
        <v>40024609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0"/>
        <v>40024002_40024309</v>
      </c>
      <c r="B11" s="47">
        <v>40024002</v>
      </c>
      <c r="C11" s="47">
        <v>40024309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兄貴！_x000D_俺っちからも一献！　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3ターン回復力DOWN_x000D_＋フィーバーゲージ増加</v>
      </c>
      <c r="F11" s="47">
        <v>40024608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883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0"/>
        <v>40024002_40024310</v>
      </c>
      <c r="B12" s="47">
        <v>40024002</v>
      </c>
      <c r="C12" s="47">
        <v>40024310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とっておきの一本だ！　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エネミー全員防御力アップ</v>
      </c>
      <c r="F12" s="47">
        <v>40024610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" s="47"/>
      <c r="Q12" s="47"/>
      <c r="R12" s="47"/>
    </row>
    <row r="13" spans="1:18" s="123" customFormat="1" ht="21" customHeight="1" thickBot="1" x14ac:dyDescent="0.2">
      <c r="A13" s="119" t="str">
        <f t="shared" si="0"/>
        <v>40024002_40024311</v>
      </c>
      <c r="B13" s="120">
        <v>40024002</v>
      </c>
      <c r="C13" s="120">
        <v>40024311</v>
      </c>
      <c r="D13" s="121" t="str">
        <f ca="1">VLOOKUP($C13,OFFSET(enemy_skills!$A$1,0,0,COUNTA(enemy_skills!$A:$A),MATCH(D$1,enemy_skills!$1:$1,0)-MATCH("enemy_skill_id",enemy_skills!$1:$1,0)+1),MATCH(D$1,enemy_skills!$1:$1,0)-MATCH("enemy_skill_id",enemy_skills!$1:$1,0)+1,FALSE)</f>
        <v>酔ってないっすよ　</v>
      </c>
      <c r="E13" s="121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13" s="120">
        <v>40024611</v>
      </c>
      <c r="G13" s="122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122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13" s="122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122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122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122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122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122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122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20"/>
      <c r="Q13" s="120"/>
      <c r="R13" s="120"/>
    </row>
    <row r="14" spans="1:18" ht="21" customHeight="1" x14ac:dyDescent="0.15">
      <c r="A14" s="39" t="str">
        <f t="shared" si="0"/>
        <v>40024003_40024312</v>
      </c>
      <c r="B14" s="116">
        <v>40024003</v>
      </c>
      <c r="C14" s="116">
        <v>40024312</v>
      </c>
      <c r="D14" s="117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センスオブハンター</v>
      </c>
      <c r="E14" s="117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種族：アニマルに大ダメージの全体攻撃</v>
      </c>
      <c r="F14" s="116">
        <v>40024612</v>
      </c>
      <c r="G14" s="11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11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11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11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11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11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11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11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11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116"/>
      <c r="Q14" s="116"/>
      <c r="R14" s="116"/>
    </row>
    <row r="15" spans="1:18" ht="21" customHeight="1" x14ac:dyDescent="0.15">
      <c r="A15" s="39" t="str">
        <f t="shared" si="0"/>
        <v>40024003_40024313</v>
      </c>
      <c r="B15" s="47">
        <v>40024003</v>
      </c>
      <c r="C15" s="47">
        <v>40024313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これならどう？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5" s="47">
        <v>40024613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5" s="47"/>
      <c r="Q15" s="47"/>
      <c r="R15" s="47"/>
    </row>
    <row r="16" spans="1:18" ht="21" customHeight="1" x14ac:dyDescent="0.15">
      <c r="A16" s="39" t="str">
        <f t="shared" si="0"/>
        <v>40024004_40024314</v>
      </c>
      <c r="B16" s="47">
        <v>40024004</v>
      </c>
      <c r="C16" s="47">
        <v>40024314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ウォォォォォォォッ！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2ターンの間攻撃力アップ</v>
      </c>
      <c r="F16" s="47">
        <v>40024614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6" s="47"/>
      <c r="Q16" s="47"/>
      <c r="R16" s="47"/>
    </row>
    <row r="17" spans="1:18" ht="21" customHeight="1" x14ac:dyDescent="0.15">
      <c r="A17" s="39" t="str">
        <f t="shared" si="0"/>
        <v>40024004_40024315</v>
      </c>
      <c r="B17" s="47">
        <v>40024004</v>
      </c>
      <c r="C17" s="47">
        <v>40024315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オレの拳はどうだッ！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7" s="47">
        <v>40024615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7" s="47"/>
      <c r="Q17" s="47"/>
      <c r="R17" s="47"/>
    </row>
    <row r="18" spans="1:18" ht="21" customHeight="1" x14ac:dyDescent="0.15">
      <c r="A18" s="39" t="str">
        <f t="shared" si="0"/>
        <v>40024004_40024316</v>
      </c>
      <c r="B18" s="47">
        <v>40024004</v>
      </c>
      <c r="C18" s="47">
        <v>40024316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ハァァァァッ！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2ターンの間、攻撃者にカウンター</v>
      </c>
      <c r="F18" s="47">
        <v>40024616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0"/>
        <v>40024005_40024317</v>
      </c>
      <c r="B19" s="47">
        <v>40024005</v>
      </c>
      <c r="C19" s="47">
        <v>40024317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（非常に強い酒を飲まされた！）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全員に2ターンダメージのウィルス_x000D_＋フィーバーゲージ減少</v>
      </c>
      <c r="F19" s="47">
        <v>40024617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0"/>
        <v>40024005_40024318</v>
      </c>
      <c r="B20" s="47">
        <v>40024005</v>
      </c>
      <c r="C20" s="47">
        <v>40024318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ほら呑んで呑んで〜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全体攻撃＋一定確率で1ターンスリープ</v>
      </c>
      <c r="F20" s="47">
        <v>40024618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0" s="47"/>
      <c r="Q20" s="47"/>
      <c r="R20" s="47"/>
    </row>
    <row r="21" spans="1:18" ht="21" customHeight="1" x14ac:dyDescent="0.15">
      <c r="A21" s="39" t="str">
        <f t="shared" si="0"/>
        <v>40024005_40024319</v>
      </c>
      <c r="B21" s="47">
        <v>40024005</v>
      </c>
      <c r="C21" s="47">
        <v>40024319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無礼講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ヤマタノオロチは酔って眠っている！_x000D_全体攻撃＋自身に2ターンスリープ＆HP回復</v>
      </c>
      <c r="F21" s="47">
        <v>40024619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1" s="47"/>
      <c r="Q21" s="47"/>
      <c r="R21" s="47"/>
    </row>
    <row r="22" spans="1:18" ht="21" customHeight="1" x14ac:dyDescent="0.15">
      <c r="A22" s="39" t="str">
        <f t="shared" si="0"/>
        <v>40024005_40024320</v>
      </c>
      <c r="B22" s="47">
        <v>40024005</v>
      </c>
      <c r="C22" s="47">
        <v>40024320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大吟醸スプラッシュ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全体攻撃＋青パネルをお邪魔パネルに変換</v>
      </c>
      <c r="F22" s="47">
        <v>40024620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7"/>
      <c r="Q22" s="47"/>
      <c r="R22" s="47"/>
    </row>
    <row r="23" spans="1:18" ht="21" customHeight="1" x14ac:dyDescent="0.15">
      <c r="A23" s="39" t="str">
        <f t="shared" si="0"/>
        <v>40024005_40024321</v>
      </c>
      <c r="B23" s="47">
        <v>40024005</v>
      </c>
      <c r="C23" s="47">
        <v>40024321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生き返るわぁ〜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ヤマタノオロチのHPが回復_x000D_＋3ターンの間HP回復＋フィーバーゲージ増加</v>
      </c>
      <c r="F23" s="47">
        <v>40024621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0"/>
        <v>40024006_40024322</v>
      </c>
      <c r="B24" s="47">
        <v>40024006</v>
      </c>
      <c r="C24" s="47">
        <v>40024322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サボタージュへの誘い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全体攻撃_x000D_＋一定確率で1ターンスキルバインド</v>
      </c>
      <c r="F24" s="47">
        <v>40024622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4" s="47"/>
      <c r="Q24" s="47"/>
      <c r="R24" s="47"/>
    </row>
    <row r="25" spans="1:18" ht="21" customHeight="1" x14ac:dyDescent="0.15">
      <c r="A25" s="39" t="str">
        <f t="shared" si="0"/>
        <v>40024006_40024323</v>
      </c>
      <c r="B25" s="47">
        <v>40024006</v>
      </c>
      <c r="C25" s="47">
        <v>40024323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シエスタへの誘い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エネミー全体回復_x000D_＋一定確率で1ターンスリープ_x000D_＋黄パネルを最大5個ハートパネルに変換</v>
      </c>
      <c r="F25" s="47">
        <v>40024623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5" s="47"/>
      <c r="Q25" s="47"/>
      <c r="R25" s="47"/>
    </row>
    <row r="26" spans="1:18" s="123" customFormat="1" ht="21" customHeight="1" thickBot="1" x14ac:dyDescent="0.2">
      <c r="A26" s="119" t="str">
        <f t="shared" si="0"/>
        <v>40024006_40024324</v>
      </c>
      <c r="B26" s="120">
        <v>40024006</v>
      </c>
      <c r="C26" s="120">
        <v>40024324</v>
      </c>
      <c r="D26" s="121" t="str">
        <f ca="1">VLOOKUP($C26,OFFSET(enemy_skills!$A$1,0,0,COUNTA(enemy_skills!$A:$A),MATCH(D$1,enemy_skills!$1:$1,0)-MATCH("enemy_skill_id",enemy_skills!$1:$1,0)+1),MATCH(D$1,enemy_skills!$1:$1,0)-MATCH("enemy_skill_id",enemy_skills!$1:$1,0)+1,FALSE)</f>
        <v>責務からの逃避</v>
      </c>
      <c r="E26" s="121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3ターンの間行動頻度UP</v>
      </c>
      <c r="F26" s="120">
        <v>40024624</v>
      </c>
      <c r="G26" s="122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122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122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122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122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122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122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122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122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120"/>
      <c r="Q26" s="120"/>
      <c r="R26" s="120"/>
    </row>
    <row r="27" spans="1:18" ht="21" customHeight="1" x14ac:dyDescent="0.15">
      <c r="A27" s="39" t="str">
        <f t="shared" si="0"/>
        <v>40024007_40024325</v>
      </c>
      <c r="B27" s="116">
        <v>40024007</v>
      </c>
      <c r="C27" s="116">
        <v>40024325</v>
      </c>
      <c r="D27" s="117" t="str">
        <f ca="1">VLOOKUP($C27,OFFSET(enemy_skills!$A$1,0,0,COUNTA(enemy_skills!$A:$A),MATCH(D$1,enemy_skills!$1:$1,0)-MATCH("enemy_skill_id",enemy_skills!$1:$1,0)+1),MATCH(D$1,enemy_skills!$1:$1,0)-MATCH("enemy_skill_id",enemy_skills!$1:$1,0)+1,FALSE)</f>
        <v>離散型遮蔽防壁TypeA</v>
      </c>
      <c r="E27" s="117" t="str">
        <f ca="1">VLOOKUP($C27,OFFSET(enemy_skills!$A$1,0,0,COUNTA(enemy_skills!$A:$A),MATCH(E$1,enemy_skills!$1:$1,0)-MATCH("enemy_skill_id",enemy_skills!$1:$1,0)+1),MATCH(E$1,enemy_skills!$1:$1,0)-MATCH("enemy_skill_id",enemy_skills!$1:$1,0)+1,FALSE)</f>
        <v>Cパネル＆ボムパネル以外を_x000D_ランダムで10個お邪魔パネルに変換</v>
      </c>
      <c r="F27" s="116">
        <v>40024625</v>
      </c>
      <c r="G27" s="11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11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11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7" s="11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11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11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11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11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11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7" s="116"/>
      <c r="Q27" s="116"/>
      <c r="R27" s="116"/>
    </row>
    <row r="28" spans="1:18" ht="21" customHeight="1" x14ac:dyDescent="0.15">
      <c r="A28" s="39" t="str">
        <f t="shared" si="0"/>
        <v>40024007_40024326</v>
      </c>
      <c r="B28" s="47">
        <v>40024007</v>
      </c>
      <c r="C28" s="47">
        <v>40024326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リバースドア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「あの仕事は重たいから嫌なんだよッ！！」_x000D_5ターンの間カウンター状態</v>
      </c>
      <c r="F28" s="47">
        <v>40024626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8" s="47"/>
      <c r="Q28" s="47"/>
      <c r="R28" s="47"/>
    </row>
    <row r="29" spans="1:18" ht="21" customHeight="1" x14ac:dyDescent="0.15">
      <c r="A29" s="39" t="str">
        <f t="shared" si="0"/>
        <v>40024007_40024327</v>
      </c>
      <c r="B29" s="47">
        <v>40024007</v>
      </c>
      <c r="C29" s="47">
        <v>40024327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マルチキャスト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「ハハッ！俺の動きについてこられるかっ？」_x000D_8回連続攻撃</v>
      </c>
      <c r="F29" s="47">
        <v>40024627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9" s="47"/>
      <c r="Q29" s="47"/>
      <c r="R29" s="47"/>
    </row>
    <row r="30" spans="1:18" s="123" customFormat="1" ht="21" customHeight="1" thickBot="1" x14ac:dyDescent="0.2">
      <c r="A30" s="119" t="str">
        <f t="shared" si="0"/>
        <v>40024007_40024328</v>
      </c>
      <c r="B30" s="120">
        <v>40024007</v>
      </c>
      <c r="C30" s="120">
        <v>40024328</v>
      </c>
      <c r="D30" s="121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くうっ！やるじゃないか</v>
      </c>
      <c r="E30" s="121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だが俺はまだ！自由を諦めないぞ！</v>
      </c>
      <c r="F30" s="120">
        <v>40024628</v>
      </c>
      <c r="G30" s="122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122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0" s="122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122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122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122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" s="122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122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0" s="122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120"/>
      <c r="Q30" s="120"/>
      <c r="R30" s="120"/>
    </row>
    <row r="31" spans="1:18" ht="21" customHeight="1" x14ac:dyDescent="0.15">
      <c r="A31" s="39" t="str">
        <f t="shared" si="0"/>
        <v>40024008_40024329</v>
      </c>
      <c r="B31" s="116">
        <v>40024008</v>
      </c>
      <c r="C31" s="116">
        <v>40024329</v>
      </c>
      <c r="D31" s="117" t="str">
        <f ca="1">VLOOKUP($C31,OFFSET(enemy_skills!$A$1,0,0,COUNTA(enemy_skills!$A:$A),MATCH(D$1,enemy_skills!$1:$1,0)-MATCH("enemy_skill_id",enemy_skills!$1:$1,0)+1),MATCH(D$1,enemy_skills!$1:$1,0)-MATCH("enemy_skill_id",enemy_skills!$1:$1,0)+1,FALSE)</f>
        <v>虚数空間支配</v>
      </c>
      <c r="E31" s="117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ボムパネル縮小＋フィーバーゲージ減少_x000D_＋単体攻撃</v>
      </c>
      <c r="F31" s="116">
        <v>40024629</v>
      </c>
      <c r="G31" s="11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11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1" s="11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11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11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11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11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11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11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116"/>
      <c r="Q31" s="116"/>
      <c r="R31" s="116"/>
    </row>
    <row r="32" spans="1:18" ht="21" customHeight="1" x14ac:dyDescent="0.15">
      <c r="A32" s="39" t="str">
        <f t="shared" si="0"/>
        <v>40024008_40024330</v>
      </c>
      <c r="B32" s="47">
        <v>40024008</v>
      </c>
      <c r="C32" s="47">
        <v>40024330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離散型遮蔽防壁TypeB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Cパネル＆ボムパネル以外を_x000D_ランダムで15個お邪魔パネルに変換</v>
      </c>
      <c r="F32" s="47">
        <v>40024630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2" s="47"/>
      <c r="Q32" s="47"/>
      <c r="R32" s="47"/>
    </row>
    <row r="33" spans="1:18" ht="21" customHeight="1" x14ac:dyDescent="0.15">
      <c r="A33" s="39" t="str">
        <f t="shared" si="0"/>
        <v>40024008_40024331</v>
      </c>
      <c r="B33" s="47">
        <v>40024008</v>
      </c>
      <c r="C33" s="47">
        <v>40024331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トリプルバッファリング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3" s="47">
        <v>40024631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3" s="47"/>
      <c r="Q33" s="47"/>
      <c r="R33" s="47"/>
    </row>
    <row r="34" spans="1:18" ht="21" customHeight="1" x14ac:dyDescent="0.15">
      <c r="A34" s="39" t="str">
        <f t="shared" si="0"/>
        <v>40024008_40024332</v>
      </c>
      <c r="B34" s="47">
        <v>40024008</v>
      </c>
      <c r="C34" s="47">
        <v>40024332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カウンタークラック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カウンター状態のユニットに大ダメージの全体攻撃_x000D_＋カウンター状態を解除_x000D_＋解除されるまでカウンター</v>
      </c>
      <c r="F34" s="47">
        <v>40024632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34" s="47"/>
      <c r="Q34" s="47"/>
      <c r="R34" s="47"/>
    </row>
    <row r="35" spans="1:18" s="123" customFormat="1" ht="21" customHeight="1" thickBot="1" x14ac:dyDescent="0.2">
      <c r="A35" s="119" t="str">
        <f t="shared" si="0"/>
        <v>40024008_40024333</v>
      </c>
      <c r="B35" s="120">
        <v>40024008</v>
      </c>
      <c r="C35" s="120">
        <v>40024333</v>
      </c>
      <c r="D35" s="121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リフレックスアクセラレート</v>
      </c>
      <c r="E35" s="121" t="str">
        <f ca="1">VLOOKUP($C35,OFFSET(enemy_skills!$A$1,0,0,COUNTA(enemy_skills!$A:$A),MATCH(E$1,enemy_skills!$1:$1,0)-MATCH("enemy_skill_id",enemy_skills!$1:$1,0)+1),MATCH(E$1,enemy_skills!$1:$1,0)-MATCH("enemy_skill_id",enemy_skills!$1:$1,0)+1,FALSE)</f>
        <v>3ターンの間行動頻度1にアップ</v>
      </c>
      <c r="F35" s="120">
        <v>40024633</v>
      </c>
      <c r="G35" s="122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122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5" s="122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122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122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122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122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122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122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120"/>
      <c r="Q35" s="120"/>
      <c r="R35" s="120"/>
    </row>
    <row r="36" spans="1:18" ht="21" customHeight="1" x14ac:dyDescent="0.15">
      <c r="A36" s="39" t="str">
        <f t="shared" si="0"/>
        <v>40024009_40024337</v>
      </c>
      <c r="B36" s="116">
        <v>40024009</v>
      </c>
      <c r="C36" s="116">
        <v>40024337</v>
      </c>
      <c r="D36" s="117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モジュール式重層防壁α</v>
      </c>
      <c r="E36" s="117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「俺特製の防壁モジュールを見せてやろうッ！」_x000D_解除するまで防御力UP</v>
      </c>
      <c r="F36" s="116">
        <v>40024634</v>
      </c>
      <c r="G36" s="11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11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36" s="11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11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11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11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11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11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11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116"/>
      <c r="Q36" s="116"/>
      <c r="R36" s="116" t="s">
        <v>417</v>
      </c>
    </row>
    <row r="37" spans="1:18" ht="21" customHeight="1" x14ac:dyDescent="0.15">
      <c r="A37" s="39" t="str">
        <f t="shared" si="0"/>
        <v>40024009_40024338</v>
      </c>
      <c r="B37" s="47">
        <v>40024009</v>
      </c>
      <c r="C37" s="47">
        <v>40024338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モジュール式重層防壁β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「防壁モジュールを2重に同時展開だ！_x000D_さぁ、どう出てくる？」_x000D_解除するまで防御力UP</v>
      </c>
      <c r="F37" s="47">
        <v>40024635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7" s="48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33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 t="s">
        <v>417</v>
      </c>
    </row>
    <row r="38" spans="1:18" ht="21" customHeight="1" x14ac:dyDescent="0.15">
      <c r="A38" s="39" t="str">
        <f t="shared" si="0"/>
        <v>40024009_40024339</v>
      </c>
      <c r="B38" s="47">
        <v>40024009</v>
      </c>
      <c r="C38" s="47">
        <v>40024339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モジュール式重層防壁γ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「くっ！防壁モジュール残り4個、全部展開だ！_x000D_貫けるものなら貫いてみろッ！！」_x000D_解除するまで防御力UP</v>
      </c>
      <c r="F38" s="47">
        <v>40024636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 t="s">
        <v>417</v>
      </c>
    </row>
    <row r="39" spans="1:18" ht="21" customHeight="1" x14ac:dyDescent="0.15">
      <c r="A39" s="39" t="str">
        <f t="shared" si="0"/>
        <v>40024009_40024340</v>
      </c>
      <c r="B39" s="47">
        <v>40024009</v>
      </c>
      <c r="C39" s="47">
        <v>40024340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ダイレクトチャネリング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連続攻撃＋お邪魔パネルを10個生成</v>
      </c>
      <c r="F39" s="47">
        <v>40024637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18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18</v>
      </c>
      <c r="P39" s="47"/>
      <c r="Q39" s="47"/>
      <c r="R39" s="47" t="s">
        <v>417</v>
      </c>
    </row>
    <row r="40" spans="1:18" ht="21" customHeight="1" x14ac:dyDescent="0.15">
      <c r="A40" s="39" t="str">
        <f t="shared" si="0"/>
        <v>40024009_40024341</v>
      </c>
      <c r="B40" s="47">
        <v>40024009</v>
      </c>
      <c r="C40" s="47">
        <v>40024341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パケットブロードキャスト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全体攻撃＋お邪魔パネルを7個生成</v>
      </c>
      <c r="F40" s="47">
        <v>40024638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18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18</v>
      </c>
      <c r="P40" s="47"/>
      <c r="Q40" s="47"/>
      <c r="R40" s="47" t="s">
        <v>417</v>
      </c>
    </row>
    <row r="41" spans="1:18" ht="21" customHeight="1" x14ac:dyDescent="0.15">
      <c r="A41" s="39" t="str">
        <f t="shared" si="0"/>
        <v>40024009_40024342</v>
      </c>
      <c r="B41" s="47">
        <v>40024009</v>
      </c>
      <c r="C41" s="47">
        <v>40024342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バックアップ領域破壊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ハートパネルをお邪魔パネルに変換＋単体攻撃</v>
      </c>
      <c r="F41" s="47">
        <v>40024639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18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18</v>
      </c>
      <c r="P41" s="47"/>
      <c r="Q41" s="47"/>
      <c r="R41" s="47" t="s">
        <v>417</v>
      </c>
    </row>
    <row r="42" spans="1:18" ht="21" customHeight="1" x14ac:dyDescent="0.15">
      <c r="A42" s="39" t="str">
        <f t="shared" si="0"/>
        <v>40024009_40024343</v>
      </c>
      <c r="B42" s="47">
        <v>40024009</v>
      </c>
      <c r="C42" s="47">
        <v>40024343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防火障壁生成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赤パネルをお邪魔パネルに変換＋単体攻撃</v>
      </c>
      <c r="F42" s="47">
        <v>40024640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18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18</v>
      </c>
      <c r="P42" s="47"/>
      <c r="Q42" s="47"/>
      <c r="R42" s="47" t="s">
        <v>417</v>
      </c>
    </row>
    <row r="43" spans="1:18" ht="21" customHeight="1" x14ac:dyDescent="0.15">
      <c r="A43" s="39" t="str">
        <f t="shared" si="0"/>
        <v>40024009_40024344</v>
      </c>
      <c r="B43" s="47">
        <v>40024009</v>
      </c>
      <c r="C43" s="47">
        <v>40024344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掩蔽防壁強化Mod.B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お邪魔パネルを10個生成_x000D_＋お邪魔パネル最大20個にプロテクト</v>
      </c>
      <c r="F43" s="47">
        <v>40024641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22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22</v>
      </c>
      <c r="P43" s="47"/>
      <c r="Q43" s="47"/>
      <c r="R43" s="47" t="s">
        <v>417</v>
      </c>
    </row>
    <row r="44" spans="1:18" ht="21" customHeight="1" x14ac:dyDescent="0.15">
      <c r="A44" s="39" t="str">
        <f t="shared" si="0"/>
        <v>40024009_40024345</v>
      </c>
      <c r="B44" s="47">
        <v>40024009</v>
      </c>
      <c r="C44" s="47">
        <v>40024345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掩蔽防壁強化Mod.A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お邪魔パネルを5個生成_x000D_＋お邪魔パネル最大10個にプロテクト</v>
      </c>
      <c r="F44" s="47">
        <v>40024642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22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22</v>
      </c>
      <c r="P44" s="47"/>
      <c r="Q44" s="47"/>
      <c r="R44" s="47" t="s">
        <v>417</v>
      </c>
    </row>
    <row r="45" spans="1:18" ht="21" customHeight="1" x14ac:dyDescent="0.15">
      <c r="A45" s="39" t="str">
        <f t="shared" si="0"/>
        <v>40024009_40024351</v>
      </c>
      <c r="B45" s="47">
        <v>40024009</v>
      </c>
      <c r="C45" s="47">
        <v>40024351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隠れるためだけと思ったか！？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お邪魔パネルを最大20個吸収して全体攻撃_x000D_（吸収数に応じてダメージアップ）＋1ターン暗闇</v>
      </c>
      <c r="F45" s="47">
        <v>40024643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22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22</v>
      </c>
      <c r="P45" s="47"/>
      <c r="Q45" s="47"/>
      <c r="R45" s="47" t="s">
        <v>417</v>
      </c>
    </row>
    <row r="46" spans="1:18" ht="21" customHeight="1" x14ac:dyDescent="0.15">
      <c r="A46" s="39" t="str">
        <f t="shared" si="0"/>
        <v>40024009_40024347</v>
      </c>
      <c r="B46" s="47">
        <v>40024009</v>
      </c>
      <c r="C46" s="47">
        <v>40024347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クイックスキャン＆リカバリー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5ターンの間、毎ターンHP回復15％</v>
      </c>
      <c r="F46" s="47">
        <v>40024644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65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6" s="47"/>
      <c r="Q46" s="47"/>
      <c r="R46" s="47" t="s">
        <v>417</v>
      </c>
    </row>
    <row r="47" spans="1:18" ht="21" customHeight="1" x14ac:dyDescent="0.15">
      <c r="A47" s="39" t="str">
        <f t="shared" si="0"/>
        <v>40024009_40024348</v>
      </c>
      <c r="B47" s="47">
        <v>40024009</v>
      </c>
      <c r="C47" s="47">
        <v>40024348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ぐうっ負けねぇぞ！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解除するまで攻撃力＆防御力＆回復力DOWN</v>
      </c>
      <c r="F47" s="47">
        <v>40024645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7" s="47"/>
      <c r="Q47" s="47"/>
      <c r="R47" s="47" t="s">
        <v>417</v>
      </c>
    </row>
    <row r="48" spans="1:18" ht="21" customHeight="1" x14ac:dyDescent="0.15">
      <c r="A48" s="39" t="str">
        <f t="shared" si="0"/>
        <v>40024009_40024349</v>
      </c>
      <c r="B48" s="47">
        <v>40024009</v>
      </c>
      <c r="C48" s="47">
        <v>40024349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バインドクロー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単体攻撃＋1ターンスキルバインド</v>
      </c>
      <c r="F48" s="47">
        <v>40024646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8" s="47"/>
      <c r="Q48" s="47"/>
      <c r="R48" s="47" t="s">
        <v>417</v>
      </c>
    </row>
    <row r="49" spans="1:18" s="123" customFormat="1" ht="21" customHeight="1" thickBot="1" x14ac:dyDescent="0.2">
      <c r="A49" s="119" t="str">
        <f t="shared" si="0"/>
        <v>40024009_40024350</v>
      </c>
      <c r="B49" s="120">
        <v>40024009</v>
      </c>
      <c r="C49" s="120">
        <v>40024350</v>
      </c>
      <c r="D49" s="121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ああもう！わかったって！</v>
      </c>
      <c r="E49" s="121" t="str">
        <f ca="1">VLOOKUP($C49,OFFSET(enemy_skills!$A$1,0,0,COUNTA(enemy_skills!$A:$A),MATCH(E$1,enemy_skills!$1:$1,0)-MATCH("enemy_skill_id",enemy_skills!$1:$1,0)+1),MATCH(E$1,enemy_skills!$1:$1,0)-MATCH("enemy_skill_id",enemy_skills!$1:$1,0)+1,FALSE)</f>
        <v>俺にしかできねぇ仕事…か…_x000D_しょうがねえな…戻るわ！ありがとうな</v>
      </c>
      <c r="F49" s="120">
        <v>40024647</v>
      </c>
      <c r="G49" s="122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122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9" s="122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122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122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122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9" s="122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122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9" s="122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120"/>
      <c r="Q49" s="120"/>
      <c r="R49" s="120" t="s">
        <v>417</v>
      </c>
    </row>
    <row r="50" spans="1:18" ht="21" customHeight="1" x14ac:dyDescent="0.15">
      <c r="A50" s="39" t="str">
        <f t="shared" si="0"/>
        <v>40024010_40024334</v>
      </c>
      <c r="B50" s="116">
        <v>40024010</v>
      </c>
      <c r="C50" s="116">
        <v>40024334</v>
      </c>
      <c r="D50" s="117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モジュール式重層防壁α改</v>
      </c>
      <c r="E50" s="117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「俺特製の防壁モジュールを見せてやろうッ！」_x000D_解除するまで防御力UP</v>
      </c>
      <c r="F50" s="47">
        <v>40024648</v>
      </c>
      <c r="G50" s="11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11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50" s="11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11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11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11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11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11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11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116"/>
      <c r="Q50" s="116"/>
      <c r="R50" s="116" t="s">
        <v>418</v>
      </c>
    </row>
    <row r="51" spans="1:18" ht="21" customHeight="1" x14ac:dyDescent="0.15">
      <c r="A51" s="39" t="str">
        <f t="shared" si="0"/>
        <v>40024010_40024335</v>
      </c>
      <c r="B51" s="47">
        <v>40024010</v>
      </c>
      <c r="C51" s="47">
        <v>40024335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モジュール式重層防壁β改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「防壁モジュールを2重に同時展開だ！_x000D_さぁ、どう出てくる？」_x000D_解除するまで防御力UP</v>
      </c>
      <c r="F51" s="47">
        <v>40024649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1" s="48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33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 t="s">
        <v>303</v>
      </c>
    </row>
    <row r="52" spans="1:18" ht="21" customHeight="1" x14ac:dyDescent="0.15">
      <c r="A52" s="39" t="str">
        <f t="shared" si="0"/>
        <v>40024010_40024336</v>
      </c>
      <c r="B52" s="47">
        <v>40024010</v>
      </c>
      <c r="C52" s="47">
        <v>40024336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モジュール式重層防壁γ改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「くっ！防壁モジュール残り4個、全部展開だ！_x000D_貫けるものなら貫いてみろッ！！」_x000D_解除するまで防御力UP</v>
      </c>
      <c r="F52" s="47">
        <v>40024650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 t="s">
        <v>303</v>
      </c>
    </row>
    <row r="53" spans="1:18" ht="21" customHeight="1" x14ac:dyDescent="0.15">
      <c r="A53" s="39" t="str">
        <f t="shared" si="0"/>
        <v>40024010_40024340</v>
      </c>
      <c r="B53" s="47">
        <v>40024010</v>
      </c>
      <c r="C53" s="47">
        <v>40024340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ダイレクトチャネリング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連続攻撃＋お邪魔パネルを10個生成</v>
      </c>
      <c r="F53" s="47">
        <v>40024651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53" s="47"/>
      <c r="Q53" s="47"/>
      <c r="R53" s="47" t="s">
        <v>303</v>
      </c>
    </row>
    <row r="54" spans="1:18" ht="21" customHeight="1" x14ac:dyDescent="0.15">
      <c r="A54" s="39" t="str">
        <f t="shared" si="0"/>
        <v>40024010_40024341</v>
      </c>
      <c r="B54" s="47">
        <v>40024010</v>
      </c>
      <c r="C54" s="47">
        <v>40024341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パケットブロードキャスト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全体攻撃＋お邪魔パネルを7個生成</v>
      </c>
      <c r="F54" s="47">
        <v>40024652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54" s="47"/>
      <c r="Q54" s="47"/>
      <c r="R54" s="47" t="s">
        <v>303</v>
      </c>
    </row>
    <row r="55" spans="1:18" ht="21" customHeight="1" x14ac:dyDescent="0.15">
      <c r="A55" s="39" t="str">
        <f t="shared" si="0"/>
        <v>40024010_40024342</v>
      </c>
      <c r="B55" s="47">
        <v>40024010</v>
      </c>
      <c r="C55" s="47">
        <v>40024342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バックアップ領域破壊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ハートパネルをお邪魔パネルに変換＋単体攻撃</v>
      </c>
      <c r="F55" s="47">
        <v>40024653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55" s="47"/>
      <c r="Q55" s="47"/>
      <c r="R55" s="47" t="s">
        <v>303</v>
      </c>
    </row>
    <row r="56" spans="1:18" ht="21" customHeight="1" x14ac:dyDescent="0.15">
      <c r="A56" s="39" t="str">
        <f t="shared" si="0"/>
        <v>40024010_40024343</v>
      </c>
      <c r="B56" s="47">
        <v>40024010</v>
      </c>
      <c r="C56" s="47">
        <v>40024343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防火障壁生成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赤パネルをお邪魔パネルに変換＋単体攻撃</v>
      </c>
      <c r="F56" s="47">
        <v>40024654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56" s="47"/>
      <c r="Q56" s="47"/>
      <c r="R56" s="47" t="s">
        <v>303</v>
      </c>
    </row>
    <row r="57" spans="1:18" ht="21" customHeight="1" x14ac:dyDescent="0.15">
      <c r="A57" s="39" t="str">
        <f t="shared" si="0"/>
        <v>40024010_40024344</v>
      </c>
      <c r="B57" s="47">
        <v>40024010</v>
      </c>
      <c r="C57" s="47">
        <v>40024344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掩蔽防壁強化Mod.B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お邪魔パネルを10個生成_x000D_＋お邪魔パネル最大20個にプロテクト</v>
      </c>
      <c r="F57" s="47">
        <v>40024655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57" s="47"/>
      <c r="Q57" s="47"/>
      <c r="R57" s="47" t="s">
        <v>303</v>
      </c>
    </row>
    <row r="58" spans="1:18" ht="21" customHeight="1" x14ac:dyDescent="0.15">
      <c r="A58" s="39" t="str">
        <f t="shared" si="0"/>
        <v>40024010_40024345</v>
      </c>
      <c r="B58" s="47">
        <v>40024010</v>
      </c>
      <c r="C58" s="47">
        <v>40024345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掩蔽防壁強化Mod.A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お邪魔パネルを5個生成_x000D_＋お邪魔パネル最大10個にプロテクト</v>
      </c>
      <c r="F58" s="47">
        <v>40024656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58" s="47"/>
      <c r="Q58" s="47"/>
      <c r="R58" s="47" t="s">
        <v>303</v>
      </c>
    </row>
    <row r="59" spans="1:18" ht="21" customHeight="1" x14ac:dyDescent="0.15">
      <c r="A59" s="39" t="str">
        <f t="shared" si="0"/>
        <v>40024010_40024346</v>
      </c>
      <c r="B59" s="47">
        <v>40024010</v>
      </c>
      <c r="C59" s="47">
        <v>40024346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隠れるためだけと思ったか！？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お邪魔パネルを最大30個吸収して全体攻撃_x000D_（吸収数に応じてダメージアップ）＋1ターン暗闇</v>
      </c>
      <c r="F59" s="47">
        <v>40024657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59" s="47"/>
      <c r="Q59" s="47"/>
      <c r="R59" s="47" t="s">
        <v>303</v>
      </c>
    </row>
    <row r="60" spans="1:18" ht="21" customHeight="1" x14ac:dyDescent="0.15">
      <c r="A60" s="39" t="str">
        <f t="shared" si="0"/>
        <v>40024010_40024347</v>
      </c>
      <c r="B60" s="47">
        <v>40024010</v>
      </c>
      <c r="C60" s="47">
        <v>40024347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クイックスキャン＆リカバリー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5ターンの間、毎ターンHP回復15％</v>
      </c>
      <c r="F60" s="47">
        <v>40024658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65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60" s="48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60" s="47"/>
      <c r="Q60" s="47"/>
      <c r="R60" s="47" t="s">
        <v>303</v>
      </c>
    </row>
    <row r="61" spans="1:18" ht="21" customHeight="1" x14ac:dyDescent="0.15">
      <c r="A61" s="39" t="str">
        <f t="shared" si="0"/>
        <v>40024010_40024348</v>
      </c>
      <c r="B61" s="47">
        <v>40024010</v>
      </c>
      <c r="C61" s="47">
        <v>40024348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ぐうっ負けねぇぞ！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解除するまで攻撃力＆防御力＆回復力DOWN</v>
      </c>
      <c r="F61" s="47">
        <v>40024659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1" s="48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1" s="47"/>
      <c r="Q61" s="47"/>
      <c r="R61" s="47" t="s">
        <v>303</v>
      </c>
    </row>
    <row r="62" spans="1:18" ht="21" customHeight="1" x14ac:dyDescent="0.15">
      <c r="A62" s="39" t="str">
        <f t="shared" si="0"/>
        <v>40024010_40024349</v>
      </c>
      <c r="B62" s="47">
        <v>40024010</v>
      </c>
      <c r="C62" s="47">
        <v>40024349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バインドクロー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単体攻撃＋1ターンスキルバインド</v>
      </c>
      <c r="F62" s="47">
        <v>40024660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2" s="47"/>
      <c r="Q62" s="47"/>
      <c r="R62" s="47" t="s">
        <v>303</v>
      </c>
    </row>
    <row r="63" spans="1:18" ht="21" customHeight="1" x14ac:dyDescent="0.15">
      <c r="A63" s="39" t="str">
        <f t="shared" si="0"/>
        <v>40024010_40024350</v>
      </c>
      <c r="B63" s="47">
        <v>40024010</v>
      </c>
      <c r="C63" s="47">
        <v>40024350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ああもう！わかったって！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俺にしかできねぇ仕事…か…_x000D_しょうがねえな…戻るわ！ありがとうな</v>
      </c>
      <c r="F63" s="47">
        <v>40024661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 t="s">
        <v>303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3"/>
  <sheetViews>
    <sheetView showGridLines="0" tabSelected="1" workbookViewId="0">
      <pane ySplit="1" topLeftCell="A28" activePane="bottomLeft" state="frozenSplit"/>
      <selection pane="bottomLeft" activeCell="F40" sqref="F40"/>
    </sheetView>
  </sheetViews>
  <sheetFormatPr baseColWidth="12" defaultColWidth="12.83203125" defaultRowHeight="21" customHeight="1" outlineLevelCol="1" x14ac:dyDescent="0.15"/>
  <cols>
    <col min="1" max="1" width="18.33203125" style="49" bestFit="1" customWidth="1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8" x14ac:dyDescent="0.15">
      <c r="A2" s="47">
        <v>40024300</v>
      </c>
      <c r="B2" s="47" t="s">
        <v>263</v>
      </c>
      <c r="C2" s="50">
        <v>3</v>
      </c>
      <c r="D2" s="50" t="s">
        <v>128</v>
      </c>
      <c r="E2" s="51" t="s">
        <v>393</v>
      </c>
      <c r="F2" s="51" t="s">
        <v>392</v>
      </c>
      <c r="G2" s="63" t="str">
        <f>IFERROR(LEFT(B2,FIND("],",B2)),B2)</f>
        <v>[effect:degrade_fever, val:1000, animation:fevergauge_down]</v>
      </c>
      <c r="H2" s="63">
        <f>FIND("effect:",G2)+7</f>
        <v>9</v>
      </c>
      <c r="I2" s="63">
        <f>IFERROR(FIND(",",G2),LEN(G2))</f>
        <v>22</v>
      </c>
      <c r="J2" s="63" t="e">
        <f>FIND("target:",G2)+7</f>
        <v>#VALUE!</v>
      </c>
      <c r="K2" s="63">
        <f>FIND(",",G2,I2+1)</f>
        <v>32</v>
      </c>
      <c r="L2" s="63" t="str">
        <f>IFERROR(VLOOKUP(MID(G2,J2,K2-J2),[6]skilldef!$C:$D,2,FALSE),"-") &amp; " / " &amp; IFERROR(VLOOKUP(MID(G2,H2,I2-H2),[6]skilldef!$A:$B,2,FALSE),"-")</f>
        <v>- / フィーバーゲージ減少</v>
      </c>
      <c r="M2" s="63" t="str">
        <f>IFERROR(RIGHT(B2,LEN(B2)-FIND("],",B2)-1),"none")</f>
        <v>none</v>
      </c>
      <c r="N2" s="48" t="str">
        <f t="shared" ref="N2:N11" si="0">IFERROR(LEFT(M2,FIND("],",M2)+S14),M2)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 t="s">
        <v>265</v>
      </c>
      <c r="AA2" s="52"/>
      <c r="AB2" s="50" t="s">
        <v>282</v>
      </c>
    </row>
    <row r="3" spans="1:28" ht="21" customHeight="1" x14ac:dyDescent="0.15">
      <c r="A3" s="47">
        <v>40024301</v>
      </c>
      <c r="B3" s="47" t="s">
        <v>432</v>
      </c>
      <c r="C3" s="50">
        <v>3</v>
      </c>
      <c r="D3" s="50" t="s">
        <v>128</v>
      </c>
      <c r="E3" s="51" t="s">
        <v>356</v>
      </c>
      <c r="F3" s="51" t="s">
        <v>380</v>
      </c>
      <c r="G3" s="63" t="str">
        <f t="shared" ref="G3:G36" si="1">IFERROR(LEFT(B3,FIND("],",B3)),B3)</f>
        <v>[effect:force_change_block, new_block:jammer, target:block_all, ignore01:block_positive, ignore02:block_negative, count:7, val:0]</v>
      </c>
      <c r="H3" s="63">
        <f t="shared" ref="H3:H36" si="2">FIND("effect:",G3)+7</f>
        <v>9</v>
      </c>
      <c r="I3" s="63">
        <f t="shared" ref="I3:I36" si="3">IFERROR(FIND(",",G3),LEN(G3))</f>
        <v>27</v>
      </c>
      <c r="J3" s="63">
        <f t="shared" ref="J3:J36" si="4">FIND("target:",G3)+7</f>
        <v>54</v>
      </c>
      <c r="K3" s="63">
        <f t="shared" ref="K3:K36" si="5">FIND(",",G3,I3+1)</f>
        <v>45</v>
      </c>
      <c r="L3" s="63" t="str">
        <f>IFERROR(VLOOKUP(MID(G3,J3,K3-J3),[6]skilldef!$C:$D,2,FALSE),"-") &amp; " / " &amp; IFERROR(VLOOKUP(MID(G3,H3,I3-H3),[6]skilldef!$A:$B,2,FALSE),"-")</f>
        <v>- / -</v>
      </c>
      <c r="M3" s="63" t="str">
        <f t="shared" ref="M3:M36" si="6">IFERROR(RIGHT(B3,LEN(B3)-FIND("],",B3)-1),"none")</f>
        <v>none</v>
      </c>
      <c r="N3" s="48" t="str">
        <f t="shared" si="0"/>
        <v>none</v>
      </c>
      <c r="O3" s="63" t="e">
        <f t="shared" ref="O3:O36" si="7">FIND("effect:",N3)+7</f>
        <v>#VALUE!</v>
      </c>
      <c r="P3" s="63">
        <f t="shared" ref="P3:P36" si="8">IFERROR(FIND(",",N3),LEN(N3))</f>
        <v>4</v>
      </c>
      <c r="Q3" s="63" t="e">
        <f t="shared" ref="Q3:Q36" si="9">FIND("target:",N3)+7</f>
        <v>#VALUE!</v>
      </c>
      <c r="R3" s="63" t="e">
        <f t="shared" ref="R3:R36" si="10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36" si="11">IFERROR(RIGHT(M3,LEN(M3)-FIND("],",M3)-1),"none")</f>
        <v>none</v>
      </c>
      <c r="U3" s="63" t="e">
        <f t="shared" ref="U3:U36" si="12">FIND("effect:",T3)+7</f>
        <v>#VALUE!</v>
      </c>
      <c r="V3" s="63">
        <f t="shared" ref="V3:V36" si="13">IFERROR(FIND(",",T3),LEN(T3))</f>
        <v>4</v>
      </c>
      <c r="W3" s="63" t="e">
        <f t="shared" ref="W3:W36" si="14">FIND("target:",T3)+7</f>
        <v>#VALUE!</v>
      </c>
      <c r="X3" s="63" t="e">
        <f t="shared" ref="X3:X36" si="15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 t="s">
        <v>265</v>
      </c>
      <c r="AA3" s="52"/>
      <c r="AB3" s="50"/>
    </row>
    <row r="4" spans="1:28" ht="21" customHeight="1" x14ac:dyDescent="0.15">
      <c r="A4" s="47">
        <v>40024302</v>
      </c>
      <c r="B4" s="47" t="s">
        <v>306</v>
      </c>
      <c r="C4" s="50">
        <v>3</v>
      </c>
      <c r="D4" s="50" t="s">
        <v>128</v>
      </c>
      <c r="E4" s="51" t="s">
        <v>379</v>
      </c>
      <c r="F4" s="51" t="s">
        <v>381</v>
      </c>
      <c r="G4" s="63" t="str">
        <f t="shared" si="1"/>
        <v>[effect:spread, val:0.3]</v>
      </c>
      <c r="H4" s="63">
        <f t="shared" si="2"/>
        <v>9</v>
      </c>
      <c r="I4" s="63">
        <f t="shared" si="3"/>
        <v>15</v>
      </c>
      <c r="J4" s="63" t="e">
        <f t="shared" si="4"/>
        <v>#VALUE!</v>
      </c>
      <c r="K4" s="63" t="e">
        <f t="shared" si="5"/>
        <v>#VALUE!</v>
      </c>
      <c r="L4" s="63" t="str">
        <f>IFERROR(VLOOKUP(MID(G4,J4,K4-J4),[6]skilldef!$C:$D,2,FALSE),"-") &amp; " / " &amp; IFERROR(VLOOKUP(MID(G4,H4,I4-H4),[6]skilldef!$A:$B,2,FALSE),"-")</f>
        <v>- / 全体攻撃</v>
      </c>
      <c r="M4" s="63" t="str">
        <f t="shared" si="6"/>
        <v>none</v>
      </c>
      <c r="N4" s="48" t="str">
        <f t="shared" si="0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 t="s">
        <v>265</v>
      </c>
      <c r="AA4" s="52"/>
      <c r="AB4" s="50"/>
    </row>
    <row r="5" spans="1:28" ht="21" customHeight="1" x14ac:dyDescent="0.15">
      <c r="A5" s="47">
        <v>40024303</v>
      </c>
      <c r="B5" s="47" t="s">
        <v>348</v>
      </c>
      <c r="C5" s="50">
        <v>3</v>
      </c>
      <c r="D5" s="50" t="s">
        <v>128</v>
      </c>
      <c r="E5" s="51" t="s">
        <v>357</v>
      </c>
      <c r="F5" s="51" t="s">
        <v>256</v>
      </c>
      <c r="G5" s="63" t="str">
        <f t="shared" si="1"/>
        <v xml:space="preserve">[effect:rush, count:2, val:0.6]    </v>
      </c>
      <c r="H5" s="63">
        <f t="shared" si="2"/>
        <v>9</v>
      </c>
      <c r="I5" s="63">
        <f t="shared" si="3"/>
        <v>13</v>
      </c>
      <c r="J5" s="63" t="e">
        <f t="shared" si="4"/>
        <v>#VALUE!</v>
      </c>
      <c r="K5" s="63">
        <f t="shared" si="5"/>
        <v>22</v>
      </c>
      <c r="L5" s="63" t="str">
        <f>IFERROR(VLOOKUP(MID(G5,J5,K5-J5),[6]skilldef!$C:$D,2,FALSE),"-") &amp; " / " &amp; IFERROR(VLOOKUP(MID(G5,H5,I5-H5),[6]skilldef!$A:$B,2,FALSE),"-")</f>
        <v>- / 連続攻撃</v>
      </c>
      <c r="M5" s="63" t="str">
        <f t="shared" si="6"/>
        <v>none</v>
      </c>
      <c r="N5" s="48" t="str">
        <f t="shared" si="0"/>
        <v>none</v>
      </c>
      <c r="O5" s="63" t="e">
        <f t="shared" si="7"/>
        <v>#VALUE!</v>
      </c>
      <c r="P5" s="63">
        <f t="shared" si="8"/>
        <v>4</v>
      </c>
      <c r="Q5" s="63" t="e">
        <f t="shared" si="9"/>
        <v>#VALUE!</v>
      </c>
      <c r="R5" s="63" t="e">
        <f t="shared" si="10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 t="s">
        <v>265</v>
      </c>
      <c r="AA5" s="52"/>
      <c r="AB5" s="50"/>
    </row>
    <row r="6" spans="1:28" ht="21" customHeight="1" x14ac:dyDescent="0.15">
      <c r="A6" s="47">
        <v>40024304</v>
      </c>
      <c r="B6" s="47" t="s">
        <v>257</v>
      </c>
      <c r="C6" s="50">
        <v>3</v>
      </c>
      <c r="D6" s="50" t="s">
        <v>128</v>
      </c>
      <c r="E6" s="51" t="s">
        <v>411</v>
      </c>
      <c r="F6" s="51" t="s">
        <v>382</v>
      </c>
      <c r="G6" s="63" t="str">
        <f t="shared" si="1"/>
        <v>[effect:degrade_unit, target:unit_all, turn:3, status:attack, val:0.5, calc:mul]</v>
      </c>
      <c r="H6" s="63">
        <f t="shared" si="2"/>
        <v>9</v>
      </c>
      <c r="I6" s="63">
        <f t="shared" si="3"/>
        <v>21</v>
      </c>
      <c r="J6" s="63">
        <f t="shared" si="4"/>
        <v>30</v>
      </c>
      <c r="K6" s="63">
        <f t="shared" si="5"/>
        <v>38</v>
      </c>
      <c r="L6" s="63" t="str">
        <f>IFERROR(VLOOKUP(MID(G6,J6,K6-J6),[6]skilldef!$C:$D,2,FALSE),"-") &amp; " / " &amp; IFERROR(VLOOKUP(MID(G6,H6,I6-H6),[6]skilldef!$A:$B,2,FALSE),"-")</f>
        <v>味方全体に / ステータスDOWN</v>
      </c>
      <c r="M6" s="63" t="str">
        <f t="shared" si="6"/>
        <v xml:space="preserve">[effect:enhance_fever, val:666, animation:fevergauge_up03]    </v>
      </c>
      <c r="N6" s="48" t="str">
        <f t="shared" si="0"/>
        <v xml:space="preserve">[effect:enhance_fever, val:666, animation:fevergauge_up03]    </v>
      </c>
      <c r="O6" s="63">
        <f t="shared" si="7"/>
        <v>9</v>
      </c>
      <c r="P6" s="63">
        <f t="shared" si="8"/>
        <v>22</v>
      </c>
      <c r="Q6" s="63" t="e">
        <f t="shared" si="9"/>
        <v>#VALUE!</v>
      </c>
      <c r="R6" s="63">
        <f t="shared" si="10"/>
        <v>31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 t="s">
        <v>265</v>
      </c>
      <c r="AA6" s="52"/>
      <c r="AB6" s="50" t="s">
        <v>283</v>
      </c>
    </row>
    <row r="7" spans="1:28" ht="28" x14ac:dyDescent="0.15">
      <c r="A7" s="47">
        <v>40024305</v>
      </c>
      <c r="B7" s="47" t="s">
        <v>257</v>
      </c>
      <c r="C7" s="50">
        <v>3</v>
      </c>
      <c r="D7" s="50" t="s">
        <v>128</v>
      </c>
      <c r="E7" s="51" t="s">
        <v>420</v>
      </c>
      <c r="F7" s="51" t="s">
        <v>419</v>
      </c>
      <c r="G7" s="63" t="str">
        <f t="shared" si="1"/>
        <v>[effect:degrade_unit, target:unit_all, turn:3, status:attack, val:0.5, calc:mul]</v>
      </c>
      <c r="H7" s="63">
        <f t="shared" si="2"/>
        <v>9</v>
      </c>
      <c r="I7" s="63">
        <f t="shared" si="3"/>
        <v>21</v>
      </c>
      <c r="J7" s="63">
        <f t="shared" si="4"/>
        <v>30</v>
      </c>
      <c r="K7" s="63">
        <f t="shared" si="5"/>
        <v>38</v>
      </c>
      <c r="L7" s="63" t="str">
        <f>IFERROR(VLOOKUP(MID(G7,J7,K7-J7),[6]skilldef!$C:$D,2,FALSE),"-") &amp; " / " &amp; IFERROR(VLOOKUP(MID(G7,H7,I7-H7),[6]skilldef!$A:$B,2,FALSE),"-")</f>
        <v>味方全体に / ステータスDOWN</v>
      </c>
      <c r="M7" s="63" t="str">
        <f t="shared" si="6"/>
        <v xml:space="preserve">[effect:enhance_fever, val:666, animation:fevergauge_up03]    </v>
      </c>
      <c r="N7" s="48" t="str">
        <f t="shared" si="0"/>
        <v xml:space="preserve">[effect:enhance_fever, val:666, animation:fevergauge_up03]    </v>
      </c>
      <c r="O7" s="63">
        <f t="shared" si="7"/>
        <v>9</v>
      </c>
      <c r="P7" s="63">
        <f t="shared" si="8"/>
        <v>22</v>
      </c>
      <c r="Q7" s="63" t="e">
        <f t="shared" si="9"/>
        <v>#VALUE!</v>
      </c>
      <c r="R7" s="63">
        <f t="shared" si="10"/>
        <v>31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 t="s">
        <v>265</v>
      </c>
      <c r="AA7" s="52"/>
      <c r="AB7" s="50" t="s">
        <v>286</v>
      </c>
    </row>
    <row r="8" spans="1:28" ht="21" customHeight="1" x14ac:dyDescent="0.15">
      <c r="A8" s="47">
        <v>40024306</v>
      </c>
      <c r="B8" s="47" t="s">
        <v>258</v>
      </c>
      <c r="C8" s="50">
        <v>3</v>
      </c>
      <c r="D8" s="50" t="s">
        <v>128</v>
      </c>
      <c r="E8" s="51" t="s">
        <v>410</v>
      </c>
      <c r="F8" s="51" t="s">
        <v>383</v>
      </c>
      <c r="G8" s="63" t="str">
        <f t="shared" si="1"/>
        <v xml:space="preserve">[effect:enhance_enemy, target:enemy_all, turn:-1, status:attack, val:500, calc:add, animation:enemy_enhance_attack]    </v>
      </c>
      <c r="H8" s="63">
        <f t="shared" si="2"/>
        <v>9</v>
      </c>
      <c r="I8" s="63">
        <f t="shared" si="3"/>
        <v>22</v>
      </c>
      <c r="J8" s="63">
        <f t="shared" si="4"/>
        <v>31</v>
      </c>
      <c r="K8" s="63">
        <f t="shared" si="5"/>
        <v>40</v>
      </c>
      <c r="L8" s="63" t="str">
        <f>IFERROR(VLOOKUP(MID(G8,J8,K8-J8),[6]skilldef!$C:$D,2,FALSE),"-") &amp; " / " &amp; IFERROR(VLOOKUP(MID(G8,H8,I8-H8),[6]skilldef!$A:$B,2,FALSE),"-")</f>
        <v>敵全体に / ステータス強化</v>
      </c>
      <c r="M8" s="63" t="str">
        <f t="shared" si="6"/>
        <v>none</v>
      </c>
      <c r="N8" s="48" t="str">
        <f t="shared" si="0"/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 t="s">
        <v>265</v>
      </c>
      <c r="AA8" s="52"/>
      <c r="AB8" s="50"/>
    </row>
    <row r="9" spans="1:28" ht="21" customHeight="1" x14ac:dyDescent="0.15">
      <c r="A9" s="47">
        <v>40024307</v>
      </c>
      <c r="B9" s="47" t="s">
        <v>259</v>
      </c>
      <c r="C9" s="50">
        <v>3</v>
      </c>
      <c r="D9" s="50" t="s">
        <v>128</v>
      </c>
      <c r="E9" s="51" t="s">
        <v>413</v>
      </c>
      <c r="F9" s="51" t="s">
        <v>289</v>
      </c>
      <c r="G9" s="63" t="str">
        <f t="shared" si="1"/>
        <v xml:space="preserve">[effect:fix_speed, target:myself, turn:1]    </v>
      </c>
      <c r="H9" s="63">
        <f t="shared" si="2"/>
        <v>9</v>
      </c>
      <c r="I9" s="63">
        <f t="shared" si="3"/>
        <v>18</v>
      </c>
      <c r="J9" s="63">
        <f t="shared" si="4"/>
        <v>27</v>
      </c>
      <c r="K9" s="63">
        <f t="shared" si="5"/>
        <v>33</v>
      </c>
      <c r="L9" s="63" t="str">
        <f>IFERROR(VLOOKUP(MID(G9,J9,K9-J9),[6]skilldef!$C:$D,2,FALSE),"-") &amp; " / " &amp; IFERROR(VLOOKUP(MID(G9,H9,I9-H9),[6]skilldef!$A:$B,2,FALSE),"-")</f>
        <v>自分自身に / 行動値設定</v>
      </c>
      <c r="M9" s="63" t="str">
        <f t="shared" si="6"/>
        <v>none</v>
      </c>
      <c r="N9" s="48" t="str">
        <f t="shared" si="0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 t="s">
        <v>265</v>
      </c>
      <c r="AA9" s="52"/>
      <c r="AB9" s="50" t="s">
        <v>290</v>
      </c>
    </row>
    <row r="10" spans="1:28" ht="21" customHeight="1" x14ac:dyDescent="0.15">
      <c r="A10" s="47">
        <v>40024308</v>
      </c>
      <c r="B10" s="47" t="s">
        <v>260</v>
      </c>
      <c r="C10" s="50">
        <v>3</v>
      </c>
      <c r="D10" s="50" t="s">
        <v>128</v>
      </c>
      <c r="E10" s="51" t="s">
        <v>412</v>
      </c>
      <c r="F10" s="51" t="s">
        <v>384</v>
      </c>
      <c r="G10" s="63" t="str">
        <f t="shared" si="1"/>
        <v>[effect:degrade_unit, target:unit_all, turn:3, status:heal, val:0.3, calc:mul, animation:degrade_unit_all_heal]</v>
      </c>
      <c r="H10" s="63">
        <f t="shared" si="2"/>
        <v>9</v>
      </c>
      <c r="I10" s="63">
        <f t="shared" si="3"/>
        <v>21</v>
      </c>
      <c r="J10" s="63">
        <f t="shared" si="4"/>
        <v>30</v>
      </c>
      <c r="K10" s="63">
        <f t="shared" si="5"/>
        <v>38</v>
      </c>
      <c r="L10" s="63" t="str">
        <f>IFERROR(VLOOKUP(MID(G10,J10,K10-J10),[6]skilldef!$C:$D,2,FALSE),"-") &amp; " / " &amp; IFERROR(VLOOKUP(MID(G10,H10,I10-H10),[6]skilldef!$A:$B,2,FALSE),"-")</f>
        <v>味方全体に / ステータスDOWN</v>
      </c>
      <c r="M10" s="63" t="str">
        <f t="shared" si="6"/>
        <v xml:space="preserve">[effect:enhance_fever, val:333, animation:fevergauge_up03]    </v>
      </c>
      <c r="N10" s="48" t="str">
        <f t="shared" si="0"/>
        <v xml:space="preserve">[effect:enhance_fever, val:333, animation:fevergauge_up03]    </v>
      </c>
      <c r="O10" s="63">
        <f t="shared" si="7"/>
        <v>9</v>
      </c>
      <c r="P10" s="63">
        <f t="shared" si="8"/>
        <v>22</v>
      </c>
      <c r="Q10" s="63" t="e">
        <f t="shared" si="9"/>
        <v>#VALUE!</v>
      </c>
      <c r="R10" s="63">
        <f t="shared" si="10"/>
        <v>31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 t="s">
        <v>265</v>
      </c>
      <c r="AA10" s="52"/>
      <c r="AB10" s="50" t="s">
        <v>284</v>
      </c>
    </row>
    <row r="11" spans="1:28" ht="28" x14ac:dyDescent="0.15">
      <c r="A11" s="47">
        <v>40024309</v>
      </c>
      <c r="B11" s="47" t="s">
        <v>260</v>
      </c>
      <c r="C11" s="50">
        <v>3</v>
      </c>
      <c r="D11" s="50" t="s">
        <v>128</v>
      </c>
      <c r="E11" s="51" t="s">
        <v>414</v>
      </c>
      <c r="F11" s="51" t="s">
        <v>391</v>
      </c>
      <c r="G11" s="63" t="str">
        <f t="shared" si="1"/>
        <v>[effect:degrade_unit, target:unit_all, turn:3, status:heal, val:0.3, calc:mul, animation:degrade_unit_all_heal]</v>
      </c>
      <c r="H11" s="63">
        <f t="shared" si="2"/>
        <v>9</v>
      </c>
      <c r="I11" s="63">
        <f t="shared" si="3"/>
        <v>21</v>
      </c>
      <c r="J11" s="63">
        <f t="shared" si="4"/>
        <v>30</v>
      </c>
      <c r="K11" s="63">
        <f t="shared" si="5"/>
        <v>38</v>
      </c>
      <c r="L11" s="63" t="str">
        <f>IFERROR(VLOOKUP(MID(G11,J11,K11-J11),[6]skilldef!$C:$D,2,FALSE),"-") &amp; " / " &amp; IFERROR(VLOOKUP(MID(G11,H11,I11-H11),[6]skilldef!$A:$B,2,FALSE),"-")</f>
        <v>味方全体に / ステータスDOWN</v>
      </c>
      <c r="M11" s="63" t="str">
        <f t="shared" si="6"/>
        <v xml:space="preserve">[effect:enhance_fever, val:333, animation:fevergauge_up03]    </v>
      </c>
      <c r="N11" s="48" t="str">
        <f t="shared" si="0"/>
        <v xml:space="preserve">[effect:enhance_fever, val:333, animation:fevergauge_up03]    </v>
      </c>
      <c r="O11" s="63">
        <f t="shared" si="7"/>
        <v>9</v>
      </c>
      <c r="P11" s="63">
        <f t="shared" si="8"/>
        <v>22</v>
      </c>
      <c r="Q11" s="63" t="e">
        <f t="shared" si="9"/>
        <v>#VALUE!</v>
      </c>
      <c r="R11" s="63">
        <f t="shared" si="10"/>
        <v>31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 t="s">
        <v>265</v>
      </c>
      <c r="AA11" s="52"/>
      <c r="AB11" s="50" t="s">
        <v>285</v>
      </c>
    </row>
    <row r="12" spans="1:28" ht="14" x14ac:dyDescent="0.15">
      <c r="A12" s="47">
        <v>40024310</v>
      </c>
      <c r="B12" s="47" t="s">
        <v>287</v>
      </c>
      <c r="C12" s="50">
        <v>3</v>
      </c>
      <c r="D12" s="50" t="s">
        <v>128</v>
      </c>
      <c r="E12" s="51" t="s">
        <v>415</v>
      </c>
      <c r="F12" s="51" t="s">
        <v>288</v>
      </c>
      <c r="G12" s="63"/>
      <c r="H12" s="63"/>
      <c r="I12" s="63"/>
      <c r="J12" s="63"/>
      <c r="K12" s="63"/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ref="M12:M13" si="16">IFERROR(RIGHT(B12,LEN(B12)-FIND("],",B12)-1),"none")</f>
        <v>none</v>
      </c>
      <c r="N12" s="48" t="str">
        <f t="shared" ref="N12:N13" si="17">IFERROR(LEFT(M12,FIND("],",M12)+S24),M12)</f>
        <v>none</v>
      </c>
      <c r="O12" s="63" t="e">
        <f t="shared" ref="O12:O13" si="18">FIND("effect:",N12)+7</f>
        <v>#VALUE!</v>
      </c>
      <c r="P12" s="63">
        <f t="shared" ref="P12:P13" si="19">IFERROR(FIND(",",N12),LEN(N12))</f>
        <v>4</v>
      </c>
      <c r="Q12" s="63" t="e">
        <f t="shared" ref="Q12:Q13" si="20">FIND("target:",N12)+7</f>
        <v>#VALUE!</v>
      </c>
      <c r="R12" s="63" t="e">
        <f t="shared" ref="R12:R13" si="21">FIND(",",N12,P12+1)</f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ref="T12:T13" si="22">IFERROR(RIGHT(M12,LEN(M12)-FIND("],",M12)-1),"none")</f>
        <v>none</v>
      </c>
      <c r="U12" s="63" t="e">
        <f t="shared" ref="U12:U13" si="23">FIND("effect:",T12)+7</f>
        <v>#VALUE!</v>
      </c>
      <c r="V12" s="63">
        <f t="shared" ref="V12:V13" si="24">IFERROR(FIND(",",T12),LEN(T12))</f>
        <v>4</v>
      </c>
      <c r="W12" s="63" t="e">
        <f t="shared" ref="W12:W13" si="25">FIND("target:",T12)+7</f>
        <v>#VALUE!</v>
      </c>
      <c r="X12" s="63" t="e">
        <f t="shared" ref="X12:X13" si="26">FIND(",",T12,V12+1)</f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 t="s">
        <v>265</v>
      </c>
      <c r="AA12" s="52"/>
      <c r="AB12" s="50"/>
    </row>
    <row r="13" spans="1:28" ht="14" x14ac:dyDescent="0.15">
      <c r="A13" s="47">
        <v>40024311</v>
      </c>
      <c r="B13" s="47" t="s">
        <v>259</v>
      </c>
      <c r="C13" s="50">
        <v>3</v>
      </c>
      <c r="D13" s="50" t="s">
        <v>128</v>
      </c>
      <c r="E13" s="51" t="s">
        <v>416</v>
      </c>
      <c r="F13" s="51" t="s">
        <v>289</v>
      </c>
      <c r="G13" s="63"/>
      <c r="H13" s="63"/>
      <c r="I13" s="63"/>
      <c r="J13" s="63"/>
      <c r="K13" s="63"/>
      <c r="L13" s="63" t="str">
        <f>IFERROR(VLOOKUP(MID(G13,J13,K13-J13),[6]skilldef!$C:$D,2,FALSE),"-") &amp; " / " &amp; IFERROR(VLOOKUP(MID(G13,H13,I13-H13),[6]skilldef!$A:$B,2,FALSE),"-")</f>
        <v>- / -</v>
      </c>
      <c r="M13" s="63" t="str">
        <f t="shared" si="16"/>
        <v>none</v>
      </c>
      <c r="N13" s="48" t="str">
        <f t="shared" si="17"/>
        <v>none</v>
      </c>
      <c r="O13" s="63" t="e">
        <f t="shared" si="18"/>
        <v>#VALUE!</v>
      </c>
      <c r="P13" s="63">
        <f t="shared" si="19"/>
        <v>4</v>
      </c>
      <c r="Q13" s="63" t="e">
        <f t="shared" si="20"/>
        <v>#VALUE!</v>
      </c>
      <c r="R13" s="63" t="e">
        <f t="shared" si="21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22"/>
        <v>none</v>
      </c>
      <c r="U13" s="63" t="e">
        <f t="shared" si="23"/>
        <v>#VALUE!</v>
      </c>
      <c r="V13" s="63">
        <f t="shared" si="24"/>
        <v>4</v>
      </c>
      <c r="W13" s="63" t="e">
        <f t="shared" si="25"/>
        <v>#VALUE!</v>
      </c>
      <c r="X13" s="63" t="e">
        <f t="shared" si="26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 t="s">
        <v>265</v>
      </c>
      <c r="AA13" s="52"/>
      <c r="AB13" s="50" t="s">
        <v>291</v>
      </c>
    </row>
    <row r="14" spans="1:28" ht="21" customHeight="1" x14ac:dyDescent="0.15">
      <c r="A14" s="47">
        <v>40024312</v>
      </c>
      <c r="B14" s="47" t="s">
        <v>401</v>
      </c>
      <c r="C14" s="50">
        <v>3</v>
      </c>
      <c r="D14" s="50" t="s">
        <v>128</v>
      </c>
      <c r="E14" s="51" t="s">
        <v>354</v>
      </c>
      <c r="F14" s="51" t="s">
        <v>334</v>
      </c>
      <c r="G14" s="63" t="str">
        <f t="shared" si="1"/>
        <v xml:space="preserve">[effect:damage_anti_tribe, target:unit_all, tribe:animal, val1:1.25, val2:0.25]    </v>
      </c>
      <c r="H14" s="63">
        <f t="shared" si="2"/>
        <v>9</v>
      </c>
      <c r="I14" s="63">
        <f t="shared" si="3"/>
        <v>26</v>
      </c>
      <c r="J14" s="63">
        <f t="shared" si="4"/>
        <v>35</v>
      </c>
      <c r="K14" s="63">
        <f t="shared" si="5"/>
        <v>43</v>
      </c>
      <c r="L14" s="63" t="str">
        <f>IFERROR(VLOOKUP(MID(G14,J14,K14-J14),[6]skilldef!$C:$D,2,FALSE),"-") &amp; " / " &amp; IFERROR(VLOOKUP(MID(G14,H14,I14-H14),[6]skilldef!$A:$B,2,FALSE),"-")</f>
        <v>味方全体に / 種族キラー</v>
      </c>
      <c r="M14" s="63" t="str">
        <f t="shared" si="6"/>
        <v>none</v>
      </c>
      <c r="N14" s="48" t="str">
        <f t="shared" ref="N14:N19" si="27">IFERROR(LEFT(M14,FIND("],",M14)+S24),M14)</f>
        <v>none</v>
      </c>
      <c r="O14" s="63" t="e">
        <f t="shared" si="7"/>
        <v>#VALUE!</v>
      </c>
      <c r="P14" s="63">
        <f t="shared" si="8"/>
        <v>4</v>
      </c>
      <c r="Q14" s="63" t="e">
        <f t="shared" si="9"/>
        <v>#VALUE!</v>
      </c>
      <c r="R14" s="63" t="e">
        <f t="shared" si="10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 t="s">
        <v>265</v>
      </c>
      <c r="AA14" s="52"/>
      <c r="AB14" s="50" t="s">
        <v>292</v>
      </c>
    </row>
    <row r="15" spans="1:28" ht="21" customHeight="1" x14ac:dyDescent="0.15">
      <c r="A15" s="47">
        <v>40024313</v>
      </c>
      <c r="B15" s="47" t="s">
        <v>261</v>
      </c>
      <c r="C15" s="50">
        <v>3</v>
      </c>
      <c r="D15" s="50" t="s">
        <v>128</v>
      </c>
      <c r="E15" s="51" t="s">
        <v>355</v>
      </c>
      <c r="F15" s="51" t="s">
        <v>256</v>
      </c>
      <c r="G15" s="63" t="str">
        <f t="shared" si="1"/>
        <v xml:space="preserve">[effect:rush, count:2, val:0.6]    </v>
      </c>
      <c r="H15" s="63">
        <f t="shared" si="2"/>
        <v>9</v>
      </c>
      <c r="I15" s="63">
        <f t="shared" si="3"/>
        <v>13</v>
      </c>
      <c r="J15" s="63" t="e">
        <f t="shared" si="4"/>
        <v>#VALUE!</v>
      </c>
      <c r="K15" s="63">
        <f t="shared" si="5"/>
        <v>22</v>
      </c>
      <c r="L15" s="63" t="str">
        <f>IFERROR(VLOOKUP(MID(G15,J15,K15-J15),[6]skilldef!$C:$D,2,FALSE),"-") &amp; " / " &amp; IFERROR(VLOOKUP(MID(G15,H15,I15-H15),[6]skilldef!$A:$B,2,FALSE),"-")</f>
        <v>- / 連続攻撃</v>
      </c>
      <c r="M15" s="63" t="str">
        <f t="shared" si="6"/>
        <v>none</v>
      </c>
      <c r="N15" s="48" t="str">
        <f t="shared" si="27"/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 t="s">
        <v>265</v>
      </c>
      <c r="AA15" s="52"/>
      <c r="AB15" s="50" t="s">
        <v>292</v>
      </c>
    </row>
    <row r="16" spans="1:28" ht="21" customHeight="1" x14ac:dyDescent="0.15">
      <c r="A16" s="47">
        <v>40024314</v>
      </c>
      <c r="B16" s="47" t="s">
        <v>375</v>
      </c>
      <c r="C16" s="50">
        <v>3</v>
      </c>
      <c r="D16" s="50" t="s">
        <v>128</v>
      </c>
      <c r="E16" s="51" t="s">
        <v>351</v>
      </c>
      <c r="F16" s="51" t="s">
        <v>376</v>
      </c>
      <c r="G16" s="63" t="str">
        <f t="shared" si="1"/>
        <v xml:space="preserve">[effect:enhance_enemy, target:myself, turn:2, status:attack, val:0.5, calc:mul, animation:enemy_enhance_attack]    </v>
      </c>
      <c r="H16" s="63">
        <f t="shared" si="2"/>
        <v>9</v>
      </c>
      <c r="I16" s="63">
        <f t="shared" si="3"/>
        <v>22</v>
      </c>
      <c r="J16" s="63">
        <f t="shared" si="4"/>
        <v>31</v>
      </c>
      <c r="K16" s="63">
        <f t="shared" si="5"/>
        <v>37</v>
      </c>
      <c r="L16" s="63" t="str">
        <f>IFERROR(VLOOKUP(MID(G16,J16,K16-J16),[6]skilldef!$C:$D,2,FALSE),"-") &amp; " / " &amp; IFERROR(VLOOKUP(MID(G16,H16,I16-H16),[6]skilldef!$A:$B,2,FALSE),"-")</f>
        <v>自分自身に / ステータス強化</v>
      </c>
      <c r="M16" s="63" t="str">
        <f t="shared" si="6"/>
        <v>none</v>
      </c>
      <c r="N16" s="48" t="str">
        <f t="shared" si="27"/>
        <v>none</v>
      </c>
      <c r="O16" s="63" t="e">
        <f t="shared" si="7"/>
        <v>#VALUE!</v>
      </c>
      <c r="P16" s="63">
        <f t="shared" si="8"/>
        <v>4</v>
      </c>
      <c r="Q16" s="63" t="e">
        <f t="shared" si="9"/>
        <v>#VALUE!</v>
      </c>
      <c r="R16" s="63" t="e">
        <f t="shared" si="10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 t="s">
        <v>265</v>
      </c>
      <c r="AA16" s="52"/>
      <c r="AB16" s="50" t="s">
        <v>293</v>
      </c>
    </row>
    <row r="17" spans="1:28" ht="21" customHeight="1" x14ac:dyDescent="0.15">
      <c r="A17" s="47">
        <v>40024315</v>
      </c>
      <c r="B17" s="47" t="s">
        <v>374</v>
      </c>
      <c r="C17" s="50">
        <v>3</v>
      </c>
      <c r="D17" s="50" t="s">
        <v>128</v>
      </c>
      <c r="E17" s="51" t="s">
        <v>352</v>
      </c>
      <c r="F17" s="51" t="s">
        <v>256</v>
      </c>
      <c r="G17" s="63" t="str">
        <f t="shared" si="1"/>
        <v xml:space="preserve">[effect:rush, count:2, val:0.5]    </v>
      </c>
      <c r="H17" s="63">
        <f t="shared" si="2"/>
        <v>9</v>
      </c>
      <c r="I17" s="63">
        <f t="shared" si="3"/>
        <v>13</v>
      </c>
      <c r="J17" s="63" t="e">
        <f t="shared" si="4"/>
        <v>#VALUE!</v>
      </c>
      <c r="K17" s="63">
        <f t="shared" si="5"/>
        <v>22</v>
      </c>
      <c r="L17" s="63" t="str">
        <f>IFERROR(VLOOKUP(MID(G17,J17,K17-J17),[6]skilldef!$C:$D,2,FALSE),"-") &amp; " / " &amp; IFERROR(VLOOKUP(MID(G17,H17,I17-H17),[6]skilldef!$A:$B,2,FALSE),"-")</f>
        <v>- / 連続攻撃</v>
      </c>
      <c r="M17" s="63" t="str">
        <f t="shared" si="6"/>
        <v>none</v>
      </c>
      <c r="N17" s="48" t="str">
        <f t="shared" si="27"/>
        <v>none</v>
      </c>
      <c r="O17" s="63" t="e">
        <f t="shared" si="7"/>
        <v>#VALUE!</v>
      </c>
      <c r="P17" s="63">
        <f t="shared" si="8"/>
        <v>4</v>
      </c>
      <c r="Q17" s="63" t="e">
        <f t="shared" si="9"/>
        <v>#VALUE!</v>
      </c>
      <c r="R17" s="63" t="e">
        <f t="shared" si="10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 t="s">
        <v>265</v>
      </c>
      <c r="AA17" s="52"/>
      <c r="AB17" s="50" t="s">
        <v>293</v>
      </c>
    </row>
    <row r="18" spans="1:28" ht="21" customHeight="1" x14ac:dyDescent="0.15">
      <c r="A18" s="47">
        <v>40024316</v>
      </c>
      <c r="B18" s="47" t="s">
        <v>349</v>
      </c>
      <c r="C18" s="50">
        <v>3</v>
      </c>
      <c r="D18" s="50" t="s">
        <v>128</v>
      </c>
      <c r="E18" s="51" t="s">
        <v>353</v>
      </c>
      <c r="F18" s="51" t="s">
        <v>262</v>
      </c>
      <c r="G18" s="63" t="str">
        <f t="shared" si="1"/>
        <v xml:space="preserve">[effect:enemy_counter, target:myself, invoke_condition:unit_all, counter_target:attacker, turn:2, val:0.5, animation:enemy_counter]    </v>
      </c>
      <c r="H18" s="63">
        <f t="shared" si="2"/>
        <v>9</v>
      </c>
      <c r="I18" s="63">
        <f t="shared" si="3"/>
        <v>22</v>
      </c>
      <c r="J18" s="63">
        <f t="shared" si="4"/>
        <v>31</v>
      </c>
      <c r="K18" s="63">
        <f t="shared" si="5"/>
        <v>37</v>
      </c>
      <c r="L18" s="63" t="str">
        <f>IFERROR(VLOOKUP(MID(G18,J18,K18-J18),[6]skilldef!$C:$D,2,FALSE),"-") &amp; " / " &amp; IFERROR(VLOOKUP(MID(G18,H18,I18-H18),[6]skilldef!$A:$B,2,FALSE),"-")</f>
        <v>自分自身に / カウンター</v>
      </c>
      <c r="M18" s="63" t="str">
        <f t="shared" si="6"/>
        <v>none</v>
      </c>
      <c r="N18" s="48" t="str">
        <f t="shared" si="27"/>
        <v>none</v>
      </c>
      <c r="O18" s="63" t="e">
        <f t="shared" si="7"/>
        <v>#VALUE!</v>
      </c>
      <c r="P18" s="63">
        <f t="shared" si="8"/>
        <v>4</v>
      </c>
      <c r="Q18" s="63" t="e">
        <f t="shared" si="9"/>
        <v>#VALUE!</v>
      </c>
      <c r="R18" s="63" t="e">
        <f t="shared" si="10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 t="s">
        <v>265</v>
      </c>
      <c r="AA18" s="52"/>
      <c r="AB18" s="50" t="s">
        <v>293</v>
      </c>
    </row>
    <row r="19" spans="1:28" ht="28" x14ac:dyDescent="0.15">
      <c r="A19" s="47">
        <v>40024317</v>
      </c>
      <c r="B19" s="47" t="s">
        <v>301</v>
      </c>
      <c r="C19" s="50">
        <v>3</v>
      </c>
      <c r="D19" s="50" t="s">
        <v>128</v>
      </c>
      <c r="E19" s="51" t="s">
        <v>389</v>
      </c>
      <c r="F19" s="51" t="s">
        <v>333</v>
      </c>
      <c r="G19" s="63" t="str">
        <f t="shared" si="1"/>
        <v>[effect:virus, target:unit_all, turn:2, rate:1, val:0.2, calc_type:target_all, animation:enemy_virus]</v>
      </c>
      <c r="H19" s="63">
        <f t="shared" si="2"/>
        <v>9</v>
      </c>
      <c r="I19" s="63">
        <f t="shared" si="3"/>
        <v>14</v>
      </c>
      <c r="J19" s="63">
        <f t="shared" si="4"/>
        <v>23</v>
      </c>
      <c r="K19" s="63">
        <f t="shared" si="5"/>
        <v>31</v>
      </c>
      <c r="L19" s="63" t="str">
        <f>IFERROR(VLOOKUP(MID(G19,J19,K19-J19),[6]skilldef!$C:$D,2,FALSE),"-") &amp; " / " &amp; IFERROR(VLOOKUP(MID(G19,H19,I19-H19),[6]skilldef!$A:$B,2,FALSE),"-")</f>
        <v>味方全体に / ウィルス</v>
      </c>
      <c r="M19" s="63" t="str">
        <f t="shared" si="6"/>
        <v>[effect:degrade_fever, val:200, animation:fevergauge_down]</v>
      </c>
      <c r="N19" s="48" t="str">
        <f t="shared" si="27"/>
        <v>[effect:degrade_fever, val:200, animation:fevergauge_down]</v>
      </c>
      <c r="O19" s="63">
        <f t="shared" si="7"/>
        <v>9</v>
      </c>
      <c r="P19" s="63">
        <f t="shared" si="8"/>
        <v>22</v>
      </c>
      <c r="Q19" s="63" t="e">
        <f t="shared" si="9"/>
        <v>#VALUE!</v>
      </c>
      <c r="R19" s="63">
        <f t="shared" si="10"/>
        <v>31</v>
      </c>
      <c r="S19" s="63" t="str">
        <f>IFERROR(VLOOKUP(MID(N19,Q19,R19-Q19),[6]skilldef!$C:$D,2,FALSE),"-") &amp; " / " &amp; IFERROR(VLOOKUP(MID(N19,O19,P19-O19),[6]skilldef!$A:$B,2,FALSE),"-")</f>
        <v>- / フィーバーゲージ減少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 t="s">
        <v>265</v>
      </c>
      <c r="AA19" s="52"/>
      <c r="AB19" s="50" t="s">
        <v>305</v>
      </c>
    </row>
    <row r="20" spans="1:28" ht="56" x14ac:dyDescent="0.15">
      <c r="A20" s="47">
        <v>40024318</v>
      </c>
      <c r="B20" s="47" t="s">
        <v>271</v>
      </c>
      <c r="C20" s="50">
        <v>3</v>
      </c>
      <c r="D20" s="50" t="s">
        <v>128</v>
      </c>
      <c r="E20" s="51" t="s">
        <v>358</v>
      </c>
      <c r="F20" s="51" t="s">
        <v>264</v>
      </c>
      <c r="G20" s="63" t="str">
        <f t="shared" si="1"/>
        <v>[effect:spread, val:0.3]</v>
      </c>
      <c r="H20" s="63">
        <f t="shared" si="2"/>
        <v>9</v>
      </c>
      <c r="I20" s="63">
        <f t="shared" si="3"/>
        <v>15</v>
      </c>
      <c r="J20" s="63" t="e">
        <f t="shared" si="4"/>
        <v>#VALUE!</v>
      </c>
      <c r="K20" s="63" t="e">
        <f t="shared" si="5"/>
        <v>#VALUE!</v>
      </c>
      <c r="L20" s="63" t="str">
        <f>IFERROR(VLOOKUP(MID(G20,J20,K20-J20),[6]skilldef!$C:$D,2,FALSE),"-") &amp; " / " &amp; IFERROR(VLOOKUP(MID(G20,H20,I20-H20),[6]skilldef!$A:$B,2,FALSE),"-")</f>
        <v>- / 全体攻撃</v>
      </c>
      <c r="M20" s="63" t="str">
        <f t="shared" si="6"/>
        <v xml:space="preserve">[effect:sleep, target:unit_all, turn:1, rate:0.5, calc_type:target_one, animation:sleep01]    </v>
      </c>
      <c r="N20" s="48" t="str">
        <f t="shared" ref="N20:N25" si="28">IFERROR(LEFT(M20,FIND("],",M20)+S31),M20)</f>
        <v xml:space="preserve">[effect:sleep, target:unit_all, turn:1, rate:0.5, calc_type:target_one, animation:sleep01]    </v>
      </c>
      <c r="O20" s="63">
        <f t="shared" si="7"/>
        <v>9</v>
      </c>
      <c r="P20" s="63">
        <f t="shared" si="8"/>
        <v>14</v>
      </c>
      <c r="Q20" s="63">
        <f t="shared" si="9"/>
        <v>23</v>
      </c>
      <c r="R20" s="63">
        <f t="shared" si="10"/>
        <v>31</v>
      </c>
      <c r="S20" s="63" t="str">
        <f>IFERROR(VLOOKUP(MID(N20,Q20,R20-Q20),[6]skilldef!$C:$D,2,FALSE),"-") &amp; " / " &amp; IFERROR(VLOOKUP(MID(N20,O20,P20-O20),[6]skilldef!$A:$B,2,FALSE),"-")</f>
        <v>味方全体に / スリープ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 t="s">
        <v>265</v>
      </c>
      <c r="AA20" s="52"/>
      <c r="AB20" s="50" t="s">
        <v>305</v>
      </c>
    </row>
    <row r="21" spans="1:28" ht="84" x14ac:dyDescent="0.15">
      <c r="A21" s="47">
        <v>40024319</v>
      </c>
      <c r="B21" s="47" t="s">
        <v>385</v>
      </c>
      <c r="C21" s="50">
        <v>3</v>
      </c>
      <c r="D21" s="50" t="s">
        <v>128</v>
      </c>
      <c r="E21" s="51" t="s">
        <v>270</v>
      </c>
      <c r="F21" s="51" t="s">
        <v>390</v>
      </c>
      <c r="G21" s="63" t="str">
        <f t="shared" si="1"/>
        <v>[effect:spread, val:0.3]</v>
      </c>
      <c r="H21" s="63">
        <f t="shared" si="2"/>
        <v>9</v>
      </c>
      <c r="I21" s="63">
        <f t="shared" si="3"/>
        <v>15</v>
      </c>
      <c r="J21" s="63" t="e">
        <f t="shared" si="4"/>
        <v>#VALUE!</v>
      </c>
      <c r="K21" s="63" t="e">
        <f t="shared" si="5"/>
        <v>#VALUE!</v>
      </c>
      <c r="L21" s="63" t="str">
        <f>IFERROR(VLOOKUP(MID(G21,J21,K21-J21),[6]skilldef!$C:$D,2,FALSE),"-") &amp; " / " &amp; IFERROR(VLOOKUP(MID(G21,H21,I21-H21),[6]skilldef!$A:$B,2,FALSE),"-")</f>
        <v>- / 全体攻撃</v>
      </c>
      <c r="M21" s="63" t="str">
        <f t="shared" si="6"/>
        <v xml:space="preserve">[effect:sleep, target:enemy_dragon, turn:2, rate:1, calc_type:target_one, animation:sleep01],[effect:heal, target:enemy_dragon, val:0.25, animation:enemy_heal]        </v>
      </c>
      <c r="N21" s="48" t="str">
        <f t="shared" si="28"/>
        <v xml:space="preserve">[effect:sleep, target:enemy_dragon, turn:2, rate:1, calc_type:target_one, animation:sleep01],[effect:heal, target:enemy_dragon, val:0.25, animation:enemy_heal]        </v>
      </c>
      <c r="O21" s="63">
        <f t="shared" si="7"/>
        <v>9</v>
      </c>
      <c r="P21" s="63">
        <f t="shared" si="8"/>
        <v>14</v>
      </c>
      <c r="Q21" s="63">
        <f t="shared" si="9"/>
        <v>23</v>
      </c>
      <c r="R21" s="63">
        <f t="shared" si="10"/>
        <v>35</v>
      </c>
      <c r="S21" s="63" t="str">
        <f>IFERROR(VLOOKUP(MID(N21,Q21,R21-Q21),[6]skilldef!$C:$D,2,FALSE),"-") &amp; " / " &amp; IFERROR(VLOOKUP(MID(N21,O21,P21-O21),[6]skilldef!$A:$B,2,FALSE),"-")</f>
        <v>- / スリープ</v>
      </c>
      <c r="T21" s="48" t="str">
        <f t="shared" si="11"/>
        <v xml:space="preserve">[effect:heal, target:enemy_dragon, val:0.25, animation:enemy_heal]        </v>
      </c>
      <c r="U21" s="63">
        <f t="shared" si="12"/>
        <v>9</v>
      </c>
      <c r="V21" s="63">
        <f t="shared" si="13"/>
        <v>13</v>
      </c>
      <c r="W21" s="63">
        <f t="shared" si="14"/>
        <v>22</v>
      </c>
      <c r="X21" s="63">
        <f t="shared" si="15"/>
        <v>34</v>
      </c>
      <c r="Y21" s="63" t="str">
        <f>IFERROR(VLOOKUP(MID(T21,W21,X21-W21),[6]skilldef!$C:$D,2,FALSE),"-") &amp; " / " &amp; IFERROR(VLOOKUP(MID(T21,U21,V21-U21),[6]skilldef!$A:$B,2,FALSE),"-")</f>
        <v>- / 回復</v>
      </c>
      <c r="Z21" s="50" t="s">
        <v>265</v>
      </c>
      <c r="AA21" s="52"/>
      <c r="AB21" s="51" t="s">
        <v>266</v>
      </c>
    </row>
    <row r="22" spans="1:28" ht="50" customHeight="1" x14ac:dyDescent="0.15">
      <c r="A22" s="47">
        <v>40024320</v>
      </c>
      <c r="B22" s="47" t="s">
        <v>268</v>
      </c>
      <c r="C22" s="50">
        <v>3</v>
      </c>
      <c r="D22" s="50" t="s">
        <v>128</v>
      </c>
      <c r="E22" s="51" t="s">
        <v>267</v>
      </c>
      <c r="F22" s="51" t="s">
        <v>387</v>
      </c>
      <c r="G22" s="63" t="str">
        <f t="shared" si="1"/>
        <v>[effect:spread, val:0.3]</v>
      </c>
      <c r="H22" s="63">
        <f t="shared" si="2"/>
        <v>9</v>
      </c>
      <c r="I22" s="63">
        <f t="shared" si="3"/>
        <v>15</v>
      </c>
      <c r="J22" s="63" t="e">
        <f t="shared" si="4"/>
        <v>#VALUE!</v>
      </c>
      <c r="K22" s="63" t="e">
        <f t="shared" si="5"/>
        <v>#VALUE!</v>
      </c>
      <c r="L22" s="63" t="str">
        <f>IFERROR(VLOOKUP(MID(G22,J22,K22-J22),[6]skilldef!$C:$D,2,FALSE),"-") &amp; " / " &amp; IFERROR(VLOOKUP(MID(G22,H22,I22-H22),[6]skilldef!$A:$B,2,FALSE),"-")</f>
        <v>- / 全体攻撃</v>
      </c>
      <c r="M22" s="63" t="str">
        <f t="shared" si="6"/>
        <v xml:space="preserve">[effect:damage_gravity, target:enemy_all, val:0.1, animation:damage_gravity_all03],[effect:force_change_block, new_block:jammer, target:block_blue, ignore01:crash, ignore02:crack_bomb, count:0, val:0]    </v>
      </c>
      <c r="N22" s="48" t="str">
        <f t="shared" si="28"/>
        <v xml:space="preserve">[effect:damage_gravity, target:enemy_all, val:0.1, animation:damage_gravity_all03],[effect:force_change_block, new_block:jammer, target:block_blue, ignore01:crash, ignore02:crack_bomb, count:0, val:0]    </v>
      </c>
      <c r="O22" s="63">
        <f t="shared" si="7"/>
        <v>9</v>
      </c>
      <c r="P22" s="63">
        <f t="shared" si="8"/>
        <v>23</v>
      </c>
      <c r="Q22" s="63">
        <f t="shared" si="9"/>
        <v>32</v>
      </c>
      <c r="R22" s="63">
        <f t="shared" si="10"/>
        <v>41</v>
      </c>
      <c r="S22" s="63" t="str">
        <f>IFERROR(VLOOKUP(MID(N22,Q22,R22-Q22),[6]skilldef!$C:$D,2,FALSE),"-") &amp; " / " &amp; IFERROR(VLOOKUP(MID(N22,O22,P22-O22),[6]skilldef!$A:$B,2,FALSE),"-")</f>
        <v>敵全体に / 割合ダメージ</v>
      </c>
      <c r="T22" s="48" t="str">
        <f t="shared" si="11"/>
        <v xml:space="preserve">[effect:force_change_block, new_block:jammer, target:block_blue, ignore01:crash, ignore02:crack_bomb, count:0, val:0]    </v>
      </c>
      <c r="U22" s="63">
        <f t="shared" si="12"/>
        <v>9</v>
      </c>
      <c r="V22" s="63">
        <f t="shared" si="13"/>
        <v>27</v>
      </c>
      <c r="W22" s="63">
        <f t="shared" si="14"/>
        <v>54</v>
      </c>
      <c r="X22" s="63">
        <f t="shared" si="15"/>
        <v>45</v>
      </c>
      <c r="Y22" s="63" t="str">
        <f>IFERROR(VLOOKUP(MID(T22,W22,X22-W22),[6]skilldef!$C:$D,2,FALSE),"-") &amp; " / " &amp; IFERROR(VLOOKUP(MID(T22,U22,V22-U22),[6]skilldef!$A:$B,2,FALSE),"-")</f>
        <v>- / -</v>
      </c>
      <c r="Z22" s="50" t="s">
        <v>265</v>
      </c>
      <c r="AA22" s="52"/>
      <c r="AB22" s="50" t="s">
        <v>305</v>
      </c>
    </row>
    <row r="23" spans="1:28" ht="70" x14ac:dyDescent="0.15">
      <c r="A23" s="47">
        <v>40024321</v>
      </c>
      <c r="B23" s="47" t="s">
        <v>269</v>
      </c>
      <c r="C23" s="50">
        <v>3</v>
      </c>
      <c r="D23" s="50" t="s">
        <v>128</v>
      </c>
      <c r="E23" s="51" t="s">
        <v>378</v>
      </c>
      <c r="F23" s="51" t="s">
        <v>388</v>
      </c>
      <c r="G23" s="63" t="str">
        <f t="shared" si="1"/>
        <v>[effect:heal, target:enemy_dragon, val:0.3, animation:enemy_heal]</v>
      </c>
      <c r="H23" s="63">
        <f t="shared" si="2"/>
        <v>9</v>
      </c>
      <c r="I23" s="63">
        <f t="shared" si="3"/>
        <v>13</v>
      </c>
      <c r="J23" s="63">
        <f t="shared" si="4"/>
        <v>22</v>
      </c>
      <c r="K23" s="63">
        <f t="shared" si="5"/>
        <v>34</v>
      </c>
      <c r="L23" s="63" t="str">
        <f>IFERROR(VLOOKUP(MID(G23,J23,K23-J23),[6]skilldef!$C:$D,2,FALSE),"-") &amp; " / " &amp; IFERROR(VLOOKUP(MID(G23,H23,I23-H23),[6]skilldef!$A:$B,2,FALSE),"-")</f>
        <v>- / 回復</v>
      </c>
      <c r="M23" s="63" t="str">
        <f t="shared" si="6"/>
        <v xml:space="preserve">[effect:regenerate, target:unit_all, turn:3, val:0.1, type:hp_ratio, animation:heal01],[effect:enhance_fever, val:300, animation:fevergauge_up03]        </v>
      </c>
      <c r="N23" s="48" t="str">
        <f t="shared" si="28"/>
        <v xml:space="preserve">[effect:regenerate, target:unit_all, turn:3, val:0.1, type:hp_ratio, animation:heal01],[effect:enhance_fever, val:300, animation:fevergauge_up03]        </v>
      </c>
      <c r="O23" s="63">
        <f t="shared" si="7"/>
        <v>9</v>
      </c>
      <c r="P23" s="63">
        <f t="shared" si="8"/>
        <v>19</v>
      </c>
      <c r="Q23" s="63">
        <f t="shared" si="9"/>
        <v>28</v>
      </c>
      <c r="R23" s="63">
        <f t="shared" si="10"/>
        <v>36</v>
      </c>
      <c r="S23" s="63" t="str">
        <f>IFERROR(VLOOKUP(MID(N23,Q23,R23-Q23),[6]skilldef!$C:$D,2,FALSE),"-") &amp; " / " &amp; IFERROR(VLOOKUP(MID(N23,O23,P23-O23),[6]skilldef!$A:$B,2,FALSE),"-")</f>
        <v>味方全体に / -</v>
      </c>
      <c r="T23" s="48" t="str">
        <f t="shared" si="11"/>
        <v xml:space="preserve">[effect:enhance_fever, val:300, animation:fevergauge_up03]        </v>
      </c>
      <c r="U23" s="63">
        <f t="shared" si="12"/>
        <v>9</v>
      </c>
      <c r="V23" s="63">
        <f t="shared" si="13"/>
        <v>22</v>
      </c>
      <c r="W23" s="63" t="e">
        <f t="shared" si="14"/>
        <v>#VALUE!</v>
      </c>
      <c r="X23" s="63">
        <f t="shared" si="15"/>
        <v>31</v>
      </c>
      <c r="Y23" s="63" t="str">
        <f>IFERROR(VLOOKUP(MID(T23,W23,X23-W23),[6]skilldef!$C:$D,2,FALSE),"-") &amp; " / " &amp; IFERROR(VLOOKUP(MID(T23,U23,V23-U23),[6]skilldef!$A:$B,2,FALSE),"-")</f>
        <v>- / -</v>
      </c>
      <c r="Z23" s="50" t="s">
        <v>265</v>
      </c>
      <c r="AA23" s="52"/>
      <c r="AB23" s="50" t="s">
        <v>305</v>
      </c>
    </row>
    <row r="24" spans="1:28" ht="33" customHeight="1" x14ac:dyDescent="0.15">
      <c r="A24" s="47">
        <v>40024322</v>
      </c>
      <c r="B24" s="47" t="s">
        <v>272</v>
      </c>
      <c r="C24" s="50">
        <v>3</v>
      </c>
      <c r="D24" s="50" t="s">
        <v>128</v>
      </c>
      <c r="E24" s="51" t="s">
        <v>396</v>
      </c>
      <c r="F24" s="51" t="s">
        <v>335</v>
      </c>
      <c r="G24" s="63" t="str">
        <f t="shared" si="1"/>
        <v>[effect:spread, val:0.2]</v>
      </c>
      <c r="H24" s="63">
        <f t="shared" si="2"/>
        <v>9</v>
      </c>
      <c r="I24" s="63">
        <f t="shared" si="3"/>
        <v>15</v>
      </c>
      <c r="J24" s="63" t="e">
        <f t="shared" si="4"/>
        <v>#VALUE!</v>
      </c>
      <c r="K24" s="63" t="e">
        <f t="shared" si="5"/>
        <v>#VALUE!</v>
      </c>
      <c r="L24" s="63" t="str">
        <f>IFERROR(VLOOKUP(MID(G24,J24,K24-J24),[6]skilldef!$C:$D,2,FALSE),"-") &amp; " / " &amp; IFERROR(VLOOKUP(MID(G24,H24,I24-H24),[6]skilldef!$A:$B,2,FALSE),"-")</f>
        <v>- / 全体攻撃</v>
      </c>
      <c r="M24" s="63" t="str">
        <f t="shared" si="6"/>
        <v xml:space="preserve">[effect:hungup, target:unit_all, turn:1, rate:0.5, calc_type:target_one, animation:hungup01]    </v>
      </c>
      <c r="N24" s="48" t="str">
        <f t="shared" si="28"/>
        <v xml:space="preserve">[effect:hungup, target:unit_all, turn:1, rate:0.5, calc_type:target_one, animation:hungup01]    </v>
      </c>
      <c r="O24" s="63">
        <f t="shared" si="7"/>
        <v>9</v>
      </c>
      <c r="P24" s="63">
        <f t="shared" si="8"/>
        <v>15</v>
      </c>
      <c r="Q24" s="63">
        <f t="shared" si="9"/>
        <v>24</v>
      </c>
      <c r="R24" s="63">
        <f t="shared" si="10"/>
        <v>32</v>
      </c>
      <c r="S24" s="63" t="str">
        <f>IFERROR(VLOOKUP(MID(N24,Q24,R24-Q24),[6]skilldef!$C:$D,2,FALSE),"-") &amp; " / " &amp; IFERROR(VLOOKUP(MID(N24,O24,P24-O24),[6]skilldef!$A:$B,2,FALSE),"-")</f>
        <v>味方全体に / ハングアップ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 t="s">
        <v>265</v>
      </c>
      <c r="AA24" s="52"/>
      <c r="AB24" s="50" t="s">
        <v>294</v>
      </c>
    </row>
    <row r="25" spans="1:28" ht="46" customHeight="1" x14ac:dyDescent="0.15">
      <c r="A25" s="47">
        <v>40024323</v>
      </c>
      <c r="B25" s="47" t="s">
        <v>312</v>
      </c>
      <c r="C25" s="50">
        <v>3</v>
      </c>
      <c r="D25" s="50" t="s">
        <v>128</v>
      </c>
      <c r="E25" s="51" t="s">
        <v>395</v>
      </c>
      <c r="F25" s="51" t="s">
        <v>350</v>
      </c>
      <c r="G25" s="63" t="str">
        <f t="shared" si="1"/>
        <v>[effect:heal, target:enemy_all, val:0.25, animation:enemy_heal]</v>
      </c>
      <c r="H25" s="63">
        <f t="shared" si="2"/>
        <v>9</v>
      </c>
      <c r="I25" s="63">
        <f t="shared" si="3"/>
        <v>13</v>
      </c>
      <c r="J25" s="63">
        <f t="shared" si="4"/>
        <v>22</v>
      </c>
      <c r="K25" s="63">
        <f t="shared" si="5"/>
        <v>31</v>
      </c>
      <c r="L25" s="63" t="str">
        <f>IFERROR(VLOOKUP(MID(G25,J25,K25-J25),[6]skilldef!$C:$D,2,FALSE),"-") &amp; " / " &amp; IFERROR(VLOOKUP(MID(G25,H25,I25-H25),[6]skilldef!$A:$B,2,FALSE),"-")</f>
        <v>敵全体に / 回復</v>
      </c>
      <c r="M25" s="63" t="str">
        <f t="shared" si="6"/>
        <v xml:space="preserve">[effect:sleep, target:unit_all, turn:1, rate:0.3, calc_type:target_one, animation:sleep01],[effect:force_change_block, new_block:block_heart, target:block_yellow, ignore01:crash, ignore02:crack_bomb, ignore03:color_break, count:3, val:0, animation:change_block]       </v>
      </c>
      <c r="N25" s="48" t="str">
        <f t="shared" si="28"/>
        <v xml:space="preserve">[effect:sleep, target:unit_all, turn:1, rate:0.3, calc_type:target_one, animation:sleep01],[effect:force_change_block, new_block:block_heart, target:block_yellow, ignore01:crash, ignore02:crack_bomb, ignore03:color_break, count:3, val:0, animation:change_block]       </v>
      </c>
      <c r="O25" s="63">
        <f t="shared" si="7"/>
        <v>9</v>
      </c>
      <c r="P25" s="63">
        <f t="shared" si="8"/>
        <v>14</v>
      </c>
      <c r="Q25" s="63">
        <f t="shared" si="9"/>
        <v>23</v>
      </c>
      <c r="R25" s="63">
        <f t="shared" si="10"/>
        <v>31</v>
      </c>
      <c r="S25" s="63" t="str">
        <f>IFERROR(VLOOKUP(MID(N25,Q25,R25-Q25),[6]skilldef!$C:$D,2,FALSE),"-") &amp; " / " &amp; IFERROR(VLOOKUP(MID(N25,O25,P25-O25),[6]skilldef!$A:$B,2,FALSE),"-")</f>
        <v>味方全体に / スリープ</v>
      </c>
      <c r="T25" s="48" t="str">
        <f t="shared" si="11"/>
        <v xml:space="preserve">[effect:force_change_block, new_block:block_heart, target:block_yellow, ignore01:crash, ignore02:crack_bomb, ignore03:color_break, count:3, val:0, animation:change_block]       </v>
      </c>
      <c r="U25" s="63">
        <f t="shared" si="12"/>
        <v>9</v>
      </c>
      <c r="V25" s="63">
        <f t="shared" si="13"/>
        <v>27</v>
      </c>
      <c r="W25" s="63">
        <f t="shared" si="14"/>
        <v>59</v>
      </c>
      <c r="X25" s="63">
        <f t="shared" si="15"/>
        <v>50</v>
      </c>
      <c r="Y25" s="63" t="str">
        <f>IFERROR(VLOOKUP(MID(T25,W25,X25-W25),[6]skilldef!$C:$D,2,FALSE),"-") &amp; " / " &amp; IFERROR(VLOOKUP(MID(T25,U25,V25-U25),[6]skilldef!$A:$B,2,FALSE),"-")</f>
        <v>- / -</v>
      </c>
      <c r="Z25" s="50" t="s">
        <v>265</v>
      </c>
      <c r="AA25" s="52"/>
      <c r="AB25" s="50" t="s">
        <v>294</v>
      </c>
    </row>
    <row r="26" spans="1:28" ht="21" customHeight="1" x14ac:dyDescent="0.15">
      <c r="A26" s="47">
        <v>40024324</v>
      </c>
      <c r="B26" s="47" t="s">
        <v>273</v>
      </c>
      <c r="C26" s="50">
        <v>3</v>
      </c>
      <c r="D26" s="50" t="s">
        <v>128</v>
      </c>
      <c r="E26" s="51" t="s">
        <v>274</v>
      </c>
      <c r="F26" s="51" t="s">
        <v>336</v>
      </c>
      <c r="G26" s="63" t="str">
        <f t="shared" si="1"/>
        <v xml:space="preserve">[effect:freq_turn, target:myself, turn:3, val:1, animation:enemy_freq_turn]    </v>
      </c>
      <c r="H26" s="63">
        <f t="shared" si="2"/>
        <v>9</v>
      </c>
      <c r="I26" s="63">
        <f t="shared" si="3"/>
        <v>18</v>
      </c>
      <c r="J26" s="63">
        <f t="shared" si="4"/>
        <v>27</v>
      </c>
      <c r="K26" s="63">
        <f t="shared" si="5"/>
        <v>33</v>
      </c>
      <c r="L26" s="63" t="str">
        <f>IFERROR(VLOOKUP(MID(G26,J26,K26-J26),[6]skilldef!$C:$D,2,FALSE),"-") &amp; " / " &amp; IFERROR(VLOOKUP(MID(G26,H26,I26-H26),[6]skilldef!$A:$B,2,FALSE),"-")</f>
        <v>自分自身に / 攻撃頻度がUP</v>
      </c>
      <c r="M26" s="63" t="str">
        <f t="shared" si="6"/>
        <v>none</v>
      </c>
      <c r="N26" s="48" t="str">
        <f>IFERROR(LEFT(M26,FIND("],",M26)+S42),M26)</f>
        <v>none</v>
      </c>
      <c r="O26" s="63" t="e">
        <f t="shared" si="7"/>
        <v>#VALUE!</v>
      </c>
      <c r="P26" s="63">
        <f t="shared" si="8"/>
        <v>4</v>
      </c>
      <c r="Q26" s="63" t="e">
        <f t="shared" si="9"/>
        <v>#VALUE!</v>
      </c>
      <c r="R26" s="63" t="e">
        <f t="shared" si="10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 t="s">
        <v>265</v>
      </c>
      <c r="AA26" s="52"/>
      <c r="AB26" s="50" t="s">
        <v>294</v>
      </c>
    </row>
    <row r="27" spans="1:28" ht="28" x14ac:dyDescent="0.15">
      <c r="A27" s="110">
        <v>40024325</v>
      </c>
      <c r="B27" s="110" t="s">
        <v>433</v>
      </c>
      <c r="C27" s="50">
        <v>3</v>
      </c>
      <c r="D27" s="111" t="s">
        <v>128</v>
      </c>
      <c r="E27" s="112" t="s">
        <v>340</v>
      </c>
      <c r="F27" s="112" t="s">
        <v>407</v>
      </c>
      <c r="G27" s="63" t="str">
        <f t="shared" si="1"/>
        <v>[effect:force_change_block, new_block:jammer, target:block_all, ignore01:block_positive, ignore02:block_negative, count:10, val:0]</v>
      </c>
      <c r="H27" s="63">
        <f t="shared" si="2"/>
        <v>9</v>
      </c>
      <c r="I27" s="63">
        <f t="shared" si="3"/>
        <v>27</v>
      </c>
      <c r="J27" s="63">
        <f t="shared" si="4"/>
        <v>54</v>
      </c>
      <c r="K27" s="63">
        <f t="shared" si="5"/>
        <v>45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6"/>
        <v>none</v>
      </c>
      <c r="N27" s="48" t="str">
        <f>IFERROR(LEFT(M27,FIND("],",M27)+S43),M27)</f>
        <v>none</v>
      </c>
      <c r="O27" s="63" t="e">
        <f t="shared" si="7"/>
        <v>#VALUE!</v>
      </c>
      <c r="P27" s="63">
        <f t="shared" si="8"/>
        <v>4</v>
      </c>
      <c r="Q27" s="63" t="e">
        <f t="shared" si="9"/>
        <v>#VALUE!</v>
      </c>
      <c r="R27" s="63" t="e">
        <f t="shared" si="10"/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1"/>
        <v>none</v>
      </c>
      <c r="U27" s="63" t="e">
        <f t="shared" si="12"/>
        <v>#VALUE!</v>
      </c>
      <c r="V27" s="63">
        <f t="shared" si="13"/>
        <v>4</v>
      </c>
      <c r="W27" s="63" t="e">
        <f t="shared" si="14"/>
        <v>#VALUE!</v>
      </c>
      <c r="X27" s="63" t="e">
        <f t="shared" si="15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111" t="s">
        <v>265</v>
      </c>
      <c r="AA27" s="113"/>
      <c r="AB27" s="111" t="s">
        <v>310</v>
      </c>
    </row>
    <row r="28" spans="1:28" ht="28" x14ac:dyDescent="0.15">
      <c r="A28" s="110">
        <v>40024326</v>
      </c>
      <c r="B28" s="110" t="s">
        <v>277</v>
      </c>
      <c r="C28" s="50">
        <v>3</v>
      </c>
      <c r="D28" s="111" t="s">
        <v>128</v>
      </c>
      <c r="E28" s="112" t="s">
        <v>371</v>
      </c>
      <c r="F28" s="112" t="s">
        <v>408</v>
      </c>
      <c r="G28" s="63" t="str">
        <f t="shared" si="1"/>
        <v xml:space="preserve">[effect:enemy_counter, target:myself, invoke_condition:unit_all, counter_target:attacker, turn:5, val:0.35, animation:enemy_counter]    </v>
      </c>
      <c r="H28" s="63">
        <f t="shared" si="2"/>
        <v>9</v>
      </c>
      <c r="I28" s="63">
        <f t="shared" si="3"/>
        <v>22</v>
      </c>
      <c r="J28" s="63">
        <f t="shared" si="4"/>
        <v>31</v>
      </c>
      <c r="K28" s="63">
        <f t="shared" si="5"/>
        <v>37</v>
      </c>
      <c r="L28" s="63" t="str">
        <f>IFERROR(VLOOKUP(MID(G28,J28,K28-J28),[6]skilldef!$C:$D,2,FALSE),"-") &amp; " / " &amp; IFERROR(VLOOKUP(MID(G28,H28,I28-H28),[6]skilldef!$A:$B,2,FALSE),"-")</f>
        <v>自分自身に / カウンター</v>
      </c>
      <c r="M28" s="63" t="str">
        <f t="shared" si="6"/>
        <v>none</v>
      </c>
      <c r="N28" s="48" t="str">
        <f>IFERROR(LEFT(M28,FIND("],",M28)+S44),M28)</f>
        <v>none</v>
      </c>
      <c r="O28" s="63" t="e">
        <f t="shared" si="7"/>
        <v>#VALUE!</v>
      </c>
      <c r="P28" s="63">
        <f t="shared" si="8"/>
        <v>4</v>
      </c>
      <c r="Q28" s="63" t="e">
        <f t="shared" si="9"/>
        <v>#VALUE!</v>
      </c>
      <c r="R28" s="63" t="e">
        <f t="shared" si="10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11"/>
        <v>none</v>
      </c>
      <c r="U28" s="63" t="e">
        <f t="shared" si="12"/>
        <v>#VALUE!</v>
      </c>
      <c r="V28" s="63">
        <f t="shared" si="13"/>
        <v>4</v>
      </c>
      <c r="W28" s="63" t="e">
        <f t="shared" si="14"/>
        <v>#VALUE!</v>
      </c>
      <c r="X28" s="63" t="e">
        <f t="shared" si="15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111" t="s">
        <v>265</v>
      </c>
      <c r="AA28" s="113"/>
      <c r="AB28" s="111" t="s">
        <v>310</v>
      </c>
    </row>
    <row r="29" spans="1:28" ht="21" customHeight="1" x14ac:dyDescent="0.15">
      <c r="A29" s="110">
        <v>40024327</v>
      </c>
      <c r="B29" s="110" t="s">
        <v>279</v>
      </c>
      <c r="C29" s="50">
        <v>3</v>
      </c>
      <c r="D29" s="111" t="s">
        <v>128</v>
      </c>
      <c r="E29" s="112" t="s">
        <v>372</v>
      </c>
      <c r="F29" s="112" t="s">
        <v>409</v>
      </c>
      <c r="G29" s="63" t="str">
        <f t="shared" si="1"/>
        <v xml:space="preserve">[effect:rush, count:8, val:0.2]    </v>
      </c>
      <c r="H29" s="63">
        <f t="shared" si="2"/>
        <v>9</v>
      </c>
      <c r="I29" s="63">
        <f t="shared" si="3"/>
        <v>13</v>
      </c>
      <c r="J29" s="63" t="e">
        <f t="shared" si="4"/>
        <v>#VALUE!</v>
      </c>
      <c r="K29" s="63">
        <f t="shared" si="5"/>
        <v>22</v>
      </c>
      <c r="L29" s="63" t="str">
        <f>IFERROR(VLOOKUP(MID(G29,J29,K29-J29),[6]skilldef!$C:$D,2,FALSE),"-") &amp; " / " &amp; IFERROR(VLOOKUP(MID(G29,H29,I29-H29),[6]skilldef!$A:$B,2,FALSE),"-")</f>
        <v>- / 連続攻撃</v>
      </c>
      <c r="M29" s="63" t="str">
        <f t="shared" si="6"/>
        <v>none</v>
      </c>
      <c r="N29" s="48" t="str">
        <f>IFERROR(LEFT(M29,FIND("],",M29)+S45),M29)</f>
        <v>none</v>
      </c>
      <c r="O29" s="63" t="e">
        <f t="shared" si="7"/>
        <v>#VALUE!</v>
      </c>
      <c r="P29" s="63">
        <f t="shared" si="8"/>
        <v>4</v>
      </c>
      <c r="Q29" s="63" t="e">
        <f t="shared" si="9"/>
        <v>#VALUE!</v>
      </c>
      <c r="R29" s="63" t="e">
        <f t="shared" si="10"/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111" t="s">
        <v>265</v>
      </c>
      <c r="AA29" s="113"/>
      <c r="AB29" s="111" t="s">
        <v>310</v>
      </c>
    </row>
    <row r="30" spans="1:28" ht="14" x14ac:dyDescent="0.15">
      <c r="A30" s="110">
        <v>40024328</v>
      </c>
      <c r="B30" s="110" t="s">
        <v>307</v>
      </c>
      <c r="C30" s="50">
        <v>3</v>
      </c>
      <c r="D30" s="111" t="s">
        <v>128</v>
      </c>
      <c r="E30" s="112" t="s">
        <v>298</v>
      </c>
      <c r="F30" s="112" t="s">
        <v>337</v>
      </c>
      <c r="G30" s="63"/>
      <c r="H30" s="63"/>
      <c r="I30" s="63"/>
      <c r="J30" s="63"/>
      <c r="K30" s="63"/>
      <c r="L30" s="63"/>
      <c r="M30" s="63"/>
      <c r="N30" s="48"/>
      <c r="O30" s="63"/>
      <c r="P30" s="63"/>
      <c r="Q30" s="63"/>
      <c r="R30" s="63"/>
      <c r="S30" s="63"/>
      <c r="T30" s="48"/>
      <c r="U30" s="63"/>
      <c r="V30" s="63"/>
      <c r="W30" s="63"/>
      <c r="X30" s="63"/>
      <c r="Y30" s="63"/>
      <c r="Z30" s="111" t="s">
        <v>265</v>
      </c>
      <c r="AA30" s="113"/>
      <c r="AB30" s="111" t="s">
        <v>296</v>
      </c>
    </row>
    <row r="31" spans="1:28" s="109" customFormat="1" ht="42" x14ac:dyDescent="0.15">
      <c r="A31" s="105">
        <v>40024329</v>
      </c>
      <c r="B31" s="105" t="s">
        <v>431</v>
      </c>
      <c r="C31" s="50">
        <v>3</v>
      </c>
      <c r="D31" s="106" t="s">
        <v>128</v>
      </c>
      <c r="E31" s="107" t="s">
        <v>359</v>
      </c>
      <c r="F31" s="107" t="s">
        <v>302</v>
      </c>
      <c r="G31" s="107" t="str">
        <f t="shared" si="1"/>
        <v>[effect:scale_bomb, val:-6, count:-1, animation:change_block]</v>
      </c>
      <c r="H31" s="107">
        <f t="shared" si="2"/>
        <v>9</v>
      </c>
      <c r="I31" s="107">
        <f t="shared" si="3"/>
        <v>19</v>
      </c>
      <c r="J31" s="107" t="e">
        <f t="shared" si="4"/>
        <v>#VALUE!</v>
      </c>
      <c r="K31" s="107">
        <f t="shared" si="5"/>
        <v>27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si="6"/>
        <v xml:space="preserve">[effect:degrade_fever, val:1000, animation:fevergauge_down],[effect:rush, count:1, val:0.6]       </v>
      </c>
      <c r="N31" s="48" t="str">
        <f t="shared" ref="N31:N40" si="29">IFERROR(LEFT(M31,FIND("],",M31)+S46),M31)</f>
        <v xml:space="preserve">[effect:degrade_fever, val:1000, animation:fevergauge_down],[effect:rush, count:1, val:0.6]       </v>
      </c>
      <c r="O31" s="63">
        <f t="shared" si="7"/>
        <v>9</v>
      </c>
      <c r="P31" s="63">
        <f t="shared" si="8"/>
        <v>22</v>
      </c>
      <c r="Q31" s="63" t="e">
        <f t="shared" si="9"/>
        <v>#VALUE!</v>
      </c>
      <c r="R31" s="63">
        <f t="shared" si="10"/>
        <v>32</v>
      </c>
      <c r="S31" s="63" t="str">
        <f>IFERROR(VLOOKUP(MID(N31,Q31,R31-Q31),[6]skilldef!$C:$D,2,FALSE),"-") &amp; " / " &amp; IFERROR(VLOOKUP(MID(N31,O31,P31-O31),[6]skilldef!$A:$B,2,FALSE),"-")</f>
        <v>- / フィーバーゲージ減少</v>
      </c>
      <c r="T31" s="48" t="str">
        <f t="shared" si="11"/>
        <v xml:space="preserve">[effect:rush, count:1, val:0.6]       </v>
      </c>
      <c r="U31" s="63">
        <f t="shared" si="12"/>
        <v>9</v>
      </c>
      <c r="V31" s="63">
        <f t="shared" si="13"/>
        <v>13</v>
      </c>
      <c r="W31" s="63" t="e">
        <f t="shared" si="14"/>
        <v>#VALUE!</v>
      </c>
      <c r="X31" s="63">
        <f t="shared" si="15"/>
        <v>22</v>
      </c>
      <c r="Y31" s="63" t="str">
        <f>IFERROR(VLOOKUP(MID(T31,W31,X31-W31),[6]skilldef!$C:$D,2,FALSE),"-") &amp; " / " &amp; IFERROR(VLOOKUP(MID(T31,U31,V31-U31),[6]skilldef!$A:$B,2,FALSE),"-")</f>
        <v>- / 連続攻撃</v>
      </c>
      <c r="Z31" s="106" t="s">
        <v>265</v>
      </c>
      <c r="AA31" s="108"/>
      <c r="AB31" s="106" t="s">
        <v>308</v>
      </c>
    </row>
    <row r="32" spans="1:28" s="109" customFormat="1" ht="28" x14ac:dyDescent="0.15">
      <c r="A32" s="105">
        <v>40024330</v>
      </c>
      <c r="B32" s="105" t="s">
        <v>434</v>
      </c>
      <c r="C32" s="50">
        <v>3</v>
      </c>
      <c r="D32" s="106" t="s">
        <v>128</v>
      </c>
      <c r="E32" s="107" t="s">
        <v>341</v>
      </c>
      <c r="F32" s="107" t="s">
        <v>322</v>
      </c>
      <c r="G32" s="107" t="str">
        <f t="shared" si="1"/>
        <v>[effect:force_change_block, new_block:jammer, target:block_all, ignore01:block_positive, ignore02:block_negative, count:15, val:0]</v>
      </c>
      <c r="H32" s="107">
        <f t="shared" si="2"/>
        <v>9</v>
      </c>
      <c r="I32" s="107">
        <f t="shared" si="3"/>
        <v>27</v>
      </c>
      <c r="J32" s="107">
        <f t="shared" si="4"/>
        <v>54</v>
      </c>
      <c r="K32" s="107">
        <f t="shared" si="5"/>
        <v>45</v>
      </c>
      <c r="L32" s="63" t="str">
        <f>IFERROR(VLOOKUP(MID(G32,J32,K32-J32),[6]skilldef!$C:$D,2,FALSE),"-") &amp; " / " &amp; IFERROR(VLOOKUP(MID(G32,H32,I32-H32),[6]skilldef!$A:$B,2,FALSE),"-")</f>
        <v>- / -</v>
      </c>
      <c r="M32" s="63" t="str">
        <f t="shared" si="6"/>
        <v>none</v>
      </c>
      <c r="N32" s="48" t="str">
        <f t="shared" si="29"/>
        <v>none</v>
      </c>
      <c r="O32" s="63" t="e">
        <f t="shared" si="7"/>
        <v>#VALUE!</v>
      </c>
      <c r="P32" s="63">
        <f t="shared" si="8"/>
        <v>4</v>
      </c>
      <c r="Q32" s="63" t="e">
        <f t="shared" si="9"/>
        <v>#VALUE!</v>
      </c>
      <c r="R32" s="63" t="e">
        <f t="shared" si="10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11"/>
        <v>none</v>
      </c>
      <c r="U32" s="63" t="e">
        <f t="shared" si="12"/>
        <v>#VALUE!</v>
      </c>
      <c r="V32" s="63">
        <f t="shared" si="13"/>
        <v>4</v>
      </c>
      <c r="W32" s="63" t="e">
        <f t="shared" si="14"/>
        <v>#VALUE!</v>
      </c>
      <c r="X32" s="63" t="e">
        <f t="shared" si="15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106" t="s">
        <v>265</v>
      </c>
      <c r="AA32" s="108"/>
      <c r="AB32" s="106" t="s">
        <v>308</v>
      </c>
    </row>
    <row r="33" spans="1:28" s="109" customFormat="1" ht="21" customHeight="1" x14ac:dyDescent="0.15">
      <c r="A33" s="105">
        <v>40024331</v>
      </c>
      <c r="B33" s="105" t="s">
        <v>276</v>
      </c>
      <c r="C33" s="50">
        <v>3</v>
      </c>
      <c r="D33" s="106" t="s">
        <v>128</v>
      </c>
      <c r="E33" s="107" t="s">
        <v>394</v>
      </c>
      <c r="F33" s="107" t="s">
        <v>275</v>
      </c>
      <c r="G33" s="107" t="str">
        <f t="shared" si="1"/>
        <v xml:space="preserve">[effect:rush, count:3, val:0.45]    </v>
      </c>
      <c r="H33" s="107">
        <f t="shared" si="2"/>
        <v>9</v>
      </c>
      <c r="I33" s="107">
        <f t="shared" si="3"/>
        <v>13</v>
      </c>
      <c r="J33" s="107" t="e">
        <f t="shared" si="4"/>
        <v>#VALUE!</v>
      </c>
      <c r="K33" s="107">
        <f t="shared" si="5"/>
        <v>22</v>
      </c>
      <c r="L33" s="63" t="str">
        <f>IFERROR(VLOOKUP(MID(G33,J33,K33-J33),[6]skilldef!$C:$D,2,FALSE),"-") &amp; " / " &amp; IFERROR(VLOOKUP(MID(G33,H33,I33-H33),[6]skilldef!$A:$B,2,FALSE),"-")</f>
        <v>- / 連続攻撃</v>
      </c>
      <c r="M33" s="63" t="str">
        <f t="shared" si="6"/>
        <v>none</v>
      </c>
      <c r="N33" s="48" t="str">
        <f t="shared" si="29"/>
        <v>none</v>
      </c>
      <c r="O33" s="63" t="e">
        <f t="shared" si="7"/>
        <v>#VALUE!</v>
      </c>
      <c r="P33" s="63">
        <f t="shared" si="8"/>
        <v>4</v>
      </c>
      <c r="Q33" s="63" t="e">
        <f t="shared" si="9"/>
        <v>#VALUE!</v>
      </c>
      <c r="R33" s="63" t="e">
        <f t="shared" si="10"/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11"/>
        <v>none</v>
      </c>
      <c r="U33" s="63" t="e">
        <f t="shared" si="12"/>
        <v>#VALUE!</v>
      </c>
      <c r="V33" s="63">
        <f t="shared" si="13"/>
        <v>4</v>
      </c>
      <c r="W33" s="63" t="e">
        <f t="shared" si="14"/>
        <v>#VALUE!</v>
      </c>
      <c r="X33" s="63" t="e">
        <f t="shared" si="15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106" t="s">
        <v>265</v>
      </c>
      <c r="AA33" s="108"/>
      <c r="AB33" s="106" t="s">
        <v>308</v>
      </c>
    </row>
    <row r="34" spans="1:28" s="109" customFormat="1" ht="46" customHeight="1" x14ac:dyDescent="0.15">
      <c r="A34" s="105">
        <v>40024332</v>
      </c>
      <c r="B34" s="105" t="s">
        <v>400</v>
      </c>
      <c r="C34" s="50">
        <v>3</v>
      </c>
      <c r="D34" s="106" t="s">
        <v>128</v>
      </c>
      <c r="E34" s="107" t="s">
        <v>373</v>
      </c>
      <c r="F34" s="107" t="s">
        <v>338</v>
      </c>
      <c r="G34" s="107" t="str">
        <f t="shared" si="1"/>
        <v>[effect:damage_status_break, target:unit_all, status:counter, color:green, val1:1.5, val2:0.3]</v>
      </c>
      <c r="H34" s="107">
        <f t="shared" si="2"/>
        <v>9</v>
      </c>
      <c r="I34" s="107">
        <f t="shared" si="3"/>
        <v>28</v>
      </c>
      <c r="J34" s="107">
        <f t="shared" si="4"/>
        <v>37</v>
      </c>
      <c r="K34" s="107">
        <f t="shared" si="5"/>
        <v>45</v>
      </c>
      <c r="L34" s="63" t="str">
        <f>IFERROR(VLOOKUP(MID(G34,J34,K34-J34),[6]skilldef!$C:$D,2,FALSE),"-") &amp; " / " &amp; IFERROR(VLOOKUP(MID(G34,H34,I34-H34),[6]skilldef!$A:$B,2,FALSE),"-")</f>
        <v>味方全体に / 直接ダメージ＋ステータス解除</v>
      </c>
      <c r="M34" s="63" t="str">
        <f t="shared" si="6"/>
        <v xml:space="preserve">[effect:enemy_counter, target:myself, invoke_condition:unit_all, counter_target:attacker, turn:-1, val:0.2, animation:enemy_counter]        </v>
      </c>
      <c r="N34" s="48" t="str">
        <f t="shared" si="29"/>
        <v xml:space="preserve">[effect:enemy_counter, target:myself, invoke_condition:unit_all, counter_target:attacker, turn:-1, val:0.2, animation:enemy_counter]        </v>
      </c>
      <c r="O34" s="63">
        <f t="shared" si="7"/>
        <v>9</v>
      </c>
      <c r="P34" s="63">
        <f t="shared" si="8"/>
        <v>22</v>
      </c>
      <c r="Q34" s="63">
        <f t="shared" si="9"/>
        <v>31</v>
      </c>
      <c r="R34" s="63">
        <f t="shared" si="10"/>
        <v>37</v>
      </c>
      <c r="S34" s="63" t="str">
        <f>IFERROR(VLOOKUP(MID(N34,Q34,R34-Q34),[6]skilldef!$C:$D,2,FALSE),"-") &amp; " / " &amp; IFERROR(VLOOKUP(MID(N34,O34,P34-O34),[6]skilldef!$A:$B,2,FALSE),"-")</f>
        <v>自分自身に / カウンター</v>
      </c>
      <c r="T34" s="48" t="str">
        <f t="shared" si="11"/>
        <v>none</v>
      </c>
      <c r="U34" s="63" t="e">
        <f t="shared" si="12"/>
        <v>#VALUE!</v>
      </c>
      <c r="V34" s="63">
        <f t="shared" si="13"/>
        <v>4</v>
      </c>
      <c r="W34" s="63" t="e">
        <f t="shared" si="14"/>
        <v>#VALUE!</v>
      </c>
      <c r="X34" s="63" t="e">
        <f t="shared" si="15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106" t="s">
        <v>265</v>
      </c>
      <c r="AA34" s="108"/>
      <c r="AB34" s="106" t="s">
        <v>308</v>
      </c>
    </row>
    <row r="35" spans="1:28" s="109" customFormat="1" ht="21" customHeight="1" x14ac:dyDescent="0.15">
      <c r="A35" s="105">
        <v>40024333</v>
      </c>
      <c r="B35" s="105" t="s">
        <v>273</v>
      </c>
      <c r="C35" s="50">
        <v>3</v>
      </c>
      <c r="D35" s="106" t="s">
        <v>128</v>
      </c>
      <c r="E35" s="107" t="s">
        <v>278</v>
      </c>
      <c r="F35" s="107" t="s">
        <v>339</v>
      </c>
      <c r="G35" s="107" t="str">
        <f t="shared" si="1"/>
        <v xml:space="preserve">[effect:freq_turn, target:myself, turn:3, val:1, animation:enemy_freq_turn]    </v>
      </c>
      <c r="H35" s="107">
        <f t="shared" si="2"/>
        <v>9</v>
      </c>
      <c r="I35" s="107">
        <f t="shared" si="3"/>
        <v>18</v>
      </c>
      <c r="J35" s="107">
        <f t="shared" si="4"/>
        <v>27</v>
      </c>
      <c r="K35" s="107">
        <f t="shared" si="5"/>
        <v>33</v>
      </c>
      <c r="L35" s="63" t="str">
        <f>IFERROR(VLOOKUP(MID(G35,J35,K35-J35),[6]skilldef!$C:$D,2,FALSE),"-") &amp; " / " &amp; IFERROR(VLOOKUP(MID(G35,H35,I35-H35),[6]skilldef!$A:$B,2,FALSE),"-")</f>
        <v>自分自身に / 攻撃頻度がUP</v>
      </c>
      <c r="M35" s="63" t="str">
        <f t="shared" si="6"/>
        <v>none</v>
      </c>
      <c r="N35" s="48" t="str">
        <f t="shared" si="29"/>
        <v>none</v>
      </c>
      <c r="O35" s="63" t="e">
        <f t="shared" si="7"/>
        <v>#VALUE!</v>
      </c>
      <c r="P35" s="63">
        <f t="shared" si="8"/>
        <v>4</v>
      </c>
      <c r="Q35" s="63" t="e">
        <f t="shared" si="9"/>
        <v>#VALUE!</v>
      </c>
      <c r="R35" s="63" t="e">
        <f t="shared" si="10"/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11"/>
        <v>none</v>
      </c>
      <c r="U35" s="63" t="e">
        <f t="shared" si="12"/>
        <v>#VALUE!</v>
      </c>
      <c r="V35" s="63">
        <f t="shared" si="13"/>
        <v>4</v>
      </c>
      <c r="W35" s="63" t="e">
        <f t="shared" si="14"/>
        <v>#VALUE!</v>
      </c>
      <c r="X35" s="63" t="e">
        <f t="shared" si="15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106" t="s">
        <v>265</v>
      </c>
      <c r="AA35" s="108"/>
      <c r="AB35" s="106" t="s">
        <v>308</v>
      </c>
    </row>
    <row r="36" spans="1:28" s="114" customFormat="1" ht="28" x14ac:dyDescent="0.15">
      <c r="A36" s="110">
        <v>40024334</v>
      </c>
      <c r="B36" s="110" t="s">
        <v>321</v>
      </c>
      <c r="C36" s="50">
        <v>3</v>
      </c>
      <c r="D36" s="111" t="s">
        <v>128</v>
      </c>
      <c r="E36" s="112" t="s">
        <v>345</v>
      </c>
      <c r="F36" s="112" t="s">
        <v>344</v>
      </c>
      <c r="G36" s="112" t="str">
        <f t="shared" si="1"/>
        <v xml:space="preserve">[effect:enhance_enemy, target:myself, turn:-1, status:defense, val:3000, calc:add, animation:enemy_enhance_defense]    </v>
      </c>
      <c r="H36" s="112">
        <f t="shared" si="2"/>
        <v>9</v>
      </c>
      <c r="I36" s="112">
        <f t="shared" si="3"/>
        <v>22</v>
      </c>
      <c r="J36" s="112">
        <f t="shared" si="4"/>
        <v>31</v>
      </c>
      <c r="K36" s="112">
        <f t="shared" si="5"/>
        <v>37</v>
      </c>
      <c r="L36" s="63" t="str">
        <f>IFERROR(VLOOKUP(MID(G36,J36,K36-J36),[6]skilldef!$C:$D,2,FALSE),"-") &amp; " / " &amp; IFERROR(VLOOKUP(MID(G36,H36,I36-H36),[6]skilldef!$A:$B,2,FALSE),"-")</f>
        <v>自分自身に / ステータス強化</v>
      </c>
      <c r="M36" s="63" t="str">
        <f t="shared" si="6"/>
        <v>none</v>
      </c>
      <c r="N36" s="48" t="str">
        <f t="shared" si="29"/>
        <v>none</v>
      </c>
      <c r="O36" s="63" t="e">
        <f t="shared" si="7"/>
        <v>#VALUE!</v>
      </c>
      <c r="P36" s="63">
        <f t="shared" si="8"/>
        <v>4</v>
      </c>
      <c r="Q36" s="63" t="e">
        <f t="shared" si="9"/>
        <v>#VALUE!</v>
      </c>
      <c r="R36" s="63" t="e">
        <f t="shared" si="10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11"/>
        <v>none</v>
      </c>
      <c r="U36" s="63" t="e">
        <f t="shared" si="12"/>
        <v>#VALUE!</v>
      </c>
      <c r="V36" s="63">
        <f t="shared" si="13"/>
        <v>4</v>
      </c>
      <c r="W36" s="63" t="e">
        <f t="shared" si="14"/>
        <v>#VALUE!</v>
      </c>
      <c r="X36" s="63" t="e">
        <f t="shared" si="15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111" t="s">
        <v>265</v>
      </c>
      <c r="AA36" s="113"/>
      <c r="AB36" s="111" t="s">
        <v>309</v>
      </c>
    </row>
    <row r="37" spans="1:28" s="114" customFormat="1" ht="42" x14ac:dyDescent="0.15">
      <c r="A37" s="110">
        <v>40024335</v>
      </c>
      <c r="B37" s="110" t="s">
        <v>317</v>
      </c>
      <c r="C37" s="50">
        <v>3</v>
      </c>
      <c r="D37" s="111" t="s">
        <v>128</v>
      </c>
      <c r="E37" s="112" t="s">
        <v>346</v>
      </c>
      <c r="F37" s="112" t="s">
        <v>364</v>
      </c>
      <c r="G37" s="112"/>
      <c r="H37" s="112"/>
      <c r="I37" s="112"/>
      <c r="J37" s="112"/>
      <c r="K37" s="112"/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ref="M37:M38" si="30">IFERROR(RIGHT(B37,LEN(B37)-FIND("],",B37)-1),"none")</f>
        <v>none</v>
      </c>
      <c r="N37" s="48" t="str">
        <f t="shared" si="29"/>
        <v>none</v>
      </c>
      <c r="O37" s="63" t="e">
        <f t="shared" ref="O37:O38" si="31">FIND("effect:",N37)+7</f>
        <v>#VALUE!</v>
      </c>
      <c r="P37" s="63">
        <f t="shared" ref="P37:P38" si="32">IFERROR(FIND(",",N37),LEN(N37))</f>
        <v>4</v>
      </c>
      <c r="Q37" s="63" t="e">
        <f t="shared" ref="Q37:Q38" si="33">FIND("target:",N37)+7</f>
        <v>#VALUE!</v>
      </c>
      <c r="R37" s="63" t="e">
        <f t="shared" ref="R37:R38" si="34">FIND(",",N37,P37+1)</f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ref="T37:T38" si="35">IFERROR(RIGHT(M37,LEN(M37)-FIND("],",M37)-1),"none")</f>
        <v>none</v>
      </c>
      <c r="U37" s="63" t="e">
        <f t="shared" ref="U37:U38" si="36">FIND("effect:",T37)+7</f>
        <v>#VALUE!</v>
      </c>
      <c r="V37" s="63">
        <f t="shared" ref="V37:V38" si="37">IFERROR(FIND(",",T37),LEN(T37))</f>
        <v>4</v>
      </c>
      <c r="W37" s="63" t="e">
        <f t="shared" ref="W37:W38" si="38">FIND("target:",T37)+7</f>
        <v>#VALUE!</v>
      </c>
      <c r="X37" s="63" t="e">
        <f t="shared" ref="X37:X38" si="39">FIND(",",T37,V37+1)</f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111" t="s">
        <v>265</v>
      </c>
      <c r="AA37" s="113"/>
      <c r="AB37" s="111" t="s">
        <v>309</v>
      </c>
    </row>
    <row r="38" spans="1:28" s="114" customFormat="1" ht="42" x14ac:dyDescent="0.15">
      <c r="A38" s="110">
        <v>40024336</v>
      </c>
      <c r="B38" s="110" t="s">
        <v>362</v>
      </c>
      <c r="C38" s="50">
        <v>3</v>
      </c>
      <c r="D38" s="111" t="s">
        <v>128</v>
      </c>
      <c r="E38" s="112" t="s">
        <v>347</v>
      </c>
      <c r="F38" s="112" t="s">
        <v>377</v>
      </c>
      <c r="G38" s="112"/>
      <c r="H38" s="112"/>
      <c r="I38" s="112"/>
      <c r="J38" s="112"/>
      <c r="K38" s="112"/>
      <c r="L38" s="63" t="str">
        <f>IFERROR(VLOOKUP(MID(G38,J38,K38-J38),[6]skilldef!$C:$D,2,FALSE),"-") &amp; " / " &amp; IFERROR(VLOOKUP(MID(G38,H38,I38-H38),[6]skilldef!$A:$B,2,FALSE),"-")</f>
        <v>- / -</v>
      </c>
      <c r="M38" s="63" t="str">
        <f t="shared" si="30"/>
        <v>none</v>
      </c>
      <c r="N38" s="48" t="str">
        <f t="shared" si="29"/>
        <v>none</v>
      </c>
      <c r="O38" s="63" t="e">
        <f t="shared" si="31"/>
        <v>#VALUE!</v>
      </c>
      <c r="P38" s="63">
        <f t="shared" si="32"/>
        <v>4</v>
      </c>
      <c r="Q38" s="63" t="e">
        <f t="shared" si="33"/>
        <v>#VALUE!</v>
      </c>
      <c r="R38" s="63" t="e">
        <f t="shared" si="34"/>
        <v>#VALUE!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35"/>
        <v>none</v>
      </c>
      <c r="U38" s="63" t="e">
        <f t="shared" si="36"/>
        <v>#VALUE!</v>
      </c>
      <c r="V38" s="63">
        <f t="shared" si="37"/>
        <v>4</v>
      </c>
      <c r="W38" s="63" t="e">
        <f t="shared" si="38"/>
        <v>#VALUE!</v>
      </c>
      <c r="X38" s="63" t="e">
        <f t="shared" si="39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111" t="s">
        <v>265</v>
      </c>
      <c r="AA38" s="113"/>
      <c r="AB38" s="111" t="s">
        <v>309</v>
      </c>
    </row>
    <row r="39" spans="1:28" s="114" customFormat="1" ht="28" x14ac:dyDescent="0.15">
      <c r="A39" s="110">
        <v>40024337</v>
      </c>
      <c r="B39" s="110" t="s">
        <v>328</v>
      </c>
      <c r="C39" s="50">
        <v>3</v>
      </c>
      <c r="D39" s="111" t="s">
        <v>128</v>
      </c>
      <c r="E39" s="112" t="s">
        <v>329</v>
      </c>
      <c r="F39" s="112" t="s">
        <v>344</v>
      </c>
      <c r="G39" s="112"/>
      <c r="H39" s="112"/>
      <c r="I39" s="112"/>
      <c r="J39" s="112"/>
      <c r="K39" s="112"/>
      <c r="L39" s="63" t="str">
        <f>IFERROR(VLOOKUP(MID(G39,J39,K39-J39),[6]skilldef!$C:$D,2,FALSE),"-") &amp; " / " &amp; IFERROR(VLOOKUP(MID(G39,H39,I39-H39),[6]skilldef!$A:$B,2,FALSE),"-")</f>
        <v>- / -</v>
      </c>
      <c r="M39" s="63" t="str">
        <f t="shared" ref="M39:M41" si="40">IFERROR(RIGHT(B39,LEN(B39)-FIND("],",B39)-1),"none")</f>
        <v>none</v>
      </c>
      <c r="N39" s="48" t="str">
        <f t="shared" si="29"/>
        <v>none</v>
      </c>
      <c r="O39" s="63" t="e">
        <f t="shared" ref="O39:O41" si="41">FIND("effect:",N39)+7</f>
        <v>#VALUE!</v>
      </c>
      <c r="P39" s="63">
        <f t="shared" ref="P39:P41" si="42">IFERROR(FIND(",",N39),LEN(N39))</f>
        <v>4</v>
      </c>
      <c r="Q39" s="63" t="e">
        <f t="shared" ref="Q39:Q41" si="43">FIND("target:",N39)+7</f>
        <v>#VALUE!</v>
      </c>
      <c r="R39" s="63" t="e">
        <f t="shared" ref="R39:R41" si="44">FIND(",",N39,P39+1)</f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ref="T39:T41" si="45">IFERROR(RIGHT(M39,LEN(M39)-FIND("],",M39)-1),"none")</f>
        <v>none</v>
      </c>
      <c r="U39" s="63" t="e">
        <f t="shared" ref="U39:U41" si="46">FIND("effect:",T39)+7</f>
        <v>#VALUE!</v>
      </c>
      <c r="V39" s="63">
        <f t="shared" ref="V39:V41" si="47">IFERROR(FIND(",",T39),LEN(T39))</f>
        <v>4</v>
      </c>
      <c r="W39" s="63" t="e">
        <f t="shared" ref="W39:W41" si="48">FIND("target:",T39)+7</f>
        <v>#VALUE!</v>
      </c>
      <c r="X39" s="63" t="e">
        <f t="shared" ref="X39:X41" si="49">FIND(",",T39,V39+1)</f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111" t="s">
        <v>265</v>
      </c>
      <c r="AA39" s="113"/>
      <c r="AB39" s="111" t="s">
        <v>309</v>
      </c>
    </row>
    <row r="40" spans="1:28" s="114" customFormat="1" ht="42" x14ac:dyDescent="0.15">
      <c r="A40" s="110">
        <v>40024338</v>
      </c>
      <c r="B40" s="110" t="s">
        <v>321</v>
      </c>
      <c r="C40" s="50">
        <v>3</v>
      </c>
      <c r="D40" s="111" t="s">
        <v>128</v>
      </c>
      <c r="E40" s="112" t="s">
        <v>330</v>
      </c>
      <c r="F40" s="112" t="s">
        <v>364</v>
      </c>
      <c r="G40" s="112" t="str">
        <f t="shared" ref="G40" si="50">IFERROR(LEFT(B40,FIND("],",B40)),B40)</f>
        <v xml:space="preserve">[effect:enhance_enemy, target:myself, turn:-1, status:defense, val:3000, calc:add, animation:enemy_enhance_defense]    </v>
      </c>
      <c r="H40" s="112">
        <f t="shared" ref="H40" si="51">FIND("effect:",G40)+7</f>
        <v>9</v>
      </c>
      <c r="I40" s="112">
        <f t="shared" ref="I40" si="52">IFERROR(FIND(",",G40),LEN(G40))</f>
        <v>22</v>
      </c>
      <c r="J40" s="112">
        <f t="shared" ref="J40" si="53">FIND("target:",G40)+7</f>
        <v>31</v>
      </c>
      <c r="K40" s="112">
        <f t="shared" ref="K40" si="54">FIND(",",G40,I40+1)</f>
        <v>37</v>
      </c>
      <c r="L40" s="63" t="str">
        <f>IFERROR(VLOOKUP(MID(G40,J40,K40-J40),[6]skilldef!$C:$D,2,FALSE),"-") &amp; " / " &amp; IFERROR(VLOOKUP(MID(G40,H40,I40-H40),[6]skilldef!$A:$B,2,FALSE),"-")</f>
        <v>自分自身に / ステータス強化</v>
      </c>
      <c r="M40" s="63" t="str">
        <f t="shared" si="40"/>
        <v>none</v>
      </c>
      <c r="N40" s="48" t="str">
        <f t="shared" si="29"/>
        <v>none</v>
      </c>
      <c r="O40" s="63" t="e">
        <f t="shared" si="41"/>
        <v>#VALUE!</v>
      </c>
      <c r="P40" s="63">
        <f t="shared" si="42"/>
        <v>4</v>
      </c>
      <c r="Q40" s="63" t="e">
        <f t="shared" si="43"/>
        <v>#VALUE!</v>
      </c>
      <c r="R40" s="63" t="e">
        <f t="shared" si="44"/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si="45"/>
        <v>none</v>
      </c>
      <c r="U40" s="63" t="e">
        <f t="shared" si="46"/>
        <v>#VALUE!</v>
      </c>
      <c r="V40" s="63">
        <f t="shared" si="47"/>
        <v>4</v>
      </c>
      <c r="W40" s="63" t="e">
        <f t="shared" si="48"/>
        <v>#VALUE!</v>
      </c>
      <c r="X40" s="63" t="e">
        <f t="shared" si="49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111" t="s">
        <v>265</v>
      </c>
      <c r="AA40" s="113"/>
      <c r="AB40" s="111" t="s">
        <v>309</v>
      </c>
    </row>
    <row r="41" spans="1:28" s="114" customFormat="1" ht="42" x14ac:dyDescent="0.15">
      <c r="A41" s="110">
        <v>40024339</v>
      </c>
      <c r="B41" s="110" t="s">
        <v>363</v>
      </c>
      <c r="C41" s="50">
        <v>3</v>
      </c>
      <c r="D41" s="111" t="s">
        <v>128</v>
      </c>
      <c r="E41" s="112" t="s">
        <v>331</v>
      </c>
      <c r="F41" s="112" t="s">
        <v>377</v>
      </c>
      <c r="G41" s="112"/>
      <c r="H41" s="112"/>
      <c r="I41" s="112"/>
      <c r="J41" s="112"/>
      <c r="K41" s="112"/>
      <c r="L41" s="63" t="str">
        <f>IFERROR(VLOOKUP(MID(G41,J41,K41-J41),[6]skilldef!$C:$D,2,FALSE),"-") &amp; " / " &amp; IFERROR(VLOOKUP(MID(G41,H41,I41-H41),[6]skilldef!$A:$B,2,FALSE),"-")</f>
        <v>- / -</v>
      </c>
      <c r="M41" s="63" t="str">
        <f t="shared" si="40"/>
        <v>none</v>
      </c>
      <c r="N41" s="48" t="str">
        <f t="shared" ref="N41" si="55">IFERROR(LEFT(M41,FIND("],",M41)+S55),M41)</f>
        <v>none</v>
      </c>
      <c r="O41" s="63" t="e">
        <f t="shared" si="41"/>
        <v>#VALUE!</v>
      </c>
      <c r="P41" s="63">
        <f t="shared" si="42"/>
        <v>4</v>
      </c>
      <c r="Q41" s="63" t="e">
        <f t="shared" si="43"/>
        <v>#VALUE!</v>
      </c>
      <c r="R41" s="63" t="e">
        <f t="shared" si="44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45"/>
        <v>none</v>
      </c>
      <c r="U41" s="63" t="e">
        <f t="shared" si="46"/>
        <v>#VALUE!</v>
      </c>
      <c r="V41" s="63">
        <f t="shared" si="47"/>
        <v>4</v>
      </c>
      <c r="W41" s="63" t="e">
        <f t="shared" si="48"/>
        <v>#VALUE!</v>
      </c>
      <c r="X41" s="63" t="e">
        <f t="shared" si="49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111" t="s">
        <v>265</v>
      </c>
      <c r="AA41" s="113"/>
      <c r="AB41" s="111" t="s">
        <v>309</v>
      </c>
    </row>
    <row r="42" spans="1:28" s="114" customFormat="1" ht="21" customHeight="1" x14ac:dyDescent="0.15">
      <c r="A42" s="110">
        <v>40024340</v>
      </c>
      <c r="B42" s="110" t="s">
        <v>435</v>
      </c>
      <c r="C42" s="50">
        <v>3</v>
      </c>
      <c r="D42" s="111" t="s">
        <v>128</v>
      </c>
      <c r="E42" s="112" t="s">
        <v>368</v>
      </c>
      <c r="F42" s="112" t="s">
        <v>370</v>
      </c>
      <c r="G42" s="112" t="str">
        <f t="shared" ref="G42:G45" si="56">IFERROR(LEFT(B42,FIND("],",B42)),B42)</f>
        <v>[effect:rush, count:2, val:0.45]</v>
      </c>
      <c r="H42" s="112">
        <f t="shared" ref="H42:H45" si="57">FIND("effect:",G42)+7</f>
        <v>9</v>
      </c>
      <c r="I42" s="112">
        <f t="shared" ref="I42:I45" si="58">IFERROR(FIND(",",G42),LEN(G42))</f>
        <v>13</v>
      </c>
      <c r="J42" s="112" t="e">
        <f t="shared" ref="J42:J45" si="59">FIND("target:",G42)+7</f>
        <v>#VALUE!</v>
      </c>
      <c r="K42" s="112">
        <f t="shared" ref="K42:K45" si="60">FIND(",",G42,I42+1)</f>
        <v>22</v>
      </c>
      <c r="L42" s="63" t="str">
        <f>IFERROR(VLOOKUP(MID(G42,J42,K42-J42),[6]skilldef!$C:$D,2,FALSE),"-") &amp; " / " &amp; IFERROR(VLOOKUP(MID(G42,H42,I42-H42),[6]skilldef!$A:$B,2,FALSE),"-")</f>
        <v>- / 連続攻撃</v>
      </c>
      <c r="M42" s="63" t="str">
        <f t="shared" ref="M42:M45" si="61">IFERROR(RIGHT(B42,LEN(B42)-FIND("],",B42)-1),"none")</f>
        <v>[effect:force_change_block, new_block:jammer, target:block_all, ignore01:block_positive, ignore02:block_negative, count:10, val:0]</v>
      </c>
      <c r="N42" s="48" t="str">
        <f t="shared" ref="N42:N45" si="62">IFERROR(LEFT(M42,FIND("],",M42)+S52),M42)</f>
        <v>[effect:force_change_block, new_block:jammer, target:block_all, ignore01:block_positive, ignore02:block_negative, count:10, val:0]</v>
      </c>
      <c r="O42" s="63">
        <f t="shared" ref="O42:O45" si="63">FIND("effect:",N42)+7</f>
        <v>9</v>
      </c>
      <c r="P42" s="63">
        <f t="shared" ref="P42:P45" si="64">IFERROR(FIND(",",N42),LEN(N42))</f>
        <v>27</v>
      </c>
      <c r="Q42" s="63">
        <f t="shared" ref="Q42:Q45" si="65">FIND("target:",N42)+7</f>
        <v>54</v>
      </c>
      <c r="R42" s="63">
        <f t="shared" ref="R42:R45" si="66">FIND(",",N42,P42+1)</f>
        <v>45</v>
      </c>
      <c r="S42" s="63" t="str">
        <f>IFERROR(VLOOKUP(MID(N42,Q42,R42-Q42),[6]skilldef!$C:$D,2,FALSE),"-") &amp; " / " &amp; IFERROR(VLOOKUP(MID(N42,O42,P42-O42),[6]skilldef!$A:$B,2,FALSE),"-")</f>
        <v>- / -</v>
      </c>
      <c r="T42" s="48" t="str">
        <f t="shared" ref="T42:T45" si="67">IFERROR(RIGHT(M42,LEN(M42)-FIND("],",M42)-1),"none")</f>
        <v>none</v>
      </c>
      <c r="U42" s="63" t="e">
        <f t="shared" ref="U42:U45" si="68">FIND("effect:",T42)+7</f>
        <v>#VALUE!</v>
      </c>
      <c r="V42" s="63">
        <f t="shared" ref="V42:V45" si="69">IFERROR(FIND(",",T42),LEN(T42))</f>
        <v>4</v>
      </c>
      <c r="W42" s="63" t="e">
        <f t="shared" ref="W42:W45" si="70">FIND("target:",T42)+7</f>
        <v>#VALUE!</v>
      </c>
      <c r="X42" s="63" t="e">
        <f t="shared" ref="X42:X45" si="71">FIND(",",T42,V42+1)</f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111" t="s">
        <v>265</v>
      </c>
      <c r="AA42" s="113"/>
      <c r="AB42" s="111" t="s">
        <v>309</v>
      </c>
    </row>
    <row r="43" spans="1:28" s="114" customFormat="1" ht="21" customHeight="1" x14ac:dyDescent="0.15">
      <c r="A43" s="110">
        <v>40024341</v>
      </c>
      <c r="B43" s="110" t="s">
        <v>436</v>
      </c>
      <c r="C43" s="50">
        <v>3</v>
      </c>
      <c r="D43" s="111" t="s">
        <v>128</v>
      </c>
      <c r="E43" s="112" t="s">
        <v>327</v>
      </c>
      <c r="F43" s="112" t="s">
        <v>369</v>
      </c>
      <c r="G43" s="112" t="str">
        <f t="shared" si="56"/>
        <v>[effect:spread, val:0.248]</v>
      </c>
      <c r="H43" s="112">
        <f t="shared" si="57"/>
        <v>9</v>
      </c>
      <c r="I43" s="112">
        <f t="shared" si="58"/>
        <v>15</v>
      </c>
      <c r="J43" s="112" t="e">
        <f t="shared" si="59"/>
        <v>#VALUE!</v>
      </c>
      <c r="K43" s="112" t="e">
        <f t="shared" si="60"/>
        <v>#VALUE!</v>
      </c>
      <c r="L43" s="63" t="str">
        <f>IFERROR(VLOOKUP(MID(G43,J43,K43-J43),[6]skilldef!$C:$D,2,FALSE),"-") &amp; " / " &amp; IFERROR(VLOOKUP(MID(G43,H43,I43-H43),[6]skilldef!$A:$B,2,FALSE),"-")</f>
        <v>- / 全体攻撃</v>
      </c>
      <c r="M43" s="63" t="str">
        <f t="shared" si="61"/>
        <v>[effect:force_change_block, new_block:jammer, target:block_all, ignore01:block_positive, ignore02:block_negative, count:7, val:0]</v>
      </c>
      <c r="N43" s="48" t="str">
        <f t="shared" si="62"/>
        <v>[effect:force_change_block, new_block:jammer, target:block_all, ignore01:block_positive, ignore02:block_negative, count:7, val:0]</v>
      </c>
      <c r="O43" s="63">
        <f t="shared" si="63"/>
        <v>9</v>
      </c>
      <c r="P43" s="63">
        <f t="shared" si="64"/>
        <v>27</v>
      </c>
      <c r="Q43" s="63">
        <f t="shared" si="65"/>
        <v>54</v>
      </c>
      <c r="R43" s="63">
        <f t="shared" si="66"/>
        <v>45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67"/>
        <v>none</v>
      </c>
      <c r="U43" s="63" t="e">
        <f t="shared" si="68"/>
        <v>#VALUE!</v>
      </c>
      <c r="V43" s="63">
        <f t="shared" si="69"/>
        <v>4</v>
      </c>
      <c r="W43" s="63" t="e">
        <f t="shared" si="70"/>
        <v>#VALUE!</v>
      </c>
      <c r="X43" s="63" t="e">
        <f t="shared" si="71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111" t="s">
        <v>265</v>
      </c>
      <c r="AA43" s="113"/>
      <c r="AB43" s="111" t="s">
        <v>309</v>
      </c>
    </row>
    <row r="44" spans="1:28" s="114" customFormat="1" ht="21" customHeight="1" x14ac:dyDescent="0.15">
      <c r="A44" s="110">
        <v>40024342</v>
      </c>
      <c r="B44" s="110" t="s">
        <v>427</v>
      </c>
      <c r="C44" s="50">
        <v>3</v>
      </c>
      <c r="D44" s="111" t="s">
        <v>128</v>
      </c>
      <c r="E44" s="112" t="s">
        <v>365</v>
      </c>
      <c r="F44" s="112" t="s">
        <v>324</v>
      </c>
      <c r="G44" s="112" t="str">
        <f t="shared" si="56"/>
        <v>[effect:force_change_block, new_block:jammer, target:block_heart, ignore01:crash, ignore02:crack_bomb, count:0, val:0]</v>
      </c>
      <c r="H44" s="112">
        <f t="shared" si="57"/>
        <v>9</v>
      </c>
      <c r="I44" s="112">
        <f t="shared" si="58"/>
        <v>27</v>
      </c>
      <c r="J44" s="112">
        <f t="shared" si="59"/>
        <v>54</v>
      </c>
      <c r="K44" s="112">
        <f t="shared" si="60"/>
        <v>45</v>
      </c>
      <c r="L44" s="63" t="str">
        <f>IFERROR(VLOOKUP(MID(G44,J44,K44-J44),[6]skilldef!$C:$D,2,FALSE),"-") &amp; " / " &amp; IFERROR(VLOOKUP(MID(G44,H44,I44-H44),[6]skilldef!$A:$B,2,FALSE),"-")</f>
        <v>- / -</v>
      </c>
      <c r="M44" s="63" t="str">
        <f t="shared" si="61"/>
        <v>[effect:rush, count:1, val:0.6]</v>
      </c>
      <c r="N44" s="48" t="str">
        <f t="shared" si="62"/>
        <v>[effect:rush, count:1, val:0.6]</v>
      </c>
      <c r="O44" s="63">
        <f t="shared" si="63"/>
        <v>9</v>
      </c>
      <c r="P44" s="63">
        <f t="shared" si="64"/>
        <v>13</v>
      </c>
      <c r="Q44" s="63" t="e">
        <f t="shared" si="65"/>
        <v>#VALUE!</v>
      </c>
      <c r="R44" s="63">
        <f t="shared" si="66"/>
        <v>22</v>
      </c>
      <c r="S44" s="63" t="str">
        <f>IFERROR(VLOOKUP(MID(N44,Q44,R44-Q44),[6]skilldef!$C:$D,2,FALSE),"-") &amp; " / " &amp; IFERROR(VLOOKUP(MID(N44,O44,P44-O44),[6]skilldef!$A:$B,2,FALSE),"-")</f>
        <v>- / 連続攻撃</v>
      </c>
      <c r="T44" s="48" t="str">
        <f t="shared" si="67"/>
        <v>none</v>
      </c>
      <c r="U44" s="63" t="e">
        <f t="shared" si="68"/>
        <v>#VALUE!</v>
      </c>
      <c r="V44" s="63">
        <f t="shared" si="69"/>
        <v>4</v>
      </c>
      <c r="W44" s="63" t="e">
        <f t="shared" si="70"/>
        <v>#VALUE!</v>
      </c>
      <c r="X44" s="63" t="e">
        <f t="shared" si="71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111" t="s">
        <v>265</v>
      </c>
      <c r="AA44" s="113"/>
      <c r="AB44" s="111" t="s">
        <v>309</v>
      </c>
    </row>
    <row r="45" spans="1:28" s="114" customFormat="1" ht="21" customHeight="1" x14ac:dyDescent="0.15">
      <c r="A45" s="110">
        <v>40024343</v>
      </c>
      <c r="B45" s="110" t="s">
        <v>428</v>
      </c>
      <c r="C45" s="50">
        <v>3</v>
      </c>
      <c r="D45" s="111" t="s">
        <v>128</v>
      </c>
      <c r="E45" s="112" t="s">
        <v>325</v>
      </c>
      <c r="F45" s="112" t="s">
        <v>323</v>
      </c>
      <c r="G45" s="112" t="str">
        <f t="shared" si="56"/>
        <v>[effect:force_change_block, new_block:jammer, target:block_red, ignore01:crash, ignore02:crack_bomb, count:0, val:0]</v>
      </c>
      <c r="H45" s="112">
        <f t="shared" si="57"/>
        <v>9</v>
      </c>
      <c r="I45" s="112">
        <f t="shared" si="58"/>
        <v>27</v>
      </c>
      <c r="J45" s="112">
        <f t="shared" si="59"/>
        <v>54</v>
      </c>
      <c r="K45" s="112">
        <f t="shared" si="60"/>
        <v>45</v>
      </c>
      <c r="L45" s="63" t="str">
        <f>IFERROR(VLOOKUP(MID(G45,J45,K45-J45),[6]skilldef!$C:$D,2,FALSE),"-") &amp; " / " &amp; IFERROR(VLOOKUP(MID(G45,H45,I45-H45),[6]skilldef!$A:$B,2,FALSE),"-")</f>
        <v>- / -</v>
      </c>
      <c r="M45" s="63" t="str">
        <f t="shared" si="61"/>
        <v>[effect:rush, count:1, val:0.6]</v>
      </c>
      <c r="N45" s="48" t="str">
        <f t="shared" si="62"/>
        <v>[effect:rush, count:1, val:0.6]</v>
      </c>
      <c r="O45" s="63">
        <f t="shared" si="63"/>
        <v>9</v>
      </c>
      <c r="P45" s="63">
        <f t="shared" si="64"/>
        <v>13</v>
      </c>
      <c r="Q45" s="63" t="e">
        <f t="shared" si="65"/>
        <v>#VALUE!</v>
      </c>
      <c r="R45" s="63">
        <f t="shared" si="66"/>
        <v>22</v>
      </c>
      <c r="S45" s="63" t="str">
        <f>IFERROR(VLOOKUP(MID(N45,Q45,R45-Q45),[6]skilldef!$C:$D,2,FALSE),"-") &amp; " / " &amp; IFERROR(VLOOKUP(MID(N45,O45,P45-O45),[6]skilldef!$A:$B,2,FALSE),"-")</f>
        <v>- / 連続攻撃</v>
      </c>
      <c r="T45" s="48" t="str">
        <f t="shared" si="67"/>
        <v>none</v>
      </c>
      <c r="U45" s="63" t="e">
        <f t="shared" si="68"/>
        <v>#VALUE!</v>
      </c>
      <c r="V45" s="63">
        <f t="shared" si="69"/>
        <v>4</v>
      </c>
      <c r="W45" s="63" t="e">
        <f t="shared" si="70"/>
        <v>#VALUE!</v>
      </c>
      <c r="X45" s="63" t="e">
        <f t="shared" si="71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111" t="s">
        <v>265</v>
      </c>
      <c r="AA45" s="113"/>
      <c r="AB45" s="111" t="s">
        <v>309</v>
      </c>
    </row>
    <row r="46" spans="1:28" s="114" customFormat="1" ht="42" x14ac:dyDescent="0.15">
      <c r="A46" s="110">
        <v>40024344</v>
      </c>
      <c r="B46" s="110" t="s">
        <v>437</v>
      </c>
      <c r="C46" s="50">
        <v>3</v>
      </c>
      <c r="D46" s="111" t="s">
        <v>128</v>
      </c>
      <c r="E46" s="112" t="s">
        <v>343</v>
      </c>
      <c r="F46" s="112" t="s">
        <v>360</v>
      </c>
      <c r="G46" s="112" t="str">
        <f t="shared" ref="G46:G47" si="72">IFERROR(LEFT(B46,FIND("],",B46)),B46)</f>
        <v>[effect:force_change_block, new_block:jammer, target:block_all, ignore01:block_positive, ignore02:block_negative, count:10, val:0]</v>
      </c>
      <c r="H46" s="112">
        <f t="shared" ref="H46:H47" si="73">FIND("effect:",G46)+7</f>
        <v>9</v>
      </c>
      <c r="I46" s="112">
        <f t="shared" ref="I46:I47" si="74">IFERROR(FIND(",",G46),LEN(G46))</f>
        <v>27</v>
      </c>
      <c r="J46" s="112">
        <f t="shared" ref="J46:J47" si="75">FIND("target:",G46)+7</f>
        <v>54</v>
      </c>
      <c r="K46" s="112">
        <f t="shared" ref="K46:K47" si="76">FIND(",",G46,I46+1)</f>
        <v>45</v>
      </c>
      <c r="L46" s="63" t="str">
        <f>IFERROR(VLOOKUP(MID(G46,J46,K46-J46),[6]skilldef!$C:$D,2,FALSE),"-") &amp; " / " &amp; IFERROR(VLOOKUP(MID(G46,H46,I46-H46),[6]skilldef!$A:$B,2,FALSE),"-")</f>
        <v>- / -</v>
      </c>
      <c r="M46" s="63" t="str">
        <f t="shared" ref="M46:M47" si="77">IFERROR(RIGHT(B46,LEN(B46)-FIND("],",B46)-1),"none")</f>
        <v>[effect:panel_freeze, target:jammer, count:20, break_count:1]</v>
      </c>
      <c r="N46" s="48" t="str">
        <f t="shared" ref="N46:N47" si="78">IFERROR(LEFT(M46,FIND("],",M46)+S56),M46)</f>
        <v>[effect:panel_freeze, target:jammer, count:20, break_count:1]</v>
      </c>
      <c r="O46" s="63">
        <f t="shared" ref="O46:O47" si="79">FIND("effect:",N46)+7</f>
        <v>9</v>
      </c>
      <c r="P46" s="63">
        <f t="shared" ref="P46:P47" si="80">IFERROR(FIND(",",N46),LEN(N46))</f>
        <v>21</v>
      </c>
      <c r="Q46" s="63">
        <f t="shared" ref="Q46:Q47" si="81">FIND("target:",N46)+7</f>
        <v>30</v>
      </c>
      <c r="R46" s="63">
        <f t="shared" ref="R46:R47" si="82">FIND(",",N46,P46+1)</f>
        <v>36</v>
      </c>
      <c r="S46" s="63" t="str">
        <f>IFERROR(VLOOKUP(MID(N46,Q46,R46-Q46),[6]skilldef!$C:$D,2,FALSE),"-") &amp; " / " &amp; IFERROR(VLOOKUP(MID(N46,O46,P46-O46),[6]skilldef!$A:$B,2,FALSE),"-")</f>
        <v>- / -</v>
      </c>
      <c r="T46" s="48" t="str">
        <f t="shared" ref="T46:T47" si="83">IFERROR(RIGHT(M46,LEN(M46)-FIND("],",M46)-1),"none")</f>
        <v>none</v>
      </c>
      <c r="U46" s="63" t="e">
        <f t="shared" ref="U46:U47" si="84">FIND("effect:",T46)+7</f>
        <v>#VALUE!</v>
      </c>
      <c r="V46" s="63">
        <f t="shared" ref="V46:V47" si="85">IFERROR(FIND(",",T46),LEN(T46))</f>
        <v>4</v>
      </c>
      <c r="W46" s="63" t="e">
        <f t="shared" ref="W46:W47" si="86">FIND("target:",T46)+7</f>
        <v>#VALUE!</v>
      </c>
      <c r="X46" s="63" t="e">
        <f t="shared" ref="X46:X47" si="87">FIND(",",T46,V46+1)</f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111" t="s">
        <v>265</v>
      </c>
      <c r="AA46" s="113"/>
      <c r="AB46" s="111" t="s">
        <v>309</v>
      </c>
    </row>
    <row r="47" spans="1:28" s="114" customFormat="1" ht="42" x14ac:dyDescent="0.15">
      <c r="A47" s="110">
        <v>40024345</v>
      </c>
      <c r="B47" s="110" t="s">
        <v>438</v>
      </c>
      <c r="C47" s="50">
        <v>3</v>
      </c>
      <c r="D47" s="111" t="s">
        <v>128</v>
      </c>
      <c r="E47" s="112" t="s">
        <v>342</v>
      </c>
      <c r="F47" s="112" t="s">
        <v>361</v>
      </c>
      <c r="G47" s="112" t="str">
        <f t="shared" si="72"/>
        <v>[effect:force_change_block, new_block:jammer, target:block_all, ignore01:block_positive, ignore02:block_negative, count:5, val:0]</v>
      </c>
      <c r="H47" s="112">
        <f t="shared" si="73"/>
        <v>9</v>
      </c>
      <c r="I47" s="112">
        <f t="shared" si="74"/>
        <v>27</v>
      </c>
      <c r="J47" s="112">
        <f t="shared" si="75"/>
        <v>54</v>
      </c>
      <c r="K47" s="112">
        <f t="shared" si="76"/>
        <v>45</v>
      </c>
      <c r="L47" s="63" t="str">
        <f>IFERROR(VLOOKUP(MID(G47,J47,K47-J47),[6]skilldef!$C:$D,2,FALSE),"-") &amp; " / " &amp; IFERROR(VLOOKUP(MID(G47,H47,I47-H47),[6]skilldef!$A:$B,2,FALSE),"-")</f>
        <v>- / -</v>
      </c>
      <c r="M47" s="63" t="str">
        <f t="shared" si="77"/>
        <v>[effect:panel_freeze, target:jammer, count:10, break_count:1]</v>
      </c>
      <c r="N47" s="48" t="str">
        <f t="shared" si="78"/>
        <v>[effect:panel_freeze, target:jammer, count:10, break_count:1]</v>
      </c>
      <c r="O47" s="63">
        <f t="shared" si="79"/>
        <v>9</v>
      </c>
      <c r="P47" s="63">
        <f t="shared" si="80"/>
        <v>21</v>
      </c>
      <c r="Q47" s="63">
        <f t="shared" si="81"/>
        <v>30</v>
      </c>
      <c r="R47" s="63">
        <f t="shared" si="82"/>
        <v>36</v>
      </c>
      <c r="S47" s="63" t="str">
        <f>IFERROR(VLOOKUP(MID(N47,Q47,R47-Q47),[6]skilldef!$C:$D,2,FALSE),"-") &amp; " / " &amp; IFERROR(VLOOKUP(MID(N47,O47,P47-O47),[6]skilldef!$A:$B,2,FALSE),"-")</f>
        <v>- / -</v>
      </c>
      <c r="T47" s="48" t="str">
        <f t="shared" si="83"/>
        <v>none</v>
      </c>
      <c r="U47" s="63" t="e">
        <f t="shared" si="84"/>
        <v>#VALUE!</v>
      </c>
      <c r="V47" s="63">
        <f t="shared" si="85"/>
        <v>4</v>
      </c>
      <c r="W47" s="63" t="e">
        <f t="shared" si="86"/>
        <v>#VALUE!</v>
      </c>
      <c r="X47" s="63" t="e">
        <f t="shared" si="87"/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111" t="s">
        <v>265</v>
      </c>
      <c r="AA47" s="113"/>
      <c r="AB47" s="111" t="s">
        <v>309</v>
      </c>
    </row>
    <row r="48" spans="1:28" s="114" customFormat="1" ht="28" x14ac:dyDescent="0.15">
      <c r="A48" s="110">
        <v>40024346</v>
      </c>
      <c r="B48" s="110" t="s">
        <v>397</v>
      </c>
      <c r="C48" s="50">
        <v>3</v>
      </c>
      <c r="D48" s="111" t="s">
        <v>128</v>
      </c>
      <c r="E48" s="112" t="s">
        <v>398</v>
      </c>
      <c r="F48" s="112" t="s">
        <v>399</v>
      </c>
      <c r="G48" s="112" t="str">
        <f t="shared" ref="G48:G50" si="88">IFERROR(LEFT(B48,FIND("],",B48)),B48)</f>
        <v>[effect:break_attack_fix, target:enemy_all, val:1000, lowest_val:1000, count:30, color:green, block01:jammer]</v>
      </c>
      <c r="H48" s="112">
        <f t="shared" ref="H48:H50" si="89">FIND("effect:",G48)+7</f>
        <v>9</v>
      </c>
      <c r="I48" s="112">
        <f t="shared" ref="I48:I50" si="90">IFERROR(FIND(",",G48),LEN(G48))</f>
        <v>25</v>
      </c>
      <c r="J48" s="112">
        <f t="shared" ref="J48:J50" si="91">FIND("target:",G48)+7</f>
        <v>34</v>
      </c>
      <c r="K48" s="112">
        <f t="shared" ref="K48:K50" si="92">FIND(",",G48,I48+1)</f>
        <v>43</v>
      </c>
      <c r="L48" s="63" t="str">
        <f>IFERROR(VLOOKUP(MID(G48,J48,K48-J48),[6]skilldef!$C:$D,2,FALSE),"-") &amp; " / " &amp; IFERROR(VLOOKUP(MID(G48,H48,I48-H48),[6]skilldef!$A:$B,2,FALSE),"-")</f>
        <v>敵全体に / -</v>
      </c>
      <c r="M48" s="63" t="str">
        <f t="shared" ref="M48:M50" si="93">IFERROR(RIGHT(B48,LEN(B48)-FIND("],",B48)-1),"none")</f>
        <v xml:space="preserve">[effect:dark, target:unit_all, turn:1, animation:enemy_dark]    </v>
      </c>
      <c r="N48" s="48" t="str">
        <f t="shared" ref="N48:N50" si="94">IFERROR(LEFT(M48,FIND("],",M48)+S58),M48)</f>
        <v xml:space="preserve">[effect:dark, target:unit_all, turn:1, animation:enemy_dark]    </v>
      </c>
      <c r="O48" s="63">
        <f t="shared" ref="O48:O50" si="95">FIND("effect:",N48)+7</f>
        <v>9</v>
      </c>
      <c r="P48" s="63">
        <f t="shared" ref="P48:P50" si="96">IFERROR(FIND(",",N48),LEN(N48))</f>
        <v>13</v>
      </c>
      <c r="Q48" s="63">
        <f t="shared" ref="Q48:Q50" si="97">FIND("target:",N48)+7</f>
        <v>22</v>
      </c>
      <c r="R48" s="63">
        <f t="shared" ref="R48:R50" si="98">FIND(",",N48,P48+1)</f>
        <v>30</v>
      </c>
      <c r="S48" s="63" t="str">
        <f>IFERROR(VLOOKUP(MID(N48,Q48,R48-Q48),[6]skilldef!$C:$D,2,FALSE),"-") &amp; " / " &amp; IFERROR(VLOOKUP(MID(N48,O48,P48-O48),[6]skilldef!$A:$B,2,FALSE),"-")</f>
        <v>味方全体に / 暗黒</v>
      </c>
      <c r="T48" s="48" t="str">
        <f t="shared" ref="T48:T50" si="99">IFERROR(RIGHT(M48,LEN(M48)-FIND("],",M48)-1),"none")</f>
        <v>none</v>
      </c>
      <c r="U48" s="63" t="e">
        <f t="shared" ref="U48:U50" si="100">FIND("effect:",T48)+7</f>
        <v>#VALUE!</v>
      </c>
      <c r="V48" s="63">
        <f t="shared" ref="V48:V50" si="101">IFERROR(FIND(",",T48),LEN(T48))</f>
        <v>4</v>
      </c>
      <c r="W48" s="63" t="e">
        <f t="shared" ref="W48:W50" si="102">FIND("target:",T48)+7</f>
        <v>#VALUE!</v>
      </c>
      <c r="X48" s="63" t="e">
        <f t="shared" ref="X48:X50" si="103">FIND(",",T48,V48+1)</f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111" t="s">
        <v>265</v>
      </c>
      <c r="AA48" s="113"/>
      <c r="AB48" s="111" t="s">
        <v>299</v>
      </c>
    </row>
    <row r="49" spans="1:28" s="114" customFormat="1" ht="21" customHeight="1" x14ac:dyDescent="0.15">
      <c r="A49" s="110">
        <v>40024347</v>
      </c>
      <c r="B49" s="110" t="s">
        <v>367</v>
      </c>
      <c r="C49" s="50">
        <v>3</v>
      </c>
      <c r="D49" s="111" t="s">
        <v>128</v>
      </c>
      <c r="E49" s="112" t="s">
        <v>304</v>
      </c>
      <c r="F49" s="112" t="s">
        <v>366</v>
      </c>
      <c r="G49" s="112" t="str">
        <f t="shared" si="88"/>
        <v>[effect:regenerate, target:unit_all, turn:5, val:0.15, type:hp_ratio, animation:heal01]</v>
      </c>
      <c r="H49" s="112">
        <f t="shared" si="89"/>
        <v>9</v>
      </c>
      <c r="I49" s="112">
        <f t="shared" si="90"/>
        <v>19</v>
      </c>
      <c r="J49" s="112">
        <f t="shared" si="91"/>
        <v>28</v>
      </c>
      <c r="K49" s="112">
        <f t="shared" si="92"/>
        <v>36</v>
      </c>
      <c r="L49" s="63" t="str">
        <f>IFERROR(VLOOKUP(MID(G49,J49,K49-J49),[6]skilldef!$C:$D,2,FALSE),"-") &amp; " / " &amp; IFERROR(VLOOKUP(MID(G49,H49,I49-H49),[6]skilldef!$A:$B,2,FALSE),"-")</f>
        <v>味方全体に / -</v>
      </c>
      <c r="M49" s="63" t="str">
        <f t="shared" si="93"/>
        <v>none</v>
      </c>
      <c r="N49" s="48" t="str">
        <f t="shared" si="94"/>
        <v>none</v>
      </c>
      <c r="O49" s="63" t="e">
        <f t="shared" si="95"/>
        <v>#VALUE!</v>
      </c>
      <c r="P49" s="63">
        <f t="shared" si="96"/>
        <v>4</v>
      </c>
      <c r="Q49" s="63" t="e">
        <f t="shared" si="97"/>
        <v>#VALUE!</v>
      </c>
      <c r="R49" s="63" t="e">
        <f t="shared" si="98"/>
        <v>#VALUE!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si="99"/>
        <v>none</v>
      </c>
      <c r="U49" s="63" t="e">
        <f t="shared" si="100"/>
        <v>#VALUE!</v>
      </c>
      <c r="V49" s="63">
        <f t="shared" si="101"/>
        <v>4</v>
      </c>
      <c r="W49" s="63" t="e">
        <f t="shared" si="102"/>
        <v>#VALUE!</v>
      </c>
      <c r="X49" s="63" t="e">
        <f t="shared" si="103"/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111" t="s">
        <v>265</v>
      </c>
      <c r="AA49" s="113"/>
      <c r="AB49" s="111" t="s">
        <v>295</v>
      </c>
    </row>
    <row r="50" spans="1:28" s="114" customFormat="1" ht="25" customHeight="1" x14ac:dyDescent="0.15">
      <c r="A50" s="110">
        <v>40024348</v>
      </c>
      <c r="B50" s="110" t="s">
        <v>320</v>
      </c>
      <c r="C50" s="50">
        <v>3</v>
      </c>
      <c r="D50" s="111" t="s">
        <v>128</v>
      </c>
      <c r="E50" s="112" t="s">
        <v>281</v>
      </c>
      <c r="F50" s="112" t="s">
        <v>326</v>
      </c>
      <c r="G50" s="112" t="str">
        <f t="shared" si="88"/>
        <v>[effect:degrade_unit, target:unit_all, turn:-1, status:attack, val:0.3, calc:mul]</v>
      </c>
      <c r="H50" s="112">
        <f t="shared" si="89"/>
        <v>9</v>
      </c>
      <c r="I50" s="112">
        <f t="shared" si="90"/>
        <v>21</v>
      </c>
      <c r="J50" s="112">
        <f t="shared" si="91"/>
        <v>30</v>
      </c>
      <c r="K50" s="112">
        <f t="shared" si="92"/>
        <v>38</v>
      </c>
      <c r="L50" s="63" t="str">
        <f>IFERROR(VLOOKUP(MID(G50,J50,K50-J50),[6]skilldef!$C:$D,2,FALSE),"-") &amp; " / " &amp; IFERROR(VLOOKUP(MID(G50,H50,I50-H50),[6]skilldef!$A:$B,2,FALSE),"-")</f>
        <v>味方全体に / ステータスDOWN</v>
      </c>
      <c r="M50" s="63" t="str">
        <f t="shared" si="93"/>
        <v>[effect:degrade_unit, target:unit_all, turn:-1, status:defense, val:0.3, calc:mul],[effect:degrade_unit, target:unit_all, turn:-1, status:heal, val:0.3, calc:mul]</v>
      </c>
      <c r="N50" s="48" t="str">
        <f t="shared" si="94"/>
        <v>[effect:degrade_unit, target:unit_all, turn:-1, status:defense, val:0.3, calc:mul]</v>
      </c>
      <c r="O50" s="63">
        <f t="shared" si="95"/>
        <v>9</v>
      </c>
      <c r="P50" s="63">
        <f t="shared" si="96"/>
        <v>21</v>
      </c>
      <c r="Q50" s="63">
        <f t="shared" si="97"/>
        <v>30</v>
      </c>
      <c r="R50" s="63">
        <f t="shared" si="98"/>
        <v>38</v>
      </c>
      <c r="S50" s="63" t="str">
        <f>IFERROR(VLOOKUP(MID(N50,Q50,R50-Q50),[6]skilldef!$C:$D,2,FALSE),"-") &amp; " / " &amp; IFERROR(VLOOKUP(MID(N50,O50,P50-O50),[6]skilldef!$A:$B,2,FALSE),"-")</f>
        <v>味方全体に / ステータスDOWN</v>
      </c>
      <c r="T50" s="48" t="str">
        <f t="shared" si="99"/>
        <v>[effect:degrade_unit, target:unit_all, turn:-1, status:heal, val:0.3, calc:mul]</v>
      </c>
      <c r="U50" s="63">
        <f t="shared" si="100"/>
        <v>9</v>
      </c>
      <c r="V50" s="63">
        <f t="shared" si="101"/>
        <v>21</v>
      </c>
      <c r="W50" s="63">
        <f t="shared" si="102"/>
        <v>30</v>
      </c>
      <c r="X50" s="63">
        <f t="shared" si="103"/>
        <v>38</v>
      </c>
      <c r="Y50" s="63" t="str">
        <f>IFERROR(VLOOKUP(MID(T50,W50,X50-W50),[6]skilldef!$C:$D,2,FALSE),"-") &amp; " / " &amp; IFERROR(VLOOKUP(MID(T50,U50,V50-U50),[6]skilldef!$A:$B,2,FALSE),"-")</f>
        <v>味方全体に / ステータスDOWN</v>
      </c>
      <c r="Z50" s="111" t="s">
        <v>265</v>
      </c>
      <c r="AA50" s="113"/>
      <c r="AB50" s="111" t="s">
        <v>295</v>
      </c>
    </row>
    <row r="51" spans="1:28" s="114" customFormat="1" ht="25" customHeight="1" x14ac:dyDescent="0.15">
      <c r="A51" s="110">
        <v>40024349</v>
      </c>
      <c r="B51" s="110" t="s">
        <v>319</v>
      </c>
      <c r="C51" s="50">
        <v>3</v>
      </c>
      <c r="D51" s="111" t="s">
        <v>128</v>
      </c>
      <c r="E51" s="112" t="s">
        <v>280</v>
      </c>
      <c r="F51" s="112" t="s">
        <v>318</v>
      </c>
      <c r="G51" s="112" t="str">
        <f t="shared" ref="G51" si="104">IFERROR(LEFT(B51,FIND("],",B51)),B51)</f>
        <v>[effect:rush, count:1, val:0.9]</v>
      </c>
      <c r="H51" s="112">
        <f t="shared" ref="H51" si="105">FIND("effect:",G51)+7</f>
        <v>9</v>
      </c>
      <c r="I51" s="112">
        <f t="shared" ref="I51" si="106">IFERROR(FIND(",",G51),LEN(G51))</f>
        <v>13</v>
      </c>
      <c r="J51" s="112" t="e">
        <f t="shared" ref="J51" si="107">FIND("target:",G51)+7</f>
        <v>#VALUE!</v>
      </c>
      <c r="K51" s="112">
        <f t="shared" ref="K51" si="108">FIND(",",G51,I51+1)</f>
        <v>22</v>
      </c>
      <c r="L51" s="63" t="str">
        <f>IFERROR(VLOOKUP(MID(G51,J51,K51-J51),[6]skilldef!$C:$D,2,FALSE),"-") &amp; " / " &amp; IFERROR(VLOOKUP(MID(G51,H51,I51-H51),[6]skilldef!$A:$B,2,FALSE),"-")</f>
        <v>- / 連続攻撃</v>
      </c>
      <c r="M51" s="63" t="str">
        <f t="shared" ref="M51" si="109">IFERROR(RIGHT(B51,LEN(B51)-FIND("],",B51)-1),"none")</f>
        <v>[effect:hungup, target:unit_all, turn:1, rate:1, calc_type:target_one, animation:hungup01]</v>
      </c>
      <c r="N51" s="48" t="str">
        <f t="shared" ref="N51" si="110">IFERROR(LEFT(M51,FIND("],",M51)+S61),M51)</f>
        <v>[effect:hungup, target:unit_all, turn:1, rate:1, calc_type:target_one, animation:hungup01]</v>
      </c>
      <c r="O51" s="63">
        <f t="shared" ref="O51" si="111">FIND("effect:",N51)+7</f>
        <v>9</v>
      </c>
      <c r="P51" s="63">
        <f t="shared" ref="P51" si="112">IFERROR(FIND(",",N51),LEN(N51))</f>
        <v>15</v>
      </c>
      <c r="Q51" s="63">
        <f t="shared" ref="Q51" si="113">FIND("target:",N51)+7</f>
        <v>24</v>
      </c>
      <c r="R51" s="63">
        <f t="shared" ref="R51" si="114">FIND(",",N51,P51+1)</f>
        <v>32</v>
      </c>
      <c r="S51" s="63" t="str">
        <f>IFERROR(VLOOKUP(MID(N51,Q51,R51-Q51),[6]skilldef!$C:$D,2,FALSE),"-") &amp; " / " &amp; IFERROR(VLOOKUP(MID(N51,O51,P51-O51),[6]skilldef!$A:$B,2,FALSE),"-")</f>
        <v>味方全体に / ハングアップ</v>
      </c>
      <c r="T51" s="48" t="str">
        <f t="shared" ref="T51" si="115">IFERROR(RIGHT(M51,LEN(M51)-FIND("],",M51)-1),"none")</f>
        <v>none</v>
      </c>
      <c r="U51" s="63" t="e">
        <f t="shared" ref="U51" si="116">FIND("effect:",T51)+7</f>
        <v>#VALUE!</v>
      </c>
      <c r="V51" s="63">
        <f t="shared" ref="V51" si="117">IFERROR(FIND(",",T51),LEN(T51))</f>
        <v>4</v>
      </c>
      <c r="W51" s="63" t="e">
        <f t="shared" ref="W51" si="118">FIND("target:",T51)+7</f>
        <v>#VALUE!</v>
      </c>
      <c r="X51" s="63" t="e">
        <f t="shared" ref="X51" si="119">FIND(",",T51,V51+1)</f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111" t="s">
        <v>265</v>
      </c>
      <c r="AA51" s="113"/>
      <c r="AB51" s="111" t="s">
        <v>295</v>
      </c>
    </row>
    <row r="52" spans="1:28" s="114" customFormat="1" ht="28" x14ac:dyDescent="0.15">
      <c r="A52" s="110">
        <v>40024350</v>
      </c>
      <c r="B52" s="110" t="s">
        <v>297</v>
      </c>
      <c r="C52" s="50">
        <v>3</v>
      </c>
      <c r="D52" s="111" t="s">
        <v>128</v>
      </c>
      <c r="E52" s="112" t="s">
        <v>315</v>
      </c>
      <c r="F52" s="112" t="s">
        <v>316</v>
      </c>
      <c r="G52" s="112" t="str">
        <f t="shared" ref="G52:G53" si="120">IFERROR(LEFT(B52,FIND("],",B52)),B52)</f>
        <v xml:space="preserve">[effect:enemy_message, val1:2, val2:1.8]    </v>
      </c>
      <c r="H52" s="112">
        <f t="shared" ref="H52:H53" si="121">FIND("effect:",G52)+7</f>
        <v>9</v>
      </c>
      <c r="I52" s="112">
        <f t="shared" ref="I52:I53" si="122">IFERROR(FIND(",",G52),LEN(G52))</f>
        <v>22</v>
      </c>
      <c r="J52" s="112" t="e">
        <f t="shared" ref="J52:J53" si="123">FIND("target:",G52)+7</f>
        <v>#VALUE!</v>
      </c>
      <c r="K52" s="112">
        <f t="shared" ref="K52:K53" si="124">FIND(",",G52,I52+1)</f>
        <v>30</v>
      </c>
      <c r="L52" s="63" t="str">
        <f>IFERROR(VLOOKUP(MID(G52,J52,K52-J52),[6]skilldef!$C:$D,2,FALSE),"-") &amp; " / " &amp; IFERROR(VLOOKUP(MID(G52,H52,I52-H52),[6]skilldef!$A:$B,2,FALSE),"-")</f>
        <v>- / -</v>
      </c>
      <c r="M52" s="63" t="str">
        <f t="shared" ref="M52:M53" si="125">IFERROR(RIGHT(B52,LEN(B52)-FIND("],",B52)-1),"none")</f>
        <v>none</v>
      </c>
      <c r="N52" s="48" t="str">
        <f t="shared" ref="N52:N53" si="126">IFERROR(LEFT(M52,FIND("],",M52)+S62),M52)</f>
        <v>none</v>
      </c>
      <c r="O52" s="63" t="e">
        <f t="shared" ref="O52:O53" si="127">FIND("effect:",N52)+7</f>
        <v>#VALUE!</v>
      </c>
      <c r="P52" s="63">
        <f t="shared" ref="P52:P53" si="128">IFERROR(FIND(",",N52),LEN(N52))</f>
        <v>4</v>
      </c>
      <c r="Q52" s="63" t="e">
        <f t="shared" ref="Q52:Q53" si="129">FIND("target:",N52)+7</f>
        <v>#VALUE!</v>
      </c>
      <c r="R52" s="63" t="e">
        <f t="shared" ref="R52:R53" si="130">FIND(",",N52,P52+1)</f>
        <v>#VALUE!</v>
      </c>
      <c r="S52" s="63" t="str">
        <f>IFERROR(VLOOKUP(MID(N52,Q52,R52-Q52),[6]skilldef!$C:$D,2,FALSE),"-") &amp; " / " &amp; IFERROR(VLOOKUP(MID(N52,O52,P52-O52),[6]skilldef!$A:$B,2,FALSE),"-")</f>
        <v>- / -</v>
      </c>
      <c r="T52" s="48" t="str">
        <f t="shared" ref="T52:T53" si="131">IFERROR(RIGHT(M52,LEN(M52)-FIND("],",M52)-1),"none")</f>
        <v>none</v>
      </c>
      <c r="U52" s="63" t="e">
        <f t="shared" ref="U52:U53" si="132">FIND("effect:",T52)+7</f>
        <v>#VALUE!</v>
      </c>
      <c r="V52" s="63">
        <f t="shared" ref="V52:V53" si="133">IFERROR(FIND(",",T52),LEN(T52))</f>
        <v>4</v>
      </c>
      <c r="W52" s="63" t="e">
        <f t="shared" ref="W52:W53" si="134">FIND("target:",T52)+7</f>
        <v>#VALUE!</v>
      </c>
      <c r="X52" s="63" t="e">
        <f t="shared" ref="X52:X53" si="135">FIND(",",T52,V52+1)</f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111" t="s">
        <v>265</v>
      </c>
      <c r="AA52" s="113"/>
      <c r="AB52" s="111" t="s">
        <v>300</v>
      </c>
    </row>
    <row r="53" spans="1:28" s="114" customFormat="1" ht="28" x14ac:dyDescent="0.15">
      <c r="A53" s="110">
        <v>40024351</v>
      </c>
      <c r="B53" s="110" t="s">
        <v>421</v>
      </c>
      <c r="C53" s="50">
        <v>3</v>
      </c>
      <c r="D53" s="111" t="s">
        <v>128</v>
      </c>
      <c r="E53" s="112" t="s">
        <v>398</v>
      </c>
      <c r="F53" s="112" t="s">
        <v>422</v>
      </c>
      <c r="G53" s="112" t="str">
        <f t="shared" si="120"/>
        <v>[effect:break_attack_fix, target:enemy_all, val:500, lowest_val:500, count:20, color:green, block01:jammer]</v>
      </c>
      <c r="H53" s="112">
        <f t="shared" si="121"/>
        <v>9</v>
      </c>
      <c r="I53" s="112">
        <f t="shared" si="122"/>
        <v>25</v>
      </c>
      <c r="J53" s="112">
        <f t="shared" si="123"/>
        <v>34</v>
      </c>
      <c r="K53" s="112">
        <f t="shared" si="124"/>
        <v>43</v>
      </c>
      <c r="L53" s="63" t="str">
        <f>IFERROR(VLOOKUP(MID(G53,J53,K53-J53),[6]skilldef!$C:$D,2,FALSE),"-") &amp; " / " &amp; IFERROR(VLOOKUP(MID(G53,H53,I53-H53),[6]skilldef!$A:$B,2,FALSE),"-")</f>
        <v>敵全体に / -</v>
      </c>
      <c r="M53" s="63" t="str">
        <f t="shared" si="125"/>
        <v xml:space="preserve">[effect:dark, target:unit_all, turn:1, animation:enemy_dark]    </v>
      </c>
      <c r="N53" s="48" t="str">
        <f t="shared" si="126"/>
        <v xml:space="preserve">[effect:dark, target:unit_all, turn:1, animation:enemy_dark]    </v>
      </c>
      <c r="O53" s="63">
        <f t="shared" si="127"/>
        <v>9</v>
      </c>
      <c r="P53" s="63">
        <f t="shared" si="128"/>
        <v>13</v>
      </c>
      <c r="Q53" s="63">
        <f t="shared" si="129"/>
        <v>22</v>
      </c>
      <c r="R53" s="63">
        <f t="shared" si="130"/>
        <v>30</v>
      </c>
      <c r="S53" s="63" t="str">
        <f>IFERROR(VLOOKUP(MID(N53,Q53,R53-Q53),[6]skilldef!$C:$D,2,FALSE),"-") &amp; " / " &amp; IFERROR(VLOOKUP(MID(N53,O53,P53-O53),[6]skilldef!$A:$B,2,FALSE),"-")</f>
        <v>味方全体に / 暗黒</v>
      </c>
      <c r="T53" s="48" t="str">
        <f t="shared" si="131"/>
        <v>none</v>
      </c>
      <c r="U53" s="63" t="e">
        <f t="shared" si="132"/>
        <v>#VALUE!</v>
      </c>
      <c r="V53" s="63">
        <f t="shared" si="133"/>
        <v>4</v>
      </c>
      <c r="W53" s="63" t="e">
        <f t="shared" si="134"/>
        <v>#VALUE!</v>
      </c>
      <c r="X53" s="63" t="e">
        <f t="shared" si="135"/>
        <v>#VALUE!</v>
      </c>
      <c r="Y53" s="63" t="str">
        <f>IFERROR(VLOOKUP(MID(T53,W53,X53-W53),[6]skilldef!$C:$D,2,FALSE),"-") &amp; " / " &amp; IFERROR(VLOOKUP(MID(T53,U53,V53-U53),[6]skilldef!$A:$B,2,FALSE),"-")</f>
        <v>- / -</v>
      </c>
      <c r="Z53" s="111" t="s">
        <v>265</v>
      </c>
      <c r="AA53" s="113"/>
      <c r="AB53" s="111" t="s">
        <v>299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3"/>
  <sheetViews>
    <sheetView showGridLines="0" zoomScale="75" zoomScaleNormal="75" zoomScalePageLayoutView="75" workbookViewId="0">
      <pane ySplit="1" topLeftCell="A28" activePane="bottomLeft" state="frozenSplit"/>
      <selection pane="bottomLeft" activeCell="F69" sqref="F69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40024600</v>
      </c>
      <c r="B2" s="47">
        <v>1</v>
      </c>
      <c r="C2" s="47">
        <v>100</v>
      </c>
      <c r="D2" s="47">
        <v>100</v>
      </c>
      <c r="E2" s="47" t="s">
        <v>311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40024601</v>
      </c>
      <c r="B3" s="47">
        <v>0</v>
      </c>
      <c r="C3" s="47">
        <v>90</v>
      </c>
      <c r="D3" s="47">
        <v>30</v>
      </c>
      <c r="E3" s="47" t="s">
        <v>311</v>
      </c>
      <c r="F3" s="47" t="s">
        <v>90</v>
      </c>
      <c r="G3" s="47" t="s">
        <v>89</v>
      </c>
      <c r="H3" s="47" t="s">
        <v>90</v>
      </c>
      <c r="I3" s="47" t="s">
        <v>90</v>
      </c>
      <c r="J3" s="48">
        <f t="shared" ref="J3:J42" si="1">D3</f>
        <v>30</v>
      </c>
    </row>
    <row r="4" spans="1:11" ht="21" customHeight="1" x14ac:dyDescent="0.15">
      <c r="A4" s="47">
        <v>40024602</v>
      </c>
      <c r="B4" s="47">
        <v>0</v>
      </c>
      <c r="C4" s="47">
        <v>80</v>
      </c>
      <c r="D4" s="47">
        <v>60</v>
      </c>
      <c r="E4" s="47" t="s">
        <v>311</v>
      </c>
      <c r="F4" s="47" t="s">
        <v>90</v>
      </c>
      <c r="G4" s="47" t="s">
        <v>89</v>
      </c>
      <c r="H4" s="47" t="s">
        <v>90</v>
      </c>
      <c r="I4" s="47" t="s">
        <v>90</v>
      </c>
      <c r="J4" s="48">
        <f t="shared" si="1"/>
        <v>60</v>
      </c>
    </row>
    <row r="5" spans="1:11" ht="21" customHeight="1" x14ac:dyDescent="0.15">
      <c r="A5" s="47">
        <v>40024603</v>
      </c>
      <c r="B5" s="47">
        <v>0</v>
      </c>
      <c r="C5" s="47">
        <v>70</v>
      </c>
      <c r="D5" s="47">
        <v>100</v>
      </c>
      <c r="E5" s="47" t="s">
        <v>311</v>
      </c>
      <c r="F5" s="47" t="s">
        <v>90</v>
      </c>
      <c r="G5" s="47" t="s">
        <v>89</v>
      </c>
      <c r="H5" s="47" t="s">
        <v>90</v>
      </c>
      <c r="I5" s="47" t="s">
        <v>90</v>
      </c>
      <c r="J5" s="48">
        <f t="shared" si="1"/>
        <v>100</v>
      </c>
    </row>
    <row r="6" spans="1:11" ht="21" customHeight="1" x14ac:dyDescent="0.15">
      <c r="A6" s="47">
        <v>40024604</v>
      </c>
      <c r="B6" s="47">
        <v>1</v>
      </c>
      <c r="C6" s="47">
        <v>100</v>
      </c>
      <c r="D6" s="47">
        <v>100</v>
      </c>
      <c r="E6" s="47" t="s">
        <v>311</v>
      </c>
      <c r="F6" s="47" t="s">
        <v>90</v>
      </c>
      <c r="G6" s="47">
        <v>1</v>
      </c>
      <c r="H6" s="47" t="s">
        <v>90</v>
      </c>
      <c r="I6" s="47">
        <v>883</v>
      </c>
      <c r="J6" s="48">
        <f t="shared" si="1"/>
        <v>100</v>
      </c>
    </row>
    <row r="7" spans="1:11" ht="21" customHeight="1" x14ac:dyDescent="0.15">
      <c r="A7" s="47">
        <v>40024605</v>
      </c>
      <c r="B7" s="47">
        <v>1</v>
      </c>
      <c r="C7" s="47">
        <v>90</v>
      </c>
      <c r="D7" s="47">
        <v>100</v>
      </c>
      <c r="E7" s="47" t="s">
        <v>311</v>
      </c>
      <c r="F7" s="47" t="s">
        <v>90</v>
      </c>
      <c r="G7" s="47">
        <v>1</v>
      </c>
      <c r="H7" s="47" t="s">
        <v>90</v>
      </c>
      <c r="I7" s="47" t="s">
        <v>90</v>
      </c>
      <c r="J7" s="48">
        <f t="shared" si="1"/>
        <v>100</v>
      </c>
    </row>
    <row r="8" spans="1:11" ht="21" customHeight="1" x14ac:dyDescent="0.15">
      <c r="A8" s="47">
        <v>40024606</v>
      </c>
      <c r="B8" s="47">
        <v>0</v>
      </c>
      <c r="C8" s="47">
        <v>80</v>
      </c>
      <c r="D8" s="47">
        <v>50</v>
      </c>
      <c r="E8" s="47" t="s">
        <v>311</v>
      </c>
      <c r="F8" s="47" t="s">
        <v>90</v>
      </c>
      <c r="G8" s="47" t="s">
        <v>89</v>
      </c>
      <c r="H8" s="47" t="s">
        <v>90</v>
      </c>
      <c r="I8" s="47" t="s">
        <v>90</v>
      </c>
      <c r="J8" s="48">
        <f t="shared" si="1"/>
        <v>50</v>
      </c>
    </row>
    <row r="9" spans="1:11" ht="21" customHeight="1" x14ac:dyDescent="0.15">
      <c r="A9" s="47">
        <v>40024607</v>
      </c>
      <c r="B9" s="47">
        <v>0</v>
      </c>
      <c r="C9" s="47">
        <v>85</v>
      </c>
      <c r="D9" s="47">
        <v>100</v>
      </c>
      <c r="E9" s="47">
        <v>50</v>
      </c>
      <c r="F9" s="47" t="s">
        <v>90</v>
      </c>
      <c r="G9" s="47">
        <v>1</v>
      </c>
      <c r="H9" s="47" t="s">
        <v>90</v>
      </c>
      <c r="I9" s="47" t="s">
        <v>90</v>
      </c>
      <c r="J9" s="48">
        <f t="shared" si="1"/>
        <v>100</v>
      </c>
    </row>
    <row r="10" spans="1:11" ht="21" customHeight="1" x14ac:dyDescent="0.15">
      <c r="A10" s="47">
        <v>40024608</v>
      </c>
      <c r="B10" s="47">
        <v>1</v>
      </c>
      <c r="C10" s="47">
        <v>100</v>
      </c>
      <c r="D10" s="47">
        <v>100</v>
      </c>
      <c r="E10" s="47" t="s">
        <v>311</v>
      </c>
      <c r="F10" s="47" t="s">
        <v>89</v>
      </c>
      <c r="G10" s="47">
        <v>1</v>
      </c>
      <c r="H10" s="47" t="s">
        <v>89</v>
      </c>
      <c r="I10" s="47">
        <v>883</v>
      </c>
      <c r="J10" s="48">
        <f t="shared" si="1"/>
        <v>100</v>
      </c>
    </row>
    <row r="11" spans="1:11" ht="21" customHeight="1" x14ac:dyDescent="0.15">
      <c r="A11" s="47">
        <v>40024609</v>
      </c>
      <c r="B11" s="47">
        <v>1</v>
      </c>
      <c r="C11" s="47">
        <v>90</v>
      </c>
      <c r="D11" s="47">
        <v>100</v>
      </c>
      <c r="E11" s="47" t="s">
        <v>311</v>
      </c>
      <c r="F11" s="47" t="s">
        <v>89</v>
      </c>
      <c r="G11" s="47">
        <v>1</v>
      </c>
      <c r="H11" s="47" t="s">
        <v>89</v>
      </c>
      <c r="I11" s="47" t="s">
        <v>89</v>
      </c>
      <c r="J11" s="48">
        <f t="shared" si="1"/>
        <v>100</v>
      </c>
    </row>
    <row r="12" spans="1:11" ht="21" customHeight="1" x14ac:dyDescent="0.15">
      <c r="A12" s="47">
        <v>40024610</v>
      </c>
      <c r="B12" s="47">
        <v>0</v>
      </c>
      <c r="C12" s="47">
        <v>80</v>
      </c>
      <c r="D12" s="47">
        <v>50</v>
      </c>
      <c r="E12" s="47" t="s">
        <v>311</v>
      </c>
      <c r="F12" s="47" t="s">
        <v>89</v>
      </c>
      <c r="G12" s="47" t="s">
        <v>89</v>
      </c>
      <c r="H12" s="47" t="s">
        <v>89</v>
      </c>
      <c r="I12" s="47" t="s">
        <v>89</v>
      </c>
      <c r="J12" s="48">
        <f t="shared" si="1"/>
        <v>50</v>
      </c>
    </row>
    <row r="13" spans="1:11" ht="21" customHeight="1" x14ac:dyDescent="0.15">
      <c r="A13" s="47">
        <v>40024611</v>
      </c>
      <c r="B13" s="47">
        <v>0</v>
      </c>
      <c r="C13" s="47">
        <v>85</v>
      </c>
      <c r="D13" s="47">
        <v>100</v>
      </c>
      <c r="E13" s="47">
        <v>50</v>
      </c>
      <c r="F13" s="47" t="s">
        <v>89</v>
      </c>
      <c r="G13" s="47">
        <v>1</v>
      </c>
      <c r="H13" s="47" t="s">
        <v>89</v>
      </c>
      <c r="I13" s="47" t="s">
        <v>89</v>
      </c>
      <c r="J13" s="48">
        <f t="shared" si="1"/>
        <v>100</v>
      </c>
    </row>
    <row r="14" spans="1:11" ht="21" customHeight="1" x14ac:dyDescent="0.15">
      <c r="A14" s="47">
        <v>40024612</v>
      </c>
      <c r="B14" s="47">
        <v>1</v>
      </c>
      <c r="C14" s="47">
        <v>100</v>
      </c>
      <c r="D14" s="47">
        <v>100</v>
      </c>
      <c r="E14" s="47" t="s">
        <v>311</v>
      </c>
      <c r="F14" s="47" t="s">
        <v>89</v>
      </c>
      <c r="G14" s="47">
        <v>1</v>
      </c>
      <c r="H14" s="47" t="s">
        <v>89</v>
      </c>
      <c r="I14" s="47" t="s">
        <v>89</v>
      </c>
      <c r="J14" s="48">
        <f t="shared" si="1"/>
        <v>100</v>
      </c>
    </row>
    <row r="15" spans="1:11" ht="21" customHeight="1" x14ac:dyDescent="0.15">
      <c r="A15" s="47">
        <v>40024613</v>
      </c>
      <c r="B15" s="47">
        <v>0</v>
      </c>
      <c r="C15" s="47">
        <v>90</v>
      </c>
      <c r="D15" s="47">
        <v>80</v>
      </c>
      <c r="E15" s="47" t="s">
        <v>311</v>
      </c>
      <c r="F15" s="47" t="s">
        <v>89</v>
      </c>
      <c r="G15" s="47" t="s">
        <v>89</v>
      </c>
      <c r="H15" s="47" t="s">
        <v>89</v>
      </c>
      <c r="I15" s="47" t="s">
        <v>89</v>
      </c>
      <c r="J15" s="48">
        <f t="shared" si="1"/>
        <v>80</v>
      </c>
    </row>
    <row r="16" spans="1:11" ht="21" customHeight="1" x14ac:dyDescent="0.15">
      <c r="A16" s="47">
        <v>40024614</v>
      </c>
      <c r="B16" s="47">
        <v>0</v>
      </c>
      <c r="C16" s="47">
        <v>100</v>
      </c>
      <c r="D16" s="47">
        <v>33</v>
      </c>
      <c r="E16" s="47" t="s">
        <v>311</v>
      </c>
      <c r="F16" s="47" t="s">
        <v>89</v>
      </c>
      <c r="G16" s="47" t="s">
        <v>89</v>
      </c>
      <c r="H16" s="47" t="s">
        <v>89</v>
      </c>
      <c r="I16" s="47" t="s">
        <v>89</v>
      </c>
      <c r="J16" s="48">
        <f t="shared" si="1"/>
        <v>33</v>
      </c>
    </row>
    <row r="17" spans="1:10" ht="21" customHeight="1" x14ac:dyDescent="0.15">
      <c r="A17" s="47">
        <v>40024615</v>
      </c>
      <c r="B17" s="47">
        <v>0</v>
      </c>
      <c r="C17" s="47">
        <v>90</v>
      </c>
      <c r="D17" s="47">
        <v>50</v>
      </c>
      <c r="E17" s="47" t="s">
        <v>311</v>
      </c>
      <c r="F17" s="47" t="s">
        <v>89</v>
      </c>
      <c r="G17" s="47" t="s">
        <v>89</v>
      </c>
      <c r="H17" s="47" t="s">
        <v>89</v>
      </c>
      <c r="I17" s="47" t="s">
        <v>89</v>
      </c>
      <c r="J17" s="48">
        <f t="shared" si="1"/>
        <v>50</v>
      </c>
    </row>
    <row r="18" spans="1:10" ht="21" customHeight="1" x14ac:dyDescent="0.15">
      <c r="A18" s="47">
        <v>40024616</v>
      </c>
      <c r="B18" s="47">
        <v>0</v>
      </c>
      <c r="C18" s="47">
        <v>80</v>
      </c>
      <c r="D18" s="47">
        <v>100</v>
      </c>
      <c r="E18" s="47" t="s">
        <v>311</v>
      </c>
      <c r="F18" s="47" t="s">
        <v>89</v>
      </c>
      <c r="G18" s="47">
        <v>3</v>
      </c>
      <c r="H18" s="47">
        <v>3</v>
      </c>
      <c r="I18" s="47" t="s">
        <v>89</v>
      </c>
      <c r="J18" s="48">
        <f t="shared" si="1"/>
        <v>100</v>
      </c>
    </row>
    <row r="19" spans="1:10" ht="21" customHeight="1" x14ac:dyDescent="0.15">
      <c r="A19" s="47">
        <v>40024617</v>
      </c>
      <c r="B19" s="47">
        <v>1</v>
      </c>
      <c r="C19" s="47">
        <v>100</v>
      </c>
      <c r="D19" s="47">
        <v>100</v>
      </c>
      <c r="E19" s="47" t="s">
        <v>311</v>
      </c>
      <c r="F19" s="47" t="s">
        <v>89</v>
      </c>
      <c r="G19" s="47">
        <v>1</v>
      </c>
      <c r="H19" s="47" t="s">
        <v>89</v>
      </c>
      <c r="I19" s="47" t="s">
        <v>89</v>
      </c>
      <c r="J19" s="48">
        <f t="shared" si="1"/>
        <v>100</v>
      </c>
    </row>
    <row r="20" spans="1:10" ht="21" customHeight="1" x14ac:dyDescent="0.15">
      <c r="A20" s="47">
        <v>40024618</v>
      </c>
      <c r="B20" s="47">
        <v>0</v>
      </c>
      <c r="C20" s="47">
        <v>90</v>
      </c>
      <c r="D20" s="47">
        <v>25</v>
      </c>
      <c r="E20" s="47" t="s">
        <v>311</v>
      </c>
      <c r="F20" s="47" t="s">
        <v>89</v>
      </c>
      <c r="G20" s="47" t="s">
        <v>89</v>
      </c>
      <c r="H20" s="47" t="s">
        <v>89</v>
      </c>
      <c r="I20" s="47" t="s">
        <v>89</v>
      </c>
      <c r="J20" s="48">
        <f t="shared" si="1"/>
        <v>25</v>
      </c>
    </row>
    <row r="21" spans="1:10" ht="21" customHeight="1" x14ac:dyDescent="0.15">
      <c r="A21" s="47">
        <v>40024619</v>
      </c>
      <c r="B21" s="47">
        <v>0</v>
      </c>
      <c r="C21" s="47">
        <v>80</v>
      </c>
      <c r="D21" s="47">
        <v>33</v>
      </c>
      <c r="E21" s="47" t="s">
        <v>311</v>
      </c>
      <c r="F21" s="47" t="s">
        <v>89</v>
      </c>
      <c r="G21" s="47" t="s">
        <v>89</v>
      </c>
      <c r="H21" s="47" t="s">
        <v>89</v>
      </c>
      <c r="I21" s="47" t="s">
        <v>89</v>
      </c>
      <c r="J21" s="48">
        <f t="shared" si="1"/>
        <v>33</v>
      </c>
    </row>
    <row r="22" spans="1:10" ht="21" customHeight="1" x14ac:dyDescent="0.15">
      <c r="A22" s="47">
        <v>40024620</v>
      </c>
      <c r="B22" s="47">
        <v>0</v>
      </c>
      <c r="C22" s="47">
        <v>70</v>
      </c>
      <c r="D22" s="47">
        <v>50</v>
      </c>
      <c r="E22" s="47" t="s">
        <v>311</v>
      </c>
      <c r="F22" s="47" t="s">
        <v>89</v>
      </c>
      <c r="G22" s="47" t="s">
        <v>89</v>
      </c>
      <c r="H22" s="47" t="s">
        <v>89</v>
      </c>
      <c r="I22" s="47" t="s">
        <v>89</v>
      </c>
      <c r="J22" s="48">
        <f t="shared" si="1"/>
        <v>50</v>
      </c>
    </row>
    <row r="23" spans="1:10" ht="21" customHeight="1" x14ac:dyDescent="0.15">
      <c r="A23" s="47">
        <v>40024621</v>
      </c>
      <c r="B23" s="47">
        <v>0</v>
      </c>
      <c r="C23" s="47">
        <v>60</v>
      </c>
      <c r="D23" s="47">
        <v>100</v>
      </c>
      <c r="E23" s="47" t="s">
        <v>311</v>
      </c>
      <c r="F23" s="47" t="s">
        <v>89</v>
      </c>
      <c r="G23" s="47" t="s">
        <v>89</v>
      </c>
      <c r="H23" s="47" t="s">
        <v>89</v>
      </c>
      <c r="I23" s="47" t="s">
        <v>89</v>
      </c>
      <c r="J23" s="48">
        <f t="shared" si="1"/>
        <v>100</v>
      </c>
    </row>
    <row r="24" spans="1:10" ht="21" customHeight="1" x14ac:dyDescent="0.15">
      <c r="A24" s="47">
        <v>40024622</v>
      </c>
      <c r="B24" s="47">
        <v>0</v>
      </c>
      <c r="C24" s="47">
        <v>90</v>
      </c>
      <c r="D24" s="47">
        <v>33</v>
      </c>
      <c r="E24" s="47" t="s">
        <v>311</v>
      </c>
      <c r="F24" s="47" t="s">
        <v>89</v>
      </c>
      <c r="G24" s="47" t="s">
        <v>89</v>
      </c>
      <c r="H24" s="47" t="s">
        <v>89</v>
      </c>
      <c r="I24" s="47" t="s">
        <v>89</v>
      </c>
      <c r="J24" s="48">
        <f t="shared" si="1"/>
        <v>33</v>
      </c>
    </row>
    <row r="25" spans="1:10" ht="21" customHeight="1" x14ac:dyDescent="0.15">
      <c r="A25" s="47">
        <v>40024623</v>
      </c>
      <c r="B25" s="47">
        <v>0</v>
      </c>
      <c r="C25" s="47">
        <v>80</v>
      </c>
      <c r="D25" s="47">
        <v>50</v>
      </c>
      <c r="E25" s="47" t="s">
        <v>311</v>
      </c>
      <c r="F25" s="47" t="s">
        <v>89</v>
      </c>
      <c r="G25" s="47" t="s">
        <v>89</v>
      </c>
      <c r="H25" s="47" t="s">
        <v>89</v>
      </c>
      <c r="I25" s="47" t="s">
        <v>89</v>
      </c>
      <c r="J25" s="48">
        <f t="shared" si="1"/>
        <v>50</v>
      </c>
    </row>
    <row r="26" spans="1:10" ht="21" customHeight="1" x14ac:dyDescent="0.15">
      <c r="A26" s="47">
        <v>40024624</v>
      </c>
      <c r="B26" s="47">
        <v>0</v>
      </c>
      <c r="C26" s="47">
        <v>100</v>
      </c>
      <c r="D26" s="47">
        <v>100</v>
      </c>
      <c r="E26" s="47">
        <v>50</v>
      </c>
      <c r="F26" s="47" t="s">
        <v>89</v>
      </c>
      <c r="G26" s="47">
        <v>1</v>
      </c>
      <c r="H26" s="47" t="s">
        <v>89</v>
      </c>
      <c r="I26" s="47" t="s">
        <v>89</v>
      </c>
      <c r="J26" s="48">
        <f t="shared" si="1"/>
        <v>100</v>
      </c>
    </row>
    <row r="27" spans="1:10" ht="21" customHeight="1" x14ac:dyDescent="0.15">
      <c r="A27" s="47">
        <v>40024625</v>
      </c>
      <c r="B27" s="47">
        <v>1</v>
      </c>
      <c r="C27" s="47">
        <v>100</v>
      </c>
      <c r="D27" s="47">
        <v>30</v>
      </c>
      <c r="E27" s="47" t="s">
        <v>311</v>
      </c>
      <c r="F27" s="47" t="s">
        <v>89</v>
      </c>
      <c r="G27" s="47" t="s">
        <v>89</v>
      </c>
      <c r="H27" s="47" t="s">
        <v>89</v>
      </c>
      <c r="I27" s="47" t="s">
        <v>89</v>
      </c>
      <c r="J27" s="48">
        <f t="shared" si="1"/>
        <v>30</v>
      </c>
    </row>
    <row r="28" spans="1:10" ht="21" customHeight="1" x14ac:dyDescent="0.15">
      <c r="A28" s="47">
        <v>40024626</v>
      </c>
      <c r="B28" s="47">
        <v>0</v>
      </c>
      <c r="C28" s="47">
        <v>98</v>
      </c>
      <c r="D28" s="47">
        <v>40</v>
      </c>
      <c r="E28" s="47" t="s">
        <v>311</v>
      </c>
      <c r="F28" s="47" t="s">
        <v>89</v>
      </c>
      <c r="G28" s="47">
        <v>2</v>
      </c>
      <c r="H28" s="47" t="s">
        <v>89</v>
      </c>
      <c r="I28" s="47" t="s">
        <v>89</v>
      </c>
      <c r="J28" s="48">
        <f t="shared" si="1"/>
        <v>40</v>
      </c>
    </row>
    <row r="29" spans="1:10" ht="21" customHeight="1" x14ac:dyDescent="0.15">
      <c r="A29" s="47">
        <v>40024627</v>
      </c>
      <c r="B29" s="47">
        <v>0</v>
      </c>
      <c r="C29" s="47">
        <v>97</v>
      </c>
      <c r="D29" s="47">
        <v>80</v>
      </c>
      <c r="E29" s="47" t="s">
        <v>311</v>
      </c>
      <c r="F29" s="47" t="s">
        <v>89</v>
      </c>
      <c r="G29" s="47">
        <v>3</v>
      </c>
      <c r="H29" s="47" t="s">
        <v>89</v>
      </c>
      <c r="I29" s="47" t="s">
        <v>89</v>
      </c>
      <c r="J29" s="48">
        <f t="shared" si="1"/>
        <v>80</v>
      </c>
    </row>
    <row r="30" spans="1:10" ht="21" customHeight="1" x14ac:dyDescent="0.15">
      <c r="A30" s="47">
        <v>40024628</v>
      </c>
      <c r="B30" s="47">
        <v>0</v>
      </c>
      <c r="C30" s="47">
        <v>99</v>
      </c>
      <c r="D30" s="47">
        <v>100</v>
      </c>
      <c r="E30" s="47" t="s">
        <v>311</v>
      </c>
      <c r="F30" s="47" t="s">
        <v>89</v>
      </c>
      <c r="G30" s="47">
        <v>0</v>
      </c>
      <c r="H30" s="47" t="s">
        <v>89</v>
      </c>
      <c r="I30" s="47">
        <v>0</v>
      </c>
      <c r="J30" s="48">
        <f t="shared" si="1"/>
        <v>100</v>
      </c>
    </row>
    <row r="31" spans="1:10" ht="21" customHeight="1" x14ac:dyDescent="0.15">
      <c r="A31" s="47">
        <v>40024629</v>
      </c>
      <c r="B31" s="47">
        <v>1</v>
      </c>
      <c r="C31" s="47">
        <v>100</v>
      </c>
      <c r="D31" s="47">
        <v>100</v>
      </c>
      <c r="E31" s="47" t="s">
        <v>311</v>
      </c>
      <c r="F31" s="47" t="s">
        <v>89</v>
      </c>
      <c r="G31" s="47">
        <v>1</v>
      </c>
      <c r="H31" s="47" t="s">
        <v>89</v>
      </c>
      <c r="I31" s="47" t="s">
        <v>89</v>
      </c>
      <c r="J31" s="48">
        <f t="shared" si="1"/>
        <v>100</v>
      </c>
    </row>
    <row r="32" spans="1:10" ht="21" customHeight="1" x14ac:dyDescent="0.15">
      <c r="A32" s="47">
        <v>40024630</v>
      </c>
      <c r="B32" s="47">
        <v>0</v>
      </c>
      <c r="C32" s="47">
        <v>90</v>
      </c>
      <c r="D32" s="47">
        <v>40</v>
      </c>
      <c r="E32" s="47" t="s">
        <v>311</v>
      </c>
      <c r="F32" s="47" t="s">
        <v>89</v>
      </c>
      <c r="G32" s="47" t="s">
        <v>89</v>
      </c>
      <c r="H32" s="47" t="s">
        <v>89</v>
      </c>
      <c r="I32" s="47" t="s">
        <v>89</v>
      </c>
      <c r="J32" s="48">
        <f t="shared" si="1"/>
        <v>40</v>
      </c>
    </row>
    <row r="33" spans="1:10" ht="21" customHeight="1" x14ac:dyDescent="0.15">
      <c r="A33" s="47">
        <v>40024631</v>
      </c>
      <c r="B33" s="47">
        <v>0</v>
      </c>
      <c r="C33" s="47">
        <v>80</v>
      </c>
      <c r="D33" s="47">
        <v>60</v>
      </c>
      <c r="E33" s="47" t="s">
        <v>311</v>
      </c>
      <c r="F33" s="47" t="s">
        <v>89</v>
      </c>
      <c r="G33" s="47" t="s">
        <v>89</v>
      </c>
      <c r="H33" s="47" t="s">
        <v>89</v>
      </c>
      <c r="I33" s="47" t="s">
        <v>89</v>
      </c>
      <c r="J33" s="48">
        <f t="shared" si="1"/>
        <v>60</v>
      </c>
    </row>
    <row r="34" spans="1:10" ht="21" customHeight="1" x14ac:dyDescent="0.15">
      <c r="A34" s="47">
        <v>40024632</v>
      </c>
      <c r="B34" s="47">
        <v>0</v>
      </c>
      <c r="C34" s="47">
        <v>70</v>
      </c>
      <c r="D34" s="47">
        <v>80</v>
      </c>
      <c r="E34" s="47" t="s">
        <v>311</v>
      </c>
      <c r="F34" s="47" t="s">
        <v>89</v>
      </c>
      <c r="G34" s="47">
        <v>1</v>
      </c>
      <c r="H34" s="47" t="s">
        <v>89</v>
      </c>
      <c r="I34" s="47" t="s">
        <v>89</v>
      </c>
      <c r="J34" s="48">
        <f t="shared" si="1"/>
        <v>80</v>
      </c>
    </row>
    <row r="35" spans="1:10" ht="21" customHeight="1" x14ac:dyDescent="0.15">
      <c r="A35" s="47">
        <v>40024633</v>
      </c>
      <c r="B35" s="47">
        <v>0</v>
      </c>
      <c r="C35" s="47">
        <v>60</v>
      </c>
      <c r="D35" s="47">
        <v>100</v>
      </c>
      <c r="E35" s="47">
        <v>50</v>
      </c>
      <c r="F35" s="47" t="s">
        <v>89</v>
      </c>
      <c r="G35" s="47">
        <v>1</v>
      </c>
      <c r="H35" s="47" t="s">
        <v>89</v>
      </c>
      <c r="I35" s="47" t="s">
        <v>89</v>
      </c>
      <c r="J35" s="48">
        <f t="shared" si="1"/>
        <v>100</v>
      </c>
    </row>
    <row r="36" spans="1:10" ht="21" customHeight="1" x14ac:dyDescent="0.15">
      <c r="A36" s="47">
        <v>40024634</v>
      </c>
      <c r="B36" s="47">
        <v>1</v>
      </c>
      <c r="C36" s="47">
        <v>97</v>
      </c>
      <c r="D36" s="47">
        <v>100</v>
      </c>
      <c r="E36" s="47" t="s">
        <v>311</v>
      </c>
      <c r="F36" s="47" t="s">
        <v>89</v>
      </c>
      <c r="G36" s="47">
        <v>1</v>
      </c>
      <c r="H36" s="47" t="s">
        <v>89</v>
      </c>
      <c r="I36" s="47" t="s">
        <v>89</v>
      </c>
      <c r="J36" s="48">
        <f t="shared" si="1"/>
        <v>100</v>
      </c>
    </row>
    <row r="37" spans="1:10" ht="21" customHeight="1" x14ac:dyDescent="0.15">
      <c r="A37" s="47">
        <v>40024635</v>
      </c>
      <c r="B37" s="47">
        <v>0</v>
      </c>
      <c r="C37" s="47">
        <v>98</v>
      </c>
      <c r="D37" s="47">
        <v>100</v>
      </c>
      <c r="E37" s="47">
        <v>50</v>
      </c>
      <c r="F37" s="47">
        <v>33</v>
      </c>
      <c r="G37" s="47">
        <v>1</v>
      </c>
      <c r="H37" s="47" t="s">
        <v>89</v>
      </c>
      <c r="I37" s="47" t="s">
        <v>89</v>
      </c>
      <c r="J37" s="48">
        <f t="shared" si="1"/>
        <v>100</v>
      </c>
    </row>
    <row r="38" spans="1:10" ht="21" customHeight="1" x14ac:dyDescent="0.15">
      <c r="A38" s="47">
        <v>40024636</v>
      </c>
      <c r="B38" s="47">
        <v>0</v>
      </c>
      <c r="C38" s="47">
        <v>99</v>
      </c>
      <c r="D38" s="47">
        <v>100</v>
      </c>
      <c r="E38" s="47">
        <v>33</v>
      </c>
      <c r="F38" s="47" t="s">
        <v>89</v>
      </c>
      <c r="G38" s="47">
        <v>1</v>
      </c>
      <c r="H38" s="47" t="s">
        <v>89</v>
      </c>
      <c r="I38" s="47" t="s">
        <v>89</v>
      </c>
      <c r="J38" s="48">
        <f t="shared" si="1"/>
        <v>100</v>
      </c>
    </row>
    <row r="39" spans="1:10" ht="21" customHeight="1" x14ac:dyDescent="0.15">
      <c r="A39" s="47">
        <v>40024637</v>
      </c>
      <c r="B39" s="47">
        <v>0</v>
      </c>
      <c r="C39" s="47">
        <v>90</v>
      </c>
      <c r="D39" s="47">
        <v>18</v>
      </c>
      <c r="E39" s="47" t="s">
        <v>311</v>
      </c>
      <c r="F39" s="47" t="s">
        <v>89</v>
      </c>
      <c r="G39" s="47" t="s">
        <v>89</v>
      </c>
      <c r="H39" s="47" t="s">
        <v>89</v>
      </c>
      <c r="I39" s="47" t="s">
        <v>89</v>
      </c>
      <c r="J39" s="48">
        <f t="shared" si="1"/>
        <v>18</v>
      </c>
    </row>
    <row r="40" spans="1:10" ht="21" customHeight="1" x14ac:dyDescent="0.15">
      <c r="A40" s="47">
        <v>40024638</v>
      </c>
      <c r="B40" s="47">
        <v>0</v>
      </c>
      <c r="C40" s="47">
        <v>80</v>
      </c>
      <c r="D40" s="47">
        <v>18</v>
      </c>
      <c r="E40" s="47" t="s">
        <v>311</v>
      </c>
      <c r="F40" s="47" t="s">
        <v>89</v>
      </c>
      <c r="G40" s="47" t="s">
        <v>89</v>
      </c>
      <c r="H40" s="47" t="s">
        <v>89</v>
      </c>
      <c r="I40" s="47" t="s">
        <v>89</v>
      </c>
      <c r="J40" s="48">
        <f t="shared" si="1"/>
        <v>18</v>
      </c>
    </row>
    <row r="41" spans="1:10" ht="21" customHeight="1" x14ac:dyDescent="0.15">
      <c r="A41" s="47">
        <v>40024639</v>
      </c>
      <c r="B41" s="47">
        <v>0</v>
      </c>
      <c r="C41" s="47">
        <v>70</v>
      </c>
      <c r="D41" s="47">
        <v>18</v>
      </c>
      <c r="E41" s="47" t="s">
        <v>311</v>
      </c>
      <c r="F41" s="47" t="s">
        <v>89</v>
      </c>
      <c r="G41" s="47" t="s">
        <v>89</v>
      </c>
      <c r="H41" s="47" t="s">
        <v>89</v>
      </c>
      <c r="I41" s="47" t="s">
        <v>89</v>
      </c>
      <c r="J41" s="48">
        <f t="shared" si="1"/>
        <v>18</v>
      </c>
    </row>
    <row r="42" spans="1:10" ht="14" x14ac:dyDescent="0.15">
      <c r="A42" s="47">
        <v>40024640</v>
      </c>
      <c r="B42" s="47">
        <v>0</v>
      </c>
      <c r="C42" s="47">
        <v>60</v>
      </c>
      <c r="D42" s="47">
        <v>18</v>
      </c>
      <c r="E42" s="47" t="s">
        <v>311</v>
      </c>
      <c r="F42" s="47" t="s">
        <v>89</v>
      </c>
      <c r="G42" s="47" t="s">
        <v>89</v>
      </c>
      <c r="H42" s="47" t="s">
        <v>89</v>
      </c>
      <c r="I42" s="47" t="s">
        <v>89</v>
      </c>
      <c r="J42" s="48">
        <f t="shared" si="1"/>
        <v>18</v>
      </c>
    </row>
    <row r="43" spans="1:10" ht="14" x14ac:dyDescent="0.15">
      <c r="A43" s="47">
        <v>40024641</v>
      </c>
      <c r="B43" s="47">
        <v>0</v>
      </c>
      <c r="C43" s="47">
        <v>50</v>
      </c>
      <c r="D43" s="47">
        <v>22</v>
      </c>
      <c r="E43" s="47" t="s">
        <v>311</v>
      </c>
      <c r="F43" s="47" t="s">
        <v>89</v>
      </c>
      <c r="G43" s="47" t="s">
        <v>89</v>
      </c>
      <c r="H43" s="47" t="s">
        <v>89</v>
      </c>
      <c r="I43" s="47" t="s">
        <v>89</v>
      </c>
      <c r="J43" s="48">
        <f t="shared" ref="J43:J45" si="2">D43</f>
        <v>22</v>
      </c>
    </row>
    <row r="44" spans="1:10" ht="14" x14ac:dyDescent="0.15">
      <c r="A44" s="47">
        <v>40024642</v>
      </c>
      <c r="B44" s="47">
        <v>0</v>
      </c>
      <c r="C44" s="47">
        <v>55</v>
      </c>
      <c r="D44" s="47">
        <v>22</v>
      </c>
      <c r="E44" s="47" t="s">
        <v>311</v>
      </c>
      <c r="F44" s="47" t="s">
        <v>89</v>
      </c>
      <c r="G44" s="47" t="s">
        <v>89</v>
      </c>
      <c r="H44" s="47" t="s">
        <v>89</v>
      </c>
      <c r="I44" s="47" t="s">
        <v>89</v>
      </c>
      <c r="J44" s="48">
        <f t="shared" si="2"/>
        <v>22</v>
      </c>
    </row>
    <row r="45" spans="1:10" ht="14" x14ac:dyDescent="0.15">
      <c r="A45" s="47">
        <v>40024643</v>
      </c>
      <c r="B45" s="47">
        <v>0</v>
      </c>
      <c r="C45" s="47">
        <v>30</v>
      </c>
      <c r="D45" s="47">
        <v>22</v>
      </c>
      <c r="E45" s="47" t="s">
        <v>311</v>
      </c>
      <c r="F45" s="47" t="s">
        <v>89</v>
      </c>
      <c r="G45" s="47" t="s">
        <v>89</v>
      </c>
      <c r="H45" s="47" t="s">
        <v>89</v>
      </c>
      <c r="I45" s="47" t="s">
        <v>89</v>
      </c>
      <c r="J45" s="48">
        <f t="shared" si="2"/>
        <v>22</v>
      </c>
    </row>
    <row r="46" spans="1:10" ht="14" x14ac:dyDescent="0.15">
      <c r="A46" s="47">
        <v>40024644</v>
      </c>
      <c r="B46" s="47">
        <v>0</v>
      </c>
      <c r="C46" s="47">
        <v>65</v>
      </c>
      <c r="D46" s="47">
        <v>40</v>
      </c>
      <c r="E46" s="47">
        <v>50</v>
      </c>
      <c r="F46" s="47" t="s">
        <v>89</v>
      </c>
      <c r="G46" s="47">
        <v>1</v>
      </c>
      <c r="H46" s="47" t="s">
        <v>89</v>
      </c>
      <c r="I46" s="47" t="s">
        <v>89</v>
      </c>
      <c r="J46" s="48">
        <f t="shared" ref="J46" si="3">D46</f>
        <v>40</v>
      </c>
    </row>
    <row r="47" spans="1:10" ht="14" x14ac:dyDescent="0.15">
      <c r="A47" s="47">
        <v>40024645</v>
      </c>
      <c r="B47" s="47">
        <v>0</v>
      </c>
      <c r="C47" s="47">
        <v>10</v>
      </c>
      <c r="D47" s="47">
        <v>50</v>
      </c>
      <c r="E47" s="47">
        <v>30</v>
      </c>
      <c r="F47" s="47" t="s">
        <v>89</v>
      </c>
      <c r="G47" s="47">
        <v>1</v>
      </c>
      <c r="H47" s="47" t="s">
        <v>89</v>
      </c>
      <c r="I47" s="47" t="s">
        <v>89</v>
      </c>
      <c r="J47" s="48">
        <f t="shared" ref="J47" si="4">D47</f>
        <v>50</v>
      </c>
    </row>
    <row r="48" spans="1:10" ht="14" x14ac:dyDescent="0.15">
      <c r="A48" s="47">
        <v>40024646</v>
      </c>
      <c r="B48" s="47">
        <v>0</v>
      </c>
      <c r="C48" s="47">
        <v>1</v>
      </c>
      <c r="D48" s="47">
        <v>30</v>
      </c>
      <c r="E48" s="47" t="s">
        <v>311</v>
      </c>
      <c r="F48" s="47" t="s">
        <v>89</v>
      </c>
      <c r="G48" s="47" t="s">
        <v>89</v>
      </c>
      <c r="H48" s="47" t="s">
        <v>89</v>
      </c>
      <c r="I48" s="47" t="s">
        <v>89</v>
      </c>
      <c r="J48" s="48">
        <f t="shared" ref="J48:J61" si="5">D48</f>
        <v>30</v>
      </c>
    </row>
    <row r="49" spans="1:10" ht="14" x14ac:dyDescent="0.15">
      <c r="A49" s="47">
        <v>40024647</v>
      </c>
      <c r="B49" s="47">
        <v>0</v>
      </c>
      <c r="C49" s="47">
        <v>100</v>
      </c>
      <c r="D49" s="47">
        <v>100</v>
      </c>
      <c r="E49" s="47" t="s">
        <v>311</v>
      </c>
      <c r="F49" s="47" t="s">
        <v>89</v>
      </c>
      <c r="G49" s="47">
        <v>0</v>
      </c>
      <c r="H49" s="47" t="s">
        <v>89</v>
      </c>
      <c r="I49" s="47">
        <v>0</v>
      </c>
      <c r="J49" s="48">
        <f t="shared" si="5"/>
        <v>100</v>
      </c>
    </row>
    <row r="50" spans="1:10" ht="21" customHeight="1" x14ac:dyDescent="0.15">
      <c r="A50" s="47">
        <v>40024648</v>
      </c>
      <c r="B50" s="47">
        <v>1</v>
      </c>
      <c r="C50" s="47">
        <v>97</v>
      </c>
      <c r="D50" s="47">
        <v>100</v>
      </c>
      <c r="E50" s="47" t="s">
        <v>311</v>
      </c>
      <c r="F50" s="47" t="s">
        <v>53</v>
      </c>
      <c r="G50" s="47">
        <v>1</v>
      </c>
      <c r="H50" s="47" t="s">
        <v>53</v>
      </c>
      <c r="I50" s="47" t="s">
        <v>53</v>
      </c>
      <c r="J50" s="48">
        <f t="shared" si="5"/>
        <v>100</v>
      </c>
    </row>
    <row r="51" spans="1:10" ht="21" customHeight="1" x14ac:dyDescent="0.15">
      <c r="A51" s="47">
        <v>40024649</v>
      </c>
      <c r="B51" s="47">
        <v>0</v>
      </c>
      <c r="C51" s="47">
        <v>98</v>
      </c>
      <c r="D51" s="47">
        <v>100</v>
      </c>
      <c r="E51" s="47">
        <v>50</v>
      </c>
      <c r="F51" s="47">
        <v>33</v>
      </c>
      <c r="G51" s="47">
        <v>1</v>
      </c>
      <c r="H51" s="47" t="s">
        <v>53</v>
      </c>
      <c r="I51" s="47" t="s">
        <v>53</v>
      </c>
      <c r="J51" s="48">
        <f t="shared" si="5"/>
        <v>100</v>
      </c>
    </row>
    <row r="52" spans="1:10" ht="21" customHeight="1" x14ac:dyDescent="0.15">
      <c r="A52" s="47">
        <v>40024650</v>
      </c>
      <c r="B52" s="47">
        <v>0</v>
      </c>
      <c r="C52" s="47">
        <v>99</v>
      </c>
      <c r="D52" s="47">
        <v>100</v>
      </c>
      <c r="E52" s="47">
        <v>33</v>
      </c>
      <c r="F52" s="47" t="s">
        <v>53</v>
      </c>
      <c r="G52" s="47">
        <v>1</v>
      </c>
      <c r="H52" s="47" t="s">
        <v>53</v>
      </c>
      <c r="I52" s="47" t="s">
        <v>53</v>
      </c>
      <c r="J52" s="48">
        <f t="shared" si="5"/>
        <v>100</v>
      </c>
    </row>
    <row r="53" spans="1:10" ht="21" customHeight="1" x14ac:dyDescent="0.15">
      <c r="A53" s="47">
        <v>40024651</v>
      </c>
      <c r="B53" s="47">
        <v>0</v>
      </c>
      <c r="C53" s="47">
        <v>90</v>
      </c>
      <c r="D53" s="47">
        <v>20</v>
      </c>
      <c r="E53" s="47" t="s">
        <v>311</v>
      </c>
      <c r="F53" s="47" t="s">
        <v>53</v>
      </c>
      <c r="G53" s="47" t="s">
        <v>53</v>
      </c>
      <c r="H53" s="47" t="s">
        <v>53</v>
      </c>
      <c r="I53" s="47" t="s">
        <v>53</v>
      </c>
      <c r="J53" s="48">
        <f t="shared" si="5"/>
        <v>20</v>
      </c>
    </row>
    <row r="54" spans="1:10" ht="21" customHeight="1" x14ac:dyDescent="0.15">
      <c r="A54" s="47">
        <v>40024652</v>
      </c>
      <c r="B54" s="47">
        <v>0</v>
      </c>
      <c r="C54" s="47">
        <v>80</v>
      </c>
      <c r="D54" s="47">
        <v>20</v>
      </c>
      <c r="E54" s="47" t="s">
        <v>311</v>
      </c>
      <c r="F54" s="47" t="s">
        <v>53</v>
      </c>
      <c r="G54" s="47" t="s">
        <v>53</v>
      </c>
      <c r="H54" s="47" t="s">
        <v>53</v>
      </c>
      <c r="I54" s="47" t="s">
        <v>53</v>
      </c>
      <c r="J54" s="48">
        <f t="shared" si="5"/>
        <v>20</v>
      </c>
    </row>
    <row r="55" spans="1:10" ht="21" customHeight="1" x14ac:dyDescent="0.15">
      <c r="A55" s="47">
        <v>40024653</v>
      </c>
      <c r="B55" s="47">
        <v>0</v>
      </c>
      <c r="C55" s="47">
        <v>70</v>
      </c>
      <c r="D55" s="47">
        <v>20</v>
      </c>
      <c r="E55" s="47" t="s">
        <v>311</v>
      </c>
      <c r="F55" s="47" t="s">
        <v>53</v>
      </c>
      <c r="G55" s="47" t="s">
        <v>53</v>
      </c>
      <c r="H55" s="47" t="s">
        <v>53</v>
      </c>
      <c r="I55" s="47" t="s">
        <v>53</v>
      </c>
      <c r="J55" s="48">
        <f t="shared" si="5"/>
        <v>20</v>
      </c>
    </row>
    <row r="56" spans="1:10" ht="14" x14ac:dyDescent="0.15">
      <c r="A56" s="47">
        <v>40024654</v>
      </c>
      <c r="B56" s="47">
        <v>0</v>
      </c>
      <c r="C56" s="47">
        <v>60</v>
      </c>
      <c r="D56" s="47">
        <v>20</v>
      </c>
      <c r="E56" s="47" t="s">
        <v>311</v>
      </c>
      <c r="F56" s="47" t="s">
        <v>53</v>
      </c>
      <c r="G56" s="47" t="s">
        <v>53</v>
      </c>
      <c r="H56" s="47" t="s">
        <v>53</v>
      </c>
      <c r="I56" s="47" t="s">
        <v>53</v>
      </c>
      <c r="J56" s="48">
        <f t="shared" si="5"/>
        <v>20</v>
      </c>
    </row>
    <row r="57" spans="1:10" ht="14" x14ac:dyDescent="0.15">
      <c r="A57" s="47">
        <v>40024655</v>
      </c>
      <c r="B57" s="47">
        <v>0</v>
      </c>
      <c r="C57" s="47">
        <v>50</v>
      </c>
      <c r="D57" s="47">
        <v>25</v>
      </c>
      <c r="E57" s="47" t="s">
        <v>311</v>
      </c>
      <c r="F57" s="47" t="s">
        <v>53</v>
      </c>
      <c r="G57" s="47" t="s">
        <v>53</v>
      </c>
      <c r="H57" s="47" t="s">
        <v>53</v>
      </c>
      <c r="I57" s="47" t="s">
        <v>53</v>
      </c>
      <c r="J57" s="48">
        <f t="shared" si="5"/>
        <v>25</v>
      </c>
    </row>
    <row r="58" spans="1:10" ht="14" x14ac:dyDescent="0.15">
      <c r="A58" s="47">
        <v>40024656</v>
      </c>
      <c r="B58" s="47">
        <v>0</v>
      </c>
      <c r="C58" s="47">
        <v>55</v>
      </c>
      <c r="D58" s="47">
        <v>25</v>
      </c>
      <c r="E58" s="47" t="s">
        <v>311</v>
      </c>
      <c r="F58" s="47" t="s">
        <v>53</v>
      </c>
      <c r="G58" s="47" t="s">
        <v>53</v>
      </c>
      <c r="H58" s="47" t="s">
        <v>53</v>
      </c>
      <c r="I58" s="47" t="s">
        <v>53</v>
      </c>
      <c r="J58" s="48">
        <f t="shared" si="5"/>
        <v>25</v>
      </c>
    </row>
    <row r="59" spans="1:10" ht="14" x14ac:dyDescent="0.15">
      <c r="A59" s="47">
        <v>40024657</v>
      </c>
      <c r="B59" s="47">
        <v>0</v>
      </c>
      <c r="C59" s="47">
        <v>30</v>
      </c>
      <c r="D59" s="47">
        <v>25</v>
      </c>
      <c r="E59" s="47" t="s">
        <v>311</v>
      </c>
      <c r="F59" s="47" t="s">
        <v>53</v>
      </c>
      <c r="G59" s="47" t="s">
        <v>53</v>
      </c>
      <c r="H59" s="47" t="s">
        <v>53</v>
      </c>
      <c r="I59" s="47" t="s">
        <v>53</v>
      </c>
      <c r="J59" s="48">
        <f t="shared" si="5"/>
        <v>25</v>
      </c>
    </row>
    <row r="60" spans="1:10" ht="14" x14ac:dyDescent="0.15">
      <c r="A60" s="47">
        <v>40024658</v>
      </c>
      <c r="B60" s="47">
        <v>0</v>
      </c>
      <c r="C60" s="47">
        <v>65</v>
      </c>
      <c r="D60" s="47">
        <v>40</v>
      </c>
      <c r="E60" s="47">
        <v>50</v>
      </c>
      <c r="F60" s="47" t="s">
        <v>53</v>
      </c>
      <c r="G60" s="47">
        <v>1</v>
      </c>
      <c r="H60" s="47" t="s">
        <v>53</v>
      </c>
      <c r="I60" s="47" t="s">
        <v>53</v>
      </c>
      <c r="J60" s="48">
        <f t="shared" si="5"/>
        <v>40</v>
      </c>
    </row>
    <row r="61" spans="1:10" ht="14" x14ac:dyDescent="0.15">
      <c r="A61" s="47">
        <v>40024659</v>
      </c>
      <c r="B61" s="47">
        <v>0</v>
      </c>
      <c r="C61" s="47">
        <v>10</v>
      </c>
      <c r="D61" s="47">
        <v>50</v>
      </c>
      <c r="E61" s="47">
        <v>30</v>
      </c>
      <c r="F61" s="47" t="s">
        <v>53</v>
      </c>
      <c r="G61" s="47">
        <v>1</v>
      </c>
      <c r="H61" s="47" t="s">
        <v>53</v>
      </c>
      <c r="I61" s="47" t="s">
        <v>53</v>
      </c>
      <c r="J61" s="48">
        <f t="shared" si="5"/>
        <v>50</v>
      </c>
    </row>
    <row r="62" spans="1:10" ht="14" x14ac:dyDescent="0.15">
      <c r="A62" s="47">
        <v>40024660</v>
      </c>
      <c r="B62" s="47">
        <v>0</v>
      </c>
      <c r="C62" s="47">
        <v>1</v>
      </c>
      <c r="D62" s="47">
        <v>50</v>
      </c>
      <c r="E62" s="47" t="s">
        <v>311</v>
      </c>
      <c r="F62" s="47" t="s">
        <v>53</v>
      </c>
      <c r="G62" s="47" t="s">
        <v>53</v>
      </c>
      <c r="H62" s="47" t="s">
        <v>53</v>
      </c>
      <c r="I62" s="47" t="s">
        <v>53</v>
      </c>
      <c r="J62" s="48">
        <f t="shared" ref="J62:J63" si="6">D62</f>
        <v>50</v>
      </c>
    </row>
    <row r="63" spans="1:10" ht="14" x14ac:dyDescent="0.15">
      <c r="A63" s="47">
        <v>40024661</v>
      </c>
      <c r="B63" s="47">
        <v>0</v>
      </c>
      <c r="C63" s="47">
        <v>100</v>
      </c>
      <c r="D63" s="47">
        <v>100</v>
      </c>
      <c r="E63" s="47" t="s">
        <v>311</v>
      </c>
      <c r="F63" s="47" t="s">
        <v>53</v>
      </c>
      <c r="G63" s="47">
        <v>0</v>
      </c>
      <c r="H63" s="47" t="s">
        <v>53</v>
      </c>
      <c r="I63" s="47">
        <v>0</v>
      </c>
      <c r="J63" s="48">
        <f t="shared" si="6"/>
        <v>100</v>
      </c>
    </row>
  </sheetData>
  <autoFilter ref="A1:G1"/>
  <phoneticPr fontId="5"/>
  <conditionalFormatting sqref="K1:K49 K64:K1048576">
    <cfRule type="duplicateValues" dxfId="1" priority="2"/>
  </conditionalFormatting>
  <conditionalFormatting sqref="K50:K6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L29" sqref="L2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7">
        <f>floors!C$2</f>
        <v>40024</v>
      </c>
      <c r="B2" s="57">
        <v>1</v>
      </c>
      <c r="C2" s="71" t="str">
        <f>A2&amp; "_"&amp;B2</f>
        <v>40024_1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169</v>
      </c>
      <c r="G2" s="57">
        <v>40000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150</v>
      </c>
      <c r="Q2" s="57" t="s">
        <v>171</v>
      </c>
      <c r="R2" s="57" t="s">
        <v>172</v>
      </c>
    </row>
    <row r="3" spans="1:18" x14ac:dyDescent="0.15">
      <c r="A3" s="57">
        <f>floors!C$2</f>
        <v>40024</v>
      </c>
      <c r="B3" s="57">
        <v>1</v>
      </c>
      <c r="C3" s="71" t="str">
        <f t="shared" ref="C3:C18" si="0">A3&amp; "_"&amp;B3</f>
        <v>40024_1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313</v>
      </c>
      <c r="G3" s="57">
        <v>30</v>
      </c>
      <c r="H3" s="57" t="s">
        <v>89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171</v>
      </c>
      <c r="R3" s="57" t="s">
        <v>172</v>
      </c>
    </row>
    <row r="4" spans="1:18" x14ac:dyDescent="0.15">
      <c r="A4" s="57">
        <f>floors!C$2</f>
        <v>40024</v>
      </c>
      <c r="B4" s="57">
        <v>1</v>
      </c>
      <c r="C4" s="71" t="str">
        <f t="shared" si="0"/>
        <v>40024_1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314</v>
      </c>
      <c r="G4" s="57">
        <v>337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28</v>
      </c>
      <c r="Q4" s="57" t="s">
        <v>171</v>
      </c>
      <c r="R4" s="57" t="s">
        <v>172</v>
      </c>
    </row>
    <row r="5" spans="1:18" x14ac:dyDescent="0.15">
      <c r="A5" s="57">
        <f>floors!C$2</f>
        <v>40024</v>
      </c>
      <c r="B5" s="57">
        <v>1</v>
      </c>
      <c r="C5" s="71" t="str">
        <f t="shared" si="0"/>
        <v>40024_1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314</v>
      </c>
      <c r="G5" s="57">
        <v>338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112</v>
      </c>
      <c r="Q5" s="57" t="s">
        <v>171</v>
      </c>
      <c r="R5" s="57" t="s">
        <v>172</v>
      </c>
    </row>
    <row r="6" spans="1:18" x14ac:dyDescent="0.15">
      <c r="A6" s="57">
        <f>floors!C$2</f>
        <v>40024</v>
      </c>
      <c r="B6" s="57">
        <v>1</v>
      </c>
      <c r="C6" s="71" t="str">
        <f t="shared" si="0"/>
        <v>40024_1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314</v>
      </c>
      <c r="G6" s="57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100</v>
      </c>
      <c r="Q6" s="57" t="s">
        <v>171</v>
      </c>
      <c r="R6" s="57" t="s">
        <v>172</v>
      </c>
    </row>
    <row r="7" spans="1:18" x14ac:dyDescent="0.15">
      <c r="A7" s="57">
        <f>floors!C$2</f>
        <v>40024</v>
      </c>
      <c r="B7" s="57">
        <v>1</v>
      </c>
      <c r="C7" s="71" t="str">
        <f t="shared" si="0"/>
        <v>40024_1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314</v>
      </c>
      <c r="G7" s="57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100</v>
      </c>
      <c r="Q7" s="57" t="s">
        <v>171</v>
      </c>
      <c r="R7" s="57" t="s">
        <v>172</v>
      </c>
    </row>
    <row r="8" spans="1:18" x14ac:dyDescent="0.15">
      <c r="A8" s="57">
        <f>floors!C$2</f>
        <v>40024</v>
      </c>
      <c r="B8" s="57">
        <v>1</v>
      </c>
      <c r="C8" s="71" t="str">
        <f t="shared" si="0"/>
        <v>40024_1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314</v>
      </c>
      <c r="G8" s="57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100</v>
      </c>
      <c r="Q8" s="57" t="s">
        <v>171</v>
      </c>
      <c r="R8" s="57" t="s">
        <v>172</v>
      </c>
    </row>
    <row r="9" spans="1:18" x14ac:dyDescent="0.15">
      <c r="A9" s="57">
        <f>floors!C$2</f>
        <v>40024</v>
      </c>
      <c r="B9" s="57">
        <v>1</v>
      </c>
      <c r="C9" s="71" t="str">
        <f t="shared" si="0"/>
        <v>40024_1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314</v>
      </c>
      <c r="G9" s="57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171</v>
      </c>
      <c r="R9" s="57" t="s">
        <v>172</v>
      </c>
    </row>
    <row r="10" spans="1:18" x14ac:dyDescent="0.15">
      <c r="A10" s="57">
        <f>floors!C$2</f>
        <v>40024</v>
      </c>
      <c r="B10" s="57">
        <v>1</v>
      </c>
      <c r="C10" s="71" t="str">
        <f t="shared" si="0"/>
        <v>40024_1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314</v>
      </c>
      <c r="G10" s="57">
        <v>788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100</v>
      </c>
      <c r="Q10" s="57" t="s">
        <v>171</v>
      </c>
      <c r="R10" s="57" t="s">
        <v>172</v>
      </c>
    </row>
    <row r="11" spans="1:18" x14ac:dyDescent="0.15">
      <c r="A11" s="57">
        <f>floors!C$2</f>
        <v>40024</v>
      </c>
      <c r="B11" s="57">
        <v>1</v>
      </c>
      <c r="C11" s="71" t="str">
        <f t="shared" si="0"/>
        <v>40024_1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314</v>
      </c>
      <c r="G11" s="57">
        <v>350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150</v>
      </c>
      <c r="Q11" s="57" t="s">
        <v>171</v>
      </c>
      <c r="R11" s="57" t="s">
        <v>172</v>
      </c>
    </row>
    <row r="12" spans="1:18" x14ac:dyDescent="0.15">
      <c r="A12" s="57">
        <f>floors!C$2</f>
        <v>40024</v>
      </c>
      <c r="B12" s="57">
        <v>2</v>
      </c>
      <c r="C12" s="71" t="str">
        <f t="shared" si="0"/>
        <v>40024_2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314</v>
      </c>
      <c r="G12" s="57">
        <v>338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50</v>
      </c>
      <c r="Q12" s="57" t="s">
        <v>171</v>
      </c>
      <c r="R12" s="57" t="s">
        <v>172</v>
      </c>
    </row>
    <row r="13" spans="1:18" x14ac:dyDescent="0.15">
      <c r="A13" s="57">
        <f>floors!C$2</f>
        <v>40024</v>
      </c>
      <c r="B13" s="57">
        <v>2</v>
      </c>
      <c r="C13" s="71" t="str">
        <f t="shared" si="0"/>
        <v>40024_2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314</v>
      </c>
      <c r="G13" s="57">
        <v>607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100</v>
      </c>
      <c r="Q13" s="57" t="s">
        <v>171</v>
      </c>
      <c r="R13" s="57" t="s">
        <v>172</v>
      </c>
    </row>
    <row r="14" spans="1:18" x14ac:dyDescent="0.15">
      <c r="A14" s="57">
        <f>floors!C$2</f>
        <v>40024</v>
      </c>
      <c r="B14" s="57">
        <v>2</v>
      </c>
      <c r="C14" s="71" t="str">
        <f t="shared" si="0"/>
        <v>40024_2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314</v>
      </c>
      <c r="G14" s="57">
        <v>608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100</v>
      </c>
      <c r="Q14" s="57" t="s">
        <v>171</v>
      </c>
      <c r="R14" s="57" t="s">
        <v>172</v>
      </c>
    </row>
    <row r="15" spans="1:18" x14ac:dyDescent="0.15">
      <c r="A15" s="57">
        <f>floors!C$2</f>
        <v>40024</v>
      </c>
      <c r="B15" s="57">
        <v>2</v>
      </c>
      <c r="C15" s="71" t="str">
        <f t="shared" si="0"/>
        <v>40024_2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314</v>
      </c>
      <c r="G15" s="57">
        <v>609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100</v>
      </c>
      <c r="Q15" s="57" t="s">
        <v>171</v>
      </c>
      <c r="R15" s="57" t="s">
        <v>172</v>
      </c>
    </row>
    <row r="16" spans="1:18" x14ac:dyDescent="0.15">
      <c r="A16" s="57">
        <f>floors!C$2</f>
        <v>40024</v>
      </c>
      <c r="B16" s="57">
        <v>2</v>
      </c>
      <c r="C16" s="71" t="str">
        <f t="shared" si="0"/>
        <v>40024_2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15</v>
      </c>
      <c r="F16" s="57" t="s">
        <v>314</v>
      </c>
      <c r="G16" s="57">
        <v>125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30</v>
      </c>
      <c r="Q16" s="57" t="s">
        <v>171</v>
      </c>
      <c r="R16" s="57" t="s">
        <v>172</v>
      </c>
    </row>
    <row r="17" spans="1:18" x14ac:dyDescent="0.15">
      <c r="A17" s="57">
        <f>floors!C$2</f>
        <v>40024</v>
      </c>
      <c r="B17" s="57">
        <v>2</v>
      </c>
      <c r="C17" s="71" t="str">
        <f t="shared" si="0"/>
        <v>40024_2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16</v>
      </c>
      <c r="F17" s="57" t="s">
        <v>314</v>
      </c>
      <c r="G17" s="57">
        <v>788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500</v>
      </c>
      <c r="Q17" s="57" t="s">
        <v>171</v>
      </c>
      <c r="R17" s="57" t="s">
        <v>172</v>
      </c>
    </row>
    <row r="18" spans="1:18" x14ac:dyDescent="0.15">
      <c r="A18" s="57">
        <f>floors!C$2</f>
        <v>40024</v>
      </c>
      <c r="B18" s="57">
        <v>2</v>
      </c>
      <c r="C18" s="71" t="str">
        <f t="shared" si="0"/>
        <v>40024_2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17</v>
      </c>
      <c r="F18" s="57" t="s">
        <v>314</v>
      </c>
      <c r="G18" s="57">
        <v>350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120</v>
      </c>
      <c r="Q18" s="57" t="s">
        <v>171</v>
      </c>
      <c r="R18" s="57" t="s">
        <v>172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41" sqref="L41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189</v>
      </c>
      <c r="B1" s="73" t="s">
        <v>190</v>
      </c>
      <c r="C1" s="77" t="s">
        <v>191</v>
      </c>
      <c r="D1" s="77" t="s">
        <v>33</v>
      </c>
      <c r="E1" s="73" t="s">
        <v>192</v>
      </c>
      <c r="F1" s="77" t="s">
        <v>193</v>
      </c>
      <c r="G1" s="77" t="s">
        <v>33</v>
      </c>
      <c r="H1" s="73" t="s">
        <v>194</v>
      </c>
      <c r="I1" s="91" t="s">
        <v>196</v>
      </c>
      <c r="J1" s="79" t="s">
        <v>127</v>
      </c>
      <c r="K1" s="78" t="s">
        <v>188</v>
      </c>
      <c r="L1" s="92" t="s">
        <v>187</v>
      </c>
      <c r="M1" s="80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7"/>
  <sheetViews>
    <sheetView showGridLines="0" workbookViewId="0">
      <pane ySplit="1" topLeftCell="A2" activePane="bottomLeft" state="frozen"/>
      <selection pane="bottomLeft" activeCell="M10" sqref="M10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6" t="s">
        <v>189</v>
      </c>
      <c r="B1" s="73" t="s">
        <v>151</v>
      </c>
      <c r="C1" s="77" t="s">
        <v>191</v>
      </c>
      <c r="D1" s="77" t="s">
        <v>33</v>
      </c>
      <c r="E1" s="73" t="s">
        <v>192</v>
      </c>
      <c r="F1" s="77" t="s">
        <v>18</v>
      </c>
      <c r="G1" s="77" t="s">
        <v>33</v>
      </c>
      <c r="H1" s="73" t="s">
        <v>194</v>
      </c>
      <c r="I1" s="89" t="s">
        <v>195</v>
      </c>
      <c r="J1" s="91" t="s">
        <v>196</v>
      </c>
      <c r="K1" s="79" t="s">
        <v>127</v>
      </c>
      <c r="L1" s="78" t="s">
        <v>188</v>
      </c>
      <c r="M1" s="92" t="s">
        <v>187</v>
      </c>
      <c r="N1" s="80" t="s">
        <v>197</v>
      </c>
    </row>
    <row r="2" spans="1:15" ht="42" x14ac:dyDescent="0.15">
      <c r="A2" s="81" t="s">
        <v>198</v>
      </c>
      <c r="B2" s="82">
        <f>floors!$C$2</f>
        <v>40024</v>
      </c>
      <c r="C2" s="83" t="str">
        <f ca="1">VLOOKUP($B2,OFFSET([2]quests!$A$1,0,0,COUNTA([2]quests!$A:$A),MATCH(C$1,[2]quests!$1:$1,0)-MATCH($B$1,[2]quests!$1:$1,0)+1),MATCH(C$1,[2]quests!$1:$1,0)-MATCH($B$1,[2]quests!$1:$1,0)+1,FALSE)</f>
        <v>アトラス襲来！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降臨24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【超絶級】アトラス襲来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降臨24</v>
      </c>
      <c r="H2" s="85">
        <v>1</v>
      </c>
      <c r="I2" s="90">
        <f>ROW()-1</f>
        <v>1</v>
      </c>
      <c r="J2" s="86" t="str">
        <f>B2&amp;TEXT(I2,"00")</f>
        <v>4002401</v>
      </c>
      <c r="K2" s="84" t="s">
        <v>199</v>
      </c>
      <c r="L2" s="87" t="s">
        <v>200</v>
      </c>
      <c r="M2" s="115" t="s">
        <v>430</v>
      </c>
      <c r="N2" s="57" t="s">
        <v>201</v>
      </c>
      <c r="O2">
        <f>LEN(M2)</f>
        <v>49</v>
      </c>
    </row>
    <row r="3" spans="1:15" ht="56" x14ac:dyDescent="0.15">
      <c r="A3" s="81" t="s">
        <v>198</v>
      </c>
      <c r="B3" s="82">
        <f>floors!$C$2</f>
        <v>40024</v>
      </c>
      <c r="C3" s="83" t="str">
        <f ca="1">VLOOKUP($B3,OFFSET([2]quests!$A$1,0,0,COUNTA([2]quests!$A:$A),MATCH(C$1,[2]quests!$1:$1,0)-MATCH($B$1,[2]quests!$1:$1,0)+1),MATCH(C$1,[2]quests!$1:$1,0)-MATCH($B$1,[2]quests!$1:$1,0)+1,FALSE)</f>
        <v>アトラス襲来！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降臨24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【超絶級】アトラス襲来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降臨24</v>
      </c>
      <c r="H3" s="85">
        <v>2</v>
      </c>
      <c r="I3" s="90">
        <f t="shared" ref="I3:I17" si="0">ROW()-1</f>
        <v>2</v>
      </c>
      <c r="J3" s="86" t="str">
        <f t="shared" ref="J3" si="1">B3&amp;TEXT(I3,"00")</f>
        <v>4002402</v>
      </c>
      <c r="K3" s="84" t="s">
        <v>199</v>
      </c>
      <c r="L3" s="87" t="s">
        <v>200</v>
      </c>
      <c r="M3" s="115" t="s">
        <v>404</v>
      </c>
      <c r="N3" s="57" t="s">
        <v>201</v>
      </c>
      <c r="O3">
        <f t="shared" ref="O3" si="2">LEN(M3)</f>
        <v>59</v>
      </c>
    </row>
    <row r="4" spans="1:15" ht="42" x14ac:dyDescent="0.15">
      <c r="A4" s="81" t="s">
        <v>198</v>
      </c>
      <c r="B4" s="82">
        <f>floors!$C$2</f>
        <v>40024</v>
      </c>
      <c r="C4" s="83" t="str">
        <f ca="1">VLOOKUP($B4,OFFSET([2]quests!$A$1,0,0,COUNTA([2]quests!$A:$A),MATCH(C$1,[2]quests!$1:$1,0)-MATCH($B$1,[2]quests!$1:$1,0)+1),MATCH(C$1,[2]quests!$1:$1,0)-MATCH($B$1,[2]quests!$1:$1,0)+1,FALSE)</f>
        <v>アトラス襲来！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降臨24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【超絶級】アトラス襲来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降臨24</v>
      </c>
      <c r="H4" s="85">
        <v>2</v>
      </c>
      <c r="I4" s="90">
        <f t="shared" si="0"/>
        <v>3</v>
      </c>
      <c r="J4" s="86" t="str">
        <f t="shared" ref="J4:J11" si="3">B4&amp;TEXT(I4,"00")</f>
        <v>4002403</v>
      </c>
      <c r="K4" s="84" t="s">
        <v>199</v>
      </c>
      <c r="L4" s="87" t="s">
        <v>200</v>
      </c>
      <c r="M4" s="115" t="s">
        <v>403</v>
      </c>
      <c r="N4" s="57" t="s">
        <v>201</v>
      </c>
      <c r="O4">
        <f t="shared" ref="O4:O11" si="4">LEN(M4)</f>
        <v>42</v>
      </c>
    </row>
    <row r="5" spans="1:15" ht="56" x14ac:dyDescent="0.15">
      <c r="A5" s="81" t="s">
        <v>198</v>
      </c>
      <c r="B5" s="82">
        <f>floors!$C$2</f>
        <v>40024</v>
      </c>
      <c r="C5" s="83" t="str">
        <f ca="1">VLOOKUP($B5,OFFSET([2]quests!$A$1,0,0,COUNTA([2]quests!$A:$A),MATCH(C$1,[2]quests!$1:$1,0)-MATCH($B$1,[2]quests!$1:$1,0)+1),MATCH(C$1,[2]quests!$1:$1,0)-MATCH($B$1,[2]quests!$1:$1,0)+1,FALSE)</f>
        <v>アトラス襲来！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降臨24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【超絶級】アトラス襲来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降臨24</v>
      </c>
      <c r="H5" s="85">
        <v>3</v>
      </c>
      <c r="I5" s="90">
        <f t="shared" si="0"/>
        <v>4</v>
      </c>
      <c r="J5" s="86" t="str">
        <f t="shared" si="3"/>
        <v>4002404</v>
      </c>
      <c r="K5" s="84" t="s">
        <v>199</v>
      </c>
      <c r="L5" s="87" t="s">
        <v>200</v>
      </c>
      <c r="M5" s="115" t="s">
        <v>402</v>
      </c>
      <c r="N5" s="57" t="s">
        <v>201</v>
      </c>
      <c r="O5">
        <f t="shared" si="4"/>
        <v>56</v>
      </c>
    </row>
    <row r="6" spans="1:15" ht="28" x14ac:dyDescent="0.15">
      <c r="A6" s="81" t="s">
        <v>198</v>
      </c>
      <c r="B6" s="82">
        <f>floors!$C$2</f>
        <v>40024</v>
      </c>
      <c r="C6" s="83" t="str">
        <f ca="1">VLOOKUP($B6,OFFSET([2]quests!$A$1,0,0,COUNTA([2]quests!$A:$A),MATCH(C$1,[2]quests!$1:$1,0)-MATCH($B$1,[2]quests!$1:$1,0)+1),MATCH(C$1,[2]quests!$1:$1,0)-MATCH($B$1,[2]quests!$1:$1,0)+1,FALSE)</f>
        <v>アトラス襲来！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降臨24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【超絶級】アトラス襲来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降臨24</v>
      </c>
      <c r="H6" s="85">
        <v>4</v>
      </c>
      <c r="I6" s="90">
        <f t="shared" si="0"/>
        <v>5</v>
      </c>
      <c r="J6" s="86" t="str">
        <f t="shared" si="3"/>
        <v>4002405</v>
      </c>
      <c r="K6" s="84" t="s">
        <v>199</v>
      </c>
      <c r="L6" s="87" t="s">
        <v>200</v>
      </c>
      <c r="M6" s="115" t="s">
        <v>386</v>
      </c>
      <c r="N6" s="57" t="s">
        <v>201</v>
      </c>
      <c r="O6">
        <f t="shared" si="4"/>
        <v>36</v>
      </c>
    </row>
    <row r="7" spans="1:15" ht="42" x14ac:dyDescent="0.15">
      <c r="A7" s="81" t="s">
        <v>198</v>
      </c>
      <c r="B7" s="82">
        <f>floors!$C$2</f>
        <v>40024</v>
      </c>
      <c r="C7" s="83" t="str">
        <f ca="1">VLOOKUP($B7,OFFSET([2]quests!$A$1,0,0,COUNTA([2]quests!$A:$A),MATCH(C$1,[2]quests!$1:$1,0)-MATCH($B$1,[2]quests!$1:$1,0)+1),MATCH(C$1,[2]quests!$1:$1,0)-MATCH($B$1,[2]quests!$1:$1,0)+1,FALSE)</f>
        <v>アトラス襲来！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降臨24</v>
      </c>
      <c r="E7" s="84">
        <v>2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【ウィザード級】アトラス襲来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降臨24</v>
      </c>
      <c r="H7" s="85">
        <v>1</v>
      </c>
      <c r="I7" s="90">
        <f t="shared" si="0"/>
        <v>6</v>
      </c>
      <c r="J7" s="86" t="str">
        <f t="shared" si="3"/>
        <v>4002406</v>
      </c>
      <c r="K7" s="84" t="s">
        <v>199</v>
      </c>
      <c r="L7" s="87" t="s">
        <v>200</v>
      </c>
      <c r="M7" s="115" t="s">
        <v>430</v>
      </c>
      <c r="N7" s="57" t="s">
        <v>201</v>
      </c>
      <c r="O7">
        <f t="shared" si="4"/>
        <v>49</v>
      </c>
    </row>
    <row r="8" spans="1:15" ht="56" x14ac:dyDescent="0.15">
      <c r="A8" s="81" t="s">
        <v>198</v>
      </c>
      <c r="B8" s="82">
        <f>floors!$C$2</f>
        <v>40024</v>
      </c>
      <c r="C8" s="83" t="str">
        <f ca="1">VLOOKUP($B8,OFFSET([2]quests!$A$1,0,0,COUNTA([2]quests!$A:$A),MATCH(C$1,[2]quests!$1:$1,0)-MATCH($B$1,[2]quests!$1:$1,0)+1),MATCH(C$1,[2]quests!$1:$1,0)-MATCH($B$1,[2]quests!$1:$1,0)+1,FALSE)</f>
        <v>アトラス襲来！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降臨24</v>
      </c>
      <c r="E8" s="84">
        <v>2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【ウィザード級】アトラス襲来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降臨24</v>
      </c>
      <c r="H8" s="85">
        <v>2</v>
      </c>
      <c r="I8" s="90">
        <f t="shared" si="0"/>
        <v>7</v>
      </c>
      <c r="J8" s="86" t="str">
        <f t="shared" si="3"/>
        <v>4002407</v>
      </c>
      <c r="K8" s="84" t="s">
        <v>199</v>
      </c>
      <c r="L8" s="87" t="s">
        <v>200</v>
      </c>
      <c r="M8" s="115" t="s">
        <v>404</v>
      </c>
      <c r="N8" s="57" t="s">
        <v>201</v>
      </c>
      <c r="O8">
        <f t="shared" si="4"/>
        <v>59</v>
      </c>
    </row>
    <row r="9" spans="1:15" ht="42" x14ac:dyDescent="0.15">
      <c r="A9" s="81" t="s">
        <v>198</v>
      </c>
      <c r="B9" s="82">
        <f>floors!$C$2</f>
        <v>40024</v>
      </c>
      <c r="C9" s="83" t="str">
        <f ca="1">VLOOKUP($B9,OFFSET([2]quests!$A$1,0,0,COUNTA([2]quests!$A:$A),MATCH(C$1,[2]quests!$1:$1,0)-MATCH($B$1,[2]quests!$1:$1,0)+1),MATCH(C$1,[2]quests!$1:$1,0)-MATCH($B$1,[2]quests!$1:$1,0)+1,FALSE)</f>
        <v>アトラス襲来！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降臨24</v>
      </c>
      <c r="E9" s="84">
        <v>2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【ウィザード級】アトラス襲来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降臨24</v>
      </c>
      <c r="H9" s="85">
        <v>2</v>
      </c>
      <c r="I9" s="90">
        <f t="shared" si="0"/>
        <v>8</v>
      </c>
      <c r="J9" s="86" t="str">
        <f t="shared" si="3"/>
        <v>4002408</v>
      </c>
      <c r="K9" s="84" t="s">
        <v>199</v>
      </c>
      <c r="L9" s="87" t="s">
        <v>200</v>
      </c>
      <c r="M9" s="115" t="s">
        <v>403</v>
      </c>
      <c r="N9" s="57" t="s">
        <v>201</v>
      </c>
      <c r="O9">
        <f t="shared" si="4"/>
        <v>42</v>
      </c>
    </row>
    <row r="10" spans="1:15" ht="56" x14ac:dyDescent="0.15">
      <c r="A10" s="81" t="s">
        <v>198</v>
      </c>
      <c r="B10" s="82">
        <f>floors!$C$2</f>
        <v>40024</v>
      </c>
      <c r="C10" s="83" t="str">
        <f ca="1">VLOOKUP($B10,OFFSET([2]quests!$A$1,0,0,COUNTA([2]quests!$A:$A),MATCH(C$1,[2]quests!$1:$1,0)-MATCH($B$1,[2]quests!$1:$1,0)+1),MATCH(C$1,[2]quests!$1:$1,0)-MATCH($B$1,[2]quests!$1:$1,0)+1,FALSE)</f>
        <v>アトラス襲来！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降臨24</v>
      </c>
      <c r="E10" s="84">
        <v>2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【ウィザード級】アトラス襲来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降臨24</v>
      </c>
      <c r="H10" s="85">
        <v>3</v>
      </c>
      <c r="I10" s="90">
        <f t="shared" si="0"/>
        <v>9</v>
      </c>
      <c r="J10" s="86" t="str">
        <f t="shared" si="3"/>
        <v>4002409</v>
      </c>
      <c r="K10" s="84" t="s">
        <v>199</v>
      </c>
      <c r="L10" s="87" t="s">
        <v>200</v>
      </c>
      <c r="M10" s="115" t="s">
        <v>402</v>
      </c>
      <c r="N10" s="57" t="s">
        <v>201</v>
      </c>
      <c r="O10">
        <f t="shared" si="4"/>
        <v>56</v>
      </c>
    </row>
    <row r="11" spans="1:15" ht="28" x14ac:dyDescent="0.15">
      <c r="A11" s="81" t="s">
        <v>198</v>
      </c>
      <c r="B11" s="82">
        <f>floors!$C$2</f>
        <v>40024</v>
      </c>
      <c r="C11" s="83" t="str">
        <f ca="1">VLOOKUP($B11,OFFSET([2]quests!$A$1,0,0,COUNTA([2]quests!$A:$A),MATCH(C$1,[2]quests!$1:$1,0)-MATCH($B$1,[2]quests!$1:$1,0)+1),MATCH(C$1,[2]quests!$1:$1,0)-MATCH($B$1,[2]quests!$1:$1,0)+1,FALSE)</f>
        <v>アトラス襲来！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降臨24</v>
      </c>
      <c r="E11" s="84">
        <v>2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【ウィザード級】アトラス襲来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降臨24</v>
      </c>
      <c r="H11" s="85">
        <v>4</v>
      </c>
      <c r="I11" s="90">
        <f t="shared" si="0"/>
        <v>10</v>
      </c>
      <c r="J11" s="86" t="str">
        <f t="shared" si="3"/>
        <v>4002410</v>
      </c>
      <c r="K11" s="84" t="s">
        <v>199</v>
      </c>
      <c r="L11" s="87" t="s">
        <v>200</v>
      </c>
      <c r="M11" s="115" t="s">
        <v>386</v>
      </c>
      <c r="N11" s="57" t="s">
        <v>201</v>
      </c>
      <c r="O11">
        <f t="shared" si="4"/>
        <v>36</v>
      </c>
    </row>
    <row r="12" spans="1:15" ht="42" x14ac:dyDescent="0.15">
      <c r="A12" s="81" t="s">
        <v>202</v>
      </c>
      <c r="B12" s="82">
        <f>floors!$C$2</f>
        <v>40024</v>
      </c>
      <c r="E12" s="124">
        <v>1</v>
      </c>
      <c r="H12" s="125">
        <v>0</v>
      </c>
      <c r="I12" s="90">
        <f t="shared" si="0"/>
        <v>11</v>
      </c>
      <c r="J12" s="86" t="str">
        <f t="shared" ref="J12" si="5">B12&amp;TEXT(I12,"00")</f>
        <v>4002411</v>
      </c>
      <c r="K12" s="84" t="s">
        <v>199</v>
      </c>
      <c r="L12" s="87" t="s">
        <v>405</v>
      </c>
      <c r="M12" s="115" t="s">
        <v>426</v>
      </c>
      <c r="N12" s="57" t="s">
        <v>201</v>
      </c>
      <c r="O12">
        <f t="shared" ref="O12" si="6">LEN(M12)</f>
        <v>53</v>
      </c>
    </row>
    <row r="13" spans="1:15" ht="42" x14ac:dyDescent="0.15">
      <c r="A13" s="81" t="s">
        <v>202</v>
      </c>
      <c r="B13" s="82">
        <f>floors!$C$2</f>
        <v>40024</v>
      </c>
      <c r="E13" s="124">
        <v>1</v>
      </c>
      <c r="H13" s="125">
        <v>0</v>
      </c>
      <c r="I13" s="90">
        <f t="shared" si="0"/>
        <v>12</v>
      </c>
      <c r="J13" s="86" t="str">
        <f t="shared" ref="J13:J15" si="7">B13&amp;TEXT(I13,"00")</f>
        <v>4002412</v>
      </c>
      <c r="K13" s="84" t="s">
        <v>199</v>
      </c>
      <c r="L13" s="87" t="s">
        <v>406</v>
      </c>
      <c r="M13" s="115" t="s">
        <v>424</v>
      </c>
      <c r="N13" s="57" t="s">
        <v>201</v>
      </c>
      <c r="O13">
        <f t="shared" ref="O13:O15" si="8">LEN(M13)</f>
        <v>57</v>
      </c>
    </row>
    <row r="14" spans="1:15" ht="56" x14ac:dyDescent="0.15">
      <c r="A14" s="81" t="s">
        <v>202</v>
      </c>
      <c r="B14" s="82">
        <f>floors!$C$2</f>
        <v>40024</v>
      </c>
      <c r="E14" s="124">
        <v>1</v>
      </c>
      <c r="H14" s="125">
        <v>0</v>
      </c>
      <c r="I14" s="90">
        <f t="shared" si="0"/>
        <v>13</v>
      </c>
      <c r="J14" s="86" t="str">
        <f t="shared" si="7"/>
        <v>4002413</v>
      </c>
      <c r="K14" s="84" t="s">
        <v>199</v>
      </c>
      <c r="L14" s="87" t="s">
        <v>423</v>
      </c>
      <c r="M14" s="115" t="s">
        <v>429</v>
      </c>
      <c r="N14" s="57" t="s">
        <v>201</v>
      </c>
      <c r="O14">
        <f t="shared" si="8"/>
        <v>56</v>
      </c>
    </row>
    <row r="15" spans="1:15" ht="42" x14ac:dyDescent="0.15">
      <c r="A15" s="81" t="s">
        <v>202</v>
      </c>
      <c r="B15" s="82">
        <f>floors!$C$2</f>
        <v>40024</v>
      </c>
      <c r="E15" s="124">
        <v>2</v>
      </c>
      <c r="H15" s="125">
        <v>0</v>
      </c>
      <c r="I15" s="90">
        <f t="shared" si="0"/>
        <v>14</v>
      </c>
      <c r="J15" s="86" t="str">
        <f t="shared" si="7"/>
        <v>4002414</v>
      </c>
      <c r="K15" s="84" t="s">
        <v>199</v>
      </c>
      <c r="L15" s="87" t="s">
        <v>405</v>
      </c>
      <c r="M15" s="115" t="s">
        <v>425</v>
      </c>
      <c r="N15" s="57" t="s">
        <v>201</v>
      </c>
      <c r="O15">
        <f t="shared" si="8"/>
        <v>53</v>
      </c>
    </row>
    <row r="16" spans="1:15" ht="42" x14ac:dyDescent="0.15">
      <c r="A16" s="81" t="s">
        <v>202</v>
      </c>
      <c r="B16" s="82">
        <f>floors!$C$2</f>
        <v>40024</v>
      </c>
      <c r="E16" s="124">
        <v>2</v>
      </c>
      <c r="H16" s="125">
        <v>0</v>
      </c>
      <c r="I16" s="90">
        <f t="shared" si="0"/>
        <v>15</v>
      </c>
      <c r="J16" s="86" t="str">
        <f t="shared" ref="J16:J17" si="9">B16&amp;TEXT(I16,"00")</f>
        <v>4002415</v>
      </c>
      <c r="K16" s="84" t="s">
        <v>199</v>
      </c>
      <c r="L16" s="87" t="s">
        <v>406</v>
      </c>
      <c r="M16" s="115" t="s">
        <v>424</v>
      </c>
      <c r="N16" s="57" t="s">
        <v>201</v>
      </c>
      <c r="O16">
        <f t="shared" ref="O16:O17" si="10">LEN(M16)</f>
        <v>57</v>
      </c>
    </row>
    <row r="17" spans="1:15" ht="56" x14ac:dyDescent="0.15">
      <c r="A17" s="81" t="s">
        <v>202</v>
      </c>
      <c r="B17" s="82">
        <f>floors!$C$2</f>
        <v>40024</v>
      </c>
      <c r="E17" s="124">
        <v>2</v>
      </c>
      <c r="H17" s="125">
        <v>0</v>
      </c>
      <c r="I17" s="90">
        <f t="shared" si="0"/>
        <v>16</v>
      </c>
      <c r="J17" s="86" t="str">
        <f t="shared" si="9"/>
        <v>4002416</v>
      </c>
      <c r="K17" s="84" t="s">
        <v>199</v>
      </c>
      <c r="L17" s="87" t="s">
        <v>423</v>
      </c>
      <c r="M17" s="115" t="s">
        <v>429</v>
      </c>
      <c r="N17" s="57" t="s">
        <v>201</v>
      </c>
      <c r="O17">
        <f t="shared" si="10"/>
        <v>56</v>
      </c>
    </row>
  </sheetData>
  <phoneticPr fontId="5"/>
  <dataValidations count="1">
    <dataValidation type="list" allowBlank="1" showInputMessage="1" showErrorMessage="1" sqref="A2:A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T11" sqref="T11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214</v>
      </c>
      <c r="B1" s="95" t="s">
        <v>215</v>
      </c>
      <c r="C1" s="77" t="s">
        <v>216</v>
      </c>
      <c r="D1" s="77" t="s">
        <v>33</v>
      </c>
      <c r="E1" s="95" t="s">
        <v>217</v>
      </c>
      <c r="F1" s="77" t="s">
        <v>218</v>
      </c>
      <c r="G1" s="77" t="s">
        <v>33</v>
      </c>
      <c r="H1" s="95" t="s">
        <v>219</v>
      </c>
      <c r="I1" s="95" t="s">
        <v>220</v>
      </c>
      <c r="J1" s="95" t="s">
        <v>221</v>
      </c>
      <c r="K1" s="73" t="s">
        <v>222</v>
      </c>
      <c r="L1" s="73" t="s">
        <v>223</v>
      </c>
      <c r="M1" s="73" t="s">
        <v>157</v>
      </c>
      <c r="N1" s="77" t="s">
        <v>16</v>
      </c>
      <c r="O1" s="73" t="s">
        <v>224</v>
      </c>
      <c r="P1" s="73" t="s">
        <v>57</v>
      </c>
      <c r="Q1" s="73" t="s">
        <v>225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226</v>
      </c>
      <c r="X1" s="73" t="s">
        <v>227</v>
      </c>
    </row>
    <row r="2" spans="1:24" x14ac:dyDescent="0.15">
      <c r="A2" s="96" t="str">
        <f>B2&amp;"_"&amp;E2&amp;"_"&amp;H2&amp;"_"&amp;I2&amp;"_"&amp;J2</f>
        <v>40024_2_everyone_no_continue_1</v>
      </c>
      <c r="B2" s="82">
        <v>40024</v>
      </c>
      <c r="C2" s="83" t="str">
        <f ca="1">VLOOKUP($B2,OFFSET([2]quests!$A$1,0,0,COUNTA([2]quests!$A:$A),MATCH(C$1,[2]quests!$1:$1,0)-MATCH($B$1,[2]quests!$1:$1,0)+1),MATCH(C$1,[2]quests!$1:$1,0)-MATCH($B$1,[2]quests!$1:$1,0)+1,FALSE)</f>
        <v>アトラス襲来！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降臨24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【ウィザード級】アトラス襲来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降臨24</v>
      </c>
      <c r="H2" s="85" t="s">
        <v>228</v>
      </c>
      <c r="I2" s="84" t="s">
        <v>232</v>
      </c>
      <c r="J2" s="84">
        <v>1</v>
      </c>
      <c r="K2" s="84">
        <v>1000</v>
      </c>
      <c r="L2" s="84" t="s">
        <v>229</v>
      </c>
      <c r="M2" s="84">
        <v>788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アトラス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230</v>
      </c>
      <c r="X2" s="99" t="s">
        <v>231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2017-03-15T10:54:45Z</dcterms:modified>
</cp:coreProperties>
</file>