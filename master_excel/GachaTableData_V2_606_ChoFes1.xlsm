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060" tabRatio="943" activeTab="2"/>
  </bookViews>
  <sheets>
    <sheet name="確率の考え方" sheetId="110" r:id="rId1"/>
    <sheet name="Sheet1" sheetId="107" r:id="rId2"/>
    <sheet name="output" sheetId="103" r:id="rId3"/>
    <sheet name="input_606100" sheetId="157" r:id="rId4"/>
    <sheet name="tables_606100" sheetId="158" r:id="rId5"/>
    <sheet name="tables_settle_606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tables_606100!$A$1:$V$362</definedName>
    <definedName name="_xlnm._FilterDatabase" localSheetId="5" hidden="1">tables_settle_606100!$A$1:$V$161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57" l="1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7" i="159"/>
  <c r="D157" i="159"/>
  <c r="I158" i="159"/>
  <c r="D158" i="159"/>
  <c r="I159" i="159"/>
  <c r="D159" i="159"/>
  <c r="I160" i="159"/>
  <c r="D160" i="159"/>
  <c r="I161" i="159"/>
  <c r="D161" i="159"/>
  <c r="X2" i="159"/>
  <c r="X3" i="159"/>
  <c r="X4" i="159"/>
  <c r="X5" i="159"/>
  <c r="Y2" i="159"/>
  <c r="Y3" i="159"/>
  <c r="Y4" i="159"/>
  <c r="B20" i="157"/>
  <c r="B25" i="157"/>
  <c r="B27" i="157"/>
  <c r="B18" i="157"/>
  <c r="B29" i="157"/>
  <c r="B28" i="157"/>
  <c r="B21" i="157"/>
  <c r="A2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F5" i="157"/>
  <c r="F6" i="157"/>
  <c r="A36" i="157"/>
  <c r="R5" i="157"/>
  <c r="B10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G17" i="157"/>
  <c r="E17" i="157"/>
  <c r="H17" i="157"/>
  <c r="O2" i="158"/>
  <c r="E20" i="157"/>
  <c r="E22" i="157"/>
  <c r="E23" i="157"/>
  <c r="B23" i="157"/>
  <c r="B22" i="157"/>
  <c r="E25" i="157"/>
  <c r="E28" i="157"/>
  <c r="E29" i="157"/>
  <c r="C28" i="157"/>
  <c r="C27" i="157"/>
  <c r="C30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C3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R3" i="157"/>
  <c r="G31" i="157"/>
  <c r="E31" i="157"/>
  <c r="H31" i="157"/>
  <c r="O361" i="158"/>
  <c r="R4" i="157"/>
  <c r="O362" i="158"/>
  <c r="R6" i="157"/>
  <c r="R7" i="157"/>
  <c r="R8" i="157"/>
  <c r="J156" i="159"/>
  <c r="E156" i="159"/>
  <c r="F156" i="159"/>
  <c r="C156" i="159"/>
  <c r="H156" i="159"/>
  <c r="K156" i="159"/>
  <c r="L156" i="159"/>
  <c r="M156" i="159"/>
  <c r="N156" i="159"/>
  <c r="O156" i="159"/>
  <c r="O2" i="159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7" i="159"/>
  <c r="O158" i="159"/>
  <c r="O159" i="159"/>
  <c r="O160" i="159"/>
  <c r="O161" i="159"/>
  <c r="P156" i="159"/>
  <c r="J157" i="159"/>
  <c r="E157" i="159"/>
  <c r="F157" i="159"/>
  <c r="C157" i="159"/>
  <c r="H157" i="159"/>
  <c r="K157" i="159"/>
  <c r="L157" i="159"/>
  <c r="M157" i="159"/>
  <c r="N157" i="159"/>
  <c r="P157" i="159"/>
  <c r="J158" i="159"/>
  <c r="E158" i="159"/>
  <c r="F158" i="159"/>
  <c r="C158" i="159"/>
  <c r="H158" i="159"/>
  <c r="K158" i="159"/>
  <c r="L158" i="159"/>
  <c r="M158" i="159"/>
  <c r="N158" i="159"/>
  <c r="P158" i="159"/>
  <c r="J159" i="159"/>
  <c r="E159" i="159"/>
  <c r="F159" i="159"/>
  <c r="C159" i="159"/>
  <c r="H159" i="159"/>
  <c r="K159" i="159"/>
  <c r="L159" i="159"/>
  <c r="M159" i="159"/>
  <c r="N159" i="159"/>
  <c r="P159" i="159"/>
  <c r="A156" i="159"/>
  <c r="A157" i="159"/>
  <c r="A158" i="159"/>
  <c r="A159" i="159"/>
  <c r="H357" i="158"/>
  <c r="K357" i="158"/>
  <c r="L357" i="158"/>
  <c r="M357" i="158"/>
  <c r="N357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H356" i="158"/>
  <c r="K356" i="158"/>
  <c r="L356" i="158"/>
  <c r="M356" i="158"/>
  <c r="N356" i="158"/>
  <c r="P356" i="158"/>
  <c r="A357" i="158"/>
  <c r="A358" i="158"/>
  <c r="A359" i="158"/>
  <c r="A360" i="158"/>
  <c r="A356" i="158"/>
  <c r="G30" i="157"/>
  <c r="E30" i="157"/>
  <c r="H30" i="157"/>
  <c r="E5" i="157"/>
  <c r="P161" i="159"/>
  <c r="P160" i="159"/>
  <c r="N161" i="159"/>
  <c r="M161" i="159"/>
  <c r="L161" i="159"/>
  <c r="K161" i="159"/>
  <c r="J161" i="159"/>
  <c r="H161" i="159"/>
  <c r="F161" i="159"/>
  <c r="E161" i="159"/>
  <c r="C161" i="159"/>
  <c r="N160" i="159"/>
  <c r="M160" i="159"/>
  <c r="L160" i="159"/>
  <c r="K160" i="159"/>
  <c r="J160" i="159"/>
  <c r="H160" i="159"/>
  <c r="F160" i="159"/>
  <c r="E160" i="159"/>
  <c r="C160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161" i="159"/>
  <c r="A160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B46" i="157"/>
  <c r="P362" i="158"/>
  <c r="N362" i="158"/>
  <c r="M362" i="158"/>
  <c r="L362" i="158"/>
  <c r="K362" i="158"/>
  <c r="H362" i="158"/>
  <c r="P361" i="158"/>
  <c r="N361" i="158"/>
  <c r="M361" i="158"/>
  <c r="L361" i="158"/>
  <c r="K361" i="158"/>
  <c r="H361" i="158"/>
  <c r="A362" i="158"/>
  <c r="A361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9" i="157"/>
  <c r="C32" i="157"/>
  <c r="C3" i="103"/>
  <c r="E3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4" i="103"/>
  <c r="E4" i="103"/>
  <c r="C5" i="103"/>
  <c r="E5" i="103"/>
  <c r="C2" i="103"/>
  <c r="E2" i="103"/>
  <c r="C6" i="103"/>
  <c r="E6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9" i="103"/>
  <c r="E8" i="103"/>
  <c r="E7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<sst xmlns="http://schemas.openxmlformats.org/spreadsheetml/2006/main" count="412" uniqueCount="255">
  <si>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</si>
  <si>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</si>
  <si>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</si>
  <si>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</si>
  <si>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</si>
  <si>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</si>
  <si>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</si>
  <si>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</si>
  <si>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</si>
  <si>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</si>
  <si>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</si>
  <si>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</si>
  <si>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</si>
  <si>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</si>
  <si>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</si>
  <si>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</si>
  <si>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</si>
  <si>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</si>
  <si>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</si>
  <si>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</si>
  <si>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</si>
  <si>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</si>
  <si>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</si>
  <si>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</si>
  <si>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</si>
  <si>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</si>
  <si>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</si>
  <si>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</si>
  <si>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</si>
  <si>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</si>
  <si>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</si>
  <si>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</si>
  <si>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</si>
  <si>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</si>
  <si>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</si>
  <si>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</si>
  <si>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</si>
  <si>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</si>
  <si>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</si>
  <si>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</si>
  <si>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</si>
  <si>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</si>
  <si>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</si>
  <si>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</si>
  <si>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</si>
  <si>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</si>
  <si>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</si>
  <si>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</si>
  <si>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</si>
  <si>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</si>
  <si>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</si>
  <si>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</si>
  <si>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</si>
  <si>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</si>
  <si>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</si>
  <si>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</si>
  <si>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</si>
  <si>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</si>
  <si>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</si>
  <si>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</si>
  <si>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</si>
  <si>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</si>
  <si>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</si>
  <si>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</si>
  <si>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</si>
  <si>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</si>
  <si>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</si>
  <si>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</si>
  <si>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</si>
  <si>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</si>
  <si>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</si>
  <si>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</si>
  <si>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</si>
  <si>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</si>
  <si>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</si>
  <si>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</si>
  <si>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</si>
  <si>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</si>
  <si>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</si>
  <si>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</si>
  <si>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</si>
  <si>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</si>
  <si>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</si>
  <si>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</si>
  <si>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</si>
  <si>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</si>
  <si>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</si>
  <si>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</si>
  <si>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</si>
  <si>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</si>
  <si>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</si>
  <si>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</si>
  <si>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</si>
  <si>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</si>
  <si>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</si>
  <si>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</si>
  <si>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</si>
  <si>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</si>
  <si>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</si>
  <si>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</si>
  <si>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</si>
  <si>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</si>
  <si>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</si>
  <si>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</si>
  <si>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</si>
  <si>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</si>
  <si>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</si>
  <si>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</si>
  <si>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</si>
  <si>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</si>
  <si>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</si>
  <si>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</si>
  <si>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</si>
  <si>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</si>
  <si>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</si>
  <si>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</si>
  <si>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</si>
  <si>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</si>
  <si>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</si>
  <si>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</si>
  <si>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</si>
  <si>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</si>
  <si>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</si>
  <si>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</si>
  <si>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</si>
  <si>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</si>
  <si>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</si>
  <si>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</si>
  <si>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</si>
  <si>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</si>
  <si>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</si>
  <si>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</si>
  <si>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</si>
  <si>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</si>
  <si>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</si>
  <si>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</si>
  <si>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</si>
  <si>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</si>
  <si>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</si>
  <si>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</si>
  <si>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</si>
  <si>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</si>
  <si>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</si>
  <si>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</si>
  <si>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</si>
  <si>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</si>
  <si>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</si>
  <si>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</si>
  <si>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</si>
  <si>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</si>
  <si>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</si>
  <si>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</si>
  <si>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</si>
  <si>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</si>
  <si>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</si>
  <si>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</si>
  <si>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</si>
  <si>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</si>
  <si>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</si>
  <si>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</si>
  <si>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</si>
  <si>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</si>
  <si>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</si>
  <si>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</si>
  <si>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</si>
  <si>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</si>
  <si>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</si>
  <si>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</si>
  <si>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</si>
  <si>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</si>
  <si>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</si>
  <si>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</si>
  <si>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</si>
  <si>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</si>
  <si>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</si>
  <si>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</si>
  <si>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</si>
  <si>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</si>
  <si>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</si>
  <si>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</si>
  <si>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</si>
  <si>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</si>
  <si>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</si>
  <si>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</si>
  <si>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</si>
  <si>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</si>
  <si>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</si>
  <si>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</si>
  <si>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</si>
  <si>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</si>
  <si>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</si>
  <si>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</si>
  <si>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</si>
  <si>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</si>
  <si>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</si>
  <si>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</si>
  <si>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</si>
  <si>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</si>
  <si>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</si>
  <si>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</si>
  <si>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</si>
  <si>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</si>
  <si>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</si>
  <si>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</si>
  <si>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</si>
  <si>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</si>
  <si>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</si>
  <si>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</si>
  <si>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</si>
  <si>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</si>
  <si>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</si>
  <si>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</si>
  <si>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</si>
  <si>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</si>
  <si>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</si>
  <si>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</si>
  <si>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</si>
  <si>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</si>
  <si>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</si>
  <si>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</si>
  <si>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</si>
  <si>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</si>
  <si>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</si>
  <si>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</si>
  <si>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</si>
  <si>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</si>
  <si>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</si>
  <si>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</si>
  <si>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</si>
  <si>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</si>
  <si>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</si>
  <si>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</si>
  <si>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</si>
  <si>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</si>
  <si>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</si>
  <si>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</si>
  <si>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</si>
  <si>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</si>
  <si>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</si>
  <si>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</si>
  <si>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</si>
  <si>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</si>
  <si>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</si>
  <si>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</si>
  <si>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</si>
  <si>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</si>
  <si>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</si>
  <si>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</si>
  <si>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</si>
  <si>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old</t>
    <phoneticPr fontId="20"/>
  </si>
  <si>
    <t>PremiumSSS</t>
    <phoneticPr fontId="20"/>
  </si>
  <si>
    <t>Premium</t>
  </si>
  <si>
    <t>PremiumSS</t>
  </si>
  <si>
    <t>tables_606100</t>
    <phoneticPr fontId="20"/>
  </si>
  <si>
    <t>tables_settle_606100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</si>
</sst>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0" borderId="1" xfId="3036" applyFont="1" applyBorder="1"/>
    <xf numFmtId="0" fontId="24" fillId="33" borderId="1" xfId="0" applyFont="1" applyFill="1" applyBorder="1" applyAlignment="1">
      <alignment horizontal="right" vertical="center"/>
    </xf>
    <xf numFmtId="177" fontId="0" fillId="0" borderId="1" xfId="3575" applyNumberFormat="1" applyFont="1" applyFill="1" applyBorder="1"/>
    <xf numFmtId="0" fontId="52" fillId="4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</row>
        <row r="1566">
          <cell r="A1566">
            <v>1615</v>
          </cell>
          <cell r="B1566" t="str">
            <v>ja</v>
          </cell>
          <cell r="C1566" t="str">
            <v>オリジナル花嫁ウィザード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</row>
        <row r="1567">
          <cell r="A1567">
            <v>1616</v>
          </cell>
          <cell r="B1567" t="str">
            <v>ja</v>
          </cell>
          <cell r="C1567" t="str">
            <v>花嫁アマテラス</v>
          </cell>
          <cell r="H1567" t="str">
            <v>green</v>
          </cell>
          <cell r="I1567">
            <v>6</v>
          </cell>
          <cell r="J1567" t="str">
            <v>DropWizSS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</row>
        <row r="1568">
          <cell r="A1568">
            <v>1617</v>
          </cell>
          <cell r="B1568" t="str">
            <v>ja</v>
          </cell>
          <cell r="C1568" t="str">
            <v>オリジナル花嫁A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</row>
        <row r="1569">
          <cell r="A1569">
            <v>1618</v>
          </cell>
          <cell r="B1569" t="str">
            <v>ja</v>
          </cell>
          <cell r="C1569" t="str">
            <v>オリジナル花嫁B</v>
          </cell>
          <cell r="H1569" t="str">
            <v>red</v>
          </cell>
          <cell r="I1569">
            <v>6</v>
          </cell>
          <cell r="J1569" t="str">
            <v>PremiumSS</v>
          </cell>
          <cell r="K1569" t="str">
            <v>hp</v>
          </cell>
          <cell r="L1569" t="str">
            <v>体力タイプ</v>
          </cell>
          <cell r="M1569" t="str">
            <v>human</v>
          </cell>
        </row>
        <row r="1570">
          <cell r="A1570">
            <v>1619</v>
          </cell>
          <cell r="B1570" t="str">
            <v>ja</v>
          </cell>
          <cell r="C1570" t="str">
            <v>白雪姫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</row>
        <row r="1571">
          <cell r="A1571">
            <v>1620</v>
          </cell>
          <cell r="B1571" t="str">
            <v>ja</v>
          </cell>
          <cell r="C1571" t="str">
            <v>バステト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</row>
        <row r="1572">
          <cell r="A1572">
            <v>1621</v>
          </cell>
          <cell r="B1572" t="str">
            <v>ja</v>
          </cell>
          <cell r="C1572" t="str">
            <v>イズン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god</v>
          </cell>
        </row>
        <row r="1573">
          <cell r="A1573">
            <v>1622</v>
          </cell>
          <cell r="B1573" t="str">
            <v>ja</v>
          </cell>
          <cell r="C1573" t="str">
            <v>諸葛亮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DropWizSS</v>
          </cell>
          <cell r="K1573" t="str">
            <v>balance</v>
          </cell>
          <cell r="L1573" t="str">
            <v>バランスタイプ</v>
          </cell>
          <cell r="M1573" t="str">
            <v>samurai</v>
          </cell>
        </row>
        <row r="1574">
          <cell r="A1574">
            <v>1623</v>
          </cell>
          <cell r="B1574" t="str">
            <v>ja</v>
          </cell>
          <cell r="C1574" t="str">
            <v>ジーク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</row>
        <row r="1575">
          <cell r="A1575">
            <v>1624</v>
          </cell>
          <cell r="B1575" t="str">
            <v>ja</v>
          </cell>
          <cell r="C1575" t="str">
            <v>アマラ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DropWizSS</v>
          </cell>
          <cell r="K1575" t="str">
            <v>attack</v>
          </cell>
          <cell r="L1575" t="str">
            <v>攻撃タイプ</v>
          </cell>
          <cell r="M1575" t="str">
            <v>human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</row>
        <row r="1586">
          <cell r="A1586">
            <v>5001</v>
          </cell>
          <cell r="B1586" t="str">
            <v>ja</v>
          </cell>
          <cell r="C1586" t="str">
            <v>ガルーダ</v>
          </cell>
          <cell r="D1586" t="str">
            <v>ノーマルクエスト</v>
          </cell>
          <cell r="E1586" t="str">
            <v>QoH</v>
          </cell>
          <cell r="F1586" t="str">
            <v>世界観</v>
          </cell>
          <cell r="G1586" t="str">
            <v>不明</v>
          </cell>
          <cell r="H1586" t="str">
            <v>red</v>
          </cell>
          <cell r="I1586">
            <v>5</v>
          </cell>
          <cell r="J1586" t="str">
            <v>PremiumSSw</v>
          </cell>
          <cell r="K1586" t="str">
            <v>attack</v>
          </cell>
          <cell r="L1586" t="str">
            <v>攻撃タイプ</v>
          </cell>
          <cell r="M1586" t="str">
            <v>god</v>
          </cell>
        </row>
        <row r="1587">
          <cell r="A1587">
            <v>5002</v>
          </cell>
          <cell r="B1587" t="str">
            <v>ja</v>
          </cell>
          <cell r="C1587" t="str">
            <v>光輝する美翼聖鳥 ガルーダ</v>
          </cell>
          <cell r="D1587" t="str">
            <v>ノーマルクエスト</v>
          </cell>
          <cell r="E1587" t="str">
            <v>アバター</v>
          </cell>
          <cell r="F1587" t="str">
            <v>世界観</v>
          </cell>
          <cell r="G1587" t="str">
            <v>男性</v>
          </cell>
          <cell r="H1587" t="str">
            <v>red</v>
          </cell>
          <cell r="I1587">
            <v>6</v>
          </cell>
          <cell r="J1587" t="str">
            <v>PremiumSSw</v>
          </cell>
          <cell r="K1587" t="str">
            <v>attack</v>
          </cell>
          <cell r="L1587" t="str">
            <v>攻撃タイプ</v>
          </cell>
          <cell r="M1587" t="str">
            <v>god</v>
          </cell>
        </row>
        <row r="1588">
          <cell r="A1588">
            <v>5003</v>
          </cell>
          <cell r="B1588" t="str">
            <v>ja</v>
          </cell>
          <cell r="C1588" t="str">
            <v>ナーガ</v>
          </cell>
          <cell r="D1588" t="str">
            <v>リンクガチャ:4神</v>
          </cell>
          <cell r="E1588" t="str">
            <v>守護神</v>
          </cell>
          <cell r="F1588" t="str">
            <v>格好いい</v>
          </cell>
          <cell r="G1588" t="str">
            <v>不明</v>
          </cell>
          <cell r="H1588" t="str">
            <v>green</v>
          </cell>
          <cell r="I1588">
            <v>5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animal</v>
          </cell>
        </row>
        <row r="1589">
          <cell r="A1589">
            <v>5004</v>
          </cell>
          <cell r="B1589" t="str">
            <v>ja</v>
          </cell>
          <cell r="C1589" t="str">
            <v>深淵翠緑 ナーガ</v>
          </cell>
          <cell r="D1589" t="str">
            <v>ノーマルクエスト</v>
          </cell>
          <cell r="E1589" t="str">
            <v>アバター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animal</v>
          </cell>
        </row>
        <row r="1590">
          <cell r="A1590">
            <v>5005</v>
          </cell>
          <cell r="B1590" t="str">
            <v>ja</v>
          </cell>
          <cell r="C1590" t="str">
            <v>カーミラ</v>
          </cell>
          <cell r="D1590" t="str">
            <v>ノーマルクエスト</v>
          </cell>
          <cell r="E1590" t="str">
            <v>QoH</v>
          </cell>
          <cell r="F1590" t="str">
            <v>世界観</v>
          </cell>
          <cell r="G1590" t="str">
            <v>不明</v>
          </cell>
          <cell r="H1590" t="str">
            <v>green</v>
          </cell>
          <cell r="I1590">
            <v>5</v>
          </cell>
          <cell r="J1590" t="str">
            <v>PremiumSSw</v>
          </cell>
          <cell r="K1590" t="str">
            <v>balance</v>
          </cell>
          <cell r="L1590" t="str">
            <v>バランスタイプ</v>
          </cell>
          <cell r="M1590" t="str">
            <v>demon</v>
          </cell>
        </row>
        <row r="1591">
          <cell r="A1591">
            <v>5006</v>
          </cell>
          <cell r="B1591" t="str">
            <v>ja</v>
          </cell>
          <cell r="C1591" t="str">
            <v>カーミラ★６</v>
          </cell>
          <cell r="D1591" t="str">
            <v>ノーマルクエスト</v>
          </cell>
          <cell r="E1591" t="str">
            <v>アバター</v>
          </cell>
          <cell r="F1591" t="str">
            <v>世界観</v>
          </cell>
          <cell r="G1591" t="str">
            <v>男性</v>
          </cell>
          <cell r="H1591" t="str">
            <v>green</v>
          </cell>
          <cell r="I1591">
            <v>6</v>
          </cell>
          <cell r="J1591" t="str">
            <v>PremiumSSw</v>
          </cell>
          <cell r="K1591" t="str">
            <v>balance</v>
          </cell>
          <cell r="L1591" t="str">
            <v>バランスタイプ</v>
          </cell>
          <cell r="M1591" t="str">
            <v>demon</v>
          </cell>
        </row>
        <row r="1592">
          <cell r="A1592">
            <v>5007</v>
          </cell>
          <cell r="B1592" t="str">
            <v>ja</v>
          </cell>
          <cell r="C1592" t="str">
            <v>ヘルシング</v>
          </cell>
          <cell r="D1592" t="str">
            <v>リンクガチャ:4神</v>
          </cell>
          <cell r="E1592" t="str">
            <v>守護神</v>
          </cell>
          <cell r="F1592" t="str">
            <v>格好いい</v>
          </cell>
          <cell r="G1592" t="str">
            <v>不明</v>
          </cell>
          <cell r="H1592" t="str">
            <v>yellow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5008</v>
          </cell>
          <cell r="B1593" t="str">
            <v>ja</v>
          </cell>
          <cell r="C1593" t="str">
            <v>ヘルシング★６</v>
          </cell>
          <cell r="D1593" t="str">
            <v>ノーマルクエスト</v>
          </cell>
          <cell r="E1593" t="str">
            <v>アバター</v>
          </cell>
          <cell r="F1593" t="str">
            <v>世界観</v>
          </cell>
          <cell r="G1593" t="str">
            <v>不明</v>
          </cell>
          <cell r="H1593" t="str">
            <v>yellow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6001</v>
          </cell>
          <cell r="B1594" t="str">
            <v>ja</v>
          </cell>
          <cell r="C1594" t="str">
            <v>ジェリー</v>
          </cell>
          <cell r="D1594" t="str">
            <v>ノーマルクエスト</v>
          </cell>
          <cell r="E1594" t="str">
            <v>QoH</v>
          </cell>
          <cell r="F1594" t="str">
            <v>世界観</v>
          </cell>
          <cell r="G1594" t="str">
            <v>不明</v>
          </cell>
          <cell r="H1594" t="str">
            <v>red</v>
          </cell>
          <cell r="I1594">
            <v>1</v>
          </cell>
          <cell r="J1594" t="str">
            <v>Drop1T</v>
          </cell>
          <cell r="K1594" t="str">
            <v>ra</v>
          </cell>
          <cell r="L1594" t="str">
            <v>ラグランジュチャレンジ</v>
          </cell>
          <cell r="M1594" t="str">
            <v>unknown</v>
          </cell>
        </row>
        <row r="1595">
          <cell r="A1595">
            <v>6002</v>
          </cell>
          <cell r="B1595" t="str">
            <v>ja</v>
          </cell>
          <cell r="C1595" t="str">
            <v>ヨシタカ</v>
          </cell>
          <cell r="D1595" t="str">
            <v>ノーマルクエスト</v>
          </cell>
          <cell r="E1595" t="str">
            <v>アバター</v>
          </cell>
          <cell r="F1595" t="str">
            <v>世界観</v>
          </cell>
          <cell r="G1595" t="str">
            <v>男性</v>
          </cell>
          <cell r="H1595" t="str">
            <v>red</v>
          </cell>
          <cell r="I1595">
            <v>2</v>
          </cell>
          <cell r="J1595" t="str">
            <v>Drop1N</v>
          </cell>
          <cell r="K1595" t="str">
            <v>ra</v>
          </cell>
          <cell r="L1595" t="str">
            <v>ラグランジュチャレンジ</v>
          </cell>
          <cell r="M1595" t="str">
            <v>human</v>
          </cell>
        </row>
        <row r="1596">
          <cell r="A1596">
            <v>6003</v>
          </cell>
          <cell r="B1596" t="str">
            <v>ja</v>
          </cell>
          <cell r="C1596" t="str">
            <v>朱雀</v>
          </cell>
          <cell r="D1596" t="str">
            <v>リンクガチャ:4神</v>
          </cell>
          <cell r="E1596" t="str">
            <v>守護神</v>
          </cell>
          <cell r="F1596" t="str">
            <v>格好いい</v>
          </cell>
          <cell r="G1596" t="str">
            <v>不明</v>
          </cell>
          <cell r="H1596" t="str">
            <v>red</v>
          </cell>
          <cell r="I1596">
            <v>3</v>
          </cell>
          <cell r="J1596" t="str">
            <v>Drop2N</v>
          </cell>
          <cell r="K1596" t="str">
            <v>ra</v>
          </cell>
          <cell r="L1596" t="str">
            <v>ラグランジュチャレンジ</v>
          </cell>
          <cell r="M1596" t="str">
            <v>animal</v>
          </cell>
        </row>
        <row r="1597">
          <cell r="A1597">
            <v>6004</v>
          </cell>
          <cell r="B1597" t="str">
            <v>ja</v>
          </cell>
          <cell r="C1597" t="str">
            <v>ブレット</v>
          </cell>
          <cell r="D1597" t="str">
            <v>ノーマルクエスト</v>
          </cell>
          <cell r="E1597" t="str">
            <v>アバター</v>
          </cell>
          <cell r="F1597" t="str">
            <v>世界観</v>
          </cell>
          <cell r="G1597" t="str">
            <v>不明</v>
          </cell>
          <cell r="H1597" t="str">
            <v>red</v>
          </cell>
          <cell r="I1597">
            <v>1</v>
          </cell>
          <cell r="J1597" t="str">
            <v>Drop1W</v>
          </cell>
          <cell r="K1597" t="str">
            <v>ra</v>
          </cell>
          <cell r="L1597" t="str">
            <v>ラグランジュチャレンジ</v>
          </cell>
          <cell r="M1597" t="str">
            <v>animal</v>
          </cell>
        </row>
        <row r="1598">
          <cell r="A1598">
            <v>6005</v>
          </cell>
          <cell r="B1598" t="str">
            <v>ja</v>
          </cell>
          <cell r="C1598" t="str">
            <v>孤神 テティス</v>
          </cell>
          <cell r="D1598" t="str">
            <v>初期ガチャ</v>
          </cell>
          <cell r="E1598" t="str">
            <v>管理者</v>
          </cell>
          <cell r="F1598" t="str">
            <v>美しい</v>
          </cell>
          <cell r="G1598" t="str">
            <v>女性</v>
          </cell>
          <cell r="H1598" t="str">
            <v>blue</v>
          </cell>
          <cell r="I1598">
            <v>4</v>
          </cell>
          <cell r="J1598" t="str">
            <v>PremiumN</v>
          </cell>
          <cell r="K1598" t="str">
            <v>ra</v>
          </cell>
          <cell r="L1598" t="str">
            <v>ラグランジュチャレンジ</v>
          </cell>
          <cell r="M1598" t="str">
            <v>god</v>
          </cell>
        </row>
        <row r="1599">
          <cell r="A1599">
            <v>6006</v>
          </cell>
          <cell r="B1599" t="str">
            <v>ja</v>
          </cell>
          <cell r="C1599" t="str">
            <v>海底の孤高神 テティス</v>
          </cell>
          <cell r="D1599" t="str">
            <v>初期ガチャ</v>
          </cell>
          <cell r="E1599" t="str">
            <v>管理者</v>
          </cell>
          <cell r="F1599" t="str">
            <v>美しい</v>
          </cell>
          <cell r="G1599" t="str">
            <v>女性</v>
          </cell>
          <cell r="H1599" t="str">
            <v>blue</v>
          </cell>
          <cell r="I1599">
            <v>5</v>
          </cell>
          <cell r="J1599" t="str">
            <v>PremiumN</v>
          </cell>
          <cell r="K1599" t="str">
            <v>ra</v>
          </cell>
          <cell r="L1599" t="str">
            <v>ラグランジュチャレンジ</v>
          </cell>
          <cell r="M1599" t="str">
            <v>god</v>
          </cell>
        </row>
        <row r="1600">
          <cell r="A1600">
            <v>6007</v>
          </cell>
          <cell r="B1600" t="str">
            <v>ja</v>
          </cell>
          <cell r="C1600" t="str">
            <v>番犬 ケルベロス</v>
          </cell>
          <cell r="D1600" t="str">
            <v>初期ガチャ</v>
          </cell>
          <cell r="E1600" t="str">
            <v>破界者</v>
          </cell>
          <cell r="F1600" t="str">
            <v>可愛い</v>
          </cell>
          <cell r="G1600" t="str">
            <v>女性</v>
          </cell>
          <cell r="H1600" t="str">
            <v>red</v>
          </cell>
          <cell r="I1600">
            <v>4</v>
          </cell>
          <cell r="J1600" t="str">
            <v>PremiumN</v>
          </cell>
          <cell r="K1600" t="str">
            <v>ra</v>
          </cell>
          <cell r="L1600" t="str">
            <v>ラグランジュチャレンジ</v>
          </cell>
          <cell r="M1600" t="str">
            <v>animal</v>
          </cell>
        </row>
        <row r="1601">
          <cell r="A1601">
            <v>6008</v>
          </cell>
          <cell r="B1601" t="str">
            <v>ja</v>
          </cell>
          <cell r="C1601" t="str">
            <v>焔神 プロメテウス</v>
          </cell>
          <cell r="D1601" t="str">
            <v>初期ガチャ</v>
          </cell>
          <cell r="E1601" t="str">
            <v>管理者</v>
          </cell>
          <cell r="F1601" t="str">
            <v>格好いい</v>
          </cell>
          <cell r="G1601" t="str">
            <v>男性</v>
          </cell>
          <cell r="H1601" t="str">
            <v>red</v>
          </cell>
          <cell r="I1601">
            <v>4</v>
          </cell>
          <cell r="J1601" t="str">
            <v>PremiumN</v>
          </cell>
          <cell r="K1601" t="str">
            <v>ra</v>
          </cell>
          <cell r="L1601" t="str">
            <v>ラグランジュチャレンジ</v>
          </cell>
          <cell r="M1601" t="str">
            <v>god</v>
          </cell>
        </row>
        <row r="1602">
          <cell r="A1602">
            <v>6009</v>
          </cell>
          <cell r="B1602" t="str">
            <v>ja</v>
          </cell>
          <cell r="C1602" t="str">
            <v>超越自我 ラグランジュ</v>
          </cell>
          <cell r="D1602" t="str">
            <v>ガチャ:フィーバーフェス02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red</v>
          </cell>
          <cell r="I1602">
            <v>5</v>
          </cell>
          <cell r="J1602" t="str">
            <v>PremiumSSS</v>
          </cell>
          <cell r="K1602" t="str">
            <v>ra</v>
          </cell>
          <cell r="L1602" t="str">
            <v>ラグランジュチャレンジ</v>
          </cell>
          <cell r="M1602" t="str">
            <v>human</v>
          </cell>
        </row>
        <row r="1603">
          <cell r="A1603">
            <v>6010</v>
          </cell>
          <cell r="B1603" t="str">
            <v>ja</v>
          </cell>
          <cell r="C1603" t="str">
            <v>超越凌駕 ラグランジュ</v>
          </cell>
          <cell r="D1603" t="str">
            <v>ガチャ:フィーバーフェス02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red</v>
          </cell>
          <cell r="I1603">
            <v>6</v>
          </cell>
          <cell r="J1603" t="str">
            <v>PremiumSSS</v>
          </cell>
          <cell r="K1603" t="str">
            <v>ra</v>
          </cell>
          <cell r="L1603" t="str">
            <v>ラグランジュチャレンジ</v>
          </cell>
          <cell r="M1603" t="str">
            <v>human</v>
          </cell>
        </row>
        <row r="1604">
          <cell r="A1604">
            <v>6011</v>
          </cell>
          <cell r="B1604" t="str">
            <v>ja</v>
          </cell>
          <cell r="C1604" t="str">
            <v>パトドッグリーダー ポチ</v>
          </cell>
          <cell r="D1604" t="str">
            <v>ガチャ:フィーバーフェス02</v>
          </cell>
          <cell r="E1604" t="str">
            <v>執行者</v>
          </cell>
          <cell r="F1604" t="str">
            <v>格好いい</v>
          </cell>
          <cell r="G1604" t="str">
            <v>男性</v>
          </cell>
          <cell r="H1604" t="str">
            <v>blue</v>
          </cell>
          <cell r="I1604">
            <v>2</v>
          </cell>
          <cell r="J1604" t="str">
            <v>Drop1T</v>
          </cell>
          <cell r="K1604" t="str">
            <v>ra002</v>
          </cell>
          <cell r="L1604" t="str">
            <v>ユークリッドチャレンジ</v>
          </cell>
          <cell r="M1604" t="str">
            <v>unknown</v>
          </cell>
        </row>
        <row r="1605">
          <cell r="A1605">
            <v>6012</v>
          </cell>
          <cell r="B1605" t="str">
            <v>ja</v>
          </cell>
          <cell r="C1605" t="str">
            <v>ミミ</v>
          </cell>
          <cell r="D1605" t="str">
            <v>ガチャ:フィーバーフェス02</v>
          </cell>
          <cell r="E1605" t="str">
            <v>執行者</v>
          </cell>
          <cell r="F1605" t="str">
            <v>格好いい</v>
          </cell>
          <cell r="G1605" t="str">
            <v>男性</v>
          </cell>
          <cell r="H1605" t="str">
            <v>yellow</v>
          </cell>
          <cell r="I1605">
            <v>1</v>
          </cell>
          <cell r="J1605" t="str">
            <v>Drop1W</v>
          </cell>
          <cell r="K1605" t="str">
            <v>ra002</v>
          </cell>
          <cell r="L1605" t="str">
            <v>ユークリッドチャレンジ</v>
          </cell>
          <cell r="M1605" t="str">
            <v>animal</v>
          </cell>
        </row>
        <row r="1606">
          <cell r="A1606">
            <v>6013</v>
          </cell>
          <cell r="B1606" t="str">
            <v>ja</v>
          </cell>
          <cell r="C1606" t="str">
            <v>護衛機人 スケアクロウ</v>
          </cell>
          <cell r="D1606" t="str">
            <v>ガチャ:フィーバーフェス02</v>
          </cell>
          <cell r="E1606" t="str">
            <v>執行者</v>
          </cell>
          <cell r="F1606" t="str">
            <v>格好いい</v>
          </cell>
          <cell r="G1606" t="str">
            <v>男性</v>
          </cell>
          <cell r="H1606" t="str">
            <v>blue</v>
          </cell>
          <cell r="I1606">
            <v>2</v>
          </cell>
          <cell r="J1606" t="str">
            <v>Drop1N</v>
          </cell>
          <cell r="K1606" t="str">
            <v>ra002</v>
          </cell>
          <cell r="L1606" t="str">
            <v>ユークリッドチャレンジ</v>
          </cell>
          <cell r="M1606" t="str">
            <v>machine</v>
          </cell>
        </row>
        <row r="1607">
          <cell r="A1607">
            <v>6014</v>
          </cell>
          <cell r="B1607" t="str">
            <v>ja</v>
          </cell>
          <cell r="C1607" t="str">
            <v>月下の人狼 ローレンス</v>
          </cell>
          <cell r="D1607" t="str">
            <v>ガチャ:フィーバーフェス02</v>
          </cell>
          <cell r="E1607" t="str">
            <v>執行者</v>
          </cell>
          <cell r="F1607" t="str">
            <v>格好いい</v>
          </cell>
          <cell r="G1607" t="str">
            <v>男性</v>
          </cell>
          <cell r="H1607" t="str">
            <v>blue</v>
          </cell>
          <cell r="I1607">
            <v>4</v>
          </cell>
          <cell r="J1607" t="str">
            <v>PremiumW</v>
          </cell>
          <cell r="K1607" t="str">
            <v>ra002</v>
          </cell>
          <cell r="L1607" t="str">
            <v>ユークリッドチャレンジ</v>
          </cell>
          <cell r="M1607" t="str">
            <v>animal</v>
          </cell>
        </row>
        <row r="1608">
          <cell r="A1608">
            <v>6015</v>
          </cell>
          <cell r="B1608" t="str">
            <v>ja</v>
          </cell>
          <cell r="C1608" t="str">
            <v>フレイヤ</v>
          </cell>
          <cell r="D1608" t="str">
            <v>ガチャ:フィーバーフェス02</v>
          </cell>
          <cell r="E1608" t="str">
            <v>執行者</v>
          </cell>
          <cell r="F1608" t="str">
            <v>格好いい</v>
          </cell>
          <cell r="G1608" t="str">
            <v>男性</v>
          </cell>
          <cell r="H1608" t="str">
            <v>blue</v>
          </cell>
          <cell r="I1608">
            <v>4</v>
          </cell>
          <cell r="J1608" t="str">
            <v>PremiumSS</v>
          </cell>
          <cell r="K1608" t="str">
            <v>ra002</v>
          </cell>
          <cell r="L1608" t="str">
            <v>ユークリッドチャレンジ</v>
          </cell>
          <cell r="M1608" t="str">
            <v>animal</v>
          </cell>
        </row>
        <row r="1609">
          <cell r="A1609">
            <v>6016</v>
          </cell>
          <cell r="B1609" t="str">
            <v>ja</v>
          </cell>
          <cell r="C1609" t="str">
            <v>根原論理 ユークリッド</v>
          </cell>
          <cell r="D1609" t="str">
            <v>ガチャ:フィーバーフェス02</v>
          </cell>
          <cell r="E1609" t="str">
            <v>執行者</v>
          </cell>
          <cell r="F1609" t="str">
            <v>格好いい</v>
          </cell>
          <cell r="G1609" t="str">
            <v>男性</v>
          </cell>
          <cell r="H1609" t="str">
            <v>blue</v>
          </cell>
          <cell r="I1609">
            <v>5</v>
          </cell>
          <cell r="J1609" t="str">
            <v>PremiumSSS</v>
          </cell>
          <cell r="K1609" t="str">
            <v>ra002</v>
          </cell>
          <cell r="L1609" t="str">
            <v>ユークリッドチャレンジ</v>
          </cell>
          <cell r="M1609" t="str">
            <v>human</v>
          </cell>
        </row>
        <row r="1610">
          <cell r="A1610">
            <v>6017</v>
          </cell>
          <cell r="B1610" t="str">
            <v>ja</v>
          </cell>
          <cell r="C1610" t="str">
            <v>不朽の極論 ユークリッド</v>
          </cell>
          <cell r="D1610" t="str">
            <v>ガチャ:フィーバーフェス02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blue</v>
          </cell>
          <cell r="I1610">
            <v>6</v>
          </cell>
          <cell r="J1610" t="str">
            <v>PremiumSSS</v>
          </cell>
          <cell r="K1610" t="str">
            <v>ra002</v>
          </cell>
          <cell r="L1610" t="str">
            <v>ユークリッドチャレンジ</v>
          </cell>
          <cell r="M1610" t="str">
            <v>human</v>
          </cell>
        </row>
        <row r="1611">
          <cell r="A1611">
            <v>6018</v>
          </cell>
          <cell r="B1611" t="str">
            <v>ja</v>
          </cell>
          <cell r="C1611" t="str">
            <v>ハヅル</v>
          </cell>
          <cell r="D1611" t="str">
            <v>ガチャ:フィーバーフェス02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red</v>
          </cell>
          <cell r="I1611">
            <v>4</v>
          </cell>
          <cell r="J1611" t="str">
            <v>PremiumSS</v>
          </cell>
          <cell r="K1611" t="str">
            <v>ra002</v>
          </cell>
          <cell r="L1611" t="str">
            <v>ユークリッドチャレンジ</v>
          </cell>
          <cell r="M1611" t="str">
            <v>animal</v>
          </cell>
        </row>
        <row r="1612">
          <cell r="A1612">
            <v>6019</v>
          </cell>
          <cell r="B1612" t="str">
            <v>ja</v>
          </cell>
          <cell r="C1612" t="str">
            <v>天織羽鶴 ハヅル</v>
          </cell>
          <cell r="D1612" t="str">
            <v>ガチャ:フィーバーフェス02</v>
          </cell>
          <cell r="E1612" t="str">
            <v>執行者</v>
          </cell>
          <cell r="F1612" t="str">
            <v>格好いい</v>
          </cell>
          <cell r="G1612" t="str">
            <v>男性</v>
          </cell>
          <cell r="H1612" t="str">
            <v>red</v>
          </cell>
          <cell r="I1612">
            <v>5</v>
          </cell>
          <cell r="J1612" t="str">
            <v>PremiumSS</v>
          </cell>
          <cell r="K1612" t="str">
            <v>ra002</v>
          </cell>
          <cell r="L1612" t="str">
            <v>ユークリッドチャレンジ</v>
          </cell>
          <cell r="M1612" t="str">
            <v>animal</v>
          </cell>
        </row>
        <row r="1613">
          <cell r="A1613">
            <v>6020</v>
          </cell>
          <cell r="B1613" t="str">
            <v>ja</v>
          </cell>
          <cell r="C1613" t="str">
            <v>ミズチ</v>
          </cell>
          <cell r="D1613" t="str">
            <v>ガチャ:フィーバーフェス02</v>
          </cell>
          <cell r="E1613" t="str">
            <v>執行者</v>
          </cell>
          <cell r="F1613" t="str">
            <v>格好いい</v>
          </cell>
          <cell r="G1613" t="str">
            <v>男性</v>
          </cell>
          <cell r="H1613" t="str">
            <v>blue</v>
          </cell>
          <cell r="I1613">
            <v>4</v>
          </cell>
          <cell r="J1613" t="str">
            <v>PremiumS</v>
          </cell>
          <cell r="K1613" t="str">
            <v>ra002</v>
          </cell>
          <cell r="L1613" t="str">
            <v>ユークリッドチャレンジ</v>
          </cell>
          <cell r="M1613" t="str">
            <v>dragon</v>
          </cell>
        </row>
        <row r="1614">
          <cell r="A1614">
            <v>8001</v>
          </cell>
          <cell r="B1614" t="str">
            <v>ja</v>
          </cell>
          <cell r="C1614" t="str">
            <v>媽祖</v>
          </cell>
          <cell r="D1614" t="str">
            <v>イベント:ミクコラボ01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yellow</v>
          </cell>
          <cell r="I1614">
            <v>5</v>
          </cell>
          <cell r="J1614" t="str">
            <v>PremiumSS</v>
          </cell>
          <cell r="K1614" t="str">
            <v>attack</v>
          </cell>
          <cell r="L1614" t="str">
            <v>攻撃タイプ</v>
          </cell>
          <cell r="M1614" t="str">
            <v>god</v>
          </cell>
        </row>
        <row r="1615">
          <cell r="A1615">
            <v>8002</v>
          </cell>
          <cell r="B1615" t="str">
            <v>ja</v>
          </cell>
          <cell r="C1615" t="str">
            <v>宣導する天海妃 媽祖</v>
          </cell>
          <cell r="D1615" t="str">
            <v>イベント:ミクコラボ01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yellow</v>
          </cell>
          <cell r="I1615">
            <v>6</v>
          </cell>
          <cell r="J1615" t="str">
            <v>PremiumSS</v>
          </cell>
          <cell r="K1615" t="str">
            <v>attack</v>
          </cell>
          <cell r="L1615" t="str">
            <v>攻撃タイプ</v>
          </cell>
          <cell r="M1615" t="str">
            <v>god</v>
          </cell>
        </row>
        <row r="1616">
          <cell r="A1616">
            <v>8003</v>
          </cell>
          <cell r="B1616" t="str">
            <v>ja</v>
          </cell>
          <cell r="C1616" t="str">
            <v>蛟龍</v>
          </cell>
          <cell r="D1616" t="str">
            <v>イベント:ミクコラボ01</v>
          </cell>
          <cell r="E1616" t="str">
            <v>執行者</v>
          </cell>
          <cell r="F1616" t="str">
            <v>格好いい</v>
          </cell>
          <cell r="G1616" t="str">
            <v>不明</v>
          </cell>
          <cell r="H1616" t="str">
            <v>blue</v>
          </cell>
          <cell r="I1616">
            <v>5</v>
          </cell>
          <cell r="J1616" t="str">
            <v>DropWizS</v>
          </cell>
          <cell r="K1616" t="str">
            <v>hp</v>
          </cell>
          <cell r="L1616" t="str">
            <v>体力タイプ</v>
          </cell>
          <cell r="M1616" t="str">
            <v>dragon</v>
          </cell>
        </row>
        <row r="1617">
          <cell r="A1617">
            <v>8004</v>
          </cell>
          <cell r="B1617" t="str">
            <v>ja</v>
          </cell>
          <cell r="C1617" t="str">
            <v>呼嵐の蒼棲龍 蛟龍</v>
          </cell>
          <cell r="D1617" t="str">
            <v>イベント:ミクコラボ01</v>
          </cell>
          <cell r="E1617" t="str">
            <v>執行者</v>
          </cell>
          <cell r="F1617" t="str">
            <v>格好いい</v>
          </cell>
          <cell r="G1617" t="str">
            <v>不明</v>
          </cell>
          <cell r="H1617" t="str">
            <v>blue</v>
          </cell>
          <cell r="I1617">
            <v>6</v>
          </cell>
          <cell r="J1617" t="str">
            <v>DropWizS</v>
          </cell>
          <cell r="K1617" t="str">
            <v>hp</v>
          </cell>
          <cell r="L1617" t="str">
            <v>体力タイプ</v>
          </cell>
          <cell r="M1617" t="str">
            <v>dragon</v>
          </cell>
        </row>
        <row r="1618">
          <cell r="A1618">
            <v>8005</v>
          </cell>
          <cell r="B1618" t="str">
            <v>ja</v>
          </cell>
          <cell r="C1618" t="str">
            <v>三蔵法師</v>
          </cell>
          <cell r="D1618" t="str">
            <v>イベント:ミクコラボ01</v>
          </cell>
          <cell r="E1618" t="str">
            <v>執行者</v>
          </cell>
          <cell r="F1618" t="str">
            <v>格好いい</v>
          </cell>
          <cell r="G1618" t="str">
            <v>不明</v>
          </cell>
          <cell r="H1618" t="str">
            <v>blue</v>
          </cell>
          <cell r="I1618">
            <v>5</v>
          </cell>
          <cell r="J1618" t="str">
            <v>PremiumSS</v>
          </cell>
          <cell r="K1618" t="str">
            <v>balance</v>
          </cell>
          <cell r="L1618" t="str">
            <v>バランスタイプ</v>
          </cell>
          <cell r="M1618" t="str">
            <v>human</v>
          </cell>
        </row>
        <row r="1619">
          <cell r="A1619">
            <v>8006</v>
          </cell>
          <cell r="B1619" t="str">
            <v>ja</v>
          </cell>
          <cell r="C1619" t="str">
            <v>慈戒の呪封使 三蔵法師</v>
          </cell>
          <cell r="D1619" t="str">
            <v>イベント:ミクコラボ01</v>
          </cell>
          <cell r="E1619" t="str">
            <v>執行者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6</v>
          </cell>
          <cell r="J1619" t="str">
            <v>PremiumSS</v>
          </cell>
          <cell r="K1619" t="str">
            <v>balance</v>
          </cell>
          <cell r="L1619" t="str">
            <v>バランスタイプ</v>
          </cell>
          <cell r="M1619" t="str">
            <v>human</v>
          </cell>
        </row>
        <row r="1620">
          <cell r="A1620">
            <v>8007</v>
          </cell>
          <cell r="B1620" t="str">
            <v>ja</v>
          </cell>
          <cell r="C1620" t="str">
            <v>孫悟空</v>
          </cell>
          <cell r="D1620" t="str">
            <v>イベント:ミクコラボ01</v>
          </cell>
          <cell r="E1620" t="str">
            <v>執行者</v>
          </cell>
          <cell r="F1620" t="str">
            <v>格好いい</v>
          </cell>
          <cell r="G1620" t="str">
            <v>不明</v>
          </cell>
          <cell r="H1620" t="str">
            <v>red</v>
          </cell>
          <cell r="I1620">
            <v>5</v>
          </cell>
          <cell r="J1620" t="str">
            <v>DropWizS</v>
          </cell>
          <cell r="K1620" t="str">
            <v>attack</v>
          </cell>
          <cell r="L1620" t="str">
            <v>攻撃タイプ</v>
          </cell>
          <cell r="M1620" t="str">
            <v>animal</v>
          </cell>
        </row>
        <row r="1621">
          <cell r="A1621">
            <v>8008</v>
          </cell>
          <cell r="B1621" t="str">
            <v>ja</v>
          </cell>
          <cell r="C1621" t="str">
            <v>花果の天猿仙人 孫悟空</v>
          </cell>
          <cell r="D1621" t="str">
            <v>イベント:ミクコラボ01</v>
          </cell>
          <cell r="E1621" t="str">
            <v>執行者</v>
          </cell>
          <cell r="F1621" t="str">
            <v>格好いい</v>
          </cell>
          <cell r="G1621" t="str">
            <v>不明</v>
          </cell>
          <cell r="H1621" t="str">
            <v>red</v>
          </cell>
          <cell r="I1621">
            <v>6</v>
          </cell>
          <cell r="J1621" t="str">
            <v>DropWizS</v>
          </cell>
          <cell r="K1621" t="str">
            <v>attack</v>
          </cell>
          <cell r="L1621" t="str">
            <v>攻撃タイプ</v>
          </cell>
          <cell r="M1621" t="str">
            <v>animal</v>
          </cell>
        </row>
        <row r="1622">
          <cell r="A1622">
            <v>8009</v>
          </cell>
          <cell r="B1622" t="str">
            <v>ja</v>
          </cell>
          <cell r="C1622" t="str">
            <v>西王娘娘</v>
          </cell>
          <cell r="D1622" t="str">
            <v>イベント:ミクコラボ01</v>
          </cell>
          <cell r="E1622" t="str">
            <v>執行者</v>
          </cell>
          <cell r="F1622" t="str">
            <v>格好いい</v>
          </cell>
          <cell r="G1622" t="str">
            <v>不明</v>
          </cell>
          <cell r="H1622" t="str">
            <v>green</v>
          </cell>
          <cell r="I1622">
            <v>5</v>
          </cell>
          <cell r="J1622" t="str">
            <v>PremiumSS</v>
          </cell>
          <cell r="K1622" t="str">
            <v>attack</v>
          </cell>
          <cell r="L1622" t="str">
            <v>攻撃タイプ</v>
          </cell>
          <cell r="M1622" t="str">
            <v>god</v>
          </cell>
        </row>
        <row r="1623">
          <cell r="A1623">
            <v>8010</v>
          </cell>
          <cell r="B1623" t="str">
            <v>ja</v>
          </cell>
          <cell r="C1623" t="str">
            <v>極楽瑶池の聖母 西王娘娘</v>
          </cell>
          <cell r="D1623" t="str">
            <v>イベント:ミクコラボ01</v>
          </cell>
          <cell r="E1623" t="str">
            <v>執行者</v>
          </cell>
          <cell r="F1623" t="str">
            <v>格好いい</v>
          </cell>
          <cell r="G1623" t="str">
            <v>不明</v>
          </cell>
          <cell r="H1623" t="str">
            <v>green</v>
          </cell>
          <cell r="I1623">
            <v>6</v>
          </cell>
          <cell r="J1623" t="str">
            <v>PremiumSS</v>
          </cell>
          <cell r="K1623" t="str">
            <v>attack</v>
          </cell>
          <cell r="L1623" t="str">
            <v>攻撃タイプ</v>
          </cell>
          <cell r="M1623" t="str">
            <v>god</v>
          </cell>
        </row>
        <row r="1624">
          <cell r="A1624">
            <v>8011</v>
          </cell>
          <cell r="B1624" t="str">
            <v>ja</v>
          </cell>
          <cell r="C1624" t="str">
            <v>月下老人</v>
          </cell>
          <cell r="D1624" t="str">
            <v>イベント:ミクコラボ01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yellow</v>
          </cell>
          <cell r="I1624">
            <v>5</v>
          </cell>
          <cell r="J1624" t="str">
            <v>DropWizS</v>
          </cell>
          <cell r="K1624" t="str">
            <v>balance</v>
          </cell>
          <cell r="L1624" t="str">
            <v>バランスタイプ</v>
          </cell>
          <cell r="M1624" t="str">
            <v>god</v>
          </cell>
        </row>
        <row r="1625">
          <cell r="A1625">
            <v>8012</v>
          </cell>
          <cell r="B1625" t="str">
            <v>ja</v>
          </cell>
          <cell r="C1625" t="str">
            <v>破戀斬る縁剣 月下老人</v>
          </cell>
          <cell r="D1625" t="str">
            <v>イベント:ミクコラボ01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yellow</v>
          </cell>
          <cell r="I1625">
            <v>6</v>
          </cell>
          <cell r="J1625" t="str">
            <v>DropWizS</v>
          </cell>
          <cell r="K1625" t="str">
            <v>balance</v>
          </cell>
          <cell r="L1625" t="str">
            <v>バランスタイプ</v>
          </cell>
          <cell r="M1625" t="str">
            <v>god</v>
          </cell>
        </row>
        <row r="1626">
          <cell r="A1626">
            <v>8013</v>
          </cell>
          <cell r="B1626" t="str">
            <v>ja</v>
          </cell>
          <cell r="C1626" t="str">
            <v>初音ミクV3</v>
          </cell>
          <cell r="D1626" t="str">
            <v>初音ミクV3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yellow</v>
          </cell>
          <cell r="I1626">
            <v>4</v>
          </cell>
          <cell r="J1626" t="str">
            <v>DropWizS</v>
          </cell>
          <cell r="K1626" t="str">
            <v>balance</v>
          </cell>
          <cell r="L1626" t="str">
            <v>バランスタイプ</v>
          </cell>
          <cell r="M1626" t="str">
            <v>unknown</v>
          </cell>
        </row>
        <row r="1627">
          <cell r="A1627">
            <v>8014</v>
          </cell>
          <cell r="B1627" t="str">
            <v>ja</v>
          </cell>
          <cell r="C1627" t="str">
            <v>初音ミクV3</v>
          </cell>
          <cell r="D1627" t="str">
            <v>初音ミクV3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yellow</v>
          </cell>
          <cell r="I1627">
            <v>5</v>
          </cell>
          <cell r="J1627" t="str">
            <v>DropWizS</v>
          </cell>
          <cell r="K1627" t="str">
            <v>balance</v>
          </cell>
          <cell r="L1627" t="str">
            <v>バランスタイプ</v>
          </cell>
          <cell r="M1627" t="str">
            <v>unknown</v>
          </cell>
        </row>
        <row r="1628">
          <cell r="A1628">
            <v>8015</v>
          </cell>
          <cell r="B1628" t="str">
            <v>ja</v>
          </cell>
          <cell r="C1628" t="str">
            <v>初音ミク・アペンド</v>
          </cell>
          <cell r="D1628" t="str">
            <v>初音ミク・アペンド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green</v>
          </cell>
          <cell r="I1628">
            <v>4</v>
          </cell>
          <cell r="J1628" t="str">
            <v>PremiumSSS</v>
          </cell>
          <cell r="K1628" t="str">
            <v>technical</v>
          </cell>
          <cell r="L1628" t="str">
            <v>テクニカルタイプ</v>
          </cell>
          <cell r="M1628" t="str">
            <v>unknown</v>
          </cell>
        </row>
        <row r="1629">
          <cell r="A1629">
            <v>8016</v>
          </cell>
          <cell r="B1629" t="str">
            <v>ja</v>
          </cell>
          <cell r="C1629" t="str">
            <v>初音ミク・アペンド</v>
          </cell>
          <cell r="D1629" t="str">
            <v>初音ミク・アペンド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unknown</v>
          </cell>
        </row>
        <row r="1630">
          <cell r="A1630">
            <v>8017</v>
          </cell>
          <cell r="B1630" t="str">
            <v>ja</v>
          </cell>
          <cell r="C1630" t="str">
            <v>初音ミク</v>
          </cell>
          <cell r="D1630" t="str">
            <v>初音ミク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4</v>
          </cell>
          <cell r="J1630" t="str">
            <v>PremiumSSS</v>
          </cell>
          <cell r="K1630" t="str">
            <v>balance</v>
          </cell>
          <cell r="L1630" t="str">
            <v>バランスタイプ</v>
          </cell>
          <cell r="M1630" t="str">
            <v>unknown</v>
          </cell>
        </row>
        <row r="1631">
          <cell r="A1631">
            <v>8018</v>
          </cell>
          <cell r="B1631" t="str">
            <v>ja</v>
          </cell>
          <cell r="C1631" t="str">
            <v>初音ミク</v>
          </cell>
          <cell r="D1631" t="str">
            <v>初音ミク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green</v>
          </cell>
          <cell r="I1631">
            <v>5</v>
          </cell>
          <cell r="J1631" t="str">
            <v>PremiumSSS</v>
          </cell>
          <cell r="K1631" t="str">
            <v>balance</v>
          </cell>
          <cell r="L1631" t="str">
            <v>バランスタイプ</v>
          </cell>
          <cell r="M1631" t="str">
            <v>unknown</v>
          </cell>
        </row>
        <row r="1632">
          <cell r="A1632">
            <v>8019</v>
          </cell>
          <cell r="B1632" t="str">
            <v>ja</v>
          </cell>
          <cell r="C1632" t="str">
            <v>鏡音リン</v>
          </cell>
          <cell r="D1632" t="str">
            <v>鏡音リン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4</v>
          </cell>
          <cell r="J1632" t="str">
            <v>PremiumSS</v>
          </cell>
          <cell r="K1632" t="str">
            <v>balance</v>
          </cell>
          <cell r="L1632" t="str">
            <v>バランスタイプ</v>
          </cell>
          <cell r="M1632" t="str">
            <v>unknown</v>
          </cell>
        </row>
        <row r="1633">
          <cell r="A1633">
            <v>8020</v>
          </cell>
          <cell r="B1633" t="str">
            <v>ja</v>
          </cell>
          <cell r="C1633" t="str">
            <v>鏡音リン</v>
          </cell>
          <cell r="D1633" t="str">
            <v>鏡音リン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yellow</v>
          </cell>
          <cell r="I1633">
            <v>5</v>
          </cell>
          <cell r="J1633" t="str">
            <v>PremiumSS</v>
          </cell>
          <cell r="K1633" t="str">
            <v>balance</v>
          </cell>
          <cell r="L1633" t="str">
            <v>バランスタイプ</v>
          </cell>
          <cell r="M1633" t="str">
            <v>unknown</v>
          </cell>
        </row>
        <row r="1634">
          <cell r="A1634">
            <v>8021</v>
          </cell>
          <cell r="B1634" t="str">
            <v>ja</v>
          </cell>
          <cell r="C1634" t="str">
            <v>鏡音レン</v>
          </cell>
          <cell r="D1634" t="str">
            <v>鏡音レン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yellow</v>
          </cell>
          <cell r="I1634">
            <v>4</v>
          </cell>
          <cell r="J1634" t="str">
            <v>PremiumSS</v>
          </cell>
          <cell r="K1634" t="str">
            <v>heal</v>
          </cell>
          <cell r="L1634" t="str">
            <v>回復タイプ</v>
          </cell>
          <cell r="M1634" t="str">
            <v>unknown</v>
          </cell>
        </row>
        <row r="1635">
          <cell r="A1635">
            <v>8022</v>
          </cell>
          <cell r="B1635" t="str">
            <v>ja</v>
          </cell>
          <cell r="C1635" t="str">
            <v>鏡音レン</v>
          </cell>
          <cell r="D1635" t="str">
            <v>鏡音レン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</v>
          </cell>
          <cell r="K1635" t="str">
            <v>heal</v>
          </cell>
          <cell r="L1635" t="str">
            <v>回復タイプ</v>
          </cell>
          <cell r="M1635" t="str">
            <v>unknown</v>
          </cell>
        </row>
        <row r="1636">
          <cell r="A1636">
            <v>8023</v>
          </cell>
          <cell r="B1636" t="str">
            <v>ja</v>
          </cell>
          <cell r="C1636" t="str">
            <v>巡音ルカ</v>
          </cell>
          <cell r="D1636" t="str">
            <v>巡音ルカ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red</v>
          </cell>
          <cell r="I1636">
            <v>3</v>
          </cell>
          <cell r="J1636" t="str">
            <v>PremiumS</v>
          </cell>
          <cell r="K1636" t="str">
            <v>attack</v>
          </cell>
          <cell r="L1636" t="str">
            <v>攻撃タイプ</v>
          </cell>
          <cell r="M1636" t="str">
            <v>unknown</v>
          </cell>
        </row>
        <row r="1637">
          <cell r="A1637">
            <v>8024</v>
          </cell>
          <cell r="B1637" t="str">
            <v>ja</v>
          </cell>
          <cell r="C1637" t="str">
            <v>巡音ルカ</v>
          </cell>
          <cell r="D1637" t="str">
            <v>巡音ルカ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red</v>
          </cell>
          <cell r="I1637">
            <v>4</v>
          </cell>
          <cell r="J1637" t="str">
            <v>PremiumS</v>
          </cell>
          <cell r="K1637" t="str">
            <v>attack</v>
          </cell>
          <cell r="L1637" t="str">
            <v>攻撃タイプ</v>
          </cell>
          <cell r="M1637" t="str">
            <v>unknown</v>
          </cell>
        </row>
        <row r="1638">
          <cell r="A1638">
            <v>8025</v>
          </cell>
          <cell r="B1638" t="str">
            <v>ja</v>
          </cell>
          <cell r="C1638" t="str">
            <v>MEIKO</v>
          </cell>
          <cell r="D1638" t="str">
            <v>MEIKO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3</v>
          </cell>
          <cell r="J1638" t="str">
            <v>PremiumS</v>
          </cell>
          <cell r="K1638" t="str">
            <v>hp</v>
          </cell>
          <cell r="L1638" t="str">
            <v>体力タイプ</v>
          </cell>
          <cell r="M1638" t="str">
            <v>unknown</v>
          </cell>
        </row>
        <row r="1639">
          <cell r="A1639">
            <v>8026</v>
          </cell>
          <cell r="B1639" t="str">
            <v>ja</v>
          </cell>
          <cell r="C1639" t="str">
            <v>MEIKO</v>
          </cell>
          <cell r="D1639" t="str">
            <v>MEIKO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4</v>
          </cell>
          <cell r="J1639" t="str">
            <v>PremiumS</v>
          </cell>
          <cell r="K1639" t="str">
            <v>hp</v>
          </cell>
          <cell r="L1639" t="str">
            <v>体力タイプ</v>
          </cell>
          <cell r="M1639" t="str">
            <v>unknown</v>
          </cell>
        </row>
        <row r="1640">
          <cell r="A1640">
            <v>8027</v>
          </cell>
          <cell r="B1640" t="str">
            <v>ja</v>
          </cell>
          <cell r="C1640" t="str">
            <v>KAITO</v>
          </cell>
          <cell r="D1640" t="str">
            <v>KAITO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blue</v>
          </cell>
          <cell r="I1640">
            <v>3</v>
          </cell>
          <cell r="J1640" t="str">
            <v>PremiumS</v>
          </cell>
          <cell r="K1640" t="str">
            <v>technical</v>
          </cell>
          <cell r="L1640" t="str">
            <v>テクニカルタイプ</v>
          </cell>
          <cell r="M1640" t="str">
            <v>unknown</v>
          </cell>
        </row>
        <row r="1641">
          <cell r="A1641">
            <v>8028</v>
          </cell>
          <cell r="B1641" t="str">
            <v>ja</v>
          </cell>
          <cell r="C1641" t="str">
            <v>KAITO</v>
          </cell>
          <cell r="D1641" t="str">
            <v>KAITO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blue</v>
          </cell>
          <cell r="I1641">
            <v>4</v>
          </cell>
          <cell r="J1641" t="str">
            <v>PremiumS</v>
          </cell>
          <cell r="K1641" t="str">
            <v>technical</v>
          </cell>
          <cell r="L1641" t="str">
            <v>テクニカルタイプ</v>
          </cell>
          <cell r="M1641" t="str">
            <v>unknown</v>
          </cell>
        </row>
        <row r="1642">
          <cell r="A1642">
            <v>8029</v>
          </cell>
          <cell r="B1642" t="str">
            <v>ja</v>
          </cell>
          <cell r="C1642" t="str">
            <v>Expoミク</v>
          </cell>
          <cell r="D1642" t="str">
            <v>Expoミク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blue</v>
          </cell>
          <cell r="I1642">
            <v>4</v>
          </cell>
          <cell r="J1642" t="str">
            <v>Drop2N</v>
          </cell>
          <cell r="K1642" t="str">
            <v>heal</v>
          </cell>
          <cell r="L1642" t="str">
            <v>回復タイプ</v>
          </cell>
          <cell r="M1642" t="str">
            <v>unknown</v>
          </cell>
        </row>
        <row r="1643">
          <cell r="A1643">
            <v>8030</v>
          </cell>
          <cell r="B1643" t="str">
            <v>ja</v>
          </cell>
          <cell r="C1643" t="str">
            <v>Expoミク</v>
          </cell>
          <cell r="D1643" t="str">
            <v>Expoミク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blue</v>
          </cell>
          <cell r="I1643">
            <v>5</v>
          </cell>
          <cell r="J1643" t="str">
            <v>Drop2N</v>
          </cell>
          <cell r="K1643" t="str">
            <v>heal</v>
          </cell>
          <cell r="L1643" t="str">
            <v>回復タイプ</v>
          </cell>
          <cell r="M1643" t="str">
            <v>unknown</v>
          </cell>
        </row>
        <row r="1644">
          <cell r="A1644">
            <v>8031</v>
          </cell>
          <cell r="B1644" t="str">
            <v>ja</v>
          </cell>
          <cell r="C1644" t="str">
            <v>閻羅王</v>
          </cell>
          <cell r="D1644" t="str">
            <v>Expoミク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god</v>
          </cell>
        </row>
        <row r="1645">
          <cell r="A1645">
            <v>8032</v>
          </cell>
          <cell r="B1645" t="str">
            <v>ja</v>
          </cell>
          <cell r="C1645" t="str">
            <v>六道輪廻の絶獄 閻羅王</v>
          </cell>
          <cell r="D1645" t="str">
            <v>Expoミク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god</v>
          </cell>
        </row>
        <row r="1646">
          <cell r="A1646">
            <v>8033</v>
          </cell>
          <cell r="B1646" t="str">
            <v>ja</v>
          </cell>
          <cell r="C1646" t="str">
            <v>牛頭馬面</v>
          </cell>
          <cell r="D1646" t="str">
            <v>Expoミク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green</v>
          </cell>
          <cell r="I1646">
            <v>5</v>
          </cell>
          <cell r="J1646" t="str">
            <v>DropWizS</v>
          </cell>
          <cell r="K1646" t="str">
            <v>attack</v>
          </cell>
          <cell r="L1646" t="str">
            <v>攻撃タイプ</v>
          </cell>
          <cell r="M1646" t="str">
            <v>god</v>
          </cell>
        </row>
        <row r="1647">
          <cell r="A1647">
            <v>8034</v>
          </cell>
          <cell r="B1647" t="str">
            <v>ja</v>
          </cell>
          <cell r="C1647" t="str">
            <v>冥府狩る魂使 牛頭馬面</v>
          </cell>
          <cell r="D1647" t="str">
            <v>Expoミク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green</v>
          </cell>
          <cell r="I1647">
            <v>6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god</v>
          </cell>
        </row>
        <row r="1648">
          <cell r="A1648">
            <v>8035</v>
          </cell>
          <cell r="B1648" t="str">
            <v>ja</v>
          </cell>
          <cell r="C1648" t="str">
            <v>飛衛</v>
          </cell>
          <cell r="D1648" t="str">
            <v>Expoミク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blue</v>
          </cell>
          <cell r="I1648">
            <v>5</v>
          </cell>
          <cell r="J1648" t="str">
            <v>PremiumSS</v>
          </cell>
          <cell r="K1648" t="str">
            <v>heal</v>
          </cell>
          <cell r="L1648" t="str">
            <v>回復タイプ</v>
          </cell>
          <cell r="M1648" t="str">
            <v>human</v>
          </cell>
        </row>
        <row r="1649">
          <cell r="A1649">
            <v>8036</v>
          </cell>
          <cell r="B1649" t="str">
            <v>ja</v>
          </cell>
          <cell r="C1649" t="str">
            <v>レア６飛衛</v>
          </cell>
          <cell r="D1649" t="str">
            <v>Expoミク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blue</v>
          </cell>
          <cell r="I1649">
            <v>6</v>
          </cell>
          <cell r="J1649" t="str">
            <v>PremiumSS</v>
          </cell>
          <cell r="K1649" t="str">
            <v>heal</v>
          </cell>
          <cell r="L1649" t="str">
            <v>回復タイプ</v>
          </cell>
          <cell r="M1649" t="str">
            <v>human</v>
          </cell>
        </row>
        <row r="1650">
          <cell r="A1650">
            <v>8037</v>
          </cell>
          <cell r="B1650" t="str">
            <v>ja</v>
          </cell>
          <cell r="C1650" t="str">
            <v>紀昌</v>
          </cell>
          <cell r="D1650" t="str">
            <v>Expoミク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5</v>
          </cell>
          <cell r="J1650" t="str">
            <v>DropWizS</v>
          </cell>
          <cell r="K1650" t="str">
            <v>attack</v>
          </cell>
          <cell r="L1650" t="str">
            <v>攻撃タイプ</v>
          </cell>
          <cell r="M1650" t="str">
            <v>human</v>
          </cell>
        </row>
        <row r="1651">
          <cell r="A1651">
            <v>8038</v>
          </cell>
          <cell r="B1651" t="str">
            <v>ja</v>
          </cell>
          <cell r="C1651" t="str">
            <v>レア６紀昌</v>
          </cell>
          <cell r="D1651" t="str">
            <v>Expoミク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6</v>
          </cell>
          <cell r="J1651" t="str">
            <v>DropWizS</v>
          </cell>
          <cell r="K1651" t="str">
            <v>attack</v>
          </cell>
          <cell r="L1651" t="str">
            <v>攻撃タイプ</v>
          </cell>
          <cell r="M1651" t="str">
            <v>human</v>
          </cell>
        </row>
        <row r="1652">
          <cell r="A1652">
            <v>8039</v>
          </cell>
          <cell r="B1652" t="str">
            <v>ja</v>
          </cell>
          <cell r="C1652" t="str">
            <v>何仙姑</v>
          </cell>
          <cell r="D1652" t="str">
            <v>Expoミク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5</v>
          </cell>
          <cell r="J1652" t="str">
            <v>PremiumSSw</v>
          </cell>
          <cell r="K1652" t="str">
            <v>hp</v>
          </cell>
          <cell r="L1652" t="str">
            <v>体力タイプ</v>
          </cell>
          <cell r="M1652" t="str">
            <v>god</v>
          </cell>
        </row>
        <row r="1653">
          <cell r="A1653">
            <v>8040</v>
          </cell>
          <cell r="B1653" t="str">
            <v>ja</v>
          </cell>
          <cell r="C1653" t="str">
            <v>荷咲く九天 何仙姑</v>
          </cell>
          <cell r="D1653" t="str">
            <v>Expoミク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6</v>
          </cell>
          <cell r="J1653" t="str">
            <v>PremiumSSw</v>
          </cell>
          <cell r="K1653" t="str">
            <v>hp</v>
          </cell>
          <cell r="L1653" t="str">
            <v>体力タイプ</v>
          </cell>
          <cell r="M1653" t="str">
            <v>god</v>
          </cell>
        </row>
        <row r="1654">
          <cell r="A1654">
            <v>8041</v>
          </cell>
          <cell r="B1654" t="str">
            <v>ja</v>
          </cell>
          <cell r="C1654" t="str">
            <v>藍采和</v>
          </cell>
          <cell r="D1654" t="str">
            <v>Expoミク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god</v>
          </cell>
        </row>
        <row r="1655">
          <cell r="A1655">
            <v>8042</v>
          </cell>
          <cell r="B1655" t="str">
            <v>ja</v>
          </cell>
          <cell r="C1655" t="str">
            <v>天真浪漫 藍采和</v>
          </cell>
          <cell r="D1655" t="str">
            <v>Expoミク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DropWizS</v>
          </cell>
          <cell r="K1655" t="str">
            <v>balance</v>
          </cell>
          <cell r="L1655" t="str">
            <v>バランスタイプ</v>
          </cell>
          <cell r="M1655" t="str">
            <v>god</v>
          </cell>
        </row>
        <row r="1656">
          <cell r="A1656">
            <v>8043</v>
          </cell>
          <cell r="B1656" t="str">
            <v>ja</v>
          </cell>
          <cell r="C1656" t="str">
            <v>サンリオキャラ大集合+アザゼル</v>
          </cell>
          <cell r="D1656" t="str">
            <v>サンリオキャラ大集合+アザゼル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DropWizS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8044</v>
          </cell>
          <cell r="B1657" t="str">
            <v>ja</v>
          </cell>
          <cell r="C1657" t="str">
            <v>サンリオキャラ大集合+アザゼル</v>
          </cell>
          <cell r="D1657" t="str">
            <v>サンリオキャラ大集合+アザゼル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6</v>
          </cell>
          <cell r="J1657" t="str">
            <v>DropWizS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8045</v>
          </cell>
          <cell r="B1658" t="str">
            <v>ja</v>
          </cell>
          <cell r="C1658" t="str">
            <v>ニムダ_サンリオキャラ混じり</v>
          </cell>
          <cell r="D1658" t="str">
            <v>ニムダ_サンリオキャラ混じり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yellow</v>
          </cell>
          <cell r="I1658">
            <v>4</v>
          </cell>
          <cell r="J1658" t="str">
            <v>Drop2N</v>
          </cell>
          <cell r="K1658" t="str">
            <v>technical</v>
          </cell>
          <cell r="L1658" t="str">
            <v>テクニカルタイプ</v>
          </cell>
          <cell r="M1658" t="str">
            <v>ss</v>
          </cell>
        </row>
        <row r="1659">
          <cell r="A1659">
            <v>8046</v>
          </cell>
          <cell r="B1659" t="str">
            <v>ja</v>
          </cell>
          <cell r="C1659" t="str">
            <v>ニムダ_サンリオキャラ混じり</v>
          </cell>
          <cell r="D1659" t="str">
            <v>ニムダ_サンリオキャラ混じり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yellow</v>
          </cell>
          <cell r="I1659">
            <v>5</v>
          </cell>
          <cell r="J1659" t="str">
            <v>Drop2N</v>
          </cell>
          <cell r="K1659" t="str">
            <v>technical</v>
          </cell>
          <cell r="L1659" t="str">
            <v>テクニカルタイプ</v>
          </cell>
          <cell r="M1659" t="str">
            <v>ss</v>
          </cell>
        </row>
        <row r="1660">
          <cell r="A1660">
            <v>8047</v>
          </cell>
          <cell r="B1660" t="str">
            <v>ja</v>
          </cell>
          <cell r="C1660" t="str">
            <v>ハローキティ</v>
          </cell>
          <cell r="D1660" t="str">
            <v>ハローキティ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red</v>
          </cell>
          <cell r="I1660">
            <v>4</v>
          </cell>
          <cell r="J1660" t="str">
            <v>Drop2N</v>
          </cell>
          <cell r="K1660" t="str">
            <v>balance</v>
          </cell>
          <cell r="L1660" t="str">
            <v>バランスタイプ</v>
          </cell>
          <cell r="M1660" t="str">
            <v>ss</v>
          </cell>
        </row>
        <row r="1661">
          <cell r="A1661">
            <v>8048</v>
          </cell>
          <cell r="B1661" t="str">
            <v>ja</v>
          </cell>
          <cell r="C1661" t="str">
            <v>ハローキティ</v>
          </cell>
          <cell r="D1661" t="str">
            <v>ハローキティ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red</v>
          </cell>
          <cell r="I1661">
            <v>5</v>
          </cell>
          <cell r="J1661" t="str">
            <v>Drop2N</v>
          </cell>
          <cell r="K1661" t="str">
            <v>balance</v>
          </cell>
          <cell r="L1661" t="str">
            <v>バランスタイプ</v>
          </cell>
          <cell r="M1661" t="str">
            <v>ss</v>
          </cell>
        </row>
        <row r="1662">
          <cell r="A1662">
            <v>8049</v>
          </cell>
          <cell r="B1662" t="str">
            <v>ja</v>
          </cell>
          <cell r="C1662" t="str">
            <v>KIRIMIちゃん</v>
          </cell>
          <cell r="D1662" t="str">
            <v>KIRIMIちゃん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red</v>
          </cell>
          <cell r="I1662">
            <v>4</v>
          </cell>
          <cell r="J1662" t="str">
            <v>Drop2N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8050</v>
          </cell>
          <cell r="B1663" t="str">
            <v>ja</v>
          </cell>
          <cell r="C1663" t="str">
            <v>KIRIMIちゃん</v>
          </cell>
          <cell r="D1663" t="str">
            <v>KIRIMIちゃん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5</v>
          </cell>
          <cell r="J1663" t="str">
            <v>Drop2N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8051</v>
          </cell>
          <cell r="B1664" t="str">
            <v>ja</v>
          </cell>
          <cell r="C1664" t="str">
            <v>ハローキティのリボン</v>
          </cell>
          <cell r="D1664" t="str">
            <v>ハローキティのリボン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5</v>
          </cell>
          <cell r="J1664" t="str">
            <v>Drop2N</v>
          </cell>
          <cell r="K1664" t="str">
            <v>evolution</v>
          </cell>
          <cell r="L1664" t="str">
            <v>覚醒素材タイプ</v>
          </cell>
          <cell r="M1664" t="str">
            <v>ss</v>
          </cell>
        </row>
        <row r="1665">
          <cell r="A1665">
            <v>8052</v>
          </cell>
          <cell r="B1665" t="str">
            <v>ja</v>
          </cell>
          <cell r="C1665" t="str">
            <v>ママの作ったアップルパイ</v>
          </cell>
          <cell r="D1665" t="str">
            <v>ママの作ったアップルパイ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red</v>
          </cell>
          <cell r="I1665">
            <v>4</v>
          </cell>
          <cell r="J1665" t="str">
            <v>Drop2N</v>
          </cell>
          <cell r="K1665" t="str">
            <v>evolution</v>
          </cell>
          <cell r="L1665" t="str">
            <v>覚醒素材タイプ</v>
          </cell>
          <cell r="M1665" t="str">
            <v>ss</v>
          </cell>
        </row>
        <row r="1666">
          <cell r="A1666">
            <v>8053</v>
          </cell>
          <cell r="B1666" t="str">
            <v>ja</v>
          </cell>
          <cell r="C1666" t="str">
            <v>D.R.T.H__キティコスプレ</v>
          </cell>
          <cell r="D1666" t="str">
            <v>D.R.T.H__キティコスプレ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red</v>
          </cell>
          <cell r="I1666">
            <v>5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ss</v>
          </cell>
        </row>
        <row r="1667">
          <cell r="A1667">
            <v>8054</v>
          </cell>
          <cell r="B1667" t="str">
            <v>ja</v>
          </cell>
          <cell r="C1667" t="str">
            <v>D.R.T.H__キティコスプレ</v>
          </cell>
          <cell r="D1667" t="str">
            <v>D.R.T.H__キティコスプレ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PremiumSS</v>
          </cell>
          <cell r="K1667" t="str">
            <v>balance</v>
          </cell>
          <cell r="L1667" t="str">
            <v>バランスタイプ</v>
          </cell>
          <cell r="M1667" t="str">
            <v>ss</v>
          </cell>
        </row>
        <row r="1668">
          <cell r="A1668">
            <v>8055</v>
          </cell>
          <cell r="B1668" t="str">
            <v>ja</v>
          </cell>
          <cell r="C1668" t="str">
            <v>マイメロディ</v>
          </cell>
          <cell r="D1668" t="str">
            <v>マイメロディ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red</v>
          </cell>
          <cell r="I1668">
            <v>4</v>
          </cell>
          <cell r="J1668" t="str">
            <v>PremiumS</v>
          </cell>
          <cell r="K1668" t="str">
            <v>attack</v>
          </cell>
          <cell r="L1668" t="str">
            <v>攻撃タイプ</v>
          </cell>
          <cell r="M1668" t="str">
            <v>ss</v>
          </cell>
        </row>
        <row r="1669">
          <cell r="A1669">
            <v>8056</v>
          </cell>
          <cell r="B1669" t="str">
            <v>ja</v>
          </cell>
          <cell r="C1669" t="str">
            <v>マイメロディ</v>
          </cell>
          <cell r="D1669" t="str">
            <v>マイメロディ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red</v>
          </cell>
          <cell r="I1669">
            <v>5</v>
          </cell>
          <cell r="J1669" t="str">
            <v>PremiumS</v>
          </cell>
          <cell r="K1669" t="str">
            <v>attack</v>
          </cell>
          <cell r="L1669" t="str">
            <v>攻撃タイプ</v>
          </cell>
          <cell r="M1669" t="str">
            <v>ss</v>
          </cell>
        </row>
        <row r="1670">
          <cell r="A1670">
            <v>8057</v>
          </cell>
          <cell r="B1670" t="str">
            <v>ja</v>
          </cell>
          <cell r="C1670" t="str">
            <v>ニーベルゲン_シナモロールコスプレ</v>
          </cell>
          <cell r="D1670" t="str">
            <v>ニーベルゲン_シナモロールコスプレ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green</v>
          </cell>
          <cell r="I1670">
            <v>4</v>
          </cell>
          <cell r="J1670" t="str">
            <v>PremiumS</v>
          </cell>
          <cell r="K1670" t="str">
            <v>balance</v>
          </cell>
          <cell r="L1670" t="str">
            <v>バランスタイプ</v>
          </cell>
          <cell r="M1670" t="str">
            <v>ss</v>
          </cell>
        </row>
        <row r="1671">
          <cell r="A1671">
            <v>8058</v>
          </cell>
          <cell r="B1671" t="str">
            <v>ja</v>
          </cell>
          <cell r="C1671" t="str">
            <v>ニーベルゲン_シナモロールコスプレ</v>
          </cell>
          <cell r="D1671" t="str">
            <v>ニーベルゲン_シナモロールコスプレ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green</v>
          </cell>
          <cell r="I1671">
            <v>5</v>
          </cell>
          <cell r="J1671" t="str">
            <v>PremiumS</v>
          </cell>
          <cell r="K1671" t="str">
            <v>balance</v>
          </cell>
          <cell r="L1671" t="str">
            <v>バランスタイプ</v>
          </cell>
          <cell r="M1671" t="str">
            <v>ss</v>
          </cell>
        </row>
        <row r="1672">
          <cell r="A1672">
            <v>8059</v>
          </cell>
          <cell r="B1672" t="str">
            <v>ja</v>
          </cell>
          <cell r="C1672" t="str">
            <v>カカシ_マイメロディコスプレ</v>
          </cell>
          <cell r="D1672" t="str">
            <v>カカシ_マイメロディコスプレ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green</v>
          </cell>
          <cell r="I1672">
            <v>4</v>
          </cell>
          <cell r="J1672" t="str">
            <v>PremiumS</v>
          </cell>
          <cell r="K1672" t="str">
            <v>technical</v>
          </cell>
          <cell r="L1672" t="str">
            <v>テクニカルタイプ</v>
          </cell>
          <cell r="M1672" t="str">
            <v>ss</v>
          </cell>
        </row>
        <row r="1673">
          <cell r="A1673">
            <v>8060</v>
          </cell>
          <cell r="B1673" t="str">
            <v>ja</v>
          </cell>
          <cell r="C1673" t="str">
            <v>カカシ_マイメロディコスプレ</v>
          </cell>
          <cell r="D1673" t="str">
            <v>カカシ_マイメロディコスプレ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PremiumS</v>
          </cell>
          <cell r="K1673" t="str">
            <v>technical</v>
          </cell>
          <cell r="L1673" t="str">
            <v>テクニカルタイプ</v>
          </cell>
          <cell r="M1673" t="str">
            <v>ss</v>
          </cell>
        </row>
        <row r="1674">
          <cell r="A1674">
            <v>8061</v>
          </cell>
          <cell r="B1674" t="str">
            <v>ja</v>
          </cell>
          <cell r="C1674" t="str">
            <v>ケロケロけろっぴ</v>
          </cell>
          <cell r="D1674" t="str">
            <v>ケロケロけろっぴ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3</v>
          </cell>
          <cell r="J1674" t="str">
            <v>PremiumS</v>
          </cell>
          <cell r="K1674" t="str">
            <v>balance</v>
          </cell>
          <cell r="L1674" t="str">
            <v>バランスタイプ</v>
          </cell>
          <cell r="M1674" t="str">
            <v>ss</v>
          </cell>
        </row>
        <row r="1675">
          <cell r="A1675">
            <v>8062</v>
          </cell>
          <cell r="B1675" t="str">
            <v>ja</v>
          </cell>
          <cell r="C1675" t="str">
            <v>ケロケロけろっぴ</v>
          </cell>
          <cell r="D1675" t="str">
            <v>ケロケロけろっぴ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green</v>
          </cell>
          <cell r="I1675">
            <v>4</v>
          </cell>
          <cell r="J1675" t="str">
            <v>PremiumS</v>
          </cell>
          <cell r="K1675" t="str">
            <v>balance</v>
          </cell>
          <cell r="L1675" t="str">
            <v>バランスタイプ</v>
          </cell>
          <cell r="M1675" t="str">
            <v>ss</v>
          </cell>
        </row>
        <row r="1676">
          <cell r="A1676">
            <v>8063</v>
          </cell>
          <cell r="B1676" t="str">
            <v>ja</v>
          </cell>
          <cell r="C1676" t="str">
            <v>モルドレッド_ポムポムプリンコスプレ</v>
          </cell>
          <cell r="D1676" t="str">
            <v>モルドレッド_ポムポムプリンコスプレ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5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ss</v>
          </cell>
        </row>
        <row r="1677">
          <cell r="A1677">
            <v>8064</v>
          </cell>
          <cell r="B1677" t="str">
            <v>ja</v>
          </cell>
          <cell r="C1677" t="str">
            <v>モルドレッド_ポムポムプリンコスプレ</v>
          </cell>
          <cell r="D1677" t="str">
            <v>モルドレッド_ポムポムプリンコスプレ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blue</v>
          </cell>
          <cell r="I1677">
            <v>6</v>
          </cell>
          <cell r="J1677" t="str">
            <v>PremiumSS</v>
          </cell>
          <cell r="K1677" t="str">
            <v>heal</v>
          </cell>
          <cell r="L1677" t="str">
            <v>回復タイプ</v>
          </cell>
          <cell r="M1677" t="str">
            <v>ss</v>
          </cell>
        </row>
        <row r="1678">
          <cell r="A1678">
            <v>8065</v>
          </cell>
          <cell r="B1678" t="str">
            <v>ja</v>
          </cell>
          <cell r="C1678" t="str">
            <v>クロミ</v>
          </cell>
          <cell r="D1678" t="str">
            <v>クロミ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blue</v>
          </cell>
          <cell r="I1678">
            <v>3</v>
          </cell>
          <cell r="J1678" t="str">
            <v>PremiumS</v>
          </cell>
          <cell r="K1678" t="str">
            <v>technical</v>
          </cell>
          <cell r="L1678" t="str">
            <v>テクニカルタイプ</v>
          </cell>
          <cell r="M1678" t="str">
            <v>ss</v>
          </cell>
        </row>
        <row r="1679">
          <cell r="A1679">
            <v>8066</v>
          </cell>
          <cell r="B1679" t="str">
            <v>ja</v>
          </cell>
          <cell r="C1679" t="str">
            <v>クロミ</v>
          </cell>
          <cell r="D1679" t="str">
            <v>クロミ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blue</v>
          </cell>
          <cell r="I1679">
            <v>4</v>
          </cell>
          <cell r="J1679" t="str">
            <v>PremiumS</v>
          </cell>
          <cell r="K1679" t="str">
            <v>technical</v>
          </cell>
          <cell r="L1679" t="str">
            <v>テクニカルタイプ</v>
          </cell>
          <cell r="M1679" t="str">
            <v>ss</v>
          </cell>
        </row>
        <row r="1680">
          <cell r="A1680">
            <v>8067</v>
          </cell>
          <cell r="B1680" t="str">
            <v>ja</v>
          </cell>
          <cell r="C1680" t="str">
            <v>バッドばつ丸</v>
          </cell>
          <cell r="D1680" t="str">
            <v>バッドばつ丸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blue</v>
          </cell>
          <cell r="I1680">
            <v>3</v>
          </cell>
          <cell r="J1680" t="str">
            <v>PremiumS</v>
          </cell>
          <cell r="K1680" t="str">
            <v>attack</v>
          </cell>
          <cell r="L1680" t="str">
            <v>攻撃タイプ</v>
          </cell>
          <cell r="M1680" t="str">
            <v>ss</v>
          </cell>
        </row>
        <row r="1681">
          <cell r="A1681">
            <v>8068</v>
          </cell>
          <cell r="B1681" t="str">
            <v>ja</v>
          </cell>
          <cell r="C1681" t="str">
            <v>バッドばつ丸</v>
          </cell>
          <cell r="D1681" t="str">
            <v>バッドばつ丸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4</v>
          </cell>
          <cell r="J1681" t="str">
            <v>PremiumS</v>
          </cell>
          <cell r="K1681" t="str">
            <v>attack</v>
          </cell>
          <cell r="L1681" t="str">
            <v>攻撃タイプ</v>
          </cell>
          <cell r="M1681" t="str">
            <v>ss</v>
          </cell>
        </row>
        <row r="1682">
          <cell r="A1682">
            <v>8069</v>
          </cell>
          <cell r="B1682" t="str">
            <v>ja</v>
          </cell>
          <cell r="C1682" t="str">
            <v>シナモロール</v>
          </cell>
          <cell r="D1682" t="str">
            <v>シナモロール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yellow</v>
          </cell>
          <cell r="I1682">
            <v>4</v>
          </cell>
          <cell r="J1682" t="str">
            <v>PremiumS</v>
          </cell>
          <cell r="K1682" t="str">
            <v>heal</v>
          </cell>
          <cell r="L1682" t="str">
            <v>回復タイプ</v>
          </cell>
          <cell r="M1682" t="str">
            <v>ss</v>
          </cell>
        </row>
        <row r="1683">
          <cell r="A1683">
            <v>8070</v>
          </cell>
          <cell r="B1683" t="str">
            <v>ja</v>
          </cell>
          <cell r="C1683" t="str">
            <v>シナモロール</v>
          </cell>
          <cell r="D1683" t="str">
            <v>シナモロール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yellow</v>
          </cell>
          <cell r="I1683">
            <v>5</v>
          </cell>
          <cell r="J1683" t="str">
            <v>PremiumS</v>
          </cell>
          <cell r="K1683" t="str">
            <v>heal</v>
          </cell>
          <cell r="L1683" t="str">
            <v>回復タイプ</v>
          </cell>
          <cell r="M1683" t="str">
            <v>ss</v>
          </cell>
        </row>
        <row r="1684">
          <cell r="A1684">
            <v>8071</v>
          </cell>
          <cell r="B1684" t="str">
            <v>ja</v>
          </cell>
          <cell r="C1684" t="str">
            <v>ポムポムプリン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yellow</v>
          </cell>
          <cell r="I1684">
            <v>3</v>
          </cell>
          <cell r="J1684" t="str">
            <v>PremiumS</v>
          </cell>
          <cell r="K1684" t="str">
            <v>hp</v>
          </cell>
          <cell r="L1684" t="str">
            <v>体力タイプ</v>
          </cell>
          <cell r="M1684" t="str">
            <v>ss</v>
          </cell>
        </row>
        <row r="1685">
          <cell r="A1685">
            <v>8072</v>
          </cell>
          <cell r="B1685" t="str">
            <v>ja</v>
          </cell>
          <cell r="C1685" t="str">
            <v>ポムポムプリン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PremiumS</v>
          </cell>
          <cell r="K1685" t="str">
            <v>hp</v>
          </cell>
          <cell r="L1685" t="str">
            <v>体力タイプ</v>
          </cell>
          <cell r="M1685" t="str">
            <v>ss</v>
          </cell>
        </row>
        <row r="1686">
          <cell r="A1686">
            <v>8073</v>
          </cell>
          <cell r="B1686" t="str">
            <v>ja</v>
          </cell>
          <cell r="C1686" t="str">
            <v>星海祈る天光妃 媽祖</v>
          </cell>
          <cell r="D1686" t="str">
            <v>Expoミク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6</v>
          </cell>
          <cell r="J1686" t="str">
            <v>PremiumSS</v>
          </cell>
          <cell r="K1686" t="str">
            <v>attack</v>
          </cell>
          <cell r="L1686" t="str">
            <v>攻撃タイプ</v>
          </cell>
          <cell r="M1686" t="str">
            <v>human</v>
          </cell>
        </row>
        <row r="1687">
          <cell r="A1687">
            <v>8074</v>
          </cell>
          <cell r="B1687" t="str">
            <v>ja</v>
          </cell>
          <cell r="C1687" t="str">
            <v>海戀の絶龍姫 蛟龍</v>
          </cell>
          <cell r="D1687" t="str">
            <v>Expoミク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blue</v>
          </cell>
          <cell r="I1687">
            <v>6</v>
          </cell>
          <cell r="J1687" t="str">
            <v>DropWizS</v>
          </cell>
          <cell r="K1687" t="str">
            <v>hp</v>
          </cell>
          <cell r="L1687" t="str">
            <v>体力タイプ</v>
          </cell>
          <cell r="M1687" t="str">
            <v>dragon</v>
          </cell>
        </row>
        <row r="1688">
          <cell r="A1688">
            <v>8075</v>
          </cell>
          <cell r="B1688" t="str">
            <v>ja</v>
          </cell>
          <cell r="C1688" t="str">
            <v>解脱天の知徳 三蔵法師</v>
          </cell>
          <cell r="D1688" t="str">
            <v>Expoミク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blue</v>
          </cell>
          <cell r="I1688">
            <v>6</v>
          </cell>
          <cell r="J1688" t="str">
            <v>PremiumSS</v>
          </cell>
          <cell r="K1688" t="str">
            <v>balance</v>
          </cell>
          <cell r="L1688" t="str">
            <v>バランスタイプ</v>
          </cell>
          <cell r="M1688" t="str">
            <v>god</v>
          </cell>
        </row>
        <row r="1689">
          <cell r="A1689">
            <v>8076</v>
          </cell>
          <cell r="B1689" t="str">
            <v>ja</v>
          </cell>
          <cell r="C1689" t="str">
            <v>天暴の斉天大聖 孫悟空</v>
          </cell>
          <cell r="D1689" t="str">
            <v>Expoミク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unknown</v>
          </cell>
        </row>
        <row r="1690">
          <cell r="A1690">
            <v>8077</v>
          </cell>
          <cell r="B1690" t="str">
            <v>ja</v>
          </cell>
          <cell r="C1690" t="str">
            <v>鄭成功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blue</v>
          </cell>
          <cell r="I1690">
            <v>5</v>
          </cell>
          <cell r="J1690" t="str">
            <v>PremiumSS</v>
          </cell>
          <cell r="K1690" t="str">
            <v>attack</v>
          </cell>
          <cell r="L1690" t="str">
            <v>攻撃タイプ</v>
          </cell>
          <cell r="M1690" t="str">
            <v>human</v>
          </cell>
        </row>
        <row r="1691">
          <cell r="A1691">
            <v>8078</v>
          </cell>
          <cell r="B1691" t="str">
            <v>ja</v>
          </cell>
          <cell r="C1691" t="str">
            <v>レア６鄭成功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blue</v>
          </cell>
          <cell r="I1691">
            <v>6</v>
          </cell>
          <cell r="J1691" t="str">
            <v>PremiumSS</v>
          </cell>
          <cell r="K1691" t="str">
            <v>attack</v>
          </cell>
          <cell r="L1691" t="str">
            <v>攻撃タイプ</v>
          </cell>
          <cell r="M1691" t="str">
            <v>human</v>
          </cell>
        </row>
        <row r="1692">
          <cell r="A1692">
            <v>8079</v>
          </cell>
          <cell r="B1692" t="str">
            <v>ja</v>
          </cell>
          <cell r="C1692" t="str">
            <v>赤鬼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dragon</v>
          </cell>
        </row>
        <row r="1693">
          <cell r="A1693">
            <v>8080</v>
          </cell>
          <cell r="B1693" t="str">
            <v>ja</v>
          </cell>
          <cell r="C1693" t="str">
            <v>レア６赤鬼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dragon</v>
          </cell>
        </row>
        <row r="1694">
          <cell r="A1694">
            <v>8081</v>
          </cell>
          <cell r="B1694" t="str">
            <v>ja</v>
          </cell>
          <cell r="C1694" t="str">
            <v>関羽</v>
          </cell>
          <cell r="H1694" t="str">
            <v>green</v>
          </cell>
          <cell r="I1694">
            <v>5</v>
          </cell>
          <cell r="J1694" t="str">
            <v>PremiumSSS</v>
          </cell>
          <cell r="K1694" t="str">
            <v>balance</v>
          </cell>
          <cell r="L1694" t="str">
            <v>バランスタイプ</v>
          </cell>
          <cell r="M1694" t="str">
            <v>samurai</v>
          </cell>
        </row>
        <row r="1695">
          <cell r="A1695">
            <v>8082</v>
          </cell>
          <cell r="B1695" t="str">
            <v>ja</v>
          </cell>
          <cell r="C1695" t="str">
            <v>★６関羽</v>
          </cell>
          <cell r="H1695" t="str">
            <v>green</v>
          </cell>
          <cell r="I1695">
            <v>6</v>
          </cell>
          <cell r="J1695" t="str">
            <v>PremiumSSS</v>
          </cell>
          <cell r="K1695" t="str">
            <v>balance</v>
          </cell>
          <cell r="L1695" t="str">
            <v>バランスタイプ</v>
          </cell>
          <cell r="M1695" t="str">
            <v>samurai</v>
          </cell>
        </row>
        <row r="1696">
          <cell r="A1696">
            <v>8083</v>
          </cell>
          <cell r="B1696" t="str">
            <v>ja</v>
          </cell>
          <cell r="C1696" t="str">
            <v>曹操</v>
          </cell>
          <cell r="H1696" t="str">
            <v>yellow</v>
          </cell>
          <cell r="I1696">
            <v>5</v>
          </cell>
          <cell r="J1696" t="str">
            <v>DropWizSS</v>
          </cell>
          <cell r="K1696" t="str">
            <v>technical</v>
          </cell>
          <cell r="L1696" t="str">
            <v>テクニカルタイプ</v>
          </cell>
          <cell r="M1696" t="str">
            <v>samurai</v>
          </cell>
        </row>
        <row r="1697">
          <cell r="A1697">
            <v>8084</v>
          </cell>
          <cell r="B1697" t="str">
            <v>ja</v>
          </cell>
          <cell r="C1697" t="str">
            <v>★６曹操</v>
          </cell>
          <cell r="H1697" t="str">
            <v>yellow</v>
          </cell>
          <cell r="I1697">
            <v>6</v>
          </cell>
          <cell r="J1697" t="str">
            <v>DropWizSS</v>
          </cell>
          <cell r="K1697" t="str">
            <v>technical</v>
          </cell>
          <cell r="L1697" t="str">
            <v>テクニカルタイプ</v>
          </cell>
          <cell r="M1697" t="str">
            <v>samurai</v>
          </cell>
        </row>
        <row r="1698">
          <cell r="A1698">
            <v>8085</v>
          </cell>
          <cell r="B1698" t="str">
            <v>ja</v>
          </cell>
          <cell r="C1698" t="str">
            <v>九霊無上の聖母 西王娘娘</v>
          </cell>
          <cell r="H1698" t="str">
            <v>green</v>
          </cell>
          <cell r="I1698">
            <v>6</v>
          </cell>
          <cell r="J1698" t="str">
            <v>PremiumSS</v>
          </cell>
          <cell r="K1698" t="str">
            <v>attack</v>
          </cell>
          <cell r="L1698" t="str">
            <v>攻撃タイプ</v>
          </cell>
          <cell r="M1698" t="str">
            <v>god</v>
          </cell>
        </row>
        <row r="1699">
          <cell r="A1699">
            <v>8086</v>
          </cell>
          <cell r="B1699" t="str">
            <v>ja</v>
          </cell>
          <cell r="C1699" t="str">
            <v>砕縁の情滅剣 月下老人</v>
          </cell>
          <cell r="H1699" t="str">
            <v>yellow</v>
          </cell>
          <cell r="I1699">
            <v>6</v>
          </cell>
          <cell r="J1699" t="str">
            <v>DropWizS</v>
          </cell>
          <cell r="K1699" t="str">
            <v>attack</v>
          </cell>
          <cell r="L1699" t="str">
            <v>攻撃タイプ</v>
          </cell>
          <cell r="M1699" t="str">
            <v>god</v>
          </cell>
        </row>
        <row r="1700">
          <cell r="A1700">
            <v>8087</v>
          </cell>
          <cell r="B1700" t="str">
            <v>ja</v>
          </cell>
          <cell r="C1700" t="str">
            <v>財神</v>
          </cell>
          <cell r="H1700" t="str">
            <v>red</v>
          </cell>
          <cell r="I1700">
            <v>5</v>
          </cell>
          <cell r="J1700" t="str">
            <v>PremiumSSS</v>
          </cell>
          <cell r="K1700" t="str">
            <v>technical</v>
          </cell>
          <cell r="L1700" t="str">
            <v>テクニカルタイプ</v>
          </cell>
          <cell r="M1700" t="str">
            <v>god</v>
          </cell>
        </row>
        <row r="1701">
          <cell r="A1701">
            <v>8088</v>
          </cell>
          <cell r="B1701" t="str">
            <v>ja</v>
          </cell>
          <cell r="C1701" t="str">
            <v>★６財神</v>
          </cell>
          <cell r="H1701" t="str">
            <v>red</v>
          </cell>
          <cell r="I1701">
            <v>6</v>
          </cell>
          <cell r="J1701" t="str">
            <v>PremiumSSS</v>
          </cell>
          <cell r="K1701" t="str">
            <v>technical</v>
          </cell>
          <cell r="L1701" t="str">
            <v>テクニカルタイプ</v>
          </cell>
          <cell r="M1701" t="str">
            <v>god</v>
          </cell>
        </row>
        <row r="1702">
          <cell r="A1702">
            <v>8089</v>
          </cell>
          <cell r="B1702" t="str">
            <v>ja</v>
          </cell>
          <cell r="C1702" t="str">
            <v>年獣</v>
          </cell>
          <cell r="H1702" t="str">
            <v>green</v>
          </cell>
          <cell r="I1702">
            <v>5</v>
          </cell>
          <cell r="J1702" t="str">
            <v>DropWizS</v>
          </cell>
          <cell r="K1702" t="str">
            <v>attack</v>
          </cell>
          <cell r="L1702" t="str">
            <v>攻撃タイプ</v>
          </cell>
          <cell r="M1702" t="str">
            <v>animal</v>
          </cell>
        </row>
        <row r="1703">
          <cell r="A1703">
            <v>8090</v>
          </cell>
          <cell r="B1703" t="str">
            <v>ja</v>
          </cell>
          <cell r="C1703" t="str">
            <v>★６年獣</v>
          </cell>
          <cell r="H1703" t="str">
            <v>green</v>
          </cell>
          <cell r="I1703">
            <v>6</v>
          </cell>
          <cell r="J1703" t="str">
            <v>DropWizS</v>
          </cell>
          <cell r="K1703" t="str">
            <v>attack</v>
          </cell>
          <cell r="L1703" t="str">
            <v>攻撃タイプ</v>
          </cell>
          <cell r="M1703" t="str">
            <v>animal</v>
          </cell>
        </row>
        <row r="1704">
          <cell r="A1704">
            <v>8095</v>
          </cell>
          <cell r="B1704" t="str">
            <v>ja</v>
          </cell>
          <cell r="C1704" t="str">
            <v>バハムートダック赤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red</v>
          </cell>
          <cell r="I1704">
            <v>6</v>
          </cell>
          <cell r="J1704" t="str">
            <v>Material</v>
          </cell>
          <cell r="K1704" t="str">
            <v>exp</v>
          </cell>
          <cell r="L1704" t="str">
            <v>強化素材タイプ</v>
          </cell>
          <cell r="M1704" t="str">
            <v>unknown</v>
          </cell>
        </row>
        <row r="1705">
          <cell r="A1705">
            <v>8096</v>
          </cell>
          <cell r="B1705" t="str">
            <v>ja</v>
          </cell>
          <cell r="C1705" t="str">
            <v>バハムートダック緑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6</v>
          </cell>
          <cell r="J1705" t="str">
            <v>Material</v>
          </cell>
          <cell r="K1705" t="str">
            <v>exp</v>
          </cell>
          <cell r="L1705" t="str">
            <v>強化素材タイプ</v>
          </cell>
          <cell r="M1705" t="str">
            <v>unknown</v>
          </cell>
        </row>
        <row r="1706">
          <cell r="A1706">
            <v>8097</v>
          </cell>
          <cell r="B1706" t="str">
            <v>ja</v>
          </cell>
          <cell r="C1706" t="str">
            <v>バハムートダック青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6</v>
          </cell>
          <cell r="J1706" t="str">
            <v>Material</v>
          </cell>
          <cell r="K1706" t="str">
            <v>exp</v>
          </cell>
          <cell r="L1706" t="str">
            <v>強化素材タイプ</v>
          </cell>
          <cell r="M1706" t="str">
            <v>unknown</v>
          </cell>
        </row>
        <row r="1707">
          <cell r="A1707">
            <v>8098</v>
          </cell>
          <cell r="B1707" t="str">
            <v>ja</v>
          </cell>
          <cell r="C1707" t="str">
            <v>バハムートダック黄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yellow</v>
          </cell>
          <cell r="I1707">
            <v>6</v>
          </cell>
          <cell r="J1707" t="str">
            <v>Material</v>
          </cell>
          <cell r="K1707" t="str">
            <v>exp</v>
          </cell>
          <cell r="L1707" t="str">
            <v>強化素材タイプ</v>
          </cell>
          <cell r="M1707" t="str">
            <v>unknown</v>
          </cell>
        </row>
        <row r="1708">
          <cell r="A1708">
            <v>8099</v>
          </cell>
          <cell r="B1708" t="str">
            <v>ja</v>
          </cell>
          <cell r="C1708" t="str">
            <v>韓湘子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PremiumSSw</v>
          </cell>
          <cell r="K1708" t="str">
            <v>balance</v>
          </cell>
          <cell r="L1708" t="str">
            <v>バランスタイプ</v>
          </cell>
          <cell r="M1708" t="str">
            <v>god</v>
          </cell>
        </row>
        <row r="1709">
          <cell r="A1709">
            <v>8100</v>
          </cell>
          <cell r="B1709" t="str">
            <v>ja</v>
          </cell>
          <cell r="C1709" t="str">
            <v>韓湘子★６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green</v>
          </cell>
          <cell r="I1709">
            <v>6</v>
          </cell>
          <cell r="J1709" t="str">
            <v>PremiumSSw</v>
          </cell>
          <cell r="K1709" t="str">
            <v>balance</v>
          </cell>
          <cell r="L1709" t="str">
            <v>バランスタイプ</v>
          </cell>
          <cell r="M1709" t="str">
            <v>god</v>
          </cell>
        </row>
        <row r="1710">
          <cell r="A1710">
            <v>8101</v>
          </cell>
          <cell r="B1710" t="str">
            <v>ja</v>
          </cell>
          <cell r="C1710" t="str">
            <v>張果老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god</v>
          </cell>
        </row>
        <row r="1711">
          <cell r="A1711">
            <v>8102</v>
          </cell>
          <cell r="B1711" t="str">
            <v>ja</v>
          </cell>
          <cell r="C1711" t="str">
            <v>張果老★６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god</v>
          </cell>
        </row>
        <row r="1712">
          <cell r="A1712">
            <v>8103</v>
          </cell>
          <cell r="B1712" t="str">
            <v>ja</v>
          </cell>
          <cell r="C1712" t="str">
            <v>李鐵拐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PremiumSSw</v>
          </cell>
          <cell r="K1712" t="str">
            <v>technical</v>
          </cell>
          <cell r="L1712" t="str">
            <v>テクニカルタイプ</v>
          </cell>
          <cell r="M1712" t="str">
            <v>god</v>
          </cell>
        </row>
        <row r="1713">
          <cell r="A1713">
            <v>8104</v>
          </cell>
          <cell r="B1713" t="str">
            <v>ja</v>
          </cell>
          <cell r="C1713" t="str">
            <v>李鐵拐★６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PremiumSSw</v>
          </cell>
          <cell r="K1713" t="str">
            <v>technical</v>
          </cell>
          <cell r="L1713" t="str">
            <v>テクニカルタイプ</v>
          </cell>
          <cell r="M1713" t="str">
            <v>god</v>
          </cell>
        </row>
        <row r="1714">
          <cell r="A1714">
            <v>8105</v>
          </cell>
          <cell r="B1714" t="str">
            <v>ja</v>
          </cell>
          <cell r="C1714" t="str">
            <v>曹國舅</v>
          </cell>
          <cell r="D1714" t="str">
            <v>ポムポムプリン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green</v>
          </cell>
          <cell r="I1714">
            <v>5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god</v>
          </cell>
        </row>
        <row r="1715">
          <cell r="A1715">
            <v>8106</v>
          </cell>
          <cell r="B1715" t="str">
            <v>ja</v>
          </cell>
          <cell r="C1715" t="str">
            <v>曹國舅★６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DropWizS</v>
          </cell>
          <cell r="K1715" t="str">
            <v>hp</v>
          </cell>
          <cell r="L1715" t="str">
            <v>体力タイプ</v>
          </cell>
          <cell r="M1715" t="str">
            <v>god</v>
          </cell>
        </row>
        <row r="1716">
          <cell r="A1716">
            <v>8111</v>
          </cell>
          <cell r="B1716" t="str">
            <v>ja</v>
          </cell>
          <cell r="C1716" t="str">
            <v>福德正神</v>
          </cell>
          <cell r="H1716" t="str">
            <v>blue</v>
          </cell>
          <cell r="I1716">
            <v>5</v>
          </cell>
          <cell r="J1716" t="str">
            <v>DropWizS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8112</v>
          </cell>
          <cell r="B1717" t="str">
            <v>ja</v>
          </cell>
          <cell r="C1717" t="str">
            <v>福德正神★６</v>
          </cell>
          <cell r="H1717" t="str">
            <v>blue</v>
          </cell>
          <cell r="I1717">
            <v>6</v>
          </cell>
          <cell r="J1717" t="str">
            <v>DropWizS</v>
          </cell>
          <cell r="K1717" t="str">
            <v>balance</v>
          </cell>
          <cell r="L1717" t="str">
            <v>バランスタイプ</v>
          </cell>
          <cell r="M1717" t="str">
            <v>god</v>
          </cell>
        </row>
        <row r="1718">
          <cell r="A1718">
            <v>8113</v>
          </cell>
          <cell r="B1718" t="str">
            <v>ja</v>
          </cell>
          <cell r="C1718" t="str">
            <v>孔子</v>
          </cell>
          <cell r="H1718" t="str">
            <v>yellow</v>
          </cell>
          <cell r="I1718">
            <v>5</v>
          </cell>
          <cell r="J1718" t="str">
            <v>PremiumSSS</v>
          </cell>
          <cell r="K1718" t="str">
            <v>attack</v>
          </cell>
          <cell r="L1718" t="str">
            <v>攻撃タイプ</v>
          </cell>
          <cell r="M1718" t="str">
            <v>academia</v>
          </cell>
        </row>
        <row r="1719">
          <cell r="A1719">
            <v>8114</v>
          </cell>
          <cell r="B1719" t="str">
            <v>ja</v>
          </cell>
          <cell r="C1719" t="str">
            <v>孔子★６</v>
          </cell>
          <cell r="H1719" t="str">
            <v>yellow</v>
          </cell>
          <cell r="I1719">
            <v>6</v>
          </cell>
          <cell r="J1719" t="str">
            <v>PremiumSSS</v>
          </cell>
          <cell r="K1719" t="str">
            <v>attack</v>
          </cell>
          <cell r="L1719" t="str">
            <v>攻撃タイプ</v>
          </cell>
          <cell r="M1719" t="str">
            <v>academia</v>
          </cell>
        </row>
        <row r="1720">
          <cell r="A1720">
            <v>8115</v>
          </cell>
          <cell r="B1720" t="str">
            <v>ja</v>
          </cell>
          <cell r="C1720" t="str">
            <v>贏政</v>
          </cell>
          <cell r="H1720" t="str">
            <v>blue</v>
          </cell>
          <cell r="I1720">
            <v>5</v>
          </cell>
          <cell r="J1720" t="str">
            <v>DropWizSS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8116</v>
          </cell>
          <cell r="B1721" t="str">
            <v>ja</v>
          </cell>
          <cell r="C1721" t="str">
            <v>贏政★６</v>
          </cell>
          <cell r="H1721" t="str">
            <v>blue</v>
          </cell>
          <cell r="I1721">
            <v>6</v>
          </cell>
          <cell r="J1721" t="str">
            <v>DropWizSS</v>
          </cell>
          <cell r="K1721" t="str">
            <v>attack</v>
          </cell>
          <cell r="L1721" t="str">
            <v>攻撃タイプ</v>
          </cell>
          <cell r="M1721" t="str">
            <v>human</v>
          </cell>
        </row>
        <row r="1722">
          <cell r="A1722">
            <v>8117</v>
          </cell>
          <cell r="B1722" t="str">
            <v>ja</v>
          </cell>
          <cell r="C1722" t="str">
            <v>白娘子</v>
          </cell>
          <cell r="D1722" t="str">
            <v>ポムポムプリン</v>
          </cell>
          <cell r="E1722" t="str">
            <v>執行者</v>
          </cell>
          <cell r="F1722" t="str">
            <v>格好いい</v>
          </cell>
          <cell r="G1722" t="str">
            <v>女性</v>
          </cell>
          <cell r="H1722" t="str">
            <v>green</v>
          </cell>
          <cell r="I1722">
            <v>5</v>
          </cell>
          <cell r="J1722" t="str">
            <v>PremiumSSw</v>
          </cell>
          <cell r="K1722" t="str">
            <v>heal</v>
          </cell>
          <cell r="L1722" t="str">
            <v>回復タイプ</v>
          </cell>
          <cell r="M1722" t="str">
            <v>dragon</v>
          </cell>
        </row>
        <row r="1723">
          <cell r="A1723">
            <v>8118</v>
          </cell>
          <cell r="B1723" t="str">
            <v>ja</v>
          </cell>
          <cell r="C1723" t="str">
            <v>白娘子★６</v>
          </cell>
          <cell r="D1723" t="str">
            <v>ポムポムプリン</v>
          </cell>
          <cell r="E1723" t="str">
            <v>執行者</v>
          </cell>
          <cell r="F1723" t="str">
            <v>格好いい</v>
          </cell>
          <cell r="G1723" t="str">
            <v>女性</v>
          </cell>
          <cell r="H1723" t="str">
            <v>green</v>
          </cell>
          <cell r="I1723">
            <v>6</v>
          </cell>
          <cell r="J1723" t="str">
            <v>PremiumSSw</v>
          </cell>
          <cell r="K1723" t="str">
            <v>heal</v>
          </cell>
          <cell r="L1723" t="str">
            <v>回復タイプ</v>
          </cell>
          <cell r="M1723" t="str">
            <v>dragon</v>
          </cell>
        </row>
        <row r="1724">
          <cell r="A1724">
            <v>8119</v>
          </cell>
          <cell r="B1724" t="str">
            <v>ja</v>
          </cell>
          <cell r="C1724" t="str">
            <v>小青</v>
          </cell>
          <cell r="D1724" t="str">
            <v>ポムポムプリン</v>
          </cell>
          <cell r="E1724" t="str">
            <v>執行者</v>
          </cell>
          <cell r="F1724" t="str">
            <v>格好いい</v>
          </cell>
          <cell r="G1724" t="str">
            <v>女性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attack</v>
          </cell>
          <cell r="L1724" t="str">
            <v>攻撃タイプ</v>
          </cell>
          <cell r="M1724" t="str">
            <v>dragon</v>
          </cell>
        </row>
        <row r="1725">
          <cell r="A1725">
            <v>8120</v>
          </cell>
          <cell r="B1725" t="str">
            <v>ja</v>
          </cell>
          <cell r="C1725" t="str">
            <v>小青★６</v>
          </cell>
          <cell r="D1725" t="str">
            <v>ポムポムプリン</v>
          </cell>
          <cell r="E1725" t="str">
            <v>執行者</v>
          </cell>
          <cell r="F1725" t="str">
            <v>格好いい</v>
          </cell>
          <cell r="G1725" t="str">
            <v>女性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attack</v>
          </cell>
          <cell r="L1725" t="str">
            <v>攻撃タイプ</v>
          </cell>
          <cell r="M1725" t="str">
            <v>dragon</v>
          </cell>
        </row>
        <row r="1726">
          <cell r="A1726">
            <v>8121</v>
          </cell>
          <cell r="B1726" t="str">
            <v>ja</v>
          </cell>
          <cell r="C1726" t="str">
            <v>法海</v>
          </cell>
          <cell r="D1726" t="str">
            <v>ポムポムプリン</v>
          </cell>
          <cell r="E1726" t="str">
            <v>執行者</v>
          </cell>
          <cell r="F1726" t="str">
            <v>格好いい</v>
          </cell>
          <cell r="G1726" t="str">
            <v>女性</v>
          </cell>
          <cell r="H1726" t="str">
            <v>yellow</v>
          </cell>
          <cell r="I1726">
            <v>5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8122</v>
          </cell>
          <cell r="B1727" t="str">
            <v>ja</v>
          </cell>
          <cell r="C1727" t="str">
            <v>法海★６</v>
          </cell>
          <cell r="D1727" t="str">
            <v>各属性相性良3・黄・R455</v>
          </cell>
          <cell r="E1727" t="str">
            <v>執行者</v>
          </cell>
          <cell r="F1727" t="str">
            <v>格好いい</v>
          </cell>
          <cell r="G1727" t="str">
            <v>男性</v>
          </cell>
          <cell r="H1727" t="str">
            <v>yellow</v>
          </cell>
          <cell r="I1727">
            <v>6</v>
          </cell>
          <cell r="J1727" t="str">
            <v>DropWizS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8123</v>
          </cell>
          <cell r="B1728" t="str">
            <v>ja</v>
          </cell>
          <cell r="C1728" t="str">
            <v>哪吒</v>
          </cell>
          <cell r="D1728" t="str">
            <v>各属性相性良3・黄・R455</v>
          </cell>
          <cell r="E1728" t="str">
            <v>執行者</v>
          </cell>
          <cell r="F1728" t="str">
            <v>格好いい</v>
          </cell>
          <cell r="G1728" t="str">
            <v>男性</v>
          </cell>
          <cell r="H1728" t="str">
            <v>yellow</v>
          </cell>
          <cell r="I1728">
            <v>6</v>
          </cell>
          <cell r="J1728" t="str">
            <v>DropWizS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8124</v>
          </cell>
          <cell r="B1729" t="str">
            <v>ja</v>
          </cell>
          <cell r="C1729" t="str">
            <v>★6哪吒</v>
          </cell>
          <cell r="D1729" t="str">
            <v>各属性相性良3・黄・R455</v>
          </cell>
          <cell r="E1729" t="str">
            <v>執行者</v>
          </cell>
          <cell r="F1729" t="str">
            <v>格好いい</v>
          </cell>
          <cell r="G1729" t="str">
            <v>男性</v>
          </cell>
          <cell r="H1729" t="str">
            <v>yellow</v>
          </cell>
          <cell r="I1729">
            <v>6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human</v>
          </cell>
        </row>
        <row r="1730">
          <cell r="A1730">
            <v>8125</v>
          </cell>
          <cell r="B1730" t="str">
            <v>ja</v>
          </cell>
          <cell r="C1730" t="str">
            <v>東海龍王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yellow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human</v>
          </cell>
        </row>
        <row r="1731">
          <cell r="A1731">
            <v>8126</v>
          </cell>
          <cell r="B1731" t="str">
            <v>ja</v>
          </cell>
          <cell r="C1731" t="str">
            <v>★6東海龍王</v>
          </cell>
          <cell r="D1731" t="str">
            <v>各属性相性良3・黄・R455</v>
          </cell>
          <cell r="E1731" t="str">
            <v>執行者</v>
          </cell>
          <cell r="F1731" t="str">
            <v>格好いい</v>
          </cell>
          <cell r="G1731" t="str">
            <v>男性</v>
          </cell>
          <cell r="H1731" t="str">
            <v>yellow</v>
          </cell>
          <cell r="I1731">
            <v>6</v>
          </cell>
          <cell r="J1731" t="str">
            <v>DropWizS</v>
          </cell>
          <cell r="K1731" t="str">
            <v>attack</v>
          </cell>
          <cell r="L1731" t="str">
            <v>攻撃タイプ</v>
          </cell>
          <cell r="M1731" t="str">
            <v>human</v>
          </cell>
        </row>
        <row r="1732">
          <cell r="A1732">
            <v>8127</v>
          </cell>
          <cell r="B1732" t="str">
            <v>ja</v>
          </cell>
          <cell r="C1732" t="str">
            <v>鐵扇公主 ‧ 羅剎女</v>
          </cell>
          <cell r="D1732" t="str">
            <v>各属性相性良3・黄・R455</v>
          </cell>
          <cell r="E1732" t="str">
            <v>執行者</v>
          </cell>
          <cell r="F1732" t="str">
            <v>格好いい</v>
          </cell>
          <cell r="G1732" t="str">
            <v>男性</v>
          </cell>
          <cell r="H1732" t="str">
            <v>green</v>
          </cell>
          <cell r="I1732">
            <v>6</v>
          </cell>
          <cell r="J1732" t="str">
            <v>PremiumSSS</v>
          </cell>
          <cell r="K1732" t="str">
            <v>technical</v>
          </cell>
          <cell r="L1732" t="str">
            <v>テクニカルタイプ</v>
          </cell>
          <cell r="M1732" t="str">
            <v>demon</v>
          </cell>
        </row>
        <row r="1733">
          <cell r="A1733">
            <v>8128</v>
          </cell>
          <cell r="B1733" t="str">
            <v>ja</v>
          </cell>
          <cell r="C1733" t="str">
            <v>聖賢哲者 ‧ 唐三藏</v>
          </cell>
          <cell r="D1733" t="str">
            <v>各属性相性良3・黄・R455</v>
          </cell>
          <cell r="E1733" t="str">
            <v>執行者</v>
          </cell>
          <cell r="F1733" t="str">
            <v>格好いい</v>
          </cell>
          <cell r="G1733" t="str">
            <v>男性</v>
          </cell>
          <cell r="H1733" t="str">
            <v>green</v>
          </cell>
          <cell r="I1733">
            <v>6</v>
          </cell>
          <cell r="J1733" t="str">
            <v>PremiumSSS</v>
          </cell>
          <cell r="K1733" t="str">
            <v>balance</v>
          </cell>
          <cell r="L1733" t="str">
            <v>バランスタイプ</v>
          </cell>
          <cell r="M1733" t="str">
            <v>god</v>
          </cell>
        </row>
        <row r="1734">
          <cell r="A1734">
            <v>8129</v>
          </cell>
          <cell r="B1734" t="str">
            <v>ja</v>
          </cell>
          <cell r="C1734" t="str">
            <v>放任孽魔 ‧ 撒旦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blue</v>
          </cell>
          <cell r="I1734">
            <v>6</v>
          </cell>
          <cell r="J1734" t="str">
            <v>PremiumSS</v>
          </cell>
          <cell r="K1734" t="str">
            <v>technical</v>
          </cell>
          <cell r="L1734" t="str">
            <v>テクニカルタイプ</v>
          </cell>
          <cell r="M1734" t="str">
            <v>demon</v>
          </cell>
        </row>
        <row r="1735">
          <cell r="A1735">
            <v>8130</v>
          </cell>
          <cell r="B1735" t="str">
            <v>ja</v>
          </cell>
          <cell r="C1735" t="str">
            <v>變臉火術 ‧ 切西亞</v>
          </cell>
          <cell r="D1735" t="str">
            <v>各属性相性良3・黄・R455</v>
          </cell>
          <cell r="E1735" t="str">
            <v>執行者</v>
          </cell>
          <cell r="F1735" t="str">
            <v>格好いい</v>
          </cell>
          <cell r="G1735" t="str">
            <v>男性</v>
          </cell>
          <cell r="H1735" t="str">
            <v>red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</row>
        <row r="1736">
          <cell r="A1736">
            <v>8131</v>
          </cell>
          <cell r="B1736" t="str">
            <v>ja</v>
          </cell>
          <cell r="C1736" t="str">
            <v>預知者之歷劫 ‧ 卡珊德拉</v>
          </cell>
          <cell r="D1736" t="str">
            <v>各属性相性良3・黄・R455</v>
          </cell>
          <cell r="E1736" t="str">
            <v>執行者</v>
          </cell>
          <cell r="F1736" t="str">
            <v>格好いい</v>
          </cell>
          <cell r="G1736" t="str">
            <v>男性</v>
          </cell>
          <cell r="H1736" t="str">
            <v>blue</v>
          </cell>
          <cell r="I1736">
            <v>6</v>
          </cell>
          <cell r="J1736" t="str">
            <v>PremiumSS</v>
          </cell>
          <cell r="K1736" t="str">
            <v>heal</v>
          </cell>
          <cell r="L1736" t="str">
            <v>回復タイプ</v>
          </cell>
          <cell r="M1736" t="str">
            <v>human</v>
          </cell>
        </row>
        <row r="1737">
          <cell r="A1737">
            <v>8132</v>
          </cell>
          <cell r="B1737" t="str">
            <v>ja</v>
          </cell>
          <cell r="C1737" t="str">
            <v>罪與責之承諾 ‧ 美狄亞</v>
          </cell>
          <cell r="D1737" t="str">
            <v>各属性相性良3・黄・R455</v>
          </cell>
          <cell r="E1737" t="str">
            <v>執行者</v>
          </cell>
          <cell r="F1737" t="str">
            <v>格好いい</v>
          </cell>
          <cell r="G1737" t="str">
            <v>男性</v>
          </cell>
          <cell r="H1737" t="str">
            <v>red</v>
          </cell>
          <cell r="I1737">
            <v>6</v>
          </cell>
          <cell r="J1737" t="str">
            <v>PremiumSS</v>
          </cell>
          <cell r="K1737" t="str">
            <v>attack</v>
          </cell>
          <cell r="L1737" t="str">
            <v>攻撃タイプ</v>
          </cell>
          <cell r="M1737" t="str">
            <v>human</v>
          </cell>
        </row>
        <row r="1738">
          <cell r="A1738">
            <v>8133</v>
          </cell>
          <cell r="B1738" t="str">
            <v>ja</v>
          </cell>
          <cell r="C1738" t="str">
            <v>大魔導士 ‧ 莫莉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blue</v>
          </cell>
          <cell r="I1738">
            <v>5</v>
          </cell>
          <cell r="J1738" t="str">
            <v>PremiumS</v>
          </cell>
          <cell r="K1738" t="str">
            <v>heal</v>
          </cell>
          <cell r="L1738" t="str">
            <v>回復タイプ</v>
          </cell>
          <cell r="M1738" t="str">
            <v>human</v>
          </cell>
        </row>
        <row r="1739">
          <cell r="A1739">
            <v>8134</v>
          </cell>
          <cell r="B1739" t="str">
            <v>ja</v>
          </cell>
          <cell r="C1739" t="str">
            <v>龍焰騎士 ‧ 肖恩</v>
          </cell>
          <cell r="D1739" t="str">
            <v>各属性相性良3・黄・R455</v>
          </cell>
          <cell r="E1739" t="str">
            <v>執行者</v>
          </cell>
          <cell r="F1739" t="str">
            <v>格好いい</v>
          </cell>
          <cell r="G1739" t="str">
            <v>男性</v>
          </cell>
          <cell r="H1739" t="str">
            <v>red</v>
          </cell>
          <cell r="I1739">
            <v>5</v>
          </cell>
          <cell r="J1739" t="str">
            <v>PremiumS</v>
          </cell>
          <cell r="K1739" t="str">
            <v>balance</v>
          </cell>
          <cell r="L1739" t="str">
            <v>バランスタイプ</v>
          </cell>
          <cell r="M1739" t="str">
            <v>human</v>
          </cell>
        </row>
        <row r="1740">
          <cell r="A1740">
            <v>8135</v>
          </cell>
          <cell r="B1740" t="str">
            <v>ja</v>
          </cell>
          <cell r="C1740" t="str">
            <v>混沌之翼 ‧ 路西法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yellow</v>
          </cell>
          <cell r="I1740">
            <v>5</v>
          </cell>
          <cell r="J1740" t="str">
            <v>DropWizSS</v>
          </cell>
          <cell r="K1740" t="str">
            <v>attack</v>
          </cell>
          <cell r="L1740" t="str">
            <v>攻撃タイプ</v>
          </cell>
          <cell r="M1740" t="str">
            <v>god</v>
          </cell>
        </row>
        <row r="1741">
          <cell r="A1741">
            <v>8136</v>
          </cell>
          <cell r="B1741" t="str">
            <v>ja</v>
          </cell>
          <cell r="C1741" t="str">
            <v>混沌之翼 ‧ 路西法★6</v>
          </cell>
          <cell r="D1741" t="str">
            <v>各属性相性良3・黄・R455</v>
          </cell>
          <cell r="E1741" t="str">
            <v>執行者</v>
          </cell>
          <cell r="F1741" t="str">
            <v>格好いい</v>
          </cell>
          <cell r="G1741" t="str">
            <v>男性</v>
          </cell>
          <cell r="H1741" t="str">
            <v>yellow</v>
          </cell>
          <cell r="I1741">
            <v>6</v>
          </cell>
          <cell r="J1741" t="str">
            <v>DropWizSS</v>
          </cell>
          <cell r="K1741" t="str">
            <v>attack</v>
          </cell>
          <cell r="L1741" t="str">
            <v>攻撃タイプ</v>
          </cell>
          <cell r="M1741" t="str">
            <v>god</v>
          </cell>
        </row>
        <row r="1742">
          <cell r="A1742">
            <v>8137</v>
          </cell>
          <cell r="B1742" t="str">
            <v>ja</v>
          </cell>
          <cell r="C1742" t="str">
            <v>黑巫術之疚惡 ‧ 喀耳刻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balance</v>
          </cell>
          <cell r="L1742" t="str">
            <v>バランスタイプ</v>
          </cell>
          <cell r="M1742" t="str">
            <v>human</v>
          </cell>
        </row>
        <row r="1743">
          <cell r="A1743">
            <v>8138</v>
          </cell>
          <cell r="B1743" t="str">
            <v>ja</v>
          </cell>
          <cell r="C1743" t="str">
            <v>死靈魔導 ‧ 安多</v>
          </cell>
          <cell r="D1743" t="str">
            <v>各属性相性良3・黄・R455</v>
          </cell>
          <cell r="E1743" t="str">
            <v>執行者</v>
          </cell>
          <cell r="F1743" t="str">
            <v>格好いい</v>
          </cell>
          <cell r="G1743" t="str">
            <v>男性</v>
          </cell>
          <cell r="H1743" t="str">
            <v>red</v>
          </cell>
          <cell r="I1743">
            <v>5</v>
          </cell>
          <cell r="J1743" t="str">
            <v>Drop2N</v>
          </cell>
          <cell r="K1743" t="str">
            <v>attack</v>
          </cell>
          <cell r="L1743" t="str">
            <v>攻撃タイプ</v>
          </cell>
          <cell r="M1743" t="str">
            <v>human</v>
          </cell>
        </row>
        <row r="1744">
          <cell r="A1744">
            <v>9001</v>
          </cell>
          <cell r="B1744" t="str">
            <v>ja</v>
          </cell>
          <cell r="C1744" t="str">
            <v>春香</v>
          </cell>
          <cell r="D1744" t="str">
            <v>ポムポムプリン</v>
          </cell>
          <cell r="E1744" t="str">
            <v>執行者</v>
          </cell>
          <cell r="F1744" t="str">
            <v>格好いい</v>
          </cell>
          <cell r="G1744" t="str">
            <v>女性</v>
          </cell>
          <cell r="H1744" t="str">
            <v>red</v>
          </cell>
          <cell r="I1744">
            <v>5</v>
          </cell>
          <cell r="J1744" t="str">
            <v>PremiumSSw</v>
          </cell>
          <cell r="K1744" t="str">
            <v>attack</v>
          </cell>
          <cell r="L1744" t="str">
            <v>攻撃タイプ</v>
          </cell>
          <cell r="M1744" t="str">
            <v>human</v>
          </cell>
        </row>
        <row r="1745">
          <cell r="A1745">
            <v>9002</v>
          </cell>
          <cell r="B1745" t="str">
            <v>ja</v>
          </cell>
          <cell r="C1745" t="str">
            <v>春香★６</v>
          </cell>
          <cell r="D1745" t="str">
            <v>ポムポムプリン</v>
          </cell>
          <cell r="E1745" t="str">
            <v>執行者</v>
          </cell>
          <cell r="F1745" t="str">
            <v>格好いい</v>
          </cell>
          <cell r="G1745" t="str">
            <v>女性</v>
          </cell>
          <cell r="H1745" t="str">
            <v>red</v>
          </cell>
          <cell r="I1745">
            <v>6</v>
          </cell>
          <cell r="J1745" t="str">
            <v>PremiumSSw</v>
          </cell>
          <cell r="K1745" t="str">
            <v>attack</v>
          </cell>
          <cell r="L1745" t="str">
            <v>攻撃タイプ</v>
          </cell>
          <cell r="M1745" t="str">
            <v>human</v>
          </cell>
        </row>
        <row r="1746">
          <cell r="A1746">
            <v>9003</v>
          </cell>
          <cell r="B1746" t="str">
            <v>ja</v>
          </cell>
          <cell r="C1746" t="str">
            <v>夢龍</v>
          </cell>
          <cell r="D1746" t="str">
            <v>ポムポムプリン</v>
          </cell>
          <cell r="E1746" t="str">
            <v>執行者</v>
          </cell>
          <cell r="F1746" t="str">
            <v>格好いい</v>
          </cell>
          <cell r="G1746" t="str">
            <v>女性</v>
          </cell>
          <cell r="H1746" t="str">
            <v>green</v>
          </cell>
          <cell r="I1746">
            <v>5</v>
          </cell>
          <cell r="J1746" t="str">
            <v>DropWizS</v>
          </cell>
          <cell r="K1746" t="str">
            <v>heal</v>
          </cell>
          <cell r="L1746" t="str">
            <v>回復タイプ</v>
          </cell>
          <cell r="M1746" t="str">
            <v>dragon</v>
          </cell>
        </row>
        <row r="1747">
          <cell r="A1747">
            <v>9004</v>
          </cell>
          <cell r="B1747" t="str">
            <v>ja</v>
          </cell>
          <cell r="C1747" t="str">
            <v>夢龍★６</v>
          </cell>
          <cell r="D1747" t="str">
            <v>各属性相性良3・黄・R455</v>
          </cell>
          <cell r="E1747" t="str">
            <v>執行者</v>
          </cell>
          <cell r="F1747" t="str">
            <v>格好いい</v>
          </cell>
          <cell r="G1747" t="str">
            <v>男性</v>
          </cell>
          <cell r="H1747" t="str">
            <v>green</v>
          </cell>
          <cell r="I1747">
            <v>6</v>
          </cell>
          <cell r="J1747" t="str">
            <v>DropWizS</v>
          </cell>
          <cell r="K1747" t="str">
            <v>heal</v>
          </cell>
          <cell r="L1747" t="str">
            <v>回復タイプ</v>
          </cell>
          <cell r="M1747" t="str">
            <v>dragon</v>
          </cell>
        </row>
        <row r="1748">
          <cell r="A1748">
            <v>9005</v>
          </cell>
          <cell r="B1748" t="str">
            <v>ja</v>
          </cell>
          <cell r="C1748" t="str">
            <v>降臨</v>
          </cell>
          <cell r="D1748" t="str">
            <v>ポムポムプリン</v>
          </cell>
          <cell r="E1748" t="str">
            <v>執行者</v>
          </cell>
          <cell r="F1748" t="str">
            <v>格好いい</v>
          </cell>
          <cell r="G1748" t="str">
            <v>女性</v>
          </cell>
          <cell r="H1748" t="str">
            <v>blue</v>
          </cell>
          <cell r="I1748">
            <v>5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demon</v>
          </cell>
        </row>
        <row r="1749">
          <cell r="A1749">
            <v>9006</v>
          </cell>
          <cell r="B1749" t="str">
            <v>ja</v>
          </cell>
          <cell r="C1749" t="str">
            <v>降臨★６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blue</v>
          </cell>
          <cell r="I1749">
            <v>6</v>
          </cell>
          <cell r="J1749" t="str">
            <v>PremiumSSw</v>
          </cell>
          <cell r="K1749" t="str">
            <v>hp</v>
          </cell>
          <cell r="L1749" t="str">
            <v>体力タイプ</v>
          </cell>
          <cell r="M1749" t="str">
            <v>demon</v>
          </cell>
        </row>
        <row r="1750">
          <cell r="A1750">
            <v>9007</v>
          </cell>
          <cell r="B1750" t="str">
            <v>ja</v>
          </cell>
          <cell r="C1750" t="str">
            <v>田禹治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red</v>
          </cell>
          <cell r="I1750">
            <v>5</v>
          </cell>
          <cell r="J1750" t="str">
            <v>DropWizS</v>
          </cell>
          <cell r="K1750" t="str">
            <v>technical</v>
          </cell>
          <cell r="L1750" t="str">
            <v>テクニカルタイプ</v>
          </cell>
          <cell r="M1750" t="str">
            <v>hero</v>
          </cell>
        </row>
        <row r="1751">
          <cell r="A1751">
            <v>9008</v>
          </cell>
          <cell r="B1751" t="str">
            <v>ja</v>
          </cell>
          <cell r="C1751" t="str">
            <v>田禹治★６</v>
          </cell>
          <cell r="D1751" t="str">
            <v>各属性相性良3・黄・R455</v>
          </cell>
          <cell r="E1751" t="str">
            <v>執行者</v>
          </cell>
          <cell r="F1751" t="str">
            <v>格好いい</v>
          </cell>
          <cell r="G1751" t="str">
            <v>男性</v>
          </cell>
          <cell r="H1751" t="str">
            <v>red</v>
          </cell>
          <cell r="I1751">
            <v>6</v>
          </cell>
          <cell r="J1751" t="str">
            <v>DropWizS</v>
          </cell>
          <cell r="K1751" t="str">
            <v>technical</v>
          </cell>
          <cell r="L1751" t="str">
            <v>テクニカルタイプ</v>
          </cell>
          <cell r="M1751" t="str">
            <v>hero</v>
          </cell>
        </row>
        <row r="1752">
          <cell r="A1752">
            <v>10001</v>
          </cell>
          <cell r="B1752" t="str">
            <v>ja</v>
          </cell>
          <cell r="C1752" t="str">
            <v>テストユニット01</v>
          </cell>
          <cell r="H1752" t="str">
            <v>yellow</v>
          </cell>
          <cell r="I1752">
            <v>6</v>
          </cell>
          <cell r="J1752" t="str">
            <v>DropWizS</v>
          </cell>
          <cell r="K1752" t="str">
            <v>heal</v>
          </cell>
          <cell r="L1752" t="str">
            <v>回復タイプ</v>
          </cell>
          <cell r="M1752" t="str">
            <v>human</v>
          </cell>
        </row>
        <row r="1753">
          <cell r="A1753">
            <v>10002</v>
          </cell>
          <cell r="B1753" t="str">
            <v>ja</v>
          </cell>
          <cell r="C1753" t="str">
            <v>テストユニット02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technical</v>
          </cell>
          <cell r="L1753" t="str">
            <v>テクニカルタイプ</v>
          </cell>
          <cell r="M1753" t="str">
            <v>animal</v>
          </cell>
        </row>
        <row r="1754">
          <cell r="A1754">
            <v>10003</v>
          </cell>
          <cell r="B1754" t="str">
            <v>ja</v>
          </cell>
          <cell r="C1754" t="str">
            <v>テストユニット03</v>
          </cell>
          <cell r="H1754" t="str">
            <v>red</v>
          </cell>
          <cell r="I1754">
            <v>5</v>
          </cell>
          <cell r="J1754" t="str">
            <v>PremiumSSS</v>
          </cell>
          <cell r="K1754" t="str">
            <v>technical</v>
          </cell>
          <cell r="L1754" t="str">
            <v>テクニカルタイプ</v>
          </cell>
          <cell r="M1754" t="str">
            <v>academia</v>
          </cell>
        </row>
        <row r="1755">
          <cell r="A1755">
            <v>10004</v>
          </cell>
          <cell r="B1755" t="str">
            <v>ja</v>
          </cell>
          <cell r="C1755" t="str">
            <v>テストユニット04</v>
          </cell>
          <cell r="H1755" t="str">
            <v>red</v>
          </cell>
          <cell r="I1755">
            <v>6</v>
          </cell>
          <cell r="J1755" t="str">
            <v>PremiumSSS</v>
          </cell>
          <cell r="K1755" t="str">
            <v>technical</v>
          </cell>
          <cell r="L1755" t="str">
            <v>テクニカルタイプ</v>
          </cell>
          <cell r="M1755" t="str">
            <v>academia</v>
          </cell>
        </row>
        <row r="1756">
          <cell r="A1756">
            <v>10005</v>
          </cell>
          <cell r="B1756" t="str">
            <v>ja</v>
          </cell>
          <cell r="C1756" t="str">
            <v>テストユニット05</v>
          </cell>
          <cell r="H1756" t="str">
            <v>yellow</v>
          </cell>
          <cell r="I1756">
            <v>6</v>
          </cell>
          <cell r="J1756" t="str">
            <v>PremiumSS</v>
          </cell>
          <cell r="K1756" t="str">
            <v>technical</v>
          </cell>
          <cell r="L1756" t="str">
            <v>テクニカルタイプ</v>
          </cell>
          <cell r="M1756" t="str">
            <v>human</v>
          </cell>
        </row>
        <row r="1757">
          <cell r="A1757">
            <v>10006</v>
          </cell>
          <cell r="B1757" t="str">
            <v>ja</v>
          </cell>
          <cell r="C1757" t="str">
            <v>テストユニット06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attack</v>
          </cell>
          <cell r="L1757" t="str">
            <v>攻撃タイプ</v>
          </cell>
          <cell r="M1757" t="str">
            <v>animal</v>
          </cell>
        </row>
        <row r="1758">
          <cell r="A1758">
            <v>10007</v>
          </cell>
          <cell r="B1758" t="str">
            <v>ja</v>
          </cell>
          <cell r="C1758" t="str">
            <v>テストユニット07</v>
          </cell>
          <cell r="H1758" t="str">
            <v>yellow</v>
          </cell>
          <cell r="I1758">
            <v>5</v>
          </cell>
          <cell r="J1758" t="str">
            <v>PremiumSSS</v>
          </cell>
          <cell r="K1758" t="str">
            <v>technical</v>
          </cell>
          <cell r="L1758" t="str">
            <v>テクニカルタイプ</v>
          </cell>
          <cell r="M1758" t="str">
            <v>machine</v>
          </cell>
        </row>
        <row r="1759">
          <cell r="A1759">
            <v>10008</v>
          </cell>
          <cell r="B1759" t="str">
            <v>ja</v>
          </cell>
          <cell r="C1759" t="str">
            <v>テストユニット08</v>
          </cell>
          <cell r="H1759" t="str">
            <v>yellow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machine</v>
          </cell>
        </row>
        <row r="1760">
          <cell r="A1760">
            <v>10009</v>
          </cell>
          <cell r="B1760" t="str">
            <v>ja</v>
          </cell>
          <cell r="C1760" t="str">
            <v>青テスト01</v>
          </cell>
          <cell r="H1760" t="str">
            <v>blue</v>
          </cell>
          <cell r="I1760">
            <v>6</v>
          </cell>
          <cell r="J1760" t="str">
            <v>DropWizS</v>
          </cell>
          <cell r="K1760" t="str">
            <v>heal</v>
          </cell>
          <cell r="L1760" t="str">
            <v>回復タイプ</v>
          </cell>
          <cell r="M1760" t="str">
            <v>human</v>
          </cell>
        </row>
        <row r="1761">
          <cell r="A1761">
            <v>10010</v>
          </cell>
          <cell r="B1761" t="str">
            <v>ja</v>
          </cell>
          <cell r="C1761" t="str">
            <v>赤テスト01</v>
          </cell>
          <cell r="H1761" t="str">
            <v>red</v>
          </cell>
          <cell r="I1761">
            <v>6</v>
          </cell>
          <cell r="J1761" t="str">
            <v>PremiumSSS</v>
          </cell>
          <cell r="K1761" t="str">
            <v>technical</v>
          </cell>
          <cell r="L1761" t="str">
            <v>テクニカルタイプ</v>
          </cell>
          <cell r="M1761" t="str">
            <v>human</v>
          </cell>
        </row>
        <row r="1762">
          <cell r="A1762">
            <v>10011</v>
          </cell>
          <cell r="B1762" t="str">
            <v>ja</v>
          </cell>
          <cell r="C1762" t="str">
            <v>テストユニット11</v>
          </cell>
          <cell r="H1762" t="str">
            <v>yellow</v>
          </cell>
          <cell r="I1762">
            <v>5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human</v>
          </cell>
        </row>
        <row r="1763">
          <cell r="A1763">
            <v>10012</v>
          </cell>
          <cell r="B1763" t="str">
            <v>ja</v>
          </cell>
          <cell r="C1763" t="str">
            <v>テストユニット12</v>
          </cell>
          <cell r="H1763" t="str">
            <v>blue</v>
          </cell>
          <cell r="I1763">
            <v>6</v>
          </cell>
          <cell r="J1763" t="str">
            <v>PremiumS</v>
          </cell>
          <cell r="K1763" t="str">
            <v>balance</v>
          </cell>
          <cell r="L1763" t="str">
            <v>バランスタイプ</v>
          </cell>
          <cell r="M1763" t="str">
            <v>human</v>
          </cell>
        </row>
        <row r="1764">
          <cell r="A1764">
            <v>10013</v>
          </cell>
          <cell r="B1764" t="str">
            <v>ja</v>
          </cell>
          <cell r="C1764" t="str">
            <v>テストユニット13</v>
          </cell>
          <cell r="H1764" t="str">
            <v>yellow</v>
          </cell>
          <cell r="I1764">
            <v>5</v>
          </cell>
          <cell r="J1764" t="str">
            <v>PremiumSSw</v>
          </cell>
          <cell r="K1764" t="str">
            <v>hp</v>
          </cell>
          <cell r="L1764" t="str">
            <v>体力タイプ</v>
          </cell>
          <cell r="M1764" t="str">
            <v>dragon</v>
          </cell>
        </row>
        <row r="1765">
          <cell r="A1765">
            <v>10014</v>
          </cell>
          <cell r="B1765" t="str">
            <v>ja</v>
          </cell>
          <cell r="C1765" t="str">
            <v>テストユニット14</v>
          </cell>
          <cell r="H1765" t="str">
            <v>yellow</v>
          </cell>
          <cell r="I1765">
            <v>6</v>
          </cell>
          <cell r="J1765" t="str">
            <v>PremiumSSw</v>
          </cell>
          <cell r="K1765" t="str">
            <v>hp</v>
          </cell>
          <cell r="L1765" t="str">
            <v>体力タイプ</v>
          </cell>
          <cell r="M1765" t="str">
            <v>dragon</v>
          </cell>
        </row>
        <row r="1766">
          <cell r="A1766">
            <v>10015</v>
          </cell>
          <cell r="B1766" t="str">
            <v>ja</v>
          </cell>
          <cell r="C1766" t="str">
            <v>テストユニット15</v>
          </cell>
          <cell r="H1766" t="str">
            <v>green</v>
          </cell>
          <cell r="I1766">
            <v>5</v>
          </cell>
          <cell r="J1766" t="str">
            <v>DropWizS</v>
          </cell>
          <cell r="K1766" t="str">
            <v>heal</v>
          </cell>
          <cell r="L1766" t="str">
            <v>回復タイプ</v>
          </cell>
          <cell r="M1766" t="str">
            <v>human</v>
          </cell>
        </row>
        <row r="1767">
          <cell r="A1767">
            <v>10016</v>
          </cell>
          <cell r="B1767" t="str">
            <v>ja</v>
          </cell>
          <cell r="C1767" t="str">
            <v>テストユニット16</v>
          </cell>
          <cell r="H1767" t="str">
            <v>green</v>
          </cell>
          <cell r="I1767">
            <v>6</v>
          </cell>
          <cell r="J1767" t="str">
            <v>DropWizS</v>
          </cell>
          <cell r="K1767" t="str">
            <v>heal</v>
          </cell>
          <cell r="L1767" t="str">
            <v>回復タイプ</v>
          </cell>
          <cell r="M1767" t="str">
            <v>human</v>
          </cell>
        </row>
        <row r="1768">
          <cell r="A1768">
            <v>10017</v>
          </cell>
          <cell r="B1768" t="str">
            <v>ja</v>
          </cell>
          <cell r="C1768" t="str">
            <v>テストユニット17</v>
          </cell>
          <cell r="H1768" t="str">
            <v>red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10018</v>
          </cell>
          <cell r="B1769" t="str">
            <v>ja</v>
          </cell>
          <cell r="C1769" t="str">
            <v>テストユニット18</v>
          </cell>
          <cell r="H1769" t="str">
            <v>blue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10019</v>
          </cell>
          <cell r="B1770" t="str">
            <v>ja</v>
          </cell>
          <cell r="C1770" t="str">
            <v>テストユニット19</v>
          </cell>
          <cell r="H1770" t="str">
            <v>green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10020</v>
          </cell>
          <cell r="B1771" t="str">
            <v>ja</v>
          </cell>
          <cell r="C1771" t="str">
            <v>テストユニット20</v>
          </cell>
          <cell r="H1771" t="str">
            <v>yellow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10021</v>
          </cell>
          <cell r="B1772" t="str">
            <v>ja</v>
          </cell>
          <cell r="C1772" t="str">
            <v>テストユニット21</v>
          </cell>
          <cell r="H1772" t="str">
            <v>blue</v>
          </cell>
          <cell r="I1772">
            <v>5</v>
          </cell>
          <cell r="J1772" t="str">
            <v>PremiumSSw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10022</v>
          </cell>
          <cell r="B1773" t="str">
            <v>ja</v>
          </cell>
          <cell r="C1773" t="str">
            <v>テストユニット22</v>
          </cell>
          <cell r="H1773" t="str">
            <v>blue</v>
          </cell>
          <cell r="I1773">
            <v>6</v>
          </cell>
          <cell r="J1773" t="str">
            <v>PremiumSSw</v>
          </cell>
          <cell r="K1773" t="str">
            <v>hp</v>
          </cell>
          <cell r="L1773" t="str">
            <v>体力タイプ</v>
          </cell>
          <cell r="M1773" t="str">
            <v>demon</v>
          </cell>
        </row>
        <row r="1774">
          <cell r="A1774">
            <v>10023</v>
          </cell>
          <cell r="B1774" t="str">
            <v>ja</v>
          </cell>
          <cell r="C1774" t="str">
            <v>テストユニット23</v>
          </cell>
          <cell r="H1774" t="str">
            <v>green</v>
          </cell>
          <cell r="I1774">
            <v>5</v>
          </cell>
          <cell r="J1774" t="str">
            <v>PremiumSSw</v>
          </cell>
          <cell r="K1774" t="str">
            <v>heal</v>
          </cell>
          <cell r="L1774" t="str">
            <v>回復タイプ</v>
          </cell>
          <cell r="M1774" t="str">
            <v>dragon</v>
          </cell>
        </row>
        <row r="1775">
          <cell r="A1775">
            <v>10024</v>
          </cell>
          <cell r="B1775" t="str">
            <v>ja</v>
          </cell>
          <cell r="C1775" t="str">
            <v>テストユニット24</v>
          </cell>
          <cell r="H1775" t="str">
            <v>green</v>
          </cell>
          <cell r="I1775">
            <v>6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dragon</v>
          </cell>
        </row>
        <row r="1776">
          <cell r="A1776">
            <v>10025</v>
          </cell>
          <cell r="B1776" t="str">
            <v>ja</v>
          </cell>
          <cell r="C1776" t="str">
            <v>テストユニット25</v>
          </cell>
          <cell r="H1776" t="str">
            <v>red</v>
          </cell>
          <cell r="I1776">
            <v>5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dragon</v>
          </cell>
        </row>
        <row r="1777">
          <cell r="A1777">
            <v>10026</v>
          </cell>
          <cell r="B1777" t="str">
            <v>ja</v>
          </cell>
          <cell r="C1777" t="str">
            <v>テストユニット26</v>
          </cell>
          <cell r="H1777" t="str">
            <v>red</v>
          </cell>
          <cell r="I1777">
            <v>6</v>
          </cell>
          <cell r="J1777" t="str">
            <v>PremiumSSw</v>
          </cell>
          <cell r="K1777" t="str">
            <v>hp</v>
          </cell>
          <cell r="L1777" t="str">
            <v>体力タイプ</v>
          </cell>
          <cell r="M1777" t="str">
            <v>dragon</v>
          </cell>
        </row>
        <row r="1778">
          <cell r="A1778">
            <v>10027</v>
          </cell>
          <cell r="B1778" t="str">
            <v>ja</v>
          </cell>
          <cell r="C1778" t="str">
            <v>テストユニット27</v>
          </cell>
          <cell r="H1778" t="str">
            <v>green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10028</v>
          </cell>
          <cell r="B1779" t="str">
            <v>ja</v>
          </cell>
          <cell r="C1779" t="str">
            <v>テストユニット28</v>
          </cell>
          <cell r="H1779" t="str">
            <v>yellow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10029</v>
          </cell>
          <cell r="B1780" t="str">
            <v>ja</v>
          </cell>
          <cell r="C1780" t="str">
            <v>テストユニット29</v>
          </cell>
          <cell r="H1780" t="str">
            <v>red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10030</v>
          </cell>
          <cell r="B1781" t="str">
            <v>ja</v>
          </cell>
          <cell r="C1781" t="str">
            <v>テストユニット30</v>
          </cell>
          <cell r="H1781" t="str">
            <v>blue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10031</v>
          </cell>
          <cell r="B1782" t="str">
            <v>ja</v>
          </cell>
          <cell r="C1782" t="str">
            <v>テストユニット31</v>
          </cell>
          <cell r="H1782" t="str">
            <v>green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10032</v>
          </cell>
          <cell r="B1783" t="str">
            <v>ja</v>
          </cell>
          <cell r="C1783" t="str">
            <v>テストユニット32</v>
          </cell>
          <cell r="H1783" t="str">
            <v>yellow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10033</v>
          </cell>
          <cell r="B1784" t="str">
            <v>ja</v>
          </cell>
          <cell r="C1784" t="str">
            <v>テストユニット33</v>
          </cell>
          <cell r="H1784" t="str">
            <v>red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10034</v>
          </cell>
          <cell r="B1785" t="str">
            <v>ja</v>
          </cell>
          <cell r="C1785" t="str">
            <v>テストユニット34</v>
          </cell>
          <cell r="H1785" t="str">
            <v>blue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10035</v>
          </cell>
          <cell r="B1786" t="str">
            <v>ja</v>
          </cell>
          <cell r="C1786" t="str">
            <v>テストユニット35</v>
          </cell>
          <cell r="H1786" t="str">
            <v>green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10036</v>
          </cell>
          <cell r="B1787" t="str">
            <v>ja</v>
          </cell>
          <cell r="C1787" t="str">
            <v>テストユニット36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10037</v>
          </cell>
          <cell r="B1788" t="str">
            <v>ja</v>
          </cell>
          <cell r="C1788" t="str">
            <v>テストユニット37</v>
          </cell>
          <cell r="H1788" t="str">
            <v>red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10038</v>
          </cell>
          <cell r="B1789" t="str">
            <v>ja</v>
          </cell>
          <cell r="C1789" t="str">
            <v>テストユニット38</v>
          </cell>
          <cell r="H1789" t="str">
            <v>blue</v>
          </cell>
          <cell r="I1789">
            <v>6</v>
          </cell>
          <cell r="J1789" t="str">
            <v>DropWizS</v>
          </cell>
          <cell r="K1789" t="str">
            <v>balance</v>
          </cell>
          <cell r="L1789" t="str">
            <v>バランスタイプ</v>
          </cell>
          <cell r="M1789" t="str">
            <v>god</v>
          </cell>
        </row>
        <row r="1790">
          <cell r="A1790">
            <v>10039</v>
          </cell>
          <cell r="B1790" t="str">
            <v>ja</v>
          </cell>
          <cell r="C1790" t="str">
            <v>テストユニット39</v>
          </cell>
          <cell r="H1790" t="str">
            <v>green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10040</v>
          </cell>
          <cell r="B1791" t="str">
            <v>ja</v>
          </cell>
          <cell r="C1791" t="str">
            <v>テストユニット40</v>
          </cell>
          <cell r="H1791" t="str">
            <v>yellow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10041</v>
          </cell>
          <cell r="B1792" t="str">
            <v>ja</v>
          </cell>
          <cell r="C1792" t="str">
            <v>テストユニット41</v>
          </cell>
          <cell r="H1792" t="str">
            <v>red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10042</v>
          </cell>
          <cell r="B1793" t="str">
            <v>ja</v>
          </cell>
          <cell r="C1793" t="str">
            <v>テストユニット42</v>
          </cell>
          <cell r="H1793" t="str">
            <v>blue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10043</v>
          </cell>
          <cell r="B1794" t="str">
            <v>ja</v>
          </cell>
          <cell r="C1794" t="str">
            <v>テストユニット43</v>
          </cell>
          <cell r="H1794" t="str">
            <v>green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10044</v>
          </cell>
          <cell r="B1795" t="str">
            <v>ja</v>
          </cell>
          <cell r="C1795" t="str">
            <v>テストユニット44</v>
          </cell>
          <cell r="H1795" t="str">
            <v>yellow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10045</v>
          </cell>
          <cell r="B1796" t="str">
            <v>ja</v>
          </cell>
          <cell r="C1796" t="str">
            <v>テストユニット45</v>
          </cell>
          <cell r="H1796" t="str">
            <v>red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10046</v>
          </cell>
          <cell r="B1797" t="str">
            <v>ja</v>
          </cell>
          <cell r="C1797" t="str">
            <v>テストユニット46</v>
          </cell>
          <cell r="H1797" t="str">
            <v>blue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10047</v>
          </cell>
          <cell r="B1798" t="str">
            <v>ja</v>
          </cell>
          <cell r="C1798" t="str">
            <v>テストユニット47</v>
          </cell>
          <cell r="H1798" t="str">
            <v>green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10048</v>
          </cell>
          <cell r="B1799" t="str">
            <v>ja</v>
          </cell>
          <cell r="C1799" t="str">
            <v>テストユニット48</v>
          </cell>
          <cell r="H1799" t="str">
            <v>yellow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10049</v>
          </cell>
          <cell r="B1800" t="str">
            <v>ja</v>
          </cell>
          <cell r="C1800" t="str">
            <v>テストユニット49</v>
          </cell>
          <cell r="H1800" t="str">
            <v>red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10050</v>
          </cell>
          <cell r="B1801" t="str">
            <v>ja</v>
          </cell>
          <cell r="C1801" t="str">
            <v>テストユニット50</v>
          </cell>
          <cell r="H1801" t="str">
            <v>blue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10051</v>
          </cell>
          <cell r="B1802" t="str">
            <v>ja</v>
          </cell>
          <cell r="C1802" t="str">
            <v>テストユニット51</v>
          </cell>
          <cell r="H1802" t="str">
            <v>green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10052</v>
          </cell>
          <cell r="B1803" t="str">
            <v>ja</v>
          </cell>
          <cell r="C1803" t="str">
            <v>テストユニット52</v>
          </cell>
          <cell r="H1803" t="str">
            <v>yellow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10053</v>
          </cell>
          <cell r="B1804" t="str">
            <v>ja</v>
          </cell>
          <cell r="C1804" t="str">
            <v>テストユニット53</v>
          </cell>
          <cell r="H1804" t="str">
            <v>red</v>
          </cell>
          <cell r="I1804">
            <v>6</v>
          </cell>
          <cell r="J1804" t="str">
            <v>PremiumSS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10054</v>
          </cell>
          <cell r="B1805" t="str">
            <v>ja</v>
          </cell>
          <cell r="C1805" t="str">
            <v>テストユニット54</v>
          </cell>
          <cell r="H1805" t="str">
            <v>blue</v>
          </cell>
          <cell r="I1805">
            <v>6</v>
          </cell>
          <cell r="J1805" t="str">
            <v>PremiumSS</v>
          </cell>
          <cell r="K1805" t="str">
            <v>balance</v>
          </cell>
          <cell r="L1805" t="str">
            <v>バランスタイプ</v>
          </cell>
          <cell r="M1805" t="str">
            <v>unknown</v>
          </cell>
        </row>
        <row r="1806">
          <cell r="A1806">
            <v>10055</v>
          </cell>
          <cell r="B1806" t="str">
            <v>ja</v>
          </cell>
          <cell r="C1806" t="str">
            <v>テストユニット55</v>
          </cell>
          <cell r="H1806" t="str">
            <v>green</v>
          </cell>
          <cell r="I1806">
            <v>6</v>
          </cell>
          <cell r="J1806" t="str">
            <v>PremiumSS</v>
          </cell>
          <cell r="K1806" t="str">
            <v>balance</v>
          </cell>
          <cell r="L1806" t="str">
            <v>バランスタイプ</v>
          </cell>
          <cell r="M1806" t="str">
            <v>unknown</v>
          </cell>
        </row>
        <row r="1807">
          <cell r="A1807">
            <v>10056</v>
          </cell>
          <cell r="B1807" t="str">
            <v>ja</v>
          </cell>
          <cell r="C1807" t="str">
            <v>テストユニット56</v>
          </cell>
          <cell r="H1807" t="str">
            <v>yellow</v>
          </cell>
          <cell r="I1807">
            <v>6</v>
          </cell>
          <cell r="J1807" t="str">
            <v>PremiumSS</v>
          </cell>
          <cell r="K1807" t="str">
            <v>balance</v>
          </cell>
          <cell r="L1807" t="str">
            <v>バランスタイプ</v>
          </cell>
          <cell r="M1807" t="str">
            <v>unknown</v>
          </cell>
        </row>
        <row r="1808">
          <cell r="A1808">
            <v>10057</v>
          </cell>
          <cell r="B1808" t="str">
            <v>ja</v>
          </cell>
          <cell r="C1808" t="str">
            <v>テストユニット57</v>
          </cell>
          <cell r="H1808" t="str">
            <v>red</v>
          </cell>
          <cell r="I1808">
            <v>6</v>
          </cell>
          <cell r="J1808" t="str">
            <v>PremiumSS</v>
          </cell>
          <cell r="K1808" t="str">
            <v>balance</v>
          </cell>
          <cell r="L1808" t="str">
            <v>バランスタイプ</v>
          </cell>
          <cell r="M1808" t="str">
            <v>unknown</v>
          </cell>
        </row>
        <row r="1809">
          <cell r="A1809">
            <v>10058</v>
          </cell>
          <cell r="B1809" t="str">
            <v>ja</v>
          </cell>
          <cell r="C1809" t="str">
            <v>テストユニット58</v>
          </cell>
          <cell r="H1809" t="str">
            <v>blue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10059</v>
          </cell>
          <cell r="B1810" t="str">
            <v>ja</v>
          </cell>
          <cell r="C1810" t="str">
            <v>テストユニット59</v>
          </cell>
          <cell r="H1810" t="str">
            <v>green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10060</v>
          </cell>
          <cell r="B1811" t="str">
            <v>ja</v>
          </cell>
          <cell r="C1811" t="str">
            <v>テストユニット60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10061</v>
          </cell>
          <cell r="B1812" t="str">
            <v>ja</v>
          </cell>
          <cell r="C1812" t="str">
            <v>テストユニット61</v>
          </cell>
          <cell r="H1812" t="str">
            <v>red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</row>
        <row r="1813">
          <cell r="A1813">
            <v>10062</v>
          </cell>
          <cell r="B1813" t="str">
            <v>ja</v>
          </cell>
          <cell r="C1813" t="str">
            <v>テストユニット62</v>
          </cell>
          <cell r="H1813" t="str">
            <v>blue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</row>
        <row r="1814">
          <cell r="A1814">
            <v>10063</v>
          </cell>
          <cell r="B1814" t="str">
            <v>ja</v>
          </cell>
          <cell r="C1814" t="str">
            <v>テストユニット63</v>
          </cell>
          <cell r="H1814" t="str">
            <v>green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10064</v>
          </cell>
          <cell r="B1815" t="str">
            <v>ja</v>
          </cell>
          <cell r="C1815" t="str">
            <v>テストユニット64</v>
          </cell>
          <cell r="H1815" t="str">
            <v>yellow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10065</v>
          </cell>
          <cell r="B1816" t="str">
            <v>ja</v>
          </cell>
          <cell r="C1816" t="str">
            <v>テストユニット65</v>
          </cell>
          <cell r="H1816" t="str">
            <v>red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10066</v>
          </cell>
          <cell r="B1817" t="str">
            <v>ja</v>
          </cell>
          <cell r="C1817" t="str">
            <v>テストユニット66</v>
          </cell>
          <cell r="H1817" t="str">
            <v>blue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10067</v>
          </cell>
          <cell r="B1818" t="str">
            <v>ja</v>
          </cell>
          <cell r="C1818" t="str">
            <v>テストユニット67</v>
          </cell>
          <cell r="H1818" t="str">
            <v>green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10068</v>
          </cell>
          <cell r="B1819" t="str">
            <v>ja</v>
          </cell>
          <cell r="C1819" t="str">
            <v>テストユニット68</v>
          </cell>
          <cell r="H1819" t="str">
            <v>yellow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10069</v>
          </cell>
          <cell r="B1820" t="str">
            <v>ja</v>
          </cell>
          <cell r="C1820" t="str">
            <v>テストユニット69</v>
          </cell>
          <cell r="H1820" t="str">
            <v>red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10070</v>
          </cell>
          <cell r="B1821" t="str">
            <v>ja</v>
          </cell>
          <cell r="C1821" t="str">
            <v>テストユニット70</v>
          </cell>
          <cell r="H1821" t="str">
            <v>blue</v>
          </cell>
          <cell r="I1821">
            <v>6</v>
          </cell>
          <cell r="J1821" t="str">
            <v>PremiumSSS</v>
          </cell>
          <cell r="K1821" t="str">
            <v>heal</v>
          </cell>
          <cell r="L1821" t="str">
            <v>回復タイプ</v>
          </cell>
          <cell r="M1821" t="str">
            <v>academia</v>
          </cell>
        </row>
        <row r="1822">
          <cell r="A1822">
            <v>10071</v>
          </cell>
          <cell r="B1822" t="str">
            <v>ja</v>
          </cell>
          <cell r="C1822" t="str">
            <v>テストユニット71</v>
          </cell>
          <cell r="H1822" t="str">
            <v>red</v>
          </cell>
          <cell r="I1822">
            <v>6</v>
          </cell>
          <cell r="J1822" t="str">
            <v>PremiumSSS</v>
          </cell>
          <cell r="K1822" t="str">
            <v>hp</v>
          </cell>
          <cell r="L1822" t="str">
            <v>体力タイプ</v>
          </cell>
          <cell r="M1822" t="str">
            <v>demon</v>
          </cell>
        </row>
        <row r="1823">
          <cell r="A1823">
            <v>10072</v>
          </cell>
          <cell r="B1823" t="str">
            <v>ja</v>
          </cell>
          <cell r="C1823" t="str">
            <v>テストユニット72</v>
          </cell>
          <cell r="H1823" t="str">
            <v>green</v>
          </cell>
          <cell r="I1823">
            <v>6</v>
          </cell>
          <cell r="J1823" t="str">
            <v>PremiumSSS</v>
          </cell>
          <cell r="K1823" t="str">
            <v>heal</v>
          </cell>
          <cell r="L1823" t="str">
            <v>回復タイプ</v>
          </cell>
          <cell r="M1823" t="str">
            <v>unknown</v>
          </cell>
        </row>
        <row r="1824">
          <cell r="A1824">
            <v>10073</v>
          </cell>
          <cell r="B1824" t="str">
            <v>ja</v>
          </cell>
          <cell r="C1824" t="str">
            <v>テストユニット73</v>
          </cell>
          <cell r="H1824" t="str">
            <v>green</v>
          </cell>
          <cell r="I1824">
            <v>6</v>
          </cell>
          <cell r="J1824" t="str">
            <v>PremiumSSS</v>
          </cell>
          <cell r="K1824" t="str">
            <v>attack</v>
          </cell>
          <cell r="L1824" t="str">
            <v>攻撃タイプ</v>
          </cell>
          <cell r="M1824" t="str">
            <v>samurai</v>
          </cell>
        </row>
        <row r="1825">
          <cell r="A1825">
            <v>10074</v>
          </cell>
          <cell r="B1825" t="str">
            <v>ja</v>
          </cell>
          <cell r="C1825" t="str">
            <v>テストユニット74</v>
          </cell>
          <cell r="H1825" t="str">
            <v>blue</v>
          </cell>
          <cell r="I1825">
            <v>6</v>
          </cell>
          <cell r="J1825" t="str">
            <v>PremiumSSS</v>
          </cell>
          <cell r="K1825" t="str">
            <v>balance</v>
          </cell>
          <cell r="L1825" t="str">
            <v>バランスタイプ</v>
          </cell>
          <cell r="M1825" t="str">
            <v>fantasy</v>
          </cell>
        </row>
        <row r="1826">
          <cell r="A1826">
            <v>10075</v>
          </cell>
          <cell r="B1826" t="str">
            <v>ja</v>
          </cell>
          <cell r="C1826" t="str">
            <v>テストユニット75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</row>
        <row r="1827">
          <cell r="A1827">
            <v>10076</v>
          </cell>
          <cell r="B1827" t="str">
            <v>ja</v>
          </cell>
          <cell r="C1827" t="str">
            <v>テストユニット76</v>
          </cell>
          <cell r="H1827" t="str">
            <v>yellow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</row>
        <row r="1828">
          <cell r="A1828">
            <v>10077</v>
          </cell>
          <cell r="B1828" t="str">
            <v>ja</v>
          </cell>
          <cell r="C1828" t="str">
            <v>テストユニット77</v>
          </cell>
          <cell r="H1828" t="str">
            <v>yellow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</row>
        <row r="1829">
          <cell r="A1829">
            <v>10078</v>
          </cell>
          <cell r="B1829" t="str">
            <v>ja</v>
          </cell>
          <cell r="C1829" t="str">
            <v>テストユニット78</v>
          </cell>
          <cell r="H1829" t="str">
            <v>red</v>
          </cell>
          <cell r="I1829">
            <v>6</v>
          </cell>
          <cell r="J1829" t="str">
            <v>PremiumSSS</v>
          </cell>
          <cell r="K1829" t="str">
            <v>attack</v>
          </cell>
          <cell r="L1829" t="str">
            <v>攻撃タイプ</v>
          </cell>
          <cell r="M1829" t="str">
            <v>human</v>
          </cell>
        </row>
        <row r="1830">
          <cell r="A1830">
            <v>10079</v>
          </cell>
          <cell r="B1830" t="str">
            <v>ja</v>
          </cell>
          <cell r="C1830" t="str">
            <v>テストユニット79</v>
          </cell>
          <cell r="H1830" t="str">
            <v>red</v>
          </cell>
          <cell r="I1830">
            <v>6</v>
          </cell>
          <cell r="J1830" t="str">
            <v>DropWizSS</v>
          </cell>
          <cell r="K1830" t="str">
            <v>hp</v>
          </cell>
          <cell r="L1830" t="str">
            <v>体力タイプ</v>
          </cell>
          <cell r="M1830" t="str">
            <v>hero</v>
          </cell>
        </row>
        <row r="1831">
          <cell r="A1831">
            <v>10080</v>
          </cell>
          <cell r="B1831" t="str">
            <v>ja</v>
          </cell>
          <cell r="C1831" t="str">
            <v>テストユニット80</v>
          </cell>
          <cell r="H1831" t="str">
            <v>yellow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</row>
        <row r="1832">
          <cell r="A1832">
            <v>10081</v>
          </cell>
          <cell r="B1832" t="str">
            <v>ja</v>
          </cell>
          <cell r="C1832" t="str">
            <v>テストユニット81</v>
          </cell>
          <cell r="H1832" t="str">
            <v>red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</row>
        <row r="1833">
          <cell r="A1833">
            <v>10082</v>
          </cell>
          <cell r="B1833" t="str">
            <v>ja</v>
          </cell>
          <cell r="C1833" t="str">
            <v>テストユニット82</v>
          </cell>
          <cell r="H1833" t="str">
            <v>blue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</row>
        <row r="1834">
          <cell r="A1834">
            <v>10083</v>
          </cell>
          <cell r="B1834" t="str">
            <v>ja</v>
          </cell>
          <cell r="C1834" t="str">
            <v>テストユニット83</v>
          </cell>
          <cell r="H1834" t="str">
            <v>green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</row>
        <row r="1835">
          <cell r="A1835">
            <v>10084</v>
          </cell>
          <cell r="B1835" t="str">
            <v>ja</v>
          </cell>
          <cell r="C1835" t="str">
            <v>テストユニット84</v>
          </cell>
          <cell r="H1835" t="str">
            <v>yellow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</row>
        <row r="1836">
          <cell r="A1836">
            <v>10085</v>
          </cell>
          <cell r="B1836" t="str">
            <v>ja</v>
          </cell>
          <cell r="C1836" t="str">
            <v>テストユニット85</v>
          </cell>
          <cell r="H1836" t="str">
            <v>red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</row>
        <row r="1837">
          <cell r="A1837">
            <v>10086</v>
          </cell>
          <cell r="B1837" t="str">
            <v>ja</v>
          </cell>
          <cell r="C1837" t="str">
            <v>テストユニット86</v>
          </cell>
          <cell r="H1837" t="str">
            <v>blue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</row>
        <row r="1838">
          <cell r="A1838">
            <v>10087</v>
          </cell>
          <cell r="B1838" t="str">
            <v>ja</v>
          </cell>
          <cell r="C1838" t="str">
            <v>テストユニット87</v>
          </cell>
          <cell r="H1838" t="str">
            <v>green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</row>
        <row r="1839">
          <cell r="A1839">
            <v>10088</v>
          </cell>
          <cell r="B1839" t="str">
            <v>ja</v>
          </cell>
          <cell r="C1839" t="str">
            <v>テストユニット88</v>
          </cell>
          <cell r="H1839" t="str">
            <v>yellow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</row>
        <row r="1840">
          <cell r="A1840">
            <v>10089</v>
          </cell>
          <cell r="B1840" t="str">
            <v>ja</v>
          </cell>
          <cell r="C1840" t="str">
            <v>テストユニット89</v>
          </cell>
          <cell r="H1840" t="str">
            <v>red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</row>
        <row r="1841">
          <cell r="A1841">
            <v>10090</v>
          </cell>
          <cell r="B1841" t="str">
            <v>ja</v>
          </cell>
          <cell r="C1841" t="str">
            <v>テストユニット90</v>
          </cell>
          <cell r="H1841" t="str">
            <v>blue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</row>
        <row r="1842">
          <cell r="A1842">
            <v>10101</v>
          </cell>
          <cell r="B1842" t="str">
            <v>ja</v>
          </cell>
          <cell r="C1842" t="str">
            <v>Usagi-kun</v>
          </cell>
          <cell r="H1842" t="str">
            <v>blue</v>
          </cell>
          <cell r="I1842">
            <v>6</v>
          </cell>
          <cell r="J1842" t="str">
            <v>DropWizS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</row>
        <row r="1843">
          <cell r="A1843">
            <v>10102</v>
          </cell>
          <cell r="B1843" t="str">
            <v>ja</v>
          </cell>
          <cell r="C1843" t="str">
            <v>ローズ</v>
          </cell>
          <cell r="D1843" t="str">
            <v>未定</v>
          </cell>
          <cell r="E1843" t="str">
            <v>執行者</v>
          </cell>
          <cell r="F1843" t="str">
            <v>格好いい</v>
          </cell>
          <cell r="G1843" t="str">
            <v>不明</v>
          </cell>
          <cell r="H1843" t="str">
            <v>red</v>
          </cell>
          <cell r="I1843">
            <v>3</v>
          </cell>
          <cell r="J1843" t="str">
            <v>DropWizSSS</v>
          </cell>
          <cell r="K1843" t="str">
            <v>attack</v>
          </cell>
          <cell r="L1843" t="str">
            <v>攻撃タイプ</v>
          </cell>
          <cell r="M1843" t="str">
            <v>queen</v>
          </cell>
        </row>
        <row r="1844">
          <cell r="A1844">
            <v>10103</v>
          </cell>
          <cell r="B1844" t="str">
            <v>ja</v>
          </cell>
          <cell r="C1844" t="str">
            <v>ローズ</v>
          </cell>
          <cell r="D1844" t="str">
            <v>未定</v>
          </cell>
          <cell r="E1844" t="str">
            <v>執行者</v>
          </cell>
          <cell r="F1844" t="str">
            <v>格好いい</v>
          </cell>
          <cell r="G1844" t="str">
            <v>不明</v>
          </cell>
          <cell r="H1844" t="str">
            <v>red</v>
          </cell>
          <cell r="I1844">
            <v>4</v>
          </cell>
          <cell r="J1844" t="str">
            <v>DropWizSSS</v>
          </cell>
          <cell r="K1844" t="str">
            <v>attack</v>
          </cell>
          <cell r="L1844" t="str">
            <v>攻撃タイプ</v>
          </cell>
          <cell r="M184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9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249</v>
      </c>
      <c r="B2" s="61" t="s">
        <v>110</v>
      </c>
      <c r="C2" s="50" t="str">
        <f t="shared" ref="C2" si="0">RIGHT(F2,6)</f>
        <v>606100</v>
      </c>
      <c r="D2" s="19" t="s">
        <v>45</v>
      </c>
      <c r="E2" s="17" t="str">
        <f t="shared" ref="E2" si="1">B2&amp;C2&amp;D2</f>
        <v>gacha_select_tables_606100.tmp</v>
      </c>
      <c r="F2" s="98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249</v>
      </c>
      <c r="B3" s="91" t="s">
        <v>246</v>
      </c>
      <c r="C3" s="92" t="str">
        <f t="shared" ref="C3:C6" si="2">RIGHT(F3,6)</f>
        <v>606100</v>
      </c>
      <c r="D3" s="19" t="s">
        <v>247</v>
      </c>
      <c r="E3" s="17" t="str">
        <f t="shared" ref="E3:E9" si="3">B3&amp;C3&amp;D3</f>
        <v>gacha_settle_tables_606100.tmp</v>
      </c>
      <c r="F3" s="98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241</v>
      </c>
      <c r="B4" s="61" t="s">
        <v>110</v>
      </c>
      <c r="C4" s="50" t="str">
        <f t="shared" si="2"/>
        <v>363104</v>
      </c>
      <c r="D4" s="19" t="s">
        <v>45</v>
      </c>
      <c r="E4" s="17" t="str">
        <f t="shared" ref="E4:E6" si="4">B4&amp;C4&amp;D4</f>
        <v>gacha_select_tables_363104.tmp</v>
      </c>
      <c r="F4" s="88" t="s">
        <v>243</v>
      </c>
      <c r="G4" s="49" t="s">
        <v>84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ref="C5" si="5">RIGHT(F5,6)</f>
        <v>363105</v>
      </c>
      <c r="D5" s="19" t="s">
        <v>45</v>
      </c>
      <c r="E5" s="17" t="str">
        <f t="shared" ref="E5" si="6">B5&amp;C5&amp;D5</f>
        <v>gacha_select_tables_363105.tmp</v>
      </c>
      <c r="F5" s="88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si="2"/>
        <v>363100</v>
      </c>
      <c r="D6" s="19" t="s">
        <v>45</v>
      </c>
      <c r="E6" s="17" t="str">
        <f t="shared" si="4"/>
        <v>gacha_select_tables_363100.tmp</v>
      </c>
      <c r="F6" s="88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27" t="s">
        <v>50</v>
      </c>
      <c r="C7" s="32">
        <v>363</v>
      </c>
      <c r="D7" s="19" t="s">
        <v>46</v>
      </c>
      <c r="E7" s="17" t="str">
        <f t="shared" si="3"/>
        <v>gacha_bonus_tables_363.tmp</v>
      </c>
      <c r="F7" s="19" t="s">
        <v>47</v>
      </c>
      <c r="G7" s="21" t="s">
        <v>11</v>
      </c>
      <c r="H7" s="23" t="s">
        <v>14</v>
      </c>
      <c r="I7" s="21" t="s">
        <v>12</v>
      </c>
      <c r="J7" s="20"/>
      <c r="K7" s="20"/>
      <c r="L7" s="20"/>
      <c r="M7" s="20"/>
      <c r="N7" s="20"/>
      <c r="O7" s="20"/>
    </row>
    <row r="8" spans="1:21" x14ac:dyDescent="0.15">
      <c r="A8" s="85" t="s">
        <v>241</v>
      </c>
      <c r="B8" s="19" t="s">
        <v>48</v>
      </c>
      <c r="C8" s="32">
        <v>363</v>
      </c>
      <c r="D8" s="19" t="s">
        <v>46</v>
      </c>
      <c r="E8" s="17" t="str">
        <f t="shared" si="3"/>
        <v>gifts_tmp_363.tmp</v>
      </c>
      <c r="F8" s="19" t="s">
        <v>47</v>
      </c>
      <c r="G8" s="23" t="s">
        <v>22</v>
      </c>
      <c r="H8" s="24" t="s">
        <v>30</v>
      </c>
      <c r="I8" s="23" t="s">
        <v>23</v>
      </c>
      <c r="J8" s="23" t="s">
        <v>24</v>
      </c>
      <c r="K8" s="23" t="s">
        <v>24</v>
      </c>
      <c r="L8" s="23" t="s">
        <v>25</v>
      </c>
      <c r="M8" s="23" t="s">
        <v>25</v>
      </c>
      <c r="N8" s="23" t="s">
        <v>25</v>
      </c>
      <c r="O8" s="51" t="s">
        <v>7</v>
      </c>
      <c r="P8" s="51" t="s">
        <v>9</v>
      </c>
      <c r="Q8" s="51" t="s">
        <v>6</v>
      </c>
      <c r="R8" s="51" t="s">
        <v>86</v>
      </c>
      <c r="S8" s="51" t="s">
        <v>8</v>
      </c>
      <c r="T8" s="51" t="s">
        <v>87</v>
      </c>
      <c r="U8" s="51" t="s">
        <v>5</v>
      </c>
    </row>
    <row r="9" spans="1:21" x14ac:dyDescent="0.15">
      <c r="A9" s="85" t="s">
        <v>241</v>
      </c>
      <c r="B9" s="19" t="s">
        <v>49</v>
      </c>
      <c r="C9" s="32">
        <v>363</v>
      </c>
      <c r="D9" s="19" t="s">
        <v>46</v>
      </c>
      <c r="E9" s="17" t="str">
        <f t="shared" si="3"/>
        <v>gifts_i18n_363.tmp</v>
      </c>
      <c r="F9" s="19" t="s">
        <v>47</v>
      </c>
      <c r="G9" s="23" t="s">
        <v>13</v>
      </c>
      <c r="H9" s="25" t="s">
        <v>26</v>
      </c>
      <c r="I9" s="25" t="s">
        <v>27</v>
      </c>
      <c r="J9" s="25" t="s">
        <v>28</v>
      </c>
      <c r="K9" s="25" t="s">
        <v>29</v>
      </c>
      <c r="L9" s="26"/>
      <c r="M9" s="23"/>
      <c r="N9" s="23"/>
      <c r="O9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B26" sqref="B26"/>
    </sheetView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606100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5">
        <v>1090</v>
      </c>
      <c r="M3" s="37" t="str">
        <f>VLOOKUP(L3,[1]characters!$A:$C,3,FALSE)</f>
        <v>ラプラス</v>
      </c>
      <c r="N3" s="76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VLOOKUP(L3,tables_606100!B:C,2,FALSE)</f>
        <v>PremiumSSS5R3less</v>
      </c>
      <c r="R3" s="62">
        <f t="shared" ref="R3:R20" si="1">N3*A$36</f>
        <v>727500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5">
        <v>1452</v>
      </c>
      <c r="M4" s="37" t="str">
        <f>VLOOKUP(L4,[1]characters!$A:$C,3,FALSE)</f>
        <v>メルセンヌ</v>
      </c>
      <c r="N4" s="76">
        <v>5.0000000000000001E-3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VLOOKUP(L4,tables_606100!B:C,2,FALSE)</f>
        <v>PremiumSSS5R3less</v>
      </c>
      <c r="R4" s="62">
        <f t="shared" si="1"/>
        <v>727500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1.3333333333333335E-3</v>
      </c>
      <c r="F5">
        <f>(COUNTIF(tables_606100!C:C,input_606100!A28)+COUNTIF(tables_606100!C:C,input_606100!A29))</f>
        <v>75</v>
      </c>
      <c r="H5" s="83">
        <v>0</v>
      </c>
      <c r="I5" s="31">
        <v>0</v>
      </c>
      <c r="L5" s="95"/>
      <c r="M5" s="37" t="e">
        <f>VLOOKUP(L5,[1]characters!$A:$C,3,FALSE)</f>
        <v>#N/A</v>
      </c>
      <c r="N5" s="76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VLOOKUP(L5,tables_606100!B:C,2,FALSE)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1-B7-B5</f>
        <v>0.85</v>
      </c>
      <c r="D6" t="s">
        <v>202</v>
      </c>
      <c r="E6" s="76">
        <f>(B10-H6)/(F6-I6)</f>
        <v>9.1237113402061858E-3</v>
      </c>
      <c r="F6">
        <f>(COUNTIF(tables_606100!C:C,input_606100!A25)+COUNTIF(tables_606100!C:C,input_606100!A18)+COUNTIF(tables_606100!C:C,input_606100!A20)+COUNTIF(tables_606100!C:C,input_606100!A22))</f>
        <v>97</v>
      </c>
      <c r="H6" s="87">
        <v>0</v>
      </c>
      <c r="I6" s="31">
        <v>0</v>
      </c>
      <c r="L6" s="95"/>
      <c r="M6" s="37" t="e">
        <f>VLOOKUP(L6,[1]characters!$A:$C,3,FALSE)</f>
        <v>#N/A</v>
      </c>
      <c r="N6" s="76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VLOOKUP(L6,tables_606100!B:C,2,FALSE)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0.15</v>
      </c>
      <c r="L7" s="95"/>
      <c r="M7" s="37" t="e">
        <f>VLOOKUP(L7,[1]characters!$A:$C,3,FALSE)</f>
        <v>#N/A</v>
      </c>
      <c r="N7" s="76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VLOOKUP(L7,tables_606100!B:C,2,FALSE)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5"/>
      <c r="M8" s="37" t="e">
        <f>VLOOKUP(L8,[1]characters!$A:$C,3,FALSE)</f>
        <v>#N/A</v>
      </c>
      <c r="N8" s="76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VLOOKUP(L8,tables_606100!B:C,2,FALSE)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VLOOKUP(L9,tables_606100!B:C,2,FALSE)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0.88500000000000001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VLOOKUP(L10,tables_606100!B:C,2,FALSE)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VLOOKUP(L11,tables_606100!B:C,2,FALSE)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VLOOKUP(L12,tables_606100!B:C,2,FALSE)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VLOOKUP(L13,tables_606100!B:C,2,FALSE)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VLOOKUP(L14,tables_606100!B:C,2,FALSE)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VLOOKUP(L15,tables_606100!B:C,2,FALSE)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VLOOKUP(L16,tables_606100!B:C,2,FALSE)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96">
        <f t="shared" ref="C17:C31" si="2">SUMIF(Q:Q,A17,N:N)</f>
        <v>0</v>
      </c>
      <c r="D17" s="74">
        <f t="shared" ref="D17:D32" si="3">B17-C17</f>
        <v>0</v>
      </c>
      <c r="E17">
        <f>COUNTIF(tables_606100!C:C,input_606100!A17)-COUNTIF(Q:Q,A17)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VLOOKUP(L17,tables_606100!B:C,2,FALSE)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0.22933109965635745</v>
      </c>
      <c r="C18" s="96">
        <f t="shared" si="2"/>
        <v>0</v>
      </c>
      <c r="D18" s="74">
        <f t="shared" si="3"/>
        <v>0.22933109965635745</v>
      </c>
      <c r="E18">
        <f>COUNTIF(tables_606100!C:C,input_606100!A18)-COUNTIF(Q:Q,A18)</f>
        <v>20</v>
      </c>
      <c r="F18" s="43">
        <f>IFERROR(B18/E18,0)</f>
        <v>1.1466554982817873E-2</v>
      </c>
      <c r="G18">
        <f t="shared" si="4"/>
        <v>33367675.000000007</v>
      </c>
      <c r="H18">
        <f t="shared" si="5"/>
        <v>1668383.75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VLOOKUP(L18,tables_606100!B:C,2,FALSE)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96">
        <f t="shared" si="2"/>
        <v>0</v>
      </c>
      <c r="D19" s="74">
        <f t="shared" si="3"/>
        <v>0</v>
      </c>
      <c r="E19">
        <f>COUNTIF(tables_606100!C:C,input_606100!A19)-COUNTIF(Q:Q,A19)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VLOOKUP(L19,tables_606100!B:C,2,FALSE)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0.40326804123711341</v>
      </c>
      <c r="C20" s="96">
        <f t="shared" si="2"/>
        <v>0</v>
      </c>
      <c r="D20" s="74">
        <f t="shared" si="3"/>
        <v>0.40326804123711341</v>
      </c>
      <c r="E20">
        <f>COUNTIF(tables_606100!C:C,input_606100!A20)-COUNTIF(Q:Q,A20)</f>
        <v>52</v>
      </c>
      <c r="F20" s="43">
        <f t="shared" si="8"/>
        <v>7.7551546391752581E-3</v>
      </c>
      <c r="G20">
        <f t="shared" si="4"/>
        <v>58675500</v>
      </c>
      <c r="H20">
        <f t="shared" si="5"/>
        <v>1128375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VLOOKUP(L20,tables_606100!B:C,2,FALSE)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2.9308075601374557E-2</v>
      </c>
      <c r="C21" s="96">
        <f t="shared" si="2"/>
        <v>0</v>
      </c>
      <c r="D21" s="74">
        <f t="shared" si="3"/>
        <v>2.9308075601374557E-2</v>
      </c>
      <c r="E21">
        <f>COUNTIF(tables_606100!C:C,input_606100!A21)-COUNTIF(Q:Q,A21)</f>
        <v>52</v>
      </c>
      <c r="F21" s="43">
        <f t="shared" si="8"/>
        <v>5.6361683848797227E-4</v>
      </c>
      <c r="G21">
        <f t="shared" si="4"/>
        <v>4264324.9999999981</v>
      </c>
      <c r="H21">
        <f t="shared" si="5"/>
        <v>82006.25</v>
      </c>
      <c r="I21">
        <f t="shared" si="6"/>
        <v>0.25</v>
      </c>
      <c r="J21">
        <f t="shared" si="7"/>
        <v>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0.15464690721649485</v>
      </c>
      <c r="C22" s="96">
        <f t="shared" si="2"/>
        <v>0</v>
      </c>
      <c r="D22" s="74">
        <f t="shared" si="3"/>
        <v>0.15464690721649485</v>
      </c>
      <c r="E22">
        <f>COUNTIF(tables_606100!C:C,input_606100!A22)-COUNTIF(Q:Q,A22)</f>
        <v>21</v>
      </c>
      <c r="F22" s="43">
        <f t="shared" si="8"/>
        <v>7.3641384388807071E-3</v>
      </c>
      <c r="G22">
        <f t="shared" si="4"/>
        <v>22501125</v>
      </c>
      <c r="H22">
        <f t="shared" si="5"/>
        <v>1071482.14286</v>
      </c>
      <c r="I22">
        <f t="shared" si="6"/>
        <v>0.1428600000217557</v>
      </c>
      <c r="J22">
        <f t="shared" si="7"/>
        <v>6.9998600017339578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3.6951030927835048E-2</v>
      </c>
      <c r="C23" s="96">
        <f t="shared" si="2"/>
        <v>0</v>
      </c>
      <c r="D23" s="74">
        <f t="shared" si="3"/>
        <v>3.6951030927835048E-2</v>
      </c>
      <c r="E23">
        <f>COUNTIF(tables_606100!C:C,input_606100!A23)-COUNTIF(Q:Q,A23)</f>
        <v>27</v>
      </c>
      <c r="F23" s="43">
        <f t="shared" si="8"/>
        <v>1.3685567010309277E-3</v>
      </c>
      <c r="G23">
        <f t="shared" si="4"/>
        <v>5376374.9999999991</v>
      </c>
      <c r="H23">
        <f t="shared" si="5"/>
        <v>199125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96">
        <f t="shared" si="2"/>
        <v>0</v>
      </c>
      <c r="D24" s="74">
        <f t="shared" si="3"/>
        <v>0</v>
      </c>
      <c r="E24">
        <f>COUNTIF(tables_606100!C:C,input_606100!A24)-COUNTIF(Q:Q,A24)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3.1020618556701032E-2</v>
      </c>
      <c r="C25" s="96">
        <f t="shared" si="2"/>
        <v>0</v>
      </c>
      <c r="D25" s="74">
        <f t="shared" si="3"/>
        <v>3.1020618556701032E-2</v>
      </c>
      <c r="E25">
        <f>COUNTIF(tables_606100!C:C,input_606100!A25)-COUNTIF(Q:Q,A25)</f>
        <v>4</v>
      </c>
      <c r="F25" s="43">
        <f t="shared" si="8"/>
        <v>7.7551546391752581E-3</v>
      </c>
      <c r="G25">
        <f t="shared" si="4"/>
        <v>4513500</v>
      </c>
      <c r="H25">
        <f t="shared" si="5"/>
        <v>1128375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5.4742268041237116E-3</v>
      </c>
      <c r="C26" s="96">
        <f t="shared" si="2"/>
        <v>0</v>
      </c>
      <c r="D26" s="74">
        <f t="shared" si="3"/>
        <v>5.4742268041237116E-3</v>
      </c>
      <c r="E26">
        <f>COUNTIF(tables_606100!C:C,input_606100!A26)-COUNTIF(Q:Q,A26)</f>
        <v>4</v>
      </c>
      <c r="F26" s="43">
        <f t="shared" si="8"/>
        <v>1.3685567010309279E-3</v>
      </c>
      <c r="G26">
        <f t="shared" si="4"/>
        <v>796500</v>
      </c>
      <c r="H26">
        <f t="shared" si="5"/>
        <v>199125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3.1733333333333336E-2</v>
      </c>
      <c r="C27" s="96">
        <f t="shared" si="2"/>
        <v>0</v>
      </c>
      <c r="D27" s="74">
        <f t="shared" si="3"/>
        <v>3.1733333333333336E-2</v>
      </c>
      <c r="E27">
        <f>COUNTIF(tables_606100!C:C,input_606100!A27)-COUNTIF(Q:Q,A27)</f>
        <v>28</v>
      </c>
      <c r="F27" s="43">
        <f>IFERROR(B27/E27,0)</f>
        <v>1.1333333333333334E-3</v>
      </c>
      <c r="G27">
        <f t="shared" si="4"/>
        <v>4617200</v>
      </c>
      <c r="H27">
        <f t="shared" si="5"/>
        <v>164900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5.5999999999999999E-3</v>
      </c>
      <c r="C28" s="96">
        <f t="shared" si="2"/>
        <v>0</v>
      </c>
      <c r="D28" s="74">
        <f t="shared" si="3"/>
        <v>5.5999999999999999E-3</v>
      </c>
      <c r="E28">
        <f>COUNTIF(tables_606100!C:C,input_606100!A28)-COUNTIF(Q:Q,A28)</f>
        <v>28</v>
      </c>
      <c r="F28" s="43">
        <f t="shared" si="8"/>
        <v>2.0000000000000001E-4</v>
      </c>
      <c r="G28">
        <f t="shared" si="4"/>
        <v>814800</v>
      </c>
      <c r="H28">
        <f t="shared" si="5"/>
        <v>29100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6.2666666666666676E-2</v>
      </c>
      <c r="C29" s="96">
        <f t="shared" si="2"/>
        <v>0</v>
      </c>
      <c r="D29" s="74">
        <f t="shared" si="3"/>
        <v>6.2666666666666676E-2</v>
      </c>
      <c r="E29">
        <f>COUNTIF(tables_606100!C:C,input_606100!A29)-COUNTIF(Q:Q,A29)</f>
        <v>47</v>
      </c>
      <c r="F29" s="43">
        <f t="shared" si="8"/>
        <v>1.3333333333333335E-3</v>
      </c>
      <c r="G29">
        <f t="shared" si="4"/>
        <v>9118000.0000000019</v>
      </c>
      <c r="H29">
        <f t="shared" si="5"/>
        <v>194000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96">
        <f t="shared" si="2"/>
        <v>0</v>
      </c>
      <c r="D30" s="74">
        <f t="shared" si="3"/>
        <v>0</v>
      </c>
      <c r="E30">
        <f>COUNTIF(tables_606100!C:C,input_606100!A30)-COUNTIF(Q:Q,A30)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96">
        <f t="shared" si="2"/>
        <v>0.01</v>
      </c>
      <c r="D31" s="74">
        <f t="shared" si="3"/>
        <v>-0.01</v>
      </c>
      <c r="E31">
        <f>COUNTIF(tables_606100!C:C,input_606100!A31)-COUNTIF(Q:Q,A31)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</v>
      </c>
      <c r="C32" s="41">
        <f>SUM(C19:C31)</f>
        <v>0.01</v>
      </c>
      <c r="D32" s="42">
        <f t="shared" si="3"/>
        <v>0.98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3"/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SUMIF(tables_606100!C:C,input_606100!A40,tables_606100!O:O)</f>
        <v>0</v>
      </c>
      <c r="C40" s="54">
        <f t="shared" ref="C40:C46" ca="1" si="9">B40/B$47</f>
        <v>0</v>
      </c>
      <c r="E40">
        <v>3</v>
      </c>
      <c r="F40">
        <f ca="1">SUMIF(tables_606100!J:J,input_606100!E40,tables_606100!O:O)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SUMIF(tables_606100!C:C,input_606100!A41,tables_606100!O:O)</f>
        <v>58675500</v>
      </c>
      <c r="C41" s="54">
        <f t="shared" ca="1" si="9"/>
        <v>0.85818244576622027</v>
      </c>
      <c r="E41">
        <v>4</v>
      </c>
      <c r="F41">
        <f ca="1">SUMIF(tables_606100!J:J,input_606100!E41,tables_606100!O:O)</f>
        <v>123675000.0000599</v>
      </c>
      <c r="G41">
        <f ca="1">F41/A36</f>
        <v>0.85000000000041165</v>
      </c>
    </row>
    <row r="42" spans="1:7" x14ac:dyDescent="0.15">
      <c r="A42" s="33" t="s">
        <v>106</v>
      </c>
      <c r="B42">
        <f ca="1">SUMIF(tables_606100!C:C,input_606100!A42,tables_606100!O:O)</f>
        <v>4617200</v>
      </c>
      <c r="C42" s="54">
        <f t="shared" ca="1" si="9"/>
        <v>6.7530740915574511E-2</v>
      </c>
      <c r="E42">
        <v>5</v>
      </c>
      <c r="F42">
        <f ca="1">SUMIF(tables_606100!J:J,input_606100!E42,tables_606100!O:O)</f>
        <v>21825000</v>
      </c>
      <c r="G42">
        <f ca="1">F42/A36</f>
        <v>0.15</v>
      </c>
    </row>
    <row r="43" spans="1:7" x14ac:dyDescent="0.15">
      <c r="A43" s="33" t="s">
        <v>109</v>
      </c>
      <c r="B43">
        <f>SUMIF(tables_606100!C:C,input_606100!A43,tables_606100!O:O)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SUMIF(tables_606100!C:C,input_606100!A44,tables_606100!O:O)</f>
        <v>4264325</v>
      </c>
      <c r="C44" s="54">
        <f t="shared" ca="1" si="9"/>
        <v>6.2369623744868589E-2</v>
      </c>
      <c r="E44" t="s">
        <v>54</v>
      </c>
      <c r="F44" s="55"/>
    </row>
    <row r="45" spans="1:7" x14ac:dyDescent="0.15">
      <c r="A45" s="33" t="s">
        <v>107</v>
      </c>
      <c r="B45">
        <f ca="1">SUMIF(tables_606100!C:C,input_606100!A45,tables_606100!O:O)</f>
        <v>814800</v>
      </c>
      <c r="C45" s="54">
        <f t="shared" ca="1" si="9"/>
        <v>1.1917189573336678E-2</v>
      </c>
      <c r="E45" t="s">
        <v>204</v>
      </c>
      <c r="F45" s="55">
        <f ca="1">SUMIF(tables_606100!I:I,input_606100!E45,tables_606100!P:P)</f>
        <v>0.23754243986244525</v>
      </c>
    </row>
    <row r="46" spans="1:7" x14ac:dyDescent="0.15">
      <c r="A46" s="33" t="s">
        <v>108</v>
      </c>
      <c r="B46">
        <f>SUMIF(tables_606100!C:C,input_606100!A46,tables_606100!O:O)</f>
        <v>0</v>
      </c>
      <c r="C46" s="54">
        <f t="shared" ca="1" si="9"/>
        <v>0</v>
      </c>
      <c r="E46" t="s">
        <v>205</v>
      </c>
      <c r="F46" s="55">
        <f ca="1">SUMIF(tables_606100!I:I,input_606100!E46,tables_606100!P:P)</f>
        <v>0.16879024914082397</v>
      </c>
    </row>
    <row r="47" spans="1:7" x14ac:dyDescent="0.15">
      <c r="A47" s="39" t="s">
        <v>59</v>
      </c>
      <c r="B47">
        <f ca="1">SUM(B40:B46)</f>
        <v>68371825</v>
      </c>
      <c r="C47" s="55">
        <f ca="1">SUM(C40:C46)</f>
        <v>1</v>
      </c>
      <c r="E47" t="s">
        <v>206</v>
      </c>
      <c r="F47" s="55">
        <f ca="1">SUMIF(tables_606100!I:I,input_606100!E47,tables_606100!P:P)</f>
        <v>0.48366731099677718</v>
      </c>
    </row>
    <row r="48" spans="1:7" x14ac:dyDescent="0.15">
      <c r="E48" t="s">
        <v>207</v>
      </c>
      <c r="F48" s="55">
        <f ca="1">SUMIF(tables_606100!I:I,input_606100!E48,tables_606100!P:P)</f>
        <v>8.6666666666630962E-2</v>
      </c>
      <c r="G48" s="55"/>
    </row>
    <row r="49" spans="5:6" x14ac:dyDescent="0.15">
      <c r="E49" t="s">
        <v>248</v>
      </c>
      <c r="F49" s="55">
        <f ca="1">SUMIF(tables_606100!I:I,input_606100!E49,tables_606100!P:P)</f>
        <v>1.3333333333327842E-2</v>
      </c>
    </row>
    <row r="50" spans="5:6" x14ac:dyDescent="0.15">
      <c r="E50" t="s">
        <v>250</v>
      </c>
      <c r="F50" s="55">
        <f ca="1">SUMIF(tables_606100!I:I,input_606100!E50,tables_606100!P:P)</f>
        <v>9.9999999999958837E-3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9" activePane="bottomLeft" state="frozen"/>
      <selection activeCell="H276" sqref="H276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input_606100!A$2</f>
        <v>606100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IFERROR(VLOOKUP(B2,input_606100!L:R,7,FALSE),VLOOKUP(tables_606100!C2,input_606100!A:H,8,FALSE))</f>
        <v>0</v>
      </c>
      <c r="P2" s="46">
        <f ca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input_606100!A$2</f>
        <v>606100</v>
      </c>
      <c r="B3" s="6">
        <v>127</v>
      </c>
      <c r="C3" s="7" t="str">
        <f t="shared" si="0"/>
        <v>PremiumW4</v>
      </c>
      <c r="D3" s="7" t="str">
        <f t="shared" ref="D3:D66" si="1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IFERROR(VLOOKUP(B3,input_606100!L:R,7,FALSE),VLOOKUP(tables_606100!C3,input_606100!A:H,8,FALSE))</f>
        <v>1668383.75</v>
      </c>
      <c r="P3" s="46">
        <f ca="1">O3/SUM(O:O)</f>
        <v>1.1466554982813149E-2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input_606100!A$2</f>
        <v>606100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IFERROR(VLOOKUP(B4,input_606100!L:R,7,FALSE),VLOOKUP(tables_606100!C4,input_606100!A:H,8,FALSE))</f>
        <v>0</v>
      </c>
      <c r="P4" s="46">
        <f ca="1">O4/SUM(O:O)</f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input_606100!A$2</f>
        <v>606100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IFERROR(VLOOKUP(B5,input_606100!L:R,7,FALSE),VLOOKUP(tables_606100!C5,input_606100!A:H,8,FALSE))</f>
        <v>1668383.75</v>
      </c>
      <c r="P5" s="46">
        <f ca="1">O5/SUM(O:O)</f>
        <v>1.1466554982813149E-2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input_606100!A$2</f>
        <v>606100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IFERROR(VLOOKUP(B6,input_606100!L:R,7,FALSE),VLOOKUP(tables_606100!C6,input_606100!A:H,8,FALSE))</f>
        <v>0</v>
      </c>
      <c r="P6" s="46">
        <f ca="1">O6/SUM(O:O)</f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input_606100!A$2</f>
        <v>606100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IFERROR(VLOOKUP(B7,input_606100!L:R,7,FALSE),VLOOKUP(tables_606100!C7,input_606100!A:H,8,FALSE))</f>
        <v>1668383.75</v>
      </c>
      <c r="P7" s="46">
        <f ca="1">O7/SUM(O:O)</f>
        <v>1.1466554982813149E-2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input_606100!A$2</f>
        <v>606100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IFERROR(VLOOKUP(B8,input_606100!L:R,7,FALSE),VLOOKUP(tables_606100!C8,input_606100!A:H,8,FALSE))</f>
        <v>0</v>
      </c>
      <c r="P8" s="46">
        <f ca="1">O8/SUM(O:O)</f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input_606100!A$2</f>
        <v>606100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IFERROR(VLOOKUP(B9,input_606100!L:R,7,FALSE),VLOOKUP(tables_606100!C9,input_606100!A:H,8,FALSE))</f>
        <v>1668383.75</v>
      </c>
      <c r="P9" s="46">
        <f ca="1">O9/SUM(O:O)</f>
        <v>1.1466554982813149E-2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input_606100!A$2</f>
        <v>606100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IFERROR(VLOOKUP(B10,input_606100!L:R,7,FALSE),VLOOKUP(tables_606100!C10,input_606100!A:H,8,FALSE))</f>
        <v>0</v>
      </c>
      <c r="P10" s="46">
        <f ca="1">O10/SUM(O:O)</f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input_606100!A$2</f>
        <v>606100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IFERROR(VLOOKUP(B11,input_606100!L:R,7,FALSE),VLOOKUP(tables_606100!C11,input_606100!A:H,8,FALSE))</f>
        <v>1668383.75</v>
      </c>
      <c r="P11" s="46">
        <f ca="1">O11/SUM(O:O)</f>
        <v>1.1466554982813149E-2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input_606100!A$2</f>
        <v>606100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IFERROR(VLOOKUP(B12,input_606100!L:R,7,FALSE),VLOOKUP(tables_606100!C12,input_606100!A:H,8,FALSE))</f>
        <v>0</v>
      </c>
      <c r="P12" s="46">
        <f ca="1">O12/SUM(O:O)</f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input_606100!A$2</f>
        <v>606100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IFERROR(VLOOKUP(B13,input_606100!L:R,7,FALSE),VLOOKUP(tables_606100!C13,input_606100!A:H,8,FALSE))</f>
        <v>1668383.75</v>
      </c>
      <c r="P13" s="46">
        <f ca="1">O13/SUM(O:O)</f>
        <v>1.1466554982813149E-2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input_606100!A$2</f>
        <v>606100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IFERROR(VLOOKUP(B14,input_606100!L:R,7,FALSE),VLOOKUP(tables_606100!C14,input_606100!A:H,8,FALSE))</f>
        <v>0</v>
      </c>
      <c r="P14" s="46">
        <f ca="1">O14/SUM(O:O)</f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input_606100!A$2</f>
        <v>606100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IFERROR(VLOOKUP(B15,input_606100!L:R,7,FALSE),VLOOKUP(tables_606100!C15,input_606100!A:H,8,FALSE))</f>
        <v>1668383.75</v>
      </c>
      <c r="P15" s="46">
        <f ca="1">O15/SUM(O:O)</f>
        <v>1.1466554982813149E-2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input_606100!A$2</f>
        <v>606100</v>
      </c>
      <c r="B16" s="6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IFERROR(VLOOKUP(B16,input_606100!L:R,7,FALSE),VLOOKUP(tables_606100!C16,input_606100!A:H,8,FALSE))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input_606100!A$2</f>
        <v>606100</v>
      </c>
      <c r="B17" s="6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IFERROR(VLOOKUP(B17,input_606100!L:R,7,FALSE),VLOOKUP(tables_606100!C17,input_606100!A:H,8,FALSE))</f>
        <v>1668383.75</v>
      </c>
      <c r="P17" s="46">
        <f ca="1">O17/SUM(O:O)</f>
        <v>1.1466554982813149E-2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input_606100!A$2</f>
        <v>606100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IFERROR(VLOOKUP(B18,input_606100!L:R,7,FALSE),VLOOKUP(tables_606100!C18,input_606100!A:H,8,FALSE))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input_606100!A$2</f>
        <v>606100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IFERROR(VLOOKUP(B19,input_606100!L:R,7,FALSE),VLOOKUP(tables_606100!C19,input_606100!A:H,8,FALSE))</f>
        <v>1668383.75</v>
      </c>
      <c r="P19" s="46">
        <f ca="1">O19/SUM(O:O)</f>
        <v>1.1466554982813149E-2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input_606100!A$2</f>
        <v>606100</v>
      </c>
      <c r="B20" s="6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IFERROR(VLOOKUP(B20,input_606100!L:R,7,FALSE),VLOOKUP(tables_606100!C20,input_606100!A:H,8,FALSE))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input_606100!A$2</f>
        <v>606100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IFERROR(VLOOKUP(B21,input_606100!L:R,7,FALSE),VLOOKUP(tables_606100!C21,input_606100!A:H,8,FALSE))</f>
        <v>1668383.75</v>
      </c>
      <c r="P21" s="46">
        <f ca="1">O21/SUM(O:O)</f>
        <v>1.1466554982813149E-2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input_606100!A$2</f>
        <v>606100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IFERROR(VLOOKUP(B22,input_606100!L:R,7,FALSE),VLOOKUP(tables_606100!C22,input_606100!A:H,8,FALSE))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input_606100!A$2</f>
        <v>606100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IFERROR(VLOOKUP(B23,input_606100!L:R,7,FALSE),VLOOKUP(tables_606100!C23,input_606100!A:H,8,FALSE))</f>
        <v>1668383.75</v>
      </c>
      <c r="P23" s="46">
        <f ca="1">O23/SUM(O:O)</f>
        <v>1.1466554982813149E-2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input_606100!A$2</f>
        <v>606100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IFERROR(VLOOKUP(B24,input_606100!L:R,7,FALSE),VLOOKUP(tables_606100!C24,input_606100!A:H,8,FALSE))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input_606100!A$2</f>
        <v>606100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IFERROR(VLOOKUP(B25,input_606100!L:R,7,FALSE),VLOOKUP(tables_606100!C25,input_606100!A:H,8,FALSE))</f>
        <v>1668383.75</v>
      </c>
      <c r="P25" s="46">
        <f ca="1">O25/SUM(O:O)</f>
        <v>1.1466554982813149E-2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input_606100!A$2</f>
        <v>606100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IFERROR(VLOOKUP(B26,input_606100!L:R,7,FALSE),VLOOKUP(tables_606100!C26,input_606100!A:H,8,FALSE))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input_606100!A$2</f>
        <v>606100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IFERROR(VLOOKUP(B27,input_606100!L:R,7,FALSE),VLOOKUP(tables_606100!C27,input_606100!A:H,8,FALSE))</f>
        <v>1668383.75</v>
      </c>
      <c r="P27" s="46">
        <f ca="1">O27/SUM(O:O)</f>
        <v>1.1466554982813149E-2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input_606100!A$2</f>
        <v>606100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IFERROR(VLOOKUP(B28,input_606100!L:R,7,FALSE),VLOOKUP(tables_606100!C28,input_606100!A:H,8,FALSE))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input_606100!A$2</f>
        <v>606100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IFERROR(VLOOKUP(B29,input_606100!L:R,7,FALSE),VLOOKUP(tables_606100!C29,input_606100!A:H,8,FALSE))</f>
        <v>1668383.75</v>
      </c>
      <c r="P29" s="46">
        <f ca="1">O29/SUM(O:O)</f>
        <v>1.1466554982813149E-2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input_606100!A$2</f>
        <v>606100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IFERROR(VLOOKUP(B30,input_606100!L:R,7,FALSE),VLOOKUP(tables_606100!C30,input_606100!A:H,8,FALSE))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input_606100!A$2</f>
        <v>606100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IFERROR(VLOOKUP(B31,input_606100!L:R,7,FALSE),VLOOKUP(tables_606100!C31,input_606100!A:H,8,FALSE))</f>
        <v>1668383.75</v>
      </c>
      <c r="P31" s="46">
        <f ca="1">O31/SUM(O:O)</f>
        <v>1.1466554982813149E-2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input_606100!A$2</f>
        <v>606100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IFERROR(VLOOKUP(B32,input_606100!L:R,7,FALSE),VLOOKUP(tables_606100!C32,input_606100!A:H,8,FALSE))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input_606100!A$2</f>
        <v>606100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IFERROR(VLOOKUP(B33,input_606100!L:R,7,FALSE),VLOOKUP(tables_606100!C33,input_606100!A:H,8,FALSE))</f>
        <v>1668383.75</v>
      </c>
      <c r="P33" s="46">
        <f ca="1">O33/SUM(O:O)</f>
        <v>1.1466554982813149E-2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input_606100!A$2</f>
        <v>606100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IFERROR(VLOOKUP(B34,input_606100!L:R,7,FALSE),VLOOKUP(tables_606100!C34,input_606100!A:H,8,FALSE))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input_606100!A$2</f>
        <v>606100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IFERROR(VLOOKUP(B35,input_606100!L:R,7,FALSE),VLOOKUP(tables_606100!C35,input_606100!A:H,8,FALSE))</f>
        <v>1668383.75</v>
      </c>
      <c r="P35" s="46">
        <f ca="1">O35/SUM(O:O)</f>
        <v>1.1466554982813149E-2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input_606100!A$2</f>
        <v>606100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IFERROR(VLOOKUP(B36,input_606100!L:R,7,FALSE),VLOOKUP(tables_606100!C36,input_606100!A:H,8,FALSE))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input_606100!A$2</f>
        <v>606100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IFERROR(VLOOKUP(B37,input_606100!L:R,7,FALSE),VLOOKUP(tables_606100!C37,input_606100!A:H,8,FALSE))</f>
        <v>1668383.75</v>
      </c>
      <c r="P37" s="46">
        <f ca="1">O37/SUM(O:O)</f>
        <v>1.1466554982813149E-2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input_606100!A$2</f>
        <v>606100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IFERROR(VLOOKUP(B38,input_606100!L:R,7,FALSE),VLOOKUP(tables_606100!C38,input_606100!A:H,8,FALSE))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input_606100!A$2</f>
        <v>606100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IFERROR(VLOOKUP(B39,input_606100!L:R,7,FALSE),VLOOKUP(tables_606100!C39,input_606100!A:H,8,FALSE))</f>
        <v>1668383.75</v>
      </c>
      <c r="P39" s="46">
        <f ca="1">O39/SUM(O:O)</f>
        <v>1.1466554982813149E-2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input_606100!A$2</f>
        <v>606100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IFERROR(VLOOKUP(B40,input_606100!L:R,7,FALSE),VLOOKUP(tables_606100!C40,input_606100!A:H,8,FALSE))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input_606100!A$2</f>
        <v>606100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IFERROR(VLOOKUP(B41,input_606100!L:R,7,FALSE),VLOOKUP(tables_606100!C41,input_606100!A:H,8,FALSE))</f>
        <v>1668383.75</v>
      </c>
      <c r="P41" s="46">
        <f ca="1">O41/SUM(O:O)</f>
        <v>1.1466554982813149E-2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input_606100!A$2</f>
        <v>606100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IFERROR(VLOOKUP(B42,input_606100!L:R,7,FALSE),VLOOKUP(tables_606100!C42,input_606100!A:H,8,FALSE))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input_606100!A$2</f>
        <v>606100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IFERROR(VLOOKUP(B43,input_606100!L:R,7,FALSE),VLOOKUP(tables_606100!C43,input_606100!A:H,8,FALSE))</f>
        <v>1128375</v>
      </c>
      <c r="P43" s="46">
        <f ca="1">O43/SUM(O:O)</f>
        <v>7.7551546391720653E-3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input_606100!A$2</f>
        <v>606100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IFERROR(VLOOKUP(B44,input_606100!L:R,7,FALSE),VLOOKUP(tables_606100!C44,input_606100!A:H,8,FALSE))</f>
        <v>199125</v>
      </c>
      <c r="P44" s="46">
        <f ca="1">O44/SUM(O:O)</f>
        <v>1.3685567010303643E-3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input_606100!A$2</f>
        <v>606100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IFERROR(VLOOKUP(B45,input_606100!L:R,7,FALSE),VLOOKUP(tables_606100!C45,input_606100!A:H,8,FALSE))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input_606100!A$2</f>
        <v>606100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IFERROR(VLOOKUP(B46,input_606100!L:R,7,FALSE),VLOOKUP(tables_606100!C46,input_606100!A:H,8,FALSE))</f>
        <v>1128375</v>
      </c>
      <c r="P46" s="46">
        <f ca="1">O46/SUM(O:O)</f>
        <v>7.7551546391720653E-3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input_606100!A$2</f>
        <v>606100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IFERROR(VLOOKUP(B47,input_606100!L:R,7,FALSE),VLOOKUP(tables_606100!C47,input_606100!A:H,8,FALSE))</f>
        <v>199125</v>
      </c>
      <c r="P47" s="46">
        <f ca="1">O47/SUM(O:O)</f>
        <v>1.3685567010303643E-3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input_606100!A$2</f>
        <v>606100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IFERROR(VLOOKUP(B48,input_606100!L:R,7,FALSE),VLOOKUP(tables_606100!C48,input_606100!A:H,8,FALSE))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input_606100!A$2</f>
        <v>606100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IFERROR(VLOOKUP(B49,input_606100!L:R,7,FALSE),VLOOKUP(tables_606100!C49,input_606100!A:H,8,FALSE))</f>
        <v>1128375</v>
      </c>
      <c r="P49" s="46">
        <f ca="1">O49/SUM(O:O)</f>
        <v>7.7551546391720653E-3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input_606100!A$2</f>
        <v>606100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IFERROR(VLOOKUP(B50,input_606100!L:R,7,FALSE),VLOOKUP(tables_606100!C50,input_606100!A:H,8,FALSE))</f>
        <v>199125</v>
      </c>
      <c r="P50" s="46">
        <f ca="1">O50/SUM(O:O)</f>
        <v>1.3685567010303643E-3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input_606100!A$2</f>
        <v>606100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IFERROR(VLOOKUP(B51,input_606100!L:R,7,FALSE),VLOOKUP(tables_606100!C51,input_606100!A:H,8,FALSE))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input_606100!A$2</f>
        <v>606100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IFERROR(VLOOKUP(B52,input_606100!L:R,7,FALSE),VLOOKUP(tables_606100!C52,input_606100!A:H,8,FALSE))</f>
        <v>1128375</v>
      </c>
      <c r="P52" s="46">
        <f ca="1">O52/SUM(O:O)</f>
        <v>7.7551546391720653E-3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input_606100!A$2</f>
        <v>606100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IFERROR(VLOOKUP(B53,input_606100!L:R,7,FALSE),VLOOKUP(tables_606100!C53,input_606100!A:H,8,FALSE))</f>
        <v>82006.25</v>
      </c>
      <c r="P53" s="46">
        <f ca="1">O53/SUM(O:O)</f>
        <v>5.6361683848774047E-4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input_606100!A$2</f>
        <v>606100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IFERROR(VLOOKUP(B54,input_606100!L:R,7,FALSE),VLOOKUP(tables_606100!C54,input_606100!A:H,8,FALSE))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input_606100!A$2</f>
        <v>606100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IFERROR(VLOOKUP(B55,input_606100!L:R,7,FALSE),VLOOKUP(tables_606100!C55,input_606100!A:H,8,FALSE))</f>
        <v>1128375</v>
      </c>
      <c r="P55" s="46">
        <f ca="1">O55/SUM(O:O)</f>
        <v>7.7551546391720653E-3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input_606100!A$2</f>
        <v>606100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IFERROR(VLOOKUP(B56,input_606100!L:R,7,FALSE),VLOOKUP(tables_606100!C56,input_606100!A:H,8,FALSE))</f>
        <v>82006.25</v>
      </c>
      <c r="P56" s="46">
        <f ca="1">O56/SUM(O:O)</f>
        <v>5.6361683848774047E-4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input_606100!A$2</f>
        <v>606100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IFERROR(VLOOKUP(B57,input_606100!L:R,7,FALSE),VLOOKUP(tables_606100!C57,input_606100!A:H,8,FALSE))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input_606100!A$2</f>
        <v>606100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IFERROR(VLOOKUP(B58,input_606100!L:R,7,FALSE),VLOOKUP(tables_606100!C58,input_606100!A:H,8,FALSE))</f>
        <v>1128375</v>
      </c>
      <c r="P58" s="46">
        <f ca="1">O58/SUM(O:O)</f>
        <v>7.7551546391720653E-3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input_606100!A$2</f>
        <v>606100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IFERROR(VLOOKUP(B59,input_606100!L:R,7,FALSE),VLOOKUP(tables_606100!C59,input_606100!A:H,8,FALSE))</f>
        <v>82006.25</v>
      </c>
      <c r="P59" s="46">
        <f ca="1">O59/SUM(O:O)</f>
        <v>5.6361683848774047E-4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input_606100!A$2</f>
        <v>606100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IFERROR(VLOOKUP(B60,input_606100!L:R,7,FALSE),VLOOKUP(tables_606100!C60,input_606100!A:H,8,FALSE))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input_606100!A$2</f>
        <v>606100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IFERROR(VLOOKUP(B61,input_606100!L:R,7,FALSE),VLOOKUP(tables_606100!C61,input_606100!A:H,8,FALSE))</f>
        <v>1128375</v>
      </c>
      <c r="P61" s="46">
        <f ca="1">O61/SUM(O:O)</f>
        <v>7.7551546391720653E-3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input_606100!A$2</f>
        <v>606100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IFERROR(VLOOKUP(B62,input_606100!L:R,7,FALSE),VLOOKUP(tables_606100!C62,input_606100!A:H,8,FALSE))</f>
        <v>82006.25</v>
      </c>
      <c r="P62" s="46">
        <f ca="1">O62/SUM(O:O)</f>
        <v>5.6361683848774047E-4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input_606100!A$2</f>
        <v>606100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IFERROR(VLOOKUP(B63,input_606100!L:R,7,FALSE),VLOOKUP(tables_606100!C63,input_606100!A:H,8,FALSE))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input_606100!A$2</f>
        <v>606100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IFERROR(VLOOKUP(B64,input_606100!L:R,7,FALSE),VLOOKUP(tables_606100!C64,input_606100!A:H,8,FALSE))</f>
        <v>1128375</v>
      </c>
      <c r="P64" s="46">
        <f ca="1">O64/SUM(O:O)</f>
        <v>7.7551546391720653E-3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input_606100!A$2</f>
        <v>606100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IFERROR(VLOOKUP(B65,input_606100!L:R,7,FALSE),VLOOKUP(tables_606100!C65,input_606100!A:H,8,FALSE))</f>
        <v>82006.25</v>
      </c>
      <c r="P65" s="46">
        <f ca="1">O65/SUM(O:O)</f>
        <v>5.6361683848774047E-4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input_606100!A$2</f>
        <v>606100</v>
      </c>
      <c r="B66" s="6">
        <v>190</v>
      </c>
      <c r="C66" s="7" t="str">
        <f t="shared" ref="C66:C69" si="2">D66&amp;J66&amp;E66&amp;F66&amp;G66</f>
        <v>Premium3</v>
      </c>
      <c r="D66" s="7" t="str">
        <f t="shared" si="1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IFERROR(VLOOKUP(B66,input_606100!L:R,7,FALSE),VLOOKUP(tables_606100!C66,input_606100!A:H,8,FALSE))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input_606100!A$2</f>
        <v>606100</v>
      </c>
      <c r="B67" s="6">
        <v>191</v>
      </c>
      <c r="C67" s="7" t="str">
        <f t="shared" si="2"/>
        <v>Premium4</v>
      </c>
      <c r="D67" s="7" t="str">
        <f t="shared" ref="D67:D69" si="3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IFERROR(VLOOKUP(B67,input_606100!L:R,7,FALSE),VLOOKUP(tables_606100!C67,input_606100!A:H,8,FALSE))</f>
        <v>1128375</v>
      </c>
      <c r="P67" s="46">
        <f ca="1">O67/SUM(O:O)</f>
        <v>7.7551546391720653E-3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input_606100!A$2</f>
        <v>606100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IFERROR(VLOOKUP(B68,input_606100!L:R,7,FALSE),VLOOKUP(tables_606100!C68,input_606100!A:H,8,FALSE))</f>
        <v>82006.25</v>
      </c>
      <c r="P68" s="46">
        <f ca="1">O68/SUM(O:O)</f>
        <v>5.6361683848774047E-4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input_606100!A$2</f>
        <v>606100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IFERROR(VLOOKUP(B69,input_606100!L:R,7,FALSE),VLOOKUP(tables_606100!C69,input_606100!A:H,8,FALSE))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input_606100!A$2</f>
        <v>606100</v>
      </c>
      <c r="B70" s="6">
        <v>194</v>
      </c>
      <c r="C70" s="7" t="str">
        <f t="shared" ref="C70:C73" si="4">D70&amp;J70&amp;E70&amp;F70&amp;G70</f>
        <v>Premium4</v>
      </c>
      <c r="D70" s="7" t="str">
        <f t="shared" ref="D70:D73" si="5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IFERROR(VLOOKUP(B70,input_606100!L:R,7,FALSE),VLOOKUP(tables_606100!C70,input_606100!A:H,8,FALSE))</f>
        <v>1128375</v>
      </c>
      <c r="P70" s="46">
        <f ca="1">O70/SUM(O:O)</f>
        <v>7.7551546391720653E-3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input_606100!A$2</f>
        <v>606100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IFERROR(VLOOKUP(B71,input_606100!L:R,7,FALSE),VLOOKUP(tables_606100!C71,input_606100!A:H,8,FALSE))</f>
        <v>82006.25</v>
      </c>
      <c r="P71" s="46">
        <f ca="1">O71/SUM(O:O)</f>
        <v>5.6361683848774047E-4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input_606100!A$2</f>
        <v>606100</v>
      </c>
      <c r="B72" s="6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IFERROR(VLOOKUP(B72,input_606100!L:R,7,FALSE),VLOOKUP(tables_606100!C72,input_606100!A:H,8,FALSE))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input_606100!A$2</f>
        <v>606100</v>
      </c>
      <c r="B73" s="8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IFERROR(VLOOKUP(B73,input_606100!L:R,7,FALSE),VLOOKUP(tables_606100!C73,input_606100!A:H,8,FALSE))</f>
        <v>1128375</v>
      </c>
      <c r="P73" s="46">
        <f ca="1">O73/SUM(O:O)</f>
        <v>7.7551546391720653E-3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input_606100!A$2</f>
        <v>606100</v>
      </c>
      <c r="B74" s="5">
        <v>198</v>
      </c>
      <c r="C74" s="7" t="str">
        <f t="shared" ref="C74:C137" si="6">D74&amp;J74&amp;E74&amp;F74&amp;G74</f>
        <v>Premium5</v>
      </c>
      <c r="D74" s="7" t="str">
        <f t="shared" ref="D74:D137" si="7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IFERROR(VLOOKUP(B74,input_606100!L:R,7,FALSE),VLOOKUP(tables_606100!C74,input_606100!A:H,8,FALSE))</f>
        <v>82006.25</v>
      </c>
      <c r="P74" s="46">
        <f ca="1">O74/SUM(O:O)</f>
        <v>5.6361683848774047E-4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input_606100!A$2</f>
        <v>606100</v>
      </c>
      <c r="B75" s="5">
        <v>199</v>
      </c>
      <c r="C75" s="7" t="str">
        <f t="shared" si="6"/>
        <v>Premium3</v>
      </c>
      <c r="D75" s="7" t="str">
        <f t="shared" si="7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IFERROR(VLOOKUP(B75,input_606100!L:R,7,FALSE),VLOOKUP(tables_606100!C75,input_606100!A:H,8,FALSE))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input_606100!A$2</f>
        <v>606100</v>
      </c>
      <c r="B76" s="5">
        <v>200</v>
      </c>
      <c r="C76" s="7" t="str">
        <f t="shared" si="6"/>
        <v>Premium4</v>
      </c>
      <c r="D76" s="7" t="str">
        <f t="shared" si="7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IFERROR(VLOOKUP(B76,input_606100!L:R,7,FALSE),VLOOKUP(tables_606100!C76,input_606100!A:H,8,FALSE))</f>
        <v>1128375</v>
      </c>
      <c r="P76" s="46">
        <f ca="1">O76/SUM(O:O)</f>
        <v>7.7551546391720653E-3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input_606100!A$2</f>
        <v>606100</v>
      </c>
      <c r="B77" s="5">
        <v>201</v>
      </c>
      <c r="C77" s="7" t="str">
        <f t="shared" si="6"/>
        <v>Premium5</v>
      </c>
      <c r="D77" s="7" t="str">
        <f t="shared" si="7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IFERROR(VLOOKUP(B77,input_606100!L:R,7,FALSE),VLOOKUP(tables_606100!C77,input_606100!A:H,8,FALSE))</f>
        <v>82006.25</v>
      </c>
      <c r="P77" s="46">
        <f ca="1">O77/SUM(O:O)</f>
        <v>5.6361683848774047E-4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input_606100!A$2</f>
        <v>606100</v>
      </c>
      <c r="B78" s="5">
        <v>202</v>
      </c>
      <c r="C78" s="7" t="str">
        <f t="shared" si="6"/>
        <v>Premium3</v>
      </c>
      <c r="D78" s="7" t="str">
        <f t="shared" si="7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IFERROR(VLOOKUP(B78,input_606100!L:R,7,FALSE),VLOOKUP(tables_606100!C78,input_606100!A:H,8,FALSE))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input_606100!A$2</f>
        <v>606100</v>
      </c>
      <c r="B79" s="5">
        <v>203</v>
      </c>
      <c r="C79" s="7" t="str">
        <f t="shared" si="6"/>
        <v>Premium4</v>
      </c>
      <c r="D79" s="7" t="str">
        <f t="shared" si="7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IFERROR(VLOOKUP(B79,input_606100!L:R,7,FALSE),VLOOKUP(tables_606100!C79,input_606100!A:H,8,FALSE))</f>
        <v>1128375</v>
      </c>
      <c r="P79" s="46">
        <f ca="1">O79/SUM(O:O)</f>
        <v>7.7551546391720653E-3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input_606100!A$2</f>
        <v>606100</v>
      </c>
      <c r="B80" s="5">
        <v>204</v>
      </c>
      <c r="C80" s="7" t="str">
        <f t="shared" si="6"/>
        <v>Premium5</v>
      </c>
      <c r="D80" s="7" t="str">
        <f t="shared" si="7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IFERROR(VLOOKUP(B80,input_606100!L:R,7,FALSE),VLOOKUP(tables_606100!C80,input_606100!A:H,8,FALSE))</f>
        <v>82006.25</v>
      </c>
      <c r="P80" s="46">
        <f ca="1">O80/SUM(O:O)</f>
        <v>5.6361683848774047E-4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input_606100!A$2</f>
        <v>606100</v>
      </c>
      <c r="B81" s="5">
        <v>205</v>
      </c>
      <c r="C81" s="7" t="str">
        <f t="shared" si="6"/>
        <v>Premium3</v>
      </c>
      <c r="D81" s="7" t="str">
        <f t="shared" si="7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IFERROR(VLOOKUP(B81,input_606100!L:R,7,FALSE),VLOOKUP(tables_606100!C81,input_606100!A:H,8,FALSE))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input_606100!A$2</f>
        <v>606100</v>
      </c>
      <c r="B82" s="5">
        <v>206</v>
      </c>
      <c r="C82" s="7" t="str">
        <f t="shared" si="6"/>
        <v>Premium4</v>
      </c>
      <c r="D82" s="7" t="str">
        <f t="shared" si="7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IFERROR(VLOOKUP(B82,input_606100!L:R,7,FALSE),VLOOKUP(tables_606100!C82,input_606100!A:H,8,FALSE))</f>
        <v>1128375</v>
      </c>
      <c r="P82" s="46">
        <f ca="1">O82/SUM(O:O)</f>
        <v>7.7551546391720653E-3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input_606100!A$2</f>
        <v>606100</v>
      </c>
      <c r="B83" s="5">
        <v>207</v>
      </c>
      <c r="C83" s="7" t="str">
        <f t="shared" si="6"/>
        <v>Premium5</v>
      </c>
      <c r="D83" s="7" t="str">
        <f t="shared" si="7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IFERROR(VLOOKUP(B83,input_606100!L:R,7,FALSE),VLOOKUP(tables_606100!C83,input_606100!A:H,8,FALSE))</f>
        <v>82006.25</v>
      </c>
      <c r="P83" s="46">
        <f ca="1">O83/SUM(O:O)</f>
        <v>5.6361683848774047E-4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input_606100!A$2</f>
        <v>606100</v>
      </c>
      <c r="B84" s="5">
        <v>208</v>
      </c>
      <c r="C84" s="7" t="str">
        <f t="shared" si="6"/>
        <v>Premium3</v>
      </c>
      <c r="D84" s="7" t="str">
        <f t="shared" si="7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IFERROR(VLOOKUP(B84,input_606100!L:R,7,FALSE),VLOOKUP(tables_606100!C84,input_606100!A:H,8,FALSE))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input_606100!A$2</f>
        <v>606100</v>
      </c>
      <c r="B85" s="5">
        <v>209</v>
      </c>
      <c r="C85" s="7" t="str">
        <f t="shared" si="6"/>
        <v>Premium4</v>
      </c>
      <c r="D85" s="7" t="str">
        <f t="shared" si="7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IFERROR(VLOOKUP(B85,input_606100!L:R,7,FALSE),VLOOKUP(tables_606100!C85,input_606100!A:H,8,FALSE))</f>
        <v>1128375</v>
      </c>
      <c r="P85" s="46">
        <f ca="1">O85/SUM(O:O)</f>
        <v>7.7551546391720653E-3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input_606100!A$2</f>
        <v>606100</v>
      </c>
      <c r="B86" s="5">
        <v>210</v>
      </c>
      <c r="C86" s="7" t="str">
        <f t="shared" si="6"/>
        <v>Premium5</v>
      </c>
      <c r="D86" s="7" t="str">
        <f t="shared" si="7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IFERROR(VLOOKUP(B86,input_606100!L:R,7,FALSE),VLOOKUP(tables_606100!C86,input_606100!A:H,8,FALSE))</f>
        <v>82006.25</v>
      </c>
      <c r="P86" s="46">
        <f ca="1">O86/SUM(O:O)</f>
        <v>5.6361683848774047E-4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input_606100!A$2</f>
        <v>606100</v>
      </c>
      <c r="B87" s="5">
        <v>211</v>
      </c>
      <c r="C87" s="7" t="str">
        <f t="shared" si="6"/>
        <v>Premium3</v>
      </c>
      <c r="D87" s="7" t="str">
        <f t="shared" si="7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IFERROR(VLOOKUP(B87,input_606100!L:R,7,FALSE),VLOOKUP(tables_606100!C87,input_606100!A:H,8,FALSE))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input_606100!A$2</f>
        <v>606100</v>
      </c>
      <c r="B88" s="5">
        <v>212</v>
      </c>
      <c r="C88" s="7" t="str">
        <f t="shared" si="6"/>
        <v>Premium4</v>
      </c>
      <c r="D88" s="7" t="str">
        <f t="shared" si="7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IFERROR(VLOOKUP(B88,input_606100!L:R,7,FALSE),VLOOKUP(tables_606100!C88,input_606100!A:H,8,FALSE))</f>
        <v>1128375</v>
      </c>
      <c r="P88" s="46">
        <f ca="1">O88/SUM(O:O)</f>
        <v>7.7551546391720653E-3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input_606100!A$2</f>
        <v>606100</v>
      </c>
      <c r="B89" s="5">
        <v>213</v>
      </c>
      <c r="C89" s="7" t="str">
        <f t="shared" si="6"/>
        <v>Premium5</v>
      </c>
      <c r="D89" s="7" t="str">
        <f t="shared" si="7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IFERROR(VLOOKUP(B89,input_606100!L:R,7,FALSE),VLOOKUP(tables_606100!C89,input_606100!A:H,8,FALSE))</f>
        <v>82006.25</v>
      </c>
      <c r="P89" s="46">
        <f ca="1">O89/SUM(O:O)</f>
        <v>5.6361683848774047E-4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input_606100!A$2</f>
        <v>606100</v>
      </c>
      <c r="B90" s="5">
        <v>214</v>
      </c>
      <c r="C90" s="7" t="str">
        <f t="shared" si="6"/>
        <v>Premium3</v>
      </c>
      <c r="D90" s="7" t="str">
        <f t="shared" si="7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IFERROR(VLOOKUP(B90,input_606100!L:R,7,FALSE),VLOOKUP(tables_606100!C90,input_606100!A:H,8,FALSE))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input_606100!A$2</f>
        <v>606100</v>
      </c>
      <c r="B91" s="5">
        <v>215</v>
      </c>
      <c r="C91" s="7" t="str">
        <f t="shared" si="6"/>
        <v>Premium4</v>
      </c>
      <c r="D91" s="7" t="str">
        <f t="shared" si="7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IFERROR(VLOOKUP(B91,input_606100!L:R,7,FALSE),VLOOKUP(tables_606100!C91,input_606100!A:H,8,FALSE))</f>
        <v>1128375</v>
      </c>
      <c r="P91" s="46">
        <f ca="1">O91/SUM(O:O)</f>
        <v>7.7551546391720653E-3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input_606100!A$2</f>
        <v>606100</v>
      </c>
      <c r="B92" s="5">
        <v>216</v>
      </c>
      <c r="C92" s="7" t="str">
        <f t="shared" si="6"/>
        <v>Premium5</v>
      </c>
      <c r="D92" s="7" t="str">
        <f t="shared" si="7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IFERROR(VLOOKUP(B92,input_606100!L:R,7,FALSE),VLOOKUP(tables_606100!C92,input_606100!A:H,8,FALSE))</f>
        <v>82006.25</v>
      </c>
      <c r="P92" s="46">
        <f ca="1">O92/SUM(O:O)</f>
        <v>5.6361683848774047E-4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input_606100!A$2</f>
        <v>606100</v>
      </c>
      <c r="B93" s="5">
        <v>217</v>
      </c>
      <c r="C93" s="7" t="str">
        <f t="shared" si="6"/>
        <v>Premium3</v>
      </c>
      <c r="D93" s="7" t="str">
        <f t="shared" si="7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IFERROR(VLOOKUP(B93,input_606100!L:R,7,FALSE),VLOOKUP(tables_606100!C93,input_606100!A:H,8,FALSE))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input_606100!A$2</f>
        <v>606100</v>
      </c>
      <c r="B94" s="5">
        <v>218</v>
      </c>
      <c r="C94" s="7" t="str">
        <f t="shared" si="6"/>
        <v>Premium4</v>
      </c>
      <c r="D94" s="7" t="str">
        <f t="shared" si="7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IFERROR(VLOOKUP(B94,input_606100!L:R,7,FALSE),VLOOKUP(tables_606100!C94,input_606100!A:H,8,FALSE))</f>
        <v>1128375</v>
      </c>
      <c r="P94" s="46">
        <f ca="1">O94/SUM(O:O)</f>
        <v>7.7551546391720653E-3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input_606100!A$2</f>
        <v>606100</v>
      </c>
      <c r="B95" s="5">
        <v>219</v>
      </c>
      <c r="C95" s="7" t="str">
        <f t="shared" si="6"/>
        <v>Premium5</v>
      </c>
      <c r="D95" s="7" t="str">
        <f t="shared" si="7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IFERROR(VLOOKUP(B95,input_606100!L:R,7,FALSE),VLOOKUP(tables_606100!C95,input_606100!A:H,8,FALSE))</f>
        <v>82006.25</v>
      </c>
      <c r="P95" s="46">
        <f ca="1">O95/SUM(O:O)</f>
        <v>5.6361683848774047E-4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input_606100!A$2</f>
        <v>606100</v>
      </c>
      <c r="B96" s="5">
        <v>220</v>
      </c>
      <c r="C96" s="7" t="str">
        <f t="shared" si="6"/>
        <v>Premium3</v>
      </c>
      <c r="D96" s="7" t="str">
        <f t="shared" si="7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IFERROR(VLOOKUP(B96,input_606100!L:R,7,FALSE),VLOOKUP(tables_606100!C96,input_606100!A:H,8,FALSE))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input_606100!A$2</f>
        <v>606100</v>
      </c>
      <c r="B97" s="5">
        <v>221</v>
      </c>
      <c r="C97" s="7" t="str">
        <f t="shared" si="6"/>
        <v>Premium4</v>
      </c>
      <c r="D97" s="7" t="str">
        <f t="shared" si="7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IFERROR(VLOOKUP(B97,input_606100!L:R,7,FALSE),VLOOKUP(tables_606100!C97,input_606100!A:H,8,FALSE))</f>
        <v>1128375</v>
      </c>
      <c r="P97" s="46">
        <f ca="1">O97/SUM(O:O)</f>
        <v>7.7551546391720653E-3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input_606100!A$2</f>
        <v>606100</v>
      </c>
      <c r="B98" s="5">
        <v>222</v>
      </c>
      <c r="C98" s="7" t="str">
        <f t="shared" si="6"/>
        <v>Premium5</v>
      </c>
      <c r="D98" s="7" t="str">
        <f t="shared" si="7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IFERROR(VLOOKUP(B98,input_606100!L:R,7,FALSE),VLOOKUP(tables_606100!C98,input_606100!A:H,8,FALSE))</f>
        <v>82006.25</v>
      </c>
      <c r="P98" s="46">
        <f ca="1">O98/SUM(O:O)</f>
        <v>5.6361683848774047E-4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input_606100!A$2</f>
        <v>606100</v>
      </c>
      <c r="B99" s="5">
        <v>223</v>
      </c>
      <c r="C99" s="7" t="str">
        <f t="shared" si="6"/>
        <v>Premium3</v>
      </c>
      <c r="D99" s="7" t="str">
        <f t="shared" si="7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IFERROR(VLOOKUP(B99,input_606100!L:R,7,FALSE),VLOOKUP(tables_606100!C99,input_606100!A:H,8,FALSE))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input_606100!A$2</f>
        <v>606100</v>
      </c>
      <c r="B100" s="5">
        <v>224</v>
      </c>
      <c r="C100" s="7" t="str">
        <f t="shared" si="6"/>
        <v>Premium4</v>
      </c>
      <c r="D100" s="7" t="str">
        <f t="shared" si="7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IFERROR(VLOOKUP(B100,input_606100!L:R,7,FALSE),VLOOKUP(tables_606100!C100,input_606100!A:H,8,FALSE))</f>
        <v>1128375</v>
      </c>
      <c r="P100" s="46">
        <f ca="1">O100/SUM(O:O)</f>
        <v>7.7551546391720653E-3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input_606100!A$2</f>
        <v>606100</v>
      </c>
      <c r="B101" s="5">
        <v>225</v>
      </c>
      <c r="C101" s="7" t="str">
        <f t="shared" si="6"/>
        <v>Premium5</v>
      </c>
      <c r="D101" s="7" t="str">
        <f t="shared" si="7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IFERROR(VLOOKUP(B101,input_606100!L:R,7,FALSE),VLOOKUP(tables_606100!C101,input_606100!A:H,8,FALSE))</f>
        <v>82006.25</v>
      </c>
      <c r="P101" s="46">
        <f ca="1">O101/SUM(O:O)</f>
        <v>5.6361683848774047E-4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input_606100!A$2</f>
        <v>606100</v>
      </c>
      <c r="B102" s="5">
        <v>226</v>
      </c>
      <c r="C102" s="7" t="str">
        <f t="shared" si="6"/>
        <v>Premium3</v>
      </c>
      <c r="D102" s="7" t="str">
        <f t="shared" si="7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IFERROR(VLOOKUP(B102,input_606100!L:R,7,FALSE),VLOOKUP(tables_606100!C102,input_606100!A:H,8,FALSE))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input_606100!A$2</f>
        <v>606100</v>
      </c>
      <c r="B103" s="5">
        <v>227</v>
      </c>
      <c r="C103" s="7" t="str">
        <f t="shared" si="6"/>
        <v>Premium4</v>
      </c>
      <c r="D103" s="7" t="str">
        <f t="shared" si="7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IFERROR(VLOOKUP(B103,input_606100!L:R,7,FALSE),VLOOKUP(tables_606100!C103,input_606100!A:H,8,FALSE))</f>
        <v>1128375</v>
      </c>
      <c r="P103" s="46">
        <f ca="1">O103/SUM(O:O)</f>
        <v>7.7551546391720653E-3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input_606100!A$2</f>
        <v>606100</v>
      </c>
      <c r="B104" s="5">
        <v>228</v>
      </c>
      <c r="C104" s="7" t="str">
        <f t="shared" si="6"/>
        <v>Premium5</v>
      </c>
      <c r="D104" s="7" t="str">
        <f t="shared" si="7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IFERROR(VLOOKUP(B104,input_606100!L:R,7,FALSE),VLOOKUP(tables_606100!C104,input_606100!A:H,8,FALSE))</f>
        <v>82006.25</v>
      </c>
      <c r="P104" s="46">
        <f ca="1">O104/SUM(O:O)</f>
        <v>5.6361683848774047E-4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input_606100!A$2</f>
        <v>606100</v>
      </c>
      <c r="B105" s="5">
        <v>229</v>
      </c>
      <c r="C105" s="7" t="str">
        <f t="shared" si="6"/>
        <v>Premium3</v>
      </c>
      <c r="D105" s="7" t="str">
        <f t="shared" si="7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IFERROR(VLOOKUP(B105,input_606100!L:R,7,FALSE),VLOOKUP(tables_606100!C105,input_606100!A:H,8,FALSE))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input_606100!A$2</f>
        <v>606100</v>
      </c>
      <c r="B106" s="5">
        <v>230</v>
      </c>
      <c r="C106" s="7" t="str">
        <f t="shared" si="6"/>
        <v>Premium4</v>
      </c>
      <c r="D106" s="7" t="str">
        <f t="shared" si="7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IFERROR(VLOOKUP(B106,input_606100!L:R,7,FALSE),VLOOKUP(tables_606100!C106,input_606100!A:H,8,FALSE))</f>
        <v>1128375</v>
      </c>
      <c r="P106" s="46">
        <f ca="1">O106/SUM(O:O)</f>
        <v>7.7551546391720653E-3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input_606100!A$2</f>
        <v>606100</v>
      </c>
      <c r="B107" s="5">
        <v>231</v>
      </c>
      <c r="C107" s="7" t="str">
        <f t="shared" si="6"/>
        <v>Premium5</v>
      </c>
      <c r="D107" s="7" t="str">
        <f t="shared" si="7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IFERROR(VLOOKUP(B107,input_606100!L:R,7,FALSE),VLOOKUP(tables_606100!C107,input_606100!A:H,8,FALSE))</f>
        <v>82006.25</v>
      </c>
      <c r="P107" s="46">
        <f ca="1">O107/SUM(O:O)</f>
        <v>5.6361683848774047E-4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input_606100!A$2</f>
        <v>606100</v>
      </c>
      <c r="B108" s="5">
        <v>232</v>
      </c>
      <c r="C108" s="7" t="str">
        <f t="shared" si="6"/>
        <v>Premium3</v>
      </c>
      <c r="D108" s="7" t="str">
        <f t="shared" si="7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IFERROR(VLOOKUP(B108,input_606100!L:R,7,FALSE),VLOOKUP(tables_606100!C108,input_606100!A:H,8,FALSE))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input_606100!A$2</f>
        <v>606100</v>
      </c>
      <c r="B109" s="5">
        <v>233</v>
      </c>
      <c r="C109" s="7" t="str">
        <f t="shared" si="6"/>
        <v>Premium4</v>
      </c>
      <c r="D109" s="7" t="str">
        <f t="shared" si="7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IFERROR(VLOOKUP(B109,input_606100!L:R,7,FALSE),VLOOKUP(tables_606100!C109,input_606100!A:H,8,FALSE))</f>
        <v>1128375</v>
      </c>
      <c r="P109" s="46">
        <f ca="1">O109/SUM(O:O)</f>
        <v>7.7551546391720653E-3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input_606100!A$2</f>
        <v>606100</v>
      </c>
      <c r="B110" s="5">
        <v>234</v>
      </c>
      <c r="C110" s="7" t="str">
        <f t="shared" si="6"/>
        <v>Premium5</v>
      </c>
      <c r="D110" s="7" t="str">
        <f t="shared" si="7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IFERROR(VLOOKUP(B110,input_606100!L:R,7,FALSE),VLOOKUP(tables_606100!C110,input_606100!A:H,8,FALSE))</f>
        <v>82006.25</v>
      </c>
      <c r="P110" s="46">
        <f ca="1">O110/SUM(O:O)</f>
        <v>5.6361683848774047E-4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input_606100!A$2</f>
        <v>606100</v>
      </c>
      <c r="B111" s="5">
        <v>235</v>
      </c>
      <c r="C111" s="7" t="str">
        <f t="shared" si="6"/>
        <v>Premium3R6release</v>
      </c>
      <c r="D111" s="7" t="str">
        <f t="shared" si="7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IFERROR(VLOOKUP(B111,input_606100!L:R,7,FALSE),VLOOKUP(tables_606100!C111,input_606100!A:H,8,FALSE))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input_606100!A$2</f>
        <v>606100</v>
      </c>
      <c r="B112" s="5">
        <v>236</v>
      </c>
      <c r="C112" s="7" t="str">
        <f t="shared" si="6"/>
        <v>Premium4R6release</v>
      </c>
      <c r="D112" s="7" t="str">
        <f t="shared" si="7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IFERROR(VLOOKUP(B112,input_606100!L:R,7,FALSE),VLOOKUP(tables_606100!C112,input_606100!A:H,8,FALSE))</f>
        <v>1128375</v>
      </c>
      <c r="P112" s="46">
        <f ca="1">O112/SUM(O:O)</f>
        <v>7.7551546391720653E-3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input_606100!A$2</f>
        <v>606100</v>
      </c>
      <c r="B113" s="5">
        <v>237</v>
      </c>
      <c r="C113" s="7" t="str">
        <f t="shared" si="6"/>
        <v>Premium5R6release</v>
      </c>
      <c r="D113" s="7" t="str">
        <f t="shared" si="7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IFERROR(VLOOKUP(B113,input_606100!L:R,7,FALSE),VLOOKUP(tables_606100!C113,input_606100!A:H,8,FALSE))</f>
        <v>199125</v>
      </c>
      <c r="P113" s="46">
        <f ca="1">O113/SUM(O:O)</f>
        <v>1.3685567010303643E-3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input_606100!A$2</f>
        <v>606100</v>
      </c>
      <c r="B114" s="5">
        <v>238</v>
      </c>
      <c r="C114" s="7" t="str">
        <f t="shared" si="6"/>
        <v>Premium3</v>
      </c>
      <c r="D114" s="7" t="str">
        <f t="shared" si="7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IFERROR(VLOOKUP(B114,input_606100!L:R,7,FALSE),VLOOKUP(tables_606100!C114,input_606100!A:H,8,FALSE))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input_606100!A$2</f>
        <v>606100</v>
      </c>
      <c r="B115" s="5">
        <v>239</v>
      </c>
      <c r="C115" s="7" t="str">
        <f t="shared" si="6"/>
        <v>Premium4</v>
      </c>
      <c r="D115" s="7" t="str">
        <f t="shared" si="7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IFERROR(VLOOKUP(B115,input_606100!L:R,7,FALSE),VLOOKUP(tables_606100!C115,input_606100!A:H,8,FALSE))</f>
        <v>1128375</v>
      </c>
      <c r="P115" s="46">
        <f ca="1">O115/SUM(O:O)</f>
        <v>7.7551546391720653E-3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input_606100!A$2</f>
        <v>606100</v>
      </c>
      <c r="B116" s="5">
        <v>240</v>
      </c>
      <c r="C116" s="7" t="str">
        <f t="shared" si="6"/>
        <v>Premium5</v>
      </c>
      <c r="D116" s="7" t="str">
        <f t="shared" si="7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IFERROR(VLOOKUP(B116,input_606100!L:R,7,FALSE),VLOOKUP(tables_606100!C116,input_606100!A:H,8,FALSE))</f>
        <v>82006.25</v>
      </c>
      <c r="P116" s="46">
        <f ca="1">O116/SUM(O:O)</f>
        <v>5.6361683848774047E-4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input_606100!A$2</f>
        <v>606100</v>
      </c>
      <c r="B117" s="5">
        <v>241</v>
      </c>
      <c r="C117" s="7" t="str">
        <f t="shared" si="6"/>
        <v>Premium3</v>
      </c>
      <c r="D117" s="7" t="str">
        <f t="shared" si="7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IFERROR(VLOOKUP(B117,input_606100!L:R,7,FALSE),VLOOKUP(tables_606100!C117,input_606100!A:H,8,FALSE))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input_606100!A$2</f>
        <v>606100</v>
      </c>
      <c r="B118" s="5">
        <v>242</v>
      </c>
      <c r="C118" s="7" t="str">
        <f t="shared" si="6"/>
        <v>Premium4</v>
      </c>
      <c r="D118" s="7" t="str">
        <f t="shared" si="7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IFERROR(VLOOKUP(B118,input_606100!L:R,7,FALSE),VLOOKUP(tables_606100!C118,input_606100!A:H,8,FALSE))</f>
        <v>1128375</v>
      </c>
      <c r="P118" s="46">
        <f ca="1">O118/SUM(O:O)</f>
        <v>7.7551546391720653E-3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input_606100!A$2</f>
        <v>606100</v>
      </c>
      <c r="B119" s="5">
        <v>243</v>
      </c>
      <c r="C119" s="7" t="str">
        <f t="shared" si="6"/>
        <v>Premium5</v>
      </c>
      <c r="D119" s="7" t="str">
        <f t="shared" si="7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IFERROR(VLOOKUP(B119,input_606100!L:R,7,FALSE),VLOOKUP(tables_606100!C119,input_606100!A:H,8,FALSE))</f>
        <v>82006.25</v>
      </c>
      <c r="P119" s="46">
        <f ca="1">O119/SUM(O:O)</f>
        <v>5.6361683848774047E-4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input_606100!A$2</f>
        <v>606100</v>
      </c>
      <c r="B120" s="5">
        <v>244</v>
      </c>
      <c r="C120" s="7" t="str">
        <f t="shared" si="6"/>
        <v>Premium3</v>
      </c>
      <c r="D120" s="7" t="str">
        <f t="shared" si="7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IFERROR(VLOOKUP(B120,input_606100!L:R,7,FALSE),VLOOKUP(tables_606100!C120,input_606100!A:H,8,FALSE))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input_606100!A$2</f>
        <v>606100</v>
      </c>
      <c r="B121" s="5">
        <v>245</v>
      </c>
      <c r="C121" s="7" t="str">
        <f t="shared" si="6"/>
        <v>Premium4</v>
      </c>
      <c r="D121" s="7" t="str">
        <f t="shared" si="7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IFERROR(VLOOKUP(B121,input_606100!L:R,7,FALSE),VLOOKUP(tables_606100!C121,input_606100!A:H,8,FALSE))</f>
        <v>1128375</v>
      </c>
      <c r="P121" s="46">
        <f ca="1">O121/SUM(O:O)</f>
        <v>7.7551546391720653E-3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input_606100!A$2</f>
        <v>606100</v>
      </c>
      <c r="B122" s="5">
        <v>246</v>
      </c>
      <c r="C122" s="7" t="str">
        <f t="shared" si="6"/>
        <v>Premium5</v>
      </c>
      <c r="D122" s="7" t="str">
        <f t="shared" si="7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IFERROR(VLOOKUP(B122,input_606100!L:R,7,FALSE),VLOOKUP(tables_606100!C122,input_606100!A:H,8,FALSE))</f>
        <v>82006.25</v>
      </c>
      <c r="P122" s="46">
        <f ca="1">O122/SUM(O:O)</f>
        <v>5.6361683848774047E-4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input_606100!A$2</f>
        <v>606100</v>
      </c>
      <c r="B123" s="5">
        <v>247</v>
      </c>
      <c r="C123" s="7" t="str">
        <f t="shared" si="6"/>
        <v>Premium3</v>
      </c>
      <c r="D123" s="7" t="str">
        <f t="shared" si="7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IFERROR(VLOOKUP(B123,input_606100!L:R,7,FALSE),VLOOKUP(tables_606100!C123,input_606100!A:H,8,FALSE))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input_606100!A$2</f>
        <v>606100</v>
      </c>
      <c r="B124" s="5">
        <v>248</v>
      </c>
      <c r="C124" s="7" t="str">
        <f t="shared" si="6"/>
        <v>Premium4</v>
      </c>
      <c r="D124" s="7" t="str">
        <f t="shared" si="7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IFERROR(VLOOKUP(B124,input_606100!L:R,7,FALSE),VLOOKUP(tables_606100!C124,input_606100!A:H,8,FALSE))</f>
        <v>1128375</v>
      </c>
      <c r="P124" s="46">
        <f ca="1">O124/SUM(O:O)</f>
        <v>7.7551546391720653E-3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input_606100!A$2</f>
        <v>606100</v>
      </c>
      <c r="B125" s="5">
        <v>249</v>
      </c>
      <c r="C125" s="7" t="str">
        <f t="shared" si="6"/>
        <v>Premium5</v>
      </c>
      <c r="D125" s="7" t="str">
        <f t="shared" si="7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IFERROR(VLOOKUP(B125,input_606100!L:R,7,FALSE),VLOOKUP(tables_606100!C125,input_606100!A:H,8,FALSE))</f>
        <v>82006.25</v>
      </c>
      <c r="P125" s="46">
        <f ca="1">O125/SUM(O:O)</f>
        <v>5.6361683848774047E-4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input_606100!A$2</f>
        <v>606100</v>
      </c>
      <c r="B126" s="5">
        <v>250</v>
      </c>
      <c r="C126" s="7" t="str">
        <f t="shared" si="6"/>
        <v>Premium3</v>
      </c>
      <c r="D126" s="7" t="str">
        <f t="shared" si="7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IFERROR(VLOOKUP(B126,input_606100!L:R,7,FALSE),VLOOKUP(tables_606100!C126,input_606100!A:H,8,FALSE))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input_606100!A$2</f>
        <v>606100</v>
      </c>
      <c r="B127" s="5">
        <v>251</v>
      </c>
      <c r="C127" s="7" t="str">
        <f t="shared" si="6"/>
        <v>Premium4</v>
      </c>
      <c r="D127" s="7" t="str">
        <f t="shared" si="7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IFERROR(VLOOKUP(B127,input_606100!L:R,7,FALSE),VLOOKUP(tables_606100!C127,input_606100!A:H,8,FALSE))</f>
        <v>1128375</v>
      </c>
      <c r="P127" s="46">
        <f ca="1">O127/SUM(O:O)</f>
        <v>7.7551546391720653E-3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input_606100!A$2</f>
        <v>606100</v>
      </c>
      <c r="B128" s="5">
        <v>252</v>
      </c>
      <c r="C128" s="7" t="str">
        <f t="shared" si="6"/>
        <v>Premium5</v>
      </c>
      <c r="D128" s="7" t="str">
        <f t="shared" si="7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IFERROR(VLOOKUP(B128,input_606100!L:R,7,FALSE),VLOOKUP(tables_606100!C128,input_606100!A:H,8,FALSE))</f>
        <v>82006.25</v>
      </c>
      <c r="P128" s="46">
        <f ca="1">O128/SUM(O:O)</f>
        <v>5.6361683848774047E-4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input_606100!A$2</f>
        <v>606100</v>
      </c>
      <c r="B129" s="5">
        <v>253</v>
      </c>
      <c r="C129" s="7" t="str">
        <f t="shared" si="6"/>
        <v>Premium3</v>
      </c>
      <c r="D129" s="7" t="str">
        <f t="shared" si="7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IFERROR(VLOOKUP(B129,input_606100!L:R,7,FALSE),VLOOKUP(tables_606100!C129,input_606100!A:H,8,FALSE))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input_606100!A$2</f>
        <v>606100</v>
      </c>
      <c r="B130" s="5">
        <v>254</v>
      </c>
      <c r="C130" s="7" t="str">
        <f t="shared" si="6"/>
        <v>Premium4</v>
      </c>
      <c r="D130" s="7" t="str">
        <f t="shared" si="7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IFERROR(VLOOKUP(B130,input_606100!L:R,7,FALSE),VLOOKUP(tables_606100!C130,input_606100!A:H,8,FALSE))</f>
        <v>1128375</v>
      </c>
      <c r="P130" s="46">
        <f ca="1">O130/SUM(O:O)</f>
        <v>7.7551546391720653E-3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input_606100!A$2</f>
        <v>606100</v>
      </c>
      <c r="B131" s="5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IFERROR(VLOOKUP(B131,input_606100!L:R,7,FALSE),VLOOKUP(tables_606100!C131,input_606100!A:H,8,FALSE))</f>
        <v>82006.25</v>
      </c>
      <c r="P131" s="46">
        <f ca="1">O131/SUM(O:O)</f>
        <v>5.6361683848774047E-4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input_606100!A$2</f>
        <v>606100</v>
      </c>
      <c r="B132" s="5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IFERROR(VLOOKUP(B132,input_606100!L:R,7,FALSE),VLOOKUP(tables_606100!C132,input_606100!A:H,8,FALSE))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input_606100!A$2</f>
        <v>606100</v>
      </c>
      <c r="B133" s="5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IFERROR(VLOOKUP(B133,input_606100!L:R,7,FALSE),VLOOKUP(tables_606100!C133,input_606100!A:H,8,FALSE))</f>
        <v>1128375</v>
      </c>
      <c r="P133" s="46">
        <f ca="1">O133/SUM(O:O)</f>
        <v>7.7551546391720653E-3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input_606100!A$2</f>
        <v>606100</v>
      </c>
      <c r="B134" s="5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IFERROR(VLOOKUP(B134,input_606100!L:R,7,FALSE),VLOOKUP(tables_606100!C134,input_606100!A:H,8,FALSE))</f>
        <v>82006.25</v>
      </c>
      <c r="P134" s="46">
        <f ca="1">O134/SUM(O:O)</f>
        <v>5.6361683848774047E-4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input_606100!A$2</f>
        <v>606100</v>
      </c>
      <c r="B135" s="5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IFERROR(VLOOKUP(B135,input_606100!L:R,7,FALSE),VLOOKUP(tables_606100!C135,input_606100!A:H,8,FALSE))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input_606100!A$2</f>
        <v>606100</v>
      </c>
      <c r="B136" s="5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IFERROR(VLOOKUP(B136,input_606100!L:R,7,FALSE),VLOOKUP(tables_606100!C136,input_606100!A:H,8,FALSE))</f>
        <v>1128375</v>
      </c>
      <c r="P136" s="46">
        <f ca="1">O136/SUM(O:O)</f>
        <v>7.7551546391720653E-3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input_606100!A$2</f>
        <v>606100</v>
      </c>
      <c r="B137" s="5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IFERROR(VLOOKUP(B137,input_606100!L:R,7,FALSE),VLOOKUP(tables_606100!C137,input_606100!A:H,8,FALSE))</f>
        <v>82006.25</v>
      </c>
      <c r="P137" s="46">
        <f ca="1">O137/SUM(O:O)</f>
        <v>5.6361683848774047E-4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input_606100!A$2</f>
        <v>606100</v>
      </c>
      <c r="B138" s="5">
        <v>320</v>
      </c>
      <c r="C138" s="7" t="str">
        <f t="shared" ref="C138:C201" si="8">D138&amp;J138&amp;E138&amp;F138&amp;G138</f>
        <v>PremiumSS4</v>
      </c>
      <c r="D138" s="7" t="str">
        <f t="shared" ref="D138:D201" si="9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IFERROR(VLOOKUP(B138,input_606100!L:R,7,FALSE),VLOOKUP(tables_606100!C138,input_606100!A:H,8,FALSE))</f>
        <v>164900</v>
      </c>
      <c r="P138" s="46">
        <f ca="1">O138/SUM(O:O)</f>
        <v>1.1333333333328668E-3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input_606100!A$2</f>
        <v>606100</v>
      </c>
      <c r="B139" s="5">
        <v>321</v>
      </c>
      <c r="C139" s="7" t="str">
        <f t="shared" si="8"/>
        <v>PremiumSS5</v>
      </c>
      <c r="D139" s="7" t="str">
        <f t="shared" si="9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IFERROR(VLOOKUP(B139,input_606100!L:R,7,FALSE),VLOOKUP(tables_606100!C139,input_606100!A:H,8,FALSE))</f>
        <v>29100</v>
      </c>
      <c r="P139" s="46">
        <f ca="1">O139/SUM(O:O)</f>
        <v>1.9999999999991766E-4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input_606100!A$2</f>
        <v>606100</v>
      </c>
      <c r="B140" s="5">
        <v>322</v>
      </c>
      <c r="C140" s="7" t="str">
        <f t="shared" si="8"/>
        <v>PremiumSS4</v>
      </c>
      <c r="D140" s="7" t="str">
        <f t="shared" si="9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IFERROR(VLOOKUP(B140,input_606100!L:R,7,FALSE),VLOOKUP(tables_606100!C140,input_606100!A:H,8,FALSE))</f>
        <v>164900</v>
      </c>
      <c r="P140" s="46">
        <f ca="1">O140/SUM(O:O)</f>
        <v>1.1333333333328668E-3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input_606100!A$2</f>
        <v>606100</v>
      </c>
      <c r="B141" s="5">
        <v>323</v>
      </c>
      <c r="C141" s="7" t="str">
        <f t="shared" si="8"/>
        <v>PremiumSS5</v>
      </c>
      <c r="D141" s="7" t="str">
        <f t="shared" si="9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IFERROR(VLOOKUP(B141,input_606100!L:R,7,FALSE),VLOOKUP(tables_606100!C141,input_606100!A:H,8,FALSE))</f>
        <v>29100</v>
      </c>
      <c r="P141" s="46">
        <f ca="1">O141/SUM(O:O)</f>
        <v>1.9999999999991766E-4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input_606100!A$2</f>
        <v>606100</v>
      </c>
      <c r="B142" s="5">
        <v>324</v>
      </c>
      <c r="C142" s="7" t="str">
        <f t="shared" si="8"/>
        <v>PremiumSS4</v>
      </c>
      <c r="D142" s="7" t="str">
        <f t="shared" si="9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IFERROR(VLOOKUP(B142,input_606100!L:R,7,FALSE),VLOOKUP(tables_606100!C142,input_606100!A:H,8,FALSE))</f>
        <v>164900</v>
      </c>
      <c r="P142" s="46">
        <f ca="1">O142/SUM(O:O)</f>
        <v>1.1333333333328668E-3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input_606100!A$2</f>
        <v>606100</v>
      </c>
      <c r="B143" s="5">
        <v>325</v>
      </c>
      <c r="C143" s="7" t="str">
        <f t="shared" si="8"/>
        <v>PremiumSS5</v>
      </c>
      <c r="D143" s="7" t="str">
        <f t="shared" si="9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IFERROR(VLOOKUP(B143,input_606100!L:R,7,FALSE),VLOOKUP(tables_606100!C143,input_606100!A:H,8,FALSE))</f>
        <v>29100</v>
      </c>
      <c r="P143" s="46">
        <f ca="1">O143/SUM(O:O)</f>
        <v>1.9999999999991766E-4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input_606100!A$2</f>
        <v>606100</v>
      </c>
      <c r="B144" s="5">
        <v>326</v>
      </c>
      <c r="C144" s="7" t="str">
        <f t="shared" si="8"/>
        <v>PremiumSS4</v>
      </c>
      <c r="D144" s="7" t="str">
        <f t="shared" si="9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IFERROR(VLOOKUP(B144,input_606100!L:R,7,FALSE),VLOOKUP(tables_606100!C144,input_606100!A:H,8,FALSE))</f>
        <v>164900</v>
      </c>
      <c r="P144" s="46">
        <f ca="1">O144/SUM(O:O)</f>
        <v>1.1333333333328668E-3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input_606100!A$2</f>
        <v>606100</v>
      </c>
      <c r="B145" s="5">
        <v>327</v>
      </c>
      <c r="C145" s="7" t="str">
        <f t="shared" si="8"/>
        <v>PremiumSS5</v>
      </c>
      <c r="D145" s="7" t="str">
        <f t="shared" si="9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IFERROR(VLOOKUP(B145,input_606100!L:R,7,FALSE),VLOOKUP(tables_606100!C145,input_606100!A:H,8,FALSE))</f>
        <v>29100</v>
      </c>
      <c r="P145" s="46">
        <f ca="1">O145/SUM(O:O)</f>
        <v>1.9999999999991766E-4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input_606100!A$2</f>
        <v>606100</v>
      </c>
      <c r="B146" s="5">
        <v>380</v>
      </c>
      <c r="C146" s="7" t="str">
        <f t="shared" si="8"/>
        <v>Premium3</v>
      </c>
      <c r="D146" s="7" t="str">
        <f t="shared" si="9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IFERROR(VLOOKUP(B146,input_606100!L:R,7,FALSE),VLOOKUP(tables_606100!C146,input_606100!A:H,8,FALSE))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input_606100!A$2</f>
        <v>606100</v>
      </c>
      <c r="B147" s="5">
        <v>381</v>
      </c>
      <c r="C147" s="7" t="str">
        <f t="shared" si="8"/>
        <v>Premium4</v>
      </c>
      <c r="D147" s="7" t="str">
        <f t="shared" si="9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IFERROR(VLOOKUP(B147,input_606100!L:R,7,FALSE),VLOOKUP(tables_606100!C147,input_606100!A:H,8,FALSE))</f>
        <v>1128375</v>
      </c>
      <c r="P147" s="46">
        <f ca="1">O147/SUM(O:O)</f>
        <v>7.7551546391720653E-3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input_606100!A$2</f>
        <v>606100</v>
      </c>
      <c r="B148" s="5">
        <v>382</v>
      </c>
      <c r="C148" s="7" t="str">
        <f t="shared" si="8"/>
        <v>Premium5</v>
      </c>
      <c r="D148" s="7" t="str">
        <f t="shared" si="9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IFERROR(VLOOKUP(B148,input_606100!L:R,7,FALSE),VLOOKUP(tables_606100!C148,input_606100!A:H,8,FALSE))</f>
        <v>82006.25</v>
      </c>
      <c r="P148" s="46">
        <f ca="1">O148/SUM(O:O)</f>
        <v>5.6361683848774047E-4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input_606100!A$2</f>
        <v>606100</v>
      </c>
      <c r="B149" s="5">
        <v>383</v>
      </c>
      <c r="C149" s="7" t="str">
        <f t="shared" si="8"/>
        <v>PremiumSS4</v>
      </c>
      <c r="D149" s="7" t="str">
        <f t="shared" si="9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IFERROR(VLOOKUP(B149,input_606100!L:R,7,FALSE),VLOOKUP(tables_606100!C149,input_606100!A:H,8,FALSE))</f>
        <v>164900</v>
      </c>
      <c r="P149" s="46">
        <f ca="1">O149/SUM(O:O)</f>
        <v>1.1333333333328668E-3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input_606100!A$2</f>
        <v>606100</v>
      </c>
      <c r="B150" s="5">
        <v>384</v>
      </c>
      <c r="C150" s="7" t="str">
        <f t="shared" si="8"/>
        <v>PremiumSS5</v>
      </c>
      <c r="D150" s="7" t="str">
        <f t="shared" si="9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IFERROR(VLOOKUP(B150,input_606100!L:R,7,FALSE),VLOOKUP(tables_606100!C150,input_606100!A:H,8,FALSE))</f>
        <v>29100</v>
      </c>
      <c r="P150" s="46">
        <f ca="1">O150/SUM(O:O)</f>
        <v>1.9999999999991766E-4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input_606100!A$2</f>
        <v>606100</v>
      </c>
      <c r="B151" s="5">
        <v>385</v>
      </c>
      <c r="C151" s="7" t="str">
        <f t="shared" si="8"/>
        <v>PremiumSS4</v>
      </c>
      <c r="D151" s="7" t="str">
        <f t="shared" si="9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IFERROR(VLOOKUP(B151,input_606100!L:R,7,FALSE),VLOOKUP(tables_606100!C151,input_606100!A:H,8,FALSE))</f>
        <v>164900</v>
      </c>
      <c r="P151" s="46">
        <f ca="1">O151/SUM(O:O)</f>
        <v>1.1333333333328668E-3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input_606100!A$2</f>
        <v>606100</v>
      </c>
      <c r="B152" s="5">
        <v>386</v>
      </c>
      <c r="C152" s="7" t="str">
        <f t="shared" si="8"/>
        <v>PremiumSS5</v>
      </c>
      <c r="D152" s="7" t="str">
        <f t="shared" si="9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IFERROR(VLOOKUP(B152,input_606100!L:R,7,FALSE),VLOOKUP(tables_606100!C152,input_606100!A:H,8,FALSE))</f>
        <v>29100</v>
      </c>
      <c r="P152" s="46">
        <f ca="1">O152/SUM(O:O)</f>
        <v>1.9999999999991766E-4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input_606100!A$2</f>
        <v>606100</v>
      </c>
      <c r="B153" s="5">
        <v>387</v>
      </c>
      <c r="C153" s="7" t="str">
        <f t="shared" si="8"/>
        <v>Premium3</v>
      </c>
      <c r="D153" s="7" t="str">
        <f t="shared" si="9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IFERROR(VLOOKUP(B153,input_606100!L:R,7,FALSE),VLOOKUP(tables_606100!C153,input_606100!A:H,8,FALSE))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input_606100!A$2</f>
        <v>606100</v>
      </c>
      <c r="B154" s="5">
        <v>388</v>
      </c>
      <c r="C154" s="7" t="str">
        <f t="shared" si="8"/>
        <v>Premium4</v>
      </c>
      <c r="D154" s="7" t="str">
        <f t="shared" si="9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IFERROR(VLOOKUP(B154,input_606100!L:R,7,FALSE),VLOOKUP(tables_606100!C154,input_606100!A:H,8,FALSE))</f>
        <v>1128375</v>
      </c>
      <c r="P154" s="46">
        <f ca="1">O154/SUM(O:O)</f>
        <v>7.7551546391720653E-3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input_606100!A$2</f>
        <v>606100</v>
      </c>
      <c r="B155" s="5">
        <v>389</v>
      </c>
      <c r="C155" s="7" t="str">
        <f t="shared" si="8"/>
        <v>Premium5</v>
      </c>
      <c r="D155" s="7" t="str">
        <f t="shared" si="9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IFERROR(VLOOKUP(B155,input_606100!L:R,7,FALSE),VLOOKUP(tables_606100!C155,input_606100!A:H,8,FALSE))</f>
        <v>82006.25</v>
      </c>
      <c r="P155" s="46">
        <f ca="1">O155/SUM(O:O)</f>
        <v>5.6361683848774047E-4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input_606100!A$2</f>
        <v>606100</v>
      </c>
      <c r="B156" s="5">
        <v>390</v>
      </c>
      <c r="C156" s="7" t="str">
        <f t="shared" si="8"/>
        <v>PremiumSS4</v>
      </c>
      <c r="D156" s="7" t="str">
        <f t="shared" si="9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IFERROR(VLOOKUP(B156,input_606100!L:R,7,FALSE),VLOOKUP(tables_606100!C156,input_606100!A:H,8,FALSE))</f>
        <v>164900</v>
      </c>
      <c r="P156" s="46">
        <f ca="1">O156/SUM(O:O)</f>
        <v>1.1333333333328668E-3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input_606100!A$2</f>
        <v>606100</v>
      </c>
      <c r="B157" s="5">
        <v>391</v>
      </c>
      <c r="C157" s="7" t="str">
        <f t="shared" si="8"/>
        <v>PremiumSS5</v>
      </c>
      <c r="D157" s="7" t="str">
        <f t="shared" si="9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IFERROR(VLOOKUP(B157,input_606100!L:R,7,FALSE),VLOOKUP(tables_606100!C157,input_606100!A:H,8,FALSE))</f>
        <v>29100</v>
      </c>
      <c r="P157" s="46">
        <f ca="1">O157/SUM(O:O)</f>
        <v>1.9999999999991766E-4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input_606100!A$2</f>
        <v>606100</v>
      </c>
      <c r="B158" s="5">
        <v>392</v>
      </c>
      <c r="C158" s="7" t="str">
        <f t="shared" si="8"/>
        <v>Premium3</v>
      </c>
      <c r="D158" s="7" t="str">
        <f t="shared" si="9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IFERROR(VLOOKUP(B158,input_606100!L:R,7,FALSE),VLOOKUP(tables_606100!C158,input_606100!A:H,8,FALSE))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input_606100!A$2</f>
        <v>606100</v>
      </c>
      <c r="B159" s="5">
        <v>393</v>
      </c>
      <c r="C159" s="7" t="str">
        <f t="shared" si="8"/>
        <v>Premium4</v>
      </c>
      <c r="D159" s="7" t="str">
        <f t="shared" si="9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IFERROR(VLOOKUP(B159,input_606100!L:R,7,FALSE),VLOOKUP(tables_606100!C159,input_606100!A:H,8,FALSE))</f>
        <v>1128375</v>
      </c>
      <c r="P159" s="46">
        <f ca="1">O159/SUM(O:O)</f>
        <v>7.7551546391720653E-3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input_606100!A$2</f>
        <v>606100</v>
      </c>
      <c r="B160" s="5">
        <v>394</v>
      </c>
      <c r="C160" s="7" t="str">
        <f t="shared" si="8"/>
        <v>Premium5</v>
      </c>
      <c r="D160" s="7" t="str">
        <f t="shared" si="9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IFERROR(VLOOKUP(B160,input_606100!L:R,7,FALSE),VLOOKUP(tables_606100!C160,input_606100!A:H,8,FALSE))</f>
        <v>82006.25</v>
      </c>
      <c r="P160" s="46">
        <f ca="1">O160/SUM(O:O)</f>
        <v>5.6361683848774047E-4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input_606100!A$2</f>
        <v>606100</v>
      </c>
      <c r="B161" s="5">
        <v>395</v>
      </c>
      <c r="C161" s="7" t="str">
        <f t="shared" si="8"/>
        <v>Premium3</v>
      </c>
      <c r="D161" s="7" t="str">
        <f t="shared" si="9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IFERROR(VLOOKUP(B161,input_606100!L:R,7,FALSE),VLOOKUP(tables_606100!C161,input_606100!A:H,8,FALSE))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input_606100!A$2</f>
        <v>606100</v>
      </c>
      <c r="B162" s="5">
        <v>396</v>
      </c>
      <c r="C162" s="7" t="str">
        <f t="shared" si="8"/>
        <v>Premium4</v>
      </c>
      <c r="D162" s="7" t="str">
        <f t="shared" si="9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IFERROR(VLOOKUP(B162,input_606100!L:R,7,FALSE),VLOOKUP(tables_606100!C162,input_606100!A:H,8,FALSE))</f>
        <v>1128375</v>
      </c>
      <c r="P162" s="46">
        <f ca="1">O162/SUM(O:O)</f>
        <v>7.7551546391720653E-3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input_606100!A$2</f>
        <v>606100</v>
      </c>
      <c r="B163" s="5">
        <v>397</v>
      </c>
      <c r="C163" s="7" t="str">
        <f t="shared" si="8"/>
        <v>Premium5</v>
      </c>
      <c r="D163" s="7" t="str">
        <f t="shared" si="9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IFERROR(VLOOKUP(B163,input_606100!L:R,7,FALSE),VLOOKUP(tables_606100!C163,input_606100!A:H,8,FALSE))</f>
        <v>82006.25</v>
      </c>
      <c r="P163" s="46">
        <f ca="1">O163/SUM(O:O)</f>
        <v>5.6361683848774047E-4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input_606100!A$2</f>
        <v>606100</v>
      </c>
      <c r="B164" s="5">
        <v>398</v>
      </c>
      <c r="C164" s="7" t="str">
        <f t="shared" si="8"/>
        <v>PremiumSS4</v>
      </c>
      <c r="D164" s="7" t="str">
        <f t="shared" si="9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IFERROR(VLOOKUP(B164,input_606100!L:R,7,FALSE),VLOOKUP(tables_606100!C164,input_606100!A:H,8,FALSE))</f>
        <v>164900</v>
      </c>
      <c r="P164" s="46">
        <f ca="1">O164/SUM(O:O)</f>
        <v>1.1333333333328668E-3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input_606100!A$2</f>
        <v>606100</v>
      </c>
      <c r="B165" s="5">
        <v>399</v>
      </c>
      <c r="C165" s="7" t="str">
        <f t="shared" si="8"/>
        <v>PremiumSS5</v>
      </c>
      <c r="D165" s="7" t="str">
        <f t="shared" si="9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IFERROR(VLOOKUP(B165,input_606100!L:R,7,FALSE),VLOOKUP(tables_606100!C165,input_606100!A:H,8,FALSE))</f>
        <v>29100</v>
      </c>
      <c r="P165" s="46">
        <f ca="1">O165/SUM(O:O)</f>
        <v>1.9999999999991766E-4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input_606100!A$2</f>
        <v>606100</v>
      </c>
      <c r="B166" s="5">
        <v>400</v>
      </c>
      <c r="C166" s="7" t="str">
        <f t="shared" si="8"/>
        <v>Premium3</v>
      </c>
      <c r="D166" s="7" t="str">
        <f t="shared" si="9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IFERROR(VLOOKUP(B166,input_606100!L:R,7,FALSE),VLOOKUP(tables_606100!C166,input_606100!A:H,8,FALSE))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input_606100!A$2</f>
        <v>606100</v>
      </c>
      <c r="B167" s="5">
        <v>401</v>
      </c>
      <c r="C167" s="7" t="str">
        <f t="shared" si="8"/>
        <v>Premium4</v>
      </c>
      <c r="D167" s="7" t="str">
        <f t="shared" si="9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IFERROR(VLOOKUP(B167,input_606100!L:R,7,FALSE),VLOOKUP(tables_606100!C167,input_606100!A:H,8,FALSE))</f>
        <v>1128375</v>
      </c>
      <c r="P167" s="46">
        <f ca="1">O167/SUM(O:O)</f>
        <v>7.7551546391720653E-3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input_606100!A$2</f>
        <v>606100</v>
      </c>
      <c r="B168" s="5">
        <v>402</v>
      </c>
      <c r="C168" s="7" t="str">
        <f t="shared" si="8"/>
        <v>Premium5</v>
      </c>
      <c r="D168" s="7" t="str">
        <f t="shared" si="9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IFERROR(VLOOKUP(B168,input_606100!L:R,7,FALSE),VLOOKUP(tables_606100!C168,input_606100!A:H,8,FALSE))</f>
        <v>82006.25</v>
      </c>
      <c r="P168" s="46">
        <f ca="1">O168/SUM(O:O)</f>
        <v>5.6361683848774047E-4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input_606100!A$2</f>
        <v>606100</v>
      </c>
      <c r="B169" s="5">
        <v>403</v>
      </c>
      <c r="C169" s="7" t="str">
        <f t="shared" si="8"/>
        <v>PremiumSS4</v>
      </c>
      <c r="D169" s="7" t="str">
        <f t="shared" si="9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IFERROR(VLOOKUP(B169,input_606100!L:R,7,FALSE),VLOOKUP(tables_606100!C169,input_606100!A:H,8,FALSE))</f>
        <v>164900</v>
      </c>
      <c r="P169" s="46">
        <f ca="1">O169/SUM(O:O)</f>
        <v>1.1333333333328668E-3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input_606100!A$2</f>
        <v>606100</v>
      </c>
      <c r="B170" s="5">
        <v>404</v>
      </c>
      <c r="C170" s="7" t="str">
        <f t="shared" si="8"/>
        <v>PremiumSS5</v>
      </c>
      <c r="D170" s="7" t="str">
        <f t="shared" si="9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IFERROR(VLOOKUP(B170,input_606100!L:R,7,FALSE),VLOOKUP(tables_606100!C170,input_606100!A:H,8,FALSE))</f>
        <v>29100</v>
      </c>
      <c r="P170" s="46">
        <f ca="1">O170/SUM(O:O)</f>
        <v>1.9999999999991766E-4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input_606100!A$2</f>
        <v>606100</v>
      </c>
      <c r="B171" s="5">
        <v>405</v>
      </c>
      <c r="C171" s="7" t="str">
        <f t="shared" si="8"/>
        <v>Premium3</v>
      </c>
      <c r="D171" s="7" t="str">
        <f t="shared" si="9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IFERROR(VLOOKUP(B171,input_606100!L:R,7,FALSE),VLOOKUP(tables_606100!C171,input_606100!A:H,8,FALSE))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input_606100!A$2</f>
        <v>606100</v>
      </c>
      <c r="B172" s="5">
        <v>406</v>
      </c>
      <c r="C172" s="7" t="str">
        <f t="shared" si="8"/>
        <v>Premium4</v>
      </c>
      <c r="D172" s="7" t="str">
        <f t="shared" si="9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IFERROR(VLOOKUP(B172,input_606100!L:R,7,FALSE),VLOOKUP(tables_606100!C172,input_606100!A:H,8,FALSE))</f>
        <v>1128375</v>
      </c>
      <c r="P172" s="46">
        <f ca="1">O172/SUM(O:O)</f>
        <v>7.7551546391720653E-3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input_606100!A$2</f>
        <v>606100</v>
      </c>
      <c r="B173" s="5">
        <v>407</v>
      </c>
      <c r="C173" s="7" t="str">
        <f t="shared" si="8"/>
        <v>Premium5</v>
      </c>
      <c r="D173" s="7" t="str">
        <f t="shared" si="9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IFERROR(VLOOKUP(B173,input_606100!L:R,7,FALSE),VLOOKUP(tables_606100!C173,input_606100!A:H,8,FALSE))</f>
        <v>82006.25</v>
      </c>
      <c r="P173" s="46">
        <f ca="1">O173/SUM(O:O)</f>
        <v>5.6361683848774047E-4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input_606100!A$2</f>
        <v>606100</v>
      </c>
      <c r="B174" s="5">
        <v>408</v>
      </c>
      <c r="C174" s="7" t="str">
        <f t="shared" si="8"/>
        <v>PremiumSS4</v>
      </c>
      <c r="D174" s="7" t="str">
        <f t="shared" si="9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IFERROR(VLOOKUP(B174,input_606100!L:R,7,FALSE),VLOOKUP(tables_606100!C174,input_606100!A:H,8,FALSE))</f>
        <v>164900</v>
      </c>
      <c r="P174" s="46">
        <f ca="1">O174/SUM(O:O)</f>
        <v>1.1333333333328668E-3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input_606100!A$2</f>
        <v>606100</v>
      </c>
      <c r="B175" s="5">
        <v>409</v>
      </c>
      <c r="C175" s="7" t="str">
        <f t="shared" si="8"/>
        <v>PremiumSS5</v>
      </c>
      <c r="D175" s="7" t="str">
        <f t="shared" si="9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IFERROR(VLOOKUP(B175,input_606100!L:R,7,FALSE),VLOOKUP(tables_606100!C175,input_606100!A:H,8,FALSE))</f>
        <v>29100</v>
      </c>
      <c r="P175" s="46">
        <f ca="1">O175/SUM(O:O)</f>
        <v>1.9999999999991766E-4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input_606100!A$2</f>
        <v>606100</v>
      </c>
      <c r="B176" s="5">
        <v>434</v>
      </c>
      <c r="C176" s="7" t="str">
        <f t="shared" si="8"/>
        <v>PremiumSS4</v>
      </c>
      <c r="D176" s="7" t="str">
        <f t="shared" si="9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IFERROR(VLOOKUP(B176,input_606100!L:R,7,FALSE),VLOOKUP(tables_606100!C176,input_606100!A:H,8,FALSE))</f>
        <v>164900</v>
      </c>
      <c r="P176" s="46">
        <f ca="1">O176/SUM(O:O)</f>
        <v>1.1333333333328668E-3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input_606100!A$2</f>
        <v>606100</v>
      </c>
      <c r="B177" s="5">
        <v>435</v>
      </c>
      <c r="C177" s="7" t="str">
        <f t="shared" si="8"/>
        <v>PremiumSS5</v>
      </c>
      <c r="D177" s="7" t="str">
        <f t="shared" si="9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IFERROR(VLOOKUP(B177,input_606100!L:R,7,FALSE),VLOOKUP(tables_606100!C177,input_606100!A:H,8,FALSE))</f>
        <v>29100</v>
      </c>
      <c r="P177" s="46">
        <f ca="1">O177/SUM(O:O)</f>
        <v>1.9999999999991766E-4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input_606100!A$2</f>
        <v>606100</v>
      </c>
      <c r="B178" s="5">
        <v>436</v>
      </c>
      <c r="C178" s="7" t="str">
        <f t="shared" si="8"/>
        <v>Premium3</v>
      </c>
      <c r="D178" s="7" t="str">
        <f t="shared" si="9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IFERROR(VLOOKUP(B178,input_606100!L:R,7,FALSE),VLOOKUP(tables_606100!C178,input_606100!A:H,8,FALSE))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input_606100!A$2</f>
        <v>606100</v>
      </c>
      <c r="B179" s="5">
        <v>437</v>
      </c>
      <c r="C179" s="7" t="str">
        <f t="shared" si="8"/>
        <v>Premium4</v>
      </c>
      <c r="D179" s="7" t="str">
        <f t="shared" si="9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IFERROR(VLOOKUP(B179,input_606100!L:R,7,FALSE),VLOOKUP(tables_606100!C179,input_606100!A:H,8,FALSE))</f>
        <v>1128375</v>
      </c>
      <c r="P179" s="46">
        <f ca="1">O179/SUM(O:O)</f>
        <v>7.7551546391720653E-3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input_606100!A$2</f>
        <v>606100</v>
      </c>
      <c r="B180" s="5">
        <v>438</v>
      </c>
      <c r="C180" s="7" t="str">
        <f t="shared" si="8"/>
        <v>Premium5</v>
      </c>
      <c r="D180" s="7" t="str">
        <f t="shared" si="9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IFERROR(VLOOKUP(B180,input_606100!L:R,7,FALSE),VLOOKUP(tables_606100!C180,input_606100!A:H,8,FALSE))</f>
        <v>82006.25</v>
      </c>
      <c r="P180" s="46">
        <f ca="1">O180/SUM(O:O)</f>
        <v>5.6361683848774047E-4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input_606100!A$2</f>
        <v>606100</v>
      </c>
      <c r="B181" s="5">
        <v>439</v>
      </c>
      <c r="C181" s="7" t="str">
        <f t="shared" si="8"/>
        <v>Premium3</v>
      </c>
      <c r="D181" s="7" t="str">
        <f t="shared" si="9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IFERROR(VLOOKUP(B181,input_606100!L:R,7,FALSE),VLOOKUP(tables_606100!C181,input_606100!A:H,8,FALSE))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input_606100!A$2</f>
        <v>606100</v>
      </c>
      <c r="B182" s="5">
        <v>440</v>
      </c>
      <c r="C182" s="7" t="str">
        <f t="shared" si="8"/>
        <v>Premium4</v>
      </c>
      <c r="D182" s="7" t="str">
        <f t="shared" si="9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IFERROR(VLOOKUP(B182,input_606100!L:R,7,FALSE),VLOOKUP(tables_606100!C182,input_606100!A:H,8,FALSE))</f>
        <v>1128375</v>
      </c>
      <c r="P182" s="46">
        <f ca="1">O182/SUM(O:O)</f>
        <v>7.7551546391720653E-3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input_606100!A$2</f>
        <v>606100</v>
      </c>
      <c r="B183" s="5">
        <v>441</v>
      </c>
      <c r="C183" s="7" t="str">
        <f t="shared" si="8"/>
        <v>Premium5</v>
      </c>
      <c r="D183" s="7" t="str">
        <f t="shared" si="9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IFERROR(VLOOKUP(B183,input_606100!L:R,7,FALSE),VLOOKUP(tables_606100!C183,input_606100!A:H,8,FALSE))</f>
        <v>82006.25</v>
      </c>
      <c r="P183" s="46">
        <f ca="1">O183/SUM(O:O)</f>
        <v>5.6361683848774047E-4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input_606100!A$2</f>
        <v>606100</v>
      </c>
      <c r="B184" s="5">
        <v>442</v>
      </c>
      <c r="C184" s="7" t="str">
        <f t="shared" si="8"/>
        <v>PremiumSS4</v>
      </c>
      <c r="D184" s="7" t="str">
        <f t="shared" si="9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IFERROR(VLOOKUP(B184,input_606100!L:R,7,FALSE),VLOOKUP(tables_606100!C184,input_606100!A:H,8,FALSE))</f>
        <v>164900</v>
      </c>
      <c r="P184" s="46">
        <f ca="1">O184/SUM(O:O)</f>
        <v>1.1333333333328668E-3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input_606100!A$2</f>
        <v>606100</v>
      </c>
      <c r="B185" s="5">
        <v>443</v>
      </c>
      <c r="C185" s="7" t="str">
        <f t="shared" si="8"/>
        <v>PremiumSS5</v>
      </c>
      <c r="D185" s="7" t="str">
        <f t="shared" si="9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IFERROR(VLOOKUP(B185,input_606100!L:R,7,FALSE),VLOOKUP(tables_606100!C185,input_606100!A:H,8,FALSE))</f>
        <v>29100</v>
      </c>
      <c r="P185" s="46">
        <f ca="1">O185/SUM(O:O)</f>
        <v>1.9999999999991766E-4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input_606100!A$2</f>
        <v>606100</v>
      </c>
      <c r="B186" s="5">
        <v>462</v>
      </c>
      <c r="C186" s="7" t="str">
        <f t="shared" si="8"/>
        <v>Premium3</v>
      </c>
      <c r="D186" s="7" t="str">
        <f t="shared" si="9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IFERROR(VLOOKUP(B186,input_606100!L:R,7,FALSE),VLOOKUP(tables_606100!C186,input_606100!A:H,8,FALSE))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input_606100!A$2</f>
        <v>606100</v>
      </c>
      <c r="B187" s="5">
        <v>463</v>
      </c>
      <c r="C187" s="7" t="str">
        <f t="shared" si="8"/>
        <v>Premium4</v>
      </c>
      <c r="D187" s="7" t="str">
        <f t="shared" si="9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IFERROR(VLOOKUP(B187,input_606100!L:R,7,FALSE),VLOOKUP(tables_606100!C187,input_606100!A:H,8,FALSE))</f>
        <v>1128375</v>
      </c>
      <c r="P187" s="46">
        <f ca="1">O187/SUM(O:O)</f>
        <v>7.7551546391720653E-3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input_606100!A$2</f>
        <v>606100</v>
      </c>
      <c r="B188" s="5">
        <v>464</v>
      </c>
      <c r="C188" s="7" t="str">
        <f t="shared" si="8"/>
        <v>Premium5</v>
      </c>
      <c r="D188" s="7" t="str">
        <f t="shared" si="9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IFERROR(VLOOKUP(B188,input_606100!L:R,7,FALSE),VLOOKUP(tables_606100!C188,input_606100!A:H,8,FALSE))</f>
        <v>82006.25</v>
      </c>
      <c r="P188" s="46">
        <f ca="1">O188/SUM(O:O)</f>
        <v>5.6361683848774047E-4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input_606100!A$2</f>
        <v>606100</v>
      </c>
      <c r="B189" s="5">
        <v>465</v>
      </c>
      <c r="C189" s="7" t="str">
        <f t="shared" si="8"/>
        <v>PremiumSS4</v>
      </c>
      <c r="D189" s="7" t="str">
        <f t="shared" si="9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IFERROR(VLOOKUP(B189,input_606100!L:R,7,FALSE),VLOOKUP(tables_606100!C189,input_606100!A:H,8,FALSE))</f>
        <v>164900</v>
      </c>
      <c r="P189" s="46">
        <f ca="1">O189/SUM(O:O)</f>
        <v>1.1333333333328668E-3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input_606100!A$2</f>
        <v>606100</v>
      </c>
      <c r="B190" s="5">
        <v>466</v>
      </c>
      <c r="C190" s="7" t="str">
        <f t="shared" si="8"/>
        <v>PremiumSS5</v>
      </c>
      <c r="D190" s="7" t="str">
        <f t="shared" si="9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IFERROR(VLOOKUP(B190,input_606100!L:R,7,FALSE),VLOOKUP(tables_606100!C190,input_606100!A:H,8,FALSE))</f>
        <v>29100</v>
      </c>
      <c r="P190" s="46">
        <f ca="1">O190/SUM(O:O)</f>
        <v>1.9999999999991766E-4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input_606100!A$2</f>
        <v>606100</v>
      </c>
      <c r="B191" s="5">
        <v>467</v>
      </c>
      <c r="C191" s="7" t="str">
        <f t="shared" si="8"/>
        <v>PremiumSS4</v>
      </c>
      <c r="D191" s="7" t="str">
        <f t="shared" si="9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IFERROR(VLOOKUP(B191,input_606100!L:R,7,FALSE),VLOOKUP(tables_606100!C191,input_606100!A:H,8,FALSE))</f>
        <v>164900</v>
      </c>
      <c r="P191" s="46">
        <f ca="1">O191/SUM(O:O)</f>
        <v>1.1333333333328668E-3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input_606100!A$2</f>
        <v>606100</v>
      </c>
      <c r="B192" s="5">
        <v>468</v>
      </c>
      <c r="C192" s="7" t="str">
        <f t="shared" si="8"/>
        <v>PremiumSS5</v>
      </c>
      <c r="D192" s="7" t="str">
        <f t="shared" si="9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IFERROR(VLOOKUP(B192,input_606100!L:R,7,FALSE),VLOOKUP(tables_606100!C192,input_606100!A:H,8,FALSE))</f>
        <v>29100</v>
      </c>
      <c r="P192" s="46">
        <f ca="1">O192/SUM(O:O)</f>
        <v>1.9999999999991766E-4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input_606100!A$2</f>
        <v>606100</v>
      </c>
      <c r="B193" s="5">
        <v>469</v>
      </c>
      <c r="C193" s="7" t="str">
        <f t="shared" si="8"/>
        <v>Premium3</v>
      </c>
      <c r="D193" s="7" t="str">
        <f t="shared" si="9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IFERROR(VLOOKUP(B193,input_606100!L:R,7,FALSE),VLOOKUP(tables_606100!C193,input_606100!A:H,8,FALSE))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input_606100!A$2</f>
        <v>606100</v>
      </c>
      <c r="B194" s="5">
        <v>470</v>
      </c>
      <c r="C194" s="7" t="str">
        <f t="shared" si="8"/>
        <v>Premium4</v>
      </c>
      <c r="D194" s="7" t="str">
        <f t="shared" si="9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IFERROR(VLOOKUP(B194,input_606100!L:R,7,FALSE),VLOOKUP(tables_606100!C194,input_606100!A:H,8,FALSE))</f>
        <v>1128375</v>
      </c>
      <c r="P194" s="46">
        <f ca="1">O194/SUM(O:O)</f>
        <v>7.7551546391720653E-3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input_606100!A$2</f>
        <v>606100</v>
      </c>
      <c r="B195" s="5">
        <v>471</v>
      </c>
      <c r="C195" s="7" t="str">
        <f t="shared" si="8"/>
        <v>Premium5</v>
      </c>
      <c r="D195" s="7" t="str">
        <f t="shared" si="9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IFERROR(VLOOKUP(B195,input_606100!L:R,7,FALSE),VLOOKUP(tables_606100!C195,input_606100!A:H,8,FALSE))</f>
        <v>82006.25</v>
      </c>
      <c r="P195" s="46">
        <f ca="1">O195/SUM(O:O)</f>
        <v>5.6361683848774047E-4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input_606100!A$2</f>
        <v>606100</v>
      </c>
      <c r="B196" s="5">
        <v>474</v>
      </c>
      <c r="C196" s="7" t="str">
        <f t="shared" si="8"/>
        <v>PremiumSS4</v>
      </c>
      <c r="D196" s="7" t="str">
        <f t="shared" si="9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IFERROR(VLOOKUP(B196,input_606100!L:R,7,FALSE),VLOOKUP(tables_606100!C196,input_606100!A:H,8,FALSE))</f>
        <v>164900</v>
      </c>
      <c r="P196" s="46">
        <f ca="1">O196/SUM(O:O)</f>
        <v>1.1333333333328668E-3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input_606100!A$2</f>
        <v>606100</v>
      </c>
      <c r="B197" s="5">
        <v>475</v>
      </c>
      <c r="C197" s="7" t="str">
        <f t="shared" si="8"/>
        <v>PremiumSS5</v>
      </c>
      <c r="D197" s="7" t="str">
        <f t="shared" si="9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IFERROR(VLOOKUP(B197,input_606100!L:R,7,FALSE),VLOOKUP(tables_606100!C197,input_606100!A:H,8,FALSE))</f>
        <v>29100</v>
      </c>
      <c r="P197" s="46">
        <f ca="1">O197/SUM(O:O)</f>
        <v>1.9999999999991766E-4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input_606100!A$2</f>
        <v>606100</v>
      </c>
      <c r="B198" s="5">
        <v>476</v>
      </c>
      <c r="C198" s="7" t="str">
        <f t="shared" si="8"/>
        <v>Premium3</v>
      </c>
      <c r="D198" s="7" t="str">
        <f t="shared" si="9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IFERROR(VLOOKUP(B198,input_606100!L:R,7,FALSE),VLOOKUP(tables_606100!C198,input_606100!A:H,8,FALSE))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input_606100!A$2</f>
        <v>606100</v>
      </c>
      <c r="B199" s="5">
        <v>477</v>
      </c>
      <c r="C199" s="7" t="str">
        <f t="shared" si="8"/>
        <v>Premium4</v>
      </c>
      <c r="D199" s="7" t="str">
        <f t="shared" si="9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IFERROR(VLOOKUP(B199,input_606100!L:R,7,FALSE),VLOOKUP(tables_606100!C199,input_606100!A:H,8,FALSE))</f>
        <v>1128375</v>
      </c>
      <c r="P199" s="46">
        <f ca="1">O199/SUM(O:O)</f>
        <v>7.7551546391720653E-3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input_606100!A$2</f>
        <v>606100</v>
      </c>
      <c r="B200" s="5">
        <v>478</v>
      </c>
      <c r="C200" s="7" t="str">
        <f t="shared" si="8"/>
        <v>Premium5</v>
      </c>
      <c r="D200" s="7" t="str">
        <f t="shared" si="9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IFERROR(VLOOKUP(B200,input_606100!L:R,7,FALSE),VLOOKUP(tables_606100!C200,input_606100!A:H,8,FALSE))</f>
        <v>82006.25</v>
      </c>
      <c r="P200" s="46">
        <f ca="1">O200/SUM(O:O)</f>
        <v>5.6361683848774047E-4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input_606100!A$2</f>
        <v>606100</v>
      </c>
      <c r="B201" s="5">
        <v>479</v>
      </c>
      <c r="C201" s="7" t="str">
        <f t="shared" si="8"/>
        <v>PremiumSS4</v>
      </c>
      <c r="D201" s="7" t="str">
        <f t="shared" si="9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IFERROR(VLOOKUP(B201,input_606100!L:R,7,FALSE),VLOOKUP(tables_606100!C201,input_606100!A:H,8,FALSE))</f>
        <v>164900</v>
      </c>
      <c r="P201" s="46">
        <f ca="1">O201/SUM(O:O)</f>
        <v>1.1333333333328668E-3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input_606100!A$2</f>
        <v>606100</v>
      </c>
      <c r="B202" s="5">
        <v>480</v>
      </c>
      <c r="C202" s="7" t="str">
        <f t="shared" ref="C202:C265" si="10">D202&amp;J202&amp;E202&amp;F202&amp;G202</f>
        <v>PremiumSS5</v>
      </c>
      <c r="D202" s="7" t="str">
        <f t="shared" ref="D202:D265" si="11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IFERROR(VLOOKUP(B202,input_606100!L:R,7,FALSE),VLOOKUP(tables_606100!C202,input_606100!A:H,8,FALSE))</f>
        <v>29100</v>
      </c>
      <c r="P202" s="46">
        <f ca="1">O202/SUM(O:O)</f>
        <v>1.9999999999991766E-4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input_606100!A$2</f>
        <v>606100</v>
      </c>
      <c r="B203" s="5">
        <v>481</v>
      </c>
      <c r="C203" s="7" t="str">
        <f t="shared" si="10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IFERROR(VLOOKUP(B203,input_606100!L:R,7,FALSE),VLOOKUP(tables_606100!C203,input_606100!A:H,8,FALSE))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input_606100!A$2</f>
        <v>606100</v>
      </c>
      <c r="B204" s="5">
        <v>482</v>
      </c>
      <c r="C204" s="7" t="str">
        <f t="shared" si="10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IFERROR(VLOOKUP(B204,input_606100!L:R,7,FALSE),VLOOKUP(tables_606100!C204,input_606100!A:H,8,FALSE))</f>
        <v>1128375</v>
      </c>
      <c r="P204" s="46">
        <f ca="1">O204/SUM(O:O)</f>
        <v>7.7551546391720653E-3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input_606100!A$2</f>
        <v>606100</v>
      </c>
      <c r="B205" s="5">
        <v>483</v>
      </c>
      <c r="C205" s="7" t="str">
        <f t="shared" si="10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IFERROR(VLOOKUP(B205,input_606100!L:R,7,FALSE),VLOOKUP(tables_606100!C205,input_606100!A:H,8,FALSE))</f>
        <v>82006.25</v>
      </c>
      <c r="P205" s="46">
        <f ca="1">O205/SUM(O:O)</f>
        <v>5.6361683848774047E-4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input_606100!A$2</f>
        <v>606100</v>
      </c>
      <c r="B206" s="5">
        <v>492</v>
      </c>
      <c r="C206" s="7" t="str">
        <f t="shared" si="10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IFERROR(VLOOKUP(B206,input_606100!L:R,7,FALSE),VLOOKUP(tables_606100!C206,input_606100!A:H,8,FALSE))</f>
        <v>164900</v>
      </c>
      <c r="P206" s="46">
        <f ca="1">O206/SUM(O:O)</f>
        <v>1.1333333333328668E-3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input_606100!A$2</f>
        <v>606100</v>
      </c>
      <c r="B207" s="5">
        <v>493</v>
      </c>
      <c r="C207" s="7" t="str">
        <f t="shared" si="10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IFERROR(VLOOKUP(B207,input_606100!L:R,7,FALSE),VLOOKUP(tables_606100!C207,input_606100!A:H,8,FALSE))</f>
        <v>29100</v>
      </c>
      <c r="P207" s="46">
        <f ca="1">O207/SUM(O:O)</f>
        <v>1.9999999999991766E-4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input_606100!A$2</f>
        <v>606100</v>
      </c>
      <c r="B208" s="5">
        <v>494</v>
      </c>
      <c r="C208" s="7" t="str">
        <f t="shared" si="10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IFERROR(VLOOKUP(B208,input_606100!L:R,7,FALSE),VLOOKUP(tables_606100!C208,input_606100!A:H,8,FALSE))</f>
        <v>164900</v>
      </c>
      <c r="P208" s="46">
        <f ca="1">O208/SUM(O:O)</f>
        <v>1.1333333333328668E-3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input_606100!A$2</f>
        <v>606100</v>
      </c>
      <c r="B209" s="5">
        <v>495</v>
      </c>
      <c r="C209" s="7" t="str">
        <f t="shared" si="10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IFERROR(VLOOKUP(B209,input_606100!L:R,7,FALSE),VLOOKUP(tables_606100!C209,input_606100!A:H,8,FALSE))</f>
        <v>29100</v>
      </c>
      <c r="P209" s="46">
        <f ca="1">O209/SUM(O:O)</f>
        <v>1.9999999999991766E-4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input_606100!A$2</f>
        <v>606100</v>
      </c>
      <c r="B210" s="5">
        <v>496</v>
      </c>
      <c r="C210" s="7" t="str">
        <f t="shared" si="10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IFERROR(VLOOKUP(B210,input_606100!L:R,7,FALSE),VLOOKUP(tables_606100!C210,input_606100!A:H,8,FALSE))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input_606100!A$2</f>
        <v>606100</v>
      </c>
      <c r="B211" s="5">
        <v>497</v>
      </c>
      <c r="C211" s="7" t="str">
        <f t="shared" si="10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IFERROR(VLOOKUP(B211,input_606100!L:R,7,FALSE),VLOOKUP(tables_606100!C211,input_606100!A:H,8,FALSE))</f>
        <v>1128375</v>
      </c>
      <c r="P211" s="46">
        <f ca="1">O211/SUM(O:O)</f>
        <v>7.7551546391720653E-3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input_606100!A$2</f>
        <v>606100</v>
      </c>
      <c r="B212" s="5">
        <v>498</v>
      </c>
      <c r="C212" s="7" t="str">
        <f t="shared" si="10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IFERROR(VLOOKUP(B212,input_606100!L:R,7,FALSE),VLOOKUP(tables_606100!C212,input_606100!A:H,8,FALSE))</f>
        <v>82006.25</v>
      </c>
      <c r="P212" s="46">
        <f ca="1">O212/SUM(O:O)</f>
        <v>5.6361683848774047E-4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input_606100!A$2</f>
        <v>606100</v>
      </c>
      <c r="B213" s="5">
        <v>499</v>
      </c>
      <c r="C213" s="7" t="str">
        <f t="shared" si="10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IFERROR(VLOOKUP(B213,input_606100!L:R,7,FALSE),VLOOKUP(tables_606100!C213,input_606100!A:H,8,FALSE))</f>
        <v>164900</v>
      </c>
      <c r="P213" s="46">
        <f ca="1">O213/SUM(O:O)</f>
        <v>1.1333333333328668E-3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input_606100!A$2</f>
        <v>606100</v>
      </c>
      <c r="B214" s="5">
        <v>500</v>
      </c>
      <c r="C214" s="7" t="str">
        <f t="shared" si="10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IFERROR(VLOOKUP(B214,input_606100!L:R,7,FALSE),VLOOKUP(tables_606100!C214,input_606100!A:H,8,FALSE))</f>
        <v>29100</v>
      </c>
      <c r="P214" s="46">
        <f ca="1">O214/SUM(O:O)</f>
        <v>1.9999999999991766E-4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input_606100!A$2</f>
        <v>606100</v>
      </c>
      <c r="B215" s="5">
        <v>560</v>
      </c>
      <c r="C215" s="7" t="str">
        <f t="shared" si="10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IFERROR(VLOOKUP(B215,input_606100!L:R,7,FALSE),VLOOKUP(tables_606100!C215,input_606100!A:H,8,FALSE))</f>
        <v>199125</v>
      </c>
      <c r="P215" s="46">
        <f ca="1">O215/SUM(O:O)</f>
        <v>1.3685567010303643E-3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input_606100!A$2</f>
        <v>606100</v>
      </c>
      <c r="B216" s="5">
        <v>561</v>
      </c>
      <c r="C216" s="7" t="str">
        <f t="shared" si="10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IFERROR(VLOOKUP(B216,input_606100!L:R,7,FALSE),VLOOKUP(tables_606100!C216,input_606100!A:H,8,FALSE))</f>
        <v>199125</v>
      </c>
      <c r="P216" s="46">
        <f ca="1">O216/SUM(O:O)</f>
        <v>1.3685567010303643E-3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input_606100!A$2</f>
        <v>606100</v>
      </c>
      <c r="B217" s="5">
        <v>562</v>
      </c>
      <c r="C217" s="7" t="str">
        <f t="shared" si="10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IFERROR(VLOOKUP(B217,input_606100!L:R,7,FALSE),VLOOKUP(tables_606100!C217,input_606100!A:H,8,FALSE))</f>
        <v>199125</v>
      </c>
      <c r="P217" s="46">
        <f ca="1">O217/SUM(O:O)</f>
        <v>1.3685567010303643E-3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input_606100!A$2</f>
        <v>606100</v>
      </c>
      <c r="B218" s="5">
        <v>563</v>
      </c>
      <c r="C218" s="7" t="str">
        <f t="shared" si="10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IFERROR(VLOOKUP(B218,input_606100!L:R,7,FALSE),VLOOKUP(tables_606100!C218,input_606100!A:H,8,FALSE))</f>
        <v>199125</v>
      </c>
      <c r="P218" s="46">
        <f ca="1">O218/SUM(O:O)</f>
        <v>1.3685567010303643E-3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input_606100!A$2</f>
        <v>606100</v>
      </c>
      <c r="B219" s="5">
        <v>566</v>
      </c>
      <c r="C219" s="7" t="str">
        <f t="shared" si="10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IFERROR(VLOOKUP(B219,input_606100!L:R,7,FALSE),VLOOKUP(tables_606100!C219,input_606100!A:H,8,FALSE))</f>
        <v>199125</v>
      </c>
      <c r="P219" s="46">
        <f ca="1">O219/SUM(O:O)</f>
        <v>1.3685567010303643E-3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input_606100!A$2</f>
        <v>606100</v>
      </c>
      <c r="B220" s="5">
        <v>567</v>
      </c>
      <c r="C220" s="7" t="str">
        <f t="shared" si="10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IFERROR(VLOOKUP(B220,input_606100!L:R,7,FALSE),VLOOKUP(tables_606100!C220,input_606100!A:H,8,FALSE))</f>
        <v>199125</v>
      </c>
      <c r="P220" s="46">
        <f ca="1">O220/SUM(O:O)</f>
        <v>1.3685567010303643E-3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input_606100!A$2</f>
        <v>606100</v>
      </c>
      <c r="B221" s="5">
        <v>586</v>
      </c>
      <c r="C221" s="7" t="str">
        <f t="shared" si="10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IFERROR(VLOOKUP(B221,input_606100!L:R,7,FALSE),VLOOKUP(tables_606100!C221,input_606100!A:H,8,FALSE))</f>
        <v>164900</v>
      </c>
      <c r="P221" s="46">
        <f ca="1">O221/SUM(O:O)</f>
        <v>1.1333333333328668E-3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input_606100!A$2</f>
        <v>606100</v>
      </c>
      <c r="B222" s="5">
        <v>587</v>
      </c>
      <c r="C222" s="7" t="str">
        <f t="shared" si="10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IFERROR(VLOOKUP(B222,input_606100!L:R,7,FALSE),VLOOKUP(tables_606100!C222,input_606100!A:H,8,FALSE))</f>
        <v>29100</v>
      </c>
      <c r="P222" s="46">
        <f ca="1">O222/SUM(O:O)</f>
        <v>1.9999999999991766E-4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input_606100!A$2</f>
        <v>606100</v>
      </c>
      <c r="B223" s="5">
        <v>588</v>
      </c>
      <c r="C223" s="7" t="str">
        <f t="shared" si="10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IFERROR(VLOOKUP(B223,input_606100!L:R,7,FALSE),VLOOKUP(tables_606100!C223,input_606100!A:H,8,FALSE))</f>
        <v>0</v>
      </c>
      <c r="P223" s="46">
        <f ca="1">O223/SUM(O:O)</f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input_606100!A$2</f>
        <v>606100</v>
      </c>
      <c r="B224" s="5">
        <v>589</v>
      </c>
      <c r="C224" s="7" t="str">
        <f t="shared" si="10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IFERROR(VLOOKUP(B224,input_606100!L:R,7,FALSE),VLOOKUP(tables_606100!C224,input_606100!A:H,8,FALSE))</f>
        <v>1128375</v>
      </c>
      <c r="P224" s="46">
        <f ca="1">O224/SUM(O:O)</f>
        <v>7.7551546391720653E-3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input_606100!A$2</f>
        <v>606100</v>
      </c>
      <c r="B225" s="5">
        <v>590</v>
      </c>
      <c r="C225" s="7" t="str">
        <f t="shared" si="10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IFERROR(VLOOKUP(B225,input_606100!L:R,7,FALSE),VLOOKUP(tables_606100!C225,input_606100!A:H,8,FALSE))</f>
        <v>82006.25</v>
      </c>
      <c r="P225" s="46">
        <f ca="1">O225/SUM(O:O)</f>
        <v>5.6361683848774047E-4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input_606100!A$2</f>
        <v>606100</v>
      </c>
      <c r="B226" s="5">
        <v>591</v>
      </c>
      <c r="C226" s="7" t="str">
        <f t="shared" si="10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IFERROR(VLOOKUP(B226,input_606100!L:R,7,FALSE),VLOOKUP(tables_606100!C226,input_606100!A:H,8,FALSE))</f>
        <v>0</v>
      </c>
      <c r="P226" s="46">
        <f ca="1">O226/SUM(O:O)</f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input_606100!A$2</f>
        <v>606100</v>
      </c>
      <c r="B227" s="5">
        <v>592</v>
      </c>
      <c r="C227" s="7" t="str">
        <f t="shared" si="10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IFERROR(VLOOKUP(B227,input_606100!L:R,7,FALSE),VLOOKUP(tables_606100!C227,input_606100!A:H,8,FALSE))</f>
        <v>1128375</v>
      </c>
      <c r="P227" s="46">
        <f ca="1">O227/SUM(O:O)</f>
        <v>7.7551546391720653E-3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input_606100!A$2</f>
        <v>606100</v>
      </c>
      <c r="B228" s="5">
        <v>593</v>
      </c>
      <c r="C228" s="7" t="str">
        <f t="shared" si="10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IFERROR(VLOOKUP(B228,input_606100!L:R,7,FALSE),VLOOKUP(tables_606100!C228,input_606100!A:H,8,FALSE))</f>
        <v>82006.25</v>
      </c>
      <c r="P228" s="46">
        <f ca="1">O228/SUM(O:O)</f>
        <v>5.6361683848774047E-4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input_606100!A$2</f>
        <v>606100</v>
      </c>
      <c r="B229" s="5">
        <v>594</v>
      </c>
      <c r="C229" s="7" t="str">
        <f t="shared" si="10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IFERROR(VLOOKUP(B229,input_606100!L:R,7,FALSE),VLOOKUP(tables_606100!C229,input_606100!A:H,8,FALSE))</f>
        <v>164900</v>
      </c>
      <c r="P229" s="46">
        <f ca="1">O229/SUM(O:O)</f>
        <v>1.1333333333328668E-3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input_606100!A$2</f>
        <v>606100</v>
      </c>
      <c r="B230" s="5">
        <v>595</v>
      </c>
      <c r="C230" s="7" t="str">
        <f t="shared" si="10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IFERROR(VLOOKUP(B230,input_606100!L:R,7,FALSE),VLOOKUP(tables_606100!C230,input_606100!A:H,8,FALSE))</f>
        <v>29100</v>
      </c>
      <c r="P230" s="46">
        <f ca="1">O230/SUM(O:O)</f>
        <v>1.9999999999991766E-4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input_606100!A$2</f>
        <v>606100</v>
      </c>
      <c r="B231" s="5">
        <v>596</v>
      </c>
      <c r="C231" s="7" t="str">
        <f t="shared" si="10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IFERROR(VLOOKUP(B231,input_606100!L:R,7,FALSE),VLOOKUP(tables_606100!C231,input_606100!A:H,8,FALSE))</f>
        <v>0</v>
      </c>
      <c r="P231" s="46">
        <f ca="1">O231/SUM(O:O)</f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input_606100!A$2</f>
        <v>606100</v>
      </c>
      <c r="B232" s="5">
        <v>597</v>
      </c>
      <c r="C232" s="7" t="str">
        <f t="shared" si="10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IFERROR(VLOOKUP(B232,input_606100!L:R,7,FALSE),VLOOKUP(tables_606100!C232,input_606100!A:H,8,FALSE))</f>
        <v>1128375</v>
      </c>
      <c r="P232" s="46">
        <f ca="1">O232/SUM(O:O)</f>
        <v>7.7551546391720653E-3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input_606100!A$2</f>
        <v>606100</v>
      </c>
      <c r="B233" s="5">
        <v>598</v>
      </c>
      <c r="C233" s="7" t="str">
        <f t="shared" si="10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IFERROR(VLOOKUP(B233,input_606100!L:R,7,FALSE),VLOOKUP(tables_606100!C233,input_606100!A:H,8,FALSE))</f>
        <v>82006.25</v>
      </c>
      <c r="P233" s="46">
        <f ca="1">O233/SUM(O:O)</f>
        <v>5.6361683848774047E-4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input_606100!A$2</f>
        <v>606100</v>
      </c>
      <c r="B234" s="5">
        <v>599</v>
      </c>
      <c r="C234" s="7" t="str">
        <f t="shared" si="10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IFERROR(VLOOKUP(B234,input_606100!L:R,7,FALSE),VLOOKUP(tables_606100!C234,input_606100!A:H,8,FALSE))</f>
        <v>0</v>
      </c>
      <c r="P234" s="46">
        <f ca="1">O234/SUM(O:O)</f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input_606100!A$2</f>
        <v>606100</v>
      </c>
      <c r="B235" s="5">
        <v>600</v>
      </c>
      <c r="C235" s="7" t="str">
        <f t="shared" si="10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IFERROR(VLOOKUP(B235,input_606100!L:R,7,FALSE),VLOOKUP(tables_606100!C235,input_606100!A:H,8,FALSE))</f>
        <v>1128375</v>
      </c>
      <c r="P235" s="46">
        <f ca="1">O235/SUM(O:O)</f>
        <v>7.7551546391720653E-3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input_606100!A$2</f>
        <v>606100</v>
      </c>
      <c r="B236" s="5">
        <v>601</v>
      </c>
      <c r="C236" s="7" t="str">
        <f t="shared" si="10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IFERROR(VLOOKUP(B236,input_606100!L:R,7,FALSE),VLOOKUP(tables_606100!C236,input_606100!A:H,8,FALSE))</f>
        <v>82006.25</v>
      </c>
      <c r="P236" s="46">
        <f ca="1">O236/SUM(O:O)</f>
        <v>5.6361683848774047E-4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input_606100!A$2</f>
        <v>606100</v>
      </c>
      <c r="B237" s="5">
        <v>602</v>
      </c>
      <c r="C237" s="7" t="str">
        <f t="shared" si="10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IFERROR(VLOOKUP(B237,input_606100!L:R,7,FALSE),VLOOKUP(tables_606100!C237,input_606100!A:H,8,FALSE))</f>
        <v>164900</v>
      </c>
      <c r="P237" s="46">
        <f ca="1">O237/SUM(O:O)</f>
        <v>1.1333333333328668E-3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input_606100!A$2</f>
        <v>606100</v>
      </c>
      <c r="B238" s="5">
        <v>603</v>
      </c>
      <c r="C238" s="7" t="str">
        <f t="shared" si="10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IFERROR(VLOOKUP(B238,input_606100!L:R,7,FALSE),VLOOKUP(tables_606100!C238,input_606100!A:H,8,FALSE))</f>
        <v>29100</v>
      </c>
      <c r="P238" s="46">
        <f ca="1">O238/SUM(O:O)</f>
        <v>1.9999999999991766E-4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input_606100!A$2</f>
        <v>606100</v>
      </c>
      <c r="B239" s="5">
        <v>604</v>
      </c>
      <c r="C239" s="7" t="str">
        <f t="shared" si="10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IFERROR(VLOOKUP(B239,input_606100!L:R,7,FALSE),VLOOKUP(tables_606100!C239,input_606100!A:H,8,FALSE))</f>
        <v>0</v>
      </c>
      <c r="P239" s="46">
        <f ca="1">O239/SUM(O:O)</f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input_606100!A$2</f>
        <v>606100</v>
      </c>
      <c r="B240" s="5">
        <v>605</v>
      </c>
      <c r="C240" s="7" t="str">
        <f t="shared" si="10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IFERROR(VLOOKUP(B240,input_606100!L:R,7,FALSE),VLOOKUP(tables_606100!C240,input_606100!A:H,8,FALSE))</f>
        <v>1128375</v>
      </c>
      <c r="P240" s="46">
        <f ca="1">O240/SUM(O:O)</f>
        <v>7.7551546391720653E-3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input_606100!A$2</f>
        <v>606100</v>
      </c>
      <c r="B241" s="5">
        <v>606</v>
      </c>
      <c r="C241" s="7" t="str">
        <f t="shared" si="10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IFERROR(VLOOKUP(B241,input_606100!L:R,7,FALSE),VLOOKUP(tables_606100!C241,input_606100!A:H,8,FALSE))</f>
        <v>82006.25</v>
      </c>
      <c r="P241" s="46">
        <f ca="1">O241/SUM(O:O)</f>
        <v>5.6361683848774047E-4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input_606100!A$2</f>
        <v>606100</v>
      </c>
      <c r="B242" s="5">
        <v>658</v>
      </c>
      <c r="C242" s="7" t="str">
        <f t="shared" si="10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IFERROR(VLOOKUP(B242,input_606100!L:R,7,FALSE),VLOOKUP(tables_606100!C242,input_606100!A:H,8,FALSE))</f>
        <v>164900</v>
      </c>
      <c r="P242" s="46">
        <f ca="1">O242/SUM(O:O)</f>
        <v>1.1333333333328668E-3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input_606100!A$2</f>
        <v>606100</v>
      </c>
      <c r="B243" s="5">
        <v>659</v>
      </c>
      <c r="C243" s="7" t="str">
        <f t="shared" si="10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IFERROR(VLOOKUP(B243,input_606100!L:R,7,FALSE),VLOOKUP(tables_606100!C243,input_606100!A:H,8,FALSE))</f>
        <v>29100</v>
      </c>
      <c r="P243" s="46">
        <f ca="1">O243/SUM(O:O)</f>
        <v>1.9999999999991766E-4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input_606100!A$2</f>
        <v>606100</v>
      </c>
      <c r="B244" s="5">
        <v>660</v>
      </c>
      <c r="C244" s="7" t="str">
        <f t="shared" si="10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IFERROR(VLOOKUP(B244,input_606100!L:R,7,FALSE),VLOOKUP(tables_606100!C244,input_606100!A:H,8,FALSE))</f>
        <v>164900</v>
      </c>
      <c r="P244" s="46">
        <f ca="1">O244/SUM(O:O)</f>
        <v>1.1333333333328668E-3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input_606100!A$2</f>
        <v>606100</v>
      </c>
      <c r="B245" s="5">
        <v>661</v>
      </c>
      <c r="C245" s="7" t="str">
        <f t="shared" si="10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IFERROR(VLOOKUP(B245,input_606100!L:R,7,FALSE),VLOOKUP(tables_606100!C245,input_606100!A:H,8,FALSE))</f>
        <v>29100</v>
      </c>
      <c r="P245" s="46">
        <f ca="1">O245/SUM(O:O)</f>
        <v>1.9999999999991766E-4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input_606100!A$2</f>
        <v>606100</v>
      </c>
      <c r="B246" s="5">
        <v>662</v>
      </c>
      <c r="C246" s="7" t="str">
        <f t="shared" si="10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IFERROR(VLOOKUP(B246,input_606100!L:R,7,FALSE),VLOOKUP(tables_606100!C246,input_606100!A:H,8,FALSE))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input_606100!A$2</f>
        <v>606100</v>
      </c>
      <c r="B247" s="5">
        <v>663</v>
      </c>
      <c r="C247" s="7" t="str">
        <f t="shared" si="10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IFERROR(VLOOKUP(B247,input_606100!L:R,7,FALSE),VLOOKUP(tables_606100!C247,input_606100!A:H,8,FALSE))</f>
        <v>1128375</v>
      </c>
      <c r="P247" s="46">
        <f ca="1">O247/SUM(O:O)</f>
        <v>7.7551546391720653E-3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input_606100!A$2</f>
        <v>606100</v>
      </c>
      <c r="B248" s="5">
        <v>664</v>
      </c>
      <c r="C248" s="7" t="str">
        <f t="shared" si="10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IFERROR(VLOOKUP(B248,input_606100!L:R,7,FALSE),VLOOKUP(tables_606100!C248,input_606100!A:H,8,FALSE))</f>
        <v>82006.25</v>
      </c>
      <c r="P248" s="46">
        <f ca="1">O248/SUM(O:O)</f>
        <v>5.6361683848774047E-4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input_606100!A$2</f>
        <v>606100</v>
      </c>
      <c r="B249" s="5">
        <v>665</v>
      </c>
      <c r="C249" s="7" t="str">
        <f t="shared" si="10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IFERROR(VLOOKUP(B249,input_606100!L:R,7,FALSE),VLOOKUP(tables_606100!C249,input_606100!A:H,8,FALSE))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input_606100!A$2</f>
        <v>606100</v>
      </c>
      <c r="B250" s="5">
        <v>666</v>
      </c>
      <c r="C250" s="7" t="str">
        <f t="shared" si="10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IFERROR(VLOOKUP(B250,input_606100!L:R,7,FALSE),VLOOKUP(tables_606100!C250,input_606100!A:H,8,FALSE))</f>
        <v>1128375</v>
      </c>
      <c r="P250" s="46">
        <f ca="1">O250/SUM(O:O)</f>
        <v>7.7551546391720653E-3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input_606100!A$2</f>
        <v>606100</v>
      </c>
      <c r="B251" s="5">
        <v>667</v>
      </c>
      <c r="C251" s="7" t="str">
        <f t="shared" si="10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IFERROR(VLOOKUP(B251,input_606100!L:R,7,FALSE),VLOOKUP(tables_606100!C251,input_606100!A:H,8,FALSE))</f>
        <v>82006.25</v>
      </c>
      <c r="P251" s="46">
        <f ca="1">O251/SUM(O:O)</f>
        <v>5.6361683848774047E-4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input_606100!A$2</f>
        <v>606100</v>
      </c>
      <c r="B252" s="5">
        <v>668</v>
      </c>
      <c r="C252" s="7" t="str">
        <f t="shared" si="10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IFERROR(VLOOKUP(B252,input_606100!L:R,7,FALSE),VLOOKUP(tables_606100!C252,input_606100!A:H,8,FALSE))</f>
        <v>0</v>
      </c>
      <c r="P252" s="46">
        <f ca="1">O252/SUM(O:O)</f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input_606100!A$2</f>
        <v>606100</v>
      </c>
      <c r="B253" s="5">
        <v>669</v>
      </c>
      <c r="C253" s="7" t="str">
        <f t="shared" si="10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IFERROR(VLOOKUP(B253,input_606100!L:R,7,FALSE),VLOOKUP(tables_606100!C253,input_606100!A:H,8,FALSE))</f>
        <v>1128375</v>
      </c>
      <c r="P253" s="46">
        <f ca="1">O253/SUM(O:O)</f>
        <v>7.7551546391720653E-3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input_606100!A$2</f>
        <v>606100</v>
      </c>
      <c r="B254" s="5">
        <v>670</v>
      </c>
      <c r="C254" s="7" t="str">
        <f t="shared" si="10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IFERROR(VLOOKUP(B254,input_606100!L:R,7,FALSE),VLOOKUP(tables_606100!C254,input_606100!A:H,8,FALSE))</f>
        <v>82006.25</v>
      </c>
      <c r="P254" s="46">
        <f ca="1">O254/SUM(O:O)</f>
        <v>5.6361683848774047E-4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input_606100!A$2</f>
        <v>606100</v>
      </c>
      <c r="B255" s="5">
        <v>671</v>
      </c>
      <c r="C255" s="7" t="str">
        <f t="shared" si="10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IFERROR(VLOOKUP(B255,input_606100!L:R,7,FALSE),VLOOKUP(tables_606100!C255,input_606100!A:H,8,FALSE))</f>
        <v>0</v>
      </c>
      <c r="P255" s="46">
        <f ca="1">O255/SUM(O:O)</f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input_606100!A$2</f>
        <v>606100</v>
      </c>
      <c r="B256" s="5">
        <v>672</v>
      </c>
      <c r="C256" s="7" t="str">
        <f t="shared" si="10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IFERROR(VLOOKUP(B256,input_606100!L:R,7,FALSE),VLOOKUP(tables_606100!C256,input_606100!A:H,8,FALSE))</f>
        <v>1128375</v>
      </c>
      <c r="P256" s="46">
        <f ca="1">O256/SUM(O:O)</f>
        <v>7.7551546391720653E-3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input_606100!A$2</f>
        <v>606100</v>
      </c>
      <c r="B257" s="5">
        <v>673</v>
      </c>
      <c r="C257" s="7" t="str">
        <f t="shared" si="10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IFERROR(VLOOKUP(B257,input_606100!L:R,7,FALSE),VLOOKUP(tables_606100!C257,input_606100!A:H,8,FALSE))</f>
        <v>82006.25</v>
      </c>
      <c r="P257" s="46">
        <f ca="1">O257/SUM(O:O)</f>
        <v>5.6361683848774047E-4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input_606100!A$2</f>
        <v>606100</v>
      </c>
      <c r="B258" s="5">
        <v>674</v>
      </c>
      <c r="C258" s="7" t="str">
        <f t="shared" si="10"/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IFERROR(VLOOKUP(B258,input_606100!L:R,7,FALSE),VLOOKUP(tables_606100!C258,input_606100!A:H,8,FALSE))</f>
        <v>164900</v>
      </c>
      <c r="P258" s="46">
        <f ca="1">O258/SUM(O:O)</f>
        <v>1.1333333333328668E-3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input_606100!A$2</f>
        <v>606100</v>
      </c>
      <c r="B259" s="5">
        <v>675</v>
      </c>
      <c r="C259" s="7" t="str">
        <f t="shared" si="10"/>
        <v>PremiumSS5</v>
      </c>
      <c r="D259" s="7" t="str">
        <f t="shared" si="11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IFERROR(VLOOKUP(B259,input_606100!L:R,7,FALSE),VLOOKUP(tables_606100!C259,input_606100!A:H,8,FALSE))</f>
        <v>29100</v>
      </c>
      <c r="P259" s="46">
        <f ca="1">O259/SUM(O:O)</f>
        <v>1.9999999999991766E-4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input_606100!A$2</f>
        <v>606100</v>
      </c>
      <c r="B260" s="5">
        <v>676</v>
      </c>
      <c r="C260" s="7" t="str">
        <f t="shared" si="10"/>
        <v>PremiumSS4</v>
      </c>
      <c r="D260" s="7" t="str">
        <f t="shared" si="11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IFERROR(VLOOKUP(B260,input_606100!L:R,7,FALSE),VLOOKUP(tables_606100!C260,input_606100!A:H,8,FALSE))</f>
        <v>164900</v>
      </c>
      <c r="P260" s="46">
        <f ca="1">O260/SUM(O:O)</f>
        <v>1.1333333333328668E-3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input_606100!A$2</f>
        <v>606100</v>
      </c>
      <c r="B261" s="5">
        <v>677</v>
      </c>
      <c r="C261" s="7" t="str">
        <f t="shared" si="10"/>
        <v>PremiumSS5</v>
      </c>
      <c r="D261" s="7" t="str">
        <f t="shared" si="11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IFERROR(VLOOKUP(B261,input_606100!L:R,7,FALSE),VLOOKUP(tables_606100!C261,input_606100!A:H,8,FALSE))</f>
        <v>29100</v>
      </c>
      <c r="P261" s="46">
        <f ca="1">O261/SUM(O:O)</f>
        <v>1.9999999999991766E-4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input_606100!A$2</f>
        <v>606100</v>
      </c>
      <c r="B262" s="5">
        <v>728</v>
      </c>
      <c r="C262" s="7" t="str">
        <f t="shared" si="10"/>
        <v>Premium4R3less</v>
      </c>
      <c r="D262" s="7" t="str">
        <f t="shared" si="11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IFERROR(VLOOKUP(B262,input_606100!L:R,7,FALSE),VLOOKUP(tables_606100!C262,input_606100!A:H,8,FALSE))</f>
        <v>1071482.14286</v>
      </c>
      <c r="P262" s="46">
        <f ca="1">O262/SUM(O:O)</f>
        <v>7.3641384388973118E-3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input_606100!A$2</f>
        <v>606100</v>
      </c>
      <c r="B263" s="5">
        <v>729</v>
      </c>
      <c r="C263" s="7" t="str">
        <f t="shared" si="10"/>
        <v>Premium5R3less</v>
      </c>
      <c r="D263" s="7" t="str">
        <f t="shared" si="11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IFERROR(VLOOKUP(B263,input_606100!L:R,7,FALSE),VLOOKUP(tables_606100!C263,input_606100!A:H,8,FALSE))</f>
        <v>199125</v>
      </c>
      <c r="P263" s="46">
        <f ca="1">O263/SUM(O:O)</f>
        <v>1.3685567010303643E-3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input_606100!A$2</f>
        <v>606100</v>
      </c>
      <c r="B264" s="5">
        <v>730</v>
      </c>
      <c r="C264" s="7" t="str">
        <f t="shared" si="10"/>
        <v>Premium4R3less</v>
      </c>
      <c r="D264" s="7" t="str">
        <f t="shared" si="11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IFERROR(VLOOKUP(B264,input_606100!L:R,7,FALSE),VLOOKUP(tables_606100!C264,input_606100!A:H,8,FALSE))</f>
        <v>1071482.14286</v>
      </c>
      <c r="P264" s="46">
        <f ca="1">O264/SUM(O:O)</f>
        <v>7.3641384388973118E-3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input_606100!A$2</f>
        <v>606100</v>
      </c>
      <c r="B265" s="5">
        <v>731</v>
      </c>
      <c r="C265" s="7" t="str">
        <f t="shared" si="10"/>
        <v>Premium5R3less</v>
      </c>
      <c r="D265" s="7" t="str">
        <f t="shared" si="11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IFERROR(VLOOKUP(B265,input_606100!L:R,7,FALSE),VLOOKUP(tables_606100!C265,input_606100!A:H,8,FALSE))</f>
        <v>199125</v>
      </c>
      <c r="P265" s="46">
        <f ca="1">O265/SUM(O:O)</f>
        <v>1.3685567010303643E-3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input_606100!A$2</f>
        <v>606100</v>
      </c>
      <c r="B266" s="5">
        <v>732</v>
      </c>
      <c r="C266" s="7" t="str">
        <f t="shared" ref="C266:C329" si="12">D266&amp;J266&amp;E266&amp;F266&amp;G266</f>
        <v>PremiumSS5R5only</v>
      </c>
      <c r="D266" s="7" t="str">
        <f t="shared" ref="D266:D329" si="13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IFERROR(VLOOKUP(B266,input_606100!L:R,7,FALSE),VLOOKUP(tables_606100!C266,input_606100!A:H,8,FALSE))</f>
        <v>194000</v>
      </c>
      <c r="P266" s="46">
        <f ca="1">O266/SUM(O:O)</f>
        <v>1.3333333333327845E-3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input_606100!A$2</f>
        <v>606100</v>
      </c>
      <c r="B267" s="5">
        <v>734</v>
      </c>
      <c r="C267" s="7" t="str">
        <f t="shared" si="12"/>
        <v>PremiumSS5R5only</v>
      </c>
      <c r="D267" s="7" t="str">
        <f t="shared" si="13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IFERROR(VLOOKUP(B267,input_606100!L:R,7,FALSE),VLOOKUP(tables_606100!C267,input_606100!A:H,8,FALSE))</f>
        <v>194000</v>
      </c>
      <c r="P267" s="46">
        <f ca="1">O267/SUM(O:O)</f>
        <v>1.3333333333327845E-3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input_606100!A$2</f>
        <v>606100</v>
      </c>
      <c r="B268" s="5">
        <v>742</v>
      </c>
      <c r="C268" s="7" t="str">
        <f t="shared" si="12"/>
        <v>PremiumSS5R5only</v>
      </c>
      <c r="D268" s="7" t="str">
        <f t="shared" si="13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IFERROR(VLOOKUP(B268,input_606100!L:R,7,FALSE),VLOOKUP(tables_606100!C268,input_606100!A:H,8,FALSE))</f>
        <v>194000</v>
      </c>
      <c r="P268" s="46">
        <f ca="1">O268/SUM(O:O)</f>
        <v>1.3333333333327845E-3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input_606100!A$2</f>
        <v>606100</v>
      </c>
      <c r="B269" s="5">
        <v>744</v>
      </c>
      <c r="C269" s="7" t="str">
        <f t="shared" si="12"/>
        <v>PremiumSS5R5only</v>
      </c>
      <c r="D269" s="7" t="str">
        <f t="shared" si="13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IFERROR(VLOOKUP(B269,input_606100!L:R,7,FALSE),VLOOKUP(tables_606100!C269,input_606100!A:H,8,FALSE))</f>
        <v>194000</v>
      </c>
      <c r="P269" s="46">
        <f ca="1">O269/SUM(O:O)</f>
        <v>1.3333333333327845E-3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input_606100!A$2</f>
        <v>606100</v>
      </c>
      <c r="B270" s="5">
        <v>746</v>
      </c>
      <c r="C270" s="7" t="str">
        <f t="shared" si="12"/>
        <v>Premium4R3less</v>
      </c>
      <c r="D270" s="7" t="str">
        <f t="shared" si="13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IFERROR(VLOOKUP(B270,input_606100!L:R,7,FALSE),VLOOKUP(tables_606100!C270,input_606100!A:H,8,FALSE))</f>
        <v>1071482.14286</v>
      </c>
      <c r="P270" s="46">
        <f ca="1">O270/SUM(O:O)</f>
        <v>7.3641384388973118E-3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input_606100!A$2</f>
        <v>606100</v>
      </c>
      <c r="B271" s="5">
        <v>747</v>
      </c>
      <c r="C271" s="7" t="str">
        <f t="shared" si="12"/>
        <v>Premium5R3less</v>
      </c>
      <c r="D271" s="7" t="str">
        <f t="shared" si="13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IFERROR(VLOOKUP(B271,input_606100!L:R,7,FALSE),VLOOKUP(tables_606100!C271,input_606100!A:H,8,FALSE))</f>
        <v>199125</v>
      </c>
      <c r="P271" s="46">
        <f ca="1">O271/SUM(O:O)</f>
        <v>1.3685567010303643E-3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input_606100!A$2</f>
        <v>606100</v>
      </c>
      <c r="B272" s="5">
        <v>748</v>
      </c>
      <c r="C272" s="7" t="str">
        <f t="shared" si="12"/>
        <v>Premium4R3less</v>
      </c>
      <c r="D272" s="7" t="str">
        <f t="shared" si="13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IFERROR(VLOOKUP(B272,input_606100!L:R,7,FALSE),VLOOKUP(tables_606100!C272,input_606100!A:H,8,FALSE))</f>
        <v>1071482.14286</v>
      </c>
      <c r="P272" s="46">
        <f ca="1">O272/SUM(O:O)</f>
        <v>7.3641384388973118E-3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input_606100!A$2</f>
        <v>606100</v>
      </c>
      <c r="B273" s="5">
        <v>749</v>
      </c>
      <c r="C273" s="7" t="str">
        <f t="shared" si="12"/>
        <v>Premium5R3less</v>
      </c>
      <c r="D273" s="7" t="str">
        <f t="shared" si="13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IFERROR(VLOOKUP(B273,input_606100!L:R,7,FALSE),VLOOKUP(tables_606100!C273,input_606100!A:H,8,FALSE))</f>
        <v>199125</v>
      </c>
      <c r="P273" s="46">
        <f ca="1">O273/SUM(O:O)</f>
        <v>1.3685567010303643E-3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input_606100!A$2</f>
        <v>606100</v>
      </c>
      <c r="B274" s="5">
        <v>770</v>
      </c>
      <c r="C274" s="7" t="str">
        <f t="shared" si="12"/>
        <v>PremiumSS4</v>
      </c>
      <c r="D274" s="7" t="str">
        <f t="shared" si="13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IFERROR(VLOOKUP(B274,input_606100!L:R,7,FALSE),VLOOKUP(tables_606100!C274,input_606100!A:H,8,FALSE))</f>
        <v>164900</v>
      </c>
      <c r="P274" s="46">
        <f ca="1">O274/SUM(O:O)</f>
        <v>1.1333333333328668E-3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input_606100!A$2</f>
        <v>606100</v>
      </c>
      <c r="B275" s="5">
        <v>771</v>
      </c>
      <c r="C275" s="7" t="str">
        <f t="shared" si="12"/>
        <v>PremiumSS5</v>
      </c>
      <c r="D275" s="7" t="str">
        <f t="shared" si="13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IFERROR(VLOOKUP(B275,input_606100!L:R,7,FALSE),VLOOKUP(tables_606100!C275,input_606100!A:H,8,FALSE))</f>
        <v>29100</v>
      </c>
      <c r="P275" s="46">
        <f ca="1">O275/SUM(O:O)</f>
        <v>1.9999999999991766E-4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input_606100!A$2</f>
        <v>606100</v>
      </c>
      <c r="B276" s="5">
        <v>772</v>
      </c>
      <c r="C276" s="7" t="str">
        <f t="shared" si="12"/>
        <v>PremiumSS4</v>
      </c>
      <c r="D276" s="7" t="str">
        <f t="shared" si="13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IFERROR(VLOOKUP(B276,input_606100!L:R,7,FALSE),VLOOKUP(tables_606100!C276,input_606100!A:H,8,FALSE))</f>
        <v>164900</v>
      </c>
      <c r="P276" s="46">
        <f ca="1">O276/SUM(O:O)</f>
        <v>1.1333333333328668E-3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input_606100!A$2</f>
        <v>606100</v>
      </c>
      <c r="B277" s="5">
        <v>773</v>
      </c>
      <c r="C277" s="7" t="str">
        <f t="shared" si="12"/>
        <v>PremiumSS5</v>
      </c>
      <c r="D277" s="7" t="str">
        <f t="shared" si="13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IFERROR(VLOOKUP(B277,input_606100!L:R,7,FALSE),VLOOKUP(tables_606100!C277,input_606100!A:H,8,FALSE))</f>
        <v>29100</v>
      </c>
      <c r="P277" s="46">
        <f ca="1">O277/SUM(O:O)</f>
        <v>1.9999999999991766E-4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input_606100!A$2</f>
        <v>606100</v>
      </c>
      <c r="B278" s="5">
        <v>774</v>
      </c>
      <c r="C278" s="7" t="str">
        <f t="shared" si="12"/>
        <v>Premium3</v>
      </c>
      <c r="D278" s="7" t="str">
        <f t="shared" si="13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IFERROR(VLOOKUP(B278,input_606100!L:R,7,FALSE),VLOOKUP(tables_606100!C278,input_606100!A:H,8,FALSE))</f>
        <v>0</v>
      </c>
      <c r="P278" s="46">
        <f ca="1">O278/SUM(O:O)</f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input_606100!A$2</f>
        <v>606100</v>
      </c>
      <c r="B279" s="5">
        <v>775</v>
      </c>
      <c r="C279" s="7" t="str">
        <f t="shared" si="12"/>
        <v>Premium4</v>
      </c>
      <c r="D279" s="7" t="str">
        <f t="shared" si="13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IFERROR(VLOOKUP(B279,input_606100!L:R,7,FALSE),VLOOKUP(tables_606100!C279,input_606100!A:H,8,FALSE))</f>
        <v>1128375</v>
      </c>
      <c r="P279" s="46">
        <f ca="1">O279/SUM(O:O)</f>
        <v>7.7551546391720653E-3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input_606100!A$2</f>
        <v>606100</v>
      </c>
      <c r="B280" s="5">
        <v>776</v>
      </c>
      <c r="C280" s="7" t="str">
        <f t="shared" si="12"/>
        <v>Premium5</v>
      </c>
      <c r="D280" s="7" t="str">
        <f t="shared" si="13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IFERROR(VLOOKUP(B280,input_606100!L:R,7,FALSE),VLOOKUP(tables_606100!C280,input_606100!A:H,8,FALSE))</f>
        <v>82006.25</v>
      </c>
      <c r="P280" s="46">
        <f ca="1">O280/SUM(O:O)</f>
        <v>5.6361683848774047E-4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input_606100!A$2</f>
        <v>606100</v>
      </c>
      <c r="B281" s="5">
        <v>777</v>
      </c>
      <c r="C281" s="7" t="str">
        <f t="shared" si="12"/>
        <v>Premium3</v>
      </c>
      <c r="D281" s="7" t="str">
        <f t="shared" si="13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IFERROR(VLOOKUP(B281,input_606100!L:R,7,FALSE),VLOOKUP(tables_606100!C281,input_606100!A:H,8,FALSE))</f>
        <v>0</v>
      </c>
      <c r="P281" s="46">
        <f ca="1">O281/SUM(O:O)</f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input_606100!A$2</f>
        <v>606100</v>
      </c>
      <c r="B282" s="5">
        <v>778</v>
      </c>
      <c r="C282" s="7" t="str">
        <f t="shared" si="12"/>
        <v>Premium4</v>
      </c>
      <c r="D282" s="7" t="str">
        <f t="shared" si="13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IFERROR(VLOOKUP(B282,input_606100!L:R,7,FALSE),VLOOKUP(tables_606100!C282,input_606100!A:H,8,FALSE))</f>
        <v>1128375</v>
      </c>
      <c r="P282" s="46">
        <f ca="1">O282/SUM(O:O)</f>
        <v>7.7551546391720653E-3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input_606100!A$2</f>
        <v>606100</v>
      </c>
      <c r="B283" s="5">
        <v>779</v>
      </c>
      <c r="C283" s="7" t="str">
        <f t="shared" si="12"/>
        <v>Premium5</v>
      </c>
      <c r="D283" s="7" t="str">
        <f t="shared" si="13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IFERROR(VLOOKUP(B283,input_606100!L:R,7,FALSE),VLOOKUP(tables_606100!C283,input_606100!A:H,8,FALSE))</f>
        <v>82006.25</v>
      </c>
      <c r="P283" s="46">
        <f ca="1">O283/SUM(O:O)</f>
        <v>5.6361683848774047E-4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input_606100!A$2</f>
        <v>606100</v>
      </c>
      <c r="B284" s="5">
        <v>848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IFERROR(VLOOKUP(B284,input_606100!L:R,7,FALSE),VLOOKUP(tables_606100!C284,input_606100!A:H,8,FALSE))</f>
        <v>194000</v>
      </c>
      <c r="P284" s="46">
        <f ca="1">O284/SUM(O:O)</f>
        <v>1.3333333333327845E-3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input_606100!A$2</f>
        <v>606100</v>
      </c>
      <c r="B285" s="5">
        <v>850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IFERROR(VLOOKUP(B285,input_606100!L:R,7,FALSE),VLOOKUP(tables_606100!C285,input_606100!A:H,8,FALSE))</f>
        <v>194000</v>
      </c>
      <c r="P285" s="46">
        <f ca="1">O285/SUM(O:O)</f>
        <v>1.3333333333327845E-3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input_606100!A$2</f>
        <v>606100</v>
      </c>
      <c r="B286" s="5">
        <v>852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IFERROR(VLOOKUP(B286,input_606100!L:R,7,FALSE),VLOOKUP(tables_606100!C286,input_606100!A:H,8,FALSE))</f>
        <v>1071482.14286</v>
      </c>
      <c r="P286" s="46">
        <f ca="1">O286/SUM(O:O)</f>
        <v>7.3641384388973118E-3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input_606100!A$2</f>
        <v>606100</v>
      </c>
      <c r="B287" s="5">
        <v>853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IFERROR(VLOOKUP(B287,input_606100!L:R,7,FALSE),VLOOKUP(tables_606100!C287,input_606100!A:H,8,FALSE))</f>
        <v>199125</v>
      </c>
      <c r="P287" s="46">
        <f ca="1">O287/SUM(O:O)</f>
        <v>1.3685567010303643E-3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input_606100!A$2</f>
        <v>606100</v>
      </c>
      <c r="B288" s="5">
        <v>854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IFERROR(VLOOKUP(B288,input_606100!L:R,7,FALSE),VLOOKUP(tables_606100!C288,input_606100!A:H,8,FALSE))</f>
        <v>1071482.14286</v>
      </c>
      <c r="P288" s="46">
        <f ca="1">O288/SUM(O:O)</f>
        <v>7.3641384388973118E-3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input_606100!A$2</f>
        <v>606100</v>
      </c>
      <c r="B289" s="5">
        <v>855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IFERROR(VLOOKUP(B289,input_606100!L:R,7,FALSE),VLOOKUP(tables_606100!C289,input_606100!A:H,8,FALSE))</f>
        <v>199125</v>
      </c>
      <c r="P289" s="46">
        <f ca="1">O289/SUM(O:O)</f>
        <v>1.3685567010303643E-3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input_606100!A$2</f>
        <v>606100</v>
      </c>
      <c r="B290" s="5">
        <v>862</v>
      </c>
      <c r="C290" s="7" t="str">
        <f t="shared" si="12"/>
        <v>Premium4R3less</v>
      </c>
      <c r="D290" s="7" t="str">
        <f t="shared" si="13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IFERROR(VLOOKUP(B290,input_606100!L:R,7,FALSE),VLOOKUP(tables_606100!C290,input_606100!A:H,8,FALSE))</f>
        <v>1071482.14286</v>
      </c>
      <c r="P290" s="46">
        <f ca="1">O290/SUM(O:O)</f>
        <v>7.3641384388973118E-3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input_606100!A$2</f>
        <v>606100</v>
      </c>
      <c r="B291" s="5">
        <v>863</v>
      </c>
      <c r="C291" s="7" t="str">
        <f t="shared" si="12"/>
        <v>Premium5R3less</v>
      </c>
      <c r="D291" s="7" t="str">
        <f t="shared" si="13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IFERROR(VLOOKUP(B291,input_606100!L:R,7,FALSE),VLOOKUP(tables_606100!C291,input_606100!A:H,8,FALSE))</f>
        <v>199125</v>
      </c>
      <c r="P291" s="46">
        <f ca="1">O291/SUM(O:O)</f>
        <v>1.3685567010303643E-3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input_606100!A$2</f>
        <v>606100</v>
      </c>
      <c r="B292" s="5">
        <v>864</v>
      </c>
      <c r="C292" s="7" t="str">
        <f t="shared" si="12"/>
        <v>Premium4R3less</v>
      </c>
      <c r="D292" s="7" t="str">
        <f t="shared" si="13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IFERROR(VLOOKUP(B292,input_606100!L:R,7,FALSE),VLOOKUP(tables_606100!C292,input_606100!A:H,8,FALSE))</f>
        <v>1071482.14286</v>
      </c>
      <c r="P292" s="46">
        <f ca="1">O292/SUM(O:O)</f>
        <v>7.3641384388973118E-3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input_606100!A$2</f>
        <v>606100</v>
      </c>
      <c r="B293" s="5">
        <v>865</v>
      </c>
      <c r="C293" s="7" t="str">
        <f t="shared" si="12"/>
        <v>Premium5R3less</v>
      </c>
      <c r="D293" s="7" t="str">
        <f t="shared" si="13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IFERROR(VLOOKUP(B293,input_606100!L:R,7,FALSE),VLOOKUP(tables_606100!C293,input_606100!A:H,8,FALSE))</f>
        <v>199125</v>
      </c>
      <c r="P293" s="46">
        <f ca="1">O293/SUM(O:O)</f>
        <v>1.3685567010303643E-3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input_606100!A$2</f>
        <v>606100</v>
      </c>
      <c r="B294" s="5">
        <v>866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IFERROR(VLOOKUP(B294,input_606100!L:R,7,FALSE),VLOOKUP(tables_606100!C294,input_606100!A:H,8,FALSE))</f>
        <v>194000</v>
      </c>
      <c r="P294" s="46">
        <f ca="1">O294/SUM(O:O)</f>
        <v>1.3333333333327845E-3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input_606100!A$2</f>
        <v>606100</v>
      </c>
      <c r="B295" s="5">
        <v>868</v>
      </c>
      <c r="C295" s="7" t="str">
        <f t="shared" si="12"/>
        <v>PremiumSS5R5only</v>
      </c>
      <c r="D295" s="7" t="str">
        <f t="shared" si="13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IFERROR(VLOOKUP(B295,input_606100!L:R,7,FALSE),VLOOKUP(tables_606100!C295,input_606100!A:H,8,FALSE))</f>
        <v>194000</v>
      </c>
      <c r="P295" s="46">
        <f ca="1">O295/SUM(O:O)</f>
        <v>1.3333333333327845E-3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input_606100!A$2</f>
        <v>606100</v>
      </c>
      <c r="B296" s="5">
        <v>937</v>
      </c>
      <c r="C296" s="7" t="str">
        <f t="shared" si="12"/>
        <v>PremiumSS5R5only</v>
      </c>
      <c r="D296" s="7" t="str">
        <f t="shared" si="13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IFERROR(VLOOKUP(B296,input_606100!L:R,7,FALSE),VLOOKUP(tables_606100!C296,input_606100!A:H,8,FALSE))</f>
        <v>194000</v>
      </c>
      <c r="P296" s="46">
        <f ca="1">O296/SUM(O:O)</f>
        <v>1.3333333333327845E-3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input_606100!A$2</f>
        <v>606100</v>
      </c>
      <c r="B297" s="5">
        <v>939</v>
      </c>
      <c r="C297" s="7" t="str">
        <f t="shared" si="12"/>
        <v>Premium4R3less</v>
      </c>
      <c r="D297" s="7" t="str">
        <f t="shared" si="13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IFERROR(VLOOKUP(B297,input_606100!L:R,7,FALSE),VLOOKUP(tables_606100!C297,input_606100!A:H,8,FALSE))</f>
        <v>1071482.14286</v>
      </c>
      <c r="P297" s="46">
        <f ca="1">O297/SUM(O:O)</f>
        <v>7.3641384388973118E-3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input_606100!A$2</f>
        <v>606100</v>
      </c>
      <c r="B298" s="5">
        <v>940</v>
      </c>
      <c r="C298" s="7" t="str">
        <f t="shared" si="12"/>
        <v>Premium5R3less</v>
      </c>
      <c r="D298" s="7" t="str">
        <f t="shared" si="13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IFERROR(VLOOKUP(B298,input_606100!L:R,7,FALSE),VLOOKUP(tables_606100!C298,input_606100!A:H,8,FALSE))</f>
        <v>199125</v>
      </c>
      <c r="P298" s="46">
        <f ca="1">O298/SUM(O:O)</f>
        <v>1.3685567010303643E-3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input_606100!A$2</f>
        <v>606100</v>
      </c>
      <c r="B299" s="5">
        <v>941</v>
      </c>
      <c r="C299" s="7" t="str">
        <f t="shared" si="12"/>
        <v>PremiumSS5R5only</v>
      </c>
      <c r="D299" s="7" t="str">
        <f t="shared" si="13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IFERROR(VLOOKUP(B299,input_606100!L:R,7,FALSE),VLOOKUP(tables_606100!C299,input_606100!A:H,8,FALSE))</f>
        <v>194000</v>
      </c>
      <c r="P299" s="46">
        <f ca="1">O299/SUM(O:O)</f>
        <v>1.3333333333327845E-3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input_606100!A$2</f>
        <v>606100</v>
      </c>
      <c r="B300" s="5">
        <v>943</v>
      </c>
      <c r="C300" s="7" t="str">
        <f t="shared" si="12"/>
        <v>PremiumSS5R5only</v>
      </c>
      <c r="D300" s="7" t="str">
        <f t="shared" si="13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IFERROR(VLOOKUP(B300,input_606100!L:R,7,FALSE),VLOOKUP(tables_606100!C300,input_606100!A:H,8,FALSE))</f>
        <v>194000</v>
      </c>
      <c r="P300" s="46">
        <f ca="1">O300/SUM(O:O)</f>
        <v>1.3333333333327845E-3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input_606100!A$2</f>
        <v>606100</v>
      </c>
      <c r="B301" s="5">
        <v>1012</v>
      </c>
      <c r="C301" s="7" t="str">
        <f t="shared" si="12"/>
        <v>PremiumSS5R5only</v>
      </c>
      <c r="D301" s="7" t="str">
        <f t="shared" si="13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IFERROR(VLOOKUP(B301,input_606100!L:R,7,FALSE),VLOOKUP(tables_606100!C301,input_606100!A:H,8,FALSE))</f>
        <v>194000</v>
      </c>
      <c r="P301" s="46">
        <f ca="1">O301/SUM(O:O)</f>
        <v>1.3333333333327845E-3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input_606100!A$2</f>
        <v>606100</v>
      </c>
      <c r="B302" s="5">
        <v>1014</v>
      </c>
      <c r="C302" s="7" t="str">
        <f t="shared" si="12"/>
        <v>PremiumSS5R5only</v>
      </c>
      <c r="D302" s="7" t="str">
        <f t="shared" si="13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IFERROR(VLOOKUP(B302,input_606100!L:R,7,FALSE),VLOOKUP(tables_606100!C302,input_606100!A:H,8,FALSE))</f>
        <v>194000</v>
      </c>
      <c r="P302" s="46">
        <f ca="1">O302/SUM(O:O)</f>
        <v>1.3333333333327845E-3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input_606100!A$2</f>
        <v>606100</v>
      </c>
      <c r="B303" s="5">
        <v>1016</v>
      </c>
      <c r="C303" s="7" t="str">
        <f t="shared" si="12"/>
        <v>Premium4R3less</v>
      </c>
      <c r="D303" s="7" t="str">
        <f t="shared" si="13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IFERROR(VLOOKUP(B303,input_606100!L:R,7,FALSE),VLOOKUP(tables_606100!C303,input_606100!A:H,8,FALSE))</f>
        <v>1071482.14286</v>
      </c>
      <c r="P303" s="46">
        <f ca="1">O303/SUM(O:O)</f>
        <v>7.3641384388973118E-3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input_606100!A$2</f>
        <v>606100</v>
      </c>
      <c r="B304" s="5">
        <v>1017</v>
      </c>
      <c r="C304" s="7" t="str">
        <f t="shared" si="12"/>
        <v>Premium5R3less</v>
      </c>
      <c r="D304" s="7" t="str">
        <f t="shared" si="13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IFERROR(VLOOKUP(B304,input_606100!L:R,7,FALSE),VLOOKUP(tables_606100!C304,input_606100!A:H,8,FALSE))</f>
        <v>199125</v>
      </c>
      <c r="P304" s="46">
        <f ca="1">O304/SUM(O:O)</f>
        <v>1.3685567010303643E-3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input_606100!A$2</f>
        <v>606100</v>
      </c>
      <c r="B305" s="5">
        <v>1018</v>
      </c>
      <c r="C305" s="7" t="str">
        <f t="shared" si="12"/>
        <v>PremiumSS5R5only</v>
      </c>
      <c r="D305" s="7" t="str">
        <f t="shared" si="13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IFERROR(VLOOKUP(B305,input_606100!L:R,7,FALSE),VLOOKUP(tables_606100!C305,input_606100!A:H,8,FALSE))</f>
        <v>194000</v>
      </c>
      <c r="P305" s="46">
        <f ca="1">O305/SUM(O:O)</f>
        <v>1.3333333333327845E-3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input_606100!A$2</f>
        <v>606100</v>
      </c>
      <c r="B306" s="5">
        <v>1026</v>
      </c>
      <c r="C306" s="7" t="str">
        <f t="shared" si="12"/>
        <v>Premium4R3less</v>
      </c>
      <c r="D306" s="7" t="str">
        <f t="shared" si="13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IFERROR(VLOOKUP(B306,input_606100!L:R,7,FALSE),VLOOKUP(tables_606100!C306,input_606100!A:H,8,FALSE))</f>
        <v>1071482.14286</v>
      </c>
      <c r="P306" s="46">
        <f ca="1">O306/SUM(O:O)</f>
        <v>7.3641384388973118E-3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input_606100!A$2</f>
        <v>606100</v>
      </c>
      <c r="B307" s="5">
        <v>1027</v>
      </c>
      <c r="C307" s="7" t="str">
        <f t="shared" si="12"/>
        <v>Premium5R3less</v>
      </c>
      <c r="D307" s="7" t="str">
        <f t="shared" si="13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IFERROR(VLOOKUP(B307,input_606100!L:R,7,FALSE),VLOOKUP(tables_606100!C307,input_606100!A:H,8,FALSE))</f>
        <v>199125</v>
      </c>
      <c r="P307" s="46">
        <f ca="1">O307/SUM(O:O)</f>
        <v>1.3685567010303643E-3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input_606100!A$2</f>
        <v>606100</v>
      </c>
      <c r="B308" s="5">
        <v>1028</v>
      </c>
      <c r="C308" s="7" t="str">
        <f t="shared" si="12"/>
        <v>PremiumSS5R5only</v>
      </c>
      <c r="D308" s="7" t="str">
        <f t="shared" si="13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IFERROR(VLOOKUP(B308,input_606100!L:R,7,FALSE),VLOOKUP(tables_606100!C308,input_606100!A:H,8,FALSE))</f>
        <v>194000</v>
      </c>
      <c r="P308" s="46">
        <f ca="1">O308/SUM(O:O)</f>
        <v>1.3333333333327845E-3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input_606100!A$2</f>
        <v>606100</v>
      </c>
      <c r="B309" s="5">
        <v>1031</v>
      </c>
      <c r="C309" s="7" t="str">
        <f t="shared" si="12"/>
        <v>PremiumSS5R5only</v>
      </c>
      <c r="D309" s="7" t="str">
        <f t="shared" si="13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IFERROR(VLOOKUP(B309,input_606100!L:R,7,FALSE),VLOOKUP(tables_606100!C309,input_606100!A:H,8,FALSE))</f>
        <v>194000</v>
      </c>
      <c r="P309" s="46">
        <f ca="1">O309/SUM(O:O)</f>
        <v>1.3333333333327845E-3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input_606100!A$2</f>
        <v>606100</v>
      </c>
      <c r="B310" s="5">
        <v>1033</v>
      </c>
      <c r="C310" s="7" t="str">
        <f t="shared" si="12"/>
        <v>PremiumSS5R5only</v>
      </c>
      <c r="D310" s="7" t="str">
        <f t="shared" si="13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IFERROR(VLOOKUP(B310,input_606100!L:R,7,FALSE),VLOOKUP(tables_606100!C310,input_606100!A:H,8,FALSE))</f>
        <v>194000</v>
      </c>
      <c r="P310" s="46">
        <f ca="1">O310/SUM(O:O)</f>
        <v>1.3333333333327845E-3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input_606100!A$2</f>
        <v>606100</v>
      </c>
      <c r="B311" s="5">
        <v>1067</v>
      </c>
      <c r="C311" s="7" t="str">
        <f t="shared" si="12"/>
        <v>Premium4R3less</v>
      </c>
      <c r="D311" s="7" t="str">
        <f t="shared" si="13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IFERROR(VLOOKUP(B311,input_606100!L:R,7,FALSE),VLOOKUP(tables_606100!C311,input_606100!A:H,8,FALSE))</f>
        <v>1071482.14286</v>
      </c>
      <c r="P311" s="46">
        <f ca="1">O311/SUM(O:O)</f>
        <v>7.3641384388973118E-3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input_606100!A$2</f>
        <v>606100</v>
      </c>
      <c r="B312" s="5">
        <v>1068</v>
      </c>
      <c r="C312" s="7" t="str">
        <f t="shared" si="12"/>
        <v>Premium5R3less</v>
      </c>
      <c r="D312" s="7" t="str">
        <f t="shared" si="13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IFERROR(VLOOKUP(B312,input_606100!L:R,7,FALSE),VLOOKUP(tables_606100!C312,input_606100!A:H,8,FALSE))</f>
        <v>199125</v>
      </c>
      <c r="P312" s="46">
        <f ca="1">O312/SUM(O:O)</f>
        <v>1.3685567010303643E-3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input_606100!A$2</f>
        <v>606100</v>
      </c>
      <c r="B313" s="5">
        <v>1069</v>
      </c>
      <c r="C313" s="7" t="str">
        <f t="shared" si="12"/>
        <v>PremiumSS5R5only</v>
      </c>
      <c r="D313" s="7" t="str">
        <f t="shared" si="13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IFERROR(VLOOKUP(B313,input_606100!L:R,7,FALSE),VLOOKUP(tables_606100!C313,input_606100!A:H,8,FALSE))</f>
        <v>194000</v>
      </c>
      <c r="P313" s="46">
        <f ca="1">O313/SUM(O:O)</f>
        <v>1.3333333333327845E-3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input_606100!A$2</f>
        <v>606100</v>
      </c>
      <c r="B314" s="5">
        <v>1072</v>
      </c>
      <c r="C314" s="7" t="str">
        <f t="shared" si="12"/>
        <v>PremiumSS5R5only</v>
      </c>
      <c r="D314" s="7" t="str">
        <f t="shared" si="13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IFERROR(VLOOKUP(B314,input_606100!L:R,7,FALSE),VLOOKUP(tables_606100!C314,input_606100!A:H,8,FALSE))</f>
        <v>194000</v>
      </c>
      <c r="P314" s="46">
        <f ca="1">O314/SUM(O:O)</f>
        <v>1.3333333333327845E-3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input_606100!A$2</f>
        <v>606100</v>
      </c>
      <c r="B315" s="5">
        <v>1074</v>
      </c>
      <c r="C315" s="7" t="str">
        <f t="shared" si="12"/>
        <v>PremiumSS5R5only</v>
      </c>
      <c r="D315" s="7" t="str">
        <f t="shared" si="13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IFERROR(VLOOKUP(B315,input_606100!L:R,7,FALSE),VLOOKUP(tables_606100!C315,input_606100!A:H,8,FALSE))</f>
        <v>194000</v>
      </c>
      <c r="P315" s="46">
        <f ca="1">O315/SUM(O:O)</f>
        <v>1.3333333333327845E-3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input_606100!A$2</f>
        <v>606100</v>
      </c>
      <c r="B316" s="5">
        <v>1100</v>
      </c>
      <c r="C316" s="7" t="str">
        <f t="shared" si="12"/>
        <v>PremiumSS5R5only</v>
      </c>
      <c r="D316" s="7" t="str">
        <f t="shared" si="13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IFERROR(VLOOKUP(B316,input_606100!L:R,7,FALSE),VLOOKUP(tables_606100!C316,input_606100!A:H,8,FALSE))</f>
        <v>194000</v>
      </c>
      <c r="P316" s="46">
        <f ca="1">O316/SUM(O:O)</f>
        <v>1.3333333333327845E-3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input_606100!A$2</f>
        <v>606100</v>
      </c>
      <c r="B317" s="5">
        <v>1102</v>
      </c>
      <c r="C317" s="7" t="str">
        <f t="shared" si="12"/>
        <v>PremiumSS5R5only</v>
      </c>
      <c r="D317" s="7" t="str">
        <f t="shared" si="13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IFERROR(VLOOKUP(B317,input_606100!L:R,7,FALSE),VLOOKUP(tables_606100!C317,input_606100!A:H,8,FALSE))</f>
        <v>194000</v>
      </c>
      <c r="P317" s="46">
        <f ca="1">O317/SUM(O:O)</f>
        <v>1.3333333333327845E-3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input_606100!A$2</f>
        <v>606100</v>
      </c>
      <c r="B318" s="5">
        <v>1104</v>
      </c>
      <c r="C318" s="7" t="str">
        <f t="shared" si="12"/>
        <v>Premium4R3less</v>
      </c>
      <c r="D318" s="7" t="str">
        <f t="shared" si="13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IFERROR(VLOOKUP(B318,input_606100!L:R,7,FALSE),VLOOKUP(tables_606100!C318,input_606100!A:H,8,FALSE))</f>
        <v>1071482.14286</v>
      </c>
      <c r="P318" s="46">
        <f ca="1">O318/SUM(O:O)</f>
        <v>7.3641384388973118E-3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input_606100!A$2</f>
        <v>606100</v>
      </c>
      <c r="B319" s="5">
        <v>1105</v>
      </c>
      <c r="C319" s="7" t="str">
        <f t="shared" si="12"/>
        <v>Premium5R3less</v>
      </c>
      <c r="D319" s="7" t="str">
        <f t="shared" si="13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IFERROR(VLOOKUP(B319,input_606100!L:R,7,FALSE),VLOOKUP(tables_606100!C319,input_606100!A:H,8,FALSE))</f>
        <v>199125</v>
      </c>
      <c r="P319" s="46">
        <f ca="1">O319/SUM(O:O)</f>
        <v>1.3685567010303643E-3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input_606100!A$2</f>
        <v>606100</v>
      </c>
      <c r="B320" s="5">
        <v>1106</v>
      </c>
      <c r="C320" s="7" t="str">
        <f t="shared" si="12"/>
        <v>PremiumSS5R5only</v>
      </c>
      <c r="D320" s="7" t="str">
        <f t="shared" si="13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IFERROR(VLOOKUP(B320,input_606100!L:R,7,FALSE),VLOOKUP(tables_606100!C320,input_606100!A:H,8,FALSE))</f>
        <v>194000</v>
      </c>
      <c r="P320" s="46">
        <f ca="1">O320/SUM(O:O)</f>
        <v>1.3333333333327845E-3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input_606100!A$2</f>
        <v>606100</v>
      </c>
      <c r="B321" s="5">
        <v>1137</v>
      </c>
      <c r="C321" s="7" t="str">
        <f t="shared" si="12"/>
        <v>PremiumSS5R5only</v>
      </c>
      <c r="D321" s="7" t="str">
        <f t="shared" si="13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IFERROR(VLOOKUP(B321,input_606100!L:R,7,FALSE),VLOOKUP(tables_606100!C321,input_606100!A:H,8,FALSE))</f>
        <v>194000</v>
      </c>
      <c r="P321" s="46">
        <f ca="1">O321/SUM(O:O)</f>
        <v>1.3333333333327845E-3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input_606100!A$2</f>
        <v>606100</v>
      </c>
      <c r="B322" s="5">
        <v>1139</v>
      </c>
      <c r="C322" s="7" t="str">
        <f t="shared" si="12"/>
        <v>PremiumSS5R5only</v>
      </c>
      <c r="D322" s="7" t="str">
        <f t="shared" si="13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IFERROR(VLOOKUP(B322,input_606100!L:R,7,FALSE),VLOOKUP(tables_606100!C322,input_606100!A:H,8,FALSE))</f>
        <v>194000</v>
      </c>
      <c r="P322" s="46">
        <f ca="1">O322/SUM(O:O)</f>
        <v>1.3333333333327845E-3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input_606100!A$2</f>
        <v>606100</v>
      </c>
      <c r="B323" s="5">
        <v>1141</v>
      </c>
      <c r="C323" s="7" t="str">
        <f t="shared" si="12"/>
        <v>PremiumSS5R5only</v>
      </c>
      <c r="D323" s="7" t="str">
        <f t="shared" si="13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IFERROR(VLOOKUP(B323,input_606100!L:R,7,FALSE),VLOOKUP(tables_606100!C323,input_606100!A:H,8,FALSE))</f>
        <v>194000</v>
      </c>
      <c r="P323" s="46">
        <f ca="1">O323/SUM(O:O)</f>
        <v>1.3333333333327845E-3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input_606100!A$2</f>
        <v>606100</v>
      </c>
      <c r="B324" s="5">
        <v>1143</v>
      </c>
      <c r="C324" s="7" t="str">
        <f t="shared" si="12"/>
        <v>Premium4R3less</v>
      </c>
      <c r="D324" s="7" t="str">
        <f t="shared" si="1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IFERROR(VLOOKUP(B324,input_606100!L:R,7,FALSE),VLOOKUP(tables_606100!C324,input_606100!A:H,8,FALSE))</f>
        <v>1071482.14286</v>
      </c>
      <c r="P324" s="46">
        <f ca="1">O324/SUM(O:O)</f>
        <v>7.3641384388973118E-3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input_606100!A$2</f>
        <v>606100</v>
      </c>
      <c r="B325" s="5">
        <v>1144</v>
      </c>
      <c r="C325" s="7" t="str">
        <f t="shared" si="12"/>
        <v>Premium5R3less</v>
      </c>
      <c r="D325" s="7" t="str">
        <f t="shared" si="1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IFERROR(VLOOKUP(B325,input_606100!L:R,7,FALSE),VLOOKUP(tables_606100!C325,input_606100!A:H,8,FALSE))</f>
        <v>199125</v>
      </c>
      <c r="P325" s="46">
        <f ca="1">O325/SUM(O:O)</f>
        <v>1.3685567010303643E-3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input_606100!A$2</f>
        <v>606100</v>
      </c>
      <c r="B326" s="5">
        <v>1151</v>
      </c>
      <c r="C326" s="7" t="str">
        <f t="shared" si="12"/>
        <v>Premium4R3less</v>
      </c>
      <c r="D326" s="7" t="str">
        <f t="shared" si="1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IFERROR(VLOOKUP(B326,input_606100!L:R,7,FALSE),VLOOKUP(tables_606100!C326,input_606100!A:H,8,FALSE))</f>
        <v>1071482.14286</v>
      </c>
      <c r="P326" s="46">
        <f ca="1">O326/SUM(O:O)</f>
        <v>7.3641384388973118E-3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input_606100!A$2</f>
        <v>606100</v>
      </c>
      <c r="B327" s="5">
        <v>1152</v>
      </c>
      <c r="C327" s="7" t="str">
        <f t="shared" si="12"/>
        <v>Premium5R3less</v>
      </c>
      <c r="D327" s="7" t="str">
        <f t="shared" si="1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IFERROR(VLOOKUP(B327,input_606100!L:R,7,FALSE),VLOOKUP(tables_606100!C327,input_606100!A:H,8,FALSE))</f>
        <v>199125</v>
      </c>
      <c r="P327" s="46">
        <f ca="1">O327/SUM(O:O)</f>
        <v>1.3685567010303643E-3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input_606100!A$2</f>
        <v>606100</v>
      </c>
      <c r="B328" s="5">
        <v>1153</v>
      </c>
      <c r="C328" s="7" t="str">
        <f t="shared" si="12"/>
        <v>PremiumSS5R5only</v>
      </c>
      <c r="D328" s="7" t="str">
        <f t="shared" si="1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IFERROR(VLOOKUP(B328,input_606100!L:R,7,FALSE),VLOOKUP(tables_606100!C328,input_606100!A:H,8,FALSE))</f>
        <v>194000</v>
      </c>
      <c r="P328" s="46">
        <f ca="1">O328/SUM(O:O)</f>
        <v>1.3333333333327845E-3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input_606100!A$2</f>
        <v>606100</v>
      </c>
      <c r="B329" s="5">
        <v>1155</v>
      </c>
      <c r="C329" s="7" t="str">
        <f t="shared" si="12"/>
        <v>PremiumSS5R5only</v>
      </c>
      <c r="D329" s="7" t="str">
        <f t="shared" si="1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IFERROR(VLOOKUP(B329,input_606100!L:R,7,FALSE),VLOOKUP(tables_606100!C329,input_606100!A:H,8,FALSE))</f>
        <v>194000</v>
      </c>
      <c r="P329" s="46">
        <f ca="1">O329/SUM(O:O)</f>
        <v>1.3333333333327845E-3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input_606100!A$2</f>
        <v>606100</v>
      </c>
      <c r="B330" s="5">
        <v>1157</v>
      </c>
      <c r="C330" s="7" t="str">
        <f t="shared" ref="C330:C355" si="14">D330&amp;J330&amp;E330&amp;F330&amp;G330</f>
        <v>PremiumSS5R5only</v>
      </c>
      <c r="D330" s="7" t="str">
        <f t="shared" ref="D330:D355" si="15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IFERROR(VLOOKUP(B330,input_606100!L:R,7,FALSE),VLOOKUP(tables_606100!C330,input_606100!A:H,8,FALSE))</f>
        <v>194000</v>
      </c>
      <c r="P330" s="46">
        <f ca="1">O330/SUM(O:O)</f>
        <v>1.3333333333327845E-3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input_606100!A$2</f>
        <v>606100</v>
      </c>
      <c r="B331" s="5">
        <v>1214</v>
      </c>
      <c r="C331" s="7" t="str">
        <f t="shared" si="14"/>
        <v>PremiumSS5R5only</v>
      </c>
      <c r="D331" s="7" t="str">
        <f t="shared" si="15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IFERROR(VLOOKUP(B331,input_606100!L:R,7,FALSE),VLOOKUP(tables_606100!C331,input_606100!A:H,8,FALSE))</f>
        <v>194000</v>
      </c>
      <c r="P331" s="46">
        <f ca="1">O331/SUM(O:O)</f>
        <v>1.3333333333327845E-3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input_606100!A$2</f>
        <v>606100</v>
      </c>
      <c r="B332" s="5">
        <v>1212</v>
      </c>
      <c r="C332" s="7" t="str">
        <f t="shared" si="14"/>
        <v>PremiumSS5R5only</v>
      </c>
      <c r="D332" s="7" t="str">
        <f t="shared" si="15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IFERROR(VLOOKUP(B332,input_606100!L:R,7,FALSE),VLOOKUP(tables_606100!C332,input_606100!A:H,8,FALSE))</f>
        <v>194000</v>
      </c>
      <c r="P332" s="46">
        <f ca="1">O332/SUM(O:O)</f>
        <v>1.3333333333327845E-3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input_606100!A$2</f>
        <v>606100</v>
      </c>
      <c r="B333" s="5">
        <v>1208</v>
      </c>
      <c r="C333" s="7" t="str">
        <f t="shared" si="14"/>
        <v>PremiumSS5R5only</v>
      </c>
      <c r="D333" s="7" t="str">
        <f t="shared" si="15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IFERROR(VLOOKUP(B333,input_606100!L:R,7,FALSE),VLOOKUP(tables_606100!C333,input_606100!A:H,8,FALSE))</f>
        <v>194000</v>
      </c>
      <c r="P333" s="46">
        <f ca="1">O333/SUM(O:O)</f>
        <v>1.3333333333327845E-3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input_606100!A$2</f>
        <v>606100</v>
      </c>
      <c r="B334" s="5">
        <v>1210</v>
      </c>
      <c r="C334" s="7" t="str">
        <f t="shared" si="14"/>
        <v>Premium4R3less</v>
      </c>
      <c r="D334" s="7" t="str">
        <f t="shared" si="15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IFERROR(VLOOKUP(B334,input_606100!L:R,7,FALSE),VLOOKUP(tables_606100!C334,input_606100!A:H,8,FALSE))</f>
        <v>1071482.14286</v>
      </c>
      <c r="P334" s="46">
        <f ca="1">O334/SUM(O:O)</f>
        <v>7.3641384388973118E-3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input_606100!A$2</f>
        <v>606100</v>
      </c>
      <c r="B335" s="5">
        <v>1211</v>
      </c>
      <c r="C335" s="7" t="str">
        <f t="shared" si="14"/>
        <v>Premium5R3less</v>
      </c>
      <c r="D335" s="7" t="str">
        <f t="shared" si="15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IFERROR(VLOOKUP(B335,input_606100!L:R,7,FALSE),VLOOKUP(tables_606100!C335,input_606100!A:H,8,FALSE))</f>
        <v>199125</v>
      </c>
      <c r="P335" s="46">
        <f ca="1">O335/SUM(O:O)</f>
        <v>1.3685567010303643E-3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input_606100!A$2</f>
        <v>606100</v>
      </c>
      <c r="B336" s="5">
        <v>1224</v>
      </c>
      <c r="C336" s="7" t="str">
        <f t="shared" si="14"/>
        <v>Premium4R3less</v>
      </c>
      <c r="D336" s="7" t="str">
        <f t="shared" si="15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IFERROR(VLOOKUP(B336,input_606100!L:R,7,FALSE),VLOOKUP(tables_606100!C336,input_606100!A:H,8,FALSE))</f>
        <v>1071482.14286</v>
      </c>
      <c r="P336" s="46">
        <f ca="1">O336/SUM(O:O)</f>
        <v>7.3641384388973118E-3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input_606100!A$2</f>
        <v>606100</v>
      </c>
      <c r="B337" s="5">
        <v>1225</v>
      </c>
      <c r="C337" s="7" t="str">
        <f t="shared" si="14"/>
        <v>Premium5R3less</v>
      </c>
      <c r="D337" s="7" t="str">
        <f t="shared" si="15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IFERROR(VLOOKUP(B337,input_606100!L:R,7,FALSE),VLOOKUP(tables_606100!C337,input_606100!A:H,8,FALSE))</f>
        <v>199125</v>
      </c>
      <c r="P337" s="46">
        <f ca="1">O337/SUM(O:O)</f>
        <v>1.3685567010303643E-3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input_606100!A$2</f>
        <v>606100</v>
      </c>
      <c r="B338" s="5">
        <v>1226</v>
      </c>
      <c r="C338" s="7" t="str">
        <f t="shared" si="14"/>
        <v>PremiumSS5R5only</v>
      </c>
      <c r="D338" s="7" t="str">
        <f t="shared" si="15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IFERROR(VLOOKUP(B338,input_606100!L:R,7,FALSE),VLOOKUP(tables_606100!C338,input_606100!A:H,8,FALSE))</f>
        <v>194000</v>
      </c>
      <c r="P338" s="46">
        <f ca="1">O338/SUM(O:O)</f>
        <v>1.3333333333327845E-3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input_606100!A$2</f>
        <v>606100</v>
      </c>
      <c r="B339" s="5">
        <v>1228</v>
      </c>
      <c r="C339" s="7" t="str">
        <f t="shared" si="14"/>
        <v>PremiumSS5R5only</v>
      </c>
      <c r="D339" s="7" t="str">
        <f t="shared" si="15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IFERROR(VLOOKUP(B339,input_606100!L:R,7,FALSE),VLOOKUP(tables_606100!C339,input_606100!A:H,8,FALSE))</f>
        <v>194000</v>
      </c>
      <c r="P339" s="46">
        <f ca="1">O339/SUM(O:O)</f>
        <v>1.3333333333327845E-3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input_606100!A$2</f>
        <v>606100</v>
      </c>
      <c r="B340" s="5">
        <v>1230</v>
      </c>
      <c r="C340" s="7" t="str">
        <f t="shared" si="14"/>
        <v>PremiumSS5R5only</v>
      </c>
      <c r="D340" s="7" t="str">
        <f t="shared" si="15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IFERROR(VLOOKUP(B340,input_606100!L:R,7,FALSE),VLOOKUP(tables_606100!C340,input_606100!A:H,8,FALSE))</f>
        <v>194000</v>
      </c>
      <c r="P340" s="46">
        <f ca="1">O340/SUM(O:O)</f>
        <v>1.3333333333327845E-3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input_606100!A$2</f>
        <v>606100</v>
      </c>
      <c r="B341" s="5">
        <v>1250</v>
      </c>
      <c r="C341" s="7" t="str">
        <f t="shared" si="14"/>
        <v>PremiumSS5R5only</v>
      </c>
      <c r="D341" s="7" t="str">
        <f t="shared" si="15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IFERROR(VLOOKUP(B341,input_606100!L:R,7,FALSE),VLOOKUP(tables_606100!C341,input_606100!A:H,8,FALSE))</f>
        <v>194000</v>
      </c>
      <c r="P341" s="46">
        <f ca="1">O341/SUM(O:O)</f>
        <v>1.3333333333327845E-3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input_606100!A$2</f>
        <v>606100</v>
      </c>
      <c r="B342" s="5">
        <v>1248</v>
      </c>
      <c r="C342" s="7" t="str">
        <f t="shared" si="14"/>
        <v>Premium4R3less</v>
      </c>
      <c r="D342" s="7" t="str">
        <f t="shared" si="15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IFERROR(VLOOKUP(B342,input_606100!L:R,7,FALSE),VLOOKUP(tables_606100!C342,input_606100!A:H,8,FALSE))</f>
        <v>1071482.14286</v>
      </c>
      <c r="P342" s="46">
        <f ca="1">O342/SUM(O:O)</f>
        <v>7.3641384388973118E-3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input_606100!A$2</f>
        <v>606100</v>
      </c>
      <c r="B343" s="5">
        <v>1249</v>
      </c>
      <c r="C343" s="7" t="str">
        <f t="shared" si="14"/>
        <v>Premium5R3less</v>
      </c>
      <c r="D343" s="7" t="str">
        <f t="shared" si="15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IFERROR(VLOOKUP(B343,input_606100!L:R,7,FALSE),VLOOKUP(tables_606100!C343,input_606100!A:H,8,FALSE))</f>
        <v>199125</v>
      </c>
      <c r="P343" s="46">
        <f ca="1">O343/SUM(O:O)</f>
        <v>1.3685567010303643E-3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input_606100!A$2</f>
        <v>606100</v>
      </c>
      <c r="B344" s="5">
        <v>1246</v>
      </c>
      <c r="C344" s="7" t="str">
        <f t="shared" si="14"/>
        <v>PremiumSS5R5only</v>
      </c>
      <c r="D344" s="7" t="str">
        <f t="shared" si="15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IFERROR(VLOOKUP(B344,input_606100!L:R,7,FALSE),VLOOKUP(tables_606100!C344,input_606100!A:H,8,FALSE))</f>
        <v>194000</v>
      </c>
      <c r="P344" s="46">
        <f ca="1">O344/SUM(O:O)</f>
        <v>1.3333333333327845E-3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input_606100!A$2</f>
        <v>606100</v>
      </c>
      <c r="B345" s="5">
        <v>1244</v>
      </c>
      <c r="C345" s="7" t="str">
        <f t="shared" si="14"/>
        <v>PremiumSS5R5only</v>
      </c>
      <c r="D345" s="7" t="str">
        <f t="shared" si="15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IFERROR(VLOOKUP(B345,input_606100!L:R,7,FALSE),VLOOKUP(tables_606100!C345,input_606100!A:H,8,FALSE))</f>
        <v>194000</v>
      </c>
      <c r="P345" s="46">
        <f ca="1">O345/SUM(O:O)</f>
        <v>1.3333333333327845E-3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input_606100!A$2</f>
        <v>606100</v>
      </c>
      <c r="B346" s="5">
        <v>1260</v>
      </c>
      <c r="C346" s="7" t="str">
        <f t="shared" si="14"/>
        <v>PremiumSS5R5only</v>
      </c>
      <c r="D346" s="7" t="str">
        <f t="shared" si="15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IFERROR(VLOOKUP(B346,input_606100!L:R,7,FALSE),VLOOKUP(tables_606100!C346,input_606100!A:H,8,FALSE))</f>
        <v>194000</v>
      </c>
      <c r="P346" s="46">
        <f ca="1">O346/SUM(O:O)</f>
        <v>1.3333333333327845E-3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input_606100!A$2</f>
        <v>606100</v>
      </c>
      <c r="B347" s="5">
        <v>1262</v>
      </c>
      <c r="C347" s="7" t="str">
        <f t="shared" si="14"/>
        <v>PremiumSS5R5only</v>
      </c>
      <c r="D347" s="7" t="str">
        <f t="shared" si="1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IFERROR(VLOOKUP(B347,input_606100!L:R,7,FALSE),VLOOKUP(tables_606100!C347,input_606100!A:H,8,FALSE))</f>
        <v>194000</v>
      </c>
      <c r="P347" s="46">
        <f ca="1">O347/SUM(O:O)</f>
        <v>1.3333333333327845E-3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input_606100!A$2</f>
        <v>606100</v>
      </c>
      <c r="B348" s="5">
        <v>1264</v>
      </c>
      <c r="C348" s="7" t="str">
        <f t="shared" si="14"/>
        <v>PremiumSS5R5only</v>
      </c>
      <c r="D348" s="7" t="str">
        <f t="shared" si="1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IFERROR(VLOOKUP(B348,input_606100!L:R,7,FALSE),VLOOKUP(tables_606100!C348,input_606100!A:H,8,FALSE))</f>
        <v>194000</v>
      </c>
      <c r="P348" s="46">
        <f ca="1">O348/SUM(O:O)</f>
        <v>1.3333333333327845E-3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input_606100!A$2</f>
        <v>606100</v>
      </c>
      <c r="B349" s="5">
        <v>1266</v>
      </c>
      <c r="C349" s="7" t="str">
        <f t="shared" si="14"/>
        <v>Premium4R3less</v>
      </c>
      <c r="D349" s="7" t="str">
        <f t="shared" si="1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IFERROR(VLOOKUP(B349,input_606100!L:R,7,FALSE),VLOOKUP(tables_606100!C349,input_606100!A:H,8,FALSE))</f>
        <v>1071482.14286</v>
      </c>
      <c r="P349" s="46">
        <f ca="1">O349/SUM(O:O)</f>
        <v>7.3641384388973118E-3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input_606100!A$2</f>
        <v>606100</v>
      </c>
      <c r="B350" s="5">
        <v>1267</v>
      </c>
      <c r="C350" s="7" t="str">
        <f t="shared" si="14"/>
        <v>Premium5R3less</v>
      </c>
      <c r="D350" s="7" t="str">
        <f t="shared" si="1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IFERROR(VLOOKUP(B350,input_606100!L:R,7,FALSE),VLOOKUP(tables_606100!C350,input_606100!A:H,8,FALSE))</f>
        <v>199125</v>
      </c>
      <c r="P350" s="46">
        <f ca="1">O350/SUM(O:O)</f>
        <v>1.3685567010303643E-3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input_606100!A$2</f>
        <v>606100</v>
      </c>
      <c r="B351" s="5">
        <v>1332</v>
      </c>
      <c r="C351" s="7" t="str">
        <f t="shared" si="14"/>
        <v>PremiumSS5R5only</v>
      </c>
      <c r="D351" s="7" t="str">
        <f t="shared" si="15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IFERROR(VLOOKUP(B351,input_606100!L:R,7,FALSE),VLOOKUP(tables_606100!C351,input_606100!A:H,8,FALSE))</f>
        <v>194000</v>
      </c>
      <c r="P351" s="46">
        <f ca="1">O351/SUM(O:O)</f>
        <v>1.3333333333327845E-3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input_606100!A$2</f>
        <v>606100</v>
      </c>
      <c r="B352" s="5">
        <v>1336</v>
      </c>
      <c r="C352" s="7" t="str">
        <f t="shared" si="14"/>
        <v>PremiumSS5R5only</v>
      </c>
      <c r="D352" s="7" t="str">
        <f t="shared" si="1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IFERROR(VLOOKUP(B352,input_606100!L:R,7,FALSE),VLOOKUP(tables_606100!C352,input_606100!A:H,8,FALSE))</f>
        <v>194000</v>
      </c>
      <c r="P352" s="46">
        <f ca="1">O352/SUM(O:O)</f>
        <v>1.3333333333327845E-3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input_606100!A$2</f>
        <v>606100</v>
      </c>
      <c r="B353" s="5">
        <v>1338</v>
      </c>
      <c r="C353" s="7" t="str">
        <f t="shared" si="14"/>
        <v>PremiumSS5R5only</v>
      </c>
      <c r="D353" s="7" t="str">
        <f t="shared" si="1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IFERROR(VLOOKUP(B353,input_606100!L:R,7,FALSE),VLOOKUP(tables_606100!C353,input_606100!A:H,8,FALSE))</f>
        <v>194000</v>
      </c>
      <c r="P353" s="46">
        <f ca="1">O353/SUM(O:O)</f>
        <v>1.3333333333327845E-3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input_606100!A$2</f>
        <v>606100</v>
      </c>
      <c r="B354" s="5">
        <v>1334</v>
      </c>
      <c r="C354" s="7" t="str">
        <f t="shared" si="14"/>
        <v>Premium4R3less</v>
      </c>
      <c r="D354" s="7" t="str">
        <f t="shared" si="15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IFERROR(VLOOKUP(B354,input_606100!L:R,7,FALSE),VLOOKUP(tables_606100!C354,input_606100!A:H,8,FALSE))</f>
        <v>1071482.14286</v>
      </c>
      <c r="P354" s="46">
        <f ca="1">O354/SUM(O:O)</f>
        <v>7.3641384388973118E-3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input_606100!A$2</f>
        <v>606100</v>
      </c>
      <c r="B355" s="5">
        <v>1335</v>
      </c>
      <c r="C355" s="7" t="str">
        <f t="shared" si="14"/>
        <v>Premium5R3less</v>
      </c>
      <c r="D355" s="7" t="str">
        <f t="shared" si="15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IFERROR(VLOOKUP(B355,input_606100!L:R,7,FALSE),VLOOKUP(tables_606100!C355,input_606100!A:H,8,FALSE))</f>
        <v>199125</v>
      </c>
      <c r="P355" s="46">
        <f ca="1">O355/SUM(O:O)</f>
        <v>1.3685567010303643E-3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input_606100!A$2</f>
        <v>606100</v>
      </c>
      <c r="B356" s="97">
        <v>1381</v>
      </c>
      <c r="C356" s="7" t="str">
        <f t="shared" ref="C356" si="16">D356&amp;J356&amp;E356&amp;F356&amp;G356</f>
        <v>Premium4R3less</v>
      </c>
      <c r="D356" s="7" t="str">
        <f t="shared" ref="D356" si="17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IFERROR(VLOOKUP(B356,input_606100!L:R,7,FALSE),VLOOKUP(tables_606100!C356,input_606100!A:H,8,FALSE))</f>
        <v>1071482.14286</v>
      </c>
      <c r="P356" s="46">
        <f ca="1">O356/SUM(O:O)</f>
        <v>7.3641384388973118E-3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input_606100!A$2</f>
        <v>606100</v>
      </c>
      <c r="B357" s="97">
        <v>1382</v>
      </c>
      <c r="C357" s="7" t="str">
        <f t="shared" ref="C357:C360" si="18">D357&amp;J357&amp;E357&amp;F357&amp;G357</f>
        <v>Premium5R3less</v>
      </c>
      <c r="D357" s="7" t="str">
        <f t="shared" ref="D357:D360" si="19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IFERROR(VLOOKUP(B357,input_606100!L:R,7,FALSE),VLOOKUP(tables_606100!C357,input_606100!A:H,8,FALSE))</f>
        <v>199125</v>
      </c>
      <c r="P357" s="46">
        <f ca="1">O357/SUM(O:O)</f>
        <v>1.3685567010303643E-3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input_606100!A$2</f>
        <v>606100</v>
      </c>
      <c r="B358" s="97">
        <v>1383</v>
      </c>
      <c r="C358" s="7" t="str">
        <f t="shared" si="18"/>
        <v>PremiumSS5R5only</v>
      </c>
      <c r="D358" s="7" t="str">
        <f t="shared" si="19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IFERROR(VLOOKUP(B358,input_606100!L:R,7,FALSE),VLOOKUP(tables_606100!C358,input_606100!A:H,8,FALSE))</f>
        <v>194000</v>
      </c>
      <c r="P358" s="46">
        <f ca="1">O358/SUM(O:O)</f>
        <v>1.3333333333327845E-3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input_606100!A$2</f>
        <v>606100</v>
      </c>
      <c r="B359" s="97">
        <v>1385</v>
      </c>
      <c r="C359" s="7" t="str">
        <f t="shared" si="18"/>
        <v>PremiumSS5R5only</v>
      </c>
      <c r="D359" s="7" t="str">
        <f t="shared" si="19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IFERROR(VLOOKUP(B359,input_606100!L:R,7,FALSE),VLOOKUP(tables_606100!C359,input_606100!A:H,8,FALSE))</f>
        <v>194000</v>
      </c>
      <c r="P359" s="46">
        <f ca="1">O359/SUM(O:O)</f>
        <v>1.3333333333327845E-3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input_606100!A$2</f>
        <v>606100</v>
      </c>
      <c r="B360" s="97">
        <v>1387</v>
      </c>
      <c r="C360" s="7" t="str">
        <f t="shared" si="18"/>
        <v>PremiumSS5R5only</v>
      </c>
      <c r="D360" s="7" t="str">
        <f t="shared" si="19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IFERROR(VLOOKUP(B360,input_606100!L:R,7,FALSE),VLOOKUP(tables_606100!C360,input_606100!A:H,8,FALSE))</f>
        <v>194000</v>
      </c>
      <c r="P360" s="46">
        <f ca="1">O360/SUM(O:O)</f>
        <v>1.3333333333327845E-3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input_606100!A$2</f>
        <v>606100</v>
      </c>
      <c r="B361" s="95">
        <v>1090</v>
      </c>
      <c r="C361" s="7" t="str">
        <f t="shared" ref="C361:C362" si="20">D361&amp;J361&amp;E361&amp;F361&amp;G361</f>
        <v>PremiumSSS5R3less</v>
      </c>
      <c r="D361" s="7" t="str">
        <f t="shared" ref="D361:D362" si="21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ラプラス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yellow</v>
      </c>
      <c r="L361" s="7" t="str">
        <f>VLOOKUP(B361,[1]characters!$A:$K,11,FALSE)</f>
        <v>attack</v>
      </c>
      <c r="M361" s="7" t="str">
        <f>VLOOKUP(B361,[1]characters!$A:$M,13,FALSE)</f>
        <v>academia</v>
      </c>
      <c r="N361" s="7" t="str">
        <f>VLOOKUP(B361,[1]characters!$A:$G,7,FALSE)</f>
        <v>不明</v>
      </c>
      <c r="O361" s="45">
        <f>IFERROR(VLOOKUP(B361,input_606100!L:R,7,FALSE),VLOOKUP(tables_606100!C361,input_606100!A:H,8,FALSE))</f>
        <v>727500</v>
      </c>
      <c r="P361" s="46">
        <f ca="1">O361/SUM(O:O)</f>
        <v>4.9999999999979419E-3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input_606100!A$2</f>
        <v>606100</v>
      </c>
      <c r="B362" s="95">
        <v>1452</v>
      </c>
      <c r="C362" s="7" t="str">
        <f t="shared" si="20"/>
        <v>PremiumSSS5R3less</v>
      </c>
      <c r="D362" s="7" t="str">
        <f t="shared" si="21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メルセンヌ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hp</v>
      </c>
      <c r="M362" s="7" t="str">
        <f>VLOOKUP(B362,[1]characters!$A:$M,13,FALSE)</f>
        <v>academia</v>
      </c>
      <c r="N362" s="7" t="str">
        <f>VLOOKUP(B362,[1]characters!$A:$G,7,FALSE)</f>
        <v>不明</v>
      </c>
      <c r="O362" s="45">
        <f>IFERROR(VLOOKUP(B362,input_606100!L:R,7,FALSE),VLOOKUP(tables_606100!C362,input_606100!A:H,8,FALSE))</f>
        <v>727500</v>
      </c>
      <c r="P362" s="46">
        <f ca="1">O362/SUM(O:O)</f>
        <v>4.9999999999979419E-3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36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61"/>
  <sheetViews>
    <sheetView showGridLines="0" zoomScale="75" zoomScaleNormal="75" zoomScalePageLayoutView="75" workbookViewId="0">
      <pane ySplit="1" topLeftCell="A145" activePane="bottomLeft" state="frozen"/>
      <selection activeCell="D34" sqref="D34"/>
      <selection pane="bottomLeft" activeCell="Y3" sqref="Y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input_606100!A$2</f>
        <v>606100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133500</v>
      </c>
      <c r="P2" s="46">
        <f>O2/SUM(O:O)</f>
        <v>1.0722891566265061E-2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251</v>
      </c>
      <c r="X2" s="1">
        <f>COUNTIF(D:D,"Premium")</f>
        <v>83</v>
      </c>
      <c r="Y2" s="1">
        <f>X5/X2*0.89</f>
        <v>133500</v>
      </c>
    </row>
    <row r="3" spans="1:25" ht="21" customHeight="1" x14ac:dyDescent="0.15">
      <c r="A3" s="2" t="str">
        <f ca="1">input_606100!A$2</f>
        <v>606100</v>
      </c>
      <c r="B3" s="6">
        <v>171</v>
      </c>
      <c r="C3" s="7" t="str">
        <f t="shared" si="0"/>
        <v>Premium5R6release</v>
      </c>
      <c r="D3" s="7" t="str">
        <f t="shared" ref="D3:D37" si="1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133500</v>
      </c>
      <c r="P3" s="46">
        <f>O3/SUM(O:O)</f>
        <v>1.0722891566265061E-2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252</v>
      </c>
      <c r="X3" s="1">
        <f>COUNTIF(D:D,"PremiumSS")</f>
        <v>75</v>
      </c>
      <c r="Y3" s="1">
        <f>X5/X3*0.1</f>
        <v>16600</v>
      </c>
    </row>
    <row r="4" spans="1:25" ht="21" customHeight="1" x14ac:dyDescent="0.15">
      <c r="A4" s="2" t="str">
        <f ca="1">input_606100!A$2</f>
        <v>606100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133500</v>
      </c>
      <c r="P4" s="46">
        <f>O4/SUM(O:O)</f>
        <v>1.0722891566265061E-2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2</v>
      </c>
      <c r="Y4" s="1">
        <f>X5/X4*0.01</f>
        <v>62250</v>
      </c>
    </row>
    <row r="5" spans="1:25" ht="21" customHeight="1" x14ac:dyDescent="0.15">
      <c r="A5" s="2" t="str">
        <f ca="1">input_606100!A$2</f>
        <v>606100</v>
      </c>
      <c r="B5" s="6">
        <v>177</v>
      </c>
      <c r="C5" s="7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2">VLOOKUP(D5,$W$2:$Y$4,3,FALSE)</f>
        <v>133500</v>
      </c>
      <c r="P5" s="46">
        <f>O5/SUM(O:O)</f>
        <v>1.0722891566265061E-2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X2*X3*X4*1000</f>
        <v>12450000</v>
      </c>
    </row>
    <row r="6" spans="1:25" ht="21" customHeight="1" x14ac:dyDescent="0.15">
      <c r="A6" s="2" t="str">
        <f ca="1">input_606100!A$2</f>
        <v>606100</v>
      </c>
      <c r="B6" s="6">
        <v>180</v>
      </c>
      <c r="C6" s="7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2"/>
        <v>133500</v>
      </c>
      <c r="P6" s="46">
        <f>O6/SUM(O:O)</f>
        <v>1.0722891566265061E-2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input_606100!A$2</f>
        <v>606100</v>
      </c>
      <c r="B7" s="6">
        <v>183</v>
      </c>
      <c r="C7" s="7" t="str">
        <f t="shared" si="0"/>
        <v>Premium5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2"/>
        <v>133500</v>
      </c>
      <c r="P7" s="46">
        <f>O7/SUM(O:O)</f>
        <v>1.0722891566265061E-2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input_606100!A$2</f>
        <v>606100</v>
      </c>
      <c r="B8" s="6">
        <v>186</v>
      </c>
      <c r="C8" s="7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2"/>
        <v>133500</v>
      </c>
      <c r="P8" s="46">
        <f>O8/SUM(O:O)</f>
        <v>1.0722891566265061E-2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input_606100!A$2</f>
        <v>606100</v>
      </c>
      <c r="B9" s="6">
        <v>189</v>
      </c>
      <c r="C9" s="7" t="str">
        <f t="shared" si="0"/>
        <v>Premium5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2"/>
        <v>133500</v>
      </c>
      <c r="P9" s="46">
        <f>O9/SUM(O:O)</f>
        <v>1.0722891566265061E-2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input_606100!A$2</f>
        <v>606100</v>
      </c>
      <c r="B10" s="6">
        <v>192</v>
      </c>
      <c r="C10" s="7" t="str">
        <f t="shared" si="0"/>
        <v>Premium5</v>
      </c>
      <c r="D10" s="7" t="str">
        <f t="shared" si="1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133500</v>
      </c>
      <c r="P10" s="46">
        <f>O10/SUM(O:O)</f>
        <v>1.0722891566265061E-2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input_606100!A$2</f>
        <v>606100</v>
      </c>
      <c r="B11" s="6">
        <v>195</v>
      </c>
      <c r="C11" s="7" t="str">
        <f t="shared" si="0"/>
        <v>Premium5</v>
      </c>
      <c r="D11" s="7" t="str">
        <f t="shared" si="1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2"/>
        <v>133500</v>
      </c>
      <c r="P11" s="46">
        <f>O11/SUM(O:O)</f>
        <v>1.0722891566265061E-2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input_606100!A$2</f>
        <v>606100</v>
      </c>
      <c r="B12" s="8">
        <v>198</v>
      </c>
      <c r="C12" s="7" t="str">
        <f t="shared" si="0"/>
        <v>Premium5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2"/>
        <v>133500</v>
      </c>
      <c r="P12" s="46">
        <f>O12/SUM(O:O)</f>
        <v>1.0722891566265061E-2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input_606100!A$2</f>
        <v>606100</v>
      </c>
      <c r="B13" s="8">
        <v>201</v>
      </c>
      <c r="C13" s="7" t="str">
        <f t="shared" si="0"/>
        <v>Premium5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2"/>
        <v>133500</v>
      </c>
      <c r="P13" s="46">
        <f>O13/SUM(O:O)</f>
        <v>1.0722891566265061E-2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input_606100!A$2</f>
        <v>606100</v>
      </c>
      <c r="B14" s="6">
        <v>204</v>
      </c>
      <c r="C14" s="7" t="str">
        <f t="shared" si="0"/>
        <v>Premium5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2"/>
        <v>133500</v>
      </c>
      <c r="P14" s="46">
        <f>O14/SUM(O:O)</f>
        <v>1.0722891566265061E-2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input_606100!A$2</f>
        <v>606100</v>
      </c>
      <c r="B15" s="6">
        <v>207</v>
      </c>
      <c r="C15" s="7" t="str">
        <f t="shared" si="0"/>
        <v>Premium5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2"/>
        <v>133500</v>
      </c>
      <c r="P15" s="46">
        <f>O15/SUM(O:O)</f>
        <v>1.0722891566265061E-2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input_606100!A$2</f>
        <v>606100</v>
      </c>
      <c r="B16" s="10">
        <v>210</v>
      </c>
      <c r="C16" s="7" t="str">
        <f t="shared" si="0"/>
        <v>Premium5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2"/>
        <v>133500</v>
      </c>
      <c r="P16" s="46">
        <f>O16/SUM(O:O)</f>
        <v>1.0722891566265061E-2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input_606100!A$2</f>
        <v>606100</v>
      </c>
      <c r="B17" s="11">
        <v>213</v>
      </c>
      <c r="C17" s="7" t="str">
        <f t="shared" si="0"/>
        <v>Premium5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2"/>
        <v>133500</v>
      </c>
      <c r="P17" s="46">
        <f>O17/SUM(O:O)</f>
        <v>1.0722891566265061E-2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input_606100!A$2</f>
        <v>606100</v>
      </c>
      <c r="B18" s="6">
        <v>216</v>
      </c>
      <c r="C18" s="7" t="str">
        <f t="shared" si="0"/>
        <v>Premium5</v>
      </c>
      <c r="D18" s="7" t="str">
        <f t="shared" si="1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2"/>
        <v>133500</v>
      </c>
      <c r="P18" s="46">
        <f>O18/SUM(O:O)</f>
        <v>1.0722891566265061E-2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input_606100!A$2</f>
        <v>606100</v>
      </c>
      <c r="B19" s="6">
        <v>219</v>
      </c>
      <c r="C19" s="7" t="str">
        <f t="shared" si="0"/>
        <v>Premium5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2"/>
        <v>133500</v>
      </c>
      <c r="P19" s="46">
        <f>O19/SUM(O:O)</f>
        <v>1.0722891566265061E-2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input_606100!A$2</f>
        <v>606100</v>
      </c>
      <c r="B20" s="10">
        <v>222</v>
      </c>
      <c r="C20" s="7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2"/>
        <v>133500</v>
      </c>
      <c r="P20" s="46">
        <f>O20/SUM(O:O)</f>
        <v>1.0722891566265061E-2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input_606100!A$2</f>
        <v>606100</v>
      </c>
      <c r="B21" s="6">
        <v>225</v>
      </c>
      <c r="C21" s="7" t="str">
        <f t="shared" si="0"/>
        <v>Premium5</v>
      </c>
      <c r="D21" s="7" t="str">
        <f t="shared" si="1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2"/>
        <v>133500</v>
      </c>
      <c r="P21" s="46">
        <f>O21/SUM(O:O)</f>
        <v>1.0722891566265061E-2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input_606100!A$2</f>
        <v>606100</v>
      </c>
      <c r="B22" s="6">
        <v>228</v>
      </c>
      <c r="C22" s="7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2"/>
        <v>133500</v>
      </c>
      <c r="P22" s="46">
        <f>O22/SUM(O:O)</f>
        <v>1.0722891566265061E-2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input_606100!A$2</f>
        <v>606100</v>
      </c>
      <c r="B23" s="6">
        <v>231</v>
      </c>
      <c r="C23" s="7" t="str">
        <f t="shared" si="0"/>
        <v>Premium5</v>
      </c>
      <c r="D23" s="7" t="str">
        <f t="shared" si="1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2"/>
        <v>133500</v>
      </c>
      <c r="P23" s="46">
        <f>O23/SUM(O:O)</f>
        <v>1.0722891566265061E-2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input_606100!A$2</f>
        <v>606100</v>
      </c>
      <c r="B24" s="6">
        <v>234</v>
      </c>
      <c r="C24" s="7" t="str">
        <f t="shared" si="0"/>
        <v>Premium5</v>
      </c>
      <c r="D24" s="7" t="str">
        <f t="shared" si="1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2"/>
        <v>133500</v>
      </c>
      <c r="P24" s="46">
        <f>O24/SUM(O:O)</f>
        <v>1.0722891566265061E-2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input_606100!A$2</f>
        <v>606100</v>
      </c>
      <c r="B25" s="6">
        <v>237</v>
      </c>
      <c r="C25" s="7" t="str">
        <f t="shared" si="0"/>
        <v>Premium5R6release</v>
      </c>
      <c r="D25" s="7" t="str">
        <f t="shared" si="1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2"/>
        <v>133500</v>
      </c>
      <c r="P25" s="46">
        <f>O25/SUM(O:O)</f>
        <v>1.0722891566265061E-2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input_606100!A$2</f>
        <v>606100</v>
      </c>
      <c r="B26" s="6">
        <v>240</v>
      </c>
      <c r="C26" s="7" t="str">
        <f t="shared" si="0"/>
        <v>Premium5</v>
      </c>
      <c r="D26" s="7" t="str">
        <f t="shared" si="1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2"/>
        <v>133500</v>
      </c>
      <c r="P26" s="46">
        <f>O26/SUM(O:O)</f>
        <v>1.0722891566265061E-2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input_606100!A$2</f>
        <v>606100</v>
      </c>
      <c r="B27" s="6">
        <v>243</v>
      </c>
      <c r="C27" s="7" t="str">
        <f t="shared" si="0"/>
        <v>Premium5</v>
      </c>
      <c r="D27" s="7" t="str">
        <f t="shared" si="1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2"/>
        <v>133500</v>
      </c>
      <c r="P27" s="46">
        <f>O27/SUM(O:O)</f>
        <v>1.0722891566265061E-2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input_606100!A$2</f>
        <v>606100</v>
      </c>
      <c r="B28" s="6">
        <v>246</v>
      </c>
      <c r="C28" s="7" t="str">
        <f t="shared" si="0"/>
        <v>Premium5</v>
      </c>
      <c r="D28" s="7" t="str">
        <f t="shared" si="1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2"/>
        <v>133500</v>
      </c>
      <c r="P28" s="46">
        <f>O28/SUM(O:O)</f>
        <v>1.0722891566265061E-2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input_606100!A$2</f>
        <v>606100</v>
      </c>
      <c r="B29" s="6">
        <v>249</v>
      </c>
      <c r="C29" s="7" t="str">
        <f t="shared" si="0"/>
        <v>Premium5</v>
      </c>
      <c r="D29" s="7" t="str">
        <f t="shared" si="1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2"/>
        <v>133500</v>
      </c>
      <c r="P29" s="46">
        <f>O29/SUM(O:O)</f>
        <v>1.0722891566265061E-2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input_606100!A$2</f>
        <v>606100</v>
      </c>
      <c r="B30" s="6">
        <v>252</v>
      </c>
      <c r="C30" s="7" t="str">
        <f t="shared" si="0"/>
        <v>Premium5</v>
      </c>
      <c r="D30" s="7" t="str">
        <f t="shared" si="1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2"/>
        <v>133500</v>
      </c>
      <c r="P30" s="46">
        <f>O30/SUM(O:O)</f>
        <v>1.0722891566265061E-2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input_606100!A$2</f>
        <v>606100</v>
      </c>
      <c r="B31" s="6">
        <v>255</v>
      </c>
      <c r="C31" s="7" t="str">
        <f t="shared" si="0"/>
        <v>Premium5</v>
      </c>
      <c r="D31" s="7" t="str">
        <f t="shared" si="1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2"/>
        <v>133500</v>
      </c>
      <c r="P31" s="46">
        <f>O31/SUM(O:O)</f>
        <v>1.0722891566265061E-2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input_606100!A$2</f>
        <v>606100</v>
      </c>
      <c r="B32" s="6">
        <v>258</v>
      </c>
      <c r="C32" s="7" t="str">
        <f t="shared" si="0"/>
        <v>Premium5</v>
      </c>
      <c r="D32" s="7" t="str">
        <f t="shared" si="1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2"/>
        <v>133500</v>
      </c>
      <c r="P32" s="46">
        <f>O32/SUM(O:O)</f>
        <v>1.0722891566265061E-2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input_606100!A$2</f>
        <v>606100</v>
      </c>
      <c r="B33" s="6">
        <v>261</v>
      </c>
      <c r="C33" s="7" t="str">
        <f t="shared" si="0"/>
        <v>Premium5</v>
      </c>
      <c r="D33" s="7" t="str">
        <f t="shared" si="1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2"/>
        <v>133500</v>
      </c>
      <c r="P33" s="46">
        <f>O33/SUM(O:O)</f>
        <v>1.0722891566265061E-2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input_606100!A$2</f>
        <v>606100</v>
      </c>
      <c r="B34" s="6">
        <v>321</v>
      </c>
      <c r="C34" s="7" t="str">
        <f t="shared" si="0"/>
        <v>PremiumSS5</v>
      </c>
      <c r="D34" s="7" t="str">
        <f t="shared" si="1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2"/>
        <v>16600</v>
      </c>
      <c r="P34" s="46">
        <f>O34/SUM(O:O)</f>
        <v>1.3333333333333333E-3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input_606100!A$2</f>
        <v>606100</v>
      </c>
      <c r="B35" s="6">
        <v>323</v>
      </c>
      <c r="C35" s="7" t="str">
        <f t="shared" si="0"/>
        <v>PremiumSS5</v>
      </c>
      <c r="D35" s="7" t="str">
        <f t="shared" si="1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2"/>
        <v>16600</v>
      </c>
      <c r="P35" s="46">
        <f>O35/SUM(O:O)</f>
        <v>1.3333333333333333E-3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input_606100!A$2</f>
        <v>606100</v>
      </c>
      <c r="B36" s="6">
        <v>325</v>
      </c>
      <c r="C36" s="7" t="str">
        <f t="shared" si="0"/>
        <v>PremiumSS5</v>
      </c>
      <c r="D36" s="7" t="str">
        <f t="shared" si="1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2"/>
        <v>16600</v>
      </c>
      <c r="P36" s="46">
        <f>O36/SUM(O:O)</f>
        <v>1.3333333333333333E-3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input_606100!A$2</f>
        <v>606100</v>
      </c>
      <c r="B37" s="6">
        <v>327</v>
      </c>
      <c r="C37" s="7" t="str">
        <f t="shared" si="0"/>
        <v>PremiumSS5</v>
      </c>
      <c r="D37" s="7" t="str">
        <f t="shared" si="1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2"/>
        <v>16600</v>
      </c>
      <c r="P37" s="46">
        <f>O37/SUM(O:O)</f>
        <v>1.3333333333333333E-3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input_606100!A$2</f>
        <v>606100</v>
      </c>
      <c r="B38" s="60">
        <v>382</v>
      </c>
      <c r="C38" s="7" t="str">
        <f t="shared" ref="C38:C43" si="3">D38&amp;J38&amp;E38&amp;F38&amp;G38</f>
        <v>Premium5</v>
      </c>
      <c r="D38" s="7" t="str">
        <f t="shared" ref="D38:D43" si="4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2"/>
        <v>133500</v>
      </c>
      <c r="P38" s="46">
        <f>O38/SUM(O:O)</f>
        <v>1.0722891566265061E-2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input_606100!A$2</f>
        <v>606100</v>
      </c>
      <c r="B39" s="60">
        <v>384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2"/>
        <v>16600</v>
      </c>
      <c r="P39" s="46">
        <f>O39/SUM(O:O)</f>
        <v>1.3333333333333333E-3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input_606100!A$2</f>
        <v>606100</v>
      </c>
      <c r="B40" s="60">
        <v>386</v>
      </c>
      <c r="C40" s="7" t="str">
        <f t="shared" si="3"/>
        <v>PremiumSS5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2"/>
        <v>16600</v>
      </c>
      <c r="P40" s="46">
        <f>O40/SUM(O:O)</f>
        <v>1.3333333333333333E-3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input_606100!A$2</f>
        <v>606100</v>
      </c>
      <c r="B41" s="60">
        <v>389</v>
      </c>
      <c r="C41" s="7" t="str">
        <f t="shared" si="3"/>
        <v>Premium5</v>
      </c>
      <c r="D41" s="7" t="str">
        <f t="shared" si="4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2"/>
        <v>133500</v>
      </c>
      <c r="P41" s="46">
        <f>O41/SUM(O:O)</f>
        <v>1.0722891566265061E-2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input_606100!A$2</f>
        <v>606100</v>
      </c>
      <c r="B42" s="60">
        <v>391</v>
      </c>
      <c r="C42" s="7" t="str">
        <f t="shared" si="3"/>
        <v>PremiumSS5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2"/>
        <v>16600</v>
      </c>
      <c r="P42" s="46">
        <f>O42/SUM(O:O)</f>
        <v>1.3333333333333333E-3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input_606100!A$2</f>
        <v>606100</v>
      </c>
      <c r="B43" s="89">
        <v>394</v>
      </c>
      <c r="C43" s="7" t="str">
        <f t="shared" si="3"/>
        <v>Premium5</v>
      </c>
      <c r="D43" s="7" t="str">
        <f t="shared" si="4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2"/>
        <v>133500</v>
      </c>
      <c r="P43" s="46">
        <f>O43/SUM(O:O)</f>
        <v>1.0722891566265061E-2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input_606100!A$2</f>
        <v>606100</v>
      </c>
      <c r="B44" s="1">
        <v>397</v>
      </c>
      <c r="C44" s="7" t="str">
        <f t="shared" ref="C44:C107" si="5">D44&amp;J44&amp;E44&amp;F44&amp;G44</f>
        <v>Premium5</v>
      </c>
      <c r="D44" s="7" t="str">
        <f t="shared" ref="D44:D107" si="6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2"/>
        <v>133500</v>
      </c>
      <c r="P44" s="46">
        <f>O44/SUM(O:O)</f>
        <v>1.0722891566265061E-2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input_606100!A$2</f>
        <v>606100</v>
      </c>
      <c r="B45" s="1">
        <v>399</v>
      </c>
      <c r="C45" s="7" t="str">
        <f t="shared" si="5"/>
        <v>PremiumSS5</v>
      </c>
      <c r="D45" s="7" t="str">
        <f t="shared" si="6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2"/>
        <v>16600</v>
      </c>
      <c r="P45" s="46">
        <f>O45/SUM(O:O)</f>
        <v>1.3333333333333333E-3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input_606100!A$2</f>
        <v>606100</v>
      </c>
      <c r="B46" s="1">
        <v>402</v>
      </c>
      <c r="C46" s="7" t="str">
        <f t="shared" si="5"/>
        <v>Premium5</v>
      </c>
      <c r="D46" s="7" t="str">
        <f t="shared" si="6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2"/>
        <v>133500</v>
      </c>
      <c r="P46" s="46">
        <f>O46/SUM(O:O)</f>
        <v>1.0722891566265061E-2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input_606100!A$2</f>
        <v>606100</v>
      </c>
      <c r="B47" s="1">
        <v>404</v>
      </c>
      <c r="C47" s="7" t="str">
        <f t="shared" si="5"/>
        <v>PremiumSS5</v>
      </c>
      <c r="D47" s="7" t="str">
        <f t="shared" si="6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2"/>
        <v>16600</v>
      </c>
      <c r="P47" s="46">
        <f>O47/SUM(O:O)</f>
        <v>1.3333333333333333E-3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input_606100!A$2</f>
        <v>606100</v>
      </c>
      <c r="B48" s="1">
        <v>407</v>
      </c>
      <c r="C48" s="7" t="str">
        <f t="shared" si="5"/>
        <v>Premium5</v>
      </c>
      <c r="D48" s="7" t="str">
        <f t="shared" si="6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2"/>
        <v>133500</v>
      </c>
      <c r="P48" s="46">
        <f>O48/SUM(O:O)</f>
        <v>1.0722891566265061E-2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input_606100!A$2</f>
        <v>606100</v>
      </c>
      <c r="B49" s="1">
        <v>409</v>
      </c>
      <c r="C49" s="7" t="str">
        <f t="shared" si="5"/>
        <v>PremiumSS5</v>
      </c>
      <c r="D49" s="7" t="str">
        <f t="shared" si="6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2"/>
        <v>16600</v>
      </c>
      <c r="P49" s="46">
        <f>O49/SUM(O:O)</f>
        <v>1.3333333333333333E-3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input_606100!A$2</f>
        <v>606100</v>
      </c>
      <c r="B50" s="1">
        <v>435</v>
      </c>
      <c r="C50" s="7" t="str">
        <f t="shared" si="5"/>
        <v>PremiumSS5</v>
      </c>
      <c r="D50" s="7" t="str">
        <f t="shared" si="6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2"/>
        <v>16600</v>
      </c>
      <c r="P50" s="46">
        <f>O50/SUM(O:O)</f>
        <v>1.3333333333333333E-3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input_606100!A$2</f>
        <v>606100</v>
      </c>
      <c r="B51" s="1">
        <v>438</v>
      </c>
      <c r="C51" s="7" t="str">
        <f t="shared" si="5"/>
        <v>Premium5</v>
      </c>
      <c r="D51" s="7" t="str">
        <f t="shared" si="6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133500</v>
      </c>
      <c r="P51" s="46">
        <f>O51/SUM(O:O)</f>
        <v>1.0722891566265061E-2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input_606100!A$2</f>
        <v>606100</v>
      </c>
      <c r="B52" s="1">
        <v>441</v>
      </c>
      <c r="C52" s="7" t="str">
        <f t="shared" si="5"/>
        <v>Premium5</v>
      </c>
      <c r="D52" s="7" t="str">
        <f t="shared" si="6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2"/>
        <v>133500</v>
      </c>
      <c r="P52" s="46">
        <f>O52/SUM(O:O)</f>
        <v>1.0722891566265061E-2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input_606100!A$2</f>
        <v>606100</v>
      </c>
      <c r="B53" s="1">
        <v>443</v>
      </c>
      <c r="C53" s="7" t="str">
        <f t="shared" si="5"/>
        <v>PremiumSS5</v>
      </c>
      <c r="D53" s="7" t="str">
        <f t="shared" si="6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2"/>
        <v>16600</v>
      </c>
      <c r="P53" s="46">
        <f>O53/SUM(O:O)</f>
        <v>1.3333333333333333E-3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input_606100!A$2</f>
        <v>606100</v>
      </c>
      <c r="B54" s="1">
        <v>464</v>
      </c>
      <c r="C54" s="7" t="str">
        <f t="shared" si="5"/>
        <v>Premium5</v>
      </c>
      <c r="D54" s="7" t="str">
        <f t="shared" si="6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2"/>
        <v>133500</v>
      </c>
      <c r="P54" s="46">
        <f>O54/SUM(O:O)</f>
        <v>1.0722891566265061E-2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input_606100!A$2</f>
        <v>606100</v>
      </c>
      <c r="B55" s="1">
        <v>466</v>
      </c>
      <c r="C55" s="7" t="str">
        <f t="shared" si="5"/>
        <v>PremiumSS5</v>
      </c>
      <c r="D55" s="7" t="str">
        <f t="shared" si="6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2"/>
        <v>16600</v>
      </c>
      <c r="P55" s="46">
        <f>O55/SUM(O:O)</f>
        <v>1.3333333333333333E-3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input_606100!A$2</f>
        <v>606100</v>
      </c>
      <c r="B56" s="1">
        <v>468</v>
      </c>
      <c r="C56" s="7" t="str">
        <f t="shared" si="5"/>
        <v>PremiumSS5</v>
      </c>
      <c r="D56" s="7" t="str">
        <f t="shared" si="6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2"/>
        <v>16600</v>
      </c>
      <c r="P56" s="46">
        <f>O56/SUM(O:O)</f>
        <v>1.3333333333333333E-3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input_606100!A$2</f>
        <v>606100</v>
      </c>
      <c r="B57" s="1">
        <v>471</v>
      </c>
      <c r="C57" s="7" t="str">
        <f t="shared" si="5"/>
        <v>Premium5</v>
      </c>
      <c r="D57" s="7" t="str">
        <f t="shared" si="6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2"/>
        <v>133500</v>
      </c>
      <c r="P57" s="46">
        <f>O57/SUM(O:O)</f>
        <v>1.0722891566265061E-2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input_606100!A$2</f>
        <v>606100</v>
      </c>
      <c r="B58" s="1">
        <v>475</v>
      </c>
      <c r="C58" s="7" t="str">
        <f t="shared" si="5"/>
        <v>PremiumSS5</v>
      </c>
      <c r="D58" s="7" t="str">
        <f t="shared" si="6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2"/>
        <v>16600</v>
      </c>
      <c r="P58" s="46">
        <f>O58/SUM(O:O)</f>
        <v>1.3333333333333333E-3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input_606100!A$2</f>
        <v>606100</v>
      </c>
      <c r="B59" s="1">
        <v>478</v>
      </c>
      <c r="C59" s="7" t="str">
        <f t="shared" si="5"/>
        <v>Premium5</v>
      </c>
      <c r="D59" s="7" t="str">
        <f t="shared" si="6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2"/>
        <v>133500</v>
      </c>
      <c r="P59" s="46">
        <f>O59/SUM(O:O)</f>
        <v>1.0722891566265061E-2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input_606100!A$2</f>
        <v>606100</v>
      </c>
      <c r="B60" s="1">
        <v>480</v>
      </c>
      <c r="C60" s="7" t="str">
        <f t="shared" si="5"/>
        <v>PremiumSS5</v>
      </c>
      <c r="D60" s="7" t="str">
        <f t="shared" si="6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2"/>
        <v>16600</v>
      </c>
      <c r="P60" s="46">
        <f>O60/SUM(O:O)</f>
        <v>1.3333333333333333E-3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input_606100!A$2</f>
        <v>606100</v>
      </c>
      <c r="B61" s="1">
        <v>483</v>
      </c>
      <c r="C61" s="7" t="str">
        <f t="shared" si="5"/>
        <v>Premium5</v>
      </c>
      <c r="D61" s="7" t="str">
        <f t="shared" si="6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2"/>
        <v>133500</v>
      </c>
      <c r="P61" s="46">
        <f>O61/SUM(O:O)</f>
        <v>1.0722891566265061E-2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input_606100!A$2</f>
        <v>606100</v>
      </c>
      <c r="B62" s="1">
        <v>493</v>
      </c>
      <c r="C62" s="7" t="str">
        <f t="shared" si="5"/>
        <v>PremiumSS5</v>
      </c>
      <c r="D62" s="7" t="str">
        <f t="shared" si="6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2"/>
        <v>16600</v>
      </c>
      <c r="P62" s="46">
        <f>O62/SUM(O:O)</f>
        <v>1.3333333333333333E-3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input_606100!A$2</f>
        <v>606100</v>
      </c>
      <c r="B63" s="1">
        <v>495</v>
      </c>
      <c r="C63" s="7" t="str">
        <f t="shared" si="5"/>
        <v>PremiumSS5</v>
      </c>
      <c r="D63" s="7" t="str">
        <f t="shared" si="6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2"/>
        <v>16600</v>
      </c>
      <c r="P63" s="46">
        <f>O63/SUM(O:O)</f>
        <v>1.3333333333333333E-3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input_606100!A$2</f>
        <v>606100</v>
      </c>
      <c r="B64" s="1">
        <v>498</v>
      </c>
      <c r="C64" s="7" t="str">
        <f t="shared" si="5"/>
        <v>Premium5</v>
      </c>
      <c r="D64" s="7" t="str">
        <f t="shared" si="6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2"/>
        <v>133500</v>
      </c>
      <c r="P64" s="46">
        <f>O64/SUM(O:O)</f>
        <v>1.0722891566265061E-2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input_606100!A$2</f>
        <v>606100</v>
      </c>
      <c r="B65" s="1">
        <v>500</v>
      </c>
      <c r="C65" s="7" t="str">
        <f t="shared" si="5"/>
        <v>PremiumSS5</v>
      </c>
      <c r="D65" s="7" t="str">
        <f t="shared" si="6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2"/>
        <v>16600</v>
      </c>
      <c r="P65" s="46">
        <f>O65/SUM(O:O)</f>
        <v>1.3333333333333333E-3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input_606100!A$2</f>
        <v>606100</v>
      </c>
      <c r="B66" s="1">
        <v>560</v>
      </c>
      <c r="C66" s="7" t="str">
        <f t="shared" si="5"/>
        <v>premium5R3less</v>
      </c>
      <c r="D66" s="7" t="str">
        <f t="shared" si="6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2"/>
        <v>133500</v>
      </c>
      <c r="P66" s="46">
        <f>O66/SUM(O:O)</f>
        <v>1.0722891566265061E-2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input_606100!A$2</f>
        <v>606100</v>
      </c>
      <c r="B67" s="1">
        <v>561</v>
      </c>
      <c r="C67" s="7" t="str">
        <f t="shared" si="5"/>
        <v>premium5R3less</v>
      </c>
      <c r="D67" s="7" t="str">
        <f t="shared" si="6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7">VLOOKUP(D67,$W$2:$Y$4,3,FALSE)</f>
        <v>133500</v>
      </c>
      <c r="P67" s="46">
        <f>O67/SUM(O:O)</f>
        <v>1.0722891566265061E-2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input_606100!A$2</f>
        <v>606100</v>
      </c>
      <c r="B68" s="1">
        <v>562</v>
      </c>
      <c r="C68" s="7" t="str">
        <f t="shared" si="5"/>
        <v>premium5R3less</v>
      </c>
      <c r="D68" s="7" t="str">
        <f t="shared" si="6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7"/>
        <v>133500</v>
      </c>
      <c r="P68" s="46">
        <f>O68/SUM(O:O)</f>
        <v>1.0722891566265061E-2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input_606100!A$2</f>
        <v>606100</v>
      </c>
      <c r="B69" s="1">
        <v>563</v>
      </c>
      <c r="C69" s="7" t="str">
        <f t="shared" si="5"/>
        <v>premium5R3less</v>
      </c>
      <c r="D69" s="7" t="str">
        <f t="shared" si="6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7"/>
        <v>133500</v>
      </c>
      <c r="P69" s="46">
        <f>O69/SUM(O:O)</f>
        <v>1.0722891566265061E-2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input_606100!A$2</f>
        <v>606100</v>
      </c>
      <c r="B70" s="1">
        <v>566</v>
      </c>
      <c r="C70" s="7" t="str">
        <f t="shared" si="5"/>
        <v>premium5R3less</v>
      </c>
      <c r="D70" s="7" t="str">
        <f t="shared" si="6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7"/>
        <v>133500</v>
      </c>
      <c r="P70" s="46">
        <f>O70/SUM(O:O)</f>
        <v>1.0722891566265061E-2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input_606100!A$2</f>
        <v>606100</v>
      </c>
      <c r="B71" s="1">
        <v>567</v>
      </c>
      <c r="C71" s="7" t="str">
        <f t="shared" si="5"/>
        <v>premium5R3less</v>
      </c>
      <c r="D71" s="7" t="str">
        <f t="shared" si="6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7"/>
        <v>133500</v>
      </c>
      <c r="P71" s="46">
        <f>O71/SUM(O:O)</f>
        <v>1.0722891566265061E-2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input_606100!A$2</f>
        <v>606100</v>
      </c>
      <c r="B72" s="1">
        <v>587</v>
      </c>
      <c r="C72" s="7" t="str">
        <f t="shared" si="5"/>
        <v>PremiumSS5</v>
      </c>
      <c r="D72" s="7" t="str">
        <f t="shared" si="6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16600</v>
      </c>
      <c r="P72" s="46">
        <f>O72/SUM(O:O)</f>
        <v>1.3333333333333333E-3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input_606100!A$2</f>
        <v>606100</v>
      </c>
      <c r="B73" s="1">
        <v>590</v>
      </c>
      <c r="C73" s="7" t="str">
        <f t="shared" si="5"/>
        <v>Premium5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8">VLOOKUP(D73,$W$2:$Y$4,3,FALSE)</f>
        <v>133500</v>
      </c>
      <c r="P73" s="46">
        <f>O73/SUM(O:O)</f>
        <v>1.0722891566265061E-2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input_606100!A$2</f>
        <v>606100</v>
      </c>
      <c r="B74" s="1">
        <v>593</v>
      </c>
      <c r="C74" s="7" t="str">
        <f t="shared" si="5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8"/>
        <v>133500</v>
      </c>
      <c r="P74" s="46">
        <f>O74/SUM(O:O)</f>
        <v>1.0722891566265061E-2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input_606100!A$2</f>
        <v>606100</v>
      </c>
      <c r="B75" s="1">
        <v>595</v>
      </c>
      <c r="C75" s="7" t="str">
        <f t="shared" si="5"/>
        <v>PremiumSS5</v>
      </c>
      <c r="D75" s="7" t="str">
        <f t="shared" si="6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8"/>
        <v>16600</v>
      </c>
      <c r="P75" s="46">
        <f>O75/SUM(O:O)</f>
        <v>1.3333333333333333E-3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input_606100!A$2</f>
        <v>606100</v>
      </c>
      <c r="B76" s="1">
        <v>598</v>
      </c>
      <c r="C76" s="7" t="str">
        <f t="shared" si="5"/>
        <v>Premium5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8"/>
        <v>133500</v>
      </c>
      <c r="P76" s="46">
        <f>O76/SUM(O:O)</f>
        <v>1.0722891566265061E-2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input_606100!A$2</f>
        <v>606100</v>
      </c>
      <c r="B77" s="1">
        <v>601</v>
      </c>
      <c r="C77" s="7" t="str">
        <f t="shared" si="5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8"/>
        <v>133500</v>
      </c>
      <c r="P77" s="46">
        <f>O77/SUM(O:O)</f>
        <v>1.0722891566265061E-2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input_606100!A$2</f>
        <v>606100</v>
      </c>
      <c r="B78" s="1">
        <v>603</v>
      </c>
      <c r="C78" s="7" t="str">
        <f t="shared" si="5"/>
        <v>PremiumSS5</v>
      </c>
      <c r="D78" s="7" t="str">
        <f t="shared" si="6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8"/>
        <v>16600</v>
      </c>
      <c r="P78" s="46">
        <f>O78/SUM(O:O)</f>
        <v>1.3333333333333333E-3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input_606100!A$2</f>
        <v>606100</v>
      </c>
      <c r="B79" s="1">
        <v>606</v>
      </c>
      <c r="C79" s="7" t="str">
        <f t="shared" si="5"/>
        <v>Premium5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8"/>
        <v>133500</v>
      </c>
      <c r="P79" s="46">
        <f>O79/SUM(O:O)</f>
        <v>1.0722891566265061E-2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input_606100!A$2</f>
        <v>606100</v>
      </c>
      <c r="B80" s="1">
        <v>659</v>
      </c>
      <c r="C80" s="7" t="str">
        <f t="shared" si="5"/>
        <v>PremiumSS5</v>
      </c>
      <c r="D80" s="7" t="str">
        <f t="shared" si="6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8"/>
        <v>16600</v>
      </c>
      <c r="P80" s="46">
        <f>O80/SUM(O:O)</f>
        <v>1.3333333333333333E-3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input_606100!A$2</f>
        <v>606100</v>
      </c>
      <c r="B81" s="1">
        <v>661</v>
      </c>
      <c r="C81" s="7" t="str">
        <f t="shared" si="5"/>
        <v>PremiumSS5</v>
      </c>
      <c r="D81" s="7" t="str">
        <f t="shared" si="6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8"/>
        <v>16600</v>
      </c>
      <c r="P81" s="46">
        <f>O81/SUM(O:O)</f>
        <v>1.3333333333333333E-3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input_606100!A$2</f>
        <v>606100</v>
      </c>
      <c r="B82" s="1">
        <v>664</v>
      </c>
      <c r="C82" s="7" t="str">
        <f t="shared" si="5"/>
        <v>Premium5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8"/>
        <v>133500</v>
      </c>
      <c r="P82" s="46">
        <f>O82/SUM(O:O)</f>
        <v>1.0722891566265061E-2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input_606100!A$2</f>
        <v>606100</v>
      </c>
      <c r="B83" s="1">
        <v>667</v>
      </c>
      <c r="C83" s="7" t="str">
        <f t="shared" si="5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8"/>
        <v>133500</v>
      </c>
      <c r="P83" s="46">
        <f>O83/SUM(O:O)</f>
        <v>1.0722891566265061E-2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input_606100!A$2</f>
        <v>606100</v>
      </c>
      <c r="B84" s="1">
        <v>670</v>
      </c>
      <c r="C84" s="7" t="str">
        <f t="shared" si="5"/>
        <v>Premium5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8"/>
        <v>133500</v>
      </c>
      <c r="P84" s="46">
        <f>O84/SUM(O:O)</f>
        <v>1.0722891566265061E-2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input_606100!A$2</f>
        <v>606100</v>
      </c>
      <c r="B85" s="1">
        <v>673</v>
      </c>
      <c r="C85" s="7" t="str">
        <f t="shared" si="5"/>
        <v>Premium5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8"/>
        <v>133500</v>
      </c>
      <c r="P85" s="46">
        <f>O85/SUM(O:O)</f>
        <v>1.0722891566265061E-2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input_606100!A$2</f>
        <v>606100</v>
      </c>
      <c r="B86" s="1">
        <v>675</v>
      </c>
      <c r="C86" s="7" t="str">
        <f t="shared" si="5"/>
        <v>PremiumSS5</v>
      </c>
      <c r="D86" s="7" t="str">
        <f t="shared" si="6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8"/>
        <v>16600</v>
      </c>
      <c r="P86" s="46">
        <f>O86/SUM(O:O)</f>
        <v>1.3333333333333333E-3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input_606100!A$2</f>
        <v>606100</v>
      </c>
      <c r="B87" s="1">
        <v>677</v>
      </c>
      <c r="C87" s="7" t="str">
        <f t="shared" si="5"/>
        <v>PremiumSS5</v>
      </c>
      <c r="D87" s="7" t="str">
        <f t="shared" si="6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8"/>
        <v>16600</v>
      </c>
      <c r="P87" s="46">
        <f>O87/SUM(O:O)</f>
        <v>1.3333333333333333E-3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input_606100!A$2</f>
        <v>606100</v>
      </c>
      <c r="B88" s="1">
        <v>729</v>
      </c>
      <c r="C88" s="7" t="str">
        <f t="shared" si="5"/>
        <v>Premium5R3less</v>
      </c>
      <c r="D88" s="7" t="str">
        <f t="shared" si="6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8"/>
        <v>133500</v>
      </c>
      <c r="P88" s="46">
        <f>O88/SUM(O:O)</f>
        <v>1.0722891566265061E-2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input_606100!A$2</f>
        <v>606100</v>
      </c>
      <c r="B89" s="1">
        <v>731</v>
      </c>
      <c r="C89" s="7" t="str">
        <f t="shared" si="5"/>
        <v>Premium5R3less</v>
      </c>
      <c r="D89" s="7" t="str">
        <f t="shared" si="6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8"/>
        <v>133500</v>
      </c>
      <c r="P89" s="46">
        <f>O89/SUM(O:O)</f>
        <v>1.0722891566265061E-2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input_606100!A$2</f>
        <v>606100</v>
      </c>
      <c r="B90" s="1">
        <v>732</v>
      </c>
      <c r="C90" s="7" t="str">
        <f t="shared" si="5"/>
        <v>PremiumSS5R5only</v>
      </c>
      <c r="D90" s="7" t="str">
        <f t="shared" si="6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8"/>
        <v>16600</v>
      </c>
      <c r="P90" s="46">
        <f>O90/SUM(O:O)</f>
        <v>1.3333333333333333E-3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input_606100!A$2</f>
        <v>606100</v>
      </c>
      <c r="B91" s="1">
        <v>734</v>
      </c>
      <c r="C91" s="7" t="str">
        <f t="shared" si="5"/>
        <v>PremiumSS5R5only</v>
      </c>
      <c r="D91" s="7" t="str">
        <f t="shared" si="6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8"/>
        <v>16600</v>
      </c>
      <c r="P91" s="46">
        <f>O91/SUM(O:O)</f>
        <v>1.3333333333333333E-3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input_606100!A$2</f>
        <v>606100</v>
      </c>
      <c r="B92" s="1">
        <v>742</v>
      </c>
      <c r="C92" s="7" t="str">
        <f t="shared" si="5"/>
        <v>PremiumSS5R5only</v>
      </c>
      <c r="D92" s="7" t="str">
        <f t="shared" si="6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8"/>
        <v>16600</v>
      </c>
      <c r="P92" s="46">
        <f>O92/SUM(O:O)</f>
        <v>1.3333333333333333E-3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input_606100!A$2</f>
        <v>606100</v>
      </c>
      <c r="B93" s="1">
        <v>744</v>
      </c>
      <c r="C93" s="7" t="str">
        <f t="shared" si="5"/>
        <v>PremiumSS5R5only</v>
      </c>
      <c r="D93" s="7" t="str">
        <f t="shared" si="6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8"/>
        <v>16600</v>
      </c>
      <c r="P93" s="46">
        <f>O93/SUM(O:O)</f>
        <v>1.3333333333333333E-3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input_606100!A$2</f>
        <v>606100</v>
      </c>
      <c r="B94" s="1">
        <v>747</v>
      </c>
      <c r="C94" s="7" t="str">
        <f t="shared" si="5"/>
        <v>Premium5R3less</v>
      </c>
      <c r="D94" s="7" t="str">
        <f t="shared" si="6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8"/>
        <v>133500</v>
      </c>
      <c r="P94" s="46">
        <f>O94/SUM(O:O)</f>
        <v>1.0722891566265061E-2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input_606100!A$2</f>
        <v>606100</v>
      </c>
      <c r="B95" s="1">
        <v>749</v>
      </c>
      <c r="C95" s="7" t="str">
        <f t="shared" si="5"/>
        <v>Premium5R3less</v>
      </c>
      <c r="D95" s="7" t="str">
        <f t="shared" si="6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8"/>
        <v>133500</v>
      </c>
      <c r="P95" s="46">
        <f>O95/SUM(O:O)</f>
        <v>1.0722891566265061E-2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input_606100!A$2</f>
        <v>606100</v>
      </c>
      <c r="B96" s="1">
        <v>771</v>
      </c>
      <c r="C96" s="7" t="str">
        <f t="shared" si="5"/>
        <v>PremiumSS5</v>
      </c>
      <c r="D96" s="7" t="str">
        <f t="shared" si="6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8"/>
        <v>16600</v>
      </c>
      <c r="P96" s="46">
        <f>O96/SUM(O:O)</f>
        <v>1.3333333333333333E-3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input_606100!A$2</f>
        <v>606100</v>
      </c>
      <c r="B97" s="1">
        <v>773</v>
      </c>
      <c r="C97" s="7" t="str">
        <f t="shared" si="5"/>
        <v>PremiumSS5</v>
      </c>
      <c r="D97" s="7" t="str">
        <f t="shared" si="6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8"/>
        <v>16600</v>
      </c>
      <c r="P97" s="46">
        <f>O97/SUM(O:O)</f>
        <v>1.3333333333333333E-3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input_606100!A$2</f>
        <v>606100</v>
      </c>
      <c r="B98" s="1">
        <v>776</v>
      </c>
      <c r="C98" s="7" t="str">
        <f t="shared" si="5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8"/>
        <v>133500</v>
      </c>
      <c r="P98" s="46">
        <f>O98/SUM(O:O)</f>
        <v>1.0722891566265061E-2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input_606100!A$2</f>
        <v>606100</v>
      </c>
      <c r="B99" s="1">
        <v>779</v>
      </c>
      <c r="C99" s="7" t="str">
        <f t="shared" si="5"/>
        <v>Premium5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8"/>
        <v>133500</v>
      </c>
      <c r="P99" s="46">
        <f>O99/SUM(O:O)</f>
        <v>1.0722891566265061E-2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input_606100!A$2</f>
        <v>606100</v>
      </c>
      <c r="B100" s="1">
        <v>848</v>
      </c>
      <c r="C100" s="7" t="str">
        <f t="shared" si="5"/>
        <v>PremiumSS5R5only</v>
      </c>
      <c r="D100" s="7" t="str">
        <f t="shared" si="6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16600</v>
      </c>
      <c r="P100" s="46">
        <f>O100/SUM(O:O)</f>
        <v>1.3333333333333333E-3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input_606100!A$2</f>
        <v>606100</v>
      </c>
      <c r="B101" s="1">
        <v>850</v>
      </c>
      <c r="C101" s="7" t="str">
        <f t="shared" si="5"/>
        <v>PremiumSS5R5only</v>
      </c>
      <c r="D101" s="7" t="str">
        <f t="shared" si="6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9">VLOOKUP(D101,$W$2:$Y$4,3,FALSE)</f>
        <v>16600</v>
      </c>
      <c r="P101" s="46">
        <f>O101/SUM(O:O)</f>
        <v>1.3333333333333333E-3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input_606100!A$2</f>
        <v>606100</v>
      </c>
      <c r="B102" s="1">
        <v>853</v>
      </c>
      <c r="C102" s="7" t="str">
        <f t="shared" si="5"/>
        <v>Premium5R3less</v>
      </c>
      <c r="D102" s="7" t="str">
        <f t="shared" si="6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9"/>
        <v>133500</v>
      </c>
      <c r="P102" s="46">
        <f>O102/SUM(O:O)</f>
        <v>1.0722891566265061E-2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input_606100!A$2</f>
        <v>606100</v>
      </c>
      <c r="B103" s="1">
        <v>855</v>
      </c>
      <c r="C103" s="7" t="str">
        <f t="shared" si="5"/>
        <v>Premium5R3less</v>
      </c>
      <c r="D103" s="7" t="str">
        <f t="shared" si="6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9"/>
        <v>133500</v>
      </c>
      <c r="P103" s="46">
        <f>O103/SUM(O:O)</f>
        <v>1.0722891566265061E-2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input_606100!A$2</f>
        <v>606100</v>
      </c>
      <c r="B104" s="1">
        <v>863</v>
      </c>
      <c r="C104" s="7" t="str">
        <f t="shared" si="5"/>
        <v>Premium5R3less</v>
      </c>
      <c r="D104" s="7" t="str">
        <f t="shared" si="6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9"/>
        <v>133500</v>
      </c>
      <c r="P104" s="46">
        <f>O104/SUM(O:O)</f>
        <v>1.0722891566265061E-2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input_606100!A$2</f>
        <v>606100</v>
      </c>
      <c r="B105" s="1">
        <v>865</v>
      </c>
      <c r="C105" s="7" t="str">
        <f t="shared" si="5"/>
        <v>Premium5R3less</v>
      </c>
      <c r="D105" s="7" t="str">
        <f t="shared" si="6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9"/>
        <v>133500</v>
      </c>
      <c r="P105" s="46">
        <f>O105/SUM(O:O)</f>
        <v>1.0722891566265061E-2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input_606100!A$2</f>
        <v>606100</v>
      </c>
      <c r="B106" s="1">
        <v>866</v>
      </c>
      <c r="C106" s="7" t="str">
        <f t="shared" si="5"/>
        <v>PremiumSS5R5only</v>
      </c>
      <c r="D106" s="7" t="str">
        <f t="shared" si="6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9"/>
        <v>16600</v>
      </c>
      <c r="P106" s="46">
        <f>O106/SUM(O:O)</f>
        <v>1.3333333333333333E-3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input_606100!A$2</f>
        <v>606100</v>
      </c>
      <c r="B107" s="1">
        <v>868</v>
      </c>
      <c r="C107" s="7" t="str">
        <f t="shared" si="5"/>
        <v>PremiumSS5R5only</v>
      </c>
      <c r="D107" s="7" t="str">
        <f t="shared" si="6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9"/>
        <v>16600</v>
      </c>
      <c r="P107" s="46">
        <f>O107/SUM(O:O)</f>
        <v>1.3333333333333333E-3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input_606100!A$2</f>
        <v>606100</v>
      </c>
      <c r="B108" s="1">
        <v>937</v>
      </c>
      <c r="C108" s="7" t="str">
        <f t="shared" ref="C108:C161" si="10">D108&amp;J108&amp;E108&amp;F108&amp;G108</f>
        <v>PremiumSS5R5only</v>
      </c>
      <c r="D108" s="7" t="str">
        <f t="shared" ref="D108:D161" si="11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9"/>
        <v>16600</v>
      </c>
      <c r="P108" s="46">
        <f>O108/SUM(O:O)</f>
        <v>1.3333333333333333E-3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input_606100!A$2</f>
        <v>606100</v>
      </c>
      <c r="B109" s="1">
        <v>940</v>
      </c>
      <c r="C109" s="7" t="str">
        <f t="shared" si="10"/>
        <v>Premium5R3less</v>
      </c>
      <c r="D109" s="7" t="str">
        <f t="shared" si="11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9"/>
        <v>133500</v>
      </c>
      <c r="P109" s="46">
        <f>O109/SUM(O:O)</f>
        <v>1.0722891566265061E-2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input_606100!A$2</f>
        <v>606100</v>
      </c>
      <c r="B110" s="1">
        <v>941</v>
      </c>
      <c r="C110" s="7" t="str">
        <f t="shared" si="10"/>
        <v>PremiumSS5R5only</v>
      </c>
      <c r="D110" s="7" t="str">
        <f t="shared" si="11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9"/>
        <v>16600</v>
      </c>
      <c r="P110" s="46">
        <f>O110/SUM(O:O)</f>
        <v>1.3333333333333333E-3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input_606100!A$2</f>
        <v>606100</v>
      </c>
      <c r="B111" s="1">
        <v>943</v>
      </c>
      <c r="C111" s="7" t="str">
        <f t="shared" si="10"/>
        <v>PremiumSS5R5only</v>
      </c>
      <c r="D111" s="7" t="str">
        <f t="shared" si="11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9"/>
        <v>16600</v>
      </c>
      <c r="P111" s="46">
        <f>O111/SUM(O:O)</f>
        <v>1.3333333333333333E-3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input_606100!A$2</f>
        <v>606100</v>
      </c>
      <c r="B112" s="1">
        <v>1012</v>
      </c>
      <c r="C112" s="7" t="str">
        <f t="shared" si="10"/>
        <v>PremiumSS5R5only</v>
      </c>
      <c r="D112" s="7" t="str">
        <f t="shared" si="11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9"/>
        <v>16600</v>
      </c>
      <c r="P112" s="46">
        <f>O112/SUM(O:O)</f>
        <v>1.3333333333333333E-3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input_606100!A$2</f>
        <v>606100</v>
      </c>
      <c r="B113" s="1">
        <v>1014</v>
      </c>
      <c r="C113" s="7" t="str">
        <f t="shared" si="10"/>
        <v>PremiumSS5R5only</v>
      </c>
      <c r="D113" s="7" t="str">
        <f t="shared" si="11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9"/>
        <v>16600</v>
      </c>
      <c r="P113" s="46">
        <f>O113/SUM(O:O)</f>
        <v>1.3333333333333333E-3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input_606100!A$2</f>
        <v>606100</v>
      </c>
      <c r="B114" s="1">
        <v>1017</v>
      </c>
      <c r="C114" s="7" t="str">
        <f t="shared" si="10"/>
        <v>Premium5R3less</v>
      </c>
      <c r="D114" s="7" t="str">
        <f t="shared" si="11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9"/>
        <v>133500</v>
      </c>
      <c r="P114" s="46">
        <f>O114/SUM(O:O)</f>
        <v>1.0722891566265061E-2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input_606100!A$2</f>
        <v>606100</v>
      </c>
      <c r="B115" s="1">
        <v>1018</v>
      </c>
      <c r="C115" s="7" t="str">
        <f t="shared" si="10"/>
        <v>PremiumSS5R5only</v>
      </c>
      <c r="D115" s="7" t="str">
        <f t="shared" si="11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9"/>
        <v>16600</v>
      </c>
      <c r="P115" s="46">
        <f>O115/SUM(O:O)</f>
        <v>1.3333333333333333E-3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input_606100!A$2</f>
        <v>606100</v>
      </c>
      <c r="B116" s="1">
        <v>1027</v>
      </c>
      <c r="C116" s="7" t="str">
        <f t="shared" si="10"/>
        <v>Premium5R3less</v>
      </c>
      <c r="D116" s="7" t="str">
        <f t="shared" si="11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9"/>
        <v>133500</v>
      </c>
      <c r="P116" s="46">
        <f>O116/SUM(O:O)</f>
        <v>1.0722891566265061E-2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input_606100!A$2</f>
        <v>606100</v>
      </c>
      <c r="B117" s="1">
        <v>1028</v>
      </c>
      <c r="C117" s="7" t="str">
        <f t="shared" si="10"/>
        <v>PremiumSS5R5only</v>
      </c>
      <c r="D117" s="7" t="str">
        <f t="shared" si="11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9"/>
        <v>16600</v>
      </c>
      <c r="P117" s="46">
        <f>O117/SUM(O:O)</f>
        <v>1.3333333333333333E-3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input_606100!A$2</f>
        <v>606100</v>
      </c>
      <c r="B118" s="1">
        <v>1031</v>
      </c>
      <c r="C118" s="7" t="str">
        <f t="shared" si="10"/>
        <v>PremiumSS5R5only</v>
      </c>
      <c r="D118" s="7" t="str">
        <f t="shared" si="11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16600</v>
      </c>
      <c r="P118" s="46">
        <f>O118/SUM(O:O)</f>
        <v>1.3333333333333333E-3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input_606100!A$2</f>
        <v>606100</v>
      </c>
      <c r="B119" s="1">
        <v>1033</v>
      </c>
      <c r="C119" s="7" t="str">
        <f t="shared" si="10"/>
        <v>PremiumSS5R5only</v>
      </c>
      <c r="D119" s="7" t="str">
        <f t="shared" si="11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2">VLOOKUP(D119,$W$2:$Y$4,3,FALSE)</f>
        <v>16600</v>
      </c>
      <c r="P119" s="46">
        <f>O119/SUM(O:O)</f>
        <v>1.3333333333333333E-3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input_606100!A$2</f>
        <v>606100</v>
      </c>
      <c r="B120" s="1">
        <v>1068</v>
      </c>
      <c r="C120" s="7" t="str">
        <f t="shared" si="10"/>
        <v>Premium5R3less</v>
      </c>
      <c r="D120" s="7" t="str">
        <f t="shared" si="11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2"/>
        <v>133500</v>
      </c>
      <c r="P120" s="46">
        <f>O120/SUM(O:O)</f>
        <v>1.0722891566265061E-2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input_606100!A$2</f>
        <v>606100</v>
      </c>
      <c r="B121" s="1">
        <v>1069</v>
      </c>
      <c r="C121" s="7" t="str">
        <f t="shared" si="10"/>
        <v>PremiumSS5R5only</v>
      </c>
      <c r="D121" s="7" t="str">
        <f t="shared" si="11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2"/>
        <v>16600</v>
      </c>
      <c r="P121" s="46">
        <f>O121/SUM(O:O)</f>
        <v>1.3333333333333333E-3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input_606100!A$2</f>
        <v>606100</v>
      </c>
      <c r="B122" s="1">
        <v>1072</v>
      </c>
      <c r="C122" s="7" t="str">
        <f t="shared" si="10"/>
        <v>PremiumSS5R5only</v>
      </c>
      <c r="D122" s="7" t="str">
        <f t="shared" si="11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2"/>
        <v>16600</v>
      </c>
      <c r="P122" s="46">
        <f>O122/SUM(O:O)</f>
        <v>1.3333333333333333E-3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input_606100!A$2</f>
        <v>606100</v>
      </c>
      <c r="B123" s="1">
        <v>1074</v>
      </c>
      <c r="C123" s="7" t="str">
        <f t="shared" si="10"/>
        <v>PremiumSS5R5only</v>
      </c>
      <c r="D123" s="7" t="str">
        <f t="shared" si="11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2"/>
        <v>16600</v>
      </c>
      <c r="P123" s="46">
        <f>O123/SUM(O:O)</f>
        <v>1.3333333333333333E-3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input_606100!A$2</f>
        <v>606100</v>
      </c>
      <c r="B124" s="1">
        <v>1100</v>
      </c>
      <c r="C124" s="7" t="str">
        <f t="shared" si="10"/>
        <v>PremiumSS5R5only</v>
      </c>
      <c r="D124" s="7" t="str">
        <f t="shared" si="11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2"/>
        <v>16600</v>
      </c>
      <c r="P124" s="46">
        <f>O124/SUM(O:O)</f>
        <v>1.3333333333333333E-3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input_606100!A$2</f>
        <v>606100</v>
      </c>
      <c r="B125" s="1">
        <v>1102</v>
      </c>
      <c r="C125" s="7" t="str">
        <f t="shared" si="10"/>
        <v>PremiumSS5R5only</v>
      </c>
      <c r="D125" s="7" t="str">
        <f t="shared" si="11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2"/>
        <v>16600</v>
      </c>
      <c r="P125" s="46">
        <f>O125/SUM(O:O)</f>
        <v>1.3333333333333333E-3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input_606100!A$2</f>
        <v>606100</v>
      </c>
      <c r="B126" s="1">
        <v>1105</v>
      </c>
      <c r="C126" s="7" t="str">
        <f t="shared" si="10"/>
        <v>Premium5R3less</v>
      </c>
      <c r="D126" s="7" t="str">
        <f t="shared" si="11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2"/>
        <v>133500</v>
      </c>
      <c r="P126" s="46">
        <f>O126/SUM(O:O)</f>
        <v>1.0722891566265061E-2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input_606100!A$2</f>
        <v>606100</v>
      </c>
      <c r="B127" s="1">
        <v>1106</v>
      </c>
      <c r="C127" s="7" t="str">
        <f t="shared" si="10"/>
        <v>PremiumSS5R5only</v>
      </c>
      <c r="D127" s="7" t="str">
        <f t="shared" si="11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2"/>
        <v>16600</v>
      </c>
      <c r="P127" s="46">
        <f>O127/SUM(O:O)</f>
        <v>1.3333333333333333E-3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input_606100!A$2</f>
        <v>606100</v>
      </c>
      <c r="B128" s="1">
        <v>1137</v>
      </c>
      <c r="C128" s="7" t="str">
        <f t="shared" si="10"/>
        <v>PremiumSS5R5only</v>
      </c>
      <c r="D128" s="7" t="str">
        <f t="shared" si="11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2"/>
        <v>16600</v>
      </c>
      <c r="P128" s="46">
        <f>O128/SUM(O:O)</f>
        <v>1.3333333333333333E-3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input_606100!A$2</f>
        <v>606100</v>
      </c>
      <c r="B129" s="1">
        <v>1139</v>
      </c>
      <c r="C129" s="7" t="str">
        <f t="shared" si="10"/>
        <v>PremiumSS5R5only</v>
      </c>
      <c r="D129" s="7" t="str">
        <f t="shared" si="11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2"/>
        <v>16600</v>
      </c>
      <c r="P129" s="46">
        <f>O129/SUM(O:O)</f>
        <v>1.3333333333333333E-3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input_606100!A$2</f>
        <v>606100</v>
      </c>
      <c r="B130" s="1">
        <v>1141</v>
      </c>
      <c r="C130" s="7" t="str">
        <f t="shared" si="10"/>
        <v>PremiumSS5R5only</v>
      </c>
      <c r="D130" s="7" t="str">
        <f t="shared" si="11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2"/>
        <v>16600</v>
      </c>
      <c r="P130" s="46">
        <f>O130/SUM(O:O)</f>
        <v>1.3333333333333333E-3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input_606100!A$2</f>
        <v>606100</v>
      </c>
      <c r="B131" s="1">
        <v>1144</v>
      </c>
      <c r="C131" s="7" t="str">
        <f t="shared" si="10"/>
        <v>Premium5R3less</v>
      </c>
      <c r="D131" s="7" t="str">
        <f t="shared" si="11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2"/>
        <v>133500</v>
      </c>
      <c r="P131" s="46">
        <f>O131/SUM(O:O)</f>
        <v>1.0722891566265061E-2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input_606100!A$2</f>
        <v>606100</v>
      </c>
      <c r="B132" s="1">
        <v>1152</v>
      </c>
      <c r="C132" s="7" t="str">
        <f t="shared" si="10"/>
        <v>Premium5R3less</v>
      </c>
      <c r="D132" s="7" t="str">
        <f t="shared" si="11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2"/>
        <v>133500</v>
      </c>
      <c r="P132" s="46">
        <f>O132/SUM(O:O)</f>
        <v>1.0722891566265061E-2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input_606100!A$2</f>
        <v>606100</v>
      </c>
      <c r="B133" s="1">
        <v>1153</v>
      </c>
      <c r="C133" s="7" t="str">
        <f t="shared" si="10"/>
        <v>PremiumSS5R5only</v>
      </c>
      <c r="D133" s="7" t="str">
        <f t="shared" si="11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2"/>
        <v>16600</v>
      </c>
      <c r="P133" s="46">
        <f>O133/SUM(O:O)</f>
        <v>1.3333333333333333E-3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input_606100!A$2</f>
        <v>606100</v>
      </c>
      <c r="B134" s="1">
        <v>1155</v>
      </c>
      <c r="C134" s="7" t="str">
        <f t="shared" si="10"/>
        <v>PremiumSS5R5only</v>
      </c>
      <c r="D134" s="7" t="str">
        <f t="shared" si="11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2"/>
        <v>16600</v>
      </c>
      <c r="P134" s="46">
        <f>O134/SUM(O:O)</f>
        <v>1.3333333333333333E-3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input_606100!A$2</f>
        <v>606100</v>
      </c>
      <c r="B135" s="1">
        <v>1157</v>
      </c>
      <c r="C135" s="7" t="str">
        <f t="shared" si="10"/>
        <v>PremiumSS5R5only</v>
      </c>
      <c r="D135" s="7" t="str">
        <f t="shared" si="11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2"/>
        <v>16600</v>
      </c>
      <c r="P135" s="46">
        <f>O135/SUM(O:O)</f>
        <v>1.3333333333333333E-3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input_606100!A$2</f>
        <v>606100</v>
      </c>
      <c r="B136" s="1">
        <v>1214</v>
      </c>
      <c r="C136" s="7" t="str">
        <f t="shared" si="10"/>
        <v>PremiumSS5R5only</v>
      </c>
      <c r="D136" s="7" t="str">
        <f t="shared" si="11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2"/>
        <v>16600</v>
      </c>
      <c r="P136" s="46">
        <f>O136/SUM(O:O)</f>
        <v>1.3333333333333333E-3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input_606100!A$2</f>
        <v>606100</v>
      </c>
      <c r="B137" s="1">
        <v>1212</v>
      </c>
      <c r="C137" s="7" t="str">
        <f t="shared" si="10"/>
        <v>PremiumSS5R5only</v>
      </c>
      <c r="D137" s="7" t="str">
        <f t="shared" si="11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2"/>
        <v>16600</v>
      </c>
      <c r="P137" s="46">
        <f>O137/SUM(O:O)</f>
        <v>1.3333333333333333E-3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input_606100!A$2</f>
        <v>606100</v>
      </c>
      <c r="B138" s="1">
        <v>1208</v>
      </c>
      <c r="C138" s="7" t="str">
        <f t="shared" si="10"/>
        <v>PremiumSS5R5only</v>
      </c>
      <c r="D138" s="7" t="str">
        <f t="shared" si="11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2"/>
        <v>16600</v>
      </c>
      <c r="P138" s="46">
        <f>O138/SUM(O:O)</f>
        <v>1.3333333333333333E-3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input_606100!A$2</f>
        <v>606100</v>
      </c>
      <c r="B139" s="1">
        <v>1211</v>
      </c>
      <c r="C139" s="7" t="str">
        <f t="shared" si="10"/>
        <v>Premium5R3less</v>
      </c>
      <c r="D139" s="7" t="str">
        <f t="shared" si="11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2"/>
        <v>133500</v>
      </c>
      <c r="P139" s="46">
        <f>O139/SUM(O:O)</f>
        <v>1.0722891566265061E-2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input_606100!A$2</f>
        <v>606100</v>
      </c>
      <c r="B140" s="1">
        <v>1225</v>
      </c>
      <c r="C140" s="7" t="str">
        <f t="shared" si="10"/>
        <v>Premium5R3less</v>
      </c>
      <c r="D140" s="7" t="str">
        <f t="shared" si="11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2"/>
        <v>133500</v>
      </c>
      <c r="P140" s="46">
        <f>O140/SUM(O:O)</f>
        <v>1.0722891566265061E-2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input_606100!A$2</f>
        <v>606100</v>
      </c>
      <c r="B141" s="1">
        <v>1226</v>
      </c>
      <c r="C141" s="7" t="str">
        <f t="shared" si="10"/>
        <v>PremiumSS5R5only</v>
      </c>
      <c r="D141" s="7" t="str">
        <f t="shared" si="11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2"/>
        <v>16600</v>
      </c>
      <c r="P141" s="46">
        <f>O141/SUM(O:O)</f>
        <v>1.3333333333333333E-3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input_606100!A$2</f>
        <v>606100</v>
      </c>
      <c r="B142" s="1">
        <v>1228</v>
      </c>
      <c r="C142" s="7" t="str">
        <f t="shared" si="10"/>
        <v>PremiumSS5R5only</v>
      </c>
      <c r="D142" s="7" t="str">
        <f t="shared" si="11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2"/>
        <v>16600</v>
      </c>
      <c r="P142" s="46">
        <f>O142/SUM(O:O)</f>
        <v>1.3333333333333333E-3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input_606100!A$2</f>
        <v>606100</v>
      </c>
      <c r="B143" s="1">
        <v>1230</v>
      </c>
      <c r="C143" s="7" t="str">
        <f t="shared" si="10"/>
        <v>PremiumSS5R5only</v>
      </c>
      <c r="D143" s="7" t="str">
        <f t="shared" si="11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2"/>
        <v>16600</v>
      </c>
      <c r="P143" s="46">
        <f>O143/SUM(O:O)</f>
        <v>1.3333333333333333E-3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input_606100!A$2</f>
        <v>606100</v>
      </c>
      <c r="B144" s="1">
        <v>1250</v>
      </c>
      <c r="C144" s="7" t="str">
        <f t="shared" si="10"/>
        <v>PremiumSS5R5only</v>
      </c>
      <c r="D144" s="7" t="str">
        <f t="shared" si="11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2"/>
        <v>16600</v>
      </c>
      <c r="P144" s="46">
        <f>O144/SUM(O:O)</f>
        <v>1.3333333333333333E-3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input_606100!A$2</f>
        <v>606100</v>
      </c>
      <c r="B145" s="1">
        <v>1249</v>
      </c>
      <c r="C145" s="7" t="str">
        <f t="shared" si="10"/>
        <v>Premium5R3less</v>
      </c>
      <c r="D145" s="7" t="str">
        <f t="shared" si="11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2"/>
        <v>133500</v>
      </c>
      <c r="P145" s="46">
        <f>O145/SUM(O:O)</f>
        <v>1.0722891566265061E-2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input_606100!A$2</f>
        <v>606100</v>
      </c>
      <c r="B146" s="1">
        <v>1246</v>
      </c>
      <c r="C146" s="7" t="str">
        <f t="shared" si="10"/>
        <v>PremiumSS5R5only</v>
      </c>
      <c r="D146" s="7" t="str">
        <f t="shared" si="11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2"/>
        <v>16600</v>
      </c>
      <c r="P146" s="46">
        <f>O146/SUM(O:O)</f>
        <v>1.3333333333333333E-3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input_606100!A$2</f>
        <v>606100</v>
      </c>
      <c r="B147" s="1">
        <v>1244</v>
      </c>
      <c r="C147" s="7" t="str">
        <f t="shared" si="10"/>
        <v>PremiumSS5R5only</v>
      </c>
      <c r="D147" s="7" t="str">
        <f t="shared" si="11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2"/>
        <v>16600</v>
      </c>
      <c r="P147" s="46">
        <f>O147/SUM(O:O)</f>
        <v>1.3333333333333333E-3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input_606100!A$2</f>
        <v>606100</v>
      </c>
      <c r="B148" s="1">
        <v>1260</v>
      </c>
      <c r="C148" s="7" t="str">
        <f t="shared" si="10"/>
        <v>PremiumSS5R5only</v>
      </c>
      <c r="D148" s="7" t="str">
        <f t="shared" si="11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2"/>
        <v>16600</v>
      </c>
      <c r="P148" s="46">
        <f>O148/SUM(O:O)</f>
        <v>1.3333333333333333E-3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input_606100!A$2</f>
        <v>606100</v>
      </c>
      <c r="B149" s="1">
        <v>1262</v>
      </c>
      <c r="C149" s="7" t="str">
        <f t="shared" si="10"/>
        <v>PremiumSS5R5only</v>
      </c>
      <c r="D149" s="7" t="str">
        <f t="shared" si="11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16600</v>
      </c>
      <c r="P149" s="46">
        <f>O149/SUM(O:O)</f>
        <v>1.3333333333333333E-3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input_606100!A$2</f>
        <v>606100</v>
      </c>
      <c r="B150" s="1">
        <v>1264</v>
      </c>
      <c r="C150" s="7" t="str">
        <f t="shared" si="10"/>
        <v>PremiumSS5R5only</v>
      </c>
      <c r="D150" s="7" t="str">
        <f t="shared" si="11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61" si="13">VLOOKUP(D150,$W$2:$Y$4,3,FALSE)</f>
        <v>16600</v>
      </c>
      <c r="P150" s="46">
        <f>O150/SUM(O:O)</f>
        <v>1.3333333333333333E-3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input_606100!A$2</f>
        <v>606100</v>
      </c>
      <c r="B151" s="1">
        <v>1267</v>
      </c>
      <c r="C151" s="7" t="str">
        <f t="shared" si="10"/>
        <v>Premium5R3less</v>
      </c>
      <c r="D151" s="7" t="str">
        <f t="shared" si="11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3"/>
        <v>133500</v>
      </c>
      <c r="P151" s="46">
        <f>O151/SUM(O:O)</f>
        <v>1.0722891566265061E-2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input_606100!A$2</f>
        <v>606100</v>
      </c>
      <c r="B152" s="1">
        <v>1332</v>
      </c>
      <c r="C152" s="7" t="str">
        <f t="shared" si="10"/>
        <v>PremiumSS5R5only</v>
      </c>
      <c r="D152" s="7" t="str">
        <f t="shared" si="11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3"/>
        <v>16600</v>
      </c>
      <c r="P152" s="46">
        <f>O152/SUM(O:O)</f>
        <v>1.3333333333333333E-3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input_606100!A$2</f>
        <v>606100</v>
      </c>
      <c r="B153" s="1">
        <v>1336</v>
      </c>
      <c r="C153" s="7" t="str">
        <f t="shared" si="10"/>
        <v>PremiumSS5R5only</v>
      </c>
      <c r="D153" s="7" t="str">
        <f t="shared" si="11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3"/>
        <v>16600</v>
      </c>
      <c r="P153" s="46">
        <f>O153/SUM(O:O)</f>
        <v>1.3333333333333333E-3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input_606100!A$2</f>
        <v>606100</v>
      </c>
      <c r="B154" s="1">
        <v>1338</v>
      </c>
      <c r="C154" s="7" t="str">
        <f t="shared" si="10"/>
        <v>PremiumSS5R5only</v>
      </c>
      <c r="D154" s="7" t="str">
        <f t="shared" si="11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3"/>
        <v>16600</v>
      </c>
      <c r="P154" s="46">
        <f>O154/SUM(O:O)</f>
        <v>1.3333333333333333E-3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input_606100!A$2</f>
        <v>606100</v>
      </c>
      <c r="B155" s="1">
        <v>1335</v>
      </c>
      <c r="C155" s="7" t="str">
        <f t="shared" si="10"/>
        <v>Premium5R3less</v>
      </c>
      <c r="D155" s="7" t="str">
        <f t="shared" si="11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3"/>
        <v>133500</v>
      </c>
      <c r="P155" s="46">
        <f>O155/SUM(O:O)</f>
        <v>1.0722891566265061E-2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input_606100!A$2</f>
        <v>606100</v>
      </c>
      <c r="B156" s="97">
        <v>1382</v>
      </c>
      <c r="C156" s="7" t="str">
        <f t="shared" ref="C156:C159" si="14">D156&amp;J156&amp;E156&amp;F156&amp;G156</f>
        <v>Premium5R3less</v>
      </c>
      <c r="D156" s="7" t="str">
        <f t="shared" ref="D156:D159" si="15">IF(OR(I156="PremiumSS",I156="PremiumSSw"),"PremiumSS",IF(I156="PremiumSSS",I156,IF(I156="PremiumW",IF(J156=5,"premium",I156),"Premium")))</f>
        <v>Premium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賢巨なる渡来者 ガリバー</v>
      </c>
      <c r="I156" s="7" t="str">
        <f>VLOOKUP(B156,[1]characters!$A:$J,10,FALSE)</f>
        <v>PremiumS</v>
      </c>
      <c r="J156" s="7">
        <f>VLOOKUP(B156,[1]characters!$A:$I,9,FALSE)</f>
        <v>5</v>
      </c>
      <c r="K156" s="7" t="str">
        <f>VLOOKUP(B156,[1]characters!$A:$H,8,FALSE)</f>
        <v>red</v>
      </c>
      <c r="L156" s="7" t="str">
        <f>VLOOKUP(B156,[1]characters!$A:$K,11,FALSE)</f>
        <v>hp</v>
      </c>
      <c r="M156" s="7" t="str">
        <f>VLOOKUP(B156,[1]characters!$A:$M,13,FALSE)</f>
        <v>human</v>
      </c>
      <c r="N156" s="7">
        <f>VLOOKUP(B156,[1]characters!$A:$G,7,FALSE)</f>
        <v>0</v>
      </c>
      <c r="O156" s="45">
        <f t="shared" ref="O156:O159" si="16">VLOOKUP(D156,$W$2:$Y$4,3,FALSE)</f>
        <v>133500</v>
      </c>
      <c r="P156" s="46">
        <f>O156/SUM(O:O)</f>
        <v>1.0722891566265061E-2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input_606100!A$2</f>
        <v>606100</v>
      </c>
      <c r="B157" s="97">
        <v>1383</v>
      </c>
      <c r="C157" s="7" t="str">
        <f t="shared" si="14"/>
        <v>PremiumSS5R5only</v>
      </c>
      <c r="D157" s="7" t="str">
        <f t="shared" si="15"/>
        <v>PremiumSS</v>
      </c>
      <c r="E157" s="7" t="str">
        <f>IF(COUNTIF('R6追加前'!A:A,B157)=0,IF(OR(I157="PremiumSS",I157="PremiumSSw"),"R5only","R3less"),"")</f>
        <v>R5only</v>
      </c>
      <c r="F157" s="7" t="str">
        <f>IF(COUNTIF('R6開放'!A:A,B157)&gt;0,"R6release","")</f>
        <v/>
      </c>
      <c r="G157" s="7"/>
      <c r="H157" s="7" t="str">
        <f>VLOOKUP(B157,[1]characters!$A:$C,3,FALSE)</f>
        <v>シンドバッド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green</v>
      </c>
      <c r="L157" s="7" t="str">
        <f>VLOOKUP(B157,[1]characters!$A:$K,11,FALSE)</f>
        <v>technical</v>
      </c>
      <c r="M157" s="7" t="str">
        <f>VLOOKUP(B157,[1]characters!$A:$M,13,FALSE)</f>
        <v>hero</v>
      </c>
      <c r="N157" s="7">
        <f>VLOOKUP(B157,[1]characters!$A:$G,7,FALSE)</f>
        <v>0</v>
      </c>
      <c r="O157" s="45">
        <f t="shared" si="16"/>
        <v>16600</v>
      </c>
      <c r="P157" s="46">
        <f>O157/SUM(O:O)</f>
        <v>1.3333333333333333E-3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input_606100!A$2</f>
        <v>606100</v>
      </c>
      <c r="B158" s="97">
        <v>1385</v>
      </c>
      <c r="C158" s="7" t="str">
        <f t="shared" si="14"/>
        <v>PremiumSS5R5only</v>
      </c>
      <c r="D158" s="7" t="str">
        <f t="shared" si="15"/>
        <v>PremiumSS</v>
      </c>
      <c r="E158" s="7" t="str">
        <f>IF(COUNTIF('R6追加前'!A:A,B158)=0,IF(OR(I158="PremiumSS",I158="PremiumSSw"),"R5only","R3less"),"")</f>
        <v>R5only</v>
      </c>
      <c r="F158" s="7" t="str">
        <f>IF(COUNTIF('R6開放'!A:A,B158)&gt;0,"R6release","")</f>
        <v/>
      </c>
      <c r="G158" s="7"/>
      <c r="H158" s="7" t="str">
        <f>VLOOKUP(B158,[1]characters!$A:$C,3,FALSE)</f>
        <v>いばら姫</v>
      </c>
      <c r="I158" s="7" t="str">
        <f>VLOOKUP(B158,[1]characters!$A:$J,10,FALSE)</f>
        <v>PremiumSSw</v>
      </c>
      <c r="J158" s="7">
        <f>VLOOKUP(B158,[1]characters!$A:$I,9,FALSE)</f>
        <v>5</v>
      </c>
      <c r="K158" s="7" t="str">
        <f>VLOOKUP(B158,[1]characters!$A:$H,8,FALSE)</f>
        <v>blue</v>
      </c>
      <c r="L158" s="7" t="str">
        <f>VLOOKUP(B158,[1]characters!$A:$K,11,FALSE)</f>
        <v>attack</v>
      </c>
      <c r="M158" s="7" t="str">
        <f>VLOOKUP(B158,[1]characters!$A:$M,13,FALSE)</f>
        <v>fantasy</v>
      </c>
      <c r="N158" s="7">
        <f>VLOOKUP(B158,[1]characters!$A:$G,7,FALSE)</f>
        <v>0</v>
      </c>
      <c r="O158" s="45">
        <f t="shared" si="16"/>
        <v>16600</v>
      </c>
      <c r="P158" s="46">
        <f>O158/SUM(O:O)</f>
        <v>1.3333333333333333E-3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input_606100!A$2</f>
        <v>606100</v>
      </c>
      <c r="B159" s="97">
        <v>1387</v>
      </c>
      <c r="C159" s="7" t="str">
        <f t="shared" si="14"/>
        <v>PremiumSS5R5only</v>
      </c>
      <c r="D159" s="7" t="str">
        <f t="shared" si="15"/>
        <v>PremiumSS</v>
      </c>
      <c r="E159" s="7" t="str">
        <f>IF(COUNTIF('R6追加前'!A:A,B159)=0,IF(OR(I159="PremiumSS",I159="PremiumSSw"),"R5only","R3less"),"")</f>
        <v>R5only</v>
      </c>
      <c r="F159" s="7" t="str">
        <f>IF(COUNTIF('R6開放'!A:A,B159)&gt;0,"R6release","")</f>
        <v/>
      </c>
      <c r="G159" s="7"/>
      <c r="H159" s="7" t="str">
        <f>VLOOKUP(B159,[1]characters!$A:$C,3,FALSE)</f>
        <v>ダルタニャン</v>
      </c>
      <c r="I159" s="7" t="str">
        <f>VLOOKUP(B159,[1]characters!$A:$J,10,FALSE)</f>
        <v>PremiumSS</v>
      </c>
      <c r="J159" s="7">
        <f>VLOOKUP(B159,[1]characters!$A:$I,9,FALSE)</f>
        <v>5</v>
      </c>
      <c r="K159" s="7" t="str">
        <f>VLOOKUP(B159,[1]characters!$A:$H,8,FALSE)</f>
        <v>yellow</v>
      </c>
      <c r="L159" s="7" t="str">
        <f>VLOOKUP(B159,[1]characters!$A:$K,11,FALSE)</f>
        <v>attack</v>
      </c>
      <c r="M159" s="7" t="str">
        <f>VLOOKUP(B159,[1]characters!$A:$M,13,FALSE)</f>
        <v>hero</v>
      </c>
      <c r="N159" s="7">
        <f>VLOOKUP(B159,[1]characters!$A:$G,7,FALSE)</f>
        <v>0</v>
      </c>
      <c r="O159" s="45">
        <f t="shared" si="16"/>
        <v>16600</v>
      </c>
      <c r="P159" s="46">
        <f>O159/SUM(O:O)</f>
        <v>1.3333333333333333E-3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input_606100!A$2</f>
        <v>606100</v>
      </c>
      <c r="B160" s="95">
        <v>1090</v>
      </c>
      <c r="C160" s="7" t="str">
        <f t="shared" si="10"/>
        <v>PremiumSSS5R3less</v>
      </c>
      <c r="D160" s="7" t="str">
        <f t="shared" si="11"/>
        <v>PremiumSSS</v>
      </c>
      <c r="E160" s="7" t="str">
        <f>IF(COUNTIF('R6追加前'!A:A,B160)=0,IF(OR(I160="PremiumSS",I160="PremiumSSw"),"R5only","R3less"),"")</f>
        <v>R3less</v>
      </c>
      <c r="F160" s="7" t="str">
        <f>IF(COUNTIF('R6開放'!A:A,B160)&gt;0,"R6release","")</f>
        <v/>
      </c>
      <c r="G160" s="7"/>
      <c r="H160" s="7" t="str">
        <f>VLOOKUP(B160,[1]characters!$A:$C,3,FALSE)</f>
        <v>ラプラス</v>
      </c>
      <c r="I160" s="7" t="str">
        <f>VLOOKUP(B160,[1]characters!$A:$J,10,FALSE)</f>
        <v>PremiumSSS</v>
      </c>
      <c r="J160" s="7">
        <f>VLOOKUP(B160,[1]characters!$A:$I,9,FALSE)</f>
        <v>5</v>
      </c>
      <c r="K160" s="7" t="str">
        <f>VLOOKUP(B160,[1]characters!$A:$H,8,FALSE)</f>
        <v>yellow</v>
      </c>
      <c r="L160" s="7" t="str">
        <f>VLOOKUP(B160,[1]characters!$A:$K,11,FALSE)</f>
        <v>attack</v>
      </c>
      <c r="M160" s="7" t="str">
        <f>VLOOKUP(B160,[1]characters!$A:$M,13,FALSE)</f>
        <v>academia</v>
      </c>
      <c r="N160" s="7" t="str">
        <f>VLOOKUP(B160,[1]characters!$A:$G,7,FALSE)</f>
        <v>不明</v>
      </c>
      <c r="O160" s="45">
        <f t="shared" si="13"/>
        <v>62250</v>
      </c>
      <c r="P160" s="46">
        <f>O160/SUM(O:O)</f>
        <v>5.0000000000000001E-3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input_606100!A$2</f>
        <v>606100</v>
      </c>
      <c r="B161" s="95">
        <v>1452</v>
      </c>
      <c r="C161" s="7" t="str">
        <f t="shared" si="10"/>
        <v>PremiumSSS5R3less</v>
      </c>
      <c r="D161" s="7" t="str">
        <f t="shared" si="11"/>
        <v>PremiumSSS</v>
      </c>
      <c r="E161" s="7" t="str">
        <f>IF(COUNTIF('R6追加前'!A:A,B161)=0,IF(OR(I161="PremiumSS",I161="PremiumSSw"),"R5only","R3less"),"")</f>
        <v>R3less</v>
      </c>
      <c r="F161" s="7" t="str">
        <f>IF(COUNTIF('R6開放'!A:A,B161)&gt;0,"R6release","")</f>
        <v/>
      </c>
      <c r="G161" s="7"/>
      <c r="H161" s="7" t="str">
        <f>VLOOKUP(B161,[1]characters!$A:$C,3,FALSE)</f>
        <v>メルセンヌ</v>
      </c>
      <c r="I161" s="7" t="str">
        <f>VLOOKUP(B161,[1]characters!$A:$J,10,FALSE)</f>
        <v>PremiumSSS</v>
      </c>
      <c r="J161" s="7">
        <f>VLOOKUP(B161,[1]characters!$A:$I,9,FALSE)</f>
        <v>5</v>
      </c>
      <c r="K161" s="7" t="str">
        <f>VLOOKUP(B161,[1]characters!$A:$H,8,FALSE)</f>
        <v>yellow</v>
      </c>
      <c r="L161" s="7" t="str">
        <f>VLOOKUP(B161,[1]characters!$A:$K,11,FALSE)</f>
        <v>hp</v>
      </c>
      <c r="M161" s="7" t="str">
        <f>VLOOKUP(B161,[1]characters!$A:$M,13,FALSE)</f>
        <v>academia</v>
      </c>
      <c r="N161" s="7" t="str">
        <f>VLOOKUP(B161,[1]characters!$A:$G,7,FALSE)</f>
        <v>不明</v>
      </c>
      <c r="O161" s="45">
        <f t="shared" si="13"/>
        <v>62250</v>
      </c>
      <c r="P161" s="46">
        <f>O161/SUM(O:O)</f>
        <v>5.0000000000000001E-3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</sheetData>
  <autoFilter ref="A1:V16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4"/>
      <c r="H3" s="84"/>
      <c r="I3" s="84"/>
      <c r="J3" s="84"/>
      <c r="K3" s="84"/>
      <c r="L3" s="84"/>
      <c r="M3" s="84"/>
      <c r="N3" s="79"/>
      <c r="O3" s="79"/>
      <c r="P3" s="79"/>
      <c r="Q3" s="80"/>
    </row>
    <row r="4" spans="1:17" ht="21" customHeight="1" x14ac:dyDescent="0.15">
      <c r="A4" s="78"/>
      <c r="B4" s="78"/>
      <c r="G4" s="84"/>
      <c r="H4" s="84"/>
      <c r="I4" s="84"/>
      <c r="J4" s="84"/>
      <c r="K4" s="84"/>
      <c r="L4" s="84"/>
      <c r="M4" s="84"/>
      <c r="N4" s="79"/>
      <c r="O4" s="79"/>
      <c r="P4" s="79"/>
      <c r="Q4" s="80"/>
    </row>
    <row r="5" spans="1:17" ht="21" customHeight="1" x14ac:dyDescent="0.15">
      <c r="A5" s="78"/>
      <c r="B5" s="78"/>
      <c r="G5" s="84"/>
      <c r="H5" s="84"/>
      <c r="I5" s="84"/>
      <c r="J5" s="84"/>
      <c r="K5" s="84"/>
      <c r="L5" s="84"/>
      <c r="M5" s="84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input_606100</vt:lpstr>
      <vt:lpstr>tables_606100</vt:lpstr>
      <vt:lpstr>tables_settle_606100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2017-05-22T09:17:07Z</dcterms:modified>
</cp:coreProperties>
</file>