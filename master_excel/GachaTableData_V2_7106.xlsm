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217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500" yWindow="860" windowWidth="25100" windowHeight="14640" tabRatio="943" activeTab="2"/>
  </bookViews>
  <sheets>
    <sheet name="確率の考え方" sheetId="110" r:id="rId1"/>
    <sheet name="Sheet1" sheetId="107" r:id="rId2"/>
    <sheet name="output" sheetId="103" r:id="rId3"/>
    <sheet name="input_settle_7106100" sheetId="130" r:id="rId4"/>
    <sheet name="tables_settle_7106100" sheetId="131" r:id="rId5"/>
    <sheet name="gacha_bonus_tables" sheetId="98" r:id="rId6"/>
    <sheet name="R6追加前" sheetId="111" r:id="rId7"/>
    <sheet name="R6開放" sheetId="112" r:id="rId8"/>
  </sheets>
  <externalReferences>
    <externalReference r:id="rId9"/>
  </externalReferences>
  <definedNames>
    <definedName name="_xlnm._FilterDatabase" localSheetId="5" hidden="1">gacha_bonus_tables!$A$1:$F$1</definedName>
    <definedName name="_xlnm._FilterDatabase" localSheetId="4" hidden="1">tables_settle_7106100!$A$1:$V$271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30" l="1"/>
  <c r="A20" i="131"/>
  <c r="I20" i="131"/>
  <c r="D20" i="131"/>
  <c r="J20" i="131"/>
  <c r="E20" i="131"/>
  <c r="F20" i="131"/>
  <c r="C20" i="131"/>
  <c r="H20" i="131"/>
  <c r="K20" i="131"/>
  <c r="L20" i="131"/>
  <c r="M20" i="131"/>
  <c r="N20" i="131"/>
  <c r="P20" i="131"/>
  <c r="A21" i="131"/>
  <c r="I21" i="131"/>
  <c r="D21" i="131"/>
  <c r="J21" i="131"/>
  <c r="E21" i="131"/>
  <c r="F21" i="131"/>
  <c r="C21" i="131"/>
  <c r="H21" i="131"/>
  <c r="K21" i="131"/>
  <c r="L21" i="131"/>
  <c r="M21" i="131"/>
  <c r="N21" i="131"/>
  <c r="P21" i="131"/>
  <c r="A2" i="131"/>
  <c r="A18" i="131"/>
  <c r="I18" i="131"/>
  <c r="D18" i="131"/>
  <c r="J18" i="131"/>
  <c r="E18" i="131"/>
  <c r="F18" i="131"/>
  <c r="C18" i="131"/>
  <c r="H18" i="131"/>
  <c r="K18" i="131"/>
  <c r="L18" i="131"/>
  <c r="M18" i="131"/>
  <c r="N18" i="131"/>
  <c r="P18" i="131"/>
  <c r="A19" i="131"/>
  <c r="I19" i="131"/>
  <c r="D19" i="131"/>
  <c r="J19" i="131"/>
  <c r="E19" i="131"/>
  <c r="F19" i="131"/>
  <c r="C19" i="131"/>
  <c r="H19" i="131"/>
  <c r="K19" i="131"/>
  <c r="L19" i="131"/>
  <c r="M19" i="131"/>
  <c r="N19" i="131"/>
  <c r="P19" i="131"/>
  <c r="I16" i="131"/>
  <c r="D16" i="131"/>
  <c r="J16" i="131"/>
  <c r="E16" i="131"/>
  <c r="F16" i="131"/>
  <c r="C16" i="131"/>
  <c r="H16" i="131"/>
  <c r="K16" i="131"/>
  <c r="L16" i="131"/>
  <c r="M16" i="131"/>
  <c r="N16" i="131"/>
  <c r="P16" i="131"/>
  <c r="I17" i="131"/>
  <c r="D17" i="131"/>
  <c r="J17" i="131"/>
  <c r="E17" i="131"/>
  <c r="F17" i="131"/>
  <c r="C17" i="131"/>
  <c r="H17" i="131"/>
  <c r="K17" i="131"/>
  <c r="L17" i="131"/>
  <c r="M17" i="131"/>
  <c r="N17" i="131"/>
  <c r="P17" i="131"/>
  <c r="A16" i="131"/>
  <c r="A17" i="131"/>
  <c r="A3" i="131"/>
  <c r="A4" i="131"/>
  <c r="A5" i="131"/>
  <c r="A6" i="131"/>
  <c r="A7" i="131"/>
  <c r="A8" i="131"/>
  <c r="A9" i="131"/>
  <c r="A10" i="131"/>
  <c r="A11" i="131"/>
  <c r="A12" i="131"/>
  <c r="A13" i="131"/>
  <c r="A14" i="131"/>
  <c r="A15" i="131"/>
  <c r="E3" i="131"/>
  <c r="E4" i="131"/>
  <c r="E5" i="131"/>
  <c r="I6" i="131"/>
  <c r="E6" i="131"/>
  <c r="I7" i="131"/>
  <c r="E7" i="131"/>
  <c r="E8" i="131"/>
  <c r="E9" i="131"/>
  <c r="I10" i="131"/>
  <c r="E10" i="131"/>
  <c r="I11" i="131"/>
  <c r="E11" i="131"/>
  <c r="E12" i="131"/>
  <c r="E13" i="131"/>
  <c r="I14" i="131"/>
  <c r="E14" i="131"/>
  <c r="I15" i="131"/>
  <c r="E15" i="131"/>
  <c r="E2" i="131"/>
  <c r="F3" i="131"/>
  <c r="F4" i="131"/>
  <c r="F5" i="131"/>
  <c r="F6" i="131"/>
  <c r="F7" i="131"/>
  <c r="F8" i="131"/>
  <c r="F9" i="131"/>
  <c r="F10" i="131"/>
  <c r="F11" i="131"/>
  <c r="F12" i="131"/>
  <c r="F13" i="131"/>
  <c r="F14" i="131"/>
  <c r="F15" i="131"/>
  <c r="F2" i="131"/>
  <c r="I12" i="131"/>
  <c r="D12" i="131"/>
  <c r="J12" i="131"/>
  <c r="C12" i="131"/>
  <c r="I13" i="131"/>
  <c r="D13" i="131"/>
  <c r="J13" i="131"/>
  <c r="C13" i="131"/>
  <c r="D14" i="131"/>
  <c r="J14" i="131"/>
  <c r="C14" i="131"/>
  <c r="D15" i="131"/>
  <c r="J15" i="131"/>
  <c r="C15" i="131"/>
  <c r="I2" i="131"/>
  <c r="D2" i="131"/>
  <c r="J2" i="131"/>
  <c r="C2" i="131"/>
  <c r="I3" i="131"/>
  <c r="D3" i="131"/>
  <c r="J3" i="131"/>
  <c r="C3" i="131"/>
  <c r="I4" i="131"/>
  <c r="D4" i="131"/>
  <c r="J4" i="131"/>
  <c r="C4" i="131"/>
  <c r="I5" i="131"/>
  <c r="D5" i="131"/>
  <c r="J5" i="131"/>
  <c r="C5" i="131"/>
  <c r="D6" i="131"/>
  <c r="J6" i="131"/>
  <c r="C6" i="131"/>
  <c r="D7" i="131"/>
  <c r="J7" i="131"/>
  <c r="C7" i="131"/>
  <c r="I8" i="131"/>
  <c r="D8" i="131"/>
  <c r="J8" i="131"/>
  <c r="C8" i="131"/>
  <c r="I9" i="131"/>
  <c r="D9" i="131"/>
  <c r="J9" i="131"/>
  <c r="C9" i="131"/>
  <c r="D10" i="131"/>
  <c r="J10" i="131"/>
  <c r="C10" i="131"/>
  <c r="D11" i="131"/>
  <c r="J11" i="131"/>
  <c r="C11" i="131"/>
  <c r="F6" i="130"/>
  <c r="E6" i="130"/>
  <c r="H15" i="131"/>
  <c r="H14" i="131"/>
  <c r="C3" i="103"/>
  <c r="K14" i="131"/>
  <c r="L14" i="131"/>
  <c r="M14" i="131"/>
  <c r="N14" i="131"/>
  <c r="P14" i="131"/>
  <c r="K15" i="131"/>
  <c r="L15" i="131"/>
  <c r="M15" i="131"/>
  <c r="N15" i="131"/>
  <c r="P15" i="131"/>
  <c r="H12" i="131"/>
  <c r="K12" i="131"/>
  <c r="L12" i="131"/>
  <c r="M12" i="131"/>
  <c r="N12" i="131"/>
  <c r="P12" i="131"/>
  <c r="H13" i="131"/>
  <c r="K13" i="131"/>
  <c r="L13" i="131"/>
  <c r="M13" i="131"/>
  <c r="N13" i="131"/>
  <c r="P13" i="131"/>
  <c r="H10" i="131"/>
  <c r="K10" i="131"/>
  <c r="L10" i="131"/>
  <c r="M10" i="131"/>
  <c r="N10" i="131"/>
  <c r="P10" i="131"/>
  <c r="H11" i="131"/>
  <c r="K11" i="131"/>
  <c r="L11" i="131"/>
  <c r="M11" i="131"/>
  <c r="N11" i="131"/>
  <c r="P11" i="131"/>
  <c r="P9" i="131"/>
  <c r="N9" i="131"/>
  <c r="M9" i="131"/>
  <c r="L9" i="131"/>
  <c r="K9" i="131"/>
  <c r="H9" i="131"/>
  <c r="P8" i="131"/>
  <c r="N8" i="131"/>
  <c r="M8" i="131"/>
  <c r="L8" i="131"/>
  <c r="K8" i="131"/>
  <c r="H8" i="131"/>
  <c r="P7" i="131"/>
  <c r="N7" i="131"/>
  <c r="M7" i="131"/>
  <c r="L7" i="131"/>
  <c r="K7" i="131"/>
  <c r="H7" i="131"/>
  <c r="P6" i="131"/>
  <c r="N6" i="131"/>
  <c r="M6" i="131"/>
  <c r="L6" i="131"/>
  <c r="K6" i="131"/>
  <c r="H6" i="131"/>
  <c r="P5" i="131"/>
  <c r="N5" i="131"/>
  <c r="M5" i="131"/>
  <c r="L5" i="131"/>
  <c r="K5" i="131"/>
  <c r="H5" i="131"/>
  <c r="P4" i="131"/>
  <c r="N4" i="131"/>
  <c r="M4" i="131"/>
  <c r="L4" i="131"/>
  <c r="K4" i="131"/>
  <c r="H4" i="131"/>
  <c r="P3" i="131"/>
  <c r="N3" i="131"/>
  <c r="M3" i="131"/>
  <c r="L3" i="131"/>
  <c r="K3" i="131"/>
  <c r="H3" i="131"/>
  <c r="P2" i="131"/>
  <c r="N2" i="131"/>
  <c r="M2" i="131"/>
  <c r="L2" i="131"/>
  <c r="K2" i="131"/>
  <c r="H2" i="131"/>
  <c r="F5" i="130"/>
  <c r="A36" i="130"/>
  <c r="E5" i="130"/>
  <c r="G26" i="130"/>
  <c r="Q3" i="130"/>
  <c r="Q4" i="130"/>
  <c r="Q5" i="130"/>
  <c r="Q6" i="130"/>
  <c r="Q7" i="130"/>
  <c r="Q8" i="130"/>
  <c r="Q9" i="130"/>
  <c r="Q10" i="130"/>
  <c r="Q11" i="130"/>
  <c r="Q12" i="130"/>
  <c r="Q13" i="130"/>
  <c r="Q14" i="130"/>
  <c r="Q15" i="130"/>
  <c r="Q16" i="130"/>
  <c r="Q17" i="130"/>
  <c r="Q18" i="130"/>
  <c r="Q19" i="130"/>
  <c r="Q20" i="130"/>
  <c r="E26" i="130"/>
  <c r="H26" i="130"/>
  <c r="G29" i="130"/>
  <c r="E29" i="130"/>
  <c r="H29" i="130"/>
  <c r="G28" i="130"/>
  <c r="E28" i="130"/>
  <c r="H28" i="130"/>
  <c r="G17" i="130"/>
  <c r="E17" i="130"/>
  <c r="H17" i="130"/>
  <c r="G18" i="130"/>
  <c r="E18" i="130"/>
  <c r="H18" i="130"/>
  <c r="B5" i="130"/>
  <c r="G24" i="130"/>
  <c r="E24" i="130"/>
  <c r="H24" i="130"/>
  <c r="G25" i="130"/>
  <c r="E25" i="130"/>
  <c r="H25" i="130"/>
  <c r="G19" i="130"/>
  <c r="E19" i="130"/>
  <c r="H19" i="130"/>
  <c r="G20" i="130"/>
  <c r="E20" i="130"/>
  <c r="H20" i="130"/>
  <c r="G21" i="130"/>
  <c r="E21" i="130"/>
  <c r="H21" i="130"/>
  <c r="G27" i="130"/>
  <c r="E27" i="130"/>
  <c r="H27" i="130"/>
  <c r="G22" i="130"/>
  <c r="E22" i="130"/>
  <c r="H22" i="130"/>
  <c r="B23" i="130"/>
  <c r="G23" i="130"/>
  <c r="E23" i="130"/>
  <c r="H23" i="130"/>
  <c r="F42" i="130"/>
  <c r="B10" i="130"/>
  <c r="V6" i="130"/>
  <c r="F48" i="130"/>
  <c r="F47" i="130"/>
  <c r="B40" i="130"/>
  <c r="B41" i="130"/>
  <c r="B42" i="130"/>
  <c r="B43" i="130"/>
  <c r="B44" i="130"/>
  <c r="B45" i="130"/>
  <c r="B46" i="130"/>
  <c r="B47" i="130"/>
  <c r="C40" i="130"/>
  <c r="C41" i="130"/>
  <c r="C42" i="130"/>
  <c r="C43" i="130"/>
  <c r="C44" i="130"/>
  <c r="C45" i="130"/>
  <c r="C46" i="130"/>
  <c r="C47" i="130"/>
  <c r="F46" i="130"/>
  <c r="F45" i="130"/>
  <c r="G42" i="130"/>
  <c r="F41" i="130"/>
  <c r="G41" i="130"/>
  <c r="F40" i="130"/>
  <c r="G40" i="130"/>
  <c r="B32" i="130"/>
  <c r="C19" i="130"/>
  <c r="C20" i="130"/>
  <c r="C21" i="130"/>
  <c r="C22" i="130"/>
  <c r="C23" i="130"/>
  <c r="C24" i="130"/>
  <c r="C25" i="130"/>
  <c r="C26" i="130"/>
  <c r="C27" i="130"/>
  <c r="C28" i="130"/>
  <c r="C29" i="130"/>
  <c r="C30" i="130"/>
  <c r="C31" i="130"/>
  <c r="C32" i="130"/>
  <c r="D32" i="130"/>
  <c r="G31" i="130"/>
  <c r="E31" i="130"/>
  <c r="H31" i="130"/>
  <c r="I31" i="130"/>
  <c r="J31" i="130"/>
  <c r="F31" i="130"/>
  <c r="D31" i="130"/>
  <c r="G30" i="130"/>
  <c r="E30" i="130"/>
  <c r="H30" i="130"/>
  <c r="I30" i="130"/>
  <c r="J30" i="130"/>
  <c r="F30" i="130"/>
  <c r="D30" i="130"/>
  <c r="I29" i="130"/>
  <c r="J29" i="130"/>
  <c r="F29" i="130"/>
  <c r="D29" i="130"/>
  <c r="I28" i="130"/>
  <c r="J28" i="130"/>
  <c r="F28" i="130"/>
  <c r="D28" i="130"/>
  <c r="I27" i="130"/>
  <c r="J27" i="130"/>
  <c r="F27" i="130"/>
  <c r="D27" i="130"/>
  <c r="I26" i="130"/>
  <c r="J26" i="130"/>
  <c r="F26" i="130"/>
  <c r="D26" i="130"/>
  <c r="I25" i="130"/>
  <c r="J25" i="130"/>
  <c r="F25" i="130"/>
  <c r="D25" i="130"/>
  <c r="I24" i="130"/>
  <c r="J24" i="130"/>
  <c r="F24" i="130"/>
  <c r="D24" i="130"/>
  <c r="I23" i="130"/>
  <c r="J23" i="130"/>
  <c r="F23" i="130"/>
  <c r="D23" i="130"/>
  <c r="I22" i="130"/>
  <c r="J22" i="130"/>
  <c r="F22" i="130"/>
  <c r="D22" i="130"/>
  <c r="I21" i="130"/>
  <c r="J21" i="130"/>
  <c r="F21" i="130"/>
  <c r="D21" i="130"/>
  <c r="R20" i="130"/>
  <c r="P20" i="130"/>
  <c r="O20" i="130"/>
  <c r="M20" i="130"/>
  <c r="I20" i="130"/>
  <c r="J20" i="130"/>
  <c r="F20" i="130"/>
  <c r="D20" i="130"/>
  <c r="R19" i="130"/>
  <c r="P19" i="130"/>
  <c r="O19" i="130"/>
  <c r="M19" i="130"/>
  <c r="I19" i="130"/>
  <c r="J19" i="130"/>
  <c r="F19" i="130"/>
  <c r="D19" i="130"/>
  <c r="R18" i="130"/>
  <c r="P18" i="130"/>
  <c r="O18" i="130"/>
  <c r="M18" i="130"/>
  <c r="I18" i="130"/>
  <c r="J18" i="130"/>
  <c r="F18" i="130"/>
  <c r="C18" i="130"/>
  <c r="D18" i="130"/>
  <c r="R17" i="130"/>
  <c r="P17" i="130"/>
  <c r="O17" i="130"/>
  <c r="M17" i="130"/>
  <c r="I17" i="130"/>
  <c r="J17" i="130"/>
  <c r="F17" i="130"/>
  <c r="C17" i="130"/>
  <c r="D17" i="130"/>
  <c r="V16" i="130"/>
  <c r="R16" i="130"/>
  <c r="P16" i="130"/>
  <c r="O16" i="130"/>
  <c r="M16" i="130"/>
  <c r="V15" i="130"/>
  <c r="R15" i="130"/>
  <c r="P15" i="130"/>
  <c r="O15" i="130"/>
  <c r="M15" i="130"/>
  <c r="V14" i="130"/>
  <c r="R14" i="130"/>
  <c r="P14" i="130"/>
  <c r="O14" i="130"/>
  <c r="M14" i="130"/>
  <c r="V13" i="130"/>
  <c r="R13" i="130"/>
  <c r="P13" i="130"/>
  <c r="O13" i="130"/>
  <c r="M13" i="130"/>
  <c r="V12" i="130"/>
  <c r="R12" i="130"/>
  <c r="P12" i="130"/>
  <c r="O12" i="130"/>
  <c r="M12" i="130"/>
  <c r="V11" i="130"/>
  <c r="R11" i="130"/>
  <c r="P11" i="130"/>
  <c r="O11" i="130"/>
  <c r="M11" i="130"/>
  <c r="V10" i="130"/>
  <c r="R10" i="130"/>
  <c r="P10" i="130"/>
  <c r="O10" i="130"/>
  <c r="M10" i="130"/>
  <c r="V9" i="130"/>
  <c r="R9" i="130"/>
  <c r="P9" i="130"/>
  <c r="O9" i="130"/>
  <c r="M9" i="130"/>
  <c r="V8" i="130"/>
  <c r="R8" i="130"/>
  <c r="P8" i="130"/>
  <c r="O8" i="130"/>
  <c r="M8" i="130"/>
  <c r="V7" i="130"/>
  <c r="R7" i="130"/>
  <c r="P7" i="130"/>
  <c r="O7" i="130"/>
  <c r="M7" i="130"/>
  <c r="R6" i="130"/>
  <c r="P6" i="130"/>
  <c r="O6" i="130"/>
  <c r="M6" i="130"/>
  <c r="V5" i="130"/>
  <c r="R5" i="130"/>
  <c r="P5" i="130"/>
  <c r="O5" i="130"/>
  <c r="M5" i="130"/>
  <c r="V4" i="130"/>
  <c r="R4" i="130"/>
  <c r="P4" i="130"/>
  <c r="O4" i="130"/>
  <c r="M4" i="130"/>
  <c r="V3" i="130"/>
  <c r="R3" i="130"/>
  <c r="P3" i="130"/>
  <c r="O3" i="130"/>
  <c r="M3" i="130"/>
  <c r="V2" i="130"/>
  <c r="E3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2" i="103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<sst xmlns="http://schemas.openxmlformats.org/spreadsheetml/2006/main" count="327" uniqueCount="232">
  <si>
    <t>character_id</t>
  </si>
  <si>
    <t>character_id</t>
    <phoneticPr fontId="18"/>
  </si>
  <si>
    <t>weight</t>
    <phoneticPr fontId="18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</si>
  <si>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</si>
  <si>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</si>
  <si>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</si>
  <si>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</si>
  <si>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</si>
  <si>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</si>
  <si>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</si>
  <si>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8"/>
  </si>
  <si>
    <t>bonus_table_no</t>
    <phoneticPr fontId="18"/>
  </si>
  <si>
    <t>weight</t>
    <phoneticPr fontId="18"/>
  </si>
  <si>
    <t>gift_id</t>
    <phoneticPr fontId="18"/>
  </si>
  <si>
    <t>gift_id</t>
    <phoneticPr fontId="18"/>
  </si>
  <si>
    <t>gift_type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</si>
  <si>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</si>
  <si>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</si>
  <si>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</si>
  <si>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</si>
  <si>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</si>
  <si>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</si>
  <si>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gift_id</t>
    <phoneticPr fontId="18"/>
  </si>
  <si>
    <t>gift_value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</si>
  <si>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</si>
  <si>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</si>
  <si>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</si>
  <si>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</si>
  <si>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</si>
  <si>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</si>
  <si>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gift_type</t>
    <phoneticPr fontId="18"/>
  </si>
  <si>
    <t>備考</t>
    <rPh sb="0" eb="2">
      <t>ビコウ</t>
    </rPh>
    <phoneticPr fontId="18"/>
  </si>
  <si>
    <t>character_id</t>
    <phoneticPr fontId="18"/>
  </si>
  <si>
    <t>name</t>
    <phoneticPr fontId="18"/>
  </si>
  <si>
    <t>接頭語</t>
    <rPh sb="0" eb="3">
      <t>セットウゴ</t>
    </rPh>
    <phoneticPr fontId="51"/>
  </si>
  <si>
    <t>識別子</t>
    <rPh sb="0" eb="3">
      <t>シキベツシ</t>
    </rPh>
    <phoneticPr fontId="51"/>
  </si>
  <si>
    <t>形式</t>
    <rPh sb="0" eb="2">
      <t>ケイシキ</t>
    </rPh>
    <phoneticPr fontId="51"/>
  </si>
  <si>
    <t>出力ファイル名</t>
    <rPh sb="0" eb="2">
      <t>シュツリョク</t>
    </rPh>
    <rPh sb="6" eb="7">
      <t>メイ</t>
    </rPh>
    <phoneticPr fontId="51"/>
  </si>
  <si>
    <t>入力シート名</t>
    <rPh sb="0" eb="2">
      <t>ニュウリョク</t>
    </rPh>
    <rPh sb="5" eb="6">
      <t>メイ</t>
    </rPh>
    <phoneticPr fontId="51"/>
  </si>
  <si>
    <t>出力データ</t>
    <rPh sb="0" eb="2">
      <t>シュツリョク</t>
    </rPh>
    <phoneticPr fontId="51"/>
  </si>
  <si>
    <t>.tmp</t>
    <phoneticPr fontId="51"/>
  </si>
  <si>
    <t>.tmp</t>
    <phoneticPr fontId="51"/>
  </si>
  <si>
    <t>gacha_bonus_tables</t>
    <phoneticPr fontId="51"/>
  </si>
  <si>
    <t>gifts_tmp_</t>
    <phoneticPr fontId="18"/>
  </si>
  <si>
    <t>gifts_i18n_</t>
    <phoneticPr fontId="18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</si>
  <si>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8"/>
  </si>
  <si>
    <t>出力flg</t>
    <rPh sb="0" eb="2">
      <t>シュツリョク</t>
    </rPh>
    <phoneticPr fontId="51"/>
  </si>
  <si>
    <t>レアリティ別確率</t>
    <rPh sb="5" eb="6">
      <t>ベツ</t>
    </rPh>
    <rPh sb="6" eb="8">
      <t>カクリツ</t>
    </rPh>
    <phoneticPr fontId="18"/>
  </si>
  <si>
    <t>ラベル別確率</t>
    <rPh sb="3" eb="4">
      <t>ベツ</t>
    </rPh>
    <rPh sb="4" eb="6">
      <t>カクリツ</t>
    </rPh>
    <phoneticPr fontId="18"/>
  </si>
  <si>
    <t>SSS</t>
    <phoneticPr fontId="18"/>
  </si>
  <si>
    <t>SS</t>
    <phoneticPr fontId="18"/>
  </si>
  <si>
    <t>ラベル*レアリティ標準確率</t>
    <rPh sb="9" eb="11">
      <t>ヒョウジュン</t>
    </rPh>
    <rPh sb="11" eb="13">
      <t>カクリツ</t>
    </rPh>
    <phoneticPr fontId="18"/>
  </si>
  <si>
    <t>性別</t>
    <rPh sb="0" eb="2">
      <t>セイベツ</t>
    </rPh>
    <phoneticPr fontId="18"/>
  </si>
  <si>
    <t>合計</t>
    <rPh sb="0" eb="2">
      <t>ゴウケイ</t>
    </rPh>
    <phoneticPr fontId="18"/>
  </si>
  <si>
    <t>グループ</t>
    <phoneticPr fontId="18"/>
  </si>
  <si>
    <t>ピックアップ確率</t>
    <rPh sb="6" eb="8">
      <t>カクリツ</t>
    </rPh>
    <phoneticPr fontId="18"/>
  </si>
  <si>
    <t>残り確率</t>
    <rPh sb="0" eb="1">
      <t>ノコ</t>
    </rPh>
    <rPh sb="2" eb="4">
      <t>カクリツ</t>
    </rPh>
    <phoneticPr fontId="18"/>
  </si>
  <si>
    <t>確率</t>
    <rPh sb="0" eb="2">
      <t>カクリツ</t>
    </rPh>
    <phoneticPr fontId="18"/>
  </si>
  <si>
    <t>所属グループ</t>
    <rPh sb="0" eb="2">
      <t>ショゾク</t>
    </rPh>
    <phoneticPr fontId="18"/>
  </si>
  <si>
    <t>名前</t>
    <rPh sb="0" eb="2">
      <t>ナマエ</t>
    </rPh>
    <phoneticPr fontId="18"/>
  </si>
  <si>
    <t>レアリティ</t>
    <phoneticPr fontId="18"/>
  </si>
  <si>
    <t>ラベル</t>
    <phoneticPr fontId="18"/>
  </si>
  <si>
    <t>R3</t>
    <phoneticPr fontId="18"/>
  </si>
  <si>
    <t>R4</t>
    <phoneticPr fontId="18"/>
  </si>
  <si>
    <t>R5</t>
    <phoneticPr fontId="18"/>
  </si>
  <si>
    <t>個別確率</t>
    <rPh sb="0" eb="4">
      <t>コベツカクリツ</t>
    </rPh>
    <phoneticPr fontId="18"/>
  </si>
  <si>
    <t>該当数(ピックアップ除く)</t>
    <rPh sb="0" eb="2">
      <t>ガイトウ</t>
    </rPh>
    <rPh sb="2" eb="3">
      <t>スウ</t>
    </rPh>
    <rPh sb="10" eb="11">
      <t>ノゾ</t>
    </rPh>
    <phoneticPr fontId="18"/>
  </si>
  <si>
    <t>個別weight</t>
    <rPh sb="0" eb="2">
      <t>コベツ</t>
    </rPh>
    <phoneticPr fontId="18"/>
  </si>
  <si>
    <t>グループweight</t>
    <phoneticPr fontId="18"/>
  </si>
  <si>
    <t>端数</t>
    <rPh sb="0" eb="2">
      <t>ハスウ</t>
    </rPh>
    <phoneticPr fontId="18"/>
  </si>
  <si>
    <t>--検算用--</t>
    <rPh sb="3" eb="6">
      <t>ケンザンヨウ</t>
    </rPh>
    <phoneticPr fontId="18"/>
  </si>
  <si>
    <t>端数逆数</t>
    <rPh sb="0" eb="2">
      <t>ハスウ</t>
    </rPh>
    <rPh sb="2" eb="4">
      <t>ギャクスウ</t>
    </rPh>
    <phoneticPr fontId="18"/>
  </si>
  <si>
    <t>テーブルを増やしたい場合</t>
    <rPh sb="5" eb="6">
      <t>フ</t>
    </rPh>
    <rPh sb="10" eb="12">
      <t>バアイ</t>
    </rPh>
    <phoneticPr fontId="18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</si>
  <si>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8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</si>
  <si>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8"/>
  </si>
  <si>
    <t>３．outputシートで２で作ったtablesを指定する</t>
    <rPh sb="14" eb="15">
      <t>ツク</t>
    </rPh>
    <rPh sb="24" eb="26">
      <t>シテイ</t>
    </rPh>
    <phoneticPr fontId="18"/>
  </si>
  <si>
    <t>テーブルid</t>
    <phoneticPr fontId="18"/>
  </si>
  <si>
    <t>→ピックアップの確率は右のほうにいます</t>
    <rPh sb="8" eb="10">
      <t>カクリツ</t>
    </rPh>
    <rPh sb="11" eb="12">
      <t>ミギ</t>
    </rPh>
    <phoneticPr fontId="18"/>
  </si>
  <si>
    <t>table_no</t>
    <phoneticPr fontId="18"/>
  </si>
  <si>
    <t>skill_level</t>
  </si>
  <si>
    <t>level</t>
  </si>
  <si>
    <t>hp_plus</t>
    <phoneticPr fontId="51"/>
  </si>
  <si>
    <t>attack_plus</t>
    <phoneticPr fontId="51"/>
  </si>
  <si>
    <t>heal_plus</t>
    <phoneticPr fontId="51"/>
  </si>
  <si>
    <t>defense_plus</t>
    <phoneticPr fontId="51"/>
  </si>
  <si>
    <t>level</t>
    <phoneticPr fontId="51"/>
  </si>
  <si>
    <t>skill_level</t>
    <phoneticPr fontId="51"/>
  </si>
  <si>
    <t>bug</t>
    <phoneticPr fontId="51"/>
  </si>
  <si>
    <t>Premium</t>
    <phoneticPr fontId="18"/>
  </si>
  <si>
    <t>Premium3</t>
    <phoneticPr fontId="18"/>
  </si>
  <si>
    <t>Premium4</t>
    <phoneticPr fontId="18"/>
  </si>
  <si>
    <t>Premium5</t>
    <phoneticPr fontId="18"/>
  </si>
  <si>
    <t>グループ確率</t>
    <rPh sb="4" eb="6">
      <t>カクリツ</t>
    </rPh>
    <phoneticPr fontId="18"/>
  </si>
  <si>
    <t>レア度別確率</t>
    <rPh sb="2" eb="4">
      <t>ドベツ</t>
    </rPh>
    <rPh sb="4" eb="6">
      <t>カクリツ</t>
    </rPh>
    <phoneticPr fontId="18"/>
  </si>
  <si>
    <t>Premium3</t>
  </si>
  <si>
    <t>Premium4</t>
  </si>
  <si>
    <t>Premium5</t>
  </si>
  <si>
    <t>PremiumSS4</t>
    <phoneticPr fontId="18"/>
  </si>
  <si>
    <t>PremiumSS5</t>
    <phoneticPr fontId="18"/>
  </si>
  <si>
    <t>PremiumSSS5</t>
    <phoneticPr fontId="18"/>
  </si>
  <si>
    <t>PremiumSS4</t>
    <phoneticPr fontId="18"/>
  </si>
  <si>
    <t>PremiumSSS4</t>
    <phoneticPr fontId="18"/>
  </si>
  <si>
    <t>PremiumSS5</t>
    <phoneticPr fontId="18"/>
  </si>
  <si>
    <t>PremiumSSS5</t>
    <phoneticPr fontId="18"/>
  </si>
  <si>
    <t>gacha_select_tables_</t>
    <phoneticPr fontId="18"/>
  </si>
  <si>
    <t>ラベル確率で考えましょう</t>
    <rPh sb="6" eb="7">
      <t>カンガエマショウ</t>
    </rPh>
    <phoneticPr fontId="51"/>
  </si>
  <si>
    <t>ラベル</t>
    <phoneticPr fontId="51"/>
  </si>
  <si>
    <t>レアリティ</t>
    <phoneticPr fontId="51"/>
  </si>
  <si>
    <t>{W}</t>
    <phoneticPr fontId="51"/>
  </si>
  <si>
    <t>{N,S}</t>
    <phoneticPr fontId="51"/>
  </si>
  <si>
    <t>{N,S}R3less</t>
    <phoneticPr fontId="51"/>
  </si>
  <si>
    <t>{N,S}R6release</t>
    <phoneticPr fontId="51"/>
  </si>
  <si>
    <t>{SS}</t>
    <phoneticPr fontId="51"/>
  </si>
  <si>
    <t>{SS}R6only</t>
    <phoneticPr fontId="51"/>
  </si>
  <si>
    <t>小計</t>
    <rPh sb="0" eb="2">
      <t>ショウケイ</t>
    </rPh>
    <phoneticPr fontId="51"/>
  </si>
  <si>
    <t>A</t>
    <phoneticPr fontId="51"/>
  </si>
  <si>
    <t>C</t>
    <phoneticPr fontId="51"/>
  </si>
  <si>
    <t>H</t>
    <phoneticPr fontId="51"/>
  </si>
  <si>
    <t>B</t>
    <phoneticPr fontId="51"/>
  </si>
  <si>
    <t>D</t>
    <phoneticPr fontId="51"/>
  </si>
  <si>
    <t>F</t>
    <phoneticPr fontId="51"/>
  </si>
  <si>
    <t>I</t>
    <phoneticPr fontId="51"/>
  </si>
  <si>
    <t>K</t>
    <phoneticPr fontId="51"/>
  </si>
  <si>
    <t>E</t>
    <phoneticPr fontId="51"/>
  </si>
  <si>
    <t>G</t>
    <phoneticPr fontId="51"/>
  </si>
  <si>
    <t>J</t>
    <phoneticPr fontId="51"/>
  </si>
  <si>
    <t>L</t>
    <phoneticPr fontId="51"/>
  </si>
  <si>
    <t>M</t>
    <phoneticPr fontId="51"/>
  </si>
  <si>
    <t>→</t>
    <phoneticPr fontId="51"/>
  </si>
  <si>
    <t>1-SS率</t>
    <rPh sb="4" eb="5">
      <t>リツ</t>
    </rPh>
    <phoneticPr fontId="51"/>
  </si>
  <si>
    <t>SS率</t>
    <rPh sb="2" eb="3">
      <t>リツ</t>
    </rPh>
    <phoneticPr fontId="51"/>
  </si>
  <si>
    <t>考え方を変える</t>
    <rPh sb="0" eb="1">
      <t>カンガエカタ</t>
    </rPh>
    <rPh sb="4" eb="5">
      <t>カエル</t>
    </rPh>
    <phoneticPr fontId="51"/>
  </si>
  <si>
    <t>SS4%は確定事項</t>
    <rPh sb="5" eb="7">
      <t>カクテイ</t>
    </rPh>
    <rPh sb="7" eb="9">
      <t>ジコウ</t>
    </rPh>
    <phoneticPr fontId="51"/>
  </si>
  <si>
    <t>当たりは分配</t>
    <rPh sb="0" eb="1">
      <t>アタリ</t>
    </rPh>
    <rPh sb="4" eb="6">
      <t>ブンパイ</t>
    </rPh>
    <phoneticPr fontId="51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</si>
  <si>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1"/>
  </si>
  <si>
    <t>=</t>
    <phoneticPr fontId="51"/>
  </si>
  <si>
    <t>X*{SS R5only}</t>
    <phoneticPr fontId="51"/>
  </si>
  <si>
    <t>K</t>
    <phoneticPr fontId="51"/>
  </si>
  <si>
    <t>=</t>
    <phoneticPr fontId="51"/>
  </si>
  <si>
    <t>X*{SS}*(R3率+R4率)</t>
    <rPh sb="10" eb="11">
      <t>リツ</t>
    </rPh>
    <rPh sb="14" eb="15">
      <t>リツ</t>
    </rPh>
    <phoneticPr fontId="51"/>
  </si>
  <si>
    <t>L</t>
    <phoneticPr fontId="51"/>
  </si>
  <si>
    <t>X*{SS}*R5率</t>
    <rPh sb="9" eb="10">
      <t>リツ</t>
    </rPh>
    <phoneticPr fontId="51"/>
  </si>
  <si>
    <t>X*{R6release}*R3率</t>
    <rPh sb="16" eb="17">
      <t>リツ</t>
    </rPh>
    <phoneticPr fontId="51"/>
  </si>
  <si>
    <t>X*{R6release}*R4率</t>
    <rPh sb="16" eb="17">
      <t>リツ</t>
    </rPh>
    <phoneticPr fontId="51"/>
  </si>
  <si>
    <t>J</t>
    <phoneticPr fontId="51"/>
  </si>
  <si>
    <t>X*{R6release}*R5率</t>
    <rPh sb="16" eb="17">
      <t>リツ</t>
    </rPh>
    <phoneticPr fontId="51"/>
  </si>
  <si>
    <t>ハズレで確率を整える</t>
    <rPh sb="4" eb="6">
      <t>カクリツ</t>
    </rPh>
    <rPh sb="7" eb="8">
      <t>トトノエル</t>
    </rPh>
    <phoneticPr fontId="51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</si>
  <si>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1"/>
  </si>
  <si>
    <t>A + C</t>
    <phoneticPr fontId="51"/>
  </si>
  <si>
    <t>=</t>
    <phoneticPr fontId="51"/>
  </si>
  <si>
    <t>50%-H</t>
    <phoneticPr fontId="51"/>
  </si>
  <si>
    <t>①</t>
    <phoneticPr fontId="51"/>
  </si>
  <si>
    <t>B + D + F</t>
    <phoneticPr fontId="51"/>
  </si>
  <si>
    <t>45%-I-K</t>
    <phoneticPr fontId="51"/>
  </si>
  <si>
    <t>②</t>
    <phoneticPr fontId="51"/>
  </si>
  <si>
    <t>E+G</t>
    <phoneticPr fontId="51"/>
  </si>
  <si>
    <t>5%-J-L-M</t>
    <phoneticPr fontId="51"/>
  </si>
  <si>
    <t>③</t>
    <phoneticPr fontId="51"/>
  </si>
  <si>
    <t>A+B</t>
    <phoneticPr fontId="51"/>
  </si>
  <si>
    <t>Y*{W}</t>
    <phoneticPr fontId="51"/>
  </si>
  <si>
    <t>④</t>
    <phoneticPr fontId="51"/>
  </si>
  <si>
    <t>C+D+E</t>
    <phoneticPr fontId="51"/>
  </si>
  <si>
    <t>Y*{N,S}</t>
    <phoneticPr fontId="51"/>
  </si>
  <si>
    <t>⑤</t>
    <phoneticPr fontId="51"/>
  </si>
  <si>
    <t>F+G</t>
    <phoneticPr fontId="51"/>
  </si>
  <si>
    <t>Y*{N,S R3less}</t>
    <phoneticPr fontId="51"/>
  </si>
  <si>
    <t>⑥</t>
    <phoneticPr fontId="51"/>
  </si>
  <si>
    <t>A+B+C+D+E+F+G</t>
    <phoneticPr fontId="51"/>
  </si>
  <si>
    <t>⑦</t>
    <phoneticPr fontId="51"/>
  </si>
  <si>
    <t>←これは4,5,6で作れるのでダメだわ</t>
    <rPh sb="10" eb="11">
      <t>ツクレル</t>
    </rPh>
    <phoneticPr fontId="51"/>
  </si>
  <si>
    <t>E*R3率/R5率</t>
    <rPh sb="4" eb="5">
      <t>リツ</t>
    </rPh>
    <rPh sb="8" eb="9">
      <t>リツ</t>
    </rPh>
    <phoneticPr fontId="51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</si>
  <si>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1"/>
  </si>
  <si>
    <t>E*R4率/R5率</t>
    <rPh sb="4" eb="5">
      <t>リツ</t>
    </rPh>
    <rPh sb="8" eb="9">
      <t>リツ</t>
    </rPh>
    <phoneticPr fontId="51"/>
  </si>
  <si>
    <t>∴</t>
    <phoneticPr fontId="51"/>
  </si>
  <si>
    <t>E</t>
    <phoneticPr fontId="51"/>
  </si>
  <si>
    <t>Y*{N,S}*R5率</t>
    <rPh sb="10" eb="11">
      <t>リツ</t>
    </rPh>
    <phoneticPr fontId="51"/>
  </si>
  <si>
    <t>Y*{N,S}*R4率</t>
    <rPh sb="10" eb="11">
      <t>リツ</t>
    </rPh>
    <phoneticPr fontId="51"/>
  </si>
  <si>
    <t>Y*{N,S}*R3率</t>
    <rPh sb="10" eb="11">
      <t>リツ</t>
    </rPh>
    <phoneticPr fontId="51"/>
  </si>
  <si>
    <t>50%-H-C</t>
    <phoneticPr fontId="51"/>
  </si>
  <si>
    <t>Y*{W}-A</t>
    <phoneticPr fontId="51"/>
  </si>
  <si>
    <t>5%-J-L-M-E</t>
    <phoneticPr fontId="51"/>
  </si>
  <si>
    <t>Y*{N,S R3less} - G</t>
    <phoneticPr fontId="51"/>
  </si>
  <si>
    <t>R6境界前後</t>
    <rPh sb="2" eb="4">
      <t>キョウカイ</t>
    </rPh>
    <rPh sb="4" eb="6">
      <t>ゼンゴ</t>
    </rPh>
    <phoneticPr fontId="18"/>
  </si>
  <si>
    <t>R6事後開放N,S</t>
    <rPh sb="2" eb="6">
      <t>ジゴカイホウ</t>
    </rPh>
    <phoneticPr fontId="18"/>
  </si>
  <si>
    <t>PremiumW3</t>
    <phoneticPr fontId="18"/>
  </si>
  <si>
    <t>PremiumW4</t>
    <phoneticPr fontId="18"/>
  </si>
  <si>
    <t>ラベル確率</t>
    <rPh sb="3" eb="5">
      <t>カクリツ</t>
    </rPh>
    <phoneticPr fontId="18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</si>
  <si>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</si>
  <si>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</si>
  <si>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</si>
  <si>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</si>
  <si>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</si>
  <si>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8"/>
  </si>
  <si>
    <t>PremiumSS5R5only</t>
  </si>
  <si>
    <t>計算用中間データ</t>
    <rPh sb="0" eb="3">
      <t>ケイサンヨウ</t>
    </rPh>
    <rPh sb="3" eb="5">
      <t>チュウカン</t>
    </rPh>
    <phoneticPr fontId="18"/>
  </si>
  <si>
    <t>X</t>
    <phoneticPr fontId="18"/>
  </si>
  <si>
    <t>Y</t>
    <phoneticPr fontId="18"/>
  </si>
  <si>
    <t>対象数</t>
    <rPh sb="0" eb="3">
      <t>タイショウスウ</t>
    </rPh>
    <phoneticPr fontId="18"/>
  </si>
  <si>
    <t>PremiumW</t>
    <phoneticPr fontId="18"/>
  </si>
  <si>
    <t>PremiumN</t>
    <phoneticPr fontId="18"/>
  </si>
  <si>
    <t>PremiumS</t>
    <phoneticPr fontId="18"/>
  </si>
  <si>
    <t>PremiumSS</t>
    <phoneticPr fontId="18"/>
  </si>
  <si>
    <t>←R6分はここから差し引く</t>
    <rPh sb="3" eb="4">
      <t>ブン</t>
    </rPh>
    <rPh sb="9" eb="10">
      <t>サシヒク</t>
    </rPh>
    <phoneticPr fontId="18"/>
  </si>
  <si>
    <t>除外確率</t>
    <rPh sb="0" eb="2">
      <t>ジョガイ</t>
    </rPh>
    <rPh sb="2" eb="4">
      <t>カクリツ</t>
    </rPh>
    <phoneticPr fontId="18"/>
  </si>
  <si>
    <t>除外数</t>
    <rPh sb="0" eb="3">
      <t>ジョガイスウ</t>
    </rPh>
    <phoneticPr fontId="18"/>
  </si>
  <si>
    <t>もうここは手で入れよう…</t>
    <rPh sb="5" eb="6">
      <t>テ</t>
    </rPh>
    <rPh sb="7" eb="8">
      <t>イレヨウ</t>
    </rPh>
    <phoneticPr fontId="18"/>
  </si>
  <si>
    <t>通常weight</t>
    <rPh sb="0" eb="2">
      <t>ツウジョウ</t>
    </rPh>
    <phoneticPr fontId="18"/>
  </si>
  <si>
    <t>335103</t>
  </si>
  <si>
    <t>ja</t>
  </si>
  <si>
    <t>ガチャ特典</t>
    <rPh sb="3" eb="5">
      <t>トクテン</t>
    </rPh>
    <phoneticPr fontId="18"/>
  </si>
  <si>
    <t>item</t>
    <phoneticPr fontId="18"/>
  </si>
  <si>
    <t>ステップアップフィーバーのSTEP3特典として★6覚醒可能ユニット出現率50%チケットをプレゼント！
※チケットの有効期限は5/26 14:59までとなります</t>
    <rPh sb="25" eb="27">
      <t>カクセイ</t>
    </rPh>
    <rPh sb="27" eb="29">
      <t>カノウ</t>
    </rPh>
    <rPh sb="33" eb="36">
      <t>シュツゲンリツ</t>
    </rPh>
    <rPh sb="57" eb="61">
      <t>ユウコウキゲン</t>
    </rPh>
    <phoneticPr fontId="18"/>
  </si>
  <si>
    <t>★6覚醒ユニット50%券x1</t>
    <rPh sb="2" eb="4">
      <t>カクセイ</t>
    </rPh>
    <rPh sb="11" eb="12">
      <t>ケン</t>
    </rPh>
    <phoneticPr fontId="18"/>
  </si>
  <si>
    <t>skip</t>
    <phoneticPr fontId="18"/>
  </si>
  <si>
    <t>hogehoge</t>
    <phoneticPr fontId="18"/>
  </si>
  <si>
    <t>いつもの確率</t>
    <rPh sb="4" eb="6">
      <t>カクリツ</t>
    </rPh>
    <phoneticPr fontId="18"/>
  </si>
  <si>
    <t>tables_337010</t>
    <phoneticPr fontId="18"/>
  </si>
  <si>
    <t>skip</t>
    <phoneticPr fontId="18"/>
  </si>
  <si>
    <t>gacha_settle_tables_</t>
    <phoneticPr fontId="18"/>
  </si>
  <si>
    <t>table_no</t>
    <phoneticPr fontId="18"/>
  </si>
  <si>
    <t>drop_label2</t>
    <phoneticPr fontId="18"/>
  </si>
  <si>
    <t>color2</t>
    <phoneticPr fontId="18"/>
  </si>
  <si>
    <t>name</t>
    <phoneticPr fontId="18"/>
  </si>
  <si>
    <t>drop_label</t>
    <phoneticPr fontId="18"/>
  </si>
  <si>
    <t>rare</t>
    <phoneticPr fontId="18"/>
  </si>
  <si>
    <t>color</t>
    <phoneticPr fontId="18"/>
  </si>
  <si>
    <t>character_type_id</t>
    <phoneticPr fontId="18"/>
  </si>
  <si>
    <t>character_tribe_id</t>
    <phoneticPr fontId="18"/>
  </si>
  <si>
    <t>weight</t>
    <phoneticPr fontId="18"/>
  </si>
  <si>
    <t>unit_level</t>
    <phoneticPr fontId="18"/>
  </si>
  <si>
    <t>tables_settle_7106100</t>
    <phoneticPr fontId="18"/>
  </si>
  <si>
    <t>old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</si>
</sst>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2" formatCode="0.000000000000000%"/>
  </numFmts>
  <fonts count="56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17" fillId="0" borderId="0"/>
    <xf numFmtId="0" fontId="21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6" fillId="0" borderId="0"/>
    <xf numFmtId="0" fontId="28" fillId="5" borderId="2" applyNumberFormat="0" applyAlignment="0" applyProtection="0"/>
    <xf numFmtId="0" fontId="29" fillId="6" borderId="0" applyNumberFormat="0" applyBorder="0" applyAlignment="0" applyProtection="0"/>
    <xf numFmtId="0" fontId="30" fillId="7" borderId="3" applyNumberFormat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3" fillId="9" borderId="4" applyNumberFormat="0" applyAlignment="0" applyProtection="0"/>
    <xf numFmtId="0" fontId="34" fillId="0" borderId="0" applyNumberFormat="0" applyFill="0" applyBorder="0" applyAlignment="0" applyProtection="0"/>
    <xf numFmtId="0" fontId="35" fillId="0" borderId="5" applyNumberFormat="0" applyFill="0" applyAlignment="0" applyProtection="0"/>
    <xf numFmtId="0" fontId="36" fillId="0" borderId="6" applyNumberFormat="0" applyFill="0" applyAlignment="0" applyProtection="0"/>
    <xf numFmtId="0" fontId="37" fillId="0" borderId="7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0" applyNumberFormat="0" applyBorder="0" applyAlignment="0" applyProtection="0"/>
    <xf numFmtId="0" fontId="38" fillId="6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1" borderId="0" applyNumberFormat="0" applyBorder="0" applyAlignment="0" applyProtection="0"/>
    <xf numFmtId="0" fontId="38" fillId="5" borderId="0" applyNumberFormat="0" applyBorder="0" applyAlignment="0" applyProtection="0"/>
    <xf numFmtId="0" fontId="38" fillId="7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3" borderId="0" applyNumberFormat="0" applyBorder="0" applyAlignment="0" applyProtection="0"/>
    <xf numFmtId="0" fontId="38" fillId="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4" borderId="0" applyNumberFormat="0" applyBorder="0" applyAlignment="0" applyProtection="0"/>
    <xf numFmtId="0" fontId="39" fillId="6" borderId="0" applyNumberFormat="0" applyBorder="0" applyAlignment="0" applyProtection="0"/>
    <xf numFmtId="0" fontId="31" fillId="0" borderId="0" applyNumberFormat="0" applyFill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0" borderId="0" applyNumberFormat="0" applyBorder="0" applyAlignment="0" applyProtection="0"/>
    <xf numFmtId="0" fontId="39" fillId="1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40" fillId="17" borderId="0" applyNumberFormat="0" applyBorder="0" applyAlignment="0" applyProtection="0"/>
    <xf numFmtId="0" fontId="29" fillId="6" borderId="0" applyNumberFormat="0" applyBorder="0" applyAlignment="0" applyProtection="0"/>
    <xf numFmtId="0" fontId="41" fillId="0" borderId="8" applyNumberFormat="0" applyFill="0" applyAlignment="0" applyProtection="0"/>
    <xf numFmtId="0" fontId="42" fillId="7" borderId="9" applyNumberFormat="0" applyAlignment="0" applyProtection="0"/>
    <xf numFmtId="0" fontId="42" fillId="18" borderId="9" applyNumberFormat="0" applyAlignment="0" applyProtection="0"/>
    <xf numFmtId="0" fontId="30" fillId="6" borderId="3" applyNumberFormat="0" applyAlignment="0" applyProtection="0"/>
    <xf numFmtId="0" fontId="43" fillId="0" borderId="10" applyNumberFormat="0" applyFill="0" applyAlignment="0" applyProtection="0"/>
    <xf numFmtId="0" fontId="44" fillId="18" borderId="3" applyNumberFormat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11" applyNumberFormat="0" applyFill="0" applyAlignment="0" applyProtection="0"/>
    <xf numFmtId="38" fontId="16" fillId="0" borderId="0" applyFont="0" applyFill="0" applyBorder="0" applyAlignment="0" applyProtection="0">
      <alignment vertical="center"/>
    </xf>
    <xf numFmtId="0" fontId="47" fillId="19" borderId="0" applyNumberFormat="0" applyBorder="0" applyAlignment="0" applyProtection="0"/>
    <xf numFmtId="0" fontId="48" fillId="20" borderId="0" applyNumberFormat="0" applyBorder="0" applyAlignment="0" applyProtection="0"/>
    <xf numFmtId="0" fontId="16" fillId="0" borderId="0"/>
    <xf numFmtId="0" fontId="49" fillId="20" borderId="0" applyNumberFormat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1" fillId="0" borderId="0"/>
    <xf numFmtId="0" fontId="52" fillId="0" borderId="0">
      <alignment vertical="center"/>
    </xf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9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9" fontId="5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6" fillId="0" borderId="0"/>
    <xf numFmtId="38" fontId="53" fillId="0" borderId="0" applyFont="0" applyFill="0" applyBorder="0" applyAlignment="0" applyProtection="0"/>
  </cellStyleXfs>
  <cellXfs count="91">
    <xf numFmtId="0" fontId="0" fillId="0" borderId="0" xfId="0"/>
    <xf numFmtId="0" fontId="23" fillId="0" borderId="0" xfId="2" applyFont="1" applyAlignment="1">
      <alignment vertical="center"/>
    </xf>
    <xf numFmtId="0" fontId="23" fillId="0" borderId="1" xfId="2" applyFont="1" applyBorder="1" applyAlignment="1">
      <alignment vertical="center"/>
    </xf>
    <xf numFmtId="0" fontId="23" fillId="3" borderId="1" xfId="2" applyFont="1" applyFill="1" applyBorder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23" fillId="4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horizontal="right" vertical="center"/>
    </xf>
    <xf numFmtId="0" fontId="23" fillId="3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vertical="center"/>
    </xf>
    <xf numFmtId="0" fontId="22" fillId="4" borderId="12" xfId="0" applyFont="1" applyFill="1" applyBorder="1" applyAlignment="1">
      <alignment horizontal="right" vertical="center"/>
    </xf>
    <xf numFmtId="0" fontId="22" fillId="4" borderId="13" xfId="0" applyFont="1" applyFill="1" applyBorder="1" applyAlignment="1">
      <alignment horizontal="right" vertical="center"/>
    </xf>
    <xf numFmtId="0" fontId="23" fillId="2" borderId="1" xfId="2" applyFont="1" applyFill="1" applyBorder="1" applyAlignment="1">
      <alignment horizontal="left" vertical="center"/>
    </xf>
    <xf numFmtId="0" fontId="50" fillId="21" borderId="1" xfId="0" applyFont="1" applyFill="1" applyBorder="1" applyAlignment="1">
      <alignment horizontal="left" vertical="center"/>
    </xf>
    <xf numFmtId="0" fontId="23" fillId="2" borderId="1" xfId="2" applyFont="1" applyFill="1" applyBorder="1" applyAlignment="1">
      <alignment horizontal="center" vertical="center"/>
    </xf>
    <xf numFmtId="0" fontId="25" fillId="22" borderId="1" xfId="2978" applyFont="1" applyFill="1" applyBorder="1"/>
    <xf numFmtId="0" fontId="11" fillId="22" borderId="1" xfId="2978" applyFill="1" applyBorder="1"/>
    <xf numFmtId="0" fontId="11" fillId="0" borderId="0" xfId="2978"/>
    <xf numFmtId="0" fontId="11" fillId="0" borderId="1" xfId="2978" applyBorder="1"/>
    <xf numFmtId="0" fontId="11" fillId="2" borderId="1" xfId="2978" applyFill="1" applyBorder="1"/>
    <xf numFmtId="0" fontId="15" fillId="2" borderId="1" xfId="19" applyFont="1" applyFill="1" applyBorder="1"/>
    <xf numFmtId="0" fontId="16" fillId="2" borderId="1" xfId="19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0" fillId="0" borderId="1" xfId="2978" applyFont="1" applyBorder="1"/>
    <xf numFmtId="0" fontId="25" fillId="22" borderId="1" xfId="0" applyFont="1" applyFill="1" applyBorder="1"/>
    <xf numFmtId="0" fontId="50" fillId="23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9" fontId="0" fillId="0" borderId="1" xfId="0" applyNumberFormat="1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4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8" fillId="2" borderId="1" xfId="19" applyFont="1" applyFill="1" applyBorder="1"/>
    <xf numFmtId="0" fontId="8" fillId="4" borderId="1" xfId="2978" applyFont="1" applyFill="1" applyBorder="1"/>
    <xf numFmtId="0" fontId="0" fillId="2" borderId="0" xfId="0" applyFill="1"/>
    <xf numFmtId="0" fontId="50" fillId="30" borderId="1" xfId="0" applyFont="1" applyFill="1" applyBorder="1" applyAlignment="1">
      <alignment horizontal="left" vertical="center"/>
    </xf>
    <xf numFmtId="0" fontId="23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2" fillId="25" borderId="1" xfId="0" applyFont="1" applyFill="1" applyBorder="1" applyAlignment="1">
      <alignment horizontal="right" vertical="center"/>
    </xf>
    <xf numFmtId="0" fontId="7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4" fillId="0" borderId="0" xfId="0" applyFont="1"/>
    <xf numFmtId="10" fontId="0" fillId="31" borderId="1" xfId="3575" applyNumberFormat="1" applyFont="1" applyFill="1" applyBorder="1"/>
    <xf numFmtId="177" fontId="0" fillId="31" borderId="1" xfId="0" applyNumberFormat="1" applyFill="1" applyBorder="1"/>
    <xf numFmtId="177" fontId="0" fillId="0" borderId="0" xfId="3575" applyNumberFormat="1" applyFont="1"/>
    <xf numFmtId="178" fontId="55" fillId="32" borderId="1" xfId="0" applyNumberFormat="1" applyFont="1" applyFill="1" applyBorder="1"/>
    <xf numFmtId="38" fontId="23" fillId="4" borderId="1" xfId="3663" quotePrefix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0" fontId="50" fillId="0" borderId="1" xfId="0" applyFont="1" applyBorder="1" applyAlignment="1">
      <alignment vertical="center" wrapText="1"/>
    </xf>
    <xf numFmtId="0" fontId="5" fillId="0" borderId="1" xfId="3036" applyFont="1" applyBorder="1"/>
    <xf numFmtId="0" fontId="5" fillId="0" borderId="1" xfId="2978" applyFont="1" applyBorder="1"/>
    <xf numFmtId="178" fontId="0" fillId="4" borderId="0" xfId="0" applyNumberFormat="1" applyFill="1"/>
    <xf numFmtId="0" fontId="4" fillId="4" borderId="1" xfId="2978" applyFont="1" applyFill="1" applyBorder="1"/>
    <xf numFmtId="0" fontId="3" fillId="0" borderId="1" xfId="3036" applyFont="1" applyBorder="1"/>
    <xf numFmtId="0" fontId="3" fillId="0" borderId="1" xfId="2978" applyFont="1" applyBorder="1"/>
    <xf numFmtId="182" fontId="0" fillId="4" borderId="1" xfId="0" applyNumberFormat="1" applyFill="1" applyBorder="1"/>
    <xf numFmtId="177" fontId="0" fillId="0" borderId="1" xfId="0" applyNumberFormat="1" applyFill="1" applyBorder="1"/>
    <xf numFmtId="10" fontId="0" fillId="0" borderId="1" xfId="0" applyNumberFormat="1" applyFont="1" applyFill="1" applyBorder="1"/>
    <xf numFmtId="0" fontId="23" fillId="25" borderId="1" xfId="2" applyFont="1" applyFill="1" applyBorder="1" applyAlignment="1">
      <alignment vertical="center"/>
    </xf>
    <xf numFmtId="0" fontId="2" fillId="4" borderId="1" xfId="2978" applyFont="1" applyFill="1" applyBorder="1"/>
    <xf numFmtId="0" fontId="1" fillId="0" borderId="1" xfId="3036" applyFont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3ターン種族アニマルの攻撃力・防御力・回復力を大UP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未踏の轍跡 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unknown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heal</v>
          </cell>
          <cell r="L837" t="str">
            <v>回復タイプ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DropWizS</v>
          </cell>
          <cell r="K961" t="str">
            <v>technical</v>
          </cell>
          <cell r="L961" t="str">
            <v>テクニカルタイプ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PremiumSS</v>
          </cell>
          <cell r="K962" t="str">
            <v>balance</v>
          </cell>
          <cell r="L962" t="str">
            <v>バランスタイプ</v>
          </cell>
          <cell r="M962" t="str">
            <v>unknown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devil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CO05_EV01_R4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CO05_EV01_R5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CO05_Wiz01_R5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ti</v>
          </cell>
        </row>
        <row r="981">
          <cell r="A981">
            <v>980</v>
          </cell>
          <cell r="B981" t="str">
            <v>ja</v>
          </cell>
          <cell r="C981" t="str">
            <v>CO05_Wiz01_R6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ti</v>
          </cell>
        </row>
        <row r="982">
          <cell r="A982">
            <v>981</v>
          </cell>
          <cell r="B982" t="str">
            <v>ja</v>
          </cell>
          <cell r="C982" t="str">
            <v>CO05_EV02_R4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ti</v>
          </cell>
        </row>
        <row r="983">
          <cell r="A983">
            <v>982</v>
          </cell>
          <cell r="B983" t="str">
            <v>ja</v>
          </cell>
          <cell r="C983" t="str">
            <v>CO05_EV02_R5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ti</v>
          </cell>
        </row>
        <row r="984">
          <cell r="A984">
            <v>983</v>
          </cell>
          <cell r="B984" t="str">
            <v>ja</v>
          </cell>
          <cell r="C984" t="str">
            <v>CO05_EV03_R4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ti</v>
          </cell>
        </row>
        <row r="985">
          <cell r="A985">
            <v>984</v>
          </cell>
          <cell r="B985" t="str">
            <v>ja</v>
          </cell>
          <cell r="C985" t="str">
            <v>CO05_EV03_R5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ti</v>
          </cell>
        </row>
        <row r="986">
          <cell r="A986">
            <v>985</v>
          </cell>
          <cell r="B986" t="str">
            <v>ja</v>
          </cell>
          <cell r="C986" t="str">
            <v>CO05_ GA01_R5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CO05_ GA01_R6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CO05_ GA01_R6B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ti</v>
          </cell>
        </row>
        <row r="989">
          <cell r="A989">
            <v>988</v>
          </cell>
          <cell r="B989" t="str">
            <v>ja</v>
          </cell>
          <cell r="C989" t="str">
            <v>CO05_ GA02_R5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CO05_ GA02_R6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CO05_ GA03_R3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3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CO05_ GA03_R4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4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CO05_ GA04_R4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CO05_ GA04_R5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CO05_ GA05_R4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CO05_ GA05_R5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CO05_ GA06_R5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CO05_ GA06_R6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CO05_ GA07_R3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3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CO05_ GA07_R4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4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CO05_ GA08_R3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3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CO05_ GA08_R4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4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CO05_ GA09_R3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3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CO05_ GA09_R4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4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balance</v>
          </cell>
          <cell r="L1007" t="str">
            <v>バランスタイプ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balance</v>
          </cell>
          <cell r="L1008" t="str">
            <v>バランスタイプ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technical</v>
          </cell>
          <cell r="L1015" t="str">
            <v>テクニカルタイプ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technical</v>
          </cell>
          <cell r="L1016" t="str">
            <v>テクニカルタイプ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シュレディンガー_水着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red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フェンリル_水着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red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オイラー_水着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green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ケツァクアトル_水着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green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メビウス_水着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ルキフグス_水着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ファラデー_水着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yellow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バルドル_水着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yellow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麒麟_水着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yellow</v>
          </cell>
          <cell r="I1054">
            <v>5</v>
          </cell>
          <cell r="J1054" t="str">
            <v>DropWizSS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麒麟_水着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yellow</v>
          </cell>
          <cell r="I1055">
            <v>6</v>
          </cell>
          <cell r="J1055" t="str">
            <v>DropWizSS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god</v>
          </cell>
        </row>
        <row r="1057">
          <cell r="A1057">
            <v>1056</v>
          </cell>
          <cell r="B1057" t="str">
            <v>ja</v>
          </cell>
          <cell r="C1057" t="str">
            <v>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god</v>
          </cell>
        </row>
        <row r="1058">
          <cell r="A1058">
            <v>1057</v>
          </cell>
          <cell r="B1058" t="str">
            <v>ja</v>
          </cell>
          <cell r="C1058" t="str">
            <v>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god</v>
          </cell>
        </row>
        <row r="1059">
          <cell r="A1059">
            <v>1058</v>
          </cell>
          <cell r="B1059" t="str">
            <v>ja</v>
          </cell>
          <cell r="C1059" t="str">
            <v>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6001</v>
          </cell>
          <cell r="B1060" t="str">
            <v>ja</v>
          </cell>
          <cell r="C1060" t="str">
            <v>ジェリー</v>
          </cell>
          <cell r="D1060" t="str">
            <v>ノーマルクエスト</v>
          </cell>
          <cell r="E1060" t="str">
            <v>QoH</v>
          </cell>
          <cell r="F1060" t="str">
            <v>世界観</v>
          </cell>
          <cell r="G1060" t="str">
            <v>不明</v>
          </cell>
          <cell r="H1060" t="str">
            <v>red</v>
          </cell>
          <cell r="I1060">
            <v>1</v>
          </cell>
          <cell r="J1060" t="str">
            <v>Drop1T</v>
          </cell>
          <cell r="K1060" t="str">
            <v>ra</v>
          </cell>
          <cell r="L1060" t="str">
            <v>ラグランジュチャレンジ</v>
          </cell>
          <cell r="M1060" t="str">
            <v>unknown</v>
          </cell>
        </row>
        <row r="1061">
          <cell r="A1061">
            <v>6002</v>
          </cell>
          <cell r="B1061" t="str">
            <v>ja</v>
          </cell>
          <cell r="C1061" t="str">
            <v>ヨシタカ</v>
          </cell>
          <cell r="D1061" t="str">
            <v>ノーマルクエスト</v>
          </cell>
          <cell r="E1061" t="str">
            <v>アバター</v>
          </cell>
          <cell r="F1061" t="str">
            <v>世界観</v>
          </cell>
          <cell r="G1061" t="str">
            <v>男性</v>
          </cell>
          <cell r="H1061" t="str">
            <v>red</v>
          </cell>
          <cell r="I1061">
            <v>2</v>
          </cell>
          <cell r="J1061" t="str">
            <v>Drop1N</v>
          </cell>
          <cell r="K1061" t="str">
            <v>ra</v>
          </cell>
          <cell r="L1061" t="str">
            <v>ラグランジュチャレンジ</v>
          </cell>
          <cell r="M1061" t="str">
            <v>human</v>
          </cell>
        </row>
        <row r="1062">
          <cell r="A1062">
            <v>6003</v>
          </cell>
          <cell r="B1062" t="str">
            <v>ja</v>
          </cell>
          <cell r="C1062" t="str">
            <v>朱雀</v>
          </cell>
          <cell r="D1062" t="str">
            <v>リンクガチャ:4神</v>
          </cell>
          <cell r="E1062" t="str">
            <v>守護神</v>
          </cell>
          <cell r="F1062" t="str">
            <v>格好いい</v>
          </cell>
          <cell r="G1062" t="str">
            <v>不明</v>
          </cell>
          <cell r="H1062" t="str">
            <v>red</v>
          </cell>
          <cell r="I1062">
            <v>3</v>
          </cell>
          <cell r="J1062" t="str">
            <v>Drop2N</v>
          </cell>
          <cell r="K1062" t="str">
            <v>ra</v>
          </cell>
          <cell r="L1062" t="str">
            <v>ラグランジュチャレンジ</v>
          </cell>
          <cell r="M1062" t="str">
            <v>animal</v>
          </cell>
        </row>
        <row r="1063">
          <cell r="A1063">
            <v>6004</v>
          </cell>
          <cell r="B1063" t="str">
            <v>ja</v>
          </cell>
          <cell r="C1063" t="str">
            <v>ブレット</v>
          </cell>
          <cell r="D1063" t="str">
            <v>ノーマルクエスト</v>
          </cell>
          <cell r="E1063" t="str">
            <v>アバター</v>
          </cell>
          <cell r="F1063" t="str">
            <v>世界観</v>
          </cell>
          <cell r="G1063" t="str">
            <v>不明</v>
          </cell>
          <cell r="H1063" t="str">
            <v>red</v>
          </cell>
          <cell r="I1063">
            <v>1</v>
          </cell>
          <cell r="J1063" t="str">
            <v>Drop1W</v>
          </cell>
          <cell r="K1063" t="str">
            <v>ra</v>
          </cell>
          <cell r="L1063" t="str">
            <v>ラグランジュチャレンジ</v>
          </cell>
          <cell r="M1063" t="str">
            <v>animal</v>
          </cell>
        </row>
        <row r="1064">
          <cell r="A1064">
            <v>6005</v>
          </cell>
          <cell r="B1064" t="str">
            <v>ja</v>
          </cell>
          <cell r="C1064" t="str">
            <v>孤神 テティス</v>
          </cell>
          <cell r="D1064" t="str">
            <v>初期ガチャ</v>
          </cell>
          <cell r="E1064" t="str">
            <v>管理者</v>
          </cell>
          <cell r="F1064" t="str">
            <v>美しい</v>
          </cell>
          <cell r="G1064" t="str">
            <v>女性</v>
          </cell>
          <cell r="H1064" t="str">
            <v>blue</v>
          </cell>
          <cell r="I1064">
            <v>4</v>
          </cell>
          <cell r="J1064" t="str">
            <v>PremiumN</v>
          </cell>
          <cell r="K1064" t="str">
            <v>ra</v>
          </cell>
          <cell r="L1064" t="str">
            <v>ラグランジュチャレンジ</v>
          </cell>
          <cell r="M1064" t="str">
            <v>god</v>
          </cell>
        </row>
        <row r="1065">
          <cell r="A1065">
            <v>6006</v>
          </cell>
          <cell r="B1065" t="str">
            <v>ja</v>
          </cell>
          <cell r="C1065" t="str">
            <v>海底の孤高神 テティス</v>
          </cell>
          <cell r="D1065" t="str">
            <v>初期ガチャ</v>
          </cell>
          <cell r="E1065" t="str">
            <v>管理者</v>
          </cell>
          <cell r="F1065" t="str">
            <v>美しい</v>
          </cell>
          <cell r="G1065" t="str">
            <v>女性</v>
          </cell>
          <cell r="H1065" t="str">
            <v>blue</v>
          </cell>
          <cell r="I1065">
            <v>5</v>
          </cell>
          <cell r="J1065" t="str">
            <v>PremiumN</v>
          </cell>
          <cell r="K1065" t="str">
            <v>ra</v>
          </cell>
          <cell r="L1065" t="str">
            <v>ラグランジュチャレンジ</v>
          </cell>
          <cell r="M1065" t="str">
            <v>god</v>
          </cell>
        </row>
        <row r="1066">
          <cell r="A1066">
            <v>6007</v>
          </cell>
          <cell r="B1066" t="str">
            <v>ja</v>
          </cell>
          <cell r="C1066" t="str">
            <v>番犬 ケルベロス</v>
          </cell>
          <cell r="D1066" t="str">
            <v>初期ガチャ</v>
          </cell>
          <cell r="E1066" t="str">
            <v>破界者</v>
          </cell>
          <cell r="F1066" t="str">
            <v>可愛い</v>
          </cell>
          <cell r="G1066" t="str">
            <v>女性</v>
          </cell>
          <cell r="H1066" t="str">
            <v>red</v>
          </cell>
          <cell r="I1066">
            <v>4</v>
          </cell>
          <cell r="J1066" t="str">
            <v>PremiumN</v>
          </cell>
          <cell r="K1066" t="str">
            <v>ra</v>
          </cell>
          <cell r="L1066" t="str">
            <v>ラグランジュチャレンジ</v>
          </cell>
          <cell r="M1066" t="str">
            <v>animal</v>
          </cell>
        </row>
        <row r="1067">
          <cell r="A1067">
            <v>6008</v>
          </cell>
          <cell r="B1067" t="str">
            <v>ja</v>
          </cell>
          <cell r="C1067" t="str">
            <v>焔神 プロメテウス</v>
          </cell>
          <cell r="D1067" t="str">
            <v>初期ガチャ</v>
          </cell>
          <cell r="E1067" t="str">
            <v>管理者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4</v>
          </cell>
          <cell r="J1067" t="str">
            <v>PremiumN</v>
          </cell>
          <cell r="K1067" t="str">
            <v>ra</v>
          </cell>
          <cell r="L1067" t="str">
            <v>ラグランジュチャレンジ</v>
          </cell>
          <cell r="M1067" t="str">
            <v>god</v>
          </cell>
        </row>
        <row r="1068">
          <cell r="A1068">
            <v>6009</v>
          </cell>
          <cell r="B1068" t="str">
            <v>ja</v>
          </cell>
          <cell r="C1068" t="str">
            <v>超越自我 ラグランジュ</v>
          </cell>
          <cell r="D1068" t="str">
            <v>ガチャ:フィーバーフェス02</v>
          </cell>
          <cell r="E1068" t="str">
            <v>執行者</v>
          </cell>
          <cell r="F1068" t="str">
            <v>格好いい</v>
          </cell>
          <cell r="G1068" t="str">
            <v>女性</v>
          </cell>
          <cell r="H1068" t="str">
            <v>red</v>
          </cell>
          <cell r="I1068">
            <v>5</v>
          </cell>
          <cell r="J1068" t="str">
            <v>PremiumSSS</v>
          </cell>
          <cell r="K1068" t="str">
            <v>ra</v>
          </cell>
          <cell r="L1068" t="str">
            <v>ラグランジュチャレンジ</v>
          </cell>
          <cell r="M1068" t="str">
            <v>human</v>
          </cell>
        </row>
        <row r="1069">
          <cell r="A1069">
            <v>6010</v>
          </cell>
          <cell r="B1069" t="str">
            <v>ja</v>
          </cell>
          <cell r="C1069" t="str">
            <v>超越凌駕 ラグランジュ</v>
          </cell>
          <cell r="D1069" t="str">
            <v>ガチャ:フィーバーフェス02</v>
          </cell>
          <cell r="E1069" t="str">
            <v>執行者</v>
          </cell>
          <cell r="F1069" t="str">
            <v>格好いい</v>
          </cell>
          <cell r="G1069" t="str">
            <v>女性</v>
          </cell>
          <cell r="H1069" t="str">
            <v>red</v>
          </cell>
          <cell r="I1069">
            <v>6</v>
          </cell>
          <cell r="J1069" t="str">
            <v>PremiumSSS</v>
          </cell>
          <cell r="K1069" t="str">
            <v>ra</v>
          </cell>
          <cell r="L1069" t="str">
            <v>ラグランジュチャレンジ</v>
          </cell>
          <cell r="M1069" t="str">
            <v>human</v>
          </cell>
        </row>
        <row r="1070">
          <cell r="A1070">
            <v>6011</v>
          </cell>
          <cell r="B1070" t="str">
            <v>ja</v>
          </cell>
          <cell r="C1070" t="str">
            <v>パトドッグリーダー ポチ</v>
          </cell>
          <cell r="D1070" t="str">
            <v>ガチャ:フィーバーフェス02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blue</v>
          </cell>
          <cell r="I1070">
            <v>2</v>
          </cell>
          <cell r="J1070" t="str">
            <v>Drop1T</v>
          </cell>
          <cell r="K1070" t="str">
            <v>ra002</v>
          </cell>
          <cell r="L1070" t="str">
            <v>Uチャレンジ</v>
          </cell>
          <cell r="M1070" t="str">
            <v>unknown</v>
          </cell>
        </row>
        <row r="1071">
          <cell r="A1071">
            <v>6012</v>
          </cell>
          <cell r="B1071" t="str">
            <v>ja</v>
          </cell>
          <cell r="C1071" t="str">
            <v>ミミ</v>
          </cell>
          <cell r="D1071" t="str">
            <v>ガチャ:フィーバーフェス02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yellow</v>
          </cell>
          <cell r="I1071">
            <v>1</v>
          </cell>
          <cell r="J1071" t="str">
            <v>Drop1W</v>
          </cell>
          <cell r="K1071" t="str">
            <v>ra002</v>
          </cell>
          <cell r="L1071" t="str">
            <v>Uチャレンジ</v>
          </cell>
          <cell r="M1071" t="str">
            <v>animal</v>
          </cell>
        </row>
        <row r="1072">
          <cell r="A1072">
            <v>6013</v>
          </cell>
          <cell r="B1072" t="str">
            <v>ja</v>
          </cell>
          <cell r="C1072" t="str">
            <v>護衛機人 スケアクロウ</v>
          </cell>
          <cell r="D1072" t="str">
            <v>ガチャ:フィーバーフェス02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blue</v>
          </cell>
          <cell r="I1072">
            <v>2</v>
          </cell>
          <cell r="J1072" t="str">
            <v>Drop1N</v>
          </cell>
          <cell r="K1072" t="str">
            <v>ra002</v>
          </cell>
          <cell r="L1072" t="str">
            <v>Uチャレンジ</v>
          </cell>
          <cell r="M1072" t="str">
            <v>machine</v>
          </cell>
        </row>
        <row r="1073">
          <cell r="A1073">
            <v>6014</v>
          </cell>
          <cell r="B1073" t="str">
            <v>ja</v>
          </cell>
          <cell r="C1073" t="str">
            <v>月下の人狼 ローレンス</v>
          </cell>
          <cell r="D1073" t="str">
            <v>ガチャ:フィーバーフェス02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4</v>
          </cell>
          <cell r="J1073" t="str">
            <v>PremiumW</v>
          </cell>
          <cell r="K1073" t="str">
            <v>ra002</v>
          </cell>
          <cell r="L1073" t="str">
            <v>Uチャレンジ</v>
          </cell>
          <cell r="M1073" t="str">
            <v>animal</v>
          </cell>
        </row>
        <row r="1074">
          <cell r="A1074">
            <v>6015</v>
          </cell>
          <cell r="B1074" t="str">
            <v>ja</v>
          </cell>
          <cell r="C1074" t="str">
            <v>フレイヤ</v>
          </cell>
          <cell r="D1074" t="str">
            <v>ガチャ:フィーバーフェス02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4</v>
          </cell>
          <cell r="J1074" t="str">
            <v>PremiumSS</v>
          </cell>
          <cell r="K1074" t="str">
            <v>ra002</v>
          </cell>
          <cell r="L1074" t="str">
            <v>Uチャレンジ</v>
          </cell>
          <cell r="M1074" t="str">
            <v>animal</v>
          </cell>
        </row>
        <row r="1075">
          <cell r="A1075">
            <v>6016</v>
          </cell>
          <cell r="B1075" t="str">
            <v>ja</v>
          </cell>
          <cell r="C1075" t="str">
            <v>根原論理 ユークリッド</v>
          </cell>
          <cell r="D1075" t="str">
            <v>ガチャ:フィーバーフェス02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blue</v>
          </cell>
          <cell r="I1075">
            <v>5</v>
          </cell>
          <cell r="J1075" t="str">
            <v>PremiumSSS</v>
          </cell>
          <cell r="K1075" t="str">
            <v>ra002</v>
          </cell>
          <cell r="L1075" t="str">
            <v>Uチャレンジ</v>
          </cell>
          <cell r="M1075" t="str">
            <v>human</v>
          </cell>
        </row>
        <row r="1076">
          <cell r="A1076">
            <v>6017</v>
          </cell>
          <cell r="B1076" t="str">
            <v>ja</v>
          </cell>
          <cell r="C1076" t="str">
            <v>不朽の極論 ユークリッド</v>
          </cell>
          <cell r="D1076" t="str">
            <v>ガチャ:フィーバーフェス02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blue</v>
          </cell>
          <cell r="I1076">
            <v>6</v>
          </cell>
          <cell r="J1076" t="str">
            <v>PremiumSSS</v>
          </cell>
          <cell r="K1076" t="str">
            <v>ra002</v>
          </cell>
          <cell r="L1076" t="str">
            <v>Uチャレンジ</v>
          </cell>
          <cell r="M1076" t="str">
            <v>human</v>
          </cell>
        </row>
        <row r="1077">
          <cell r="A1077">
            <v>6018</v>
          </cell>
          <cell r="B1077" t="str">
            <v>ja</v>
          </cell>
          <cell r="C1077" t="str">
            <v>ハヅル</v>
          </cell>
          <cell r="D1077" t="str">
            <v>ガチャ:フィーバーフェス02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red</v>
          </cell>
          <cell r="I1077">
            <v>4</v>
          </cell>
          <cell r="J1077" t="str">
            <v>PremiumSS</v>
          </cell>
          <cell r="K1077" t="str">
            <v>ra002</v>
          </cell>
          <cell r="L1077" t="str">
            <v>Uチャレンジ</v>
          </cell>
          <cell r="M1077" t="str">
            <v>animal</v>
          </cell>
        </row>
        <row r="1078">
          <cell r="A1078">
            <v>6019</v>
          </cell>
          <cell r="B1078" t="str">
            <v>ja</v>
          </cell>
          <cell r="C1078" t="str">
            <v>天織羽鶴 ハヅル</v>
          </cell>
          <cell r="D1078" t="str">
            <v>ガチャ:フィーバーフェス02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red</v>
          </cell>
          <cell r="I1078">
            <v>5</v>
          </cell>
          <cell r="J1078" t="str">
            <v>PremiumSS</v>
          </cell>
          <cell r="K1078" t="str">
            <v>ra002</v>
          </cell>
          <cell r="L1078" t="str">
            <v>Uチャレンジ</v>
          </cell>
          <cell r="M1078" t="str">
            <v>animal</v>
          </cell>
        </row>
        <row r="1079">
          <cell r="A1079">
            <v>6020</v>
          </cell>
          <cell r="B1079" t="str">
            <v>ja</v>
          </cell>
          <cell r="C1079" t="str">
            <v>ミズチ</v>
          </cell>
          <cell r="D1079" t="str">
            <v>ガチャ:フィーバーフェス02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blue</v>
          </cell>
          <cell r="I1079">
            <v>4</v>
          </cell>
          <cell r="J1079" t="str">
            <v>PremiumS</v>
          </cell>
          <cell r="K1079" t="str">
            <v>ra002</v>
          </cell>
          <cell r="L1079" t="str">
            <v>Uチャレンジ</v>
          </cell>
          <cell r="M1079" t="str">
            <v>dragon</v>
          </cell>
        </row>
        <row r="1080">
          <cell r="A1080">
            <v>8001</v>
          </cell>
          <cell r="B1080" t="str">
            <v>ja</v>
          </cell>
          <cell r="C1080" t="str">
            <v>媽祖</v>
          </cell>
          <cell r="D1080" t="str">
            <v>イベント:ミクコラボ01</v>
          </cell>
          <cell r="E1080" t="str">
            <v>執行者</v>
          </cell>
          <cell r="F1080" t="str">
            <v>格好いい</v>
          </cell>
          <cell r="G1080" t="str">
            <v>女性</v>
          </cell>
          <cell r="H1080" t="str">
            <v>yellow</v>
          </cell>
          <cell r="I1080">
            <v>5</v>
          </cell>
          <cell r="J1080" t="str">
            <v>PremiumSS</v>
          </cell>
          <cell r="K1080" t="str">
            <v>attack</v>
          </cell>
          <cell r="L1080" t="str">
            <v>攻撃タイプ</v>
          </cell>
          <cell r="M1080" t="str">
            <v>god</v>
          </cell>
        </row>
        <row r="1081">
          <cell r="A1081">
            <v>8002</v>
          </cell>
          <cell r="B1081" t="str">
            <v>ja</v>
          </cell>
          <cell r="C1081" t="str">
            <v>天后 媽祖</v>
          </cell>
          <cell r="D1081" t="str">
            <v>イベント:ミクコラボ01</v>
          </cell>
          <cell r="E1081" t="str">
            <v>執行者</v>
          </cell>
          <cell r="F1081" t="str">
            <v>格好いい</v>
          </cell>
          <cell r="G1081" t="str">
            <v>女性</v>
          </cell>
          <cell r="H1081" t="str">
            <v>yellow</v>
          </cell>
          <cell r="I1081">
            <v>6</v>
          </cell>
          <cell r="J1081" t="str">
            <v>PremiumSS</v>
          </cell>
          <cell r="K1081" t="str">
            <v>attack</v>
          </cell>
          <cell r="L1081" t="str">
            <v>攻撃タイプ</v>
          </cell>
          <cell r="M1081" t="str">
            <v>god</v>
          </cell>
        </row>
        <row r="1082">
          <cell r="A1082">
            <v>8003</v>
          </cell>
          <cell r="B1082" t="str">
            <v>ja</v>
          </cell>
          <cell r="C1082" t="str">
            <v>蛟龍</v>
          </cell>
          <cell r="D1082" t="str">
            <v>イベント:ミクコラボ01</v>
          </cell>
          <cell r="E1082" t="str">
            <v>執行者</v>
          </cell>
          <cell r="F1082" t="str">
            <v>格好いい</v>
          </cell>
          <cell r="G1082" t="str">
            <v>不明</v>
          </cell>
          <cell r="H1082" t="str">
            <v>blue</v>
          </cell>
          <cell r="I1082">
            <v>5</v>
          </cell>
          <cell r="J1082" t="str">
            <v>DropWizS</v>
          </cell>
          <cell r="K1082" t="str">
            <v>hp</v>
          </cell>
          <cell r="L1082" t="str">
            <v>体力タイプ</v>
          </cell>
          <cell r="M1082" t="str">
            <v>dragon</v>
          </cell>
        </row>
        <row r="1083">
          <cell r="A1083">
            <v>8004</v>
          </cell>
          <cell r="B1083" t="str">
            <v>ja</v>
          </cell>
          <cell r="C1083" t="str">
            <v>深海蛟龍怪‧晏公</v>
          </cell>
          <cell r="D1083" t="str">
            <v>イベント:ミクコラボ01</v>
          </cell>
          <cell r="E1083" t="str">
            <v>執行者</v>
          </cell>
          <cell r="F1083" t="str">
            <v>格好いい</v>
          </cell>
          <cell r="G1083" t="str">
            <v>不明</v>
          </cell>
          <cell r="H1083" t="str">
            <v>blue</v>
          </cell>
          <cell r="I1083">
            <v>6</v>
          </cell>
          <cell r="J1083" t="str">
            <v>DropWizS</v>
          </cell>
          <cell r="K1083" t="str">
            <v>hp</v>
          </cell>
          <cell r="L1083" t="str">
            <v>体力タイプ</v>
          </cell>
          <cell r="M1083" t="str">
            <v>dragon</v>
          </cell>
        </row>
        <row r="1084">
          <cell r="A1084">
            <v>8005</v>
          </cell>
          <cell r="B1084" t="str">
            <v>ja</v>
          </cell>
          <cell r="C1084" t="str">
            <v>三蔵法師</v>
          </cell>
          <cell r="D1084" t="str">
            <v>イベント:ミクコラボ01</v>
          </cell>
          <cell r="E1084" t="str">
            <v>執行者</v>
          </cell>
          <cell r="F1084" t="str">
            <v>格好いい</v>
          </cell>
          <cell r="G1084" t="str">
            <v>不明</v>
          </cell>
          <cell r="H1084" t="str">
            <v>blue</v>
          </cell>
          <cell r="I1084">
            <v>5</v>
          </cell>
          <cell r="J1084" t="str">
            <v>PremiumSS</v>
          </cell>
          <cell r="K1084" t="str">
            <v>balance</v>
          </cell>
          <cell r="L1084" t="str">
            <v>バランスタイプ</v>
          </cell>
          <cell r="M1084" t="str">
            <v>human</v>
          </cell>
        </row>
        <row r="1085">
          <cell r="A1085">
            <v>8006</v>
          </cell>
          <cell r="B1085" t="str">
            <v>ja</v>
          </cell>
          <cell r="C1085" t="str">
            <v>三蔵法師</v>
          </cell>
          <cell r="D1085" t="str">
            <v>イベント:ミクコラボ01</v>
          </cell>
          <cell r="E1085" t="str">
            <v>執行者</v>
          </cell>
          <cell r="F1085" t="str">
            <v>格好いい</v>
          </cell>
          <cell r="G1085" t="str">
            <v>不明</v>
          </cell>
          <cell r="H1085" t="str">
            <v>blue</v>
          </cell>
          <cell r="I1085">
            <v>6</v>
          </cell>
          <cell r="J1085" t="str">
            <v>PremiumSS</v>
          </cell>
          <cell r="K1085" t="str">
            <v>balance</v>
          </cell>
          <cell r="L1085" t="str">
            <v>バランスタイプ</v>
          </cell>
          <cell r="M1085" t="str">
            <v>human</v>
          </cell>
        </row>
        <row r="1086">
          <cell r="A1086">
            <v>8007</v>
          </cell>
          <cell r="B1086" t="str">
            <v>ja</v>
          </cell>
          <cell r="C1086" t="str">
            <v>孫悟空</v>
          </cell>
          <cell r="D1086" t="str">
            <v>イベント:ミクコラボ01</v>
          </cell>
          <cell r="E1086" t="str">
            <v>執行者</v>
          </cell>
          <cell r="F1086" t="str">
            <v>格好いい</v>
          </cell>
          <cell r="G1086" t="str">
            <v>不明</v>
          </cell>
          <cell r="H1086" t="str">
            <v>red</v>
          </cell>
          <cell r="I1086">
            <v>5</v>
          </cell>
          <cell r="J1086" t="str">
            <v>DropWizS</v>
          </cell>
          <cell r="K1086" t="str">
            <v>attack</v>
          </cell>
          <cell r="L1086" t="str">
            <v>攻撃タイプ</v>
          </cell>
          <cell r="M1086" t="str">
            <v>animal</v>
          </cell>
        </row>
        <row r="1087">
          <cell r="A1087">
            <v>8008</v>
          </cell>
          <cell r="B1087" t="str">
            <v>ja</v>
          </cell>
          <cell r="C1087" t="str">
            <v>孫悟空</v>
          </cell>
          <cell r="D1087" t="str">
            <v>イベント:ミクコラボ01</v>
          </cell>
          <cell r="E1087" t="str">
            <v>執行者</v>
          </cell>
          <cell r="F1087" t="str">
            <v>格好いい</v>
          </cell>
          <cell r="G1087" t="str">
            <v>不明</v>
          </cell>
          <cell r="H1087" t="str">
            <v>red</v>
          </cell>
          <cell r="I1087">
            <v>6</v>
          </cell>
          <cell r="J1087" t="str">
            <v>DropWizS</v>
          </cell>
          <cell r="K1087" t="str">
            <v>attack</v>
          </cell>
          <cell r="L1087" t="str">
            <v>攻撃タイプ</v>
          </cell>
          <cell r="M1087" t="str">
            <v>animal</v>
          </cell>
        </row>
        <row r="1088">
          <cell r="A1088">
            <v>8009</v>
          </cell>
          <cell r="B1088" t="str">
            <v>ja</v>
          </cell>
          <cell r="C1088" t="str">
            <v>七星娘娘</v>
          </cell>
          <cell r="D1088" t="str">
            <v>イベント:ミクコラボ01</v>
          </cell>
          <cell r="E1088" t="str">
            <v>執行者</v>
          </cell>
          <cell r="F1088" t="str">
            <v>格好いい</v>
          </cell>
          <cell r="G1088" t="str">
            <v>不明</v>
          </cell>
          <cell r="H1088" t="str">
            <v>blue</v>
          </cell>
          <cell r="I1088">
            <v>5</v>
          </cell>
          <cell r="J1088" t="str">
            <v>PremiumSS</v>
          </cell>
          <cell r="K1088" t="str">
            <v>balance</v>
          </cell>
          <cell r="L1088" t="str">
            <v>バランスタイプ</v>
          </cell>
          <cell r="M1088" t="str">
            <v>god</v>
          </cell>
        </row>
        <row r="1089">
          <cell r="A1089">
            <v>8010</v>
          </cell>
          <cell r="B1089" t="str">
            <v>ja</v>
          </cell>
          <cell r="C1089" t="str">
            <v>七星娘娘</v>
          </cell>
          <cell r="D1089" t="str">
            <v>イベント:ミクコラボ01</v>
          </cell>
          <cell r="E1089" t="str">
            <v>執行者</v>
          </cell>
          <cell r="F1089" t="str">
            <v>格好いい</v>
          </cell>
          <cell r="G1089" t="str">
            <v>不明</v>
          </cell>
          <cell r="H1089" t="str">
            <v>yellow</v>
          </cell>
          <cell r="I1089">
            <v>6</v>
          </cell>
          <cell r="J1089" t="str">
            <v>PremiumSS</v>
          </cell>
          <cell r="K1089" t="str">
            <v>attack</v>
          </cell>
          <cell r="L1089" t="str">
            <v>攻撃タイプ</v>
          </cell>
          <cell r="M1089" t="str">
            <v>god</v>
          </cell>
        </row>
        <row r="1090">
          <cell r="A1090">
            <v>8011</v>
          </cell>
          <cell r="B1090" t="str">
            <v>ja</v>
          </cell>
          <cell r="C1090" t="str">
            <v>月下老人</v>
          </cell>
          <cell r="D1090" t="str">
            <v>イベント:ミクコラボ01</v>
          </cell>
          <cell r="E1090" t="str">
            <v>執行者</v>
          </cell>
          <cell r="F1090" t="str">
            <v>格好いい</v>
          </cell>
          <cell r="G1090" t="str">
            <v>女性</v>
          </cell>
          <cell r="H1090" t="str">
            <v>green</v>
          </cell>
          <cell r="I1090">
            <v>5</v>
          </cell>
          <cell r="J1090" t="str">
            <v>DropWizS</v>
          </cell>
          <cell r="K1090" t="str">
            <v>heal</v>
          </cell>
          <cell r="L1090" t="str">
            <v>回復タイプ</v>
          </cell>
          <cell r="M1090" t="str">
            <v>god</v>
          </cell>
        </row>
        <row r="1091">
          <cell r="A1091">
            <v>8012</v>
          </cell>
          <cell r="B1091" t="str">
            <v>ja</v>
          </cell>
          <cell r="C1091" t="str">
            <v>良緣祈福 月下老人</v>
          </cell>
          <cell r="D1091" t="str">
            <v>イベント:ミクコラボ01</v>
          </cell>
          <cell r="E1091" t="str">
            <v>執行者</v>
          </cell>
          <cell r="F1091" t="str">
            <v>格好いい</v>
          </cell>
          <cell r="G1091" t="str">
            <v>女性</v>
          </cell>
          <cell r="H1091" t="str">
            <v>yellow</v>
          </cell>
          <cell r="I1091">
            <v>6</v>
          </cell>
          <cell r="J1091" t="str">
            <v>DropWizS</v>
          </cell>
          <cell r="K1091" t="str">
            <v>heal</v>
          </cell>
          <cell r="L1091" t="str">
            <v>回復タイプ</v>
          </cell>
          <cell r="M1091" t="str">
            <v>god</v>
          </cell>
        </row>
        <row r="1092">
          <cell r="A1092">
            <v>8013</v>
          </cell>
          <cell r="B1092" t="str">
            <v>ja</v>
          </cell>
          <cell r="C1092" t="str">
            <v>CO04_Wiz01_R5</v>
          </cell>
          <cell r="D1092" t="str">
            <v>初音ミクV3</v>
          </cell>
          <cell r="E1092" t="str">
            <v>執行者</v>
          </cell>
          <cell r="F1092" t="str">
            <v>格好いい</v>
          </cell>
          <cell r="G1092" t="str">
            <v>女性</v>
          </cell>
          <cell r="H1092" t="str">
            <v>yellow</v>
          </cell>
          <cell r="I1092">
            <v>5</v>
          </cell>
          <cell r="J1092" t="str">
            <v>DropWizS</v>
          </cell>
          <cell r="K1092" t="str">
            <v>balance</v>
          </cell>
          <cell r="L1092" t="str">
            <v>バランスタイプ</v>
          </cell>
          <cell r="M1092" t="str">
            <v>unknown</v>
          </cell>
        </row>
        <row r="1093">
          <cell r="A1093">
            <v>8014</v>
          </cell>
          <cell r="B1093" t="str">
            <v>ja</v>
          </cell>
          <cell r="C1093" t="str">
            <v>CO04_Wiz01_R6</v>
          </cell>
          <cell r="D1093" t="str">
            <v>初音ミクV3</v>
          </cell>
          <cell r="E1093" t="str">
            <v>執行者</v>
          </cell>
          <cell r="F1093" t="str">
            <v>格好いい</v>
          </cell>
          <cell r="G1093" t="str">
            <v>女性</v>
          </cell>
          <cell r="H1093" t="str">
            <v>yellow</v>
          </cell>
          <cell r="I1093">
            <v>6</v>
          </cell>
          <cell r="J1093" t="str">
            <v>DropWizS</v>
          </cell>
          <cell r="K1093" t="str">
            <v>balance</v>
          </cell>
          <cell r="L1093" t="str">
            <v>バランスタイプ</v>
          </cell>
          <cell r="M1093" t="str">
            <v>unknown</v>
          </cell>
        </row>
        <row r="1094">
          <cell r="A1094">
            <v>8015</v>
          </cell>
          <cell r="B1094" t="str">
            <v>ja</v>
          </cell>
          <cell r="C1094" t="str">
            <v>CO04_ GA01_R5</v>
          </cell>
          <cell r="D1094" t="str">
            <v>初音ミク・アペンド</v>
          </cell>
          <cell r="E1094" t="str">
            <v>執行者</v>
          </cell>
          <cell r="F1094" t="str">
            <v>格好いい</v>
          </cell>
          <cell r="G1094" t="str">
            <v>女性</v>
          </cell>
          <cell r="H1094" t="str">
            <v>green</v>
          </cell>
          <cell r="I1094">
            <v>5</v>
          </cell>
          <cell r="J1094" t="str">
            <v>PremiumSSS</v>
          </cell>
          <cell r="K1094" t="str">
            <v>technical</v>
          </cell>
          <cell r="L1094" t="str">
            <v>テクニカルタイプ</v>
          </cell>
          <cell r="M1094" t="str">
            <v>unknown</v>
          </cell>
        </row>
        <row r="1095">
          <cell r="A1095">
            <v>8016</v>
          </cell>
          <cell r="B1095" t="str">
            <v>ja</v>
          </cell>
          <cell r="C1095" t="str">
            <v>CO04_ GA01_R6</v>
          </cell>
          <cell r="D1095" t="str">
            <v>初音ミク・アペンド</v>
          </cell>
          <cell r="E1095" t="str">
            <v>執行者</v>
          </cell>
          <cell r="F1095" t="str">
            <v>格好いい</v>
          </cell>
          <cell r="G1095" t="str">
            <v>女性</v>
          </cell>
          <cell r="H1095" t="str">
            <v>green</v>
          </cell>
          <cell r="I1095">
            <v>6</v>
          </cell>
          <cell r="J1095" t="str">
            <v>PremiumSSS</v>
          </cell>
          <cell r="K1095" t="str">
            <v>technical</v>
          </cell>
          <cell r="L1095" t="str">
            <v>テクニカルタイプ</v>
          </cell>
          <cell r="M1095" t="str">
            <v>unknown</v>
          </cell>
        </row>
        <row r="1096">
          <cell r="A1096">
            <v>8017</v>
          </cell>
          <cell r="B1096" t="str">
            <v>ja</v>
          </cell>
          <cell r="C1096" t="str">
            <v>CO04_ GA02_R5</v>
          </cell>
          <cell r="D1096" t="str">
            <v>初音ミク</v>
          </cell>
          <cell r="E1096" t="str">
            <v>執行者</v>
          </cell>
          <cell r="F1096" t="str">
            <v>格好いい</v>
          </cell>
          <cell r="G1096" t="str">
            <v>女性</v>
          </cell>
          <cell r="H1096" t="str">
            <v>green</v>
          </cell>
          <cell r="I1096">
            <v>5</v>
          </cell>
          <cell r="J1096" t="str">
            <v>PremiumSSS</v>
          </cell>
          <cell r="K1096" t="str">
            <v>balance</v>
          </cell>
          <cell r="L1096" t="str">
            <v>バランスタイプ</v>
          </cell>
          <cell r="M1096" t="str">
            <v>unknown</v>
          </cell>
        </row>
        <row r="1097">
          <cell r="A1097">
            <v>8018</v>
          </cell>
          <cell r="B1097" t="str">
            <v>ja</v>
          </cell>
          <cell r="C1097" t="str">
            <v>CO04_ GA02_R6</v>
          </cell>
          <cell r="D1097" t="str">
            <v>初音ミク</v>
          </cell>
          <cell r="E1097" t="str">
            <v>執行者</v>
          </cell>
          <cell r="F1097" t="str">
            <v>格好いい</v>
          </cell>
          <cell r="G1097" t="str">
            <v>女性</v>
          </cell>
          <cell r="H1097" t="str">
            <v>green</v>
          </cell>
          <cell r="I1097">
            <v>6</v>
          </cell>
          <cell r="J1097" t="str">
            <v>PremiumSSS</v>
          </cell>
          <cell r="K1097" t="str">
            <v>balance</v>
          </cell>
          <cell r="L1097" t="str">
            <v>バランスタイプ</v>
          </cell>
          <cell r="M1097" t="str">
            <v>unknown</v>
          </cell>
        </row>
        <row r="1098">
          <cell r="A1098">
            <v>8019</v>
          </cell>
          <cell r="B1098" t="str">
            <v>ja</v>
          </cell>
          <cell r="C1098" t="str">
            <v>CO04_ GA03_R4</v>
          </cell>
          <cell r="D1098" t="str">
            <v>鏡音リン</v>
          </cell>
          <cell r="E1098" t="str">
            <v>執行者</v>
          </cell>
          <cell r="F1098" t="str">
            <v>格好いい</v>
          </cell>
          <cell r="G1098" t="str">
            <v>男性</v>
          </cell>
          <cell r="H1098" t="str">
            <v>yellow</v>
          </cell>
          <cell r="I1098">
            <v>4</v>
          </cell>
          <cell r="J1098" t="str">
            <v>PremiumSS</v>
          </cell>
          <cell r="K1098" t="str">
            <v>balance</v>
          </cell>
          <cell r="L1098" t="str">
            <v>バランスタイプ</v>
          </cell>
          <cell r="M1098" t="str">
            <v>unknown</v>
          </cell>
        </row>
        <row r="1099">
          <cell r="A1099">
            <v>8020</v>
          </cell>
          <cell r="B1099" t="str">
            <v>ja</v>
          </cell>
          <cell r="C1099" t="str">
            <v>CO04_ GA03_R5</v>
          </cell>
          <cell r="D1099" t="str">
            <v>鏡音リン</v>
          </cell>
          <cell r="E1099" t="str">
            <v>執行者</v>
          </cell>
          <cell r="F1099" t="str">
            <v>格好いい</v>
          </cell>
          <cell r="G1099" t="str">
            <v>男性</v>
          </cell>
          <cell r="H1099" t="str">
            <v>yellow</v>
          </cell>
          <cell r="I1099">
            <v>5</v>
          </cell>
          <cell r="J1099" t="str">
            <v>PremiumSS</v>
          </cell>
          <cell r="K1099" t="str">
            <v>balance</v>
          </cell>
          <cell r="L1099" t="str">
            <v>バランスタイプ</v>
          </cell>
          <cell r="M1099" t="str">
            <v>unknown</v>
          </cell>
        </row>
        <row r="1100">
          <cell r="A1100">
            <v>8021</v>
          </cell>
          <cell r="B1100" t="str">
            <v>ja</v>
          </cell>
          <cell r="C1100" t="str">
            <v>CO04_ GA04_R4</v>
          </cell>
          <cell r="D1100" t="str">
            <v>鏡音レン</v>
          </cell>
          <cell r="E1100" t="str">
            <v>執行者</v>
          </cell>
          <cell r="F1100" t="str">
            <v>格好いい</v>
          </cell>
          <cell r="G1100" t="str">
            <v>女性</v>
          </cell>
          <cell r="H1100" t="str">
            <v>yellow</v>
          </cell>
          <cell r="I1100">
            <v>4</v>
          </cell>
          <cell r="J1100" t="str">
            <v>PremiumSS</v>
          </cell>
          <cell r="K1100" t="str">
            <v>heal</v>
          </cell>
          <cell r="L1100" t="str">
            <v>回復タイプ</v>
          </cell>
          <cell r="M1100" t="str">
            <v>unknown</v>
          </cell>
        </row>
        <row r="1101">
          <cell r="A1101">
            <v>8022</v>
          </cell>
          <cell r="B1101" t="str">
            <v>ja</v>
          </cell>
          <cell r="C1101" t="str">
            <v>CO04_ GA04_R5</v>
          </cell>
          <cell r="D1101" t="str">
            <v>鏡音レン</v>
          </cell>
          <cell r="E1101" t="str">
            <v>執行者</v>
          </cell>
          <cell r="F1101" t="str">
            <v>格好いい</v>
          </cell>
          <cell r="G1101" t="str">
            <v>女性</v>
          </cell>
          <cell r="H1101" t="str">
            <v>yellow</v>
          </cell>
          <cell r="I1101">
            <v>5</v>
          </cell>
          <cell r="J1101" t="str">
            <v>PremiumSS</v>
          </cell>
          <cell r="K1101" t="str">
            <v>heal</v>
          </cell>
          <cell r="L1101" t="str">
            <v>回復タイプ</v>
          </cell>
          <cell r="M1101" t="str">
            <v>unknown</v>
          </cell>
        </row>
        <row r="1102">
          <cell r="A1102">
            <v>8023</v>
          </cell>
          <cell r="B1102" t="str">
            <v>ja</v>
          </cell>
          <cell r="C1102" t="str">
            <v>CO04_ GA05_R3</v>
          </cell>
          <cell r="D1102" t="str">
            <v>巡音ルカ</v>
          </cell>
          <cell r="E1102" t="str">
            <v>執行者</v>
          </cell>
          <cell r="F1102" t="str">
            <v>格好いい</v>
          </cell>
          <cell r="G1102" t="str">
            <v>女性</v>
          </cell>
          <cell r="H1102" t="str">
            <v>red</v>
          </cell>
          <cell r="I1102">
            <v>3</v>
          </cell>
          <cell r="J1102" t="str">
            <v>PremiumS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8024</v>
          </cell>
          <cell r="B1103" t="str">
            <v>ja</v>
          </cell>
          <cell r="C1103" t="str">
            <v>CO04_ GA05_R4</v>
          </cell>
          <cell r="D1103" t="str">
            <v>巡音ルカ</v>
          </cell>
          <cell r="E1103" t="str">
            <v>執行者</v>
          </cell>
          <cell r="F1103" t="str">
            <v>格好いい</v>
          </cell>
          <cell r="G1103" t="str">
            <v>女性</v>
          </cell>
          <cell r="H1103" t="str">
            <v>red</v>
          </cell>
          <cell r="I1103">
            <v>4</v>
          </cell>
          <cell r="J1103" t="str">
            <v>PremiumS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8025</v>
          </cell>
          <cell r="B1104" t="str">
            <v>ja</v>
          </cell>
          <cell r="C1104" t="str">
            <v>CO04_ GA06_R3</v>
          </cell>
          <cell r="D1104" t="str">
            <v>MEIKO</v>
          </cell>
          <cell r="E1104" t="str">
            <v>執行者</v>
          </cell>
          <cell r="F1104" t="str">
            <v>格好いい</v>
          </cell>
          <cell r="G1104" t="str">
            <v>男性</v>
          </cell>
          <cell r="H1104" t="str">
            <v>red</v>
          </cell>
          <cell r="I1104">
            <v>3</v>
          </cell>
          <cell r="J1104" t="str">
            <v>PremiumS</v>
          </cell>
          <cell r="K1104" t="str">
            <v>hp</v>
          </cell>
          <cell r="L1104" t="str">
            <v>体力タイプ</v>
          </cell>
          <cell r="M1104" t="str">
            <v>unknown</v>
          </cell>
        </row>
        <row r="1105">
          <cell r="A1105">
            <v>8026</v>
          </cell>
          <cell r="B1105" t="str">
            <v>ja</v>
          </cell>
          <cell r="C1105" t="str">
            <v>CO04_ GA06_R4</v>
          </cell>
          <cell r="D1105" t="str">
            <v>MEIKO</v>
          </cell>
          <cell r="E1105" t="str">
            <v>執行者</v>
          </cell>
          <cell r="F1105" t="str">
            <v>格好いい</v>
          </cell>
          <cell r="G1105" t="str">
            <v>男性</v>
          </cell>
          <cell r="H1105" t="str">
            <v>red</v>
          </cell>
          <cell r="I1105">
            <v>4</v>
          </cell>
          <cell r="J1105" t="str">
            <v>PremiumS</v>
          </cell>
          <cell r="K1105" t="str">
            <v>hp</v>
          </cell>
          <cell r="L1105" t="str">
            <v>体力タイプ</v>
          </cell>
          <cell r="M1105" t="str">
            <v>unknown</v>
          </cell>
        </row>
        <row r="1106">
          <cell r="A1106">
            <v>8027</v>
          </cell>
          <cell r="B1106" t="str">
            <v>ja</v>
          </cell>
          <cell r="C1106" t="str">
            <v>CO04_ GA07_R3</v>
          </cell>
          <cell r="D1106" t="str">
            <v>KAITO</v>
          </cell>
          <cell r="E1106" t="str">
            <v>執行者</v>
          </cell>
          <cell r="F1106" t="str">
            <v>格好いい</v>
          </cell>
          <cell r="G1106" t="str">
            <v>女性</v>
          </cell>
          <cell r="H1106" t="str">
            <v>blue</v>
          </cell>
          <cell r="I1106">
            <v>3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unknown</v>
          </cell>
        </row>
        <row r="1107">
          <cell r="A1107">
            <v>8028</v>
          </cell>
          <cell r="B1107" t="str">
            <v>ja</v>
          </cell>
          <cell r="C1107" t="str">
            <v>CO04_ GA07_R4</v>
          </cell>
          <cell r="D1107" t="str">
            <v>KAITO</v>
          </cell>
          <cell r="E1107" t="str">
            <v>執行者</v>
          </cell>
          <cell r="F1107" t="str">
            <v>格好いい</v>
          </cell>
          <cell r="G1107" t="str">
            <v>女性</v>
          </cell>
          <cell r="H1107" t="str">
            <v>blue</v>
          </cell>
          <cell r="I1107">
            <v>4</v>
          </cell>
          <cell r="J1107" t="str">
            <v>PremiumS</v>
          </cell>
          <cell r="K1107" t="str">
            <v>technical</v>
          </cell>
          <cell r="L1107" t="str">
            <v>テクニカルタイプ</v>
          </cell>
          <cell r="M1107" t="str">
            <v>unknown</v>
          </cell>
        </row>
        <row r="1108">
          <cell r="A1108">
            <v>8029</v>
          </cell>
          <cell r="B1108" t="str">
            <v>ja</v>
          </cell>
          <cell r="C1108" t="str">
            <v>CO04_ EV01_R4</v>
          </cell>
          <cell r="D1108" t="str">
            <v>Expoミク</v>
          </cell>
          <cell r="E1108" t="str">
            <v>執行者</v>
          </cell>
          <cell r="F1108" t="str">
            <v>格好いい</v>
          </cell>
          <cell r="G1108" t="str">
            <v>女性</v>
          </cell>
          <cell r="H1108" t="str">
            <v>blue</v>
          </cell>
          <cell r="I1108">
            <v>4</v>
          </cell>
          <cell r="J1108" t="str">
            <v>Drop2N</v>
          </cell>
          <cell r="K1108" t="str">
            <v>heal</v>
          </cell>
          <cell r="L1108" t="str">
            <v>回復タイプ</v>
          </cell>
          <cell r="M1108" t="str">
            <v>unknown</v>
          </cell>
        </row>
        <row r="1109">
          <cell r="A1109">
            <v>8030</v>
          </cell>
          <cell r="B1109" t="str">
            <v>ja</v>
          </cell>
          <cell r="C1109" t="str">
            <v>CO04_ EV02_R5</v>
          </cell>
          <cell r="D1109" t="str">
            <v>Expoミク</v>
          </cell>
          <cell r="E1109" t="str">
            <v>執行者</v>
          </cell>
          <cell r="F1109" t="str">
            <v>格好いい</v>
          </cell>
          <cell r="G1109" t="str">
            <v>女性</v>
          </cell>
          <cell r="H1109" t="str">
            <v>blue</v>
          </cell>
          <cell r="I1109">
            <v>5</v>
          </cell>
          <cell r="J1109" t="str">
            <v>Drop2N</v>
          </cell>
          <cell r="K1109" t="str">
            <v>heal</v>
          </cell>
          <cell r="L1109" t="str">
            <v>回復タイプ</v>
          </cell>
          <cell r="M110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62" customWidth="1"/>
    <col min="2" max="16384" width="13" style="62"/>
  </cols>
  <sheetData>
    <row r="1" spans="1:13" x14ac:dyDescent="0.15">
      <c r="A1" s="62" t="s">
        <v>105</v>
      </c>
      <c r="B1" s="62" t="s">
        <v>106</v>
      </c>
    </row>
    <row r="2" spans="1:13" x14ac:dyDescent="0.15">
      <c r="A2" s="62" t="s">
        <v>107</v>
      </c>
      <c r="B2" s="62" t="s">
        <v>108</v>
      </c>
      <c r="C2" s="62" t="s">
        <v>109</v>
      </c>
      <c r="D2" s="62" t="s">
        <v>110</v>
      </c>
      <c r="E2" s="62" t="s">
        <v>111</v>
      </c>
      <c r="F2" s="62" t="s">
        <v>112</v>
      </c>
      <c r="G2" s="62" t="s">
        <v>113</v>
      </c>
      <c r="H2" s="62" t="s">
        <v>114</v>
      </c>
    </row>
    <row r="3" spans="1:13" x14ac:dyDescent="0.15">
      <c r="A3" s="62">
        <v>3</v>
      </c>
      <c r="B3" s="63" t="s">
        <v>115</v>
      </c>
      <c r="C3" s="63" t="s">
        <v>116</v>
      </c>
      <c r="D3" s="62">
        <v>0</v>
      </c>
      <c r="E3" s="63" t="s">
        <v>117</v>
      </c>
      <c r="F3" s="62">
        <v>0</v>
      </c>
      <c r="G3" s="62">
        <v>0</v>
      </c>
      <c r="H3" s="64">
        <v>0.5</v>
      </c>
    </row>
    <row r="4" spans="1:13" x14ac:dyDescent="0.15">
      <c r="A4" s="62">
        <v>4</v>
      </c>
      <c r="B4" s="63" t="s">
        <v>118</v>
      </c>
      <c r="C4" s="63" t="s">
        <v>119</v>
      </c>
      <c r="D4" s="63" t="s">
        <v>120</v>
      </c>
      <c r="E4" s="63" t="s">
        <v>121</v>
      </c>
      <c r="F4" s="63" t="s">
        <v>122</v>
      </c>
      <c r="G4" s="62">
        <v>0</v>
      </c>
      <c r="H4" s="64">
        <v>0.45</v>
      </c>
    </row>
    <row r="5" spans="1:13" x14ac:dyDescent="0.15">
      <c r="A5" s="62">
        <v>5</v>
      </c>
      <c r="B5" s="65">
        <v>0</v>
      </c>
      <c r="C5" s="63" t="s">
        <v>123</v>
      </c>
      <c r="D5" s="63" t="s">
        <v>124</v>
      </c>
      <c r="E5" s="63" t="s">
        <v>125</v>
      </c>
      <c r="F5" s="63" t="s">
        <v>126</v>
      </c>
      <c r="G5" s="63" t="s">
        <v>127</v>
      </c>
      <c r="H5" s="64">
        <v>0.05</v>
      </c>
    </row>
    <row r="6" spans="1:13" x14ac:dyDescent="0.15">
      <c r="B6" s="64" t="s">
        <v>128</v>
      </c>
      <c r="C6" s="64" t="s">
        <v>128</v>
      </c>
      <c r="D6" s="64" t="s">
        <v>129</v>
      </c>
      <c r="E6" s="64" t="s">
        <v>128</v>
      </c>
      <c r="F6" s="64" t="s">
        <v>128</v>
      </c>
      <c r="G6" s="66" t="s">
        <v>130</v>
      </c>
      <c r="H6" s="64">
        <v>1</v>
      </c>
    </row>
    <row r="7" spans="1:13" x14ac:dyDescent="0.15">
      <c r="B7" s="64"/>
      <c r="C7" s="64"/>
      <c r="D7" s="64"/>
      <c r="E7" s="64"/>
      <c r="F7" s="64"/>
      <c r="G7" s="66"/>
      <c r="H7" s="64"/>
    </row>
    <row r="8" spans="1:13" x14ac:dyDescent="0.15">
      <c r="A8" s="62" t="s">
        <v>131</v>
      </c>
      <c r="B8" s="64"/>
      <c r="C8" s="64"/>
      <c r="D8" s="64"/>
      <c r="E8" s="64"/>
      <c r="F8" s="64"/>
      <c r="G8" s="66"/>
      <c r="H8" s="64"/>
    </row>
    <row r="9" spans="1:13" x14ac:dyDescent="0.15">
      <c r="A9" s="62" t="s">
        <v>132</v>
      </c>
      <c r="B9" s="64"/>
      <c r="C9" s="64"/>
      <c r="D9" s="64"/>
      <c r="E9" s="64"/>
      <c r="F9" s="64"/>
      <c r="G9" s="66"/>
      <c r="H9" s="64"/>
    </row>
    <row r="10" spans="1:13" x14ac:dyDescent="0.15">
      <c r="A10" s="62" t="s">
        <v>133</v>
      </c>
      <c r="B10" s="64"/>
      <c r="C10" s="64"/>
      <c r="D10" s="64"/>
      <c r="E10" s="64"/>
      <c r="F10" s="64"/>
      <c r="G10" s="66"/>
      <c r="H10" s="64"/>
    </row>
    <row r="11" spans="1:13" x14ac:dyDescent="0.15">
      <c r="A11" s="62" t="s">
        <v>134</v>
      </c>
      <c r="B11" s="64"/>
      <c r="C11" s="64"/>
      <c r="D11" s="64"/>
      <c r="E11" s="64"/>
      <c r="F11" s="64"/>
      <c r="G11" s="66"/>
      <c r="H11" s="64"/>
    </row>
    <row r="12" spans="1:13" x14ac:dyDescent="0.15">
      <c r="A12" s="62" t="s">
        <v>127</v>
      </c>
      <c r="B12" s="64" t="s">
        <v>135</v>
      </c>
      <c r="C12" s="64" t="s">
        <v>136</v>
      </c>
      <c r="D12" s="64"/>
      <c r="E12" s="64"/>
      <c r="F12" s="64"/>
      <c r="G12" s="66"/>
      <c r="H12" s="64"/>
    </row>
    <row r="13" spans="1:13" x14ac:dyDescent="0.15">
      <c r="A13" s="62" t="s">
        <v>137</v>
      </c>
      <c r="B13" s="62" t="s">
        <v>138</v>
      </c>
      <c r="C13" s="62" t="s">
        <v>139</v>
      </c>
    </row>
    <row r="14" spans="1:13" x14ac:dyDescent="0.15">
      <c r="A14" s="62" t="s">
        <v>140</v>
      </c>
      <c r="B14" s="62" t="s">
        <v>135</v>
      </c>
      <c r="C14" s="65" t="s">
        <v>141</v>
      </c>
      <c r="E14" s="65"/>
      <c r="F14" s="65"/>
      <c r="M14" s="64"/>
    </row>
    <row r="15" spans="1:13" x14ac:dyDescent="0.15">
      <c r="A15" s="62" t="s">
        <v>117</v>
      </c>
      <c r="B15" s="64" t="s">
        <v>135</v>
      </c>
      <c r="C15" s="64" t="s">
        <v>142</v>
      </c>
      <c r="H15" s="67"/>
      <c r="M15" s="64"/>
    </row>
    <row r="16" spans="1:13" x14ac:dyDescent="0.15">
      <c r="A16" s="62" t="s">
        <v>121</v>
      </c>
      <c r="B16" s="64" t="s">
        <v>135</v>
      </c>
      <c r="C16" s="64" t="s">
        <v>143</v>
      </c>
      <c r="M16" s="64"/>
    </row>
    <row r="17" spans="1:13" x14ac:dyDescent="0.15">
      <c r="A17" s="62" t="s">
        <v>144</v>
      </c>
      <c r="B17" s="64" t="s">
        <v>135</v>
      </c>
      <c r="C17" s="64" t="s">
        <v>145</v>
      </c>
      <c r="M17" s="64"/>
    </row>
    <row r="18" spans="1:13" x14ac:dyDescent="0.15">
      <c r="B18" s="64"/>
      <c r="C18" s="64"/>
    </row>
    <row r="19" spans="1:13" x14ac:dyDescent="0.15">
      <c r="A19" s="62" t="s">
        <v>146</v>
      </c>
    </row>
    <row r="20" spans="1:13" x14ac:dyDescent="0.15">
      <c r="A20" s="62" t="s">
        <v>147</v>
      </c>
      <c r="B20" s="64"/>
      <c r="C20" s="64"/>
    </row>
    <row r="21" spans="1:13" x14ac:dyDescent="0.15">
      <c r="A21" s="62" t="s">
        <v>148</v>
      </c>
      <c r="B21" s="64" t="s">
        <v>149</v>
      </c>
      <c r="C21" s="64" t="s">
        <v>150</v>
      </c>
      <c r="D21" s="62" t="s">
        <v>151</v>
      </c>
    </row>
    <row r="22" spans="1:13" x14ac:dyDescent="0.15">
      <c r="A22" s="62" t="s">
        <v>152</v>
      </c>
      <c r="B22" s="64" t="s">
        <v>135</v>
      </c>
      <c r="C22" s="64" t="s">
        <v>153</v>
      </c>
      <c r="D22" s="62" t="s">
        <v>154</v>
      </c>
    </row>
    <row r="23" spans="1:13" x14ac:dyDescent="0.15">
      <c r="A23" s="62" t="s">
        <v>155</v>
      </c>
      <c r="B23" s="64" t="s">
        <v>135</v>
      </c>
      <c r="C23" s="62" t="s">
        <v>156</v>
      </c>
      <c r="D23" s="62" t="s">
        <v>157</v>
      </c>
    </row>
    <row r="24" spans="1:13" x14ac:dyDescent="0.15">
      <c r="A24" s="62" t="s">
        <v>158</v>
      </c>
      <c r="B24" s="64" t="s">
        <v>135</v>
      </c>
      <c r="C24" s="64" t="s">
        <v>159</v>
      </c>
      <c r="D24" s="62" t="s">
        <v>160</v>
      </c>
    </row>
    <row r="25" spans="1:13" x14ac:dyDescent="0.15">
      <c r="A25" s="62" t="s">
        <v>161</v>
      </c>
      <c r="B25" s="64" t="s">
        <v>135</v>
      </c>
      <c r="C25" s="64" t="s">
        <v>162</v>
      </c>
      <c r="D25" s="62" t="s">
        <v>163</v>
      </c>
    </row>
    <row r="26" spans="1:13" x14ac:dyDescent="0.15">
      <c r="A26" s="62" t="s">
        <v>164</v>
      </c>
      <c r="B26" s="64" t="s">
        <v>135</v>
      </c>
      <c r="C26" s="64" t="s">
        <v>165</v>
      </c>
      <c r="D26" s="62" t="s">
        <v>166</v>
      </c>
    </row>
    <row r="27" spans="1:13" x14ac:dyDescent="0.15">
      <c r="A27" s="62" t="s">
        <v>167</v>
      </c>
      <c r="B27" s="64" t="s">
        <v>135</v>
      </c>
      <c r="C27" s="64" t="s">
        <v>129</v>
      </c>
      <c r="D27" s="62" t="s">
        <v>168</v>
      </c>
      <c r="E27" s="62" t="s">
        <v>169</v>
      </c>
    </row>
    <row r="28" spans="1:13" x14ac:dyDescent="0.15">
      <c r="A28" s="62" t="s">
        <v>116</v>
      </c>
      <c r="B28" s="64" t="s">
        <v>135</v>
      </c>
      <c r="C28" s="64" t="s">
        <v>170</v>
      </c>
      <c r="E28" s="62" t="s">
        <v>171</v>
      </c>
    </row>
    <row r="29" spans="1:13" x14ac:dyDescent="0.15">
      <c r="A29" s="62" t="s">
        <v>119</v>
      </c>
      <c r="B29" s="64" t="s">
        <v>135</v>
      </c>
      <c r="C29" s="64" t="s">
        <v>172</v>
      </c>
    </row>
    <row r="30" spans="1:13" x14ac:dyDescent="0.15">
      <c r="B30" s="64"/>
    </row>
    <row r="31" spans="1:13" x14ac:dyDescent="0.15">
      <c r="A31" s="62" t="s">
        <v>173</v>
      </c>
    </row>
    <row r="32" spans="1:13" x14ac:dyDescent="0.15">
      <c r="A32" s="62" t="s">
        <v>174</v>
      </c>
      <c r="B32" s="64" t="s">
        <v>135</v>
      </c>
      <c r="C32" s="64" t="s">
        <v>175</v>
      </c>
    </row>
    <row r="33" spans="1:3" x14ac:dyDescent="0.15">
      <c r="A33" s="62" t="s">
        <v>119</v>
      </c>
      <c r="B33" s="64" t="s">
        <v>135</v>
      </c>
      <c r="C33" s="64" t="s">
        <v>176</v>
      </c>
    </row>
    <row r="34" spans="1:3" x14ac:dyDescent="0.15">
      <c r="A34" s="62" t="s">
        <v>116</v>
      </c>
      <c r="B34" s="64" t="s">
        <v>135</v>
      </c>
      <c r="C34" s="64" t="s">
        <v>177</v>
      </c>
    </row>
    <row r="35" spans="1:3" x14ac:dyDescent="0.15">
      <c r="A35" s="62" t="s">
        <v>115</v>
      </c>
      <c r="B35" s="64" t="s">
        <v>135</v>
      </c>
      <c r="C35" s="64" t="s">
        <v>178</v>
      </c>
    </row>
    <row r="36" spans="1:3" x14ac:dyDescent="0.15">
      <c r="A36" s="62" t="s">
        <v>118</v>
      </c>
      <c r="B36" s="64" t="s">
        <v>135</v>
      </c>
      <c r="C36" s="64" t="s">
        <v>179</v>
      </c>
    </row>
    <row r="37" spans="1:3" x14ac:dyDescent="0.15">
      <c r="A37" s="62" t="s">
        <v>124</v>
      </c>
      <c r="B37" s="64" t="s">
        <v>135</v>
      </c>
      <c r="C37" s="64" t="s">
        <v>180</v>
      </c>
    </row>
    <row r="38" spans="1:3" x14ac:dyDescent="0.15">
      <c r="A38" s="62" t="s">
        <v>120</v>
      </c>
      <c r="B38" s="64" t="s">
        <v>135</v>
      </c>
      <c r="C38" s="64" t="s">
        <v>181</v>
      </c>
    </row>
  </sheetData>
  <phoneticPr fontId="18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72</v>
      </c>
    </row>
    <row r="2" spans="1:1" x14ac:dyDescent="0.15">
      <c r="A2" t="s">
        <v>73</v>
      </c>
    </row>
    <row r="3" spans="1:1" x14ac:dyDescent="0.15">
      <c r="A3" t="s">
        <v>74</v>
      </c>
    </row>
    <row r="4" spans="1:1" x14ac:dyDescent="0.15">
      <c r="A4" t="s">
        <v>75</v>
      </c>
    </row>
  </sheetData>
  <phoneticPr fontId="18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tabSelected="1" workbookViewId="0">
      <selection activeCell="E17" sqref="E17"/>
    </sheetView>
  </sheetViews>
  <sheetFormatPr baseColWidth="12" defaultRowHeight="15" x14ac:dyDescent="0.15"/>
  <cols>
    <col min="1" max="1" width="13" style="16"/>
    <col min="2" max="2" width="14.796875" style="16" bestFit="1" customWidth="1"/>
    <col min="3" max="4" width="13" style="16"/>
    <col min="5" max="5" width="17.59765625" style="16" bestFit="1" customWidth="1"/>
    <col min="6" max="6" width="22.19921875" style="16" bestFit="1" customWidth="1"/>
    <col min="7" max="16384" width="13" style="16"/>
  </cols>
  <sheetData>
    <row r="1" spans="1:21" x14ac:dyDescent="0.15">
      <c r="A1" s="26" t="s">
        <v>46</v>
      </c>
      <c r="B1" s="14" t="s">
        <v>34</v>
      </c>
      <c r="C1" s="14" t="s">
        <v>35</v>
      </c>
      <c r="D1" s="14" t="s">
        <v>36</v>
      </c>
      <c r="E1" s="14" t="s">
        <v>37</v>
      </c>
      <c r="F1" s="14" t="s">
        <v>38</v>
      </c>
      <c r="G1" s="14" t="s">
        <v>39</v>
      </c>
      <c r="H1" s="14"/>
      <c r="I1" s="14"/>
      <c r="J1" s="14"/>
      <c r="K1" s="14"/>
      <c r="L1" s="15"/>
      <c r="M1" s="15"/>
      <c r="N1" s="15"/>
      <c r="O1" s="15"/>
    </row>
    <row r="2" spans="1:21" x14ac:dyDescent="0.15">
      <c r="A2" s="83" t="s">
        <v>217</v>
      </c>
      <c r="B2" s="59" t="s">
        <v>104</v>
      </c>
      <c r="C2" s="48" t="str">
        <f>RIGHT(F2,6)</f>
        <v>337010</v>
      </c>
      <c r="D2" s="17" t="s">
        <v>40</v>
      </c>
      <c r="E2" s="15" t="str">
        <f t="shared" ref="E2:E6" si="0">B2&amp;C2&amp;D2</f>
        <v>gacha_select_tables_337010.tmp</v>
      </c>
      <c r="F2" s="82" t="s">
        <v>216</v>
      </c>
      <c r="G2" s="47" t="s">
        <v>78</v>
      </c>
      <c r="H2" s="20" t="s">
        <v>0</v>
      </c>
      <c r="I2" s="20" t="s">
        <v>3</v>
      </c>
      <c r="J2" s="20" t="s">
        <v>4</v>
      </c>
      <c r="K2" s="20" t="s">
        <v>5</v>
      </c>
      <c r="L2" s="20" t="s">
        <v>6</v>
      </c>
      <c r="M2" s="20" t="s">
        <v>7</v>
      </c>
      <c r="N2" s="20" t="s">
        <v>8</v>
      </c>
      <c r="O2" s="20" t="s">
        <v>9</v>
      </c>
    </row>
    <row r="3" spans="1:21" x14ac:dyDescent="0.15">
      <c r="A3" s="90" t="s">
        <v>231</v>
      </c>
      <c r="B3" s="84" t="s">
        <v>218</v>
      </c>
      <c r="C3" s="48" t="str">
        <f>RIGHT(F3,7)</f>
        <v>7106100</v>
      </c>
      <c r="D3" s="17" t="s">
        <v>40</v>
      </c>
      <c r="E3" s="15" t="str">
        <f t="shared" ref="E3" si="1">B3&amp;C3&amp;D3</f>
        <v>gacha_settle_tables_7106100.tmp</v>
      </c>
      <c r="F3" s="89" t="s">
        <v>230</v>
      </c>
      <c r="G3" s="47" t="s">
        <v>78</v>
      </c>
      <c r="H3" s="20" t="s">
        <v>0</v>
      </c>
      <c r="I3" s="20" t="s">
        <v>3</v>
      </c>
      <c r="J3" s="20" t="s">
        <v>4</v>
      </c>
      <c r="K3" s="20" t="s">
        <v>5</v>
      </c>
      <c r="L3" s="20" t="s">
        <v>6</v>
      </c>
      <c r="M3" s="20" t="s">
        <v>7</v>
      </c>
      <c r="N3" s="20" t="s">
        <v>8</v>
      </c>
      <c r="O3" s="20" t="s">
        <v>9</v>
      </c>
    </row>
    <row r="4" spans="1:21" x14ac:dyDescent="0.15">
      <c r="A4" s="79" t="s">
        <v>213</v>
      </c>
      <c r="B4" s="25" t="s">
        <v>45</v>
      </c>
      <c r="C4" s="80" t="s">
        <v>214</v>
      </c>
      <c r="D4" s="17" t="s">
        <v>41</v>
      </c>
      <c r="E4" s="15" t="str">
        <f t="shared" si="0"/>
        <v>gacha_bonus_tables_hogehoge.tmp</v>
      </c>
      <c r="F4" s="17" t="s">
        <v>42</v>
      </c>
      <c r="G4" s="19" t="s">
        <v>11</v>
      </c>
      <c r="H4" s="21" t="s">
        <v>14</v>
      </c>
      <c r="I4" s="19" t="s">
        <v>12</v>
      </c>
      <c r="J4" s="18"/>
      <c r="K4" s="18"/>
      <c r="L4" s="18"/>
      <c r="M4" s="18"/>
      <c r="N4" s="18"/>
      <c r="O4" s="18"/>
    </row>
    <row r="5" spans="1:21" x14ac:dyDescent="0.15">
      <c r="A5" s="79" t="s">
        <v>213</v>
      </c>
      <c r="B5" s="17" t="s">
        <v>43</v>
      </c>
      <c r="C5" s="80" t="s">
        <v>214</v>
      </c>
      <c r="D5" s="17" t="s">
        <v>41</v>
      </c>
      <c r="E5" s="15" t="str">
        <f t="shared" si="0"/>
        <v>gifts_tmp_hogehoge.tmp</v>
      </c>
      <c r="F5" s="17" t="s">
        <v>42</v>
      </c>
      <c r="G5" s="21" t="s">
        <v>22</v>
      </c>
      <c r="H5" s="22" t="s">
        <v>30</v>
      </c>
      <c r="I5" s="21" t="s">
        <v>23</v>
      </c>
      <c r="J5" s="21" t="s">
        <v>24</v>
      </c>
      <c r="K5" s="21" t="s">
        <v>24</v>
      </c>
      <c r="L5" s="21" t="s">
        <v>25</v>
      </c>
      <c r="M5" s="21" t="s">
        <v>25</v>
      </c>
      <c r="N5" s="21" t="s">
        <v>25</v>
      </c>
      <c r="O5" s="49" t="s">
        <v>7</v>
      </c>
      <c r="P5" s="49" t="s">
        <v>9</v>
      </c>
      <c r="Q5" s="49" t="s">
        <v>6</v>
      </c>
      <c r="R5" s="49" t="s">
        <v>79</v>
      </c>
      <c r="S5" s="49" t="s">
        <v>8</v>
      </c>
      <c r="T5" s="49" t="s">
        <v>80</v>
      </c>
      <c r="U5" s="49" t="s">
        <v>5</v>
      </c>
    </row>
    <row r="6" spans="1:21" x14ac:dyDescent="0.15">
      <c r="A6" s="79" t="s">
        <v>213</v>
      </c>
      <c r="B6" s="17" t="s">
        <v>44</v>
      </c>
      <c r="C6" s="80" t="s">
        <v>214</v>
      </c>
      <c r="D6" s="17" t="s">
        <v>41</v>
      </c>
      <c r="E6" s="15" t="str">
        <f t="shared" si="0"/>
        <v>gifts_i18n_hogehoge.tmp</v>
      </c>
      <c r="F6" s="17" t="s">
        <v>42</v>
      </c>
      <c r="G6" s="21" t="s">
        <v>13</v>
      </c>
      <c r="H6" s="23" t="s">
        <v>26</v>
      </c>
      <c r="I6" s="23" t="s">
        <v>27</v>
      </c>
      <c r="J6" s="23" t="s">
        <v>28</v>
      </c>
      <c r="K6" s="23" t="s">
        <v>29</v>
      </c>
      <c r="L6" s="24"/>
      <c r="M6" s="21"/>
      <c r="N6" s="21"/>
      <c r="O6" s="17"/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workbookViewId="0">
      <selection activeCell="F34" sqref="F34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6" t="s">
        <v>76</v>
      </c>
      <c r="B1" s="46"/>
      <c r="L1" s="36" t="s">
        <v>55</v>
      </c>
      <c r="M1" s="36"/>
      <c r="U1" t="s">
        <v>55</v>
      </c>
    </row>
    <row r="2" spans="1:22" x14ac:dyDescent="0.15">
      <c r="A2" t="str">
        <f ca="1">RIGHT(RIGHT(CELL("filename",A2),LEN(CELL("filename",A2))-FIND("]",CELL("filename",A2))),7)</f>
        <v>7106100</v>
      </c>
      <c r="L2" s="30" t="s">
        <v>1</v>
      </c>
      <c r="M2" s="35" t="s">
        <v>59</v>
      </c>
      <c r="N2" s="30" t="s">
        <v>57</v>
      </c>
      <c r="O2" s="35" t="s">
        <v>60</v>
      </c>
      <c r="P2" s="35" t="s">
        <v>61</v>
      </c>
      <c r="Q2" s="35" t="s">
        <v>58</v>
      </c>
      <c r="R2" s="42" t="s">
        <v>67</v>
      </c>
      <c r="U2" s="30" t="s">
        <v>184</v>
      </c>
      <c r="V2" s="52">
        <f>SUMIF(Q:Q,U2,N:N)</f>
        <v>0</v>
      </c>
    </row>
    <row r="3" spans="1:22" x14ac:dyDescent="0.15">
      <c r="H3" s="71" t="s">
        <v>205</v>
      </c>
      <c r="L3" s="1"/>
      <c r="M3" s="35" t="e">
        <f>VLOOKUP(L3,[1]characters!$A:$C,3,FALSE)</f>
        <v>#N/A</v>
      </c>
      <c r="N3" s="61"/>
      <c r="O3" s="35" t="e">
        <f>VLOOKUP(L3,[1]characters!$A:$I,9,FALSE)</f>
        <v>#N/A</v>
      </c>
      <c r="P3" s="35" t="e">
        <f>VLOOKUP(L3,[1]characters!$A:$J,10,FALSE)</f>
        <v>#N/A</v>
      </c>
      <c r="Q3" s="35" t="e">
        <f>VLOOKUP(L3,tables_settle_7106100!B:C,2,FALSE)</f>
        <v>#N/A</v>
      </c>
      <c r="R3" s="60">
        <f t="shared" ref="R3:R20" si="0">N3*A$36</f>
        <v>0</v>
      </c>
      <c r="S3">
        <v>190</v>
      </c>
      <c r="U3" s="30" t="s">
        <v>185</v>
      </c>
      <c r="V3" s="52">
        <f t="shared" ref="V3:V16" si="1">SUMIF(Q:Q,U3,N:N)</f>
        <v>0</v>
      </c>
    </row>
    <row r="4" spans="1:22" x14ac:dyDescent="0.15">
      <c r="A4" s="32" t="s">
        <v>47</v>
      </c>
      <c r="B4" s="32"/>
      <c r="D4" t="s">
        <v>194</v>
      </c>
      <c r="F4" t="s">
        <v>197</v>
      </c>
      <c r="H4" t="s">
        <v>203</v>
      </c>
      <c r="I4" t="s">
        <v>204</v>
      </c>
      <c r="L4" s="1"/>
      <c r="M4" s="35" t="e">
        <f>VLOOKUP(L4,[1]characters!$A:$C,3,FALSE)</f>
        <v>#N/A</v>
      </c>
      <c r="N4" s="61"/>
      <c r="O4" s="35" t="e">
        <f>VLOOKUP(L4,[1]characters!$A:$I,9,FALSE)</f>
        <v>#N/A</v>
      </c>
      <c r="P4" s="35" t="e">
        <f>VLOOKUP(L4,[1]characters!$A:$J,10,FALSE)</f>
        <v>#N/A</v>
      </c>
      <c r="Q4" s="35" t="e">
        <f>VLOOKUP(L4,tables_settle_7106100!B:C,2,FALSE)</f>
        <v>#N/A</v>
      </c>
      <c r="R4" s="60">
        <f t="shared" si="0"/>
        <v>0</v>
      </c>
      <c r="S4">
        <v>191</v>
      </c>
      <c r="U4" s="30" t="s">
        <v>89</v>
      </c>
      <c r="V4" s="52">
        <f t="shared" si="1"/>
        <v>0</v>
      </c>
    </row>
    <row r="5" spans="1:22" x14ac:dyDescent="0.15">
      <c r="A5" s="30" t="s">
        <v>62</v>
      </c>
      <c r="B5" s="70">
        <f>1-B6-B7-B8</f>
        <v>0</v>
      </c>
      <c r="D5" t="s">
        <v>195</v>
      </c>
      <c r="E5" s="41">
        <f>(B11-H5)/(F5-I5)</f>
        <v>1.5E-3</v>
      </c>
      <c r="F5">
        <f>(COUNTIF(tables_settle_7106100!C:C,input_settle_7106100!A26)+COUNTIF(tables_settle_7106100!C:C,input_settle_7106100!A28)+COUNTIF(tables_settle_7106100!C:C,input_settle_7106100!A29))</f>
        <v>20</v>
      </c>
      <c r="H5" s="81">
        <v>0</v>
      </c>
      <c r="I5" s="29">
        <v>0</v>
      </c>
      <c r="L5" s="1"/>
      <c r="M5" s="35" t="e">
        <f>VLOOKUP(L5,[1]characters!$A:$C,3,FALSE)</f>
        <v>#N/A</v>
      </c>
      <c r="N5" s="61"/>
      <c r="O5" s="35" t="e">
        <f>VLOOKUP(L5,[1]characters!$A:$I,9,FALSE)</f>
        <v>#N/A</v>
      </c>
      <c r="P5" s="35" t="e">
        <f>VLOOKUP(L5,[1]characters!$A:$J,10,FALSE)</f>
        <v>#N/A</v>
      </c>
      <c r="Q5" s="35" t="e">
        <f>VLOOKUP(L5,tables_settle_7106100!B:C,2,FALSE)</f>
        <v>#N/A</v>
      </c>
      <c r="R5" s="60">
        <f>N5*A$36</f>
        <v>0</v>
      </c>
      <c r="S5">
        <v>192</v>
      </c>
      <c r="U5" s="30" t="s">
        <v>90</v>
      </c>
      <c r="V5" s="52">
        <f t="shared" si="1"/>
        <v>0</v>
      </c>
    </row>
    <row r="6" spans="1:22" x14ac:dyDescent="0.15">
      <c r="A6" s="30" t="s">
        <v>63</v>
      </c>
      <c r="B6" s="70">
        <v>0</v>
      </c>
      <c r="D6" t="s">
        <v>196</v>
      </c>
      <c r="E6" s="74" t="e">
        <f>(B10-H6)/(F6-I6)</f>
        <v>#DIV/0!</v>
      </c>
      <c r="F6">
        <f>(COUNTIF(tables_settle_7106100!C:C,input_settle_7106100!A18)+COUNTIF(tables_settle_7106100!C:C,input_settle_7106100!A20)+COUNTIF(tables_settle_7106100!C:C,input_settle_7106100!A22))</f>
        <v>0</v>
      </c>
      <c r="H6" s="81">
        <v>0</v>
      </c>
      <c r="I6" s="29">
        <v>0</v>
      </c>
      <c r="L6" s="1"/>
      <c r="M6" s="35" t="e">
        <f>VLOOKUP(L6,[1]characters!$A:$C,3,FALSE)</f>
        <v>#N/A</v>
      </c>
      <c r="N6" s="61"/>
      <c r="O6" s="35" t="e">
        <f>VLOOKUP(L6,[1]characters!$A:$I,9,FALSE)</f>
        <v>#N/A</v>
      </c>
      <c r="P6" s="35" t="e">
        <f>VLOOKUP(L6,[1]characters!$A:$J,10,FALSE)</f>
        <v>#N/A</v>
      </c>
      <c r="Q6" s="35" t="e">
        <f>VLOOKUP(L6,tables_settle_7106100!B:C,2,FALSE)</f>
        <v>#N/A</v>
      </c>
      <c r="R6" s="60">
        <f t="shared" si="0"/>
        <v>0</v>
      </c>
      <c r="S6">
        <v>596</v>
      </c>
      <c r="U6" s="30" t="s">
        <v>91</v>
      </c>
      <c r="V6" s="52">
        <f t="shared" si="1"/>
        <v>0</v>
      </c>
    </row>
    <row r="7" spans="1:22" x14ac:dyDescent="0.15">
      <c r="A7" s="30" t="s">
        <v>64</v>
      </c>
      <c r="B7" s="70">
        <v>1</v>
      </c>
      <c r="L7" s="1"/>
      <c r="M7" s="35" t="e">
        <f>VLOOKUP(L7,[1]characters!$A:$C,3,FALSE)</f>
        <v>#N/A</v>
      </c>
      <c r="N7" s="61"/>
      <c r="O7" s="35" t="e">
        <f>VLOOKUP(L7,[1]characters!$A:$I,9,FALSE)</f>
        <v>#N/A</v>
      </c>
      <c r="P7" s="35" t="e">
        <f>VLOOKUP(L7,[1]characters!$A:$J,10,FALSE)</f>
        <v>#N/A</v>
      </c>
      <c r="Q7" s="35" t="e">
        <f>VLOOKUP(L7,tables_settle_7106100!B:C,2,FALSE)</f>
        <v>#N/A</v>
      </c>
      <c r="R7" s="60">
        <f t="shared" si="0"/>
        <v>0</v>
      </c>
      <c r="S7">
        <v>597</v>
      </c>
      <c r="U7" s="30" t="s">
        <v>190</v>
      </c>
      <c r="V7" s="52">
        <f t="shared" si="1"/>
        <v>0</v>
      </c>
    </row>
    <row r="8" spans="1:22" x14ac:dyDescent="0.15">
      <c r="A8" s="55"/>
      <c r="B8" s="69"/>
      <c r="L8" s="1"/>
      <c r="M8" s="35" t="e">
        <f>VLOOKUP(L8,[1]characters!$A:$C,3,FALSE)</f>
        <v>#N/A</v>
      </c>
      <c r="N8" s="61"/>
      <c r="O8" s="35" t="e">
        <f>VLOOKUP(L8,[1]characters!$A:$I,9,FALSE)</f>
        <v>#N/A</v>
      </c>
      <c r="P8" s="35" t="e">
        <f>VLOOKUP(L8,[1]characters!$A:$J,10,FALSE)</f>
        <v>#N/A</v>
      </c>
      <c r="Q8" s="35" t="e">
        <f>VLOOKUP(L8,tables_settle_7106100!B:C,2,FALSE)</f>
        <v>#N/A</v>
      </c>
      <c r="R8" s="60">
        <f t="shared" si="0"/>
        <v>0</v>
      </c>
      <c r="S8">
        <v>598</v>
      </c>
      <c r="U8" s="30" t="s">
        <v>191</v>
      </c>
      <c r="V8" s="52">
        <f t="shared" si="1"/>
        <v>0</v>
      </c>
    </row>
    <row r="9" spans="1:22" x14ac:dyDescent="0.15">
      <c r="A9" s="33" t="s">
        <v>48</v>
      </c>
      <c r="B9" s="33"/>
      <c r="M9" s="35" t="e">
        <f>VLOOKUP(L9,[1]characters!$A:$C,3,FALSE)</f>
        <v>#N/A</v>
      </c>
      <c r="N9" s="61"/>
      <c r="O9" s="35" t="e">
        <f>VLOOKUP(L9,[1]characters!$A:$I,9,FALSE)</f>
        <v>#N/A</v>
      </c>
      <c r="P9" s="35" t="e">
        <f>VLOOKUP(L9,[1]characters!$A:$J,10,FALSE)</f>
        <v>#N/A</v>
      </c>
      <c r="Q9" s="35" t="e">
        <f>VLOOKUP(L9,tables_settle_7106100!B:C,2,FALSE)</f>
        <v>#N/A</v>
      </c>
      <c r="R9" s="60">
        <f t="shared" si="0"/>
        <v>0</v>
      </c>
      <c r="S9">
        <v>390</v>
      </c>
      <c r="U9" s="30" t="s">
        <v>187</v>
      </c>
      <c r="V9" s="52">
        <f t="shared" si="1"/>
        <v>0</v>
      </c>
    </row>
    <row r="10" spans="1:22" x14ac:dyDescent="0.15">
      <c r="A10" s="30" t="s">
        <v>88</v>
      </c>
      <c r="B10" s="70">
        <f>1-B11-B12-B8</f>
        <v>0.97</v>
      </c>
      <c r="C10" t="s">
        <v>202</v>
      </c>
      <c r="M10" s="35" t="e">
        <f>VLOOKUP(L10,[1]characters!$A:$C,3,FALSE)</f>
        <v>#N/A</v>
      </c>
      <c r="N10" s="61"/>
      <c r="O10" s="35" t="e">
        <f>VLOOKUP(L10,[1]characters!$A:$I,9,FALSE)</f>
        <v>#N/A</v>
      </c>
      <c r="P10" s="35" t="e">
        <f>VLOOKUP(L10,[1]characters!$A:$J,10,FALSE)</f>
        <v>#N/A</v>
      </c>
      <c r="Q10" s="35" t="e">
        <f>VLOOKUP(L10,tables_settle_7106100!B:C,2,FALSE)</f>
        <v>#N/A</v>
      </c>
      <c r="R10" s="60">
        <f t="shared" si="0"/>
        <v>0</v>
      </c>
      <c r="S10">
        <v>391</v>
      </c>
      <c r="U10" s="30" t="s">
        <v>188</v>
      </c>
      <c r="V10" s="52">
        <f t="shared" si="1"/>
        <v>0</v>
      </c>
    </row>
    <row r="11" spans="1:22" x14ac:dyDescent="0.15">
      <c r="A11" s="30" t="s">
        <v>50</v>
      </c>
      <c r="B11" s="75">
        <v>0.03</v>
      </c>
      <c r="C11" t="s">
        <v>215</v>
      </c>
      <c r="M11" s="35" t="e">
        <f>VLOOKUP(L11,[1]characters!$A:$C,3,FALSE)</f>
        <v>#N/A</v>
      </c>
      <c r="N11" s="61"/>
      <c r="O11" s="35" t="e">
        <f>VLOOKUP(L11,[1]characters!$A:$I,9,FALSE)</f>
        <v>#N/A</v>
      </c>
      <c r="P11" s="35" t="e">
        <f>VLOOKUP(L11,[1]characters!$A:$J,10,FALSE)</f>
        <v>#N/A</v>
      </c>
      <c r="Q11" s="35" t="e">
        <f>VLOOKUP(L11,tables_settle_7106100!B:C,2,FALSE)</f>
        <v>#N/A</v>
      </c>
      <c r="R11" s="60">
        <f t="shared" si="0"/>
        <v>0</v>
      </c>
      <c r="S11">
        <v>811</v>
      </c>
      <c r="U11" s="30" t="s">
        <v>189</v>
      </c>
      <c r="V11" s="52">
        <f t="shared" si="1"/>
        <v>0</v>
      </c>
    </row>
    <row r="12" spans="1:22" x14ac:dyDescent="0.15">
      <c r="A12" s="30" t="s">
        <v>49</v>
      </c>
      <c r="B12" s="31">
        <v>0</v>
      </c>
      <c r="M12" s="35" t="e">
        <f>VLOOKUP(L12,[1]characters!$A:$C,3,FALSE)</f>
        <v>#N/A</v>
      </c>
      <c r="N12" s="61"/>
      <c r="O12" s="35" t="e">
        <f>VLOOKUP(L12,[1]characters!$A:$I,9,FALSE)</f>
        <v>#N/A</v>
      </c>
      <c r="P12" s="35" t="e">
        <f>VLOOKUP(L12,[1]characters!$A:$J,10,FALSE)</f>
        <v>#N/A</v>
      </c>
      <c r="Q12" s="35" t="e">
        <f>VLOOKUP(L12,tables_settle_7106100!B:C,2,FALSE)</f>
        <v>#N/A</v>
      </c>
      <c r="R12" s="60">
        <f t="shared" si="0"/>
        <v>0</v>
      </c>
      <c r="S12">
        <v>496</v>
      </c>
      <c r="U12" s="30" t="s">
        <v>97</v>
      </c>
      <c r="V12" s="52">
        <f t="shared" si="1"/>
        <v>0</v>
      </c>
    </row>
    <row r="13" spans="1:22" x14ac:dyDescent="0.15">
      <c r="M13" s="35" t="e">
        <f>VLOOKUP(L13,[1]characters!$A:$C,3,FALSE)</f>
        <v>#N/A</v>
      </c>
      <c r="N13" s="61"/>
      <c r="O13" s="35" t="e">
        <f>VLOOKUP(L13,[1]characters!$A:$I,9,FALSE)</f>
        <v>#N/A</v>
      </c>
      <c r="P13" s="35" t="e">
        <f>VLOOKUP(L13,[1]characters!$A:$J,10,FALSE)</f>
        <v>#N/A</v>
      </c>
      <c r="Q13" s="35" t="e">
        <f>VLOOKUP(L13,tables_settle_7106100!B:C,2,FALSE)</f>
        <v>#N/A</v>
      </c>
      <c r="R13" s="60">
        <f t="shared" si="0"/>
        <v>0</v>
      </c>
      <c r="S13">
        <v>497</v>
      </c>
      <c r="U13" s="30" t="s">
        <v>98</v>
      </c>
      <c r="V13" s="52">
        <f t="shared" si="1"/>
        <v>0</v>
      </c>
    </row>
    <row r="14" spans="1:22" x14ac:dyDescent="0.15">
      <c r="M14" s="35" t="e">
        <f>VLOOKUP(L14,[1]characters!$A:$C,3,FALSE)</f>
        <v>#N/A</v>
      </c>
      <c r="N14" s="61"/>
      <c r="O14" s="35" t="e">
        <f>VLOOKUP(L14,[1]characters!$A:$I,9,FALSE)</f>
        <v>#N/A</v>
      </c>
      <c r="P14" s="35" t="e">
        <f>VLOOKUP(L14,[1]characters!$A:$J,10,FALSE)</f>
        <v>#N/A</v>
      </c>
      <c r="Q14" s="35" t="e">
        <f>VLOOKUP(L14,tables_settle_7106100!B:C,2,FALSE)</f>
        <v>#N/A</v>
      </c>
      <c r="R14" s="60">
        <f t="shared" si="0"/>
        <v>0</v>
      </c>
      <c r="S14">
        <v>498</v>
      </c>
      <c r="U14" s="30" t="s">
        <v>193</v>
      </c>
      <c r="V14" s="52">
        <f t="shared" si="1"/>
        <v>0</v>
      </c>
    </row>
    <row r="15" spans="1:22" x14ac:dyDescent="0.15">
      <c r="A15" s="34" t="s">
        <v>51</v>
      </c>
      <c r="B15" s="34"/>
      <c r="C15" t="s">
        <v>77</v>
      </c>
      <c r="M15" s="35" t="e">
        <f>VLOOKUP(L15,[1]characters!$A:$C,3,FALSE)</f>
        <v>#N/A</v>
      </c>
      <c r="N15" s="61"/>
      <c r="O15" s="35" t="e">
        <f>VLOOKUP(L15,[1]characters!$A:$I,9,FALSE)</f>
        <v>#N/A</v>
      </c>
      <c r="P15" s="35" t="e">
        <f>VLOOKUP(L15,[1]characters!$A:$J,10,FALSE)</f>
        <v>#N/A</v>
      </c>
      <c r="Q15" s="35" t="e">
        <f>VLOOKUP(L15,tables_settle_7106100!B:C,2,FALSE)</f>
        <v>#N/A</v>
      </c>
      <c r="R15" s="60">
        <f t="shared" si="0"/>
        <v>0</v>
      </c>
      <c r="S15">
        <v>395</v>
      </c>
      <c r="U15" s="30" t="s">
        <v>192</v>
      </c>
      <c r="V15" s="52">
        <f t="shared" si="1"/>
        <v>0</v>
      </c>
    </row>
    <row r="16" spans="1:22" x14ac:dyDescent="0.15">
      <c r="A16" s="30" t="s">
        <v>54</v>
      </c>
      <c r="B16" s="30" t="s">
        <v>186</v>
      </c>
      <c r="C16" s="35" t="s">
        <v>55</v>
      </c>
      <c r="D16" s="35" t="s">
        <v>56</v>
      </c>
      <c r="E16" t="s">
        <v>66</v>
      </c>
      <c r="F16" t="s">
        <v>65</v>
      </c>
      <c r="G16" t="s">
        <v>68</v>
      </c>
      <c r="H16" t="s">
        <v>206</v>
      </c>
      <c r="I16" t="s">
        <v>69</v>
      </c>
      <c r="J16" t="s">
        <v>71</v>
      </c>
      <c r="M16" s="35" t="e">
        <f>VLOOKUP(L16,[1]characters!$A:$C,3,FALSE)</f>
        <v>#N/A</v>
      </c>
      <c r="N16" s="61"/>
      <c r="O16" s="35" t="e">
        <f>VLOOKUP(L16,[1]characters!$A:$I,9,FALSE)</f>
        <v>#N/A</v>
      </c>
      <c r="P16" s="35" t="e">
        <f>VLOOKUP(L16,[1]characters!$A:$J,10,FALSE)</f>
        <v>#N/A</v>
      </c>
      <c r="Q16" s="35" t="e">
        <f>VLOOKUP(L16,tables_settle_7106100!B:C,2,FALSE)</f>
        <v>#N/A</v>
      </c>
      <c r="R16" s="60">
        <f t="shared" si="0"/>
        <v>0</v>
      </c>
      <c r="S16">
        <v>396</v>
      </c>
      <c r="U16" s="30" t="s">
        <v>99</v>
      </c>
      <c r="V16" s="52">
        <f t="shared" si="1"/>
        <v>0</v>
      </c>
    </row>
    <row r="17" spans="1:19" x14ac:dyDescent="0.15">
      <c r="A17" s="30" t="s">
        <v>184</v>
      </c>
      <c r="B17" s="85">
        <v>0</v>
      </c>
      <c r="C17" s="72">
        <f t="shared" ref="C17:C31" si="2">SUMIF(Q:Q,A17,N:N)</f>
        <v>0</v>
      </c>
      <c r="D17" s="73">
        <f t="shared" ref="D17:D32" si="3">B17-C17</f>
        <v>0</v>
      </c>
      <c r="E17">
        <f>COUNTIF(tables_settle_7106100!C:C,input_settle_7106100!A17)-COUNTIF(Q:Q,A17)</f>
        <v>0</v>
      </c>
      <c r="F17" s="41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5" t="e">
        <f>VLOOKUP(L17,[1]characters!$A:$C,3,FALSE)</f>
        <v>#N/A</v>
      </c>
      <c r="N17" s="61"/>
      <c r="O17" s="35" t="e">
        <f>VLOOKUP(L17,[1]characters!$A:$I,9,FALSE)</f>
        <v>#N/A</v>
      </c>
      <c r="P17" s="35" t="e">
        <f>VLOOKUP(L17,[1]characters!$A:$J,10,FALSE)</f>
        <v>#N/A</v>
      </c>
      <c r="Q17" s="35" t="e">
        <f>VLOOKUP(L17,tables_settle_7106100!B:C,2,FALSE)</f>
        <v>#N/A</v>
      </c>
      <c r="R17" s="60">
        <f t="shared" si="0"/>
        <v>0</v>
      </c>
      <c r="S17">
        <v>397</v>
      </c>
    </row>
    <row r="18" spans="1:19" x14ac:dyDescent="0.15">
      <c r="A18" s="30" t="s">
        <v>185</v>
      </c>
      <c r="B18" s="85">
        <v>0</v>
      </c>
      <c r="C18" s="72">
        <f t="shared" si="2"/>
        <v>0</v>
      </c>
      <c r="D18" s="73">
        <f t="shared" si="3"/>
        <v>0</v>
      </c>
      <c r="E18">
        <f>COUNTIF(tables_settle_7106100!C:C,input_settle_7106100!A18)-COUNTIF(Q:Q,A18)</f>
        <v>0</v>
      </c>
      <c r="F18" s="41">
        <f t="shared" ref="F18:F31" si="7">IFERROR(B18/E18,0)</f>
        <v>0</v>
      </c>
      <c r="G18">
        <f t="shared" ref="G18:G31" si="8">A$36*B18</f>
        <v>0</v>
      </c>
      <c r="H18">
        <f t="shared" si="4"/>
        <v>0</v>
      </c>
      <c r="I18">
        <f t="shared" si="5"/>
        <v>0</v>
      </c>
      <c r="J18">
        <f t="shared" si="6"/>
        <v>1</v>
      </c>
      <c r="M18" s="35" t="e">
        <f>VLOOKUP(L18,[1]characters!$A:$C,3,FALSE)</f>
        <v>#N/A</v>
      </c>
      <c r="N18" s="61"/>
      <c r="O18" s="35" t="e">
        <f>VLOOKUP(L18,[1]characters!$A:$I,9,FALSE)</f>
        <v>#N/A</v>
      </c>
      <c r="P18" s="35" t="e">
        <f>VLOOKUP(L18,[1]characters!$A:$J,10,FALSE)</f>
        <v>#N/A</v>
      </c>
      <c r="Q18" s="35" t="e">
        <f>VLOOKUP(L18,tables_settle_7106100!B:C,2,FALSE)</f>
        <v>#N/A</v>
      </c>
      <c r="R18" s="60">
        <f t="shared" si="0"/>
        <v>0</v>
      </c>
      <c r="S18">
        <v>324</v>
      </c>
    </row>
    <row r="19" spans="1:19" x14ac:dyDescent="0.15">
      <c r="A19" s="30" t="s">
        <v>89</v>
      </c>
      <c r="B19" s="54">
        <v>0</v>
      </c>
      <c r="C19" s="72">
        <f t="shared" si="2"/>
        <v>0</v>
      </c>
      <c r="D19" s="73">
        <f t="shared" si="3"/>
        <v>0</v>
      </c>
      <c r="E19">
        <f>COUNTIF(tables_settle_7106100!C:C,input_settle_7106100!A19)-COUNTIF(Q:Q,A19)</f>
        <v>0</v>
      </c>
      <c r="F19" s="41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5" t="e">
        <f>VLOOKUP(L19,[1]characters!$A:$C,3,FALSE)</f>
        <v>#N/A</v>
      </c>
      <c r="N19" s="61"/>
      <c r="O19" s="35" t="e">
        <f>VLOOKUP(L19,[1]characters!$A:$I,9,FALSE)</f>
        <v>#N/A</v>
      </c>
      <c r="P19" s="35" t="e">
        <f>VLOOKUP(L19,[1]characters!$A:$J,10,FALSE)</f>
        <v>#N/A</v>
      </c>
      <c r="Q19" s="35" t="e">
        <f>VLOOKUP(L19,tables_settle_7106100!B:C,2,FALSE)</f>
        <v>#N/A</v>
      </c>
      <c r="R19" s="60">
        <f t="shared" si="0"/>
        <v>0</v>
      </c>
      <c r="S19">
        <v>325</v>
      </c>
    </row>
    <row r="20" spans="1:19" x14ac:dyDescent="0.15">
      <c r="A20" s="30" t="s">
        <v>90</v>
      </c>
      <c r="B20" s="54">
        <v>0</v>
      </c>
      <c r="C20" s="72">
        <f t="shared" si="2"/>
        <v>0</v>
      </c>
      <c r="D20" s="73">
        <f t="shared" si="3"/>
        <v>0</v>
      </c>
      <c r="E20">
        <f>COUNTIF(tables_settle_7106100!C:C,input_settle_7106100!A20)-COUNTIF(Q:Q,A20)</f>
        <v>0</v>
      </c>
      <c r="F20" s="41">
        <f t="shared" si="7"/>
        <v>0</v>
      </c>
      <c r="G20">
        <f t="shared" si="8"/>
        <v>0</v>
      </c>
      <c r="H20">
        <f t="shared" si="4"/>
        <v>0</v>
      </c>
      <c r="I20">
        <f t="shared" si="5"/>
        <v>0</v>
      </c>
      <c r="J20">
        <f t="shared" si="6"/>
        <v>1</v>
      </c>
      <c r="M20" s="35" t="e">
        <f>VLOOKUP(L20,[1]characters!$A:$C,3,FALSE)</f>
        <v>#N/A</v>
      </c>
      <c r="N20" s="61"/>
      <c r="O20" s="35" t="e">
        <f>VLOOKUP(L20,[1]characters!$A:$I,9,FALSE)</f>
        <v>#N/A</v>
      </c>
      <c r="P20" s="35" t="e">
        <f>VLOOKUP(L20,[1]characters!$A:$J,10,FALSE)</f>
        <v>#N/A</v>
      </c>
      <c r="Q20" s="35" t="e">
        <f>VLOOKUP(L20,tables_settle_7106100!B:C,2,FALSE)</f>
        <v>#N/A</v>
      </c>
      <c r="R20" s="60">
        <f t="shared" si="0"/>
        <v>0</v>
      </c>
      <c r="S20">
        <v>809</v>
      </c>
    </row>
    <row r="21" spans="1:19" x14ac:dyDescent="0.15">
      <c r="A21" s="30" t="s">
        <v>91</v>
      </c>
      <c r="B21" s="86" t="e">
        <v>#DIV/0!</v>
      </c>
      <c r="C21" s="72">
        <f t="shared" si="2"/>
        <v>0</v>
      </c>
      <c r="D21" s="73" t="e">
        <f t="shared" si="3"/>
        <v>#DIV/0!</v>
      </c>
      <c r="E21">
        <f>COUNTIF(tables_settle_7106100!C:C,input_settle_7106100!A21)-COUNTIF(Q:Q,A21)</f>
        <v>0</v>
      </c>
      <c r="F21" s="41">
        <f t="shared" si="7"/>
        <v>0</v>
      </c>
      <c r="G21" t="e">
        <f t="shared" si="8"/>
        <v>#DIV/0!</v>
      </c>
      <c r="H21">
        <f t="shared" si="4"/>
        <v>0</v>
      </c>
      <c r="I21">
        <f t="shared" si="5"/>
        <v>0</v>
      </c>
      <c r="J21">
        <f t="shared" si="6"/>
        <v>1</v>
      </c>
      <c r="L21" s="55"/>
      <c r="M21" s="55"/>
      <c r="N21" s="56"/>
      <c r="O21" s="55"/>
      <c r="P21" s="55"/>
      <c r="Q21" s="55"/>
      <c r="R21" s="57"/>
    </row>
    <row r="22" spans="1:19" x14ac:dyDescent="0.15">
      <c r="A22" s="30" t="s">
        <v>190</v>
      </c>
      <c r="B22" s="68">
        <v>0</v>
      </c>
      <c r="C22" s="72">
        <f t="shared" si="2"/>
        <v>0</v>
      </c>
      <c r="D22" s="73">
        <f t="shared" si="3"/>
        <v>0</v>
      </c>
      <c r="E22">
        <f>COUNTIF(tables_settle_7106100!C:C,input_settle_7106100!A22)-COUNTIF(Q:Q,A22)</f>
        <v>0</v>
      </c>
      <c r="F22" s="41">
        <f t="shared" si="7"/>
        <v>0</v>
      </c>
      <c r="G22">
        <f t="shared" si="8"/>
        <v>0</v>
      </c>
      <c r="H22">
        <f t="shared" si="4"/>
        <v>0</v>
      </c>
      <c r="I22">
        <f t="shared" si="5"/>
        <v>0</v>
      </c>
      <c r="J22">
        <f t="shared" si="6"/>
        <v>1</v>
      </c>
      <c r="L22" s="55"/>
      <c r="M22" s="55"/>
      <c r="N22" s="56"/>
      <c r="O22" s="55"/>
      <c r="P22" s="55"/>
      <c r="Q22" s="55"/>
      <c r="R22" s="57"/>
    </row>
    <row r="23" spans="1:19" x14ac:dyDescent="0.15">
      <c r="A23" s="30" t="s">
        <v>191</v>
      </c>
      <c r="B23" s="87" t="e">
        <f>B7-B26-B28-B29-B21</f>
        <v>#DIV/0!</v>
      </c>
      <c r="C23" s="72">
        <f t="shared" si="2"/>
        <v>0</v>
      </c>
      <c r="D23" s="73" t="e">
        <f t="shared" si="3"/>
        <v>#DIV/0!</v>
      </c>
      <c r="E23">
        <f>COUNTIF(tables_settle_7106100!C:C,input_settle_7106100!A23)-COUNTIF(Q:Q,A23)</f>
        <v>0</v>
      </c>
      <c r="F23" s="41">
        <f t="shared" si="7"/>
        <v>0</v>
      </c>
      <c r="G23" t="e">
        <f t="shared" si="8"/>
        <v>#DIV/0!</v>
      </c>
      <c r="H23">
        <f t="shared" si="4"/>
        <v>0</v>
      </c>
      <c r="I23">
        <f t="shared" si="5"/>
        <v>0</v>
      </c>
      <c r="J23">
        <f t="shared" si="6"/>
        <v>1</v>
      </c>
      <c r="L23" s="55"/>
      <c r="M23" s="55"/>
      <c r="N23" s="56"/>
      <c r="O23" s="55"/>
      <c r="P23" s="55"/>
      <c r="Q23" s="55"/>
      <c r="R23" s="57"/>
    </row>
    <row r="24" spans="1:19" x14ac:dyDescent="0.15">
      <c r="A24" s="30" t="s">
        <v>187</v>
      </c>
      <c r="B24" s="40">
        <v>0</v>
      </c>
      <c r="C24" s="72">
        <f t="shared" si="2"/>
        <v>0</v>
      </c>
      <c r="D24" s="73">
        <f t="shared" si="3"/>
        <v>0</v>
      </c>
      <c r="E24">
        <f>COUNTIF(tables_settle_7106100!C:C,input_settle_7106100!A24)-COUNTIF(Q:Q,A24)</f>
        <v>0</v>
      </c>
      <c r="F24" s="41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5"/>
      <c r="M24" s="55"/>
      <c r="N24" s="56"/>
      <c r="O24" s="55"/>
      <c r="P24" s="55"/>
      <c r="Q24" s="55"/>
      <c r="R24" s="57"/>
    </row>
    <row r="25" spans="1:19" x14ac:dyDescent="0.15">
      <c r="A25" s="30" t="s">
        <v>188</v>
      </c>
      <c r="B25" s="40">
        <v>0</v>
      </c>
      <c r="C25" s="72">
        <f t="shared" si="2"/>
        <v>0</v>
      </c>
      <c r="D25" s="73">
        <f t="shared" si="3"/>
        <v>0</v>
      </c>
      <c r="E25">
        <f>COUNTIF(tables_settle_7106100!C:C,input_settle_7106100!A25)-COUNTIF(Q:Q,A25)</f>
        <v>0</v>
      </c>
      <c r="F25" s="41">
        <f t="shared" si="7"/>
        <v>0</v>
      </c>
      <c r="G25">
        <f t="shared" si="8"/>
        <v>0</v>
      </c>
      <c r="H25">
        <f t="shared" si="4"/>
        <v>0</v>
      </c>
      <c r="I25">
        <f t="shared" si="5"/>
        <v>0</v>
      </c>
      <c r="J25">
        <f t="shared" si="6"/>
        <v>1</v>
      </c>
      <c r="L25" s="55"/>
      <c r="M25" s="55"/>
      <c r="N25" s="56"/>
      <c r="O25" s="55"/>
      <c r="P25" s="55"/>
      <c r="Q25" s="55"/>
      <c r="R25" s="57"/>
    </row>
    <row r="26" spans="1:19" x14ac:dyDescent="0.15">
      <c r="A26" s="30" t="s">
        <v>189</v>
      </c>
      <c r="B26" s="40">
        <v>7.4999999999999997E-3</v>
      </c>
      <c r="C26" s="72">
        <f t="shared" si="2"/>
        <v>0</v>
      </c>
      <c r="D26" s="73">
        <f t="shared" si="3"/>
        <v>7.4999999999999997E-3</v>
      </c>
      <c r="E26">
        <f>COUNTIF(tables_settle_7106100!C:C,input_settle_7106100!A26)-COUNTIF(Q:Q,A26)</f>
        <v>4</v>
      </c>
      <c r="F26" s="41">
        <f t="shared" si="7"/>
        <v>1.8749999999999999E-3</v>
      </c>
      <c r="G26">
        <f t="shared" si="8"/>
        <v>0</v>
      </c>
      <c r="H26">
        <f t="shared" si="4"/>
        <v>0</v>
      </c>
      <c r="I26">
        <f t="shared" si="5"/>
        <v>0</v>
      </c>
      <c r="J26">
        <f t="shared" si="6"/>
        <v>1</v>
      </c>
      <c r="L26" s="55"/>
      <c r="M26" s="55"/>
      <c r="N26" s="56"/>
      <c r="O26" s="55"/>
      <c r="P26" s="55"/>
      <c r="Q26" s="55"/>
      <c r="R26" s="57"/>
    </row>
    <row r="27" spans="1:19" x14ac:dyDescent="0.15">
      <c r="A27" s="30" t="s">
        <v>97</v>
      </c>
      <c r="B27" s="40">
        <v>0</v>
      </c>
      <c r="C27" s="72">
        <f t="shared" si="2"/>
        <v>0</v>
      </c>
      <c r="D27" s="73">
        <f t="shared" si="3"/>
        <v>0</v>
      </c>
      <c r="E27">
        <f>COUNTIF(tables_settle_7106100!C:C,input_settle_7106100!A27)-COUNTIF(Q:Q,A27)</f>
        <v>0</v>
      </c>
      <c r="F27" s="41">
        <f>IFERROR(B27/E27,0)</f>
        <v>0</v>
      </c>
      <c r="G27">
        <f t="shared" si="8"/>
        <v>0</v>
      </c>
      <c r="H27">
        <f t="shared" si="4"/>
        <v>0</v>
      </c>
      <c r="I27">
        <f t="shared" si="5"/>
        <v>0</v>
      </c>
      <c r="J27">
        <f t="shared" si="6"/>
        <v>1</v>
      </c>
      <c r="L27" s="55"/>
      <c r="M27" s="55"/>
      <c r="N27" s="56"/>
      <c r="O27" s="55"/>
      <c r="P27" s="55"/>
      <c r="Q27" s="55"/>
      <c r="R27" s="57"/>
    </row>
    <row r="28" spans="1:19" x14ac:dyDescent="0.15">
      <c r="A28" s="30" t="s">
        <v>98</v>
      </c>
      <c r="B28" s="40">
        <v>5.2499999999999998E-2</v>
      </c>
      <c r="C28" s="72">
        <f t="shared" si="2"/>
        <v>0</v>
      </c>
      <c r="D28" s="73">
        <f t="shared" si="3"/>
        <v>5.2499999999999998E-2</v>
      </c>
      <c r="E28">
        <f>COUNTIF(tables_settle_7106100!C:C,input_settle_7106100!A28)-COUNTIF(Q:Q,A28)</f>
        <v>8</v>
      </c>
      <c r="F28" s="41">
        <f t="shared" si="7"/>
        <v>6.5624999999999998E-3</v>
      </c>
      <c r="G28">
        <f t="shared" si="8"/>
        <v>0</v>
      </c>
      <c r="H28">
        <f t="shared" si="4"/>
        <v>0</v>
      </c>
      <c r="I28">
        <f t="shared" si="5"/>
        <v>0</v>
      </c>
      <c r="J28">
        <f t="shared" si="6"/>
        <v>1</v>
      </c>
      <c r="L28" s="55"/>
      <c r="M28" s="55"/>
      <c r="N28" s="56"/>
      <c r="O28" s="55"/>
      <c r="P28" s="55"/>
      <c r="Q28" s="55"/>
      <c r="R28" s="57"/>
    </row>
    <row r="29" spans="1:19" x14ac:dyDescent="0.15">
      <c r="A29" s="30" t="s">
        <v>193</v>
      </c>
      <c r="B29" s="40">
        <v>3.7499999999999999E-3</v>
      </c>
      <c r="C29" s="72">
        <f t="shared" si="2"/>
        <v>0</v>
      </c>
      <c r="D29" s="73">
        <f t="shared" si="3"/>
        <v>3.7499999999999999E-3</v>
      </c>
      <c r="E29">
        <f>COUNTIF(tables_settle_7106100!C:C,input_settle_7106100!A29)-COUNTIF(Q:Q,A29)</f>
        <v>8</v>
      </c>
      <c r="F29" s="41">
        <f>IFERROR(B29/E29,0)</f>
        <v>4.6874999999999998E-4</v>
      </c>
      <c r="G29">
        <f t="shared" si="8"/>
        <v>0</v>
      </c>
      <c r="H29">
        <f t="shared" si="4"/>
        <v>0</v>
      </c>
      <c r="I29">
        <f t="shared" si="5"/>
        <v>0</v>
      </c>
      <c r="J29">
        <f t="shared" si="6"/>
        <v>1</v>
      </c>
      <c r="L29" s="55"/>
      <c r="M29" s="55"/>
      <c r="N29" s="56"/>
      <c r="O29" s="55"/>
      <c r="P29" s="55"/>
      <c r="Q29" s="55"/>
      <c r="R29" s="57"/>
    </row>
    <row r="30" spans="1:19" x14ac:dyDescent="0.15">
      <c r="A30" s="30" t="s">
        <v>192</v>
      </c>
      <c r="B30" s="40">
        <v>0</v>
      </c>
      <c r="C30" s="72">
        <f t="shared" si="2"/>
        <v>0</v>
      </c>
      <c r="D30" s="73">
        <f t="shared" si="3"/>
        <v>0</v>
      </c>
      <c r="E30">
        <f>COUNTIF(tables_settle_7106100!C:C,input_settle_7106100!A30)-COUNTIF(Q:Q,A30)</f>
        <v>0</v>
      </c>
      <c r="F30" s="41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5"/>
      <c r="M30" s="55"/>
      <c r="N30" s="56"/>
      <c r="O30" s="55"/>
      <c r="P30" s="55"/>
      <c r="Q30" s="55"/>
      <c r="R30" s="57"/>
    </row>
    <row r="31" spans="1:19" x14ac:dyDescent="0.15">
      <c r="A31" s="30" t="s">
        <v>99</v>
      </c>
      <c r="B31" s="40">
        <v>0</v>
      </c>
      <c r="C31" s="72">
        <f t="shared" si="2"/>
        <v>0</v>
      </c>
      <c r="D31" s="73">
        <f t="shared" si="3"/>
        <v>0</v>
      </c>
      <c r="E31">
        <f>COUNTIF(tables_settle_7106100!C:C,input_settle_7106100!A31)-COUNTIF(Q:Q,A31)</f>
        <v>0</v>
      </c>
      <c r="F31" s="41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5"/>
      <c r="M31" s="55"/>
      <c r="N31" s="56"/>
      <c r="O31" s="55"/>
      <c r="P31" s="55"/>
      <c r="Q31" s="55"/>
      <c r="R31" s="57"/>
    </row>
    <row r="32" spans="1:19" x14ac:dyDescent="0.15">
      <c r="A32" s="37" t="s">
        <v>53</v>
      </c>
      <c r="B32" s="38" t="e">
        <f>SUM(B17:B31)</f>
        <v>#DIV/0!</v>
      </c>
      <c r="C32" s="39">
        <f>SUM(C19:C31)</f>
        <v>0</v>
      </c>
      <c r="D32" s="40" t="e">
        <f t="shared" si="3"/>
        <v>#DIV/0!</v>
      </c>
      <c r="L32" s="55"/>
      <c r="M32" s="55"/>
      <c r="N32" s="55"/>
      <c r="O32" s="55"/>
      <c r="P32" s="55"/>
      <c r="Q32" s="55"/>
      <c r="R32" s="57"/>
    </row>
    <row r="35" spans="1:7" x14ac:dyDescent="0.15">
      <c r="A35" t="s">
        <v>67</v>
      </c>
    </row>
    <row r="36" spans="1:7" x14ac:dyDescent="0.15">
      <c r="A36" s="29">
        <f>LCM(F5-I5,F6-I6)*1000*2*2</f>
        <v>0</v>
      </c>
    </row>
    <row r="38" spans="1:7" x14ac:dyDescent="0.15">
      <c r="A38" s="45" t="s">
        <v>70</v>
      </c>
    </row>
    <row r="39" spans="1:7" x14ac:dyDescent="0.15">
      <c r="A39" s="30" t="s">
        <v>54</v>
      </c>
      <c r="B39" t="s">
        <v>68</v>
      </c>
      <c r="C39" t="s">
        <v>92</v>
      </c>
      <c r="E39" t="s">
        <v>93</v>
      </c>
      <c r="F39" t="s">
        <v>2</v>
      </c>
      <c r="G39" t="s">
        <v>57</v>
      </c>
    </row>
    <row r="40" spans="1:7" x14ac:dyDescent="0.15">
      <c r="A40" s="30" t="s">
        <v>94</v>
      </c>
      <c r="B40">
        <f>SUMIF(tables_settle_7106100!C:C,input_settle_7106100!A40,tables_settle_7106100!O:O)</f>
        <v>0</v>
      </c>
      <c r="C40" s="52">
        <f t="shared" ref="C40:C46" si="9">B40/B$47</f>
        <v>0</v>
      </c>
      <c r="E40">
        <v>3</v>
      </c>
      <c r="F40">
        <f>SUMIF(tables_settle_7106100!J:J,input_settle_7106100!E40,tables_settle_7106100!O:O)</f>
        <v>0</v>
      </c>
      <c r="G40" t="e">
        <f>F40/A36</f>
        <v>#DIV/0!</v>
      </c>
    </row>
    <row r="41" spans="1:7" x14ac:dyDescent="0.15">
      <c r="A41" s="30" t="s">
        <v>95</v>
      </c>
      <c r="B41">
        <f>SUMIF(tables_settle_7106100!C:C,input_settle_7106100!A41,tables_settle_7106100!O:O)</f>
        <v>0</v>
      </c>
      <c r="C41" s="52">
        <f t="shared" si="9"/>
        <v>0</v>
      </c>
      <c r="E41">
        <v>4</v>
      </c>
      <c r="F41">
        <f>SUMIF(tables_settle_7106100!J:J,input_settle_7106100!E41,tables_settle_7106100!O:O)</f>
        <v>0</v>
      </c>
      <c r="G41" t="e">
        <f>F41/A36</f>
        <v>#DIV/0!</v>
      </c>
    </row>
    <row r="42" spans="1:7" x14ac:dyDescent="0.15">
      <c r="A42" s="30" t="s">
        <v>100</v>
      </c>
      <c r="B42">
        <f>SUMIF(tables_settle_7106100!C:C,input_settle_7106100!A42,tables_settle_7106100!O:O)</f>
        <v>0</v>
      </c>
      <c r="C42" s="52">
        <f t="shared" si="9"/>
        <v>0</v>
      </c>
      <c r="E42">
        <v>5</v>
      </c>
      <c r="F42">
        <f>SUMIF(tables_settle_7106100!J:J,input_settle_7106100!E42,tables_settle_7106100!O:O)</f>
        <v>200</v>
      </c>
      <c r="G42" t="e">
        <f>F42/A36</f>
        <v>#DIV/0!</v>
      </c>
    </row>
    <row r="43" spans="1:7" x14ac:dyDescent="0.15">
      <c r="A43" s="30" t="s">
        <v>101</v>
      </c>
      <c r="B43">
        <f>SUMIF(tables_settle_7106100!C:C,input_settle_7106100!A43,tables_settle_7106100!O:O)</f>
        <v>0</v>
      </c>
      <c r="C43" s="52">
        <f t="shared" si="9"/>
        <v>0</v>
      </c>
      <c r="F43" s="53"/>
    </row>
    <row r="44" spans="1:7" x14ac:dyDescent="0.15">
      <c r="A44" s="30" t="s">
        <v>96</v>
      </c>
      <c r="B44">
        <f>SUMIF(tables_settle_7106100!C:C,input_settle_7106100!A44,tables_settle_7106100!O:O)</f>
        <v>0</v>
      </c>
      <c r="C44" s="52">
        <f t="shared" si="9"/>
        <v>0</v>
      </c>
      <c r="E44" t="s">
        <v>48</v>
      </c>
      <c r="F44" s="53"/>
    </row>
    <row r="45" spans="1:7" x14ac:dyDescent="0.15">
      <c r="A45" s="30" t="s">
        <v>102</v>
      </c>
      <c r="B45">
        <f>SUMIF(tables_settle_7106100!C:C,input_settle_7106100!A45,tables_settle_7106100!O:O)</f>
        <v>80</v>
      </c>
      <c r="C45" s="52">
        <f t="shared" si="9"/>
        <v>1</v>
      </c>
      <c r="E45" t="s">
        <v>198</v>
      </c>
      <c r="F45" s="53">
        <f>SUMIF(tables_settle_7106100!I:I,input_settle_7106100!E45,tables_settle_7106100!P:P)</f>
        <v>0</v>
      </c>
    </row>
    <row r="46" spans="1:7" x14ac:dyDescent="0.15">
      <c r="A46" s="30" t="s">
        <v>103</v>
      </c>
      <c r="B46">
        <f>SUMIF(tables_settle_7106100!C:C,input_settle_7106100!A46,tables_settle_7106100!O:O)</f>
        <v>0</v>
      </c>
      <c r="C46" s="52">
        <f t="shared" si="9"/>
        <v>0</v>
      </c>
      <c r="E46" t="s">
        <v>199</v>
      </c>
      <c r="F46" s="53">
        <f>SUMIF(tables_settle_7106100!I:I,input_settle_7106100!E46,tables_settle_7106100!P:P)</f>
        <v>0.15000000000000002</v>
      </c>
    </row>
    <row r="47" spans="1:7" x14ac:dyDescent="0.15">
      <c r="A47" s="37" t="s">
        <v>53</v>
      </c>
      <c r="B47">
        <f>SUM(B40:B46)</f>
        <v>80</v>
      </c>
      <c r="C47" s="53">
        <f>SUM(C40:C46)</f>
        <v>1</v>
      </c>
      <c r="E47" t="s">
        <v>200</v>
      </c>
      <c r="F47" s="53">
        <f>SUMIF(tables_settle_7106100!I:I,input_settle_7106100!E47,tables_settle_7106100!P:P)</f>
        <v>0.05</v>
      </c>
    </row>
    <row r="48" spans="1:7" x14ac:dyDescent="0.15">
      <c r="E48" t="s">
        <v>201</v>
      </c>
      <c r="F48" s="53">
        <f>SUMIF(tables_settle_7106100!I:I,input_settle_7106100!E48,tables_settle_7106100!P:P)</f>
        <v>0.80000000000000016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77"/>
  <sheetViews>
    <sheetView showGridLines="0" zoomScale="75" zoomScaleNormal="75" zoomScalePageLayoutView="75" workbookViewId="0">
      <pane ySplit="1" topLeftCell="A2" activePane="bottomLeft" state="frozen"/>
      <selection activeCell="E6" sqref="E6"/>
      <selection pane="bottomLeft" activeCell="A20" sqref="A2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219</v>
      </c>
      <c r="B1" s="13" t="s">
        <v>1</v>
      </c>
      <c r="C1" s="3" t="s">
        <v>31</v>
      </c>
      <c r="D1" s="3" t="s">
        <v>220</v>
      </c>
      <c r="E1" s="3" t="s">
        <v>182</v>
      </c>
      <c r="F1" s="3" t="s">
        <v>183</v>
      </c>
      <c r="G1" s="3" t="s">
        <v>221</v>
      </c>
      <c r="H1" s="3" t="s">
        <v>222</v>
      </c>
      <c r="I1" s="3" t="s">
        <v>223</v>
      </c>
      <c r="J1" s="3" t="s">
        <v>224</v>
      </c>
      <c r="K1" s="3" t="s">
        <v>225</v>
      </c>
      <c r="L1" s="3" t="s">
        <v>226</v>
      </c>
      <c r="M1" s="3" t="s">
        <v>227</v>
      </c>
      <c r="N1" s="3" t="s">
        <v>52</v>
      </c>
      <c r="O1" s="13" t="s">
        <v>228</v>
      </c>
      <c r="P1" s="3" t="s">
        <v>57</v>
      </c>
      <c r="Q1" s="13" t="s">
        <v>229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</row>
    <row r="2" spans="1:22" ht="21" customHeight="1" x14ac:dyDescent="0.15">
      <c r="A2" s="2" t="str">
        <f ca="1">input_settle_7106100!A$2</f>
        <v>7106100</v>
      </c>
      <c r="B2" s="6">
        <v>168</v>
      </c>
      <c r="C2" s="7" t="str">
        <f t="shared" ref="C2:C9" si="0">D2&amp;J2&amp;E2&amp;F2&amp;G2</f>
        <v>Premium5R6release</v>
      </c>
      <c r="D2" s="7" t="str">
        <f t="shared" ref="D2:D9" si="1">IF(I2="PremiumSS",I2,IF(I2="PremiumSSS",I2,IF(I2="PremiumW",I2,"Premium")))</f>
        <v>Premium</v>
      </c>
      <c r="E2" s="7" t="str">
        <f>IF(COUNTIF('R6追加前'!A:A,B2)=0,IF(I2="PremiumSS","R5only","R3less"),"")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3">
        <v>10</v>
      </c>
      <c r="P2" s="44">
        <f t="shared" ref="P2:P9" si="2">O2/SUM(O:O)</f>
        <v>0.05</v>
      </c>
      <c r="Q2" s="28">
        <v>1</v>
      </c>
      <c r="R2" s="28">
        <v>0</v>
      </c>
      <c r="S2" s="28">
        <v>0</v>
      </c>
      <c r="T2" s="28">
        <v>0</v>
      </c>
      <c r="U2" s="28">
        <v>0</v>
      </c>
      <c r="V2" s="28">
        <v>1</v>
      </c>
    </row>
    <row r="3" spans="1:22" ht="21" customHeight="1" x14ac:dyDescent="0.15">
      <c r="A3" s="2" t="str">
        <f ca="1">input_settle_7106100!A$2</f>
        <v>7106100</v>
      </c>
      <c r="B3" s="6">
        <v>171</v>
      </c>
      <c r="C3" s="7" t="str">
        <f t="shared" si="0"/>
        <v>Premium5R6release</v>
      </c>
      <c r="D3" s="7" t="str">
        <f t="shared" si="1"/>
        <v>Premium</v>
      </c>
      <c r="E3" s="7" t="str">
        <f>IF(COUNTIF('R6追加前'!A:A,B3)=0,IF(I3="PremiumSS","R5only","R3less"),"")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3">
        <v>10</v>
      </c>
      <c r="P3" s="44">
        <f t="shared" si="2"/>
        <v>0.05</v>
      </c>
      <c r="Q3" s="28">
        <v>1</v>
      </c>
      <c r="R3" s="28">
        <v>0</v>
      </c>
      <c r="S3" s="28">
        <v>0</v>
      </c>
      <c r="T3" s="28">
        <v>0</v>
      </c>
      <c r="U3" s="28">
        <v>0</v>
      </c>
      <c r="V3" s="28">
        <v>1</v>
      </c>
    </row>
    <row r="4" spans="1:22" ht="21" customHeight="1" x14ac:dyDescent="0.15">
      <c r="A4" s="2" t="str">
        <f ca="1">input_settle_7106100!A$2</f>
        <v>7106100</v>
      </c>
      <c r="B4" s="6">
        <v>174</v>
      </c>
      <c r="C4" s="7" t="str">
        <f t="shared" si="0"/>
        <v>Premium5R6release</v>
      </c>
      <c r="D4" s="7" t="str">
        <f t="shared" si="1"/>
        <v>Premium</v>
      </c>
      <c r="E4" s="7" t="str">
        <f>IF(COUNTIF('R6追加前'!A:A,B4)=0,IF(I4="PremiumSS","R5only","R3less"),"")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3">
        <v>10</v>
      </c>
      <c r="P4" s="44">
        <f t="shared" si="2"/>
        <v>0.05</v>
      </c>
      <c r="Q4" s="28">
        <v>1</v>
      </c>
      <c r="R4" s="28">
        <v>0</v>
      </c>
      <c r="S4" s="28">
        <v>0</v>
      </c>
      <c r="T4" s="28">
        <v>0</v>
      </c>
      <c r="U4" s="28">
        <v>0</v>
      </c>
      <c r="V4" s="28">
        <v>1</v>
      </c>
    </row>
    <row r="5" spans="1:22" ht="21" customHeight="1" x14ac:dyDescent="0.15">
      <c r="A5" s="2" t="str">
        <f ca="1">input_settle_7106100!A$2</f>
        <v>7106100</v>
      </c>
      <c r="B5" s="5">
        <v>237</v>
      </c>
      <c r="C5" s="7" t="str">
        <f t="shared" si="0"/>
        <v>Premium5R6release</v>
      </c>
      <c r="D5" s="7" t="str">
        <f t="shared" si="1"/>
        <v>Premium</v>
      </c>
      <c r="E5" s="7" t="str">
        <f>IF(COUNTIF('R6追加前'!A:A,B5)=0,IF(I5="PremiumSS","R5only","R3less"),"")</f>
        <v/>
      </c>
      <c r="F5" s="7" t="str">
        <f>IF(COUNTIF('R6開放'!A:A,B5)&gt;0,"R6release","")</f>
        <v>R6release</v>
      </c>
      <c r="G5" s="7"/>
      <c r="H5" s="7" t="str">
        <f>VLOOKUP(B5,[1]characters!$A:$C,3,FALSE)</f>
        <v>森羅万象の神母 イザナミ</v>
      </c>
      <c r="I5" s="7" t="str">
        <f>VLOOKUP(B5,[1]characters!$A:$J,10,FALSE)</f>
        <v>PremiumS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3">
        <v>10</v>
      </c>
      <c r="P5" s="44">
        <f t="shared" si="2"/>
        <v>0.05</v>
      </c>
      <c r="Q5" s="28">
        <v>1</v>
      </c>
      <c r="R5" s="28">
        <v>0</v>
      </c>
      <c r="S5" s="28">
        <v>0</v>
      </c>
      <c r="T5" s="28">
        <v>0</v>
      </c>
      <c r="U5" s="28">
        <v>0</v>
      </c>
      <c r="V5" s="28">
        <v>1</v>
      </c>
    </row>
    <row r="6" spans="1:22" ht="21" customHeight="1" x14ac:dyDescent="0.15">
      <c r="A6" s="2" t="str">
        <f ca="1">input_settle_7106100!A$2</f>
        <v>7106100</v>
      </c>
      <c r="B6" s="58">
        <v>732</v>
      </c>
      <c r="C6" s="7" t="str">
        <f t="shared" si="0"/>
        <v>PremiumSS5R5only</v>
      </c>
      <c r="D6" s="7" t="str">
        <f t="shared" si="1"/>
        <v>PremiumSS</v>
      </c>
      <c r="E6" s="7" t="str">
        <f>IF(COUNTIF('R6追加前'!A:A,B6)=0,IF(I6="PremiumSS","R5only","R3less"),"")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上杉謙信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human</v>
      </c>
      <c r="N6" s="7" t="str">
        <f>VLOOKUP(B6,[1]characters!$A:$G,7,FALSE)</f>
        <v>女性</v>
      </c>
      <c r="O6" s="43">
        <v>10</v>
      </c>
      <c r="P6" s="44">
        <f t="shared" si="2"/>
        <v>0.05</v>
      </c>
      <c r="Q6" s="28">
        <v>1</v>
      </c>
      <c r="R6" s="28">
        <v>0</v>
      </c>
      <c r="S6" s="28">
        <v>0</v>
      </c>
      <c r="T6" s="28">
        <v>0</v>
      </c>
      <c r="U6" s="28">
        <v>0</v>
      </c>
      <c r="V6" s="28">
        <v>1</v>
      </c>
    </row>
    <row r="7" spans="1:22" ht="21" customHeight="1" x14ac:dyDescent="0.15">
      <c r="A7" s="2" t="str">
        <f ca="1">input_settle_7106100!A$2</f>
        <v>7106100</v>
      </c>
      <c r="B7" s="58">
        <v>734</v>
      </c>
      <c r="C7" s="7" t="str">
        <f t="shared" si="0"/>
        <v>PremiumSS5R5only</v>
      </c>
      <c r="D7" s="7" t="str">
        <f t="shared" si="1"/>
        <v>PremiumSS</v>
      </c>
      <c r="E7" s="7" t="str">
        <f>IF(COUNTIF('R6追加前'!A:A,B7)=0,IF(I7="PremiumSS","R5only","R3less"),"")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伊達政宗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balance</v>
      </c>
      <c r="M7" s="7" t="str">
        <f>VLOOKUP(B7,[1]characters!$A:$M,13,FALSE)</f>
        <v>human</v>
      </c>
      <c r="N7" s="7" t="str">
        <f>VLOOKUP(B7,[1]characters!$A:$G,7,FALSE)</f>
        <v>男性</v>
      </c>
      <c r="O7" s="43">
        <v>10</v>
      </c>
      <c r="P7" s="44">
        <f t="shared" si="2"/>
        <v>0.05</v>
      </c>
      <c r="Q7" s="28">
        <v>1</v>
      </c>
      <c r="R7" s="28">
        <v>0</v>
      </c>
      <c r="S7" s="28">
        <v>0</v>
      </c>
      <c r="T7" s="28">
        <v>0</v>
      </c>
      <c r="U7" s="28">
        <v>0</v>
      </c>
      <c r="V7" s="28">
        <v>1</v>
      </c>
    </row>
    <row r="8" spans="1:22" ht="21" customHeight="1" x14ac:dyDescent="0.15">
      <c r="A8" s="2" t="str">
        <f ca="1">input_settle_7106100!A$2</f>
        <v>7106100</v>
      </c>
      <c r="B8" s="58">
        <v>325</v>
      </c>
      <c r="C8" s="7" t="str">
        <f t="shared" si="0"/>
        <v>PremiumSS5</v>
      </c>
      <c r="D8" s="7" t="str">
        <f t="shared" si="1"/>
        <v>PremiumSS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天賦の凛志士 沖田総司</v>
      </c>
      <c r="I8" s="7" t="str">
        <f>VLOOKUP(B8,[1]characters!$A:$J,10,FALSE)</f>
        <v>PremiumSS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balance</v>
      </c>
      <c r="M8" s="7" t="str">
        <f>VLOOKUP(B8,[1]characters!$A:$M,13,FALSE)</f>
        <v>human</v>
      </c>
      <c r="N8" s="7" t="str">
        <f>VLOOKUP(B8,[1]characters!$A:$G,7,FALSE)</f>
        <v>女性</v>
      </c>
      <c r="O8" s="43">
        <v>10</v>
      </c>
      <c r="P8" s="44">
        <f t="shared" si="2"/>
        <v>0.05</v>
      </c>
      <c r="Q8" s="28">
        <v>1</v>
      </c>
      <c r="R8" s="28">
        <v>0</v>
      </c>
      <c r="S8" s="28">
        <v>0</v>
      </c>
      <c r="T8" s="28">
        <v>0</v>
      </c>
      <c r="U8" s="28">
        <v>0</v>
      </c>
      <c r="V8" s="28">
        <v>1</v>
      </c>
    </row>
    <row r="9" spans="1:22" ht="21" customHeight="1" x14ac:dyDescent="0.15">
      <c r="A9" s="2" t="str">
        <f ca="1">input_settle_7106100!A$2</f>
        <v>7106100</v>
      </c>
      <c r="B9" s="58">
        <v>391</v>
      </c>
      <c r="C9" s="7" t="str">
        <f t="shared" si="0"/>
        <v>PremiumSS5</v>
      </c>
      <c r="D9" s="7" t="str">
        <f t="shared" si="1"/>
        <v>PremiumSS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燕翼の旅人 親指姫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red</v>
      </c>
      <c r="L9" s="7" t="str">
        <f>VLOOKUP(B9,[1]characters!$A:$K,11,FALSE)</f>
        <v>heal</v>
      </c>
      <c r="M9" s="7" t="str">
        <f>VLOOKUP(B9,[1]characters!$A:$M,13,FALSE)</f>
        <v>human</v>
      </c>
      <c r="N9" s="7" t="str">
        <f>VLOOKUP(B9,[1]characters!$A:$G,7,FALSE)</f>
        <v>女性</v>
      </c>
      <c r="O9" s="43">
        <v>10</v>
      </c>
      <c r="P9" s="44">
        <f t="shared" si="2"/>
        <v>0.05</v>
      </c>
      <c r="Q9" s="28">
        <v>1</v>
      </c>
      <c r="R9" s="28">
        <v>0</v>
      </c>
      <c r="S9" s="28">
        <v>0</v>
      </c>
      <c r="T9" s="28">
        <v>0</v>
      </c>
      <c r="U9" s="28">
        <v>0</v>
      </c>
      <c r="V9" s="28">
        <v>1</v>
      </c>
    </row>
    <row r="10" spans="1:22" ht="21" customHeight="1" x14ac:dyDescent="0.15">
      <c r="A10" s="2" t="str">
        <f ca="1">input_settle_7106100!A$2</f>
        <v>7106100</v>
      </c>
      <c r="B10" s="58">
        <v>848</v>
      </c>
      <c r="C10" s="7" t="str">
        <f t="shared" ref="C10:C11" si="3">D10&amp;J10&amp;E10&amp;F10&amp;G10</f>
        <v>PremiumSS5R5only</v>
      </c>
      <c r="D10" s="7" t="str">
        <f t="shared" ref="D10:D11" si="4">IF(I10="PremiumSS",I10,IF(I10="PremiumSSS",I10,IF(I10="PremiumW",I10,"Premium")))</f>
        <v>PremiumSS</v>
      </c>
      <c r="E10" s="7" t="str">
        <f>IF(COUNTIF('R6追加前'!A:A,B10)=0,IF(I10="PremiumSS","R5only","R3less"),"")</f>
        <v>R5only</v>
      </c>
      <c r="F10" s="7" t="str">
        <f>IF(COUNTIF('R6開放'!A:A,B10)&gt;0,"R6release","")</f>
        <v/>
      </c>
      <c r="G10" s="7"/>
      <c r="H10" s="7" t="str">
        <f>VLOOKUP(B10,[1]characters!$A:$C,3,FALSE)</f>
        <v>メタトロン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god</v>
      </c>
      <c r="N10" s="7" t="str">
        <f>VLOOKUP(B10,[1]characters!$A:$G,7,FALSE)</f>
        <v>男性</v>
      </c>
      <c r="O10" s="43">
        <v>10</v>
      </c>
      <c r="P10" s="44">
        <f t="shared" ref="P10:P11" si="5">O10/SUM(O:O)</f>
        <v>0.05</v>
      </c>
      <c r="Q10" s="28">
        <v>1</v>
      </c>
      <c r="R10" s="28">
        <v>0</v>
      </c>
      <c r="S10" s="28">
        <v>0</v>
      </c>
      <c r="T10" s="28">
        <v>0</v>
      </c>
      <c r="U10" s="28">
        <v>0</v>
      </c>
      <c r="V10" s="28">
        <v>1</v>
      </c>
    </row>
    <row r="11" spans="1:22" ht="21" customHeight="1" x14ac:dyDescent="0.15">
      <c r="A11" s="2" t="str">
        <f ca="1">input_settle_7106100!A$2</f>
        <v>7106100</v>
      </c>
      <c r="B11" s="58">
        <v>850</v>
      </c>
      <c r="C11" s="7" t="str">
        <f t="shared" si="3"/>
        <v>PremiumSS5R5only</v>
      </c>
      <c r="D11" s="7" t="str">
        <f t="shared" si="4"/>
        <v>PremiumSS</v>
      </c>
      <c r="E11" s="7" t="str">
        <f>IF(COUNTIF('R6追加前'!A:A,B11)=0,IF(I11="PremiumSS","R5only","R3less"),"")</f>
        <v>R5only</v>
      </c>
      <c r="F11" s="7" t="str">
        <f>IF(COUNTIF('R6開放'!A:A,B11)&gt;0,"R6release","")</f>
        <v/>
      </c>
      <c r="G11" s="7"/>
      <c r="H11" s="7" t="str">
        <f>VLOOKUP(B11,[1]characters!$A:$C,3,FALSE)</f>
        <v>バアル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technical</v>
      </c>
      <c r="M11" s="7" t="str">
        <f>VLOOKUP(B11,[1]characters!$A:$M,13,FALSE)</f>
        <v>god</v>
      </c>
      <c r="N11" s="7" t="str">
        <f>VLOOKUP(B11,[1]characters!$A:$G,7,FALSE)</f>
        <v>男性</v>
      </c>
      <c r="O11" s="43">
        <v>10</v>
      </c>
      <c r="P11" s="44">
        <f t="shared" si="5"/>
        <v>0.05</v>
      </c>
      <c r="Q11" s="28">
        <v>1</v>
      </c>
      <c r="R11" s="28">
        <v>0</v>
      </c>
      <c r="S11" s="28">
        <v>0</v>
      </c>
      <c r="T11" s="28">
        <v>0</v>
      </c>
      <c r="U11" s="28">
        <v>0</v>
      </c>
      <c r="V11" s="28">
        <v>1</v>
      </c>
    </row>
    <row r="12" spans="1:22" ht="21" customHeight="1" x14ac:dyDescent="0.15">
      <c r="A12" s="2" t="str">
        <f ca="1">input_settle_7106100!A$2</f>
        <v>7106100</v>
      </c>
      <c r="B12" s="58">
        <v>404</v>
      </c>
      <c r="C12" s="7" t="str">
        <f t="shared" ref="C12:C13" si="6">D12&amp;J12&amp;E12&amp;F12&amp;G12</f>
        <v>PremiumSS5</v>
      </c>
      <c r="D12" s="7" t="str">
        <f t="shared" ref="D12:D13" si="7">IF(I12="PremiumSS",I12,IF(I12="PremiumSSS",I12,IF(I12="PremiumW",I12,"Premium")))</f>
        <v>PremiumSS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空襲の神眼 八咫烏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animal</v>
      </c>
      <c r="N12" s="7" t="str">
        <f>VLOOKUP(B12,[1]characters!$A:$G,7,FALSE)</f>
        <v>女性</v>
      </c>
      <c r="O12" s="43">
        <v>10</v>
      </c>
      <c r="P12" s="44">
        <f t="shared" ref="P12:P13" si="8">O12/SUM(O:O)</f>
        <v>0.05</v>
      </c>
      <c r="Q12" s="28">
        <v>1</v>
      </c>
      <c r="R12" s="28">
        <v>0</v>
      </c>
      <c r="S12" s="28">
        <v>0</v>
      </c>
      <c r="T12" s="28">
        <v>0</v>
      </c>
      <c r="U12" s="28">
        <v>0</v>
      </c>
      <c r="V12" s="28">
        <v>1</v>
      </c>
    </row>
    <row r="13" spans="1:22" ht="21" customHeight="1" x14ac:dyDescent="0.15">
      <c r="A13" s="2" t="str">
        <f ca="1">input_settle_7106100!A$2</f>
        <v>7106100</v>
      </c>
      <c r="B13" s="58">
        <v>399</v>
      </c>
      <c r="C13" s="7" t="str">
        <f t="shared" si="6"/>
        <v>PremiumSS5</v>
      </c>
      <c r="D13" s="7" t="str">
        <f t="shared" si="7"/>
        <v>PremiumSS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信愛の兄妹 ヘンゼル＆グレーテル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3">
        <v>10</v>
      </c>
      <c r="P13" s="44">
        <f t="shared" si="8"/>
        <v>0.05</v>
      </c>
      <c r="Q13" s="28">
        <v>1</v>
      </c>
      <c r="R13" s="28">
        <v>0</v>
      </c>
      <c r="S13" s="28">
        <v>0</v>
      </c>
      <c r="T13" s="28">
        <v>0</v>
      </c>
      <c r="U13" s="28">
        <v>0</v>
      </c>
      <c r="V13" s="28">
        <v>1</v>
      </c>
    </row>
    <row r="14" spans="1:22" ht="21" customHeight="1" x14ac:dyDescent="0.15">
      <c r="A14" s="2" t="str">
        <f ca="1">input_settle_7106100!A$2</f>
        <v>7106100</v>
      </c>
      <c r="B14" s="58">
        <v>866</v>
      </c>
      <c r="C14" s="7" t="str">
        <f t="shared" ref="C14:C15" si="9">D14&amp;J14&amp;E14&amp;F14&amp;G14</f>
        <v>PremiumSS5R5only</v>
      </c>
      <c r="D14" s="7" t="str">
        <f t="shared" ref="D14:D15" si="10">IF(I14="PremiumSS",I14,IF(I14="PremiumSSS",I14,IF(I14="PremiumW",I14,"Premium")))</f>
        <v>PremiumSS</v>
      </c>
      <c r="E14" s="7" t="str">
        <f>IF(COUNTIF('R6追加前'!A:A,B14)=0,IF(I14="PremiumSS","R5only","R3less"),"")</f>
        <v>R5only</v>
      </c>
      <c r="F14" s="7" t="str">
        <f>IF(COUNTIF('R6開放'!A:A,B14)&gt;0,"R6release","")</f>
        <v/>
      </c>
      <c r="G14" s="7"/>
      <c r="H14" s="7" t="str">
        <f>VLOOKUP(B14,[1]characters!$A:$C,3,FALSE)</f>
        <v>無敗の司令姫 白雪姫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男性</v>
      </c>
      <c r="O14" s="43">
        <v>10</v>
      </c>
      <c r="P14" s="44">
        <f t="shared" ref="P14:P15" si="11">O14/SUM(O:O)</f>
        <v>0.05</v>
      </c>
      <c r="Q14" s="28">
        <v>1</v>
      </c>
      <c r="R14" s="28">
        <v>0</v>
      </c>
      <c r="S14" s="28">
        <v>0</v>
      </c>
      <c r="T14" s="28">
        <v>0</v>
      </c>
      <c r="U14" s="28">
        <v>0</v>
      </c>
      <c r="V14" s="28">
        <v>1</v>
      </c>
    </row>
    <row r="15" spans="1:22" ht="21" customHeight="1" x14ac:dyDescent="0.15">
      <c r="A15" s="2" t="str">
        <f ca="1">input_settle_7106100!A$2</f>
        <v>7106100</v>
      </c>
      <c r="B15" s="58">
        <v>868</v>
      </c>
      <c r="C15" s="7" t="str">
        <f t="shared" si="9"/>
        <v>PremiumSS5R5only</v>
      </c>
      <c r="D15" s="7" t="str">
        <f t="shared" si="10"/>
        <v>PremiumSS</v>
      </c>
      <c r="E15" s="7" t="str">
        <f>IF(COUNTIF('R6追加前'!A:A,B15)=0,IF(I15="PremiumSS","R5only","R3less"),"")</f>
        <v>R5only</v>
      </c>
      <c r="F15" s="7" t="str">
        <f>IF(COUNTIF('R6開放'!A:A,B15)&gt;0,"R6release","")</f>
        <v/>
      </c>
      <c r="G15" s="7"/>
      <c r="H15" s="7" t="str">
        <f>VLOOKUP(B15,[1]characters!$A:$C,3,FALSE)</f>
        <v>アラジンと殲滅機兵LAMP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yellow</v>
      </c>
      <c r="L15" s="7" t="str">
        <f>VLOOKUP(B15,[1]characters!$A:$K,11,FALSE)</f>
        <v>hp</v>
      </c>
      <c r="M15" s="7" t="str">
        <f>VLOOKUP(B15,[1]characters!$A:$M,13,FALSE)</f>
        <v>human</v>
      </c>
      <c r="N15" s="7" t="str">
        <f>VLOOKUP(B15,[1]characters!$A:$G,7,FALSE)</f>
        <v>男性</v>
      </c>
      <c r="O15" s="43">
        <v>10</v>
      </c>
      <c r="P15" s="44">
        <f t="shared" si="11"/>
        <v>0.05</v>
      </c>
      <c r="Q15" s="28">
        <v>1</v>
      </c>
      <c r="R15" s="28">
        <v>0</v>
      </c>
      <c r="S15" s="28">
        <v>0</v>
      </c>
      <c r="T15" s="28">
        <v>0</v>
      </c>
      <c r="U15" s="28">
        <v>0</v>
      </c>
      <c r="V15" s="28">
        <v>1</v>
      </c>
    </row>
    <row r="16" spans="1:22" ht="21" customHeight="1" x14ac:dyDescent="0.15">
      <c r="A16" s="2" t="str">
        <f ca="1">input_settle_7106100!A$2</f>
        <v>7106100</v>
      </c>
      <c r="B16" s="88">
        <v>435</v>
      </c>
      <c r="C16" s="7" t="str">
        <f t="shared" ref="C16:C17" si="12">D16&amp;J16&amp;E16&amp;F16&amp;G16</f>
        <v>PremiumSS5</v>
      </c>
      <c r="D16" s="7" t="str">
        <f t="shared" ref="D16:D17" si="13">IF(I16="PremiumSS",I16,IF(I16="PremiumSSS",I16,IF(I16="PremiumW",I16,"Premium")))</f>
        <v>PremiumSS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曝弾の密偵 D.R.T.H.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red</v>
      </c>
      <c r="L16" s="7" t="str">
        <f>VLOOKUP(B16,[1]characters!$A:$K,11,FALSE)</f>
        <v>balance</v>
      </c>
      <c r="M16" s="7" t="str">
        <f>VLOOKUP(B16,[1]characters!$A:$M,13,FALSE)</f>
        <v>human</v>
      </c>
      <c r="N16" s="7" t="str">
        <f>VLOOKUP(B16,[1]characters!$A:$G,7,FALSE)</f>
        <v>女性</v>
      </c>
      <c r="O16" s="43">
        <v>10</v>
      </c>
      <c r="P16" s="44">
        <f t="shared" ref="P16:P17" si="14">O16/SUM(O:O)</f>
        <v>0.05</v>
      </c>
      <c r="Q16" s="28">
        <v>1</v>
      </c>
      <c r="R16" s="28">
        <v>0</v>
      </c>
      <c r="S16" s="28">
        <v>0</v>
      </c>
      <c r="T16" s="28">
        <v>0</v>
      </c>
      <c r="U16" s="28">
        <v>0</v>
      </c>
      <c r="V16" s="28">
        <v>1</v>
      </c>
    </row>
    <row r="17" spans="1:22" ht="21" customHeight="1" x14ac:dyDescent="0.15">
      <c r="A17" s="2" t="str">
        <f ca="1">input_settle_7106100!A$2</f>
        <v>7106100</v>
      </c>
      <c r="B17" s="88">
        <v>468</v>
      </c>
      <c r="C17" s="7" t="str">
        <f t="shared" si="12"/>
        <v>PremiumSS5</v>
      </c>
      <c r="D17" s="7" t="str">
        <f t="shared" si="13"/>
        <v>PremiumSS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憎愛の尖鋒 モルドレッド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blue</v>
      </c>
      <c r="L17" s="7" t="str">
        <f>VLOOKUP(B17,[1]characters!$A:$K,11,FALSE)</f>
        <v>technical</v>
      </c>
      <c r="M17" s="7" t="str">
        <f>VLOOKUP(B17,[1]characters!$A:$M,13,FALSE)</f>
        <v>human</v>
      </c>
      <c r="N17" s="7" t="str">
        <f>VLOOKUP(B17,[1]characters!$A:$G,7,FALSE)</f>
        <v>女性</v>
      </c>
      <c r="O17" s="43">
        <v>10</v>
      </c>
      <c r="P17" s="44">
        <f t="shared" si="14"/>
        <v>0.05</v>
      </c>
      <c r="Q17" s="28">
        <v>1</v>
      </c>
      <c r="R17" s="28">
        <v>0</v>
      </c>
      <c r="S17" s="28">
        <v>0</v>
      </c>
      <c r="T17" s="28">
        <v>0</v>
      </c>
      <c r="U17" s="28">
        <v>0</v>
      </c>
      <c r="V17" s="28">
        <v>1</v>
      </c>
    </row>
    <row r="18" spans="1:22" ht="21" customHeight="1" x14ac:dyDescent="0.15">
      <c r="A18" s="2" t="str">
        <f ca="1">input_settle_7106100!A$2</f>
        <v>7106100</v>
      </c>
      <c r="B18" s="88">
        <v>493</v>
      </c>
      <c r="C18" s="7" t="str">
        <f t="shared" ref="C18:C19" si="15">D18&amp;J18&amp;E18&amp;F18&amp;G18</f>
        <v>PremiumSS5</v>
      </c>
      <c r="D18" s="7" t="str">
        <f t="shared" ref="D18:D19" si="16">IF(I18="PremiumSS",I18,IF(I18="PremiumSSS",I18,IF(I18="PremiumW",I18,"Premium")))</f>
        <v>PremiumSS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跋扈の機脚 ブートレグ・ペロー</v>
      </c>
      <c r="I18" s="7" t="str">
        <f>VLOOKUP(B18,[1]characters!$A:$J,10,FALSE)</f>
        <v>PremiumSS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hp</v>
      </c>
      <c r="M18" s="7" t="str">
        <f>VLOOKUP(B18,[1]characters!$A:$M,13,FALSE)</f>
        <v>animal</v>
      </c>
      <c r="N18" s="7" t="str">
        <f>VLOOKUP(B18,[1]characters!$A:$G,7,FALSE)</f>
        <v>不明</v>
      </c>
      <c r="O18" s="43">
        <v>10</v>
      </c>
      <c r="P18" s="44">
        <f t="shared" ref="P18:P19" si="17">O18/SUM(O:O)</f>
        <v>0.05</v>
      </c>
      <c r="Q18" s="28">
        <v>1</v>
      </c>
      <c r="R18" s="28">
        <v>0</v>
      </c>
      <c r="S18" s="28">
        <v>0</v>
      </c>
      <c r="T18" s="28">
        <v>0</v>
      </c>
      <c r="U18" s="28">
        <v>0</v>
      </c>
      <c r="V18" s="28">
        <v>1</v>
      </c>
    </row>
    <row r="19" spans="1:22" ht="21" customHeight="1" x14ac:dyDescent="0.15">
      <c r="A19" s="2" t="str">
        <f ca="1">input_settle_7106100!A$2</f>
        <v>7106100</v>
      </c>
      <c r="B19" s="88">
        <v>495</v>
      </c>
      <c r="C19" s="7" t="str">
        <f t="shared" si="15"/>
        <v>PremiumSS5</v>
      </c>
      <c r="D19" s="7" t="str">
        <f t="shared" si="16"/>
        <v>PremiumSS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鼠災呼ぶ笛音 ハーメルン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technical</v>
      </c>
      <c r="M19" s="7" t="str">
        <f>VLOOKUP(B19,[1]characters!$A:$M,13,FALSE)</f>
        <v>human</v>
      </c>
      <c r="N19" s="7" t="str">
        <f>VLOOKUP(B19,[1]characters!$A:$G,7,FALSE)</f>
        <v>男性</v>
      </c>
      <c r="O19" s="43">
        <v>10</v>
      </c>
      <c r="P19" s="44">
        <f t="shared" si="17"/>
        <v>0.05</v>
      </c>
      <c r="Q19" s="28">
        <v>1</v>
      </c>
      <c r="R19" s="28">
        <v>0</v>
      </c>
      <c r="S19" s="28">
        <v>0</v>
      </c>
      <c r="T19" s="28">
        <v>0</v>
      </c>
      <c r="U19" s="28">
        <v>0</v>
      </c>
      <c r="V19" s="28">
        <v>1</v>
      </c>
    </row>
    <row r="20" spans="1:22" ht="21" customHeight="1" x14ac:dyDescent="0.15">
      <c r="A20" s="2" t="str">
        <f ca="1">input_settle_7106100!A$2</f>
        <v>7106100</v>
      </c>
      <c r="B20" s="88">
        <v>742</v>
      </c>
      <c r="C20" s="7" t="str">
        <f t="shared" ref="C20:C21" si="18">D20&amp;J20&amp;E20&amp;F20&amp;G20</f>
        <v>PremiumSS5R5only</v>
      </c>
      <c r="D20" s="7" t="str">
        <f t="shared" ref="D20:D21" si="19">IF(I20="PremiumSS",I20,IF(I20="PremiumSSS",I20,IF(I20="PremiumW",I20,"Premium")))</f>
        <v>PremiumSS</v>
      </c>
      <c r="E20" s="7" t="str">
        <f>IF(COUNTIF('R6追加前'!A:A,B20)=0,IF(I20="PremiumSS","R5only","R3less"),"")</f>
        <v>R5only</v>
      </c>
      <c r="F20" s="7" t="str">
        <f>IF(COUNTIF('R6開放'!A:A,B20)&gt;0,"R6release","")</f>
        <v/>
      </c>
      <c r="G20" s="7"/>
      <c r="H20" s="7" t="str">
        <f>VLOOKUP(B20,[1]characters!$A:$C,3,FALSE)</f>
        <v>アポロン</v>
      </c>
      <c r="I20" s="7" t="str">
        <f>VLOOKUP(B20,[1]characters!$A:$J,10,FALSE)</f>
        <v>PremiumSS</v>
      </c>
      <c r="J20" s="7">
        <f>VLOOKUP(B20,[1]characters!$A:$I,9,FALSE)</f>
        <v>5</v>
      </c>
      <c r="K20" s="7" t="str">
        <f>VLOOKUP(B20,[1]characters!$A:$H,8,FALSE)</f>
        <v>red</v>
      </c>
      <c r="L20" s="7" t="str">
        <f>VLOOKUP(B20,[1]characters!$A:$K,11,FALSE)</f>
        <v>attack</v>
      </c>
      <c r="M20" s="7" t="str">
        <f>VLOOKUP(B20,[1]characters!$A:$M,13,FALSE)</f>
        <v>god</v>
      </c>
      <c r="N20" s="7" t="str">
        <f>VLOOKUP(B20,[1]characters!$A:$G,7,FALSE)</f>
        <v>男性</v>
      </c>
      <c r="O20" s="43">
        <v>10</v>
      </c>
      <c r="P20" s="44">
        <f t="shared" ref="P20:P21" si="20">O20/SUM(O:O)</f>
        <v>0.05</v>
      </c>
      <c r="Q20" s="28">
        <v>1</v>
      </c>
      <c r="R20" s="28">
        <v>0</v>
      </c>
      <c r="S20" s="28">
        <v>0</v>
      </c>
      <c r="T20" s="28">
        <v>0</v>
      </c>
      <c r="U20" s="28">
        <v>0</v>
      </c>
      <c r="V20" s="28">
        <v>1</v>
      </c>
    </row>
    <row r="21" spans="1:22" ht="21" customHeight="1" x14ac:dyDescent="0.15">
      <c r="A21" s="2" t="str">
        <f ca="1">input_settle_7106100!A$2</f>
        <v>7106100</v>
      </c>
      <c r="B21" s="88">
        <v>744</v>
      </c>
      <c r="C21" s="7" t="str">
        <f t="shared" si="18"/>
        <v>PremiumSS5R5only</v>
      </c>
      <c r="D21" s="7" t="str">
        <f t="shared" si="19"/>
        <v>PremiumSS</v>
      </c>
      <c r="E21" s="7" t="str">
        <f>IF(COUNTIF('R6追加前'!A:A,B21)=0,IF(I21="PremiumSS","R5only","R3less"),"")</f>
        <v>R5only</v>
      </c>
      <c r="F21" s="7" t="str">
        <f>IF(COUNTIF('R6開放'!A:A,B21)&gt;0,"R6release","")</f>
        <v/>
      </c>
      <c r="G21" s="7"/>
      <c r="H21" s="7" t="str">
        <f>VLOOKUP(B21,[1]characters!$A:$C,3,FALSE)</f>
        <v>ヘルメス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green</v>
      </c>
      <c r="L21" s="7" t="str">
        <f>VLOOKUP(B21,[1]characters!$A:$K,11,FALSE)</f>
        <v>technical</v>
      </c>
      <c r="M21" s="7" t="str">
        <f>VLOOKUP(B21,[1]characters!$A:$M,13,FALSE)</f>
        <v>god</v>
      </c>
      <c r="N21" s="7" t="str">
        <f>VLOOKUP(B21,[1]characters!$A:$G,7,FALSE)</f>
        <v>男性</v>
      </c>
      <c r="O21" s="43">
        <v>10</v>
      </c>
      <c r="P21" s="44">
        <f t="shared" si="20"/>
        <v>0.05</v>
      </c>
      <c r="Q21" s="28">
        <v>1</v>
      </c>
      <c r="R21" s="28">
        <v>0</v>
      </c>
      <c r="S21" s="28">
        <v>0</v>
      </c>
      <c r="T21" s="28">
        <v>0</v>
      </c>
      <c r="U21" s="28">
        <v>0</v>
      </c>
      <c r="V21" s="28">
        <v>1</v>
      </c>
    </row>
    <row r="22" spans="1:22" ht="21" customHeight="1" x14ac:dyDescent="0.15">
      <c r="K22" s="1"/>
    </row>
    <row r="23" spans="1:22" ht="21" customHeight="1" x14ac:dyDescent="0.15">
      <c r="K23" s="1"/>
    </row>
    <row r="24" spans="1:22" ht="21" customHeight="1" x14ac:dyDescent="0.15">
      <c r="K24" s="1"/>
    </row>
    <row r="25" spans="1:22" ht="21" customHeight="1" x14ac:dyDescent="0.15">
      <c r="K25" s="1"/>
    </row>
    <row r="26" spans="1:22" ht="21" customHeight="1" x14ac:dyDescent="0.15">
      <c r="K26" s="1"/>
    </row>
    <row r="27" spans="1:22" ht="21" customHeight="1" x14ac:dyDescent="0.15">
      <c r="K27" s="1"/>
    </row>
    <row r="28" spans="1:22" ht="21" customHeight="1" x14ac:dyDescent="0.15">
      <c r="K28" s="1"/>
    </row>
    <row r="29" spans="1:22" ht="21" customHeight="1" x14ac:dyDescent="0.15">
      <c r="K29" s="1"/>
    </row>
    <row r="30" spans="1:22" ht="21" customHeight="1" x14ac:dyDescent="0.15">
      <c r="K30" s="1"/>
    </row>
    <row r="31" spans="1:22" ht="21" customHeight="1" x14ac:dyDescent="0.15">
      <c r="K31" s="1"/>
    </row>
    <row r="32" spans="1:22" ht="21" customHeight="1" x14ac:dyDescent="0.15">
      <c r="K32" s="1"/>
    </row>
    <row r="33" spans="11:11" ht="21" customHeight="1" x14ac:dyDescent="0.15">
      <c r="K33" s="1"/>
    </row>
    <row r="34" spans="11:11" ht="21" customHeight="1" x14ac:dyDescent="0.15">
      <c r="K34" s="1"/>
    </row>
    <row r="35" spans="11:11" ht="21" customHeight="1" x14ac:dyDescent="0.15">
      <c r="K35" s="1"/>
    </row>
    <row r="36" spans="11:11" ht="21" customHeight="1" x14ac:dyDescent="0.15">
      <c r="K36" s="1"/>
    </row>
    <row r="37" spans="11:11" ht="21" customHeight="1" x14ac:dyDescent="0.15">
      <c r="K37" s="1"/>
    </row>
    <row r="38" spans="11:11" ht="21" customHeight="1" x14ac:dyDescent="0.15">
      <c r="K38" s="1"/>
    </row>
    <row r="39" spans="11:11" ht="21" customHeight="1" x14ac:dyDescent="0.15">
      <c r="K39" s="1"/>
    </row>
    <row r="40" spans="11:11" ht="21" customHeight="1" x14ac:dyDescent="0.15">
      <c r="K40" s="1"/>
    </row>
    <row r="41" spans="11:11" ht="21" customHeight="1" x14ac:dyDescent="0.15">
      <c r="K41" s="1"/>
    </row>
    <row r="42" spans="11:11" ht="21" customHeight="1" x14ac:dyDescent="0.15">
      <c r="K42" s="1"/>
    </row>
    <row r="43" spans="11:11" ht="21" customHeight="1" x14ac:dyDescent="0.15">
      <c r="K43" s="1"/>
    </row>
    <row r="44" spans="11:11" ht="21" customHeight="1" x14ac:dyDescent="0.15">
      <c r="K44" s="1"/>
    </row>
    <row r="45" spans="11:11" ht="21" customHeight="1" x14ac:dyDescent="0.15">
      <c r="K45" s="1"/>
    </row>
    <row r="46" spans="11:11" ht="21" customHeight="1" x14ac:dyDescent="0.15">
      <c r="K46" s="1"/>
    </row>
    <row r="47" spans="11:11" ht="21" customHeight="1" x14ac:dyDescent="0.15">
      <c r="K47" s="1"/>
    </row>
    <row r="48" spans="11:11" ht="21" customHeight="1" x14ac:dyDescent="0.15">
      <c r="K48" s="1"/>
    </row>
    <row r="49" spans="11:11" ht="21" customHeight="1" x14ac:dyDescent="0.15">
      <c r="K49" s="1"/>
    </row>
    <row r="50" spans="11:11" ht="21" customHeight="1" x14ac:dyDescent="0.15">
      <c r="K50" s="1"/>
    </row>
    <row r="51" spans="11:11" ht="21" customHeight="1" x14ac:dyDescent="0.15">
      <c r="K51" s="1"/>
    </row>
    <row r="52" spans="11:11" ht="21" customHeight="1" x14ac:dyDescent="0.15">
      <c r="K52" s="1"/>
    </row>
    <row r="53" spans="11:11" ht="21" customHeight="1" x14ac:dyDescent="0.15">
      <c r="K53" s="1"/>
    </row>
    <row r="54" spans="11:11" ht="21" customHeight="1" x14ac:dyDescent="0.15">
      <c r="K54" s="1"/>
    </row>
    <row r="55" spans="11:11" ht="21" customHeight="1" x14ac:dyDescent="0.15">
      <c r="K55" s="1"/>
    </row>
    <row r="56" spans="11:11" ht="21" customHeight="1" x14ac:dyDescent="0.15">
      <c r="K56" s="1"/>
    </row>
    <row r="57" spans="11:11" ht="21" customHeight="1" x14ac:dyDescent="0.15">
      <c r="K57" s="1"/>
    </row>
    <row r="58" spans="11:11" ht="21" customHeight="1" x14ac:dyDescent="0.15">
      <c r="K58" s="1"/>
    </row>
    <row r="59" spans="11:11" ht="21" customHeight="1" x14ac:dyDescent="0.15">
      <c r="K59" s="1"/>
    </row>
    <row r="60" spans="11:11" ht="21" customHeight="1" x14ac:dyDescent="0.15">
      <c r="K60" s="1"/>
    </row>
    <row r="61" spans="11:11" ht="21" customHeight="1" x14ac:dyDescent="0.15">
      <c r="K61" s="1"/>
    </row>
    <row r="62" spans="11:11" ht="21" customHeight="1" x14ac:dyDescent="0.15">
      <c r="K62" s="1"/>
    </row>
    <row r="63" spans="11:11" ht="21" customHeight="1" x14ac:dyDescent="0.15">
      <c r="K63" s="1"/>
    </row>
    <row r="64" spans="11:11" ht="21" customHeight="1" x14ac:dyDescent="0.15">
      <c r="K64" s="1"/>
    </row>
    <row r="65" spans="11:11" ht="21" customHeight="1" x14ac:dyDescent="0.15">
      <c r="K65" s="1"/>
    </row>
    <row r="66" spans="11:11" ht="21" customHeight="1" x14ac:dyDescent="0.15">
      <c r="K66" s="1"/>
    </row>
    <row r="67" spans="11:11" ht="21" customHeight="1" x14ac:dyDescent="0.15">
      <c r="K67" s="1"/>
    </row>
    <row r="68" spans="11:11" ht="21" customHeight="1" x14ac:dyDescent="0.15">
      <c r="K68" s="1"/>
    </row>
    <row r="69" spans="11:11" ht="21" customHeight="1" x14ac:dyDescent="0.15">
      <c r="K69" s="1"/>
    </row>
    <row r="70" spans="11:11" ht="21" customHeight="1" x14ac:dyDescent="0.15">
      <c r="K70" s="1"/>
    </row>
    <row r="71" spans="11:11" ht="21" customHeight="1" x14ac:dyDescent="0.15">
      <c r="K71" s="1"/>
    </row>
    <row r="72" spans="11:11" ht="21" customHeight="1" x14ac:dyDescent="0.15">
      <c r="K72" s="1"/>
    </row>
    <row r="73" spans="11:11" ht="21" customHeight="1" x14ac:dyDescent="0.15">
      <c r="K73" s="1"/>
    </row>
    <row r="74" spans="11:11" ht="21" customHeight="1" x14ac:dyDescent="0.15">
      <c r="K74" s="1"/>
    </row>
    <row r="75" spans="11:11" ht="21" customHeight="1" x14ac:dyDescent="0.15">
      <c r="K75" s="1"/>
    </row>
    <row r="76" spans="11:11" ht="21" customHeight="1" x14ac:dyDescent="0.15">
      <c r="K76" s="1"/>
    </row>
    <row r="77" spans="11:11" ht="21" customHeight="1" x14ac:dyDescent="0.15">
      <c r="K77" s="1"/>
    </row>
    <row r="78" spans="11:11" ht="21" customHeight="1" x14ac:dyDescent="0.15">
      <c r="K78" s="1"/>
    </row>
    <row r="79" spans="11:11" ht="21" customHeight="1" x14ac:dyDescent="0.15">
      <c r="K79" s="1"/>
    </row>
    <row r="80" spans="11:11" ht="21" customHeight="1" x14ac:dyDescent="0.15">
      <c r="K80" s="1"/>
    </row>
    <row r="81" spans="11:11" ht="21" customHeight="1" x14ac:dyDescent="0.15">
      <c r="K81" s="1"/>
    </row>
    <row r="82" spans="11:11" ht="21" customHeight="1" x14ac:dyDescent="0.15">
      <c r="K82" s="1"/>
    </row>
    <row r="83" spans="11:11" ht="21" customHeight="1" x14ac:dyDescent="0.15">
      <c r="K83" s="1"/>
    </row>
    <row r="84" spans="11:11" ht="21" customHeight="1" x14ac:dyDescent="0.15">
      <c r="K84" s="1"/>
    </row>
    <row r="85" spans="11:11" ht="21" customHeight="1" x14ac:dyDescent="0.15">
      <c r="K85" s="1"/>
    </row>
    <row r="86" spans="11:11" ht="21" customHeight="1" x14ac:dyDescent="0.15">
      <c r="K86" s="1"/>
    </row>
    <row r="87" spans="11:11" ht="21" customHeight="1" x14ac:dyDescent="0.15">
      <c r="K87" s="1"/>
    </row>
    <row r="88" spans="11:11" ht="21" customHeight="1" x14ac:dyDescent="0.15">
      <c r="K88" s="1"/>
    </row>
    <row r="89" spans="11:11" ht="21" customHeight="1" x14ac:dyDescent="0.15">
      <c r="K89" s="1"/>
    </row>
    <row r="90" spans="11:11" ht="21" customHeight="1" x14ac:dyDescent="0.15">
      <c r="K90" s="1"/>
    </row>
    <row r="91" spans="11:11" ht="21" customHeight="1" x14ac:dyDescent="0.15">
      <c r="K91" s="1"/>
    </row>
    <row r="92" spans="11:11" ht="21" customHeight="1" x14ac:dyDescent="0.15">
      <c r="K92" s="1"/>
    </row>
    <row r="93" spans="11:11" ht="21" customHeight="1" x14ac:dyDescent="0.15">
      <c r="K93" s="1"/>
    </row>
    <row r="94" spans="11:11" ht="21" customHeight="1" x14ac:dyDescent="0.15">
      <c r="K94" s="1"/>
    </row>
    <row r="95" spans="11:11" ht="21" customHeight="1" x14ac:dyDescent="0.15">
      <c r="K95" s="1"/>
    </row>
    <row r="96" spans="11:11" ht="21" customHeight="1" x14ac:dyDescent="0.15">
      <c r="K96" s="1"/>
    </row>
    <row r="97" spans="11:11" ht="21" customHeight="1" x14ac:dyDescent="0.15">
      <c r="K97" s="1"/>
    </row>
    <row r="98" spans="11:11" ht="21" customHeight="1" x14ac:dyDescent="0.15">
      <c r="K98" s="1"/>
    </row>
    <row r="99" spans="11:11" ht="21" customHeight="1" x14ac:dyDescent="0.15">
      <c r="K99" s="1"/>
    </row>
    <row r="100" spans="11:11" ht="21" customHeight="1" x14ac:dyDescent="0.15">
      <c r="K100" s="1"/>
    </row>
    <row r="101" spans="11:11" ht="21" customHeight="1" x14ac:dyDescent="0.15">
      <c r="K101" s="1"/>
    </row>
    <row r="102" spans="11:11" ht="21" customHeight="1" x14ac:dyDescent="0.15">
      <c r="K102" s="1"/>
    </row>
    <row r="103" spans="11:11" ht="21" customHeight="1" x14ac:dyDescent="0.15">
      <c r="K103" s="1"/>
    </row>
    <row r="104" spans="11:11" ht="21" customHeight="1" x14ac:dyDescent="0.15">
      <c r="K104" s="1"/>
    </row>
    <row r="105" spans="11:11" ht="21" customHeight="1" x14ac:dyDescent="0.15">
      <c r="K105" s="1"/>
    </row>
    <row r="106" spans="11:11" ht="21" customHeight="1" x14ac:dyDescent="0.15">
      <c r="K106" s="1"/>
    </row>
    <row r="107" spans="11:11" ht="21" customHeight="1" x14ac:dyDescent="0.15">
      <c r="K107" s="1"/>
    </row>
    <row r="108" spans="11:11" ht="21" customHeight="1" x14ac:dyDescent="0.15">
      <c r="K108" s="1"/>
    </row>
    <row r="109" spans="11:11" ht="21" customHeight="1" x14ac:dyDescent="0.15">
      <c r="K109" s="1"/>
    </row>
    <row r="110" spans="11:11" ht="21" customHeight="1" x14ac:dyDescent="0.15">
      <c r="K110" s="1"/>
    </row>
    <row r="111" spans="11:11" ht="21" customHeight="1" x14ac:dyDescent="0.15">
      <c r="K111" s="1"/>
    </row>
    <row r="112" spans="11:11" ht="21" customHeight="1" x14ac:dyDescent="0.15">
      <c r="K112" s="1"/>
    </row>
    <row r="113" spans="11:11" ht="21" customHeight="1" x14ac:dyDescent="0.15">
      <c r="K113" s="1"/>
    </row>
    <row r="114" spans="11:11" ht="21" customHeight="1" x14ac:dyDescent="0.15">
      <c r="K114" s="1"/>
    </row>
    <row r="115" spans="11:11" ht="21" customHeight="1" x14ac:dyDescent="0.15">
      <c r="K115" s="1"/>
    </row>
    <row r="116" spans="11:11" ht="21" customHeight="1" x14ac:dyDescent="0.15">
      <c r="K116" s="1"/>
    </row>
    <row r="117" spans="11:11" ht="21" customHeight="1" x14ac:dyDescent="0.15">
      <c r="K117" s="1"/>
    </row>
    <row r="118" spans="11:11" ht="21" customHeight="1" x14ac:dyDescent="0.15">
      <c r="K118" s="1"/>
    </row>
    <row r="119" spans="11:11" ht="21" customHeight="1" x14ac:dyDescent="0.15">
      <c r="K119" s="1"/>
    </row>
    <row r="120" spans="11:11" ht="21" customHeight="1" x14ac:dyDescent="0.15">
      <c r="K120" s="1"/>
    </row>
    <row r="121" spans="11:11" ht="21" customHeight="1" x14ac:dyDescent="0.15">
      <c r="K121" s="1"/>
    </row>
    <row r="122" spans="11:11" ht="21" customHeight="1" x14ac:dyDescent="0.15">
      <c r="K122" s="1"/>
    </row>
    <row r="123" spans="11:11" ht="21" customHeight="1" x14ac:dyDescent="0.15">
      <c r="K123" s="1"/>
    </row>
    <row r="124" spans="11:11" ht="21" customHeight="1" x14ac:dyDescent="0.15">
      <c r="K124" s="1"/>
    </row>
    <row r="125" spans="11:11" ht="21" customHeight="1" x14ac:dyDescent="0.15">
      <c r="K125" s="1"/>
    </row>
    <row r="126" spans="11:11" ht="21" customHeight="1" x14ac:dyDescent="0.15">
      <c r="K126" s="1"/>
    </row>
    <row r="127" spans="11:11" ht="21" customHeight="1" x14ac:dyDescent="0.15">
      <c r="K127" s="1"/>
    </row>
    <row r="128" spans="11:11" ht="21" customHeight="1" x14ac:dyDescent="0.15">
      <c r="K128" s="1"/>
    </row>
    <row r="129" spans="11:11" ht="21" customHeight="1" x14ac:dyDescent="0.15">
      <c r="K129" s="1"/>
    </row>
    <row r="130" spans="11:11" ht="21" customHeight="1" x14ac:dyDescent="0.15">
      <c r="K130" s="1"/>
    </row>
    <row r="131" spans="11:11" ht="21" customHeight="1" x14ac:dyDescent="0.15">
      <c r="K131" s="1"/>
    </row>
    <row r="132" spans="11:11" ht="21" customHeight="1" x14ac:dyDescent="0.15">
      <c r="K132" s="1"/>
    </row>
    <row r="133" spans="11:11" ht="21" customHeight="1" x14ac:dyDescent="0.15">
      <c r="K133" s="1"/>
    </row>
    <row r="134" spans="11:11" ht="21" customHeight="1" x14ac:dyDescent="0.15">
      <c r="K134" s="1"/>
    </row>
    <row r="135" spans="11:11" ht="21" customHeight="1" x14ac:dyDescent="0.15">
      <c r="K135" s="1"/>
    </row>
    <row r="136" spans="11:11" ht="21" customHeight="1" x14ac:dyDescent="0.15">
      <c r="K136" s="1"/>
    </row>
    <row r="137" spans="11:11" ht="21" customHeight="1" x14ac:dyDescent="0.15">
      <c r="K137" s="1"/>
    </row>
    <row r="138" spans="11:11" ht="21" customHeight="1" x14ac:dyDescent="0.15">
      <c r="K138" s="1"/>
    </row>
    <row r="139" spans="11:11" ht="21" customHeight="1" x14ac:dyDescent="0.15">
      <c r="K139" s="1"/>
    </row>
    <row r="140" spans="11:11" ht="21" customHeight="1" x14ac:dyDescent="0.15">
      <c r="K140" s="1"/>
    </row>
    <row r="141" spans="11:11" ht="21" customHeight="1" x14ac:dyDescent="0.15">
      <c r="K141" s="1"/>
    </row>
    <row r="142" spans="11:11" ht="21" customHeight="1" x14ac:dyDescent="0.15">
      <c r="K142" s="1"/>
    </row>
    <row r="143" spans="11:11" ht="21" customHeight="1" x14ac:dyDescent="0.15">
      <c r="K143" s="1"/>
    </row>
    <row r="144" spans="11:11" ht="21" customHeight="1" x14ac:dyDescent="0.15">
      <c r="K144" s="1"/>
    </row>
    <row r="145" spans="11:11" ht="21" customHeight="1" x14ac:dyDescent="0.15">
      <c r="K145" s="1"/>
    </row>
    <row r="146" spans="11:11" ht="21" customHeight="1" x14ac:dyDescent="0.15">
      <c r="K146" s="1"/>
    </row>
    <row r="147" spans="11:11" ht="21" customHeight="1" x14ac:dyDescent="0.15">
      <c r="K147" s="1"/>
    </row>
    <row r="148" spans="11:11" ht="21" customHeight="1" x14ac:dyDescent="0.15">
      <c r="K148" s="1"/>
    </row>
    <row r="149" spans="11:11" ht="21" customHeight="1" x14ac:dyDescent="0.15">
      <c r="K149" s="1"/>
    </row>
    <row r="150" spans="11:11" ht="21" customHeight="1" x14ac:dyDescent="0.15">
      <c r="K150" s="1"/>
    </row>
    <row r="151" spans="11:11" ht="21" customHeight="1" x14ac:dyDescent="0.15">
      <c r="K151" s="1"/>
    </row>
    <row r="152" spans="11:11" ht="21" customHeight="1" x14ac:dyDescent="0.15">
      <c r="K152" s="1"/>
    </row>
    <row r="153" spans="11:11" ht="21" customHeight="1" x14ac:dyDescent="0.15">
      <c r="K153" s="1"/>
    </row>
    <row r="154" spans="11:11" ht="21" customHeight="1" x14ac:dyDescent="0.15">
      <c r="K154" s="1"/>
    </row>
    <row r="155" spans="11:11" ht="21" customHeight="1" x14ac:dyDescent="0.15">
      <c r="K155" s="1"/>
    </row>
    <row r="156" spans="11:11" ht="21" customHeight="1" x14ac:dyDescent="0.15">
      <c r="K156" s="1"/>
    </row>
    <row r="157" spans="11:11" ht="21" customHeight="1" x14ac:dyDescent="0.15">
      <c r="K157" s="1"/>
    </row>
    <row r="158" spans="11:11" ht="21" customHeight="1" x14ac:dyDescent="0.15">
      <c r="K158" s="1"/>
    </row>
    <row r="159" spans="11:11" ht="21" customHeight="1" x14ac:dyDescent="0.15">
      <c r="K159" s="1"/>
    </row>
    <row r="160" spans="11:11" ht="21" customHeight="1" x14ac:dyDescent="0.15">
      <c r="K160" s="1"/>
    </row>
    <row r="161" spans="11:11" ht="21" customHeight="1" x14ac:dyDescent="0.15">
      <c r="K161" s="1"/>
    </row>
    <row r="162" spans="11:11" ht="21" customHeight="1" x14ac:dyDescent="0.15">
      <c r="K162" s="1"/>
    </row>
    <row r="163" spans="11:11" ht="21" customHeight="1" x14ac:dyDescent="0.15">
      <c r="K163" s="1"/>
    </row>
    <row r="164" spans="11:11" ht="21" customHeight="1" x14ac:dyDescent="0.15">
      <c r="K164" s="1"/>
    </row>
    <row r="165" spans="11:11" ht="21" customHeight="1" x14ac:dyDescent="0.15">
      <c r="K165" s="1"/>
    </row>
    <row r="166" spans="11:11" ht="21" customHeight="1" x14ac:dyDescent="0.15">
      <c r="K166" s="1"/>
    </row>
    <row r="167" spans="11:11" ht="21" customHeight="1" x14ac:dyDescent="0.15">
      <c r="K167" s="1"/>
    </row>
    <row r="168" spans="11:11" ht="21" customHeight="1" x14ac:dyDescent="0.15">
      <c r="K168" s="1"/>
    </row>
    <row r="169" spans="11:11" ht="21" customHeight="1" x14ac:dyDescent="0.15">
      <c r="K169" s="1"/>
    </row>
    <row r="170" spans="11:11" ht="21" customHeight="1" x14ac:dyDescent="0.15">
      <c r="K170" s="1"/>
    </row>
    <row r="171" spans="11:11" ht="21" customHeight="1" x14ac:dyDescent="0.15">
      <c r="K171" s="1"/>
    </row>
    <row r="172" spans="11:11" ht="21" customHeight="1" x14ac:dyDescent="0.15">
      <c r="K172" s="1"/>
    </row>
    <row r="173" spans="11:11" ht="21" customHeight="1" x14ac:dyDescent="0.15">
      <c r="K173" s="1"/>
    </row>
    <row r="174" spans="11:11" ht="21" customHeight="1" x14ac:dyDescent="0.15">
      <c r="K174" s="1"/>
    </row>
    <row r="175" spans="11:11" ht="21" customHeight="1" x14ac:dyDescent="0.15">
      <c r="K175" s="1"/>
    </row>
    <row r="176" spans="11:11" ht="21" customHeight="1" x14ac:dyDescent="0.15">
      <c r="K176" s="1"/>
    </row>
    <row r="177" spans="11:11" ht="21" customHeight="1" x14ac:dyDescent="0.15">
      <c r="K177" s="1"/>
    </row>
    <row r="178" spans="11:11" ht="21" customHeight="1" x14ac:dyDescent="0.15">
      <c r="K178" s="1"/>
    </row>
    <row r="179" spans="11:11" ht="21" customHeight="1" x14ac:dyDescent="0.15">
      <c r="K179" s="1"/>
    </row>
    <row r="180" spans="11:11" ht="21" customHeight="1" x14ac:dyDescent="0.15">
      <c r="K180" s="1"/>
    </row>
    <row r="181" spans="11:11" ht="21" customHeight="1" x14ac:dyDescent="0.15">
      <c r="K181" s="1"/>
    </row>
    <row r="182" spans="11:11" ht="21" customHeight="1" x14ac:dyDescent="0.15">
      <c r="K182" s="1"/>
    </row>
    <row r="183" spans="11:11" ht="21" customHeight="1" x14ac:dyDescent="0.15">
      <c r="K183" s="1"/>
    </row>
    <row r="184" spans="11:11" ht="21" customHeight="1" x14ac:dyDescent="0.15">
      <c r="K184" s="1"/>
    </row>
    <row r="185" spans="11:11" ht="21" customHeight="1" x14ac:dyDescent="0.15">
      <c r="K185" s="1"/>
    </row>
    <row r="186" spans="11:11" ht="21" customHeight="1" x14ac:dyDescent="0.15">
      <c r="K186" s="1"/>
    </row>
    <row r="187" spans="11:11" ht="21" customHeight="1" x14ac:dyDescent="0.15">
      <c r="K187" s="1"/>
    </row>
    <row r="188" spans="11:11" ht="21" customHeight="1" x14ac:dyDescent="0.15">
      <c r="K188" s="1"/>
    </row>
    <row r="189" spans="11:11" ht="21" customHeight="1" x14ac:dyDescent="0.15">
      <c r="K189" s="1"/>
    </row>
    <row r="190" spans="11:11" ht="21" customHeight="1" x14ac:dyDescent="0.15">
      <c r="K190" s="1"/>
    </row>
    <row r="191" spans="11:11" ht="21" customHeight="1" x14ac:dyDescent="0.15">
      <c r="K191" s="1"/>
    </row>
    <row r="192" spans="11:11" ht="21" customHeight="1" x14ac:dyDescent="0.15">
      <c r="K192" s="1"/>
    </row>
    <row r="193" spans="11:11" ht="21" customHeight="1" x14ac:dyDescent="0.15">
      <c r="K193" s="1"/>
    </row>
    <row r="194" spans="11:11" ht="21" customHeight="1" x14ac:dyDescent="0.15">
      <c r="K194" s="1"/>
    </row>
    <row r="195" spans="11:11" ht="21" customHeight="1" x14ac:dyDescent="0.15">
      <c r="K195" s="1"/>
    </row>
    <row r="196" spans="11:11" ht="21" customHeight="1" x14ac:dyDescent="0.15">
      <c r="K196" s="1"/>
    </row>
    <row r="197" spans="11:11" ht="21" customHeight="1" x14ac:dyDescent="0.15">
      <c r="K197" s="1"/>
    </row>
    <row r="198" spans="11:11" ht="21" customHeight="1" x14ac:dyDescent="0.15">
      <c r="K198" s="1"/>
    </row>
    <row r="199" spans="11:11" ht="21" customHeight="1" x14ac:dyDescent="0.15">
      <c r="K199" s="1"/>
    </row>
    <row r="200" spans="11:11" ht="21" customHeight="1" x14ac:dyDescent="0.15">
      <c r="K200" s="1"/>
    </row>
    <row r="201" spans="11:11" ht="21" customHeight="1" x14ac:dyDescent="0.15">
      <c r="K201" s="1"/>
    </row>
    <row r="202" spans="11:11" ht="21" customHeight="1" x14ac:dyDescent="0.15">
      <c r="K202" s="1"/>
    </row>
    <row r="203" spans="11:11" ht="21" customHeight="1" x14ac:dyDescent="0.15">
      <c r="K203" s="1"/>
    </row>
    <row r="204" spans="11:11" ht="21" customHeight="1" x14ac:dyDescent="0.15">
      <c r="K204" s="1"/>
    </row>
    <row r="205" spans="11:11" ht="21" customHeight="1" x14ac:dyDescent="0.15">
      <c r="K205" s="1"/>
    </row>
    <row r="206" spans="11:11" ht="21" customHeight="1" x14ac:dyDescent="0.15">
      <c r="K206" s="1"/>
    </row>
    <row r="207" spans="11:11" ht="21" customHeight="1" x14ac:dyDescent="0.15">
      <c r="K207" s="1"/>
    </row>
    <row r="208" spans="11:11" ht="21" customHeight="1" x14ac:dyDescent="0.15">
      <c r="K208" s="1"/>
    </row>
    <row r="209" spans="11:11" ht="21" customHeight="1" x14ac:dyDescent="0.15">
      <c r="K209" s="1"/>
    </row>
    <row r="210" spans="11:11" ht="21" customHeight="1" x14ac:dyDescent="0.15">
      <c r="K210" s="1"/>
    </row>
    <row r="211" spans="11:11" ht="21" customHeight="1" x14ac:dyDescent="0.15">
      <c r="K211" s="1"/>
    </row>
    <row r="212" spans="11:11" ht="21" customHeight="1" x14ac:dyDescent="0.15">
      <c r="K212" s="1"/>
    </row>
    <row r="213" spans="11:11" ht="21" customHeight="1" x14ac:dyDescent="0.15">
      <c r="K213" s="1"/>
    </row>
    <row r="214" spans="11:11" ht="21" customHeight="1" x14ac:dyDescent="0.15">
      <c r="K214" s="1"/>
    </row>
    <row r="215" spans="11:11" ht="21" customHeight="1" x14ac:dyDescent="0.15">
      <c r="K215" s="1"/>
    </row>
    <row r="216" spans="11:11" ht="21" customHeight="1" x14ac:dyDescent="0.15">
      <c r="K216" s="1"/>
    </row>
    <row r="217" spans="11:11" ht="21" customHeight="1" x14ac:dyDescent="0.15">
      <c r="K217" s="1"/>
    </row>
    <row r="218" spans="11:11" ht="21" customHeight="1" x14ac:dyDescent="0.15">
      <c r="K218" s="1"/>
    </row>
    <row r="219" spans="11:11" ht="21" customHeight="1" x14ac:dyDescent="0.15">
      <c r="K219" s="1"/>
    </row>
    <row r="220" spans="11:11" ht="21" customHeight="1" x14ac:dyDescent="0.15">
      <c r="K220" s="1"/>
    </row>
    <row r="221" spans="11:11" ht="21" customHeight="1" x14ac:dyDescent="0.15">
      <c r="K221" s="1"/>
    </row>
    <row r="222" spans="11:11" ht="21" customHeight="1" x14ac:dyDescent="0.15">
      <c r="K222" s="1"/>
    </row>
    <row r="223" spans="11:11" ht="21" customHeight="1" x14ac:dyDescent="0.15">
      <c r="K223" s="1"/>
    </row>
    <row r="224" spans="11:11" ht="21" customHeight="1" x14ac:dyDescent="0.15">
      <c r="K224" s="1"/>
    </row>
    <row r="225" spans="11:11" ht="21" customHeight="1" x14ac:dyDescent="0.15">
      <c r="K225" s="1"/>
    </row>
    <row r="226" spans="11:11" ht="21" customHeight="1" x14ac:dyDescent="0.15">
      <c r="K226" s="1"/>
    </row>
    <row r="227" spans="11:11" ht="21" customHeight="1" x14ac:dyDescent="0.15">
      <c r="K227" s="1"/>
    </row>
    <row r="228" spans="11:11" ht="21" customHeight="1" x14ac:dyDescent="0.15">
      <c r="K228" s="1"/>
    </row>
    <row r="229" spans="11:11" ht="21" customHeight="1" x14ac:dyDescent="0.15">
      <c r="K229" s="1"/>
    </row>
    <row r="230" spans="11:11" ht="21" customHeight="1" x14ac:dyDescent="0.15">
      <c r="K230" s="1"/>
    </row>
    <row r="231" spans="11:11" ht="21" customHeight="1" x14ac:dyDescent="0.15">
      <c r="K231" s="1"/>
    </row>
    <row r="232" spans="11:11" ht="21" customHeight="1" x14ac:dyDescent="0.15">
      <c r="K232" s="1"/>
    </row>
    <row r="233" spans="11:11" ht="21" customHeight="1" x14ac:dyDescent="0.15">
      <c r="K233" s="1"/>
    </row>
    <row r="234" spans="11:11" ht="21" customHeight="1" x14ac:dyDescent="0.15">
      <c r="K234" s="1"/>
    </row>
    <row r="235" spans="11:11" ht="21" customHeight="1" x14ac:dyDescent="0.15">
      <c r="K235" s="1"/>
    </row>
    <row r="236" spans="11:11" ht="21" customHeight="1" x14ac:dyDescent="0.15">
      <c r="K236" s="1"/>
    </row>
    <row r="237" spans="11:11" ht="21" customHeight="1" x14ac:dyDescent="0.15">
      <c r="K237" s="1"/>
    </row>
    <row r="238" spans="11:11" ht="21" customHeight="1" x14ac:dyDescent="0.15">
      <c r="K238" s="1"/>
    </row>
    <row r="239" spans="11:11" ht="21" customHeight="1" x14ac:dyDescent="0.15">
      <c r="K239" s="1"/>
    </row>
    <row r="240" spans="11:11" ht="21" customHeight="1" x14ac:dyDescent="0.15">
      <c r="K240" s="1"/>
    </row>
    <row r="241" spans="11:11" ht="21" customHeight="1" x14ac:dyDescent="0.15">
      <c r="K241" s="1"/>
    </row>
    <row r="242" spans="11:11" ht="21" customHeight="1" x14ac:dyDescent="0.15">
      <c r="K242" s="1"/>
    </row>
    <row r="243" spans="11:11" ht="21" customHeight="1" x14ac:dyDescent="0.15">
      <c r="K243" s="1"/>
    </row>
    <row r="244" spans="11:11" ht="21" customHeight="1" x14ac:dyDescent="0.15">
      <c r="K244" s="1"/>
    </row>
    <row r="245" spans="11:11" ht="21" customHeight="1" x14ac:dyDescent="0.15">
      <c r="K245" s="1"/>
    </row>
    <row r="246" spans="11:11" ht="21" customHeight="1" x14ac:dyDescent="0.15">
      <c r="K246" s="1"/>
    </row>
    <row r="247" spans="11:11" ht="21" customHeight="1" x14ac:dyDescent="0.15">
      <c r="K247" s="1"/>
    </row>
    <row r="248" spans="11:11" ht="21" customHeight="1" x14ac:dyDescent="0.15">
      <c r="K248" s="1"/>
    </row>
    <row r="249" spans="11:11" ht="21" customHeight="1" x14ac:dyDescent="0.15">
      <c r="K249" s="1"/>
    </row>
    <row r="250" spans="11:11" ht="21" customHeight="1" x14ac:dyDescent="0.15">
      <c r="K250" s="1"/>
    </row>
    <row r="251" spans="11:11" ht="21" customHeight="1" x14ac:dyDescent="0.15">
      <c r="K251" s="1"/>
    </row>
    <row r="252" spans="11:11" ht="21" customHeight="1" x14ac:dyDescent="0.15">
      <c r="K252" s="1"/>
    </row>
    <row r="253" spans="11:11" ht="21" customHeight="1" x14ac:dyDescent="0.15">
      <c r="K253" s="1"/>
    </row>
    <row r="254" spans="11:11" ht="21" customHeight="1" x14ac:dyDescent="0.15">
      <c r="K254" s="1"/>
    </row>
    <row r="255" spans="11:11" ht="21" customHeight="1" x14ac:dyDescent="0.15">
      <c r="K255" s="1"/>
    </row>
    <row r="256" spans="11:11" ht="21" customHeight="1" x14ac:dyDescent="0.15">
      <c r="K256" s="1"/>
    </row>
    <row r="257" spans="11:11" ht="21" customHeight="1" x14ac:dyDescent="0.15">
      <c r="K257" s="1"/>
    </row>
    <row r="258" spans="11:11" ht="21" customHeight="1" x14ac:dyDescent="0.15">
      <c r="K258" s="1"/>
    </row>
    <row r="259" spans="11:11" ht="21" customHeight="1" x14ac:dyDescent="0.15">
      <c r="K259" s="1"/>
    </row>
    <row r="260" spans="11:11" ht="21" customHeight="1" x14ac:dyDescent="0.15">
      <c r="K260" s="1"/>
    </row>
    <row r="261" spans="11:11" ht="21" customHeight="1" x14ac:dyDescent="0.15">
      <c r="K261" s="1"/>
    </row>
    <row r="262" spans="11:11" ht="21" customHeight="1" x14ac:dyDescent="0.15">
      <c r="K262" s="1"/>
    </row>
    <row r="263" spans="11:11" ht="21" customHeight="1" x14ac:dyDescent="0.15">
      <c r="K263" s="1"/>
    </row>
    <row r="264" spans="11:11" ht="21" customHeight="1" x14ac:dyDescent="0.15">
      <c r="K264" s="1"/>
    </row>
    <row r="265" spans="11:11" ht="21" customHeight="1" x14ac:dyDescent="0.15">
      <c r="K265" s="1"/>
    </row>
    <row r="266" spans="11:11" ht="21" customHeight="1" x14ac:dyDescent="0.15">
      <c r="K266" s="1"/>
    </row>
    <row r="267" spans="11:11" ht="21" customHeight="1" x14ac:dyDescent="0.15">
      <c r="K267" s="1"/>
    </row>
    <row r="268" spans="11:11" ht="21" customHeight="1" x14ac:dyDescent="0.15">
      <c r="K268" s="1"/>
    </row>
    <row r="269" spans="11:11" ht="21" customHeight="1" x14ac:dyDescent="0.15">
      <c r="K269" s="1"/>
    </row>
    <row r="270" spans="11:11" ht="21" customHeight="1" x14ac:dyDescent="0.15">
      <c r="K270" s="1"/>
    </row>
    <row r="271" spans="11:11" ht="21" customHeight="1" x14ac:dyDescent="0.15">
      <c r="K271" s="1"/>
    </row>
    <row r="272" spans="11:11" ht="21" customHeight="1" x14ac:dyDescent="0.15">
      <c r="K272" s="1"/>
    </row>
    <row r="273" spans="11:11" ht="21" customHeight="1" x14ac:dyDescent="0.15">
      <c r="K273" s="1"/>
    </row>
    <row r="274" spans="11:11" ht="21" customHeight="1" x14ac:dyDescent="0.15">
      <c r="K274" s="1"/>
    </row>
    <row r="275" spans="11:11" ht="21" customHeight="1" x14ac:dyDescent="0.15">
      <c r="K275" s="1"/>
    </row>
    <row r="276" spans="11:11" ht="21" customHeight="1" x14ac:dyDescent="0.15">
      <c r="K276" s="1"/>
    </row>
    <row r="277" spans="11:11" ht="21" customHeight="1" x14ac:dyDescent="0.15">
      <c r="K277" s="1"/>
    </row>
  </sheetData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F14" sqref="F14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1" t="s">
        <v>10</v>
      </c>
      <c r="B1" s="21" t="s">
        <v>13</v>
      </c>
      <c r="C1" s="12" t="s">
        <v>15</v>
      </c>
      <c r="D1" s="12" t="s">
        <v>16</v>
      </c>
      <c r="E1" s="12" t="s">
        <v>17</v>
      </c>
      <c r="F1" s="11" t="s">
        <v>2</v>
      </c>
      <c r="G1" s="50" t="s">
        <v>81</v>
      </c>
      <c r="H1" s="50" t="s">
        <v>82</v>
      </c>
      <c r="I1" s="51" t="s">
        <v>83</v>
      </c>
      <c r="J1" s="51" t="s">
        <v>84</v>
      </c>
      <c r="K1" s="51" t="s">
        <v>85</v>
      </c>
      <c r="L1" s="51" t="s">
        <v>86</v>
      </c>
      <c r="M1" s="51" t="s">
        <v>87</v>
      </c>
      <c r="N1" s="11" t="s">
        <v>18</v>
      </c>
      <c r="O1" s="11" t="s">
        <v>19</v>
      </c>
      <c r="P1" s="11" t="s">
        <v>20</v>
      </c>
      <c r="Q1" s="11" t="s">
        <v>21</v>
      </c>
    </row>
    <row r="2" spans="1:17" ht="21" customHeight="1" x14ac:dyDescent="0.15">
      <c r="A2" s="76" t="s">
        <v>207</v>
      </c>
      <c r="B2" s="77">
        <v>33501</v>
      </c>
      <c r="C2" s="77" t="s">
        <v>210</v>
      </c>
      <c r="D2" s="77">
        <v>500</v>
      </c>
      <c r="E2" s="77">
        <v>1</v>
      </c>
      <c r="F2" s="77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77" t="s">
        <v>208</v>
      </c>
      <c r="O2" s="77" t="s">
        <v>212</v>
      </c>
      <c r="P2" s="77" t="s">
        <v>209</v>
      </c>
      <c r="Q2" s="78" t="s">
        <v>211</v>
      </c>
    </row>
  </sheetData>
  <autoFilter ref="A1:F1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3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8">
        <v>668</v>
      </c>
      <c r="B246" s="7" t="str">
        <f>VLOOKUP(A246,[1]characters!$A:$C,3,FALSE)</f>
        <v>アグニ</v>
      </c>
    </row>
    <row r="247" spans="1:2" x14ac:dyDescent="0.15">
      <c r="A247" s="58">
        <v>669</v>
      </c>
      <c r="B247" s="7" t="str">
        <f>VLOOKUP(A247,[1]characters!$A:$C,3,FALSE)</f>
        <v>天地の仲界 アグニ</v>
      </c>
    </row>
    <row r="248" spans="1:2" x14ac:dyDescent="0.15">
      <c r="A248" s="58">
        <v>670</v>
      </c>
      <c r="B248" s="7" t="str">
        <f>VLOOKUP(A248,[1]characters!$A:$C,3,FALSE)</f>
        <v>陽天の噴煙 アグニ</v>
      </c>
    </row>
    <row r="249" spans="1:2" x14ac:dyDescent="0.15">
      <c r="A249" s="58">
        <v>671</v>
      </c>
      <c r="B249" s="7" t="str">
        <f>VLOOKUP(A249,[1]characters!$A:$C,3,FALSE)</f>
        <v>ハヌマーン</v>
      </c>
    </row>
    <row r="250" spans="1:2" x14ac:dyDescent="0.15">
      <c r="A250" s="58">
        <v>672</v>
      </c>
      <c r="B250" s="7" t="str">
        <f>VLOOKUP(A250,[1]characters!$A:$C,3,FALSE)</f>
        <v>西遊韋駄天 ハヌマーン</v>
      </c>
    </row>
    <row r="251" spans="1:2" x14ac:dyDescent="0.15">
      <c r="A251" s="58">
        <v>673</v>
      </c>
      <c r="B251" s="7" t="str">
        <f>VLOOKUP(A251,[1]characters!$A:$C,3,FALSE)</f>
        <v>変幻自在の猿王 ハヌマーン</v>
      </c>
    </row>
    <row r="252" spans="1:2" x14ac:dyDescent="0.15">
      <c r="A252" s="58">
        <v>674</v>
      </c>
      <c r="B252" s="7" t="str">
        <f>VLOOKUP(A252,[1]characters!$A:$C,3,FALSE)</f>
        <v>サラスヴァティ</v>
      </c>
    </row>
    <row r="253" spans="1:2" x14ac:dyDescent="0.15">
      <c r="A253" s="58">
        <v>675</v>
      </c>
      <c r="B253" s="7" t="str">
        <f>VLOOKUP(A253,[1]characters!$A:$C,3,FALSE)</f>
        <v>芸楽の奔流 サラスヴァティ</v>
      </c>
    </row>
    <row r="254" spans="1:2" x14ac:dyDescent="0.15">
      <c r="A254" s="58">
        <v>676</v>
      </c>
      <c r="B254" s="7" t="str">
        <f>VLOOKUP(A254,[1]characters!$A:$C,3,FALSE)</f>
        <v>ヴィシュヌ</v>
      </c>
    </row>
    <row r="255" spans="1:2" x14ac:dyDescent="0.15">
      <c r="A255" s="58">
        <v>677</v>
      </c>
      <c r="B255" s="7" t="str">
        <f>VLOOKUP(A255,[1]characters!$A:$C,3,FALSE)</f>
        <v>武遊闊歩 ヴィシュヌ</v>
      </c>
    </row>
    <row r="256" spans="1:2" x14ac:dyDescent="0.15">
      <c r="A256" s="58">
        <v>770</v>
      </c>
      <c r="B256" s="7" t="str">
        <f>VLOOKUP(A256,[1]characters!$A:$C,3,FALSE)</f>
        <v>ハヅル</v>
      </c>
    </row>
    <row r="257" spans="1:2" x14ac:dyDescent="0.15">
      <c r="A257" s="58">
        <v>771</v>
      </c>
      <c r="B257" s="7" t="str">
        <f>VLOOKUP(A257,[1]characters!$A:$C,3,FALSE)</f>
        <v>天織羽鶴 ハヅル</v>
      </c>
    </row>
    <row r="258" spans="1:2" x14ac:dyDescent="0.15">
      <c r="A258" s="58">
        <v>772</v>
      </c>
      <c r="B258" s="7" t="str">
        <f>VLOOKUP(A258,[1]characters!$A:$C,3,FALSE)</f>
        <v>イナバ</v>
      </c>
    </row>
    <row r="259" spans="1:2" x14ac:dyDescent="0.15">
      <c r="A259" s="58">
        <v>773</v>
      </c>
      <c r="B259" s="7" t="str">
        <f>VLOOKUP(A259,[1]characters!$A:$C,3,FALSE)</f>
        <v>浮跳天兎 イナバ</v>
      </c>
    </row>
    <row r="260" spans="1:2" x14ac:dyDescent="0.15">
      <c r="A260" s="58">
        <v>774</v>
      </c>
      <c r="B260" s="7" t="str">
        <f>VLOOKUP(A260,[1]characters!$A:$C,3,FALSE)</f>
        <v>ミズチ</v>
      </c>
    </row>
    <row r="261" spans="1:2" x14ac:dyDescent="0.15">
      <c r="A261" s="58">
        <v>775</v>
      </c>
      <c r="B261" s="7" t="str">
        <f>VLOOKUP(A261,[1]characters!$A:$C,3,FALSE)</f>
        <v>水底霊竜 ミズチ</v>
      </c>
    </row>
    <row r="262" spans="1:2" x14ac:dyDescent="0.15">
      <c r="A262" s="58">
        <v>776</v>
      </c>
      <c r="B262" s="7" t="str">
        <f>VLOOKUP(A262,[1]characters!$A:$C,3,FALSE)</f>
        <v>水竜底主 ミズチ</v>
      </c>
    </row>
    <row r="263" spans="1:2" x14ac:dyDescent="0.15">
      <c r="A263" s="58">
        <v>777</v>
      </c>
      <c r="B263" s="7" t="str">
        <f>VLOOKUP(A263,[1]characters!$A:$C,3,FALSE)</f>
        <v>ガメック</v>
      </c>
    </row>
    <row r="264" spans="1:2" x14ac:dyDescent="0.15">
      <c r="A264" s="58">
        <v>778</v>
      </c>
      <c r="B264" s="7" t="str">
        <f>VLOOKUP(A264,[1]characters!$A:$C,3,FALSE)</f>
        <v>一亀懸明 ガメック</v>
      </c>
    </row>
    <row r="265" spans="1:2" x14ac:dyDescent="0.15">
      <c r="A265" s="58">
        <v>779</v>
      </c>
      <c r="B265" s="7" t="str">
        <f>VLOOKUP(A265,[1]characters!$A:$C,3,FALSE)</f>
        <v>頑堅咬亀 ガメック</v>
      </c>
    </row>
    <row r="266" spans="1:2" x14ac:dyDescent="0.15">
      <c r="A266" s="58">
        <v>779</v>
      </c>
      <c r="B266" s="7" t="str">
        <f>VLOOKUP(A266,[1]characters!$A:$C,3,FALSE)</f>
        <v>頑堅咬亀 ガメック</v>
      </c>
    </row>
  </sheetData>
  <phoneticPr fontId="18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6" t="s">
        <v>55</v>
      </c>
      <c r="B1" s="36"/>
    </row>
    <row r="2" spans="1:2" x14ac:dyDescent="0.15">
      <c r="A2" s="30" t="s">
        <v>1</v>
      </c>
      <c r="B2" s="35" t="s">
        <v>59</v>
      </c>
    </row>
    <row r="3" spans="1:2" x14ac:dyDescent="0.15">
      <c r="A3" s="6">
        <v>166</v>
      </c>
      <c r="B3" s="35" t="str">
        <f>VLOOKUP(A3,[1]characters!$A:$C,3,FALSE)</f>
        <v>ベリアル</v>
      </c>
    </row>
    <row r="4" spans="1:2" x14ac:dyDescent="0.15">
      <c r="A4" s="6">
        <v>167</v>
      </c>
      <c r="B4" s="35" t="str">
        <f>VLOOKUP(A4,[1]characters!$A:$C,3,FALSE)</f>
        <v>逆徒 ベリアル</v>
      </c>
    </row>
    <row r="5" spans="1:2" x14ac:dyDescent="0.15">
      <c r="A5" s="6">
        <v>168</v>
      </c>
      <c r="B5" s="35" t="str">
        <f>VLOOKUP(A5,[1]characters!$A:$C,3,FALSE)</f>
        <v>猛進の大逆者 ベリアル</v>
      </c>
    </row>
    <row r="6" spans="1:2" x14ac:dyDescent="0.15">
      <c r="A6" s="30">
        <v>169</v>
      </c>
      <c r="B6" s="35" t="str">
        <f>VLOOKUP(A6,[1]characters!$A:$C,3,FALSE)</f>
        <v>オセ</v>
      </c>
    </row>
    <row r="7" spans="1:2" x14ac:dyDescent="0.15">
      <c r="A7" s="30">
        <v>170</v>
      </c>
      <c r="B7" s="35" t="str">
        <f>VLOOKUP(A7,[1]characters!$A:$C,3,FALSE)</f>
        <v>識徒 オセ</v>
      </c>
    </row>
    <row r="8" spans="1:2" x14ac:dyDescent="0.15">
      <c r="A8" s="30">
        <v>171</v>
      </c>
      <c r="B8" s="35" t="str">
        <f>VLOOKUP(A8,[1]characters!$A:$C,3,FALSE)</f>
        <v>精解の預知者 オセ</v>
      </c>
    </row>
    <row r="9" spans="1:2" x14ac:dyDescent="0.15">
      <c r="A9" s="30">
        <v>172</v>
      </c>
      <c r="B9" s="35" t="str">
        <f>VLOOKUP(A9,[1]characters!$A:$C,3,FALSE)</f>
        <v>フォルネウス</v>
      </c>
    </row>
    <row r="10" spans="1:2" x14ac:dyDescent="0.15">
      <c r="A10" s="30">
        <v>173</v>
      </c>
      <c r="B10" s="35" t="str">
        <f>VLOOKUP(A10,[1]characters!$A:$C,3,FALSE)</f>
        <v>公爵 フォルネウス</v>
      </c>
    </row>
    <row r="11" spans="1:2" x14ac:dyDescent="0.15">
      <c r="A11" s="30">
        <v>174</v>
      </c>
      <c r="B11" s="35" t="str">
        <f>VLOOKUP(A11,[1]characters!$A:$C,3,FALSE)</f>
        <v>偽愛の大公爵 フォルネウス</v>
      </c>
    </row>
    <row r="12" spans="1:2" x14ac:dyDescent="0.15">
      <c r="A12" s="30">
        <v>235</v>
      </c>
      <c r="B12" s="35" t="str">
        <f>VLOOKUP(A12,[1]characters!$A:$C,3,FALSE)</f>
        <v>イザナミ</v>
      </c>
    </row>
    <row r="13" spans="1:2" x14ac:dyDescent="0.15">
      <c r="A13" s="30">
        <v>236</v>
      </c>
      <c r="B13" s="35" t="str">
        <f>VLOOKUP(A13,[1]characters!$A:$C,3,FALSE)</f>
        <v>神産 イザナミ</v>
      </c>
    </row>
    <row r="14" spans="1:2" x14ac:dyDescent="0.15">
      <c r="A14" s="30">
        <v>237</v>
      </c>
      <c r="B14" s="35" t="str">
        <f>VLOOKUP(A14,[1]characters!$A:$C,3,FALSE)</f>
        <v>森羅万象の神母 イザナミ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確率の考え方</vt:lpstr>
      <vt:lpstr>Sheet1</vt:lpstr>
      <vt:lpstr>output</vt:lpstr>
      <vt:lpstr>input_settle_7106100</vt:lpstr>
      <vt:lpstr>tables_settle_7106100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2016-06-21T05:02:21Z</dcterms:modified>
</cp:coreProperties>
</file>