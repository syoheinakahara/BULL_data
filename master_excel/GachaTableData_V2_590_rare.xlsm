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0" yWindow="460" windowWidth="25600" windowHeight="15460" tabRatio="943" activeTab="2"/>
  </bookViews>
  <sheets>
    <sheet name="確率の考え方" sheetId="110" r:id="rId1"/>
    <sheet name="Sheet1" sheetId="107" r:id="rId2"/>
    <sheet name="output" sheetId="103" r:id="rId3"/>
    <sheet name="input_590010" sheetId="157" r:id="rId4"/>
    <sheet name="tables_590010" sheetId="158" r:id="rId5"/>
    <sheet name="input_590100" sheetId="153" r:id="rId6"/>
    <sheet name="tables_590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tables_590010!$A$1:$V$355</definedName>
    <definedName name="_xlnm._FilterDatabase" localSheetId="6" hidden="1">tables_590100!$A$1:$V$294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7" i="154" l="1"/>
  <c r="D357" i="154"/>
  <c r="J357" i="154"/>
  <c r="E357" i="154"/>
  <c r="F357" i="154"/>
  <c r="C357" i="154"/>
  <c r="H357" i="154"/>
  <c r="K357" i="154"/>
  <c r="L357" i="154"/>
  <c r="M357" i="154"/>
  <c r="N357" i="154"/>
  <c r="A2" i="153"/>
  <c r="I358" i="154"/>
  <c r="D358" i="154"/>
  <c r="J358" i="154"/>
  <c r="E358" i="154"/>
  <c r="F358" i="154"/>
  <c r="C358" i="154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I356" i="154"/>
  <c r="D356" i="154"/>
  <c r="J356" i="154"/>
  <c r="E356" i="154"/>
  <c r="F356" i="154"/>
  <c r="C356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E23" i="153"/>
  <c r="E6" i="153"/>
  <c r="B23" i="153"/>
  <c r="G23" i="153"/>
  <c r="H23" i="153"/>
  <c r="O357" i="154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8" i="154"/>
  <c r="O359" i="154"/>
  <c r="O360" i="154"/>
  <c r="P357" i="154"/>
  <c r="H358" i="154"/>
  <c r="K358" i="154"/>
  <c r="L358" i="154"/>
  <c r="M358" i="154"/>
  <c r="N358" i="154"/>
  <c r="P358" i="154"/>
  <c r="H359" i="154"/>
  <c r="K359" i="154"/>
  <c r="L359" i="154"/>
  <c r="M359" i="154"/>
  <c r="N359" i="154"/>
  <c r="P359" i="154"/>
  <c r="H360" i="154"/>
  <c r="K360" i="154"/>
  <c r="L360" i="154"/>
  <c r="M360" i="154"/>
  <c r="N360" i="154"/>
  <c r="P360" i="154"/>
  <c r="H356" i="154"/>
  <c r="K356" i="154"/>
  <c r="L356" i="154"/>
  <c r="M356" i="154"/>
  <c r="N356" i="154"/>
  <c r="P356" i="154"/>
  <c r="A360" i="154"/>
  <c r="A359" i="154"/>
  <c r="A358" i="154"/>
  <c r="A357" i="154"/>
  <c r="A356" i="154"/>
  <c r="I357" i="158"/>
  <c r="D357" i="158"/>
  <c r="J357" i="158"/>
  <c r="E357" i="158"/>
  <c r="F357" i="158"/>
  <c r="C357" i="158"/>
  <c r="H357" i="158"/>
  <c r="K357" i="158"/>
  <c r="L357" i="158"/>
  <c r="M357" i="158"/>
  <c r="N357" i="158"/>
  <c r="A2" i="157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356" i="158"/>
  <c r="D356" i="158"/>
  <c r="J356" i="158"/>
  <c r="E356" i="158"/>
  <c r="F356" i="158"/>
  <c r="C356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E23" i="157"/>
  <c r="E6" i="157"/>
  <c r="B23" i="157"/>
  <c r="G23" i="157"/>
  <c r="H23" i="157"/>
  <c r="O357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B10" i="157"/>
  <c r="B30" i="157"/>
  <c r="A355" i="154"/>
  <c r="A354" i="154"/>
  <c r="A353" i="154"/>
  <c r="A352" i="154"/>
  <c r="A351" i="154"/>
  <c r="I355" i="154"/>
  <c r="D355" i="154"/>
  <c r="J355" i="154"/>
  <c r="E355" i="154"/>
  <c r="F355" i="154"/>
  <c r="C355" i="154"/>
  <c r="H355" i="154"/>
  <c r="K355" i="154"/>
  <c r="L355" i="154"/>
  <c r="M355" i="154"/>
  <c r="N355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B10" i="153"/>
  <c r="B30" i="153"/>
  <c r="P355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8"/>
  <c r="K355" i="158"/>
  <c r="L355" i="158"/>
  <c r="M355" i="158"/>
  <c r="N355" i="158"/>
  <c r="P355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A355" i="158"/>
  <c r="A354" i="158"/>
  <c r="A353" i="158"/>
  <c r="A352" i="158"/>
  <c r="A351" i="158"/>
  <c r="A350" i="154"/>
  <c r="A346" i="154"/>
  <c r="A347" i="154"/>
  <c r="A348" i="154"/>
  <c r="A349" i="154"/>
  <c r="H346" i="154"/>
  <c r="K346" i="154"/>
  <c r="L346" i="154"/>
  <c r="M346" i="154"/>
  <c r="N346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50" i="158"/>
  <c r="H350" i="158"/>
  <c r="K350" i="158"/>
  <c r="L350" i="158"/>
  <c r="M350" i="158"/>
  <c r="N350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3" i="153"/>
  <c r="R4" i="153"/>
  <c r="R5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<sst xmlns="http://schemas.openxmlformats.org/spreadsheetml/2006/main" count="513" uniqueCount="256">
  <si>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</si>
  <si>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</si>
  <si>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</si>
  <si>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</si>
  <si>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</si>
  <si>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</si>
  <si>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</si>
  <si>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</si>
  <si>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</si>
  <si>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</si>
  <si>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</si>
  <si>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</si>
  <si>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</si>
  <si>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</si>
  <si>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</si>
  <si>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</si>
  <si>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</si>
  <si>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</si>
  <si>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</si>
  <si>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</si>
  <si>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</si>
  <si>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</si>
  <si>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</si>
  <si>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</si>
  <si>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</si>
  <si>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</si>
  <si>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</si>
  <si>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</si>
  <si>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</si>
  <si>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</si>
  <si>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</si>
  <si>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</si>
  <si>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</si>
  <si>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</si>
  <si>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</si>
  <si>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</si>
  <si>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</si>
  <si>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</si>
  <si>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</si>
  <si>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</si>
  <si>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</si>
  <si>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</si>
  <si>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</si>
  <si>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</si>
  <si>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</si>
  <si>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</si>
  <si>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</si>
  <si>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</si>
  <si>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</si>
  <si>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</si>
  <si>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</si>
  <si>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</si>
  <si>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</si>
  <si>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</si>
  <si>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</si>
  <si>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</si>
  <si>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</si>
  <si>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</si>
  <si>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</si>
  <si>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</si>
  <si>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</si>
  <si>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</si>
  <si>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</si>
  <si>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</si>
  <si>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</si>
  <si>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</si>
  <si>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</si>
  <si>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</si>
  <si>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</si>
  <si>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</si>
  <si>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</si>
  <si>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</si>
  <si>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</si>
  <si>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</si>
  <si>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</si>
  <si>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</si>
  <si>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</si>
  <si>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</si>
  <si>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</si>
  <si>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</si>
  <si>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</si>
  <si>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</si>
  <si>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</si>
  <si>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</si>
  <si>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</si>
  <si>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</si>
  <si>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</si>
  <si>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</si>
  <si>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</si>
  <si>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</si>
  <si>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</si>
  <si>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</si>
  <si>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</si>
  <si>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</si>
  <si>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</si>
  <si>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</si>
  <si>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</si>
  <si>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</si>
  <si>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</si>
  <si>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</si>
  <si>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</si>
  <si>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</si>
  <si>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</si>
  <si>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</si>
  <si>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</si>
  <si>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</si>
  <si>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</si>
  <si>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</si>
  <si>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</si>
  <si>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</si>
  <si>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</si>
  <si>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</si>
  <si>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</si>
  <si>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</si>
  <si>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</si>
  <si>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</si>
  <si>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</si>
  <si>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</si>
  <si>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</si>
  <si>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</si>
  <si>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</si>
  <si>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</si>
  <si>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</si>
  <si>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</si>
  <si>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</si>
  <si>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</si>
  <si>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</si>
  <si>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</si>
  <si>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</si>
  <si>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</si>
  <si>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</si>
  <si>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</si>
  <si>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</si>
  <si>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</si>
  <si>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</si>
  <si>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</si>
  <si>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</si>
  <si>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</si>
  <si>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</si>
  <si>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</si>
  <si>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</si>
  <si>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</si>
  <si>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</si>
  <si>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</si>
  <si>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</si>
  <si>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</si>
  <si>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</si>
  <si>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</si>
  <si>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</si>
  <si>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</si>
  <si>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</si>
  <si>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</si>
  <si>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</si>
  <si>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</si>
  <si>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</si>
  <si>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</si>
  <si>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</si>
  <si>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</si>
  <si>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</si>
  <si>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</si>
  <si>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</si>
  <si>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</si>
  <si>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</si>
  <si>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</si>
  <si>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</si>
  <si>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</si>
  <si>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</si>
  <si>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</si>
  <si>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</si>
  <si>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</si>
  <si>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</si>
  <si>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</si>
  <si>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</si>
  <si>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</si>
  <si>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</si>
  <si>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</si>
  <si>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</si>
  <si>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</si>
  <si>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</si>
  <si>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</si>
  <si>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</si>
  <si>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</si>
  <si>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</si>
  <si>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</si>
  <si>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</si>
  <si>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</si>
  <si>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</si>
  <si>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</si>
  <si>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</si>
  <si>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</si>
  <si>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</si>
  <si>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</si>
  <si>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</si>
  <si>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</si>
  <si>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</si>
  <si>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</si>
  <si>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</si>
  <si>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</si>
  <si>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</si>
  <si>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</si>
  <si>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</si>
  <si>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</si>
  <si>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</si>
  <si>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</si>
  <si>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</si>
  <si>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</si>
  <si>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</si>
  <si>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</si>
  <si>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</si>
  <si>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</si>
  <si>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</si>
  <si>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</si>
  <si>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</si>
  <si>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</si>
  <si>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</si>
  <si>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</si>
  <si>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</si>
  <si>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</si>
  <si>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</si>
  <si>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</si>
  <si>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</si>
  <si>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</si>
  <si>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</si>
  <si>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</si>
  <si>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</si>
  <si>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</si>
  <si>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</si>
  <si>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</si>
  <si>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</si>
  <si>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</si>
  <si>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</si>
  <si>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</si>
  <si>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</si>
  <si>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</si>
  <si>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</si>
  <si>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</si>
  <si>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</si>
  <si>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</si>
  <si>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</si>
  <si>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</si>
  <si>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</si>
  <si>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</si>
  <si>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</si>
  <si>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</si>
  <si>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</si>
  <si>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</si>
  <si>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</si>
  <si>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</si>
  <si>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</si>
  <si>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</si>
  <si>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tables_settle_443100</t>
    <phoneticPr fontId="22"/>
  </si>
  <si>
    <t>PremiumSSw</t>
    <phoneticPr fontId="22"/>
  </si>
  <si>
    <t>PremiumSSw</t>
    <phoneticPr fontId="22"/>
  </si>
  <si>
    <t>skip</t>
    <phoneticPr fontId="22"/>
  </si>
  <si>
    <t>tables_590100</t>
    <phoneticPr fontId="22"/>
  </si>
  <si>
    <t>tables_590010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</si>
</sst>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3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2" fillId="0" borderId="1" xfId="3036" applyFont="1" applyBorder="1"/>
    <xf numFmtId="0" fontId="1" fillId="4" borderId="1" xfId="2978" applyFont="1" applyFill="1" applyBorder="1"/>
    <xf numFmtId="0" fontId="26" fillId="0" borderId="1" xfId="0" applyFont="1" applyFill="1" applyBorder="1" applyAlignment="1">
      <alignment horizontal="right" vertical="center"/>
    </xf>
    <xf numFmtId="0" fontId="28" fillId="0" borderId="1" xfId="0" applyFont="1" applyFill="1" applyBorder="1" applyAlignment="1">
      <alignment vertical="center"/>
    </xf>
    <xf numFmtId="0" fontId="27" fillId="0" borderId="1" xfId="2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red</v>
          </cell>
          <cell r="I1789">
            <v>6</v>
          </cell>
          <cell r="J1789" t="str">
            <v>DropWizSS</v>
          </cell>
          <cell r="K1789" t="str">
            <v>hp</v>
          </cell>
          <cell r="L1789" t="str">
            <v>体力タイプ</v>
          </cell>
          <cell r="M1789" t="str">
            <v>hero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red</v>
          </cell>
          <cell r="I1790">
            <v>6</v>
          </cell>
          <cell r="J1790" t="str">
            <v>DropWizSS</v>
          </cell>
          <cell r="K1790" t="str">
            <v>hp</v>
          </cell>
          <cell r="L1790" t="str">
            <v>体力タイプ</v>
          </cell>
          <cell r="M1790" t="str">
            <v>hero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DropWizSS</v>
          </cell>
          <cell r="K1791" t="str">
            <v>hp</v>
          </cell>
          <cell r="L1791" t="str">
            <v>体力タイプ</v>
          </cell>
          <cell r="M1791" t="str">
            <v>hero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247</v>
      </c>
      <c r="B2" s="61" t="s">
        <v>110</v>
      </c>
      <c r="C2" s="50" t="str">
        <f t="shared" ref="C2" si="0">RIGHT(F2,6)</f>
        <v>590100</v>
      </c>
      <c r="D2" s="19" t="s">
        <v>45</v>
      </c>
      <c r="E2" s="17" t="str">
        <f t="shared" ref="E2" si="1">B2&amp;C2&amp;D2</f>
        <v>gacha_select_tables_590100.tmp</v>
      </c>
      <c r="F2" s="99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247</v>
      </c>
      <c r="B3" s="61" t="s">
        <v>110</v>
      </c>
      <c r="C3" s="50" t="str">
        <f t="shared" ref="C3:C7" si="2">RIGHT(F3,6)</f>
        <v>590010</v>
      </c>
      <c r="D3" s="19" t="s">
        <v>45</v>
      </c>
      <c r="E3" s="17" t="str">
        <f t="shared" ref="E3:E10" si="3">B3&amp;C3&amp;D3</f>
        <v>gacha_select_tables_590010.tmp</v>
      </c>
      <c r="F3" s="99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253</v>
      </c>
      <c r="B4" s="94" t="s">
        <v>248</v>
      </c>
      <c r="C4" s="95" t="str">
        <f t="shared" si="2"/>
        <v>443100</v>
      </c>
      <c r="D4" s="19" t="s">
        <v>249</v>
      </c>
      <c r="E4" s="17" t="str">
        <f t="shared" si="3"/>
        <v>gacha_settle_tables_443100.tmp</v>
      </c>
      <c r="F4" s="97" t="s">
        <v>250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opLeftCell="A23" workbookViewId="0">
      <selection activeCell="G49" sqref="F48:G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VLOOKUP(L3,tables_590010!B:C,2,FALSE)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VLOOKUP(L4,tables_590010!B:C,2,FALSE)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6.6666666666666675E-4</v>
      </c>
      <c r="F5">
        <f>(COUNTIF(tables_590010!C:C,input_590010!A28)+COUNTIF(tables_590010!C:C,input_590010!A29))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VLOOKUP(L5,tables_590010!B:C,2,FALSE)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9.7938144329896906E-3</v>
      </c>
      <c r="F6">
        <f>(COUNTIF(tables_590010!C:C,input_590010!A25)+COUNTIF(tables_590010!C:C,input_590010!A18)+COUNTIF(tables_590010!C:C,input_590010!A20)+COUNTIF(tables_590010!C:C,input_590010!A22))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VLOOKUP(L6,tables_590010!B:C,2,FALSE)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VLOOKUP(L7,tables_590010!B:C,2,FALSE)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0.22577319587628869</v>
      </c>
      <c r="C17" s="84">
        <f t="shared" ref="C17:C31" si="2">SUMIF(Q:Q,A17,N:N)</f>
        <v>0</v>
      </c>
      <c r="D17" s="74">
        <f t="shared" ref="D17:D32" si="3">B17-C17</f>
        <v>0.22577319587628869</v>
      </c>
      <c r="E17">
        <f>COUNTIF(tables_590010!C:C,input_590010!A17)-COUNTIF(Q:Q,A17)</f>
        <v>20</v>
      </c>
      <c r="F17" s="43">
        <f>IFERROR(B17/E17,0)</f>
        <v>1.1288659793814434E-2</v>
      </c>
      <c r="G17">
        <f t="shared" ref="G17:G31" si="4">A$36*B17</f>
        <v>32850000.000000004</v>
      </c>
      <c r="H17">
        <f t="shared" ref="H17:H31" si="5">IFERROR(ROUND(G17/E17,5),0)</f>
        <v>1642500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3.0140893470790853E-3</v>
      </c>
      <c r="C18" s="84">
        <f t="shared" si="2"/>
        <v>0</v>
      </c>
      <c r="D18" s="74">
        <f t="shared" si="3"/>
        <v>3.0140893470790853E-3</v>
      </c>
      <c r="E18">
        <f>COUNTIF(tables_590010!C:C,input_590010!A18)-COUNTIF(Q:Q,A18)</f>
        <v>20</v>
      </c>
      <c r="F18" s="43">
        <f>IFERROR(B18/E18,0)</f>
        <v>1.5070446735395427E-4</v>
      </c>
      <c r="G18">
        <f t="shared" si="4"/>
        <v>438550.00000000693</v>
      </c>
      <c r="H18">
        <f t="shared" si="5"/>
        <v>21927.5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0.25463917525773194</v>
      </c>
      <c r="C19" s="84">
        <f t="shared" si="2"/>
        <v>0</v>
      </c>
      <c r="D19" s="74">
        <f t="shared" si="3"/>
        <v>0.25463917525773194</v>
      </c>
      <c r="E19">
        <f>COUNTIF(tables_590010!C:C,input_590010!A19)-COUNTIF(Q:Q,A19)</f>
        <v>52</v>
      </c>
      <c r="F19" s="43">
        <f t="shared" ref="F19:F31" si="8">IFERROR(B19/E19,0)</f>
        <v>4.8969072164948453E-3</v>
      </c>
      <c r="G19">
        <f t="shared" si="4"/>
        <v>37050000</v>
      </c>
      <c r="H19">
        <f t="shared" si="5"/>
        <v>712500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E$6*E20*B$6-0.01</f>
        <v>0.21917525773195876</v>
      </c>
      <c r="C20" s="84">
        <f t="shared" si="2"/>
        <v>0</v>
      </c>
      <c r="D20" s="74">
        <f t="shared" si="3"/>
        <v>0.21917525773195876</v>
      </c>
      <c r="E20">
        <f>COUNTIF(tables_590010!C:C,input_590010!A20)-COUNTIF(Q:Q,A20)</f>
        <v>52</v>
      </c>
      <c r="F20" s="43">
        <f t="shared" si="8"/>
        <v>4.2149088025376681E-3</v>
      </c>
      <c r="G20">
        <f t="shared" si="4"/>
        <v>31890000</v>
      </c>
      <c r="H20">
        <f t="shared" si="5"/>
        <v>613269.23077000002</v>
      </c>
      <c r="I20">
        <f t="shared" si="6"/>
        <v>0.23077000002376735</v>
      </c>
      <c r="J20">
        <f t="shared" si="7"/>
        <v>4.3333188884907416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2.5529209621993135E-3</v>
      </c>
      <c r="C21" s="84">
        <f t="shared" si="2"/>
        <v>0</v>
      </c>
      <c r="D21" s="74">
        <f t="shared" si="3"/>
        <v>2.5529209621993135E-3</v>
      </c>
      <c r="E21">
        <f>COUNTIF(tables_590010!C:C,input_590010!A21)-COUNTIF(Q:Q,A21)</f>
        <v>52</v>
      </c>
      <c r="F21" s="43">
        <f t="shared" si="8"/>
        <v>4.9094633888448338E-5</v>
      </c>
      <c r="G21">
        <f t="shared" si="4"/>
        <v>371450.00000000012</v>
      </c>
      <c r="H21">
        <f t="shared" si="5"/>
        <v>7143.2692299999999</v>
      </c>
      <c r="I21">
        <f t="shared" si="6"/>
        <v>0.26922999999987951</v>
      </c>
      <c r="J21">
        <f t="shared" si="7"/>
        <v>3.7142963265625952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0.19244845360824742</v>
      </c>
      <c r="C22" s="84">
        <f t="shared" si="2"/>
        <v>0</v>
      </c>
      <c r="D22" s="74">
        <f t="shared" si="3"/>
        <v>0.19244845360824742</v>
      </c>
      <c r="E22">
        <f>COUNTIF(tables_590010!C:C,input_590010!A22)-COUNTIF(Q:Q,A22)</f>
        <v>21</v>
      </c>
      <c r="F22" s="43">
        <f t="shared" si="8"/>
        <v>9.16421207658321E-3</v>
      </c>
      <c r="G22">
        <f t="shared" si="4"/>
        <v>28001250</v>
      </c>
      <c r="H22">
        <f t="shared" si="5"/>
        <v>1333392.85714</v>
      </c>
      <c r="I22">
        <f t="shared" si="6"/>
        <v>0.8571399999782443</v>
      </c>
      <c r="J22">
        <f t="shared" si="7"/>
        <v>1.1666705555981307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1.3221649484536083E-2</v>
      </c>
      <c r="C23" s="84">
        <f t="shared" si="2"/>
        <v>0</v>
      </c>
      <c r="D23" s="74">
        <f t="shared" si="3"/>
        <v>1.3221649484536083E-2</v>
      </c>
      <c r="E23">
        <f>COUNTIF(tables_590010!C:C,input_590010!A23)-COUNTIF(Q:Q,A23)</f>
        <v>27</v>
      </c>
      <c r="F23" s="43">
        <f t="shared" si="8"/>
        <v>4.8969072164948462E-4</v>
      </c>
      <c r="G23">
        <f t="shared" si="4"/>
        <v>1923750.0000000002</v>
      </c>
      <c r="H23">
        <f t="shared" si="5"/>
        <v>71250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1.9587628865979381E-2</v>
      </c>
      <c r="C24" s="84">
        <f t="shared" si="2"/>
        <v>0</v>
      </c>
      <c r="D24" s="74">
        <f t="shared" si="3"/>
        <v>1.9587628865979381E-2</v>
      </c>
      <c r="E24">
        <f>COUNTIF(tables_590010!C:C,input_590010!A24)-COUNTIF(Q:Q,A24)</f>
        <v>4</v>
      </c>
      <c r="F24" s="43">
        <f t="shared" si="8"/>
        <v>4.8969072164948453E-3</v>
      </c>
      <c r="G24">
        <f t="shared" si="4"/>
        <v>2850000</v>
      </c>
      <c r="H24">
        <f t="shared" si="5"/>
        <v>712500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1.7628865979381445E-2</v>
      </c>
      <c r="C25" s="84">
        <f t="shared" si="2"/>
        <v>0</v>
      </c>
      <c r="D25" s="74">
        <f t="shared" si="3"/>
        <v>1.7628865979381445E-2</v>
      </c>
      <c r="E25">
        <f>COUNTIF(tables_590010!C:C,input_590010!A25)-COUNTIF(Q:Q,A25)</f>
        <v>4</v>
      </c>
      <c r="F25" s="43">
        <f t="shared" si="8"/>
        <v>4.4072164948453611E-3</v>
      </c>
      <c r="G25">
        <f t="shared" si="4"/>
        <v>2565000</v>
      </c>
      <c r="H25">
        <f t="shared" si="5"/>
        <v>641250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1.958762886597938E-3</v>
      </c>
      <c r="C26" s="84">
        <f t="shared" si="2"/>
        <v>0</v>
      </c>
      <c r="D26" s="74">
        <f t="shared" si="3"/>
        <v>1.958762886597938E-3</v>
      </c>
      <c r="E26">
        <f>COUNTIF(tables_590010!C:C,input_590010!A26)-COUNTIF(Q:Q,A26)</f>
        <v>4</v>
      </c>
      <c r="F26" s="43">
        <f t="shared" si="8"/>
        <v>4.8969072164948451E-4</v>
      </c>
      <c r="G26">
        <f t="shared" si="4"/>
        <v>285000</v>
      </c>
      <c r="H26">
        <f t="shared" si="5"/>
        <v>71250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1.7733333333333334E-2</v>
      </c>
      <c r="C27" s="84">
        <f t="shared" si="2"/>
        <v>0</v>
      </c>
      <c r="D27" s="74">
        <f t="shared" si="3"/>
        <v>1.7733333333333334E-2</v>
      </c>
      <c r="E27">
        <f>COUNTIF(tables_590010!C:C,input_590010!A27)-COUNTIF(Q:Q,A27)</f>
        <v>28</v>
      </c>
      <c r="F27" s="43">
        <f>IFERROR(B27/E27,0)</f>
        <v>6.333333333333333E-4</v>
      </c>
      <c r="G27">
        <f t="shared" si="4"/>
        <v>2580200</v>
      </c>
      <c r="H27">
        <f t="shared" si="5"/>
        <v>92150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9.3333333333333343E-4</v>
      </c>
      <c r="C28" s="84">
        <f t="shared" si="2"/>
        <v>0</v>
      </c>
      <c r="D28" s="74">
        <f t="shared" si="3"/>
        <v>9.3333333333333343E-4</v>
      </c>
      <c r="E28">
        <f>COUNTIF(tables_590010!C:C,input_590010!A28)-COUNTIF(Q:Q,A28)</f>
        <v>28</v>
      </c>
      <c r="F28" s="43">
        <f t="shared" si="8"/>
        <v>3.3333333333333335E-5</v>
      </c>
      <c r="G28">
        <f t="shared" si="4"/>
        <v>135800</v>
      </c>
      <c r="H28">
        <f t="shared" si="5"/>
        <v>4850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3.1333333333333338E-2</v>
      </c>
      <c r="C29" s="84">
        <f t="shared" si="2"/>
        <v>0</v>
      </c>
      <c r="D29" s="74">
        <f t="shared" si="3"/>
        <v>3.1333333333333338E-2</v>
      </c>
      <c r="E29">
        <f>COUNTIF(tables_590010!C:C,input_590010!A29)-COUNTIF(Q:Q,A29)</f>
        <v>47</v>
      </c>
      <c r="F29" s="43">
        <f t="shared" si="8"/>
        <v>6.6666666666666675E-4</v>
      </c>
      <c r="G29">
        <f t="shared" si="4"/>
        <v>4559000.0000000009</v>
      </c>
      <c r="H29">
        <f t="shared" si="5"/>
        <v>97000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COUNTIF(tables_590010!C:C,input_590010!A30)-COUNTIF(Q:Q,A30)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COUNTIF(tables_590010!C:C,input_590010!A31)-COUNTIF(Q:Q,A31)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SUMIF(tables_590010!C:C,input_590010!A40,tables_590010!O:O)</f>
        <v>37050000</v>
      </c>
      <c r="C40" s="54">
        <f t="shared" ref="C40:C46" ca="1" si="9">B40/B$47</f>
        <v>0.51438722320448671</v>
      </c>
      <c r="E40">
        <v>3</v>
      </c>
      <c r="F40">
        <f ca="1">SUMIF(tables_590010!J:J,input_590010!E40,tables_590010!O:O)</f>
        <v>72750000</v>
      </c>
      <c r="G40">
        <f ca="1">F40/A36</f>
        <v>0.5</v>
      </c>
    </row>
    <row r="41" spans="1:7" x14ac:dyDescent="0.15">
      <c r="A41" s="33" t="s">
        <v>104</v>
      </c>
      <c r="B41">
        <f ca="1">SUMIF(tables_590010!C:C,input_590010!A41,tables_590010!O:O)</f>
        <v>31890000.000039976</v>
      </c>
      <c r="C41" s="54">
        <f t="shared" ca="1" si="9"/>
        <v>0.44274786904214969</v>
      </c>
      <c r="E41">
        <v>4</v>
      </c>
      <c r="F41">
        <f ca="1">SUMIF(tables_590010!J:J,input_590010!E41,tables_590010!O:O)</f>
        <v>65474999.999979921</v>
      </c>
      <c r="G41">
        <f ca="1">F41/A36</f>
        <v>0.44999999999986201</v>
      </c>
    </row>
    <row r="42" spans="1:7" x14ac:dyDescent="0.15">
      <c r="A42" s="33" t="s">
        <v>106</v>
      </c>
      <c r="B42">
        <f ca="1">SUMIF(tables_590010!C:C,input_590010!A42,tables_590010!O:O)</f>
        <v>2580200</v>
      </c>
      <c r="C42" s="54">
        <f t="shared" ca="1" si="9"/>
        <v>3.5822453800599639E-2</v>
      </c>
      <c r="E42">
        <v>5</v>
      </c>
      <c r="F42">
        <f ca="1">SUMIF(tables_590010!J:J,input_590010!E42,tables_590010!O:O)</f>
        <v>7274999.9999599988</v>
      </c>
      <c r="G42">
        <f ca="1">F42/A36</f>
        <v>4.9999999999725077E-2</v>
      </c>
    </row>
    <row r="43" spans="1:7" x14ac:dyDescent="0.15">
      <c r="A43" s="33" t="s">
        <v>109</v>
      </c>
      <c r="B43">
        <f>SUMIF(tables_590010!C:C,input_590010!A43,tables_590010!O:O)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SUMIF(tables_590010!C:C,input_590010!A44,tables_590010!O:O)</f>
        <v>371449.99995999975</v>
      </c>
      <c r="C44" s="54">
        <f t="shared" ca="1" si="9"/>
        <v>5.1570616474691227E-3</v>
      </c>
      <c r="E44" t="s">
        <v>54</v>
      </c>
      <c r="F44" s="55"/>
    </row>
    <row r="45" spans="1:7" x14ac:dyDescent="0.15">
      <c r="A45" s="33" t="s">
        <v>107</v>
      </c>
      <c r="B45">
        <f ca="1">SUMIF(tables_590010!C:C,input_590010!A45,tables_590010!O:O)</f>
        <v>135800</v>
      </c>
      <c r="C45" s="54">
        <f t="shared" ca="1" si="9"/>
        <v>1.8853923052947179E-3</v>
      </c>
      <c r="E45" t="s">
        <v>204</v>
      </c>
      <c r="F45" s="55">
        <f ca="1">SUMIF(tables_590010!I:I,input_590010!E45,tables_590010!P:P)</f>
        <v>0.23172542955336009</v>
      </c>
    </row>
    <row r="46" spans="1:7" x14ac:dyDescent="0.15">
      <c r="A46" s="33" t="s">
        <v>108</v>
      </c>
      <c r="B46">
        <f>SUMIF(tables_590010!C:C,input_590010!A46,tables_590010!O:O)</f>
        <v>0</v>
      </c>
      <c r="C46" s="54">
        <f t="shared" ca="1" si="9"/>
        <v>0</v>
      </c>
      <c r="E46" t="s">
        <v>205</v>
      </c>
      <c r="F46" s="55">
        <f ca="1">SUMIF(tables_590010!I:I,input_590010!E46,tables_590010!P:P)</f>
        <v>0.1851169243987017</v>
      </c>
    </row>
    <row r="47" spans="1:7" x14ac:dyDescent="0.15">
      <c r="A47" s="39" t="s">
        <v>59</v>
      </c>
      <c r="B47">
        <f ca="1">SUM(B40:B46)</f>
        <v>72027449.999999985</v>
      </c>
      <c r="C47" s="55">
        <f ca="1">SUM(C40:C46)</f>
        <v>0.99999999999999989</v>
      </c>
      <c r="E47" t="s">
        <v>206</v>
      </c>
      <c r="F47" s="55">
        <f ca="1">SUMIF(tables_590010!I:I,input_590010!E47,tables_590010!P:P)</f>
        <v>0.53315764604791804</v>
      </c>
    </row>
    <row r="48" spans="1:7" x14ac:dyDescent="0.15">
      <c r="E48" t="s">
        <v>207</v>
      </c>
      <c r="F48" s="55">
        <f ca="1">SUMIF(tables_590010!I:I,input_590010!E48,tables_590010!P:P)</f>
        <v>4.3333333333351126E-2</v>
      </c>
      <c r="G48" s="55"/>
    </row>
    <row r="49" spans="5:6" x14ac:dyDescent="0.15">
      <c r="E49" t="s">
        <v>251</v>
      </c>
      <c r="F49" s="55">
        <f ca="1">SUMIF(tables_590010!I:I,input_590010!E49,tables_590010!P:P)</f>
        <v>6.6666666666694114E-3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41" activePane="bottomLeft" state="frozen"/>
      <selection activeCell="H276" sqref="H276"/>
      <selection pane="bottomLeft" activeCell="B356" sqref="B356:B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input_590010!A$2</f>
        <v>590010</v>
      </c>
      <c r="B2" s="100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IFERROR(VLOOKUP(B2,input_590010!L:R,7,FALSE),VLOOKUP(tables_590010!C2,input_590010!A:H,8,FALSE))</f>
        <v>1642500</v>
      </c>
      <c r="P2" s="46">
        <f t="shared" ref="P2:P65" ca="1" si="1">O2/SUM(O:O)</f>
        <v>1.1288659793819081E-2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input_590010!A$2</f>
        <v>590010</v>
      </c>
      <c r="B3" s="100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IFERROR(VLOOKUP(B3,input_590010!L:R,7,FALSE),VLOOKUP(tables_590010!C3,input_590010!A:H,8,FALSE))</f>
        <v>21927.5</v>
      </c>
      <c r="P3" s="46">
        <f t="shared" ca="1" si="1"/>
        <v>1.5070446735401393E-4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input_590010!A$2</f>
        <v>590010</v>
      </c>
      <c r="B4" s="100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IFERROR(VLOOKUP(B4,input_590010!L:R,7,FALSE),VLOOKUP(tables_590010!C4,input_590010!A:H,8,FALSE))</f>
        <v>1642500</v>
      </c>
      <c r="P4" s="46">
        <f t="shared" ca="1" si="1"/>
        <v>1.1288659793819081E-2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input_590010!A$2</f>
        <v>590010</v>
      </c>
      <c r="B5" s="100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IFERROR(VLOOKUP(B5,input_590010!L:R,7,FALSE),VLOOKUP(tables_590010!C5,input_590010!A:H,8,FALSE))</f>
        <v>21927.5</v>
      </c>
      <c r="P5" s="46">
        <f t="shared" ca="1" si="1"/>
        <v>1.5070446735401393E-4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input_590010!A$2</f>
        <v>590010</v>
      </c>
      <c r="B6" s="100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IFERROR(VLOOKUP(B6,input_590010!L:R,7,FALSE),VLOOKUP(tables_590010!C6,input_590010!A:H,8,FALSE))</f>
        <v>1642500</v>
      </c>
      <c r="P6" s="46">
        <f t="shared" ca="1" si="1"/>
        <v>1.1288659793819081E-2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input_590010!A$2</f>
        <v>590010</v>
      </c>
      <c r="B7" s="100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IFERROR(VLOOKUP(B7,input_590010!L:R,7,FALSE),VLOOKUP(tables_590010!C7,input_590010!A:H,8,FALSE))</f>
        <v>21927.5</v>
      </c>
      <c r="P7" s="46">
        <f t="shared" ca="1" si="1"/>
        <v>1.5070446735401393E-4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input_590010!A$2</f>
        <v>590010</v>
      </c>
      <c r="B8" s="100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IFERROR(VLOOKUP(B8,input_590010!L:R,7,FALSE),VLOOKUP(tables_590010!C8,input_590010!A:H,8,FALSE))</f>
        <v>1642500</v>
      </c>
      <c r="P8" s="46">
        <f t="shared" ca="1" si="1"/>
        <v>1.1288659793819081E-2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input_590010!A$2</f>
        <v>590010</v>
      </c>
      <c r="B9" s="100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IFERROR(VLOOKUP(B9,input_590010!L:R,7,FALSE),VLOOKUP(tables_590010!C9,input_590010!A:H,8,FALSE))</f>
        <v>21927.5</v>
      </c>
      <c r="P9" s="46">
        <f t="shared" ca="1" si="1"/>
        <v>1.5070446735401393E-4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input_590010!A$2</f>
        <v>590010</v>
      </c>
      <c r="B10" s="100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IFERROR(VLOOKUP(B10,input_590010!L:R,7,FALSE),VLOOKUP(tables_590010!C10,input_590010!A:H,8,FALSE))</f>
        <v>1642500</v>
      </c>
      <c r="P10" s="46">
        <f t="shared" ca="1" si="1"/>
        <v>1.1288659793819081E-2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input_590010!A$2</f>
        <v>590010</v>
      </c>
      <c r="B11" s="100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IFERROR(VLOOKUP(B11,input_590010!L:R,7,FALSE),VLOOKUP(tables_590010!C11,input_590010!A:H,8,FALSE))</f>
        <v>21927.5</v>
      </c>
      <c r="P11" s="46">
        <f t="shared" ca="1" si="1"/>
        <v>1.5070446735401393E-4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input_590010!A$2</f>
        <v>590010</v>
      </c>
      <c r="B12" s="101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IFERROR(VLOOKUP(B12,input_590010!L:R,7,FALSE),VLOOKUP(tables_590010!C12,input_590010!A:H,8,FALSE))</f>
        <v>1642500</v>
      </c>
      <c r="P12" s="46">
        <f t="shared" ca="1" si="1"/>
        <v>1.1288659793819081E-2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input_590010!A$2</f>
        <v>590010</v>
      </c>
      <c r="B13" s="101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IFERROR(VLOOKUP(B13,input_590010!L:R,7,FALSE),VLOOKUP(tables_590010!C13,input_590010!A:H,8,FALSE))</f>
        <v>21927.5</v>
      </c>
      <c r="P13" s="46">
        <f t="shared" ca="1" si="1"/>
        <v>1.5070446735401393E-4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input_590010!A$2</f>
        <v>590010</v>
      </c>
      <c r="B14" s="100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IFERROR(VLOOKUP(B14,input_590010!L:R,7,FALSE),VLOOKUP(tables_590010!C14,input_590010!A:H,8,FALSE))</f>
        <v>1642500</v>
      </c>
      <c r="P14" s="46">
        <f t="shared" ca="1" si="1"/>
        <v>1.1288659793819081E-2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input_590010!A$2</f>
        <v>590010</v>
      </c>
      <c r="B15" s="10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IFERROR(VLOOKUP(B15,input_590010!L:R,7,FALSE),VLOOKUP(tables_590010!C15,input_590010!A:H,8,FALSE))</f>
        <v>21927.5</v>
      </c>
      <c r="P15" s="46">
        <f t="shared" ca="1" si="1"/>
        <v>1.5070446735401393E-4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input_590010!A$2</f>
        <v>590010</v>
      </c>
      <c r="B16" s="10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IFERROR(VLOOKUP(B16,input_590010!L:R,7,FALSE),VLOOKUP(tables_590010!C16,input_590010!A:H,8,FALSE))</f>
        <v>1642500</v>
      </c>
      <c r="P16" s="46">
        <f t="shared" ca="1" si="1"/>
        <v>1.1288659793819081E-2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input_590010!A$2</f>
        <v>590010</v>
      </c>
      <c r="B17" s="100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IFERROR(VLOOKUP(B17,input_590010!L:R,7,FALSE),VLOOKUP(tables_590010!C17,input_590010!A:H,8,FALSE))</f>
        <v>21927.5</v>
      </c>
      <c r="P17" s="46">
        <f t="shared" ca="1" si="1"/>
        <v>1.5070446735401393E-4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input_590010!A$2</f>
        <v>590010</v>
      </c>
      <c r="B18" s="100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IFERROR(VLOOKUP(B18,input_590010!L:R,7,FALSE),VLOOKUP(tables_590010!C18,input_590010!A:H,8,FALSE))</f>
        <v>1642500</v>
      </c>
      <c r="P18" s="46">
        <f t="shared" ca="1" si="1"/>
        <v>1.1288659793819081E-2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input_590010!A$2</f>
        <v>590010</v>
      </c>
      <c r="B19" s="10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IFERROR(VLOOKUP(B19,input_590010!L:R,7,FALSE),VLOOKUP(tables_590010!C19,input_590010!A:H,8,FALSE))</f>
        <v>21927.5</v>
      </c>
      <c r="P19" s="46">
        <f t="shared" ca="1" si="1"/>
        <v>1.5070446735401393E-4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input_590010!A$2</f>
        <v>590010</v>
      </c>
      <c r="B20" s="10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IFERROR(VLOOKUP(B20,input_590010!L:R,7,FALSE),VLOOKUP(tables_590010!C20,input_590010!A:H,8,FALSE))</f>
        <v>1642500</v>
      </c>
      <c r="P20" s="46">
        <f t="shared" ca="1" si="1"/>
        <v>1.1288659793819081E-2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input_590010!A$2</f>
        <v>590010</v>
      </c>
      <c r="B21" s="100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IFERROR(VLOOKUP(B21,input_590010!L:R,7,FALSE),VLOOKUP(tables_590010!C21,input_590010!A:H,8,FALSE))</f>
        <v>21927.5</v>
      </c>
      <c r="P21" s="46">
        <f t="shared" ca="1" si="1"/>
        <v>1.5070446735401393E-4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input_590010!A$2</f>
        <v>590010</v>
      </c>
      <c r="B22" s="100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IFERROR(VLOOKUP(B22,input_590010!L:R,7,FALSE),VLOOKUP(tables_590010!C22,input_590010!A:H,8,FALSE))</f>
        <v>1642500</v>
      </c>
      <c r="P22" s="46">
        <f t="shared" ca="1" si="1"/>
        <v>1.1288659793819081E-2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input_590010!A$2</f>
        <v>590010</v>
      </c>
      <c r="B23" s="100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IFERROR(VLOOKUP(B23,input_590010!L:R,7,FALSE),VLOOKUP(tables_590010!C23,input_590010!A:H,8,FALSE))</f>
        <v>21927.5</v>
      </c>
      <c r="P23" s="46">
        <f t="shared" ca="1" si="1"/>
        <v>1.5070446735401393E-4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input_590010!A$2</f>
        <v>590010</v>
      </c>
      <c r="B24" s="100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IFERROR(VLOOKUP(B24,input_590010!L:R,7,FALSE),VLOOKUP(tables_590010!C24,input_590010!A:H,8,FALSE))</f>
        <v>1642500</v>
      </c>
      <c r="P24" s="46">
        <f t="shared" ca="1" si="1"/>
        <v>1.1288659793819081E-2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input_590010!A$2</f>
        <v>590010</v>
      </c>
      <c r="B25" s="100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IFERROR(VLOOKUP(B25,input_590010!L:R,7,FALSE),VLOOKUP(tables_590010!C25,input_590010!A:H,8,FALSE))</f>
        <v>21927.5</v>
      </c>
      <c r="P25" s="46">
        <f t="shared" ca="1" si="1"/>
        <v>1.5070446735401393E-4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input_590010!A$2</f>
        <v>590010</v>
      </c>
      <c r="B26" s="100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IFERROR(VLOOKUP(B26,input_590010!L:R,7,FALSE),VLOOKUP(tables_590010!C26,input_590010!A:H,8,FALSE))</f>
        <v>1642500</v>
      </c>
      <c r="P26" s="46">
        <f t="shared" ca="1" si="1"/>
        <v>1.1288659793819081E-2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input_590010!A$2</f>
        <v>590010</v>
      </c>
      <c r="B27" s="100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IFERROR(VLOOKUP(B27,input_590010!L:R,7,FALSE),VLOOKUP(tables_590010!C27,input_590010!A:H,8,FALSE))</f>
        <v>21927.5</v>
      </c>
      <c r="P27" s="46">
        <f t="shared" ca="1" si="1"/>
        <v>1.5070446735401393E-4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input_590010!A$2</f>
        <v>590010</v>
      </c>
      <c r="B28" s="100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IFERROR(VLOOKUP(B28,input_590010!L:R,7,FALSE),VLOOKUP(tables_590010!C28,input_590010!A:H,8,FALSE))</f>
        <v>1642500</v>
      </c>
      <c r="P28" s="46">
        <f t="shared" ca="1" si="1"/>
        <v>1.1288659793819081E-2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input_590010!A$2</f>
        <v>590010</v>
      </c>
      <c r="B29" s="100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IFERROR(VLOOKUP(B29,input_590010!L:R,7,FALSE),VLOOKUP(tables_590010!C29,input_590010!A:H,8,FALSE))</f>
        <v>21927.5</v>
      </c>
      <c r="P29" s="46">
        <f t="shared" ca="1" si="1"/>
        <v>1.5070446735401393E-4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input_590010!A$2</f>
        <v>590010</v>
      </c>
      <c r="B30" s="100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IFERROR(VLOOKUP(B30,input_590010!L:R,7,FALSE),VLOOKUP(tables_590010!C30,input_590010!A:H,8,FALSE))</f>
        <v>1642500</v>
      </c>
      <c r="P30" s="46">
        <f t="shared" ca="1" si="1"/>
        <v>1.1288659793819081E-2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input_590010!A$2</f>
        <v>590010</v>
      </c>
      <c r="B31" s="100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IFERROR(VLOOKUP(B31,input_590010!L:R,7,FALSE),VLOOKUP(tables_590010!C31,input_590010!A:H,8,FALSE))</f>
        <v>21927.5</v>
      </c>
      <c r="P31" s="46">
        <f t="shared" ca="1" si="1"/>
        <v>1.5070446735401393E-4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input_590010!A$2</f>
        <v>590010</v>
      </c>
      <c r="B32" s="100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IFERROR(VLOOKUP(B32,input_590010!L:R,7,FALSE),VLOOKUP(tables_590010!C32,input_590010!A:H,8,FALSE))</f>
        <v>1642500</v>
      </c>
      <c r="P32" s="46">
        <f t="shared" ca="1" si="1"/>
        <v>1.1288659793819081E-2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input_590010!A$2</f>
        <v>590010</v>
      </c>
      <c r="B33" s="100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IFERROR(VLOOKUP(B33,input_590010!L:R,7,FALSE),VLOOKUP(tables_590010!C33,input_590010!A:H,8,FALSE))</f>
        <v>21927.5</v>
      </c>
      <c r="P33" s="46">
        <f t="shared" ca="1" si="1"/>
        <v>1.5070446735401393E-4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input_590010!A$2</f>
        <v>590010</v>
      </c>
      <c r="B34" s="100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IFERROR(VLOOKUP(B34,input_590010!L:R,7,FALSE),VLOOKUP(tables_590010!C34,input_590010!A:H,8,FALSE))</f>
        <v>1642500</v>
      </c>
      <c r="P34" s="46">
        <f t="shared" ca="1" si="1"/>
        <v>1.1288659793819081E-2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input_590010!A$2</f>
        <v>590010</v>
      </c>
      <c r="B35" s="100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IFERROR(VLOOKUP(B35,input_590010!L:R,7,FALSE),VLOOKUP(tables_590010!C35,input_590010!A:H,8,FALSE))</f>
        <v>21927.5</v>
      </c>
      <c r="P35" s="46">
        <f t="shared" ca="1" si="1"/>
        <v>1.5070446735401393E-4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input_590010!A$2</f>
        <v>590010</v>
      </c>
      <c r="B36" s="100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IFERROR(VLOOKUP(B36,input_590010!L:R,7,FALSE),VLOOKUP(tables_590010!C36,input_590010!A:H,8,FALSE))</f>
        <v>1642500</v>
      </c>
      <c r="P36" s="46">
        <f t="shared" ca="1" si="1"/>
        <v>1.1288659793819081E-2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input_590010!A$2</f>
        <v>590010</v>
      </c>
      <c r="B37" s="100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IFERROR(VLOOKUP(B37,input_590010!L:R,7,FALSE),VLOOKUP(tables_590010!C37,input_590010!A:H,8,FALSE))</f>
        <v>21927.5</v>
      </c>
      <c r="P37" s="46">
        <f t="shared" ca="1" si="1"/>
        <v>1.5070446735401393E-4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input_590010!A$2</f>
        <v>590010</v>
      </c>
      <c r="B38" s="100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IFERROR(VLOOKUP(B38,input_590010!L:R,7,FALSE),VLOOKUP(tables_590010!C38,input_590010!A:H,8,FALSE))</f>
        <v>1642500</v>
      </c>
      <c r="P38" s="46">
        <f t="shared" ca="1" si="1"/>
        <v>1.1288659793819081E-2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input_590010!A$2</f>
        <v>590010</v>
      </c>
      <c r="B39" s="100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IFERROR(VLOOKUP(B39,input_590010!L:R,7,FALSE),VLOOKUP(tables_590010!C39,input_590010!A:H,8,FALSE))</f>
        <v>21927.5</v>
      </c>
      <c r="P39" s="46">
        <f t="shared" ca="1" si="1"/>
        <v>1.5070446735401393E-4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input_590010!A$2</f>
        <v>590010</v>
      </c>
      <c r="B40" s="100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IFERROR(VLOOKUP(B40,input_590010!L:R,7,FALSE),VLOOKUP(tables_590010!C40,input_590010!A:H,8,FALSE))</f>
        <v>1642500</v>
      </c>
      <c r="P40" s="46">
        <f t="shared" ca="1" si="1"/>
        <v>1.1288659793819081E-2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input_590010!A$2</f>
        <v>590010</v>
      </c>
      <c r="B41" s="100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IFERROR(VLOOKUP(B41,input_590010!L:R,7,FALSE),VLOOKUP(tables_590010!C41,input_590010!A:H,8,FALSE))</f>
        <v>21927.5</v>
      </c>
      <c r="P41" s="46">
        <f t="shared" ca="1" si="1"/>
        <v>1.5070446735401393E-4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input_590010!A$2</f>
        <v>590010</v>
      </c>
      <c r="B42" s="100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IFERROR(VLOOKUP(B42,input_590010!L:R,7,FALSE),VLOOKUP(tables_590010!C42,input_590010!A:H,8,FALSE))</f>
        <v>712500</v>
      </c>
      <c r="P42" s="46">
        <f t="shared" ca="1" si="1"/>
        <v>4.8969072164968611E-3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input_590010!A$2</f>
        <v>590010</v>
      </c>
      <c r="B43" s="100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IFERROR(VLOOKUP(B43,input_590010!L:R,7,FALSE),VLOOKUP(tables_590010!C43,input_590010!A:H,8,FALSE))</f>
        <v>641250</v>
      </c>
      <c r="P43" s="46">
        <f t="shared" ca="1" si="1"/>
        <v>4.4072164948471756E-3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input_590010!A$2</f>
        <v>590010</v>
      </c>
      <c r="B44" s="100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IFERROR(VLOOKUP(B44,input_590010!L:R,7,FALSE),VLOOKUP(tables_590010!C44,input_590010!A:H,8,FALSE))</f>
        <v>71250</v>
      </c>
      <c r="P44" s="46">
        <f t="shared" ca="1" si="1"/>
        <v>4.8969072164968617E-4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input_590010!A$2</f>
        <v>590010</v>
      </c>
      <c r="B45" s="100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IFERROR(VLOOKUP(B45,input_590010!L:R,7,FALSE),VLOOKUP(tables_590010!C45,input_590010!A:H,8,FALSE))</f>
        <v>712500</v>
      </c>
      <c r="P45" s="46">
        <f t="shared" ca="1" si="1"/>
        <v>4.8969072164968611E-3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input_590010!A$2</f>
        <v>590010</v>
      </c>
      <c r="B46" s="100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IFERROR(VLOOKUP(B46,input_590010!L:R,7,FALSE),VLOOKUP(tables_590010!C46,input_590010!A:H,8,FALSE))</f>
        <v>641250</v>
      </c>
      <c r="P46" s="46">
        <f t="shared" ca="1" si="1"/>
        <v>4.4072164948471756E-3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input_590010!A$2</f>
        <v>590010</v>
      </c>
      <c r="B47" s="100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IFERROR(VLOOKUP(B47,input_590010!L:R,7,FALSE),VLOOKUP(tables_590010!C47,input_590010!A:H,8,FALSE))</f>
        <v>71250</v>
      </c>
      <c r="P47" s="46">
        <f t="shared" ca="1" si="1"/>
        <v>4.8969072164968617E-4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input_590010!A$2</f>
        <v>590010</v>
      </c>
      <c r="B48" s="100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IFERROR(VLOOKUP(B48,input_590010!L:R,7,FALSE),VLOOKUP(tables_590010!C48,input_590010!A:H,8,FALSE))</f>
        <v>712500</v>
      </c>
      <c r="P48" s="46">
        <f t="shared" ca="1" si="1"/>
        <v>4.8969072164968611E-3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input_590010!A$2</f>
        <v>590010</v>
      </c>
      <c r="B49" s="100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IFERROR(VLOOKUP(B49,input_590010!L:R,7,FALSE),VLOOKUP(tables_590010!C49,input_590010!A:H,8,FALSE))</f>
        <v>641250</v>
      </c>
      <c r="P49" s="46">
        <f t="shared" ca="1" si="1"/>
        <v>4.4072164948471756E-3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input_590010!A$2</f>
        <v>590010</v>
      </c>
      <c r="B50" s="100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IFERROR(VLOOKUP(B50,input_590010!L:R,7,FALSE),VLOOKUP(tables_590010!C50,input_590010!A:H,8,FALSE))</f>
        <v>71250</v>
      </c>
      <c r="P50" s="46">
        <f t="shared" ca="1" si="1"/>
        <v>4.8969072164968617E-4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input_590010!A$2</f>
        <v>590010</v>
      </c>
      <c r="B51" s="100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IFERROR(VLOOKUP(B51,input_590010!L:R,7,FALSE),VLOOKUP(tables_590010!C51,input_590010!A:H,8,FALSE))</f>
        <v>712500</v>
      </c>
      <c r="P51" s="46">
        <f t="shared" ca="1" si="1"/>
        <v>4.8969072164968611E-3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input_590010!A$2</f>
        <v>590010</v>
      </c>
      <c r="B52" s="100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IFERROR(VLOOKUP(B52,input_590010!L:R,7,FALSE),VLOOKUP(tables_590010!C52,input_590010!A:H,8,FALSE))</f>
        <v>613269.23077000002</v>
      </c>
      <c r="P52" s="46">
        <f t="shared" ca="1" si="1"/>
        <v>4.2149088025446911E-3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input_590010!A$2</f>
        <v>590010</v>
      </c>
      <c r="B53" s="100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IFERROR(VLOOKUP(B53,input_590010!L:R,7,FALSE),VLOOKUP(tables_590010!C53,input_590010!A:H,8,FALSE))</f>
        <v>7143.2692299999999</v>
      </c>
      <c r="P53" s="46">
        <f t="shared" ca="1" si="1"/>
        <v>4.9094633883181724E-5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input_590010!A$2</f>
        <v>590010</v>
      </c>
      <c r="B54" s="100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IFERROR(VLOOKUP(B54,input_590010!L:R,7,FALSE),VLOOKUP(tables_590010!C54,input_590010!A:H,8,FALSE))</f>
        <v>712500</v>
      </c>
      <c r="P54" s="46">
        <f t="shared" ca="1" si="1"/>
        <v>4.8969072164968611E-3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input_590010!A$2</f>
        <v>590010</v>
      </c>
      <c r="B55" s="100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IFERROR(VLOOKUP(B55,input_590010!L:R,7,FALSE),VLOOKUP(tables_590010!C55,input_590010!A:H,8,FALSE))</f>
        <v>613269.23077000002</v>
      </c>
      <c r="P55" s="46">
        <f t="shared" ca="1" si="1"/>
        <v>4.2149088025446911E-3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input_590010!A$2</f>
        <v>590010</v>
      </c>
      <c r="B56" s="100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IFERROR(VLOOKUP(B56,input_590010!L:R,7,FALSE),VLOOKUP(tables_590010!C56,input_590010!A:H,8,FALSE))</f>
        <v>7143.2692299999999</v>
      </c>
      <c r="P56" s="46">
        <f t="shared" ca="1" si="1"/>
        <v>4.9094633883181724E-5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input_590010!A$2</f>
        <v>590010</v>
      </c>
      <c r="B57" s="100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IFERROR(VLOOKUP(B57,input_590010!L:R,7,FALSE),VLOOKUP(tables_590010!C57,input_590010!A:H,8,FALSE))</f>
        <v>712500</v>
      </c>
      <c r="P57" s="46">
        <f t="shared" ca="1" si="1"/>
        <v>4.8969072164968611E-3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input_590010!A$2</f>
        <v>590010</v>
      </c>
      <c r="B58" s="100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IFERROR(VLOOKUP(B58,input_590010!L:R,7,FALSE),VLOOKUP(tables_590010!C58,input_590010!A:H,8,FALSE))</f>
        <v>613269.23077000002</v>
      </c>
      <c r="P58" s="46">
        <f t="shared" ca="1" si="1"/>
        <v>4.2149088025446911E-3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input_590010!A$2</f>
        <v>590010</v>
      </c>
      <c r="B59" s="100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IFERROR(VLOOKUP(B59,input_590010!L:R,7,FALSE),VLOOKUP(tables_590010!C59,input_590010!A:H,8,FALSE))</f>
        <v>7143.2692299999999</v>
      </c>
      <c r="P59" s="46">
        <f t="shared" ca="1" si="1"/>
        <v>4.9094633883181724E-5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input_590010!A$2</f>
        <v>590010</v>
      </c>
      <c r="B60" s="100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IFERROR(VLOOKUP(B60,input_590010!L:R,7,FALSE),VLOOKUP(tables_590010!C60,input_590010!A:H,8,FALSE))</f>
        <v>712500</v>
      </c>
      <c r="P60" s="46">
        <f t="shared" ca="1" si="1"/>
        <v>4.8969072164968611E-3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input_590010!A$2</f>
        <v>590010</v>
      </c>
      <c r="B61" s="100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IFERROR(VLOOKUP(B61,input_590010!L:R,7,FALSE),VLOOKUP(tables_590010!C61,input_590010!A:H,8,FALSE))</f>
        <v>613269.23077000002</v>
      </c>
      <c r="P61" s="46">
        <f t="shared" ca="1" si="1"/>
        <v>4.2149088025446911E-3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input_590010!A$2</f>
        <v>590010</v>
      </c>
      <c r="B62" s="101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IFERROR(VLOOKUP(B62,input_590010!L:R,7,FALSE),VLOOKUP(tables_590010!C62,input_590010!A:H,8,FALSE))</f>
        <v>7143.2692299999999</v>
      </c>
      <c r="P62" s="46">
        <f t="shared" ca="1" si="1"/>
        <v>4.9094633883181724E-5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input_590010!A$2</f>
        <v>590010</v>
      </c>
      <c r="B63" s="101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IFERROR(VLOOKUP(B63,input_590010!L:R,7,FALSE),VLOOKUP(tables_590010!C63,input_590010!A:H,8,FALSE))</f>
        <v>712500</v>
      </c>
      <c r="P63" s="46">
        <f t="shared" ca="1" si="1"/>
        <v>4.8969072164968611E-3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input_590010!A$2</f>
        <v>590010</v>
      </c>
      <c r="B64" s="101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IFERROR(VLOOKUP(B64,input_590010!L:R,7,FALSE),VLOOKUP(tables_590010!C64,input_590010!A:H,8,FALSE))</f>
        <v>613269.23077000002</v>
      </c>
      <c r="P64" s="46">
        <f t="shared" ca="1" si="1"/>
        <v>4.2149088025446911E-3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input_590010!A$2</f>
        <v>590010</v>
      </c>
      <c r="B65" s="101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IFERROR(VLOOKUP(B65,input_590010!L:R,7,FALSE),VLOOKUP(tables_590010!C65,input_590010!A:H,8,FALSE))</f>
        <v>7143.2692299999999</v>
      </c>
      <c r="P65" s="46">
        <f t="shared" ca="1" si="1"/>
        <v>4.9094633883181724E-5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input_590010!A$2</f>
        <v>590010</v>
      </c>
      <c r="B66" s="100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IFERROR(VLOOKUP(B66,input_590010!L:R,7,FALSE),VLOOKUP(tables_590010!C66,input_590010!A:H,8,FALSE))</f>
        <v>712500</v>
      </c>
      <c r="P66" s="46">
        <f t="shared" ref="P66:P129" ca="1" si="4">O66/SUM(O:O)</f>
        <v>4.8969072164968611E-3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input_590010!A$2</f>
        <v>590010</v>
      </c>
      <c r="B67" s="100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IFERROR(VLOOKUP(B67,input_590010!L:R,7,FALSE),VLOOKUP(tables_590010!C67,input_590010!A:H,8,FALSE))</f>
        <v>613269.23077000002</v>
      </c>
      <c r="P67" s="46">
        <f t="shared" ca="1" si="4"/>
        <v>4.2149088025446911E-3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input_590010!A$2</f>
        <v>590010</v>
      </c>
      <c r="B68" s="100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IFERROR(VLOOKUP(B68,input_590010!L:R,7,FALSE),VLOOKUP(tables_590010!C68,input_590010!A:H,8,FALSE))</f>
        <v>7143.2692299999999</v>
      </c>
      <c r="P68" s="46">
        <f t="shared" ca="1" si="4"/>
        <v>4.9094633883181724E-5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input_590010!A$2</f>
        <v>590010</v>
      </c>
      <c r="B69" s="10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IFERROR(VLOOKUP(B69,input_590010!L:R,7,FALSE),VLOOKUP(tables_590010!C69,input_590010!A:H,8,FALSE))</f>
        <v>712500</v>
      </c>
      <c r="P69" s="46">
        <f t="shared" ca="1" si="4"/>
        <v>4.8969072164968611E-3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input_590010!A$2</f>
        <v>590010</v>
      </c>
      <c r="B70" s="10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IFERROR(VLOOKUP(B70,input_590010!L:R,7,FALSE),VLOOKUP(tables_590010!C70,input_590010!A:H,8,FALSE))</f>
        <v>613269.23077000002</v>
      </c>
      <c r="P70" s="46">
        <f t="shared" ca="1" si="4"/>
        <v>4.2149088025446911E-3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input_590010!A$2</f>
        <v>590010</v>
      </c>
      <c r="B71" s="10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IFERROR(VLOOKUP(B71,input_590010!L:R,7,FALSE),VLOOKUP(tables_590010!C71,input_590010!A:H,8,FALSE))</f>
        <v>7143.2692299999999</v>
      </c>
      <c r="P71" s="46">
        <f t="shared" ca="1" si="4"/>
        <v>4.9094633883181724E-5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input_590010!A$2</f>
        <v>590010</v>
      </c>
      <c r="B72" s="10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IFERROR(VLOOKUP(B72,input_590010!L:R,7,FALSE),VLOOKUP(tables_590010!C72,input_590010!A:H,8,FALSE))</f>
        <v>712500</v>
      </c>
      <c r="P72" s="46">
        <f t="shared" ca="1" si="4"/>
        <v>4.8969072164968611E-3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input_590010!A$2</f>
        <v>590010</v>
      </c>
      <c r="B73" s="100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IFERROR(VLOOKUP(B73,input_590010!L:R,7,FALSE),VLOOKUP(tables_590010!C73,input_590010!A:H,8,FALSE))</f>
        <v>613269.23077000002</v>
      </c>
      <c r="P73" s="46">
        <f t="shared" ca="1" si="4"/>
        <v>4.2149088025446911E-3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input_590010!A$2</f>
        <v>590010</v>
      </c>
      <c r="B74" s="100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IFERROR(VLOOKUP(B74,input_590010!L:R,7,FALSE),VLOOKUP(tables_590010!C74,input_590010!A:H,8,FALSE))</f>
        <v>7143.2692299999999</v>
      </c>
      <c r="P74" s="46">
        <f t="shared" ca="1" si="4"/>
        <v>4.9094633883181724E-5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input_590010!A$2</f>
        <v>590010</v>
      </c>
      <c r="B75" s="100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IFERROR(VLOOKUP(B75,input_590010!L:R,7,FALSE),VLOOKUP(tables_590010!C75,input_590010!A:H,8,FALSE))</f>
        <v>712500</v>
      </c>
      <c r="P75" s="46">
        <f t="shared" ca="1" si="4"/>
        <v>4.8969072164968611E-3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input_590010!A$2</f>
        <v>590010</v>
      </c>
      <c r="B76" s="100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IFERROR(VLOOKUP(B76,input_590010!L:R,7,FALSE),VLOOKUP(tables_590010!C76,input_590010!A:H,8,FALSE))</f>
        <v>613269.23077000002</v>
      </c>
      <c r="P76" s="46">
        <f t="shared" ca="1" si="4"/>
        <v>4.2149088025446911E-3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input_590010!A$2</f>
        <v>590010</v>
      </c>
      <c r="B77" s="102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IFERROR(VLOOKUP(B77,input_590010!L:R,7,FALSE),VLOOKUP(tables_590010!C77,input_590010!A:H,8,FALSE))</f>
        <v>7143.2692299999999</v>
      </c>
      <c r="P77" s="46">
        <f t="shared" ca="1" si="4"/>
        <v>4.9094633883181724E-5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input_590010!A$2</f>
        <v>590010</v>
      </c>
      <c r="B78" s="102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IFERROR(VLOOKUP(B78,input_590010!L:R,7,FALSE),VLOOKUP(tables_590010!C78,input_590010!A:H,8,FALSE))</f>
        <v>712500</v>
      </c>
      <c r="P78" s="46">
        <f t="shared" ca="1" si="4"/>
        <v>4.8969072164968611E-3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input_590010!A$2</f>
        <v>590010</v>
      </c>
      <c r="B79" s="102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IFERROR(VLOOKUP(B79,input_590010!L:R,7,FALSE),VLOOKUP(tables_590010!C79,input_590010!A:H,8,FALSE))</f>
        <v>613269.23077000002</v>
      </c>
      <c r="P79" s="46">
        <f t="shared" ca="1" si="4"/>
        <v>4.2149088025446911E-3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input_590010!A$2</f>
        <v>590010</v>
      </c>
      <c r="B80" s="102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IFERROR(VLOOKUP(B80,input_590010!L:R,7,FALSE),VLOOKUP(tables_590010!C80,input_590010!A:H,8,FALSE))</f>
        <v>7143.2692299999999</v>
      </c>
      <c r="P80" s="46">
        <f t="shared" ca="1" si="4"/>
        <v>4.9094633883181724E-5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input_590010!A$2</f>
        <v>590010</v>
      </c>
      <c r="B81" s="102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IFERROR(VLOOKUP(B81,input_590010!L:R,7,FALSE),VLOOKUP(tables_590010!C81,input_590010!A:H,8,FALSE))</f>
        <v>712500</v>
      </c>
      <c r="P81" s="46">
        <f t="shared" ca="1" si="4"/>
        <v>4.8969072164968611E-3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input_590010!A$2</f>
        <v>590010</v>
      </c>
      <c r="B82" s="102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IFERROR(VLOOKUP(B82,input_590010!L:R,7,FALSE),VLOOKUP(tables_590010!C82,input_590010!A:H,8,FALSE))</f>
        <v>613269.23077000002</v>
      </c>
      <c r="P82" s="46">
        <f t="shared" ca="1" si="4"/>
        <v>4.2149088025446911E-3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input_590010!A$2</f>
        <v>590010</v>
      </c>
      <c r="B83" s="102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IFERROR(VLOOKUP(B83,input_590010!L:R,7,FALSE),VLOOKUP(tables_590010!C83,input_590010!A:H,8,FALSE))</f>
        <v>7143.2692299999999</v>
      </c>
      <c r="P83" s="46">
        <f t="shared" ca="1" si="4"/>
        <v>4.9094633883181724E-5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input_590010!A$2</f>
        <v>590010</v>
      </c>
      <c r="B84" s="102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IFERROR(VLOOKUP(B84,input_590010!L:R,7,FALSE),VLOOKUP(tables_590010!C84,input_590010!A:H,8,FALSE))</f>
        <v>712500</v>
      </c>
      <c r="P84" s="46">
        <f t="shared" ca="1" si="4"/>
        <v>4.8969072164968611E-3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input_590010!A$2</f>
        <v>590010</v>
      </c>
      <c r="B85" s="102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IFERROR(VLOOKUP(B85,input_590010!L:R,7,FALSE),VLOOKUP(tables_590010!C85,input_590010!A:H,8,FALSE))</f>
        <v>613269.23077000002</v>
      </c>
      <c r="P85" s="46">
        <f t="shared" ca="1" si="4"/>
        <v>4.2149088025446911E-3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input_590010!A$2</f>
        <v>590010</v>
      </c>
      <c r="B86" s="102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IFERROR(VLOOKUP(B86,input_590010!L:R,7,FALSE),VLOOKUP(tables_590010!C86,input_590010!A:H,8,FALSE))</f>
        <v>7143.2692299999999</v>
      </c>
      <c r="P86" s="46">
        <f t="shared" ca="1" si="4"/>
        <v>4.9094633883181724E-5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input_590010!A$2</f>
        <v>590010</v>
      </c>
      <c r="B87" s="102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IFERROR(VLOOKUP(B87,input_590010!L:R,7,FALSE),VLOOKUP(tables_590010!C87,input_590010!A:H,8,FALSE))</f>
        <v>712500</v>
      </c>
      <c r="P87" s="46">
        <f t="shared" ca="1" si="4"/>
        <v>4.8969072164968611E-3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input_590010!A$2</f>
        <v>590010</v>
      </c>
      <c r="B88" s="102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IFERROR(VLOOKUP(B88,input_590010!L:R,7,FALSE),VLOOKUP(tables_590010!C88,input_590010!A:H,8,FALSE))</f>
        <v>613269.23077000002</v>
      </c>
      <c r="P88" s="46">
        <f t="shared" ca="1" si="4"/>
        <v>4.2149088025446911E-3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input_590010!A$2</f>
        <v>590010</v>
      </c>
      <c r="B89" s="102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IFERROR(VLOOKUP(B89,input_590010!L:R,7,FALSE),VLOOKUP(tables_590010!C89,input_590010!A:H,8,FALSE))</f>
        <v>7143.2692299999999</v>
      </c>
      <c r="P89" s="46">
        <f t="shared" ca="1" si="4"/>
        <v>4.9094633883181724E-5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input_590010!A$2</f>
        <v>590010</v>
      </c>
      <c r="B90" s="102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IFERROR(VLOOKUP(B90,input_590010!L:R,7,FALSE),VLOOKUP(tables_590010!C90,input_590010!A:H,8,FALSE))</f>
        <v>712500</v>
      </c>
      <c r="P90" s="46">
        <f t="shared" ca="1" si="4"/>
        <v>4.8969072164968611E-3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input_590010!A$2</f>
        <v>590010</v>
      </c>
      <c r="B91" s="102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IFERROR(VLOOKUP(B91,input_590010!L:R,7,FALSE),VLOOKUP(tables_590010!C91,input_590010!A:H,8,FALSE))</f>
        <v>613269.23077000002</v>
      </c>
      <c r="P91" s="46">
        <f t="shared" ca="1" si="4"/>
        <v>4.2149088025446911E-3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input_590010!A$2</f>
        <v>590010</v>
      </c>
      <c r="B92" s="102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IFERROR(VLOOKUP(B92,input_590010!L:R,7,FALSE),VLOOKUP(tables_590010!C92,input_590010!A:H,8,FALSE))</f>
        <v>7143.2692299999999</v>
      </c>
      <c r="P92" s="46">
        <f t="shared" ca="1" si="4"/>
        <v>4.9094633883181724E-5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input_590010!A$2</f>
        <v>590010</v>
      </c>
      <c r="B93" s="102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IFERROR(VLOOKUP(B93,input_590010!L:R,7,FALSE),VLOOKUP(tables_590010!C93,input_590010!A:H,8,FALSE))</f>
        <v>712500</v>
      </c>
      <c r="P93" s="46">
        <f t="shared" ca="1" si="4"/>
        <v>4.8969072164968611E-3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input_590010!A$2</f>
        <v>590010</v>
      </c>
      <c r="B94" s="102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IFERROR(VLOOKUP(B94,input_590010!L:R,7,FALSE),VLOOKUP(tables_590010!C94,input_590010!A:H,8,FALSE))</f>
        <v>613269.23077000002</v>
      </c>
      <c r="P94" s="46">
        <f t="shared" ca="1" si="4"/>
        <v>4.2149088025446911E-3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input_590010!A$2</f>
        <v>590010</v>
      </c>
      <c r="B95" s="102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IFERROR(VLOOKUP(B95,input_590010!L:R,7,FALSE),VLOOKUP(tables_590010!C95,input_590010!A:H,8,FALSE))</f>
        <v>7143.2692299999999</v>
      </c>
      <c r="P95" s="46">
        <f t="shared" ca="1" si="4"/>
        <v>4.9094633883181724E-5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input_590010!A$2</f>
        <v>590010</v>
      </c>
      <c r="B96" s="102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IFERROR(VLOOKUP(B96,input_590010!L:R,7,FALSE),VLOOKUP(tables_590010!C96,input_590010!A:H,8,FALSE))</f>
        <v>712500</v>
      </c>
      <c r="P96" s="46">
        <f t="shared" ca="1" si="4"/>
        <v>4.8969072164968611E-3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input_590010!A$2</f>
        <v>590010</v>
      </c>
      <c r="B97" s="102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IFERROR(VLOOKUP(B97,input_590010!L:R,7,FALSE),VLOOKUP(tables_590010!C97,input_590010!A:H,8,FALSE))</f>
        <v>613269.23077000002</v>
      </c>
      <c r="P97" s="46">
        <f t="shared" ca="1" si="4"/>
        <v>4.2149088025446911E-3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input_590010!A$2</f>
        <v>590010</v>
      </c>
      <c r="B98" s="102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IFERROR(VLOOKUP(B98,input_590010!L:R,7,FALSE),VLOOKUP(tables_590010!C98,input_590010!A:H,8,FALSE))</f>
        <v>7143.2692299999999</v>
      </c>
      <c r="P98" s="46">
        <f t="shared" ca="1" si="4"/>
        <v>4.9094633883181724E-5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input_590010!A$2</f>
        <v>590010</v>
      </c>
      <c r="B99" s="102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IFERROR(VLOOKUP(B99,input_590010!L:R,7,FALSE),VLOOKUP(tables_590010!C99,input_590010!A:H,8,FALSE))</f>
        <v>712500</v>
      </c>
      <c r="P99" s="46">
        <f t="shared" ca="1" si="4"/>
        <v>4.8969072164968611E-3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input_590010!A$2</f>
        <v>590010</v>
      </c>
      <c r="B100" s="102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IFERROR(VLOOKUP(B100,input_590010!L:R,7,FALSE),VLOOKUP(tables_590010!C100,input_590010!A:H,8,FALSE))</f>
        <v>613269.23077000002</v>
      </c>
      <c r="P100" s="46">
        <f t="shared" ca="1" si="4"/>
        <v>4.2149088025446911E-3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input_590010!A$2</f>
        <v>590010</v>
      </c>
      <c r="B101" s="102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IFERROR(VLOOKUP(B101,input_590010!L:R,7,FALSE),VLOOKUP(tables_590010!C101,input_590010!A:H,8,FALSE))</f>
        <v>7143.2692299999999</v>
      </c>
      <c r="P101" s="46">
        <f t="shared" ca="1" si="4"/>
        <v>4.9094633883181724E-5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input_590010!A$2</f>
        <v>590010</v>
      </c>
      <c r="B102" s="102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IFERROR(VLOOKUP(B102,input_590010!L:R,7,FALSE),VLOOKUP(tables_590010!C102,input_590010!A:H,8,FALSE))</f>
        <v>712500</v>
      </c>
      <c r="P102" s="46">
        <f t="shared" ca="1" si="4"/>
        <v>4.8969072164968611E-3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input_590010!A$2</f>
        <v>590010</v>
      </c>
      <c r="B103" s="102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IFERROR(VLOOKUP(B103,input_590010!L:R,7,FALSE),VLOOKUP(tables_590010!C103,input_590010!A:H,8,FALSE))</f>
        <v>613269.23077000002</v>
      </c>
      <c r="P103" s="46">
        <f t="shared" ca="1" si="4"/>
        <v>4.2149088025446911E-3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input_590010!A$2</f>
        <v>590010</v>
      </c>
      <c r="B104" s="102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IFERROR(VLOOKUP(B104,input_590010!L:R,7,FALSE),VLOOKUP(tables_590010!C104,input_590010!A:H,8,FALSE))</f>
        <v>7143.2692299999999</v>
      </c>
      <c r="P104" s="46">
        <f t="shared" ca="1" si="4"/>
        <v>4.9094633883181724E-5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input_590010!A$2</f>
        <v>590010</v>
      </c>
      <c r="B105" s="102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IFERROR(VLOOKUP(B105,input_590010!L:R,7,FALSE),VLOOKUP(tables_590010!C105,input_590010!A:H,8,FALSE))</f>
        <v>712500</v>
      </c>
      <c r="P105" s="46">
        <f t="shared" ca="1" si="4"/>
        <v>4.8969072164968611E-3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input_590010!A$2</f>
        <v>590010</v>
      </c>
      <c r="B106" s="102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IFERROR(VLOOKUP(B106,input_590010!L:R,7,FALSE),VLOOKUP(tables_590010!C106,input_590010!A:H,8,FALSE))</f>
        <v>613269.23077000002</v>
      </c>
      <c r="P106" s="46">
        <f t="shared" ca="1" si="4"/>
        <v>4.2149088025446911E-3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input_590010!A$2</f>
        <v>590010</v>
      </c>
      <c r="B107" s="102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IFERROR(VLOOKUP(B107,input_590010!L:R,7,FALSE),VLOOKUP(tables_590010!C107,input_590010!A:H,8,FALSE))</f>
        <v>7143.2692299999999</v>
      </c>
      <c r="P107" s="46">
        <f t="shared" ca="1" si="4"/>
        <v>4.9094633883181724E-5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input_590010!A$2</f>
        <v>590010</v>
      </c>
      <c r="B108" s="102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IFERROR(VLOOKUP(B108,input_590010!L:R,7,FALSE),VLOOKUP(tables_590010!C108,input_590010!A:H,8,FALSE))</f>
        <v>712500</v>
      </c>
      <c r="P108" s="46">
        <f t="shared" ca="1" si="4"/>
        <v>4.8969072164968611E-3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input_590010!A$2</f>
        <v>590010</v>
      </c>
      <c r="B109" s="102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IFERROR(VLOOKUP(B109,input_590010!L:R,7,FALSE),VLOOKUP(tables_590010!C109,input_590010!A:H,8,FALSE))</f>
        <v>613269.23077000002</v>
      </c>
      <c r="P109" s="46">
        <f t="shared" ca="1" si="4"/>
        <v>4.2149088025446911E-3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input_590010!A$2</f>
        <v>590010</v>
      </c>
      <c r="B110" s="102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IFERROR(VLOOKUP(B110,input_590010!L:R,7,FALSE),VLOOKUP(tables_590010!C110,input_590010!A:H,8,FALSE))</f>
        <v>7143.2692299999999</v>
      </c>
      <c r="P110" s="46">
        <f t="shared" ca="1" si="4"/>
        <v>4.9094633883181724E-5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input_590010!A$2</f>
        <v>590010</v>
      </c>
      <c r="B111" s="102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IFERROR(VLOOKUP(B111,input_590010!L:R,7,FALSE),VLOOKUP(tables_590010!C111,input_590010!A:H,8,FALSE))</f>
        <v>712500</v>
      </c>
      <c r="P111" s="46">
        <f t="shared" ca="1" si="4"/>
        <v>4.8969072164968611E-3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input_590010!A$2</f>
        <v>590010</v>
      </c>
      <c r="B112" s="102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IFERROR(VLOOKUP(B112,input_590010!L:R,7,FALSE),VLOOKUP(tables_590010!C112,input_590010!A:H,8,FALSE))</f>
        <v>641250</v>
      </c>
      <c r="P112" s="46">
        <f t="shared" ca="1" si="4"/>
        <v>4.4072164948471756E-3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input_590010!A$2</f>
        <v>590010</v>
      </c>
      <c r="B113" s="102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IFERROR(VLOOKUP(B113,input_590010!L:R,7,FALSE),VLOOKUP(tables_590010!C113,input_590010!A:H,8,FALSE))</f>
        <v>71250</v>
      </c>
      <c r="P113" s="46">
        <f t="shared" ca="1" si="4"/>
        <v>4.8969072164968617E-4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input_590010!A$2</f>
        <v>590010</v>
      </c>
      <c r="B114" s="102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IFERROR(VLOOKUP(B114,input_590010!L:R,7,FALSE),VLOOKUP(tables_590010!C114,input_590010!A:H,8,FALSE))</f>
        <v>712500</v>
      </c>
      <c r="P114" s="46">
        <f t="shared" ca="1" si="4"/>
        <v>4.8969072164968611E-3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input_590010!A$2</f>
        <v>590010</v>
      </c>
      <c r="B115" s="102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IFERROR(VLOOKUP(B115,input_590010!L:R,7,FALSE),VLOOKUP(tables_590010!C115,input_590010!A:H,8,FALSE))</f>
        <v>613269.23077000002</v>
      </c>
      <c r="P115" s="46">
        <f t="shared" ca="1" si="4"/>
        <v>4.2149088025446911E-3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input_590010!A$2</f>
        <v>590010</v>
      </c>
      <c r="B116" s="102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IFERROR(VLOOKUP(B116,input_590010!L:R,7,FALSE),VLOOKUP(tables_590010!C116,input_590010!A:H,8,FALSE))</f>
        <v>7143.2692299999999</v>
      </c>
      <c r="P116" s="46">
        <f t="shared" ca="1" si="4"/>
        <v>4.9094633883181724E-5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input_590010!A$2</f>
        <v>590010</v>
      </c>
      <c r="B117" s="102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IFERROR(VLOOKUP(B117,input_590010!L:R,7,FALSE),VLOOKUP(tables_590010!C117,input_590010!A:H,8,FALSE))</f>
        <v>712500</v>
      </c>
      <c r="P117" s="46">
        <f t="shared" ca="1" si="4"/>
        <v>4.8969072164968611E-3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input_590010!A$2</f>
        <v>590010</v>
      </c>
      <c r="B118" s="102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IFERROR(VLOOKUP(B118,input_590010!L:R,7,FALSE),VLOOKUP(tables_590010!C118,input_590010!A:H,8,FALSE))</f>
        <v>613269.23077000002</v>
      </c>
      <c r="P118" s="46">
        <f t="shared" ca="1" si="4"/>
        <v>4.2149088025446911E-3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input_590010!A$2</f>
        <v>590010</v>
      </c>
      <c r="B119" s="102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IFERROR(VLOOKUP(B119,input_590010!L:R,7,FALSE),VLOOKUP(tables_590010!C119,input_590010!A:H,8,FALSE))</f>
        <v>7143.2692299999999</v>
      </c>
      <c r="P119" s="46">
        <f t="shared" ca="1" si="4"/>
        <v>4.9094633883181724E-5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input_590010!A$2</f>
        <v>590010</v>
      </c>
      <c r="B120" s="102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IFERROR(VLOOKUP(B120,input_590010!L:R,7,FALSE),VLOOKUP(tables_590010!C120,input_590010!A:H,8,FALSE))</f>
        <v>712500</v>
      </c>
      <c r="P120" s="46">
        <f t="shared" ca="1" si="4"/>
        <v>4.8969072164968611E-3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input_590010!A$2</f>
        <v>590010</v>
      </c>
      <c r="B121" s="102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IFERROR(VLOOKUP(B121,input_590010!L:R,7,FALSE),VLOOKUP(tables_590010!C121,input_590010!A:H,8,FALSE))</f>
        <v>613269.23077000002</v>
      </c>
      <c r="P121" s="46">
        <f t="shared" ca="1" si="4"/>
        <v>4.2149088025446911E-3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input_590010!A$2</f>
        <v>590010</v>
      </c>
      <c r="B122" s="102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IFERROR(VLOOKUP(B122,input_590010!L:R,7,FALSE),VLOOKUP(tables_590010!C122,input_590010!A:H,8,FALSE))</f>
        <v>7143.2692299999999</v>
      </c>
      <c r="P122" s="46">
        <f t="shared" ca="1" si="4"/>
        <v>4.9094633883181724E-5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input_590010!A$2</f>
        <v>590010</v>
      </c>
      <c r="B123" s="102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IFERROR(VLOOKUP(B123,input_590010!L:R,7,FALSE),VLOOKUP(tables_590010!C123,input_590010!A:H,8,FALSE))</f>
        <v>712500</v>
      </c>
      <c r="P123" s="46">
        <f t="shared" ca="1" si="4"/>
        <v>4.8969072164968611E-3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input_590010!A$2</f>
        <v>590010</v>
      </c>
      <c r="B124" s="102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IFERROR(VLOOKUP(B124,input_590010!L:R,7,FALSE),VLOOKUP(tables_590010!C124,input_590010!A:H,8,FALSE))</f>
        <v>613269.23077000002</v>
      </c>
      <c r="P124" s="46">
        <f t="shared" ca="1" si="4"/>
        <v>4.2149088025446911E-3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input_590010!A$2</f>
        <v>590010</v>
      </c>
      <c r="B125" s="100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IFERROR(VLOOKUP(B125,input_590010!L:R,7,FALSE),VLOOKUP(tables_590010!C125,input_590010!A:H,8,FALSE))</f>
        <v>7143.2692299999999</v>
      </c>
      <c r="P125" s="46">
        <f t="shared" ca="1" si="4"/>
        <v>4.9094633883181724E-5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input_590010!A$2</f>
        <v>590010</v>
      </c>
      <c r="B126" s="100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IFERROR(VLOOKUP(B126,input_590010!L:R,7,FALSE),VLOOKUP(tables_590010!C126,input_590010!A:H,8,FALSE))</f>
        <v>712500</v>
      </c>
      <c r="P126" s="46">
        <f t="shared" ca="1" si="4"/>
        <v>4.8969072164968611E-3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input_590010!A$2</f>
        <v>590010</v>
      </c>
      <c r="B127" s="100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IFERROR(VLOOKUP(B127,input_590010!L:R,7,FALSE),VLOOKUP(tables_590010!C127,input_590010!A:H,8,FALSE))</f>
        <v>613269.23077000002</v>
      </c>
      <c r="P127" s="46">
        <f t="shared" ca="1" si="4"/>
        <v>4.2149088025446911E-3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input_590010!A$2</f>
        <v>590010</v>
      </c>
      <c r="B128" s="100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IFERROR(VLOOKUP(B128,input_590010!L:R,7,FALSE),VLOOKUP(tables_590010!C128,input_590010!A:H,8,FALSE))</f>
        <v>7143.2692299999999</v>
      </c>
      <c r="P128" s="46">
        <f t="shared" ca="1" si="4"/>
        <v>4.9094633883181724E-5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input_590010!A$2</f>
        <v>590010</v>
      </c>
      <c r="B129" s="100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IFERROR(VLOOKUP(B129,input_590010!L:R,7,FALSE),VLOOKUP(tables_590010!C129,input_590010!A:H,8,FALSE))</f>
        <v>712500</v>
      </c>
      <c r="P129" s="46">
        <f t="shared" ca="1" si="4"/>
        <v>4.8969072164968611E-3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input_590010!A$2</f>
        <v>590010</v>
      </c>
      <c r="B130" s="100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IFERROR(VLOOKUP(B130,input_590010!L:R,7,FALSE),VLOOKUP(tables_590010!C130,input_590010!A:H,8,FALSE))</f>
        <v>613269.23077000002</v>
      </c>
      <c r="P130" s="46">
        <f t="shared" ref="P130:P193" ca="1" si="7">O130/SUM(O:O)</f>
        <v>4.2149088025446911E-3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input_590010!A$2</f>
        <v>590010</v>
      </c>
      <c r="B131" s="100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IFERROR(VLOOKUP(B131,input_590010!L:R,7,FALSE),VLOOKUP(tables_590010!C131,input_590010!A:H,8,FALSE))</f>
        <v>7143.2692299999999</v>
      </c>
      <c r="P131" s="46">
        <f t="shared" ca="1" si="7"/>
        <v>4.9094633883181724E-5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input_590010!A$2</f>
        <v>590010</v>
      </c>
      <c r="B132" s="100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IFERROR(VLOOKUP(B132,input_590010!L:R,7,FALSE),VLOOKUP(tables_590010!C132,input_590010!A:H,8,FALSE))</f>
        <v>712500</v>
      </c>
      <c r="P132" s="46">
        <f t="shared" ca="1" si="7"/>
        <v>4.8969072164968611E-3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input_590010!A$2</f>
        <v>590010</v>
      </c>
      <c r="B133" s="100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IFERROR(VLOOKUP(B133,input_590010!L:R,7,FALSE),VLOOKUP(tables_590010!C133,input_590010!A:H,8,FALSE))</f>
        <v>613269.23077000002</v>
      </c>
      <c r="P133" s="46">
        <f t="shared" ca="1" si="7"/>
        <v>4.2149088025446911E-3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input_590010!A$2</f>
        <v>590010</v>
      </c>
      <c r="B134" s="100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IFERROR(VLOOKUP(B134,input_590010!L:R,7,FALSE),VLOOKUP(tables_590010!C134,input_590010!A:H,8,FALSE))</f>
        <v>7143.2692299999999</v>
      </c>
      <c r="P134" s="46">
        <f t="shared" ca="1" si="7"/>
        <v>4.9094633883181724E-5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input_590010!A$2</f>
        <v>590010</v>
      </c>
      <c r="B135" s="100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IFERROR(VLOOKUP(B135,input_590010!L:R,7,FALSE),VLOOKUP(tables_590010!C135,input_590010!A:H,8,FALSE))</f>
        <v>712500</v>
      </c>
      <c r="P135" s="46">
        <f t="shared" ca="1" si="7"/>
        <v>4.8969072164968611E-3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input_590010!A$2</f>
        <v>590010</v>
      </c>
      <c r="B136" s="101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IFERROR(VLOOKUP(B136,input_590010!L:R,7,FALSE),VLOOKUP(tables_590010!C136,input_590010!A:H,8,FALSE))</f>
        <v>613269.23077000002</v>
      </c>
      <c r="P136" s="46">
        <f t="shared" ca="1" si="7"/>
        <v>4.2149088025446911E-3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input_590010!A$2</f>
        <v>590010</v>
      </c>
      <c r="B137" s="101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IFERROR(VLOOKUP(B137,input_590010!L:R,7,FALSE),VLOOKUP(tables_590010!C137,input_590010!A:H,8,FALSE))</f>
        <v>7143.2692299999999</v>
      </c>
      <c r="P137" s="46">
        <f t="shared" ca="1" si="7"/>
        <v>4.9094633883181724E-5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input_590010!A$2</f>
        <v>590010</v>
      </c>
      <c r="B138" s="100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IFERROR(VLOOKUP(B138,input_590010!L:R,7,FALSE),VLOOKUP(tables_590010!C138,input_590010!A:H,8,FALSE))</f>
        <v>92150</v>
      </c>
      <c r="P138" s="46">
        <f t="shared" ca="1" si="7"/>
        <v>6.3333333333359405E-4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input_590010!A$2</f>
        <v>590010</v>
      </c>
      <c r="B139" s="100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IFERROR(VLOOKUP(B139,input_590010!L:R,7,FALSE),VLOOKUP(tables_590010!C139,input_590010!A:H,8,FALSE))</f>
        <v>4850</v>
      </c>
      <c r="P139" s="46">
        <f t="shared" ca="1" si="7"/>
        <v>3.3333333333347057E-5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input_590010!A$2</f>
        <v>590010</v>
      </c>
      <c r="B140" s="100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IFERROR(VLOOKUP(B140,input_590010!L:R,7,FALSE),VLOOKUP(tables_590010!C140,input_590010!A:H,8,FALSE))</f>
        <v>92150</v>
      </c>
      <c r="P140" s="46">
        <f t="shared" ca="1" si="7"/>
        <v>6.3333333333359405E-4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input_590010!A$2</f>
        <v>590010</v>
      </c>
      <c r="B141" s="100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IFERROR(VLOOKUP(B141,input_590010!L:R,7,FALSE),VLOOKUP(tables_590010!C141,input_590010!A:H,8,FALSE))</f>
        <v>4850</v>
      </c>
      <c r="P141" s="46">
        <f t="shared" ca="1" si="7"/>
        <v>3.3333333333347057E-5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input_590010!A$2</f>
        <v>590010</v>
      </c>
      <c r="B142" s="100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IFERROR(VLOOKUP(B142,input_590010!L:R,7,FALSE),VLOOKUP(tables_590010!C142,input_590010!A:H,8,FALSE))</f>
        <v>92150</v>
      </c>
      <c r="P142" s="46">
        <f t="shared" ca="1" si="7"/>
        <v>6.3333333333359405E-4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input_590010!A$2</f>
        <v>590010</v>
      </c>
      <c r="B143" s="100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IFERROR(VLOOKUP(B143,input_590010!L:R,7,FALSE),VLOOKUP(tables_590010!C143,input_590010!A:H,8,FALSE))</f>
        <v>4850</v>
      </c>
      <c r="P143" s="46">
        <f t="shared" ca="1" si="7"/>
        <v>3.3333333333347057E-5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input_590010!A$2</f>
        <v>590010</v>
      </c>
      <c r="B144" s="100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IFERROR(VLOOKUP(B144,input_590010!L:R,7,FALSE),VLOOKUP(tables_590010!C144,input_590010!A:H,8,FALSE))</f>
        <v>92150</v>
      </c>
      <c r="P144" s="46">
        <f t="shared" ca="1" si="7"/>
        <v>6.3333333333359405E-4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input_590010!A$2</f>
        <v>590010</v>
      </c>
      <c r="B145" s="100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IFERROR(VLOOKUP(B145,input_590010!L:R,7,FALSE),VLOOKUP(tables_590010!C145,input_590010!A:H,8,FALSE))</f>
        <v>4850</v>
      </c>
      <c r="P145" s="46">
        <f t="shared" ca="1" si="7"/>
        <v>3.3333333333347057E-5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input_590010!A$2</f>
        <v>590010</v>
      </c>
      <c r="B146" s="100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IFERROR(VLOOKUP(B146,input_590010!L:R,7,FALSE),VLOOKUP(tables_590010!C146,input_590010!A:H,8,FALSE))</f>
        <v>712500</v>
      </c>
      <c r="P146" s="46">
        <f t="shared" ca="1" si="7"/>
        <v>4.8969072164968611E-3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input_590010!A$2</f>
        <v>590010</v>
      </c>
      <c r="B147" s="100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IFERROR(VLOOKUP(B147,input_590010!L:R,7,FALSE),VLOOKUP(tables_590010!C147,input_590010!A:H,8,FALSE))</f>
        <v>613269.23077000002</v>
      </c>
      <c r="P147" s="46">
        <f t="shared" ca="1" si="7"/>
        <v>4.2149088025446911E-3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input_590010!A$2</f>
        <v>590010</v>
      </c>
      <c r="B148" s="100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IFERROR(VLOOKUP(B148,input_590010!L:R,7,FALSE),VLOOKUP(tables_590010!C148,input_590010!A:H,8,FALSE))</f>
        <v>7143.2692299999999</v>
      </c>
      <c r="P148" s="46">
        <f t="shared" ca="1" si="7"/>
        <v>4.9094633883181724E-5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input_590010!A$2</f>
        <v>590010</v>
      </c>
      <c r="B149" s="100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IFERROR(VLOOKUP(B149,input_590010!L:R,7,FALSE),VLOOKUP(tables_590010!C149,input_590010!A:H,8,FALSE))</f>
        <v>92150</v>
      </c>
      <c r="P149" s="46">
        <f t="shared" ca="1" si="7"/>
        <v>6.3333333333359405E-4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input_590010!A$2</f>
        <v>590010</v>
      </c>
      <c r="B150" s="100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IFERROR(VLOOKUP(B150,input_590010!L:R,7,FALSE),VLOOKUP(tables_590010!C150,input_590010!A:H,8,FALSE))</f>
        <v>4850</v>
      </c>
      <c r="P150" s="46">
        <f t="shared" ca="1" si="7"/>
        <v>3.3333333333347057E-5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input_590010!A$2</f>
        <v>590010</v>
      </c>
      <c r="B151" s="100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IFERROR(VLOOKUP(B151,input_590010!L:R,7,FALSE),VLOOKUP(tables_590010!C151,input_590010!A:H,8,FALSE))</f>
        <v>92150</v>
      </c>
      <c r="P151" s="46">
        <f t="shared" ca="1" si="7"/>
        <v>6.3333333333359405E-4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input_590010!A$2</f>
        <v>590010</v>
      </c>
      <c r="B152" s="100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IFERROR(VLOOKUP(B152,input_590010!L:R,7,FALSE),VLOOKUP(tables_590010!C152,input_590010!A:H,8,FALSE))</f>
        <v>4850</v>
      </c>
      <c r="P152" s="46">
        <f t="shared" ca="1" si="7"/>
        <v>3.3333333333347057E-5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input_590010!A$2</f>
        <v>590010</v>
      </c>
      <c r="B153" s="100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IFERROR(VLOOKUP(B153,input_590010!L:R,7,FALSE),VLOOKUP(tables_590010!C153,input_590010!A:H,8,FALSE))</f>
        <v>712500</v>
      </c>
      <c r="P153" s="46">
        <f t="shared" ca="1" si="7"/>
        <v>4.8969072164968611E-3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input_590010!A$2</f>
        <v>590010</v>
      </c>
      <c r="B154" s="100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IFERROR(VLOOKUP(B154,input_590010!L:R,7,FALSE),VLOOKUP(tables_590010!C154,input_590010!A:H,8,FALSE))</f>
        <v>613269.23077000002</v>
      </c>
      <c r="P154" s="46">
        <f t="shared" ca="1" si="7"/>
        <v>4.2149088025446911E-3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input_590010!A$2</f>
        <v>590010</v>
      </c>
      <c r="B155" s="100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IFERROR(VLOOKUP(B155,input_590010!L:R,7,FALSE),VLOOKUP(tables_590010!C155,input_590010!A:H,8,FALSE))</f>
        <v>7143.2692299999999</v>
      </c>
      <c r="P155" s="46">
        <f t="shared" ca="1" si="7"/>
        <v>4.9094633883181724E-5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input_590010!A$2</f>
        <v>590010</v>
      </c>
      <c r="B156" s="100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IFERROR(VLOOKUP(B156,input_590010!L:R,7,FALSE),VLOOKUP(tables_590010!C156,input_590010!A:H,8,FALSE))</f>
        <v>92150</v>
      </c>
      <c r="P156" s="46">
        <f t="shared" ca="1" si="7"/>
        <v>6.3333333333359405E-4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input_590010!A$2</f>
        <v>590010</v>
      </c>
      <c r="B157" s="100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IFERROR(VLOOKUP(B157,input_590010!L:R,7,FALSE),VLOOKUP(tables_590010!C157,input_590010!A:H,8,FALSE))</f>
        <v>4850</v>
      </c>
      <c r="P157" s="46">
        <f t="shared" ca="1" si="7"/>
        <v>3.3333333333347057E-5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input_590010!A$2</f>
        <v>590010</v>
      </c>
      <c r="B158" s="100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IFERROR(VLOOKUP(B158,input_590010!L:R,7,FALSE),VLOOKUP(tables_590010!C158,input_590010!A:H,8,FALSE))</f>
        <v>712500</v>
      </c>
      <c r="P158" s="46">
        <f t="shared" ca="1" si="7"/>
        <v>4.8969072164968611E-3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input_590010!A$2</f>
        <v>590010</v>
      </c>
      <c r="B159" s="100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IFERROR(VLOOKUP(B159,input_590010!L:R,7,FALSE),VLOOKUP(tables_590010!C159,input_590010!A:H,8,FALSE))</f>
        <v>613269.23077000002</v>
      </c>
      <c r="P159" s="46">
        <f t="shared" ca="1" si="7"/>
        <v>4.2149088025446911E-3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input_590010!A$2</f>
        <v>590010</v>
      </c>
      <c r="B160" s="100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IFERROR(VLOOKUP(B160,input_590010!L:R,7,FALSE),VLOOKUP(tables_590010!C160,input_590010!A:H,8,FALSE))</f>
        <v>7143.2692299999999</v>
      </c>
      <c r="P160" s="46">
        <f t="shared" ca="1" si="7"/>
        <v>4.9094633883181724E-5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input_590010!A$2</f>
        <v>590010</v>
      </c>
      <c r="B161" s="100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IFERROR(VLOOKUP(B161,input_590010!L:R,7,FALSE),VLOOKUP(tables_590010!C161,input_590010!A:H,8,FALSE))</f>
        <v>712500</v>
      </c>
      <c r="P161" s="46">
        <f t="shared" ca="1" si="7"/>
        <v>4.8969072164968611E-3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input_590010!A$2</f>
        <v>590010</v>
      </c>
      <c r="B162" s="100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IFERROR(VLOOKUP(B162,input_590010!L:R,7,FALSE),VLOOKUP(tables_590010!C162,input_590010!A:H,8,FALSE))</f>
        <v>613269.23077000002</v>
      </c>
      <c r="P162" s="46">
        <f t="shared" ca="1" si="7"/>
        <v>4.2149088025446911E-3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input_590010!A$2</f>
        <v>590010</v>
      </c>
      <c r="B163" s="100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IFERROR(VLOOKUP(B163,input_590010!L:R,7,FALSE),VLOOKUP(tables_590010!C163,input_590010!A:H,8,FALSE))</f>
        <v>7143.2692299999999</v>
      </c>
      <c r="P163" s="46">
        <f t="shared" ca="1" si="7"/>
        <v>4.9094633883181724E-5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input_590010!A$2</f>
        <v>590010</v>
      </c>
      <c r="B164" s="100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IFERROR(VLOOKUP(B164,input_590010!L:R,7,FALSE),VLOOKUP(tables_590010!C164,input_590010!A:H,8,FALSE))</f>
        <v>92150</v>
      </c>
      <c r="P164" s="46">
        <f t="shared" ca="1" si="7"/>
        <v>6.3333333333359405E-4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input_590010!A$2</f>
        <v>590010</v>
      </c>
      <c r="B165" s="100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IFERROR(VLOOKUP(B165,input_590010!L:R,7,FALSE),VLOOKUP(tables_590010!C165,input_590010!A:H,8,FALSE))</f>
        <v>4850</v>
      </c>
      <c r="P165" s="46">
        <f t="shared" ca="1" si="7"/>
        <v>3.3333333333347057E-5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input_590010!A$2</f>
        <v>590010</v>
      </c>
      <c r="B166" s="100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IFERROR(VLOOKUP(B166,input_590010!L:R,7,FALSE),VLOOKUP(tables_590010!C166,input_590010!A:H,8,FALSE))</f>
        <v>712500</v>
      </c>
      <c r="P166" s="46">
        <f t="shared" ca="1" si="7"/>
        <v>4.8969072164968611E-3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input_590010!A$2</f>
        <v>590010</v>
      </c>
      <c r="B167" s="100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IFERROR(VLOOKUP(B167,input_590010!L:R,7,FALSE),VLOOKUP(tables_590010!C167,input_590010!A:H,8,FALSE))</f>
        <v>613269.23077000002</v>
      </c>
      <c r="P167" s="46">
        <f t="shared" ca="1" si="7"/>
        <v>4.2149088025446911E-3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input_590010!A$2</f>
        <v>590010</v>
      </c>
      <c r="B168" s="100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IFERROR(VLOOKUP(B168,input_590010!L:R,7,FALSE),VLOOKUP(tables_590010!C168,input_590010!A:H,8,FALSE))</f>
        <v>7143.2692299999999</v>
      </c>
      <c r="P168" s="46">
        <f t="shared" ca="1" si="7"/>
        <v>4.9094633883181724E-5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input_590010!A$2</f>
        <v>590010</v>
      </c>
      <c r="B169" s="100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IFERROR(VLOOKUP(B169,input_590010!L:R,7,FALSE),VLOOKUP(tables_590010!C169,input_590010!A:H,8,FALSE))</f>
        <v>92150</v>
      </c>
      <c r="P169" s="46">
        <f t="shared" ca="1" si="7"/>
        <v>6.3333333333359405E-4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input_590010!A$2</f>
        <v>590010</v>
      </c>
      <c r="B170" s="100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IFERROR(VLOOKUP(B170,input_590010!L:R,7,FALSE),VLOOKUP(tables_590010!C170,input_590010!A:H,8,FALSE))</f>
        <v>4850</v>
      </c>
      <c r="P170" s="46">
        <f t="shared" ca="1" si="7"/>
        <v>3.3333333333347057E-5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input_590010!A$2</f>
        <v>590010</v>
      </c>
      <c r="B171" s="100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IFERROR(VLOOKUP(B171,input_590010!L:R,7,FALSE),VLOOKUP(tables_590010!C171,input_590010!A:H,8,FALSE))</f>
        <v>712500</v>
      </c>
      <c r="P171" s="46">
        <f t="shared" ca="1" si="7"/>
        <v>4.8969072164968611E-3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input_590010!A$2</f>
        <v>590010</v>
      </c>
      <c r="B172" s="100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IFERROR(VLOOKUP(B172,input_590010!L:R,7,FALSE),VLOOKUP(tables_590010!C172,input_590010!A:H,8,FALSE))</f>
        <v>613269.23077000002</v>
      </c>
      <c r="P172" s="46">
        <f t="shared" ca="1" si="7"/>
        <v>4.2149088025446911E-3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input_590010!A$2</f>
        <v>590010</v>
      </c>
      <c r="B173" s="100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IFERROR(VLOOKUP(B173,input_590010!L:R,7,FALSE),VLOOKUP(tables_590010!C173,input_590010!A:H,8,FALSE))</f>
        <v>7143.2692299999999</v>
      </c>
      <c r="P173" s="46">
        <f t="shared" ca="1" si="7"/>
        <v>4.9094633883181724E-5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input_590010!A$2</f>
        <v>590010</v>
      </c>
      <c r="B174" s="100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IFERROR(VLOOKUP(B174,input_590010!L:R,7,FALSE),VLOOKUP(tables_590010!C174,input_590010!A:H,8,FALSE))</f>
        <v>92150</v>
      </c>
      <c r="P174" s="46">
        <f t="shared" ca="1" si="7"/>
        <v>6.3333333333359405E-4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input_590010!A$2</f>
        <v>590010</v>
      </c>
      <c r="B175" s="100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IFERROR(VLOOKUP(B175,input_590010!L:R,7,FALSE),VLOOKUP(tables_590010!C175,input_590010!A:H,8,FALSE))</f>
        <v>4850</v>
      </c>
      <c r="P175" s="46">
        <f t="shared" ca="1" si="7"/>
        <v>3.3333333333347057E-5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input_590010!A$2</f>
        <v>590010</v>
      </c>
      <c r="B176" s="100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IFERROR(VLOOKUP(B176,input_590010!L:R,7,FALSE),VLOOKUP(tables_590010!C176,input_590010!A:H,8,FALSE))</f>
        <v>92150</v>
      </c>
      <c r="P176" s="46">
        <f t="shared" ca="1" si="7"/>
        <v>6.3333333333359405E-4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input_590010!A$2</f>
        <v>590010</v>
      </c>
      <c r="B177" s="100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IFERROR(VLOOKUP(B177,input_590010!L:R,7,FALSE),VLOOKUP(tables_590010!C177,input_590010!A:H,8,FALSE))</f>
        <v>4850</v>
      </c>
      <c r="P177" s="46">
        <f t="shared" ca="1" si="7"/>
        <v>3.3333333333347057E-5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input_590010!A$2</f>
        <v>590010</v>
      </c>
      <c r="B178" s="100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IFERROR(VLOOKUP(B178,input_590010!L:R,7,FALSE),VLOOKUP(tables_590010!C178,input_590010!A:H,8,FALSE))</f>
        <v>712500</v>
      </c>
      <c r="P178" s="46">
        <f t="shared" ca="1" si="7"/>
        <v>4.8969072164968611E-3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input_590010!A$2</f>
        <v>590010</v>
      </c>
      <c r="B179" s="100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IFERROR(VLOOKUP(B179,input_590010!L:R,7,FALSE),VLOOKUP(tables_590010!C179,input_590010!A:H,8,FALSE))</f>
        <v>613269.23077000002</v>
      </c>
      <c r="P179" s="46">
        <f t="shared" ca="1" si="7"/>
        <v>4.2149088025446911E-3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input_590010!A$2</f>
        <v>590010</v>
      </c>
      <c r="B180" s="100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IFERROR(VLOOKUP(B180,input_590010!L:R,7,FALSE),VLOOKUP(tables_590010!C180,input_590010!A:H,8,FALSE))</f>
        <v>7143.2692299999999</v>
      </c>
      <c r="P180" s="46">
        <f t="shared" ca="1" si="7"/>
        <v>4.9094633883181724E-5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input_590010!A$2</f>
        <v>590010</v>
      </c>
      <c r="B181" s="100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IFERROR(VLOOKUP(B181,input_590010!L:R,7,FALSE),VLOOKUP(tables_590010!C181,input_590010!A:H,8,FALSE))</f>
        <v>712500</v>
      </c>
      <c r="P181" s="46">
        <f t="shared" ca="1" si="7"/>
        <v>4.8969072164968611E-3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input_590010!A$2</f>
        <v>590010</v>
      </c>
      <c r="B182" s="100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IFERROR(VLOOKUP(B182,input_590010!L:R,7,FALSE),VLOOKUP(tables_590010!C182,input_590010!A:H,8,FALSE))</f>
        <v>613269.23077000002</v>
      </c>
      <c r="P182" s="46">
        <f t="shared" ca="1" si="7"/>
        <v>4.2149088025446911E-3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input_590010!A$2</f>
        <v>590010</v>
      </c>
      <c r="B183" s="100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IFERROR(VLOOKUP(B183,input_590010!L:R,7,FALSE),VLOOKUP(tables_590010!C183,input_590010!A:H,8,FALSE))</f>
        <v>7143.2692299999999</v>
      </c>
      <c r="P183" s="46">
        <f t="shared" ca="1" si="7"/>
        <v>4.9094633883181724E-5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input_590010!A$2</f>
        <v>590010</v>
      </c>
      <c r="B184" s="100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IFERROR(VLOOKUP(B184,input_590010!L:R,7,FALSE),VLOOKUP(tables_590010!C184,input_590010!A:H,8,FALSE))</f>
        <v>92150</v>
      </c>
      <c r="P184" s="46">
        <f t="shared" ca="1" si="7"/>
        <v>6.3333333333359405E-4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input_590010!A$2</f>
        <v>590010</v>
      </c>
      <c r="B185" s="100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IFERROR(VLOOKUP(B185,input_590010!L:R,7,FALSE),VLOOKUP(tables_590010!C185,input_590010!A:H,8,FALSE))</f>
        <v>4850</v>
      </c>
      <c r="P185" s="46">
        <f t="shared" ca="1" si="7"/>
        <v>3.3333333333347057E-5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input_590010!A$2</f>
        <v>590010</v>
      </c>
      <c r="B186" s="101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IFERROR(VLOOKUP(B186,input_590010!L:R,7,FALSE),VLOOKUP(tables_590010!C186,input_590010!A:H,8,FALSE))</f>
        <v>712500</v>
      </c>
      <c r="P186" s="46">
        <f t="shared" ca="1" si="7"/>
        <v>4.8969072164968611E-3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input_590010!A$2</f>
        <v>590010</v>
      </c>
      <c r="B187" s="101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IFERROR(VLOOKUP(B187,input_590010!L:R,7,FALSE),VLOOKUP(tables_590010!C187,input_590010!A:H,8,FALSE))</f>
        <v>613269.23077000002</v>
      </c>
      <c r="P187" s="46">
        <f t="shared" ca="1" si="7"/>
        <v>4.2149088025446911E-3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input_590010!A$2</f>
        <v>590010</v>
      </c>
      <c r="B188" s="101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IFERROR(VLOOKUP(B188,input_590010!L:R,7,FALSE),VLOOKUP(tables_590010!C188,input_590010!A:H,8,FALSE))</f>
        <v>7143.2692299999999</v>
      </c>
      <c r="P188" s="46">
        <f t="shared" ca="1" si="7"/>
        <v>4.9094633883181724E-5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input_590010!A$2</f>
        <v>590010</v>
      </c>
      <c r="B189" s="101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IFERROR(VLOOKUP(B189,input_590010!L:R,7,FALSE),VLOOKUP(tables_590010!C189,input_590010!A:H,8,FALSE))</f>
        <v>92150</v>
      </c>
      <c r="P189" s="46">
        <f t="shared" ca="1" si="7"/>
        <v>6.3333333333359405E-4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input_590010!A$2</f>
        <v>590010</v>
      </c>
      <c r="B190" s="100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IFERROR(VLOOKUP(B190,input_590010!L:R,7,FALSE),VLOOKUP(tables_590010!C190,input_590010!A:H,8,FALSE))</f>
        <v>4850</v>
      </c>
      <c r="P190" s="46">
        <f t="shared" ca="1" si="7"/>
        <v>3.3333333333347057E-5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input_590010!A$2</f>
        <v>590010</v>
      </c>
      <c r="B191" s="100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IFERROR(VLOOKUP(B191,input_590010!L:R,7,FALSE),VLOOKUP(tables_590010!C191,input_590010!A:H,8,FALSE))</f>
        <v>92150</v>
      </c>
      <c r="P191" s="46">
        <f t="shared" ca="1" si="7"/>
        <v>6.3333333333359405E-4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input_590010!A$2</f>
        <v>590010</v>
      </c>
      <c r="B192" s="100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IFERROR(VLOOKUP(B192,input_590010!L:R,7,FALSE),VLOOKUP(tables_590010!C192,input_590010!A:H,8,FALSE))</f>
        <v>4850</v>
      </c>
      <c r="P192" s="46">
        <f t="shared" ca="1" si="7"/>
        <v>3.3333333333347057E-5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input_590010!A$2</f>
        <v>590010</v>
      </c>
      <c r="B193" s="100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IFERROR(VLOOKUP(B193,input_590010!L:R,7,FALSE),VLOOKUP(tables_590010!C193,input_590010!A:H,8,FALSE))</f>
        <v>712500</v>
      </c>
      <c r="P193" s="46">
        <f t="shared" ca="1" si="7"/>
        <v>4.8969072164968611E-3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input_590010!A$2</f>
        <v>590010</v>
      </c>
      <c r="B194" s="100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IFERROR(VLOOKUP(B194,input_590010!L:R,7,FALSE),VLOOKUP(tables_590010!C194,input_590010!A:H,8,FALSE))</f>
        <v>613269.23077000002</v>
      </c>
      <c r="P194" s="46">
        <f t="shared" ref="P194:P257" ca="1" si="10">O194/SUM(O:O)</f>
        <v>4.2149088025446911E-3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input_590010!A$2</f>
        <v>590010</v>
      </c>
      <c r="B195" s="100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IFERROR(VLOOKUP(B195,input_590010!L:R,7,FALSE),VLOOKUP(tables_590010!C195,input_590010!A:H,8,FALSE))</f>
        <v>7143.2692299999999</v>
      </c>
      <c r="P195" s="46">
        <f t="shared" ca="1" si="10"/>
        <v>4.9094633883181724E-5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input_590010!A$2</f>
        <v>590010</v>
      </c>
      <c r="B196" s="100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IFERROR(VLOOKUP(B196,input_590010!L:R,7,FALSE),VLOOKUP(tables_590010!C196,input_590010!A:H,8,FALSE))</f>
        <v>92150</v>
      </c>
      <c r="P196" s="46">
        <f t="shared" ca="1" si="10"/>
        <v>6.3333333333359405E-4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input_590010!A$2</f>
        <v>590010</v>
      </c>
      <c r="B197" s="100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IFERROR(VLOOKUP(B197,input_590010!L:R,7,FALSE),VLOOKUP(tables_590010!C197,input_590010!A:H,8,FALSE))</f>
        <v>4850</v>
      </c>
      <c r="P197" s="46">
        <f t="shared" ca="1" si="10"/>
        <v>3.3333333333347057E-5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input_590010!A$2</f>
        <v>590010</v>
      </c>
      <c r="B198" s="100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IFERROR(VLOOKUP(B198,input_590010!L:R,7,FALSE),VLOOKUP(tables_590010!C198,input_590010!A:H,8,FALSE))</f>
        <v>712500</v>
      </c>
      <c r="P198" s="46">
        <f t="shared" ca="1" si="10"/>
        <v>4.8969072164968611E-3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input_590010!A$2</f>
        <v>590010</v>
      </c>
      <c r="B199" s="100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IFERROR(VLOOKUP(B199,input_590010!L:R,7,FALSE),VLOOKUP(tables_590010!C199,input_590010!A:H,8,FALSE))</f>
        <v>613269.23077000002</v>
      </c>
      <c r="P199" s="46">
        <f t="shared" ca="1" si="10"/>
        <v>4.2149088025446911E-3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input_590010!A$2</f>
        <v>590010</v>
      </c>
      <c r="B200" s="100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IFERROR(VLOOKUP(B200,input_590010!L:R,7,FALSE),VLOOKUP(tables_590010!C200,input_590010!A:H,8,FALSE))</f>
        <v>7143.2692299999999</v>
      </c>
      <c r="P200" s="46">
        <f t="shared" ca="1" si="10"/>
        <v>4.9094633883181724E-5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input_590010!A$2</f>
        <v>590010</v>
      </c>
      <c r="B201" s="100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IFERROR(VLOOKUP(B201,input_590010!L:R,7,FALSE),VLOOKUP(tables_590010!C201,input_590010!A:H,8,FALSE))</f>
        <v>92150</v>
      </c>
      <c r="P201" s="46">
        <f t="shared" ca="1" si="10"/>
        <v>6.3333333333359405E-4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input_590010!A$2</f>
        <v>590010</v>
      </c>
      <c r="B202" s="100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IFERROR(VLOOKUP(B202,input_590010!L:R,7,FALSE),VLOOKUP(tables_590010!C202,input_590010!A:H,8,FALSE))</f>
        <v>4850</v>
      </c>
      <c r="P202" s="46">
        <f t="shared" ca="1" si="10"/>
        <v>3.3333333333347057E-5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input_590010!A$2</f>
        <v>590010</v>
      </c>
      <c r="B203" s="100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IFERROR(VLOOKUP(B203,input_590010!L:R,7,FALSE),VLOOKUP(tables_590010!C203,input_590010!A:H,8,FALSE))</f>
        <v>712500</v>
      </c>
      <c r="P203" s="46">
        <f t="shared" ca="1" si="10"/>
        <v>4.8969072164968611E-3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input_590010!A$2</f>
        <v>590010</v>
      </c>
      <c r="B204" s="100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IFERROR(VLOOKUP(B204,input_590010!L:R,7,FALSE),VLOOKUP(tables_590010!C204,input_590010!A:H,8,FALSE))</f>
        <v>613269.23077000002</v>
      </c>
      <c r="P204" s="46">
        <f t="shared" ca="1" si="10"/>
        <v>4.2149088025446911E-3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input_590010!A$2</f>
        <v>590010</v>
      </c>
      <c r="B205" s="100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IFERROR(VLOOKUP(B205,input_590010!L:R,7,FALSE),VLOOKUP(tables_590010!C205,input_590010!A:H,8,FALSE))</f>
        <v>7143.2692299999999</v>
      </c>
      <c r="P205" s="46">
        <f t="shared" ca="1" si="10"/>
        <v>4.9094633883181724E-5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input_590010!A$2</f>
        <v>590010</v>
      </c>
      <c r="B206" s="100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IFERROR(VLOOKUP(B206,input_590010!L:R,7,FALSE),VLOOKUP(tables_590010!C206,input_590010!A:H,8,FALSE))</f>
        <v>92150</v>
      </c>
      <c r="P206" s="46">
        <f t="shared" ca="1" si="10"/>
        <v>6.3333333333359405E-4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input_590010!A$2</f>
        <v>590010</v>
      </c>
      <c r="B207" s="100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IFERROR(VLOOKUP(B207,input_590010!L:R,7,FALSE),VLOOKUP(tables_590010!C207,input_590010!A:H,8,FALSE))</f>
        <v>4850</v>
      </c>
      <c r="P207" s="46">
        <f t="shared" ca="1" si="10"/>
        <v>3.3333333333347057E-5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input_590010!A$2</f>
        <v>590010</v>
      </c>
      <c r="B208" s="100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IFERROR(VLOOKUP(B208,input_590010!L:R,7,FALSE),VLOOKUP(tables_590010!C208,input_590010!A:H,8,FALSE))</f>
        <v>92150</v>
      </c>
      <c r="P208" s="46">
        <f t="shared" ca="1" si="10"/>
        <v>6.3333333333359405E-4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input_590010!A$2</f>
        <v>590010</v>
      </c>
      <c r="B209" s="100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IFERROR(VLOOKUP(B209,input_590010!L:R,7,FALSE),VLOOKUP(tables_590010!C209,input_590010!A:H,8,FALSE))</f>
        <v>4850</v>
      </c>
      <c r="P209" s="46">
        <f t="shared" ca="1" si="10"/>
        <v>3.3333333333347057E-5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input_590010!A$2</f>
        <v>590010</v>
      </c>
      <c r="B210" s="100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IFERROR(VLOOKUP(B210,input_590010!L:R,7,FALSE),VLOOKUP(tables_590010!C210,input_590010!A:H,8,FALSE))</f>
        <v>712500</v>
      </c>
      <c r="P210" s="46">
        <f t="shared" ca="1" si="10"/>
        <v>4.8969072164968611E-3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input_590010!A$2</f>
        <v>590010</v>
      </c>
      <c r="B211" s="100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IFERROR(VLOOKUP(B211,input_590010!L:R,7,FALSE),VLOOKUP(tables_590010!C211,input_590010!A:H,8,FALSE))</f>
        <v>613269.23077000002</v>
      </c>
      <c r="P211" s="46">
        <f t="shared" ca="1" si="10"/>
        <v>4.2149088025446911E-3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input_590010!A$2</f>
        <v>590010</v>
      </c>
      <c r="B212" s="100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IFERROR(VLOOKUP(B212,input_590010!L:R,7,FALSE),VLOOKUP(tables_590010!C212,input_590010!A:H,8,FALSE))</f>
        <v>7143.2692299999999</v>
      </c>
      <c r="P212" s="46">
        <f t="shared" ca="1" si="10"/>
        <v>4.9094633883181724E-5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input_590010!A$2</f>
        <v>590010</v>
      </c>
      <c r="B213" s="100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IFERROR(VLOOKUP(B213,input_590010!L:R,7,FALSE),VLOOKUP(tables_590010!C213,input_590010!A:H,8,FALSE))</f>
        <v>92150</v>
      </c>
      <c r="P213" s="46">
        <f t="shared" ca="1" si="10"/>
        <v>6.3333333333359405E-4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input_590010!A$2</f>
        <v>590010</v>
      </c>
      <c r="B214" s="100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IFERROR(VLOOKUP(B214,input_590010!L:R,7,FALSE),VLOOKUP(tables_590010!C214,input_590010!A:H,8,FALSE))</f>
        <v>4850</v>
      </c>
      <c r="P214" s="46">
        <f t="shared" ca="1" si="10"/>
        <v>3.3333333333347057E-5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input_590010!A$2</f>
        <v>590010</v>
      </c>
      <c r="B215" s="100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IFERROR(VLOOKUP(B215,input_590010!L:R,7,FALSE),VLOOKUP(tables_590010!C215,input_590010!A:H,8,FALSE))</f>
        <v>71250</v>
      </c>
      <c r="P215" s="46">
        <f t="shared" ca="1" si="10"/>
        <v>4.8969072164968617E-4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input_590010!A$2</f>
        <v>590010</v>
      </c>
      <c r="B216" s="100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IFERROR(VLOOKUP(B216,input_590010!L:R,7,FALSE),VLOOKUP(tables_590010!C216,input_590010!A:H,8,FALSE))</f>
        <v>71250</v>
      </c>
      <c r="P216" s="46">
        <f t="shared" ca="1" si="10"/>
        <v>4.8969072164968617E-4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input_590010!A$2</f>
        <v>590010</v>
      </c>
      <c r="B217" s="100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IFERROR(VLOOKUP(B217,input_590010!L:R,7,FALSE),VLOOKUP(tables_590010!C217,input_590010!A:H,8,FALSE))</f>
        <v>71250</v>
      </c>
      <c r="P217" s="46">
        <f t="shared" ca="1" si="10"/>
        <v>4.8969072164968617E-4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input_590010!A$2</f>
        <v>590010</v>
      </c>
      <c r="B218" s="100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IFERROR(VLOOKUP(B218,input_590010!L:R,7,FALSE),VLOOKUP(tables_590010!C218,input_590010!A:H,8,FALSE))</f>
        <v>71250</v>
      </c>
      <c r="P218" s="46">
        <f t="shared" ca="1" si="10"/>
        <v>4.8969072164968617E-4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input_590010!A$2</f>
        <v>590010</v>
      </c>
      <c r="B219" s="100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IFERROR(VLOOKUP(B219,input_590010!L:R,7,FALSE),VLOOKUP(tables_590010!C219,input_590010!A:H,8,FALSE))</f>
        <v>71250</v>
      </c>
      <c r="P219" s="46">
        <f t="shared" ca="1" si="10"/>
        <v>4.8969072164968617E-4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input_590010!A$2</f>
        <v>590010</v>
      </c>
      <c r="B220" s="100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IFERROR(VLOOKUP(B220,input_590010!L:R,7,FALSE),VLOOKUP(tables_590010!C220,input_590010!A:H,8,FALSE))</f>
        <v>71250</v>
      </c>
      <c r="P220" s="46">
        <f t="shared" ca="1" si="10"/>
        <v>4.8969072164968617E-4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input_590010!A$2</f>
        <v>590010</v>
      </c>
      <c r="B221" s="100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IFERROR(VLOOKUP(B221,input_590010!L:R,7,FALSE),VLOOKUP(tables_590010!C221,input_590010!A:H,8,FALSE))</f>
        <v>92150</v>
      </c>
      <c r="P221" s="46">
        <f t="shared" ca="1" si="10"/>
        <v>6.3333333333359405E-4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input_590010!A$2</f>
        <v>590010</v>
      </c>
      <c r="B222" s="100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IFERROR(VLOOKUP(B222,input_590010!L:R,7,FALSE),VLOOKUP(tables_590010!C222,input_590010!A:H,8,FALSE))</f>
        <v>4850</v>
      </c>
      <c r="P222" s="46">
        <f t="shared" ca="1" si="10"/>
        <v>3.3333333333347057E-5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input_590010!A$2</f>
        <v>590010</v>
      </c>
      <c r="B223" s="100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IFERROR(VLOOKUP(B223,input_590010!L:R,7,FALSE),VLOOKUP(tables_590010!C223,input_590010!A:H,8,FALSE))</f>
        <v>712500</v>
      </c>
      <c r="P223" s="46">
        <f t="shared" ca="1" si="10"/>
        <v>4.8969072164968611E-3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input_590010!A$2</f>
        <v>590010</v>
      </c>
      <c r="B224" s="100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IFERROR(VLOOKUP(B224,input_590010!L:R,7,FALSE),VLOOKUP(tables_590010!C224,input_590010!A:H,8,FALSE))</f>
        <v>613269.23077000002</v>
      </c>
      <c r="P224" s="46">
        <f t="shared" ca="1" si="10"/>
        <v>4.2149088025446911E-3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input_590010!A$2</f>
        <v>590010</v>
      </c>
      <c r="B225" s="100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IFERROR(VLOOKUP(B225,input_590010!L:R,7,FALSE),VLOOKUP(tables_590010!C225,input_590010!A:H,8,FALSE))</f>
        <v>7143.2692299999999</v>
      </c>
      <c r="P225" s="46">
        <f t="shared" ca="1" si="10"/>
        <v>4.9094633883181724E-5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input_590010!A$2</f>
        <v>590010</v>
      </c>
      <c r="B226" s="100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IFERROR(VLOOKUP(B226,input_590010!L:R,7,FALSE),VLOOKUP(tables_590010!C226,input_590010!A:H,8,FALSE))</f>
        <v>712500</v>
      </c>
      <c r="P226" s="46">
        <f t="shared" ca="1" si="10"/>
        <v>4.8969072164968611E-3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input_590010!A$2</f>
        <v>590010</v>
      </c>
      <c r="B227" s="100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IFERROR(VLOOKUP(B227,input_590010!L:R,7,FALSE),VLOOKUP(tables_590010!C227,input_590010!A:H,8,FALSE))</f>
        <v>613269.23077000002</v>
      </c>
      <c r="P227" s="46">
        <f t="shared" ca="1" si="10"/>
        <v>4.2149088025446911E-3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input_590010!A$2</f>
        <v>590010</v>
      </c>
      <c r="B228" s="100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IFERROR(VLOOKUP(B228,input_590010!L:R,7,FALSE),VLOOKUP(tables_590010!C228,input_590010!A:H,8,FALSE))</f>
        <v>7143.2692299999999</v>
      </c>
      <c r="P228" s="46">
        <f t="shared" ca="1" si="10"/>
        <v>4.9094633883181724E-5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input_590010!A$2</f>
        <v>590010</v>
      </c>
      <c r="B229" s="100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IFERROR(VLOOKUP(B229,input_590010!L:R,7,FALSE),VLOOKUP(tables_590010!C229,input_590010!A:H,8,FALSE))</f>
        <v>92150</v>
      </c>
      <c r="P229" s="46">
        <f t="shared" ca="1" si="10"/>
        <v>6.3333333333359405E-4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input_590010!A$2</f>
        <v>590010</v>
      </c>
      <c r="B230" s="100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IFERROR(VLOOKUP(B230,input_590010!L:R,7,FALSE),VLOOKUP(tables_590010!C230,input_590010!A:H,8,FALSE))</f>
        <v>4850</v>
      </c>
      <c r="P230" s="46">
        <f t="shared" ca="1" si="10"/>
        <v>3.3333333333347057E-5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input_590010!A$2</f>
        <v>590010</v>
      </c>
      <c r="B231" s="100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IFERROR(VLOOKUP(B231,input_590010!L:R,7,FALSE),VLOOKUP(tables_590010!C231,input_590010!A:H,8,FALSE))</f>
        <v>712500</v>
      </c>
      <c r="P231" s="46">
        <f t="shared" ca="1" si="10"/>
        <v>4.8969072164968611E-3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input_590010!A$2</f>
        <v>590010</v>
      </c>
      <c r="B232" s="100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IFERROR(VLOOKUP(B232,input_590010!L:R,7,FALSE),VLOOKUP(tables_590010!C232,input_590010!A:H,8,FALSE))</f>
        <v>613269.23077000002</v>
      </c>
      <c r="P232" s="46">
        <f t="shared" ca="1" si="10"/>
        <v>4.2149088025446911E-3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input_590010!A$2</f>
        <v>590010</v>
      </c>
      <c r="B233" s="100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IFERROR(VLOOKUP(B233,input_590010!L:R,7,FALSE),VLOOKUP(tables_590010!C233,input_590010!A:H,8,FALSE))</f>
        <v>7143.2692299999999</v>
      </c>
      <c r="P233" s="46">
        <f t="shared" ca="1" si="10"/>
        <v>4.9094633883181724E-5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input_590010!A$2</f>
        <v>590010</v>
      </c>
      <c r="B234" s="100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IFERROR(VLOOKUP(B234,input_590010!L:R,7,FALSE),VLOOKUP(tables_590010!C234,input_590010!A:H,8,FALSE))</f>
        <v>712500</v>
      </c>
      <c r="P234" s="46">
        <f t="shared" ca="1" si="10"/>
        <v>4.8969072164968611E-3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input_590010!A$2</f>
        <v>590010</v>
      </c>
      <c r="B235" s="100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IFERROR(VLOOKUP(B235,input_590010!L:R,7,FALSE),VLOOKUP(tables_590010!C235,input_590010!A:H,8,FALSE))</f>
        <v>613269.23077000002</v>
      </c>
      <c r="P235" s="46">
        <f t="shared" ca="1" si="10"/>
        <v>4.2149088025446911E-3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input_590010!A$2</f>
        <v>590010</v>
      </c>
      <c r="B236" s="100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IFERROR(VLOOKUP(B236,input_590010!L:R,7,FALSE),VLOOKUP(tables_590010!C236,input_590010!A:H,8,FALSE))</f>
        <v>7143.2692299999999</v>
      </c>
      <c r="P236" s="46">
        <f t="shared" ca="1" si="10"/>
        <v>4.9094633883181724E-5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input_590010!A$2</f>
        <v>590010</v>
      </c>
      <c r="B237" s="100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IFERROR(VLOOKUP(B237,input_590010!L:R,7,FALSE),VLOOKUP(tables_590010!C237,input_590010!A:H,8,FALSE))</f>
        <v>92150</v>
      </c>
      <c r="P237" s="46">
        <f t="shared" ca="1" si="10"/>
        <v>6.3333333333359405E-4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input_590010!A$2</f>
        <v>590010</v>
      </c>
      <c r="B238" s="100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IFERROR(VLOOKUP(B238,input_590010!L:R,7,FALSE),VLOOKUP(tables_590010!C238,input_590010!A:H,8,FALSE))</f>
        <v>4850</v>
      </c>
      <c r="P238" s="46">
        <f t="shared" ca="1" si="10"/>
        <v>3.3333333333347057E-5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input_590010!A$2</f>
        <v>590010</v>
      </c>
      <c r="B239" s="100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IFERROR(VLOOKUP(B239,input_590010!L:R,7,FALSE),VLOOKUP(tables_590010!C239,input_590010!A:H,8,FALSE))</f>
        <v>712500</v>
      </c>
      <c r="P239" s="46">
        <f t="shared" ca="1" si="10"/>
        <v>4.8969072164968611E-3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input_590010!A$2</f>
        <v>590010</v>
      </c>
      <c r="B240" s="100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IFERROR(VLOOKUP(B240,input_590010!L:R,7,FALSE),VLOOKUP(tables_590010!C240,input_590010!A:H,8,FALSE))</f>
        <v>613269.23077000002</v>
      </c>
      <c r="P240" s="46">
        <f t="shared" ca="1" si="10"/>
        <v>4.2149088025446911E-3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input_590010!A$2</f>
        <v>590010</v>
      </c>
      <c r="B241" s="100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IFERROR(VLOOKUP(B241,input_590010!L:R,7,FALSE),VLOOKUP(tables_590010!C241,input_590010!A:H,8,FALSE))</f>
        <v>7143.2692299999999</v>
      </c>
      <c r="P241" s="46">
        <f t="shared" ca="1" si="10"/>
        <v>4.9094633883181724E-5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input_590010!A$2</f>
        <v>590010</v>
      </c>
      <c r="B242" s="100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IFERROR(VLOOKUP(B242,input_590010!L:R,7,FALSE),VLOOKUP(tables_590010!C242,input_590010!A:H,8,FALSE))</f>
        <v>92150</v>
      </c>
      <c r="P242" s="46">
        <f t="shared" ca="1" si="10"/>
        <v>6.3333333333359405E-4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input_590010!A$2</f>
        <v>590010</v>
      </c>
      <c r="B243" s="100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IFERROR(VLOOKUP(B243,input_590010!L:R,7,FALSE),VLOOKUP(tables_590010!C243,input_590010!A:H,8,FALSE))</f>
        <v>4850</v>
      </c>
      <c r="P243" s="46">
        <f t="shared" ca="1" si="10"/>
        <v>3.3333333333347057E-5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input_590010!A$2</f>
        <v>590010</v>
      </c>
      <c r="B244" s="100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IFERROR(VLOOKUP(B244,input_590010!L:R,7,FALSE),VLOOKUP(tables_590010!C244,input_590010!A:H,8,FALSE))</f>
        <v>92150</v>
      </c>
      <c r="P244" s="46">
        <f t="shared" ca="1" si="10"/>
        <v>6.3333333333359405E-4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input_590010!A$2</f>
        <v>590010</v>
      </c>
      <c r="B245" s="10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IFERROR(VLOOKUP(B245,input_590010!L:R,7,FALSE),VLOOKUP(tables_590010!C245,input_590010!A:H,8,FALSE))</f>
        <v>4850</v>
      </c>
      <c r="P245" s="46">
        <f t="shared" ca="1" si="10"/>
        <v>3.3333333333347057E-5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input_590010!A$2</f>
        <v>590010</v>
      </c>
      <c r="B246" s="10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IFERROR(VLOOKUP(B246,input_590010!L:R,7,FALSE),VLOOKUP(tables_590010!C246,input_590010!A:H,8,FALSE))</f>
        <v>712500</v>
      </c>
      <c r="P246" s="46">
        <f t="shared" ca="1" si="10"/>
        <v>4.8969072164968611E-3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input_590010!A$2</f>
        <v>590010</v>
      </c>
      <c r="B247" s="10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IFERROR(VLOOKUP(B247,input_590010!L:R,7,FALSE),VLOOKUP(tables_590010!C247,input_590010!A:H,8,FALSE))</f>
        <v>613269.23077000002</v>
      </c>
      <c r="P247" s="46">
        <f t="shared" ca="1" si="10"/>
        <v>4.2149088025446911E-3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input_590010!A$2</f>
        <v>590010</v>
      </c>
      <c r="B248" s="10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IFERROR(VLOOKUP(B248,input_590010!L:R,7,FALSE),VLOOKUP(tables_590010!C248,input_590010!A:H,8,FALSE))</f>
        <v>7143.2692299999999</v>
      </c>
      <c r="P248" s="46">
        <f t="shared" ca="1" si="10"/>
        <v>4.9094633883181724E-5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input_590010!A$2</f>
        <v>590010</v>
      </c>
      <c r="B249" s="10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IFERROR(VLOOKUP(B249,input_590010!L:R,7,FALSE),VLOOKUP(tables_590010!C249,input_590010!A:H,8,FALSE))</f>
        <v>712500</v>
      </c>
      <c r="P249" s="46">
        <f t="shared" ca="1" si="10"/>
        <v>4.8969072164968611E-3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input_590010!A$2</f>
        <v>590010</v>
      </c>
      <c r="B250" s="10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IFERROR(VLOOKUP(B250,input_590010!L:R,7,FALSE),VLOOKUP(tables_590010!C250,input_590010!A:H,8,FALSE))</f>
        <v>613269.23077000002</v>
      </c>
      <c r="P250" s="46">
        <f t="shared" ca="1" si="10"/>
        <v>4.2149088025446911E-3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input_590010!A$2</f>
        <v>590010</v>
      </c>
      <c r="B251" s="10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IFERROR(VLOOKUP(B251,input_590010!L:R,7,FALSE),VLOOKUP(tables_590010!C251,input_590010!A:H,8,FALSE))</f>
        <v>7143.2692299999999</v>
      </c>
      <c r="P251" s="46">
        <f t="shared" ca="1" si="10"/>
        <v>4.9094633883181724E-5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input_590010!A$2</f>
        <v>590010</v>
      </c>
      <c r="B252" s="10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IFERROR(VLOOKUP(B252,input_590010!L:R,7,FALSE),VLOOKUP(tables_590010!C252,input_590010!A:H,8,FALSE))</f>
        <v>712500</v>
      </c>
      <c r="P252" s="46">
        <f t="shared" ca="1" si="10"/>
        <v>4.8969072164968611E-3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input_590010!A$2</f>
        <v>590010</v>
      </c>
      <c r="B253" s="10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IFERROR(VLOOKUP(B253,input_590010!L:R,7,FALSE),VLOOKUP(tables_590010!C253,input_590010!A:H,8,FALSE))</f>
        <v>613269.23077000002</v>
      </c>
      <c r="P253" s="46">
        <f t="shared" ca="1" si="10"/>
        <v>4.2149088025446911E-3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input_590010!A$2</f>
        <v>590010</v>
      </c>
      <c r="B254" s="10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IFERROR(VLOOKUP(B254,input_590010!L:R,7,FALSE),VLOOKUP(tables_590010!C254,input_590010!A:H,8,FALSE))</f>
        <v>7143.2692299999999</v>
      </c>
      <c r="P254" s="46">
        <f t="shared" ca="1" si="10"/>
        <v>4.9094633883181724E-5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input_590010!A$2</f>
        <v>590010</v>
      </c>
      <c r="B255" s="10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IFERROR(VLOOKUP(B255,input_590010!L:R,7,FALSE),VLOOKUP(tables_590010!C255,input_590010!A:H,8,FALSE))</f>
        <v>712500</v>
      </c>
      <c r="P255" s="46">
        <f t="shared" ca="1" si="10"/>
        <v>4.8969072164968611E-3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input_590010!A$2</f>
        <v>590010</v>
      </c>
      <c r="B256" s="10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IFERROR(VLOOKUP(B256,input_590010!L:R,7,FALSE),VLOOKUP(tables_590010!C256,input_590010!A:H,8,FALSE))</f>
        <v>613269.23077000002</v>
      </c>
      <c r="P256" s="46">
        <f t="shared" ca="1" si="10"/>
        <v>4.2149088025446911E-3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input_590010!A$2</f>
        <v>590010</v>
      </c>
      <c r="B257" s="10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IFERROR(VLOOKUP(B257,input_590010!L:R,7,FALSE),VLOOKUP(tables_590010!C257,input_590010!A:H,8,FALSE))</f>
        <v>7143.2692299999999</v>
      </c>
      <c r="P257" s="46">
        <f t="shared" ca="1" si="10"/>
        <v>4.9094633883181724E-5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input_590010!A$2</f>
        <v>590010</v>
      </c>
      <c r="B258" s="10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IFERROR(VLOOKUP(B258,input_590010!L:R,7,FALSE),VLOOKUP(tables_590010!C258,input_590010!A:H,8,FALSE))</f>
        <v>92150</v>
      </c>
      <c r="P258" s="46">
        <f t="shared" ref="P258:P321" ca="1" si="13">O258/SUM(O:O)</f>
        <v>6.3333333333359405E-4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input_590010!A$2</f>
        <v>590010</v>
      </c>
      <c r="B259" s="10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IFERROR(VLOOKUP(B259,input_590010!L:R,7,FALSE),VLOOKUP(tables_590010!C259,input_590010!A:H,8,FALSE))</f>
        <v>4850</v>
      </c>
      <c r="P259" s="46">
        <f t="shared" ca="1" si="13"/>
        <v>3.3333333333347057E-5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input_590010!A$2</f>
        <v>590010</v>
      </c>
      <c r="B260" s="10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IFERROR(VLOOKUP(B260,input_590010!L:R,7,FALSE),VLOOKUP(tables_590010!C260,input_590010!A:H,8,FALSE))</f>
        <v>92150</v>
      </c>
      <c r="P260" s="46">
        <f t="shared" ca="1" si="13"/>
        <v>6.3333333333359405E-4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input_590010!A$2</f>
        <v>590010</v>
      </c>
      <c r="B261" s="10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IFERROR(VLOOKUP(B261,input_590010!L:R,7,FALSE),VLOOKUP(tables_590010!C261,input_590010!A:H,8,FALSE))</f>
        <v>4850</v>
      </c>
      <c r="P261" s="46">
        <f t="shared" ca="1" si="13"/>
        <v>3.3333333333347057E-5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input_590010!A$2</f>
        <v>590010</v>
      </c>
      <c r="B262" s="10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IFERROR(VLOOKUP(B262,input_590010!L:R,7,FALSE),VLOOKUP(tables_590010!C262,input_590010!A:H,8,FALSE))</f>
        <v>1333392.85714</v>
      </c>
      <c r="P262" s="46">
        <f t="shared" ca="1" si="13"/>
        <v>9.1642120765673459E-3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input_590010!A$2</f>
        <v>590010</v>
      </c>
      <c r="B263" s="10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IFERROR(VLOOKUP(B263,input_590010!L:R,7,FALSE),VLOOKUP(tables_590010!C263,input_590010!A:H,8,FALSE))</f>
        <v>71250</v>
      </c>
      <c r="P263" s="46">
        <f t="shared" ca="1" si="13"/>
        <v>4.8969072164968617E-4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input_590010!A$2</f>
        <v>590010</v>
      </c>
      <c r="B264" s="10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IFERROR(VLOOKUP(B264,input_590010!L:R,7,FALSE),VLOOKUP(tables_590010!C264,input_590010!A:H,8,FALSE))</f>
        <v>1333392.85714</v>
      </c>
      <c r="P264" s="46">
        <f t="shared" ca="1" si="13"/>
        <v>9.1642120765673459E-3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input_590010!A$2</f>
        <v>590010</v>
      </c>
      <c r="B265" s="10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IFERROR(VLOOKUP(B265,input_590010!L:R,7,FALSE),VLOOKUP(tables_590010!C265,input_590010!A:H,8,FALSE))</f>
        <v>71250</v>
      </c>
      <c r="P265" s="46">
        <f t="shared" ca="1" si="13"/>
        <v>4.8969072164968617E-4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input_590010!A$2</f>
        <v>590010</v>
      </c>
      <c r="B266" s="10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IFERROR(VLOOKUP(B266,input_590010!L:R,7,FALSE),VLOOKUP(tables_590010!C266,input_590010!A:H,8,FALSE))</f>
        <v>97000</v>
      </c>
      <c r="P266" s="46">
        <f t="shared" ca="1" si="13"/>
        <v>6.6666666666694116E-4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input_590010!A$2</f>
        <v>590010</v>
      </c>
      <c r="B267" s="10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IFERROR(VLOOKUP(B267,input_590010!L:R,7,FALSE),VLOOKUP(tables_590010!C267,input_590010!A:H,8,FALSE))</f>
        <v>97000</v>
      </c>
      <c r="P267" s="46">
        <f t="shared" ca="1" si="13"/>
        <v>6.6666666666694116E-4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input_590010!A$2</f>
        <v>590010</v>
      </c>
      <c r="B268" s="10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IFERROR(VLOOKUP(B268,input_590010!L:R,7,FALSE),VLOOKUP(tables_590010!C268,input_590010!A:H,8,FALSE))</f>
        <v>97000</v>
      </c>
      <c r="P268" s="46">
        <f t="shared" ca="1" si="13"/>
        <v>6.6666666666694116E-4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input_590010!A$2</f>
        <v>590010</v>
      </c>
      <c r="B269" s="10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IFERROR(VLOOKUP(B269,input_590010!L:R,7,FALSE),VLOOKUP(tables_590010!C269,input_590010!A:H,8,FALSE))</f>
        <v>97000</v>
      </c>
      <c r="P269" s="46">
        <f t="shared" ca="1" si="13"/>
        <v>6.6666666666694116E-4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input_590010!A$2</f>
        <v>590010</v>
      </c>
      <c r="B270" s="10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IFERROR(VLOOKUP(B270,input_590010!L:R,7,FALSE),VLOOKUP(tables_590010!C270,input_590010!A:H,8,FALSE))</f>
        <v>1333392.85714</v>
      </c>
      <c r="P270" s="46">
        <f t="shared" ca="1" si="13"/>
        <v>9.1642120765673459E-3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input_590010!A$2</f>
        <v>590010</v>
      </c>
      <c r="B271" s="102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IFERROR(VLOOKUP(B271,input_590010!L:R,7,FALSE),VLOOKUP(tables_590010!C271,input_590010!A:H,8,FALSE))</f>
        <v>71250</v>
      </c>
      <c r="P271" s="46">
        <f t="shared" ca="1" si="13"/>
        <v>4.8969072164968617E-4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input_590010!A$2</f>
        <v>590010</v>
      </c>
      <c r="B272" s="102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IFERROR(VLOOKUP(B272,input_590010!L:R,7,FALSE),VLOOKUP(tables_590010!C272,input_590010!A:H,8,FALSE))</f>
        <v>1333392.85714</v>
      </c>
      <c r="P272" s="46">
        <f t="shared" ca="1" si="13"/>
        <v>9.1642120765673459E-3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input_590010!A$2</f>
        <v>590010</v>
      </c>
      <c r="B273" s="102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IFERROR(VLOOKUP(B273,input_590010!L:R,7,FALSE),VLOOKUP(tables_590010!C273,input_590010!A:H,8,FALSE))</f>
        <v>71250</v>
      </c>
      <c r="P273" s="46">
        <f t="shared" ca="1" si="13"/>
        <v>4.8969072164968617E-4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input_590010!A$2</f>
        <v>590010</v>
      </c>
      <c r="B274" s="102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IFERROR(VLOOKUP(B274,input_590010!L:R,7,FALSE),VLOOKUP(tables_590010!C274,input_590010!A:H,8,FALSE))</f>
        <v>92150</v>
      </c>
      <c r="P274" s="46">
        <f t="shared" ca="1" si="13"/>
        <v>6.3333333333359405E-4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input_590010!A$2</f>
        <v>590010</v>
      </c>
      <c r="B275" s="102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IFERROR(VLOOKUP(B275,input_590010!L:R,7,FALSE),VLOOKUP(tables_590010!C275,input_590010!A:H,8,FALSE))</f>
        <v>4850</v>
      </c>
      <c r="P275" s="46">
        <f t="shared" ca="1" si="13"/>
        <v>3.3333333333347057E-5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input_590010!A$2</f>
        <v>590010</v>
      </c>
      <c r="B276" s="102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IFERROR(VLOOKUP(B276,input_590010!L:R,7,FALSE),VLOOKUP(tables_590010!C276,input_590010!A:H,8,FALSE))</f>
        <v>92150</v>
      </c>
      <c r="P276" s="46">
        <f t="shared" ca="1" si="13"/>
        <v>6.3333333333359405E-4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input_590010!A$2</f>
        <v>590010</v>
      </c>
      <c r="B277" s="102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IFERROR(VLOOKUP(B277,input_590010!L:R,7,FALSE),VLOOKUP(tables_590010!C277,input_590010!A:H,8,FALSE))</f>
        <v>4850</v>
      </c>
      <c r="P277" s="46">
        <f t="shared" ca="1" si="13"/>
        <v>3.3333333333347057E-5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input_590010!A$2</f>
        <v>590010</v>
      </c>
      <c r="B278" s="102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IFERROR(VLOOKUP(B278,input_590010!L:R,7,FALSE),VLOOKUP(tables_590010!C278,input_590010!A:H,8,FALSE))</f>
        <v>712500</v>
      </c>
      <c r="P278" s="46">
        <f t="shared" ca="1" si="13"/>
        <v>4.8969072164968611E-3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input_590010!A$2</f>
        <v>590010</v>
      </c>
      <c r="B279" s="102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IFERROR(VLOOKUP(B279,input_590010!L:R,7,FALSE),VLOOKUP(tables_590010!C279,input_590010!A:H,8,FALSE))</f>
        <v>613269.23077000002</v>
      </c>
      <c r="P279" s="46">
        <f t="shared" ca="1" si="13"/>
        <v>4.2149088025446911E-3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input_590010!A$2</f>
        <v>590010</v>
      </c>
      <c r="B280" s="102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IFERROR(VLOOKUP(B280,input_590010!L:R,7,FALSE),VLOOKUP(tables_590010!C280,input_590010!A:H,8,FALSE))</f>
        <v>7143.2692299999999</v>
      </c>
      <c r="P280" s="46">
        <f t="shared" ca="1" si="13"/>
        <v>4.9094633883181724E-5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input_590010!A$2</f>
        <v>590010</v>
      </c>
      <c r="B281" s="102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IFERROR(VLOOKUP(B281,input_590010!L:R,7,FALSE),VLOOKUP(tables_590010!C281,input_590010!A:H,8,FALSE))</f>
        <v>712500</v>
      </c>
      <c r="P281" s="46">
        <f t="shared" ca="1" si="13"/>
        <v>4.8969072164968611E-3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input_590010!A$2</f>
        <v>590010</v>
      </c>
      <c r="B282" s="102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IFERROR(VLOOKUP(B282,input_590010!L:R,7,FALSE),VLOOKUP(tables_590010!C282,input_590010!A:H,8,FALSE))</f>
        <v>613269.23077000002</v>
      </c>
      <c r="P282" s="46">
        <f t="shared" ca="1" si="13"/>
        <v>4.2149088025446911E-3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input_590010!A$2</f>
        <v>590010</v>
      </c>
      <c r="B283" s="102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IFERROR(VLOOKUP(B283,input_590010!L:R,7,FALSE),VLOOKUP(tables_590010!C283,input_590010!A:H,8,FALSE))</f>
        <v>7143.2692299999999</v>
      </c>
      <c r="P283" s="46">
        <f t="shared" ca="1" si="13"/>
        <v>4.9094633883181724E-5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input_590010!A$2</f>
        <v>590010</v>
      </c>
      <c r="B284" s="102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IFERROR(VLOOKUP(B284,input_590010!L:R,7,FALSE),VLOOKUP(tables_590010!C284,input_590010!A:H,8,FALSE))</f>
        <v>97000</v>
      </c>
      <c r="P284" s="46">
        <f t="shared" ca="1" si="13"/>
        <v>6.6666666666694116E-4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input_590010!A$2</f>
        <v>590010</v>
      </c>
      <c r="B285" s="102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IFERROR(VLOOKUP(B285,input_590010!L:R,7,FALSE),VLOOKUP(tables_590010!C285,input_590010!A:H,8,FALSE))</f>
        <v>97000</v>
      </c>
      <c r="P285" s="46">
        <f t="shared" ca="1" si="13"/>
        <v>6.6666666666694116E-4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input_590010!A$2</f>
        <v>590010</v>
      </c>
      <c r="B286" s="102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IFERROR(VLOOKUP(B286,input_590010!L:R,7,FALSE),VLOOKUP(tables_590010!C286,input_590010!A:H,8,FALSE))</f>
        <v>1333392.85714</v>
      </c>
      <c r="P286" s="46">
        <f t="shared" ca="1" si="13"/>
        <v>9.1642120765673459E-3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input_590010!A$2</f>
        <v>590010</v>
      </c>
      <c r="B287" s="102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IFERROR(VLOOKUP(B287,input_590010!L:R,7,FALSE),VLOOKUP(tables_590010!C287,input_590010!A:H,8,FALSE))</f>
        <v>71250</v>
      </c>
      <c r="P287" s="46">
        <f t="shared" ca="1" si="13"/>
        <v>4.8969072164968617E-4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input_590010!A$2</f>
        <v>590010</v>
      </c>
      <c r="B288" s="102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IFERROR(VLOOKUP(B288,input_590010!L:R,7,FALSE),VLOOKUP(tables_590010!C288,input_590010!A:H,8,FALSE))</f>
        <v>1333392.85714</v>
      </c>
      <c r="P288" s="46">
        <f t="shared" ca="1" si="13"/>
        <v>9.1642120765673459E-3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input_590010!A$2</f>
        <v>590010</v>
      </c>
      <c r="B289" s="102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IFERROR(VLOOKUP(B289,input_590010!L:R,7,FALSE),VLOOKUP(tables_590010!C289,input_590010!A:H,8,FALSE))</f>
        <v>71250</v>
      </c>
      <c r="P289" s="46">
        <f t="shared" ca="1" si="13"/>
        <v>4.8969072164968617E-4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input_590010!A$2</f>
        <v>590010</v>
      </c>
      <c r="B290" s="102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IFERROR(VLOOKUP(B290,input_590010!L:R,7,FALSE),VLOOKUP(tables_590010!C290,input_590010!A:H,8,FALSE))</f>
        <v>1333392.85714</v>
      </c>
      <c r="P290" s="46">
        <f t="shared" ca="1" si="13"/>
        <v>9.1642120765673459E-3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input_590010!A$2</f>
        <v>590010</v>
      </c>
      <c r="B291" s="102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IFERROR(VLOOKUP(B291,input_590010!L:R,7,FALSE),VLOOKUP(tables_590010!C291,input_590010!A:H,8,FALSE))</f>
        <v>71250</v>
      </c>
      <c r="P291" s="46">
        <f t="shared" ca="1" si="13"/>
        <v>4.8969072164968617E-4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input_590010!A$2</f>
        <v>590010</v>
      </c>
      <c r="B292" s="102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IFERROR(VLOOKUP(B292,input_590010!L:R,7,FALSE),VLOOKUP(tables_590010!C292,input_590010!A:H,8,FALSE))</f>
        <v>1333392.85714</v>
      </c>
      <c r="P292" s="46">
        <f t="shared" ca="1" si="13"/>
        <v>9.1642120765673459E-3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input_590010!A$2</f>
        <v>590010</v>
      </c>
      <c r="B293" s="102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IFERROR(VLOOKUP(B293,input_590010!L:R,7,FALSE),VLOOKUP(tables_590010!C293,input_590010!A:H,8,FALSE))</f>
        <v>71250</v>
      </c>
      <c r="P293" s="46">
        <f t="shared" ca="1" si="13"/>
        <v>4.8969072164968617E-4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input_590010!A$2</f>
        <v>590010</v>
      </c>
      <c r="B294" s="102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IFERROR(VLOOKUP(B294,input_590010!L:R,7,FALSE),VLOOKUP(tables_590010!C294,input_590010!A:H,8,FALSE))</f>
        <v>97000</v>
      </c>
      <c r="P294" s="46">
        <f t="shared" ca="1" si="13"/>
        <v>6.6666666666694116E-4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input_590010!A$2</f>
        <v>590010</v>
      </c>
      <c r="B295" s="102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IFERROR(VLOOKUP(B295,input_590010!L:R,7,FALSE),VLOOKUP(tables_590010!C295,input_590010!A:H,8,FALSE))</f>
        <v>97000</v>
      </c>
      <c r="P295" s="46">
        <f t="shared" ca="1" si="13"/>
        <v>6.6666666666694116E-4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input_590010!A$2</f>
        <v>590010</v>
      </c>
      <c r="B296" s="102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IFERROR(VLOOKUP(B296,input_590010!L:R,7,FALSE),VLOOKUP(tables_590010!C296,input_590010!A:H,8,FALSE))</f>
        <v>97000</v>
      </c>
      <c r="P296" s="46">
        <f t="shared" ca="1" si="13"/>
        <v>6.6666666666694116E-4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input_590010!A$2</f>
        <v>590010</v>
      </c>
      <c r="B297" s="102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IFERROR(VLOOKUP(B297,input_590010!L:R,7,FALSE),VLOOKUP(tables_590010!C297,input_590010!A:H,8,FALSE))</f>
        <v>1333392.85714</v>
      </c>
      <c r="P297" s="46">
        <f t="shared" ca="1" si="13"/>
        <v>9.1642120765673459E-3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input_590010!A$2</f>
        <v>590010</v>
      </c>
      <c r="B298" s="102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IFERROR(VLOOKUP(B298,input_590010!L:R,7,FALSE),VLOOKUP(tables_590010!C298,input_590010!A:H,8,FALSE))</f>
        <v>71250</v>
      </c>
      <c r="P298" s="46">
        <f t="shared" ca="1" si="13"/>
        <v>4.8969072164968617E-4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input_590010!A$2</f>
        <v>590010</v>
      </c>
      <c r="B299" s="102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IFERROR(VLOOKUP(B299,input_590010!L:R,7,FALSE),VLOOKUP(tables_590010!C299,input_590010!A:H,8,FALSE))</f>
        <v>97000</v>
      </c>
      <c r="P299" s="46">
        <f t="shared" ca="1" si="13"/>
        <v>6.6666666666694116E-4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input_590010!A$2</f>
        <v>590010</v>
      </c>
      <c r="B300" s="102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IFERROR(VLOOKUP(B300,input_590010!L:R,7,FALSE),VLOOKUP(tables_590010!C300,input_590010!A:H,8,FALSE))</f>
        <v>97000</v>
      </c>
      <c r="P300" s="46">
        <f t="shared" ca="1" si="13"/>
        <v>6.6666666666694116E-4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input_590010!A$2</f>
        <v>590010</v>
      </c>
      <c r="B301" s="102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IFERROR(VLOOKUP(B301,input_590010!L:R,7,FALSE),VLOOKUP(tables_590010!C301,input_590010!A:H,8,FALSE))</f>
        <v>97000</v>
      </c>
      <c r="P301" s="46">
        <f t="shared" ca="1" si="13"/>
        <v>6.6666666666694116E-4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input_590010!A$2</f>
        <v>590010</v>
      </c>
      <c r="B302" s="102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IFERROR(VLOOKUP(B302,input_590010!L:R,7,FALSE),VLOOKUP(tables_590010!C302,input_590010!A:H,8,FALSE))</f>
        <v>97000</v>
      </c>
      <c r="P302" s="46">
        <f t="shared" ca="1" si="13"/>
        <v>6.6666666666694116E-4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input_590010!A$2</f>
        <v>590010</v>
      </c>
      <c r="B303" s="102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IFERROR(VLOOKUP(B303,input_590010!L:R,7,FALSE),VLOOKUP(tables_590010!C303,input_590010!A:H,8,FALSE))</f>
        <v>1333392.85714</v>
      </c>
      <c r="P303" s="46">
        <f t="shared" ca="1" si="13"/>
        <v>9.1642120765673459E-3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input_590010!A$2</f>
        <v>590010</v>
      </c>
      <c r="B304" s="102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IFERROR(VLOOKUP(B304,input_590010!L:R,7,FALSE),VLOOKUP(tables_590010!C304,input_590010!A:H,8,FALSE))</f>
        <v>71250</v>
      </c>
      <c r="P304" s="46">
        <f t="shared" ca="1" si="13"/>
        <v>4.8969072164968617E-4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input_590010!A$2</f>
        <v>590010</v>
      </c>
      <c r="B305" s="102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IFERROR(VLOOKUP(B305,input_590010!L:R,7,FALSE),VLOOKUP(tables_590010!C305,input_590010!A:H,8,FALSE))</f>
        <v>97000</v>
      </c>
      <c r="P305" s="46">
        <f t="shared" ca="1" si="13"/>
        <v>6.6666666666694116E-4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input_590010!A$2</f>
        <v>590010</v>
      </c>
      <c r="B306" s="102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IFERROR(VLOOKUP(B306,input_590010!L:R,7,FALSE),VLOOKUP(tables_590010!C306,input_590010!A:H,8,FALSE))</f>
        <v>1333392.85714</v>
      </c>
      <c r="P306" s="46">
        <f t="shared" ca="1" si="13"/>
        <v>9.1642120765673459E-3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input_590010!A$2</f>
        <v>590010</v>
      </c>
      <c r="B307" s="102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IFERROR(VLOOKUP(B307,input_590010!L:R,7,FALSE),VLOOKUP(tables_590010!C307,input_590010!A:H,8,FALSE))</f>
        <v>71250</v>
      </c>
      <c r="P307" s="46">
        <f t="shared" ca="1" si="13"/>
        <v>4.8969072164968617E-4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input_590010!A$2</f>
        <v>590010</v>
      </c>
      <c r="B308" s="102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IFERROR(VLOOKUP(B308,input_590010!L:R,7,FALSE),VLOOKUP(tables_590010!C308,input_590010!A:H,8,FALSE))</f>
        <v>97000</v>
      </c>
      <c r="P308" s="46">
        <f t="shared" ca="1" si="13"/>
        <v>6.6666666666694116E-4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input_590010!A$2</f>
        <v>590010</v>
      </c>
      <c r="B309" s="102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IFERROR(VLOOKUP(B309,input_590010!L:R,7,FALSE),VLOOKUP(tables_590010!C309,input_590010!A:H,8,FALSE))</f>
        <v>97000</v>
      </c>
      <c r="P309" s="46">
        <f t="shared" ca="1" si="13"/>
        <v>6.6666666666694116E-4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input_590010!A$2</f>
        <v>590010</v>
      </c>
      <c r="B310" s="102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IFERROR(VLOOKUP(B310,input_590010!L:R,7,FALSE),VLOOKUP(tables_590010!C310,input_590010!A:H,8,FALSE))</f>
        <v>97000</v>
      </c>
      <c r="P310" s="46">
        <f t="shared" ca="1" si="13"/>
        <v>6.6666666666694116E-4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input_590010!A$2</f>
        <v>590010</v>
      </c>
      <c r="B311" s="102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IFERROR(VLOOKUP(B311,input_590010!L:R,7,FALSE),VLOOKUP(tables_590010!C311,input_590010!A:H,8,FALSE))</f>
        <v>1333392.85714</v>
      </c>
      <c r="P311" s="46">
        <f t="shared" ca="1" si="13"/>
        <v>9.1642120765673459E-3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input_590010!A$2</f>
        <v>590010</v>
      </c>
      <c r="B312" s="102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IFERROR(VLOOKUP(B312,input_590010!L:R,7,FALSE),VLOOKUP(tables_590010!C312,input_590010!A:H,8,FALSE))</f>
        <v>71250</v>
      </c>
      <c r="P312" s="46">
        <f t="shared" ca="1" si="13"/>
        <v>4.8969072164968617E-4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input_590010!A$2</f>
        <v>590010</v>
      </c>
      <c r="B313" s="102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IFERROR(VLOOKUP(B313,input_590010!L:R,7,FALSE),VLOOKUP(tables_590010!C313,input_590010!A:H,8,FALSE))</f>
        <v>97000</v>
      </c>
      <c r="P313" s="46">
        <f t="shared" ca="1" si="13"/>
        <v>6.6666666666694116E-4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input_590010!A$2</f>
        <v>590010</v>
      </c>
      <c r="B314" s="102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IFERROR(VLOOKUP(B314,input_590010!L:R,7,FALSE),VLOOKUP(tables_590010!C314,input_590010!A:H,8,FALSE))</f>
        <v>97000</v>
      </c>
      <c r="P314" s="46">
        <f t="shared" ca="1" si="13"/>
        <v>6.6666666666694116E-4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input_590010!A$2</f>
        <v>590010</v>
      </c>
      <c r="B315" s="102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IFERROR(VLOOKUP(B315,input_590010!L:R,7,FALSE),VLOOKUP(tables_590010!C315,input_590010!A:H,8,FALSE))</f>
        <v>97000</v>
      </c>
      <c r="P315" s="46">
        <f t="shared" ca="1" si="13"/>
        <v>6.6666666666694116E-4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input_590010!A$2</f>
        <v>590010</v>
      </c>
      <c r="B316" s="102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IFERROR(VLOOKUP(B316,input_590010!L:R,7,FALSE),VLOOKUP(tables_590010!C316,input_590010!A:H,8,FALSE))</f>
        <v>97000</v>
      </c>
      <c r="P316" s="46">
        <f t="shared" ca="1" si="13"/>
        <v>6.6666666666694116E-4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input_590010!A$2</f>
        <v>590010</v>
      </c>
      <c r="B317" s="102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IFERROR(VLOOKUP(B317,input_590010!L:R,7,FALSE),VLOOKUP(tables_590010!C317,input_590010!A:H,8,FALSE))</f>
        <v>97000</v>
      </c>
      <c r="P317" s="46">
        <f t="shared" ca="1" si="13"/>
        <v>6.6666666666694116E-4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input_590010!A$2</f>
        <v>590010</v>
      </c>
      <c r="B318" s="102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IFERROR(VLOOKUP(B318,input_590010!L:R,7,FALSE),VLOOKUP(tables_590010!C318,input_590010!A:H,8,FALSE))</f>
        <v>1333392.85714</v>
      </c>
      <c r="P318" s="46">
        <f t="shared" ca="1" si="13"/>
        <v>9.1642120765673459E-3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input_590010!A$2</f>
        <v>590010</v>
      </c>
      <c r="B319" s="102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IFERROR(VLOOKUP(B319,input_590010!L:R,7,FALSE),VLOOKUP(tables_590010!C319,input_590010!A:H,8,FALSE))</f>
        <v>71250</v>
      </c>
      <c r="P319" s="46">
        <f t="shared" ca="1" si="13"/>
        <v>4.8969072164968617E-4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input_590010!A$2</f>
        <v>590010</v>
      </c>
      <c r="B320" s="102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IFERROR(VLOOKUP(B320,input_590010!L:R,7,FALSE),VLOOKUP(tables_590010!C320,input_590010!A:H,8,FALSE))</f>
        <v>97000</v>
      </c>
      <c r="P320" s="46">
        <f t="shared" ca="1" si="13"/>
        <v>6.6666666666694116E-4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input_590010!A$2</f>
        <v>590010</v>
      </c>
      <c r="B321" s="102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IFERROR(VLOOKUP(B321,input_590010!L:R,7,FALSE),VLOOKUP(tables_590010!C321,input_590010!A:H,8,FALSE))</f>
        <v>97000</v>
      </c>
      <c r="P321" s="46">
        <f t="shared" ca="1" si="13"/>
        <v>6.6666666666694116E-4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input_590010!A$2</f>
        <v>590010</v>
      </c>
      <c r="B322" s="102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IFERROR(VLOOKUP(B322,input_590010!L:R,7,FALSE),VLOOKUP(tables_590010!C322,input_590010!A:H,8,FALSE))</f>
        <v>97000</v>
      </c>
      <c r="P322" s="46">
        <f t="shared" ref="P322:P330" ca="1" si="23">O322/SUM(O:O)</f>
        <v>6.6666666666694116E-4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input_590010!A$2</f>
        <v>590010</v>
      </c>
      <c r="B323" s="102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IFERROR(VLOOKUP(B323,input_590010!L:R,7,FALSE),VLOOKUP(tables_590010!C323,input_590010!A:H,8,FALSE))</f>
        <v>97000</v>
      </c>
      <c r="P323" s="46">
        <f t="shared" ca="1" si="23"/>
        <v>6.6666666666694116E-4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input_590010!A$2</f>
        <v>590010</v>
      </c>
      <c r="B324" s="10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IFERROR(VLOOKUP(B324,input_590010!L:R,7,FALSE),VLOOKUP(tables_590010!C324,input_590010!A:H,8,FALSE))</f>
        <v>1333392.85714</v>
      </c>
      <c r="P324" s="46">
        <f t="shared" ca="1" si="23"/>
        <v>9.1642120765673459E-3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input_590010!A$2</f>
        <v>590010</v>
      </c>
      <c r="B325" s="10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IFERROR(VLOOKUP(B325,input_590010!L:R,7,FALSE),VLOOKUP(tables_590010!C325,input_590010!A:H,8,FALSE))</f>
        <v>71250</v>
      </c>
      <c r="P325" s="46">
        <f t="shared" ca="1" si="23"/>
        <v>4.8969072164968617E-4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input_590010!A$2</f>
        <v>590010</v>
      </c>
      <c r="B326" s="10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IFERROR(VLOOKUP(B326,input_590010!L:R,7,FALSE),VLOOKUP(tables_590010!C326,input_590010!A:H,8,FALSE))</f>
        <v>1333392.85714</v>
      </c>
      <c r="P326" s="46">
        <f t="shared" ca="1" si="23"/>
        <v>9.1642120765673459E-3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input_590010!A$2</f>
        <v>590010</v>
      </c>
      <c r="B327" s="10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IFERROR(VLOOKUP(B327,input_590010!L:R,7,FALSE),VLOOKUP(tables_590010!C327,input_590010!A:H,8,FALSE))</f>
        <v>71250</v>
      </c>
      <c r="P327" s="46">
        <f t="shared" ca="1" si="23"/>
        <v>4.8969072164968617E-4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input_590010!A$2</f>
        <v>590010</v>
      </c>
      <c r="B328" s="10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IFERROR(VLOOKUP(B328,input_590010!L:R,7,FALSE),VLOOKUP(tables_590010!C328,input_590010!A:H,8,FALSE))</f>
        <v>97000</v>
      </c>
      <c r="P328" s="46">
        <f t="shared" ca="1" si="23"/>
        <v>6.6666666666694116E-4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input_590010!A$2</f>
        <v>590010</v>
      </c>
      <c r="B329" s="10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IFERROR(VLOOKUP(B329,input_590010!L:R,7,FALSE),VLOOKUP(tables_590010!C329,input_590010!A:H,8,FALSE))</f>
        <v>97000</v>
      </c>
      <c r="P329" s="46">
        <f t="shared" ca="1" si="23"/>
        <v>6.6666666666694116E-4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input_590010!A$2</f>
        <v>590010</v>
      </c>
      <c r="B330" s="10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IFERROR(VLOOKUP(B330,input_590010!L:R,7,FALSE),VLOOKUP(tables_590010!C330,input_590010!A:H,8,FALSE))</f>
        <v>97000</v>
      </c>
      <c r="P330" s="46">
        <f t="shared" ca="1" si="23"/>
        <v>6.6666666666694116E-4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input_590010!A$2</f>
        <v>590010</v>
      </c>
      <c r="B331" s="10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IFERROR(VLOOKUP(B331,input_590010!L:R,7,FALSE),VLOOKUP(tables_590010!C331,input_590010!A:H,8,FALSE))</f>
        <v>97000</v>
      </c>
      <c r="P331" s="46">
        <f t="shared" ref="P331:P335" ca="1" si="28">O331/SUM(O:O)</f>
        <v>6.6666666666694116E-4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input_590010!A$2</f>
        <v>590010</v>
      </c>
      <c r="B332" s="10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IFERROR(VLOOKUP(B332,input_590010!L:R,7,FALSE),VLOOKUP(tables_590010!C332,input_590010!A:H,8,FALSE))</f>
        <v>97000</v>
      </c>
      <c r="P332" s="46">
        <f t="shared" ca="1" si="28"/>
        <v>6.6666666666694116E-4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input_590010!A$2</f>
        <v>590010</v>
      </c>
      <c r="B333" s="10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IFERROR(VLOOKUP(B333,input_590010!L:R,7,FALSE),VLOOKUP(tables_590010!C333,input_590010!A:H,8,FALSE))</f>
        <v>97000</v>
      </c>
      <c r="P333" s="46">
        <f t="shared" ca="1" si="28"/>
        <v>6.6666666666694116E-4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input_590010!A$2</f>
        <v>590010</v>
      </c>
      <c r="B334" s="101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IFERROR(VLOOKUP(B334,input_590010!L:R,7,FALSE),VLOOKUP(tables_590010!C334,input_590010!A:H,8,FALSE))</f>
        <v>1333392.85714</v>
      </c>
      <c r="P334" s="46">
        <f t="shared" ca="1" si="28"/>
        <v>9.1642120765673459E-3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input_590010!A$2</f>
        <v>590010</v>
      </c>
      <c r="B335" s="10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IFERROR(VLOOKUP(B335,input_590010!L:R,7,FALSE),VLOOKUP(tables_590010!C335,input_590010!A:H,8,FALSE))</f>
        <v>71250</v>
      </c>
      <c r="P335" s="46">
        <f t="shared" ca="1" si="28"/>
        <v>4.8969072164968617E-4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input_590010!A$2</f>
        <v>590010</v>
      </c>
      <c r="B336" s="102">
        <v>1224</v>
      </c>
      <c r="C336" s="7" t="str">
        <f t="shared" ref="C336:C340" si="29">D336&amp;J336&amp;E336&amp;F336&amp;G336</f>
        <v>Premium4R3less</v>
      </c>
      <c r="D336" s="96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IFERROR(VLOOKUP(B336,input_590010!L:R,7,FALSE),VLOOKUP(tables_590010!C336,input_590010!A:H,8,FALSE))</f>
        <v>1333392.85714</v>
      </c>
      <c r="P336" s="46">
        <f t="shared" ref="P336:P340" ca="1" si="31">O336/SUM(O:O)</f>
        <v>9.1642120765673459E-3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input_590010!A$2</f>
        <v>590010</v>
      </c>
      <c r="B337" s="102">
        <v>1225</v>
      </c>
      <c r="C337" s="7" t="str">
        <f t="shared" si="29"/>
        <v>Premium5R3less</v>
      </c>
      <c r="D337" s="96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IFERROR(VLOOKUP(B337,input_590010!L:R,7,FALSE),VLOOKUP(tables_590010!C337,input_590010!A:H,8,FALSE))</f>
        <v>71250</v>
      </c>
      <c r="P337" s="46">
        <f t="shared" ca="1" si="31"/>
        <v>4.8969072164968617E-4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input_590010!A$2</f>
        <v>590010</v>
      </c>
      <c r="B338" s="102">
        <v>1226</v>
      </c>
      <c r="C338" s="7" t="str">
        <f t="shared" si="29"/>
        <v>PremiumSS5R5only</v>
      </c>
      <c r="D338" s="96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IFERROR(VLOOKUP(B338,input_590010!L:R,7,FALSE),VLOOKUP(tables_590010!C338,input_590010!A:H,8,FALSE))</f>
        <v>97000</v>
      </c>
      <c r="P338" s="46">
        <f t="shared" ca="1" si="31"/>
        <v>6.6666666666694116E-4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input_590010!A$2</f>
        <v>590010</v>
      </c>
      <c r="B339" s="102">
        <v>1228</v>
      </c>
      <c r="C339" s="7" t="str">
        <f t="shared" si="29"/>
        <v>PremiumSS5R5only</v>
      </c>
      <c r="D339" s="96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IFERROR(VLOOKUP(B339,input_590010!L:R,7,FALSE),VLOOKUP(tables_590010!C339,input_590010!A:H,8,FALSE))</f>
        <v>97000</v>
      </c>
      <c r="P339" s="46">
        <f t="shared" ca="1" si="31"/>
        <v>6.6666666666694116E-4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input_590010!A$2</f>
        <v>590010</v>
      </c>
      <c r="B340" s="102">
        <v>1230</v>
      </c>
      <c r="C340" s="7" t="str">
        <f t="shared" si="29"/>
        <v>PremiumSS5R5only</v>
      </c>
      <c r="D340" s="96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IFERROR(VLOOKUP(B340,input_590010!L:R,7,FALSE),VLOOKUP(tables_590010!C340,input_590010!A:H,8,FALSE))</f>
        <v>97000</v>
      </c>
      <c r="P340" s="46">
        <f t="shared" ca="1" si="31"/>
        <v>6.6666666666694116E-4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input_590010!A$2</f>
        <v>590010</v>
      </c>
      <c r="B341" s="102">
        <v>1250</v>
      </c>
      <c r="C341" s="7" t="str">
        <f t="shared" ref="C341" si="32">D341&amp;J341&amp;E341&amp;F341&amp;G341</f>
        <v>PremiumSS5R5only</v>
      </c>
      <c r="D341" s="96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IFERROR(VLOOKUP(B341,input_590010!L:R,7,FALSE),VLOOKUP(tables_590010!C341,input_590010!A:H,8,FALSE))</f>
        <v>97000</v>
      </c>
      <c r="P341" s="46">
        <f t="shared" ref="P341" ca="1" si="34">O341/SUM(O:O)</f>
        <v>6.6666666666694116E-4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input_590010!A$2</f>
        <v>590010</v>
      </c>
      <c r="B342" s="102">
        <v>1248</v>
      </c>
      <c r="C342" s="7" t="str">
        <f t="shared" ref="C342:C345" si="35">D342&amp;J342&amp;E342&amp;F342&amp;G342</f>
        <v>Premium4R3less</v>
      </c>
      <c r="D342" s="96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IFERROR(VLOOKUP(B342,input_590010!L:R,7,FALSE),VLOOKUP(tables_590010!C342,input_590010!A:H,8,FALSE))</f>
        <v>1333392.85714</v>
      </c>
      <c r="P342" s="46">
        <f t="shared" ref="P342:P345" ca="1" si="37">O342/SUM(O:O)</f>
        <v>9.1642120765673459E-3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input_590010!A$2</f>
        <v>590010</v>
      </c>
      <c r="B343" s="102">
        <v>1249</v>
      </c>
      <c r="C343" s="7" t="str">
        <f t="shared" si="35"/>
        <v>Premium5R3less</v>
      </c>
      <c r="D343" s="96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IFERROR(VLOOKUP(B343,input_590010!L:R,7,FALSE),VLOOKUP(tables_590010!C343,input_590010!A:H,8,FALSE))</f>
        <v>71250</v>
      </c>
      <c r="P343" s="46">
        <f t="shared" ca="1" si="37"/>
        <v>4.8969072164968617E-4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input_590010!A$2</f>
        <v>590010</v>
      </c>
      <c r="B344" s="102">
        <v>1246</v>
      </c>
      <c r="C344" s="7" t="str">
        <f t="shared" si="35"/>
        <v>PremiumSS5R5only</v>
      </c>
      <c r="D344" s="96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IFERROR(VLOOKUP(B344,input_590010!L:R,7,FALSE),VLOOKUP(tables_590010!C344,input_590010!A:H,8,FALSE))</f>
        <v>97000</v>
      </c>
      <c r="P344" s="46">
        <f t="shared" ca="1" si="37"/>
        <v>6.6666666666694116E-4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input_590010!A$2</f>
        <v>590010</v>
      </c>
      <c r="B345" s="102">
        <v>1244</v>
      </c>
      <c r="C345" s="7" t="str">
        <f t="shared" si="35"/>
        <v>PremiumSS5R5only</v>
      </c>
      <c r="D345" s="96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IFERROR(VLOOKUP(B345,input_590010!L:R,7,FALSE),VLOOKUP(tables_590010!C345,input_590010!A:H,8,FALSE))</f>
        <v>97000</v>
      </c>
      <c r="P345" s="46">
        <f t="shared" ca="1" si="37"/>
        <v>6.6666666666694116E-4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input_590010!A$2</f>
        <v>590010</v>
      </c>
      <c r="B346" s="102">
        <v>1260</v>
      </c>
      <c r="C346" s="7" t="str">
        <f t="shared" ref="C346:C349" si="38">D346&amp;J346&amp;E346&amp;F346&amp;G346</f>
        <v>PremiumSS5R5only</v>
      </c>
      <c r="D346" s="96" t="str">
        <f t="shared" ref="D346:D349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IFERROR(VLOOKUP(B346,input_590010!L:R,7,FALSE),VLOOKUP(tables_590010!C346,input_590010!A:H,8,FALSE))</f>
        <v>97000</v>
      </c>
      <c r="P346" s="46">
        <f t="shared" ref="P346:P349" ca="1" si="40">O346/SUM(O:O)</f>
        <v>6.6666666666694116E-4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input_590010!A$2</f>
        <v>590010</v>
      </c>
      <c r="B347" s="102">
        <v>1262</v>
      </c>
      <c r="C347" s="7" t="str">
        <f t="shared" si="38"/>
        <v>PremiumSS5R5only</v>
      </c>
      <c r="D347" s="96" t="str">
        <f t="shared" si="3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IFERROR(VLOOKUP(B347,input_590010!L:R,7,FALSE),VLOOKUP(tables_590010!C347,input_590010!A:H,8,FALSE))</f>
        <v>97000</v>
      </c>
      <c r="P347" s="46">
        <f t="shared" ca="1" si="40"/>
        <v>6.6666666666694116E-4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input_590010!A$2</f>
        <v>590010</v>
      </c>
      <c r="B348" s="102">
        <v>1264</v>
      </c>
      <c r="C348" s="7" t="str">
        <f t="shared" si="38"/>
        <v>PremiumSS5R5only</v>
      </c>
      <c r="D348" s="96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IFERROR(VLOOKUP(B348,input_590010!L:R,7,FALSE),VLOOKUP(tables_590010!C348,input_590010!A:H,8,FALSE))</f>
        <v>97000</v>
      </c>
      <c r="P348" s="46">
        <f t="shared" ca="1" si="40"/>
        <v>6.6666666666694116E-4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input_590010!A$2</f>
        <v>590010</v>
      </c>
      <c r="B349" s="102">
        <v>1266</v>
      </c>
      <c r="C349" s="7" t="str">
        <f t="shared" si="38"/>
        <v>Premium4R3less</v>
      </c>
      <c r="D349" s="96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IFERROR(VLOOKUP(B349,input_590010!L:R,7,FALSE),VLOOKUP(tables_590010!C349,input_590010!A:H,8,FALSE))</f>
        <v>1333392.85714</v>
      </c>
      <c r="P349" s="46">
        <f t="shared" ca="1" si="40"/>
        <v>9.1642120765673459E-3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input_590010!A$2</f>
        <v>590010</v>
      </c>
      <c r="B350" s="102">
        <v>1267</v>
      </c>
      <c r="C350" s="7" t="str">
        <f t="shared" ref="C350" si="41">D350&amp;J350&amp;E350&amp;F350&amp;G350</f>
        <v>Premium5R3less</v>
      </c>
      <c r="D350" s="96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IFERROR(VLOOKUP(B350,input_590010!L:R,7,FALSE),VLOOKUP(tables_590010!C350,input_590010!A:H,8,FALSE))</f>
        <v>71250</v>
      </c>
      <c r="P350" s="46">
        <f t="shared" ref="P350" ca="1" si="43">O350/SUM(O:O)</f>
        <v>4.8969072164968617E-4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input_590010!A$2</f>
        <v>590010</v>
      </c>
      <c r="B351" s="102">
        <v>1332</v>
      </c>
      <c r="C351" s="7" t="str">
        <f t="shared" ref="C351:C355" si="44">D351&amp;J351&amp;E351&amp;F351&amp;G351</f>
        <v>PremiumSS5R5only</v>
      </c>
      <c r="D351" s="96" t="str">
        <f t="shared" ref="D351:D355" si="45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IFERROR(VLOOKUP(B351,input_590010!L:R,7,FALSE),VLOOKUP(tables_590010!C351,input_590010!A:H,8,FALSE))</f>
        <v>97000</v>
      </c>
      <c r="P351" s="46">
        <f t="shared" ref="P351:P355" ca="1" si="46">O351/SUM(O:O)</f>
        <v>6.6666666666694116E-4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input_590010!A$2</f>
        <v>590010</v>
      </c>
      <c r="B352" s="102">
        <v>1336</v>
      </c>
      <c r="C352" s="7" t="str">
        <f t="shared" si="44"/>
        <v>PremiumSS5R5only</v>
      </c>
      <c r="D352" s="96" t="str">
        <f t="shared" si="45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IFERROR(VLOOKUP(B352,input_590010!L:R,7,FALSE),VLOOKUP(tables_590010!C352,input_590010!A:H,8,FALSE))</f>
        <v>97000</v>
      </c>
      <c r="P352" s="46">
        <f t="shared" ca="1" si="46"/>
        <v>6.6666666666694116E-4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input_590010!A$2</f>
        <v>590010</v>
      </c>
      <c r="B353" s="102">
        <v>1338</v>
      </c>
      <c r="C353" s="7" t="str">
        <f t="shared" si="44"/>
        <v>PremiumSS5R5only</v>
      </c>
      <c r="D353" s="96" t="str">
        <f t="shared" si="45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IFERROR(VLOOKUP(B353,input_590010!L:R,7,FALSE),VLOOKUP(tables_590010!C353,input_590010!A:H,8,FALSE))</f>
        <v>97000</v>
      </c>
      <c r="P353" s="46">
        <f t="shared" ca="1" si="46"/>
        <v>6.6666666666694116E-4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input_590010!A$2</f>
        <v>590010</v>
      </c>
      <c r="B354" s="102">
        <v>1334</v>
      </c>
      <c r="C354" s="7" t="str">
        <f t="shared" si="44"/>
        <v>Premium4R3less</v>
      </c>
      <c r="D354" s="96" t="str">
        <f t="shared" si="45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IFERROR(VLOOKUP(B354,input_590010!L:R,7,FALSE),VLOOKUP(tables_590010!C354,input_590010!A:H,8,FALSE))</f>
        <v>1333392.85714</v>
      </c>
      <c r="P354" s="46">
        <f t="shared" ca="1" si="46"/>
        <v>9.1642120765673459E-3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input_590010!A$2</f>
        <v>590010</v>
      </c>
      <c r="B355" s="102">
        <v>1335</v>
      </c>
      <c r="C355" s="7" t="str">
        <f t="shared" si="44"/>
        <v>Premium5R3less</v>
      </c>
      <c r="D355" s="96" t="str">
        <f t="shared" si="45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IFERROR(VLOOKUP(B355,input_590010!L:R,7,FALSE),VLOOKUP(tables_590010!C355,input_590010!A:H,8,FALSE))</f>
        <v>71250</v>
      </c>
      <c r="P355" s="46">
        <f t="shared" ca="1" si="46"/>
        <v>4.8969072164968617E-4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input_590010!A$2</f>
        <v>590010</v>
      </c>
      <c r="B356" s="5">
        <v>1381</v>
      </c>
      <c r="C356" s="7" t="str">
        <f t="shared" ref="C356" si="47">D356&amp;J356&amp;E356&amp;F356&amp;G356</f>
        <v>Premium4R3less</v>
      </c>
      <c r="D356" s="96" t="str">
        <f t="shared" ref="D356" si="48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IFERROR(VLOOKUP(B356,input_590010!L:R,7,FALSE),VLOOKUP(tables_590010!C356,input_590010!A:H,8,FALSE))</f>
        <v>1333392.85714</v>
      </c>
      <c r="P356" s="46">
        <f t="shared" ref="P356" ca="1" si="49">O356/SUM(O:O)</f>
        <v>9.1642120765673459E-3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input_590010!A$2</f>
        <v>590010</v>
      </c>
      <c r="B357" s="5">
        <v>1382</v>
      </c>
      <c r="C357" s="7" t="str">
        <f t="shared" ref="C357:C360" si="50">D357&amp;J357&amp;E357&amp;F357&amp;G357</f>
        <v>Premium5R3less</v>
      </c>
      <c r="D357" s="96" t="str">
        <f t="shared" ref="D357:D360" si="51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IFERROR(VLOOKUP(B357,input_590010!L:R,7,FALSE),VLOOKUP(tables_590010!C357,input_590010!A:H,8,FALSE))</f>
        <v>71250</v>
      </c>
      <c r="P357" s="46">
        <f t="shared" ref="P357:P360" ca="1" si="52">O357/SUM(O:O)</f>
        <v>4.8969072164968617E-4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input_590010!A$2</f>
        <v>590010</v>
      </c>
      <c r="B358" s="5">
        <v>1383</v>
      </c>
      <c r="C358" s="7" t="str">
        <f t="shared" si="50"/>
        <v>PremiumSS5R5only</v>
      </c>
      <c r="D358" s="96" t="str">
        <f t="shared" si="51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IFERROR(VLOOKUP(B358,input_590010!L:R,7,FALSE),VLOOKUP(tables_590010!C358,input_590010!A:H,8,FALSE))</f>
        <v>97000</v>
      </c>
      <c r="P358" s="46">
        <f t="shared" ca="1" si="52"/>
        <v>6.6666666666694116E-4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input_590010!A$2</f>
        <v>590010</v>
      </c>
      <c r="B359" s="5">
        <v>1385</v>
      </c>
      <c r="C359" s="7" t="str">
        <f t="shared" si="50"/>
        <v>PremiumSS5R5only</v>
      </c>
      <c r="D359" s="96" t="str">
        <f t="shared" si="51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IFERROR(VLOOKUP(B359,input_590010!L:R,7,FALSE),VLOOKUP(tables_590010!C359,input_590010!A:H,8,FALSE))</f>
        <v>97000</v>
      </c>
      <c r="P359" s="46">
        <f t="shared" ca="1" si="52"/>
        <v>6.6666666666694116E-4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input_590010!A$2</f>
        <v>590010</v>
      </c>
      <c r="B360" s="5">
        <v>1387</v>
      </c>
      <c r="C360" s="7" t="str">
        <f t="shared" si="50"/>
        <v>PremiumSS5R5only</v>
      </c>
      <c r="D360" s="96" t="str">
        <f t="shared" si="51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IFERROR(VLOOKUP(B360,input_590010!L:R,7,FALSE),VLOOKUP(tables_590010!C360,input_590010!A:H,8,FALSE))</f>
        <v>97000</v>
      </c>
      <c r="P360" s="46">
        <f t="shared" ca="1" si="52"/>
        <v>6.6666666666694116E-4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</sheetData>
  <autoFilter ref="A1:V355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opLeftCell="A17" workbookViewId="0">
      <selection activeCell="B20" sqref="B2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VLOOKUP(L3,tables_590100!B:C,2,FALSE)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VLOOKUP(L4,tables_590100!B:C,2,FALSE)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6.6666666666666675E-4</v>
      </c>
      <c r="F5">
        <f>(COUNTIF(tables_590100!C:C,input_590100!A28)+COUNTIF(tables_590100!C:C,input_590100!A29))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VLOOKUP(L5,tables_590100!B:C,2,FALSE)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9.7938144329896906E-3</v>
      </c>
      <c r="F6">
        <f>(COUNTIF(tables_590100!C:C,input_590100!A25)+COUNTIF(tables_590100!C:C,input_590100!A18)+COUNTIF(tables_590100!C:C,input_590100!A20)+COUNTIF(tables_590100!C:C,input_590100!A22))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COUNTIF(tables_590100!C:C,input_590100!A17)-COUNTIF(Q:Q,A17)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0.21878728522336766</v>
      </c>
      <c r="C18" s="84">
        <f t="shared" si="2"/>
        <v>0</v>
      </c>
      <c r="D18" s="74">
        <f t="shared" si="3"/>
        <v>0.21878728522336766</v>
      </c>
      <c r="E18">
        <f>COUNTIF(tables_590100!C:C,input_590100!A18)-COUNTIF(Q:Q,A18)</f>
        <v>20</v>
      </c>
      <c r="F18" s="43">
        <f>IFERROR(B18/E18,0)</f>
        <v>1.0939364261168382E-2</v>
      </c>
      <c r="G18">
        <f t="shared" si="4"/>
        <v>31833549.999999993</v>
      </c>
      <c r="H18">
        <f t="shared" si="5"/>
        <v>1591677.5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COUNTIF(tables_590100!C:C,input_590100!A19)-COUNTIF(Q:Q,A19)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0.48381443298969068</v>
      </c>
      <c r="C20" s="84">
        <f t="shared" si="2"/>
        <v>0</v>
      </c>
      <c r="D20" s="74">
        <f t="shared" si="3"/>
        <v>0.48381443298969068</v>
      </c>
      <c r="E20">
        <f>COUNTIF(tables_590100!C:C,input_590100!A20)-COUNTIF(Q:Q,A20)</f>
        <v>52</v>
      </c>
      <c r="F20" s="43">
        <f t="shared" si="8"/>
        <v>9.3041237113402047E-3</v>
      </c>
      <c r="G20">
        <f t="shared" si="4"/>
        <v>70395000</v>
      </c>
      <c r="H20">
        <f t="shared" si="5"/>
        <v>1353750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2.5529209621993135E-3</v>
      </c>
      <c r="C21" s="84">
        <f t="shared" si="2"/>
        <v>0</v>
      </c>
      <c r="D21" s="74">
        <f t="shared" si="3"/>
        <v>2.5529209621993135E-3</v>
      </c>
      <c r="E21">
        <f>COUNTIF(tables_590100!C:C,input_590100!A21)-COUNTIF(Q:Q,A21)</f>
        <v>52</v>
      </c>
      <c r="F21" s="43">
        <f t="shared" si="8"/>
        <v>4.9094633888448338E-5</v>
      </c>
      <c r="G21">
        <f t="shared" si="4"/>
        <v>371450.00000000012</v>
      </c>
      <c r="H21">
        <f t="shared" si="5"/>
        <v>7143.2692299999999</v>
      </c>
      <c r="I21">
        <f t="shared" si="6"/>
        <v>0.26922999999987951</v>
      </c>
      <c r="J21">
        <f t="shared" si="7"/>
        <v>3.7142963265625952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0.19244845360824742</v>
      </c>
      <c r="C22" s="84">
        <f t="shared" si="2"/>
        <v>0</v>
      </c>
      <c r="D22" s="74">
        <f t="shared" si="3"/>
        <v>0.19244845360824742</v>
      </c>
      <c r="E22">
        <f>COUNTIF(tables_590100!C:C,input_590100!A22)-COUNTIF(Q:Q,A22)</f>
        <v>21</v>
      </c>
      <c r="F22" s="43">
        <f t="shared" si="8"/>
        <v>9.16421207658321E-3</v>
      </c>
      <c r="G22">
        <f t="shared" si="4"/>
        <v>28001250</v>
      </c>
      <c r="H22">
        <f t="shared" si="5"/>
        <v>1333392.85714</v>
      </c>
      <c r="I22">
        <f t="shared" si="6"/>
        <v>0.8571399999782443</v>
      </c>
      <c r="J22">
        <f t="shared" si="7"/>
        <v>1.1666705555981307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1.3221649484536083E-2</v>
      </c>
      <c r="C23" s="84">
        <f t="shared" si="2"/>
        <v>0</v>
      </c>
      <c r="D23" s="74">
        <f t="shared" si="3"/>
        <v>1.3221649484536083E-2</v>
      </c>
      <c r="E23">
        <f>COUNTIF(tables_590100!C:C,input_590100!A23)-COUNTIF(Q:Q,A23)</f>
        <v>27</v>
      </c>
      <c r="F23" s="43">
        <f t="shared" si="8"/>
        <v>4.8969072164948462E-4</v>
      </c>
      <c r="G23">
        <f t="shared" si="4"/>
        <v>1923750.0000000002</v>
      </c>
      <c r="H23">
        <f t="shared" si="5"/>
        <v>71250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COUNTIF(tables_590100!C:C,input_590100!A24)-COUNTIF(Q:Q,A24)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3.7216494845360826E-2</v>
      </c>
      <c r="C25" s="84">
        <f t="shared" si="2"/>
        <v>0</v>
      </c>
      <c r="D25" s="74">
        <f t="shared" si="3"/>
        <v>3.7216494845360826E-2</v>
      </c>
      <c r="E25">
        <f>COUNTIF(tables_590100!C:C,input_590100!A25)-COUNTIF(Q:Q,A25)</f>
        <v>4</v>
      </c>
      <c r="F25" s="43">
        <f t="shared" si="8"/>
        <v>9.3041237113402064E-3</v>
      </c>
      <c r="G25">
        <f t="shared" si="4"/>
        <v>5415000</v>
      </c>
      <c r="H25">
        <f t="shared" si="5"/>
        <v>1353750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1.958762886597938E-3</v>
      </c>
      <c r="C26" s="84">
        <f t="shared" si="2"/>
        <v>0</v>
      </c>
      <c r="D26" s="74">
        <f t="shared" si="3"/>
        <v>1.958762886597938E-3</v>
      </c>
      <c r="E26">
        <f>COUNTIF(tables_590100!C:C,input_590100!A26)-COUNTIF(Q:Q,A26)</f>
        <v>4</v>
      </c>
      <c r="F26" s="43">
        <f t="shared" si="8"/>
        <v>4.8969072164948451E-4</v>
      </c>
      <c r="G26">
        <f t="shared" si="4"/>
        <v>285000</v>
      </c>
      <c r="H26">
        <f t="shared" si="5"/>
        <v>71250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1.7733333333333334E-2</v>
      </c>
      <c r="C27" s="84">
        <f t="shared" si="2"/>
        <v>0</v>
      </c>
      <c r="D27" s="74">
        <f t="shared" si="3"/>
        <v>1.7733333333333334E-2</v>
      </c>
      <c r="E27">
        <f>COUNTIF(tables_590100!C:C,input_590100!A27)-COUNTIF(Q:Q,A27)</f>
        <v>28</v>
      </c>
      <c r="F27" s="43">
        <f>IFERROR(B27/E27,0)</f>
        <v>6.333333333333333E-4</v>
      </c>
      <c r="G27">
        <f t="shared" si="4"/>
        <v>2580200</v>
      </c>
      <c r="H27">
        <f t="shared" si="5"/>
        <v>92150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9.3333333333333343E-4</v>
      </c>
      <c r="C28" s="84">
        <f t="shared" si="2"/>
        <v>0</v>
      </c>
      <c r="D28" s="74">
        <f t="shared" si="3"/>
        <v>9.3333333333333343E-4</v>
      </c>
      <c r="E28">
        <f>COUNTIF(tables_590100!C:C,input_590100!A28)-COUNTIF(Q:Q,A28)</f>
        <v>28</v>
      </c>
      <c r="F28" s="43">
        <f t="shared" si="8"/>
        <v>3.3333333333333335E-5</v>
      </c>
      <c r="G28">
        <f t="shared" si="4"/>
        <v>135800</v>
      </c>
      <c r="H28">
        <f t="shared" si="5"/>
        <v>4850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3.1333333333333338E-2</v>
      </c>
      <c r="C29" s="84">
        <f t="shared" si="2"/>
        <v>0</v>
      </c>
      <c r="D29" s="74">
        <f t="shared" si="3"/>
        <v>3.1333333333333338E-2</v>
      </c>
      <c r="E29">
        <f>COUNTIF(tables_590100!C:C,input_590100!A29)-COUNTIF(Q:Q,A29)</f>
        <v>47</v>
      </c>
      <c r="F29" s="43">
        <f t="shared" si="8"/>
        <v>6.6666666666666675E-4</v>
      </c>
      <c r="G29">
        <f t="shared" si="4"/>
        <v>4559000.0000000009</v>
      </c>
      <c r="H29">
        <f t="shared" si="5"/>
        <v>97000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COUNTIF(tables_590100!C:C,input_590100!A30)-COUNTIF(Q:Q,A30)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COUNTIF(tables_590100!C:C,input_590100!A31)-COUNTIF(Q:Q,A31)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SUMIF(tables_590100!C:C,input_590100!A40,tables_590100!O:O)</f>
        <v>0</v>
      </c>
      <c r="C40" s="54">
        <f t="shared" ref="C40:C46" ca="1" si="9">B40/B$47</f>
        <v>0</v>
      </c>
      <c r="E40">
        <v>3</v>
      </c>
      <c r="F40">
        <f ca="1">SUMIF(tables_590100!J:J,input_590100!E40,tables_590100!O:O)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SUMIF(tables_590100!C:C,input_590100!A41,tables_590100!O:O)</f>
        <v>70395000</v>
      </c>
      <c r="C41" s="54">
        <f t="shared" ca="1" si="9"/>
        <v>0.95798384512272405</v>
      </c>
      <c r="E41">
        <v>4</v>
      </c>
      <c r="F41">
        <f ca="1">SUMIF(tables_590100!J:J,input_590100!E41,tables_590100!O:O)</f>
        <v>138224999.9999401</v>
      </c>
      <c r="G41">
        <f ca="1">F41/A36</f>
        <v>0.94999999999958828</v>
      </c>
    </row>
    <row r="42" spans="1:7" x14ac:dyDescent="0.15">
      <c r="A42" s="33" t="s">
        <v>106</v>
      </c>
      <c r="B42">
        <f ca="1">SUMIF(tables_590100!C:C,input_590100!A42,tables_590100!O:O)</f>
        <v>2580200</v>
      </c>
      <c r="C42" s="54">
        <f t="shared" ca="1" si="9"/>
        <v>3.5113146064147352E-2</v>
      </c>
      <c r="E42">
        <v>5</v>
      </c>
      <c r="F42">
        <f ca="1">SUMIF(tables_590100!J:J,input_590100!E42,tables_590100!O:O)</f>
        <v>7274999.9999599988</v>
      </c>
      <c r="G42">
        <f ca="1">F42/A36</f>
        <v>4.9999999999725077E-2</v>
      </c>
    </row>
    <row r="43" spans="1:7" x14ac:dyDescent="0.15">
      <c r="A43" s="33" t="s">
        <v>109</v>
      </c>
      <c r="B43">
        <f>SUMIF(tables_590100!C:C,input_590100!A43,tables_590100!O:O)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SUMIF(tables_590100!C:C,input_590100!A44,tables_590100!O:O)</f>
        <v>371449.99995999975</v>
      </c>
      <c r="C44" s="54">
        <f t="shared" ca="1" si="9"/>
        <v>5.0549484939628707E-3</v>
      </c>
      <c r="E44" t="s">
        <v>54</v>
      </c>
      <c r="F44" s="55"/>
    </row>
    <row r="45" spans="1:7" x14ac:dyDescent="0.15">
      <c r="A45" s="33" t="s">
        <v>107</v>
      </c>
      <c r="B45">
        <f ca="1">SUMIF(tables_590100!C:C,input_590100!A45,tables_590100!O:O)</f>
        <v>135800</v>
      </c>
      <c r="C45" s="54">
        <f t="shared" ca="1" si="9"/>
        <v>1.84806031916565E-3</v>
      </c>
      <c r="E45" t="s">
        <v>204</v>
      </c>
      <c r="F45" s="55">
        <f ca="1">SUMIF(tables_590100!I:I,input_590100!E45,tables_590100!P:P)</f>
        <v>0.22172542955341715</v>
      </c>
    </row>
    <row r="46" spans="1:7" x14ac:dyDescent="0.15">
      <c r="A46" s="33" t="s">
        <v>108</v>
      </c>
      <c r="B46">
        <f>SUMIF(tables_590100!C:C,input_590100!A46,tables_590100!O:O)</f>
        <v>0</v>
      </c>
      <c r="C46" s="54">
        <f t="shared" ca="1" si="9"/>
        <v>0</v>
      </c>
      <c r="E46" t="s">
        <v>205</v>
      </c>
      <c r="F46" s="55">
        <f ca="1">SUMIF(tables_590100!I:I,input_590100!E46,tables_590100!P:P)</f>
        <v>0.18838615516789597</v>
      </c>
    </row>
    <row r="47" spans="1:7" x14ac:dyDescent="0.15">
      <c r="A47" s="39" t="s">
        <v>59</v>
      </c>
      <c r="B47">
        <f ca="1">SUM(B40:B46)</f>
        <v>73482449.999960005</v>
      </c>
      <c r="C47" s="55">
        <f ca="1">SUM(C40:C46)</f>
        <v>0.99999999999999989</v>
      </c>
      <c r="E47" t="s">
        <v>206</v>
      </c>
      <c r="F47" s="55">
        <f ca="1">SUMIF(tables_590100!I:I,input_590100!E47,tables_590100!P:P)</f>
        <v>0.5398884152786535</v>
      </c>
    </row>
    <row r="48" spans="1:7" x14ac:dyDescent="0.15">
      <c r="E48" t="s">
        <v>207</v>
      </c>
      <c r="F48" s="55">
        <f ca="1">SUMIF(tables_590100!I:I,input_590100!E48,tables_590100!P:P)</f>
        <v>4.3333333333363158E-2</v>
      </c>
    </row>
    <row r="49" spans="5:6" x14ac:dyDescent="0.15">
      <c r="E49" t="s">
        <v>252</v>
      </c>
      <c r="F49" s="55">
        <f ca="1">SUMIF(tables_590100!I:I,input_590100!E49,tables_590100!P:P)</f>
        <v>6.6666666666712546E-3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39" activePane="bottomLeft" state="frozen"/>
      <selection activeCell="D34" sqref="D34"/>
      <selection pane="bottomLeft" activeCell="B356" sqref="B356:B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input_590100!A$2</f>
        <v>590100</v>
      </c>
      <c r="B2" s="100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IFERROR(VLOOKUP(B2,input_590100!L:R,7,FALSE),VLOOKUP(tables_590100!C2,input_590100!A:H,8,FALSE))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input_590100!A$2</f>
        <v>590100</v>
      </c>
      <c r="B3" s="100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IFERROR(VLOOKUP(B3,input_590100!L:R,7,FALSE),VLOOKUP(tables_590100!C3,input_590100!A:H,8,FALSE))</f>
        <v>1591677.5</v>
      </c>
      <c r="P3" s="46">
        <f t="shared" ca="1" si="1"/>
        <v>1.0939364261175911E-2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input_590100!A$2</f>
        <v>590100</v>
      </c>
      <c r="B4" s="100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IFERROR(VLOOKUP(B4,input_590100!L:R,7,FALSE),VLOOKUP(tables_590100!C4,input_590100!A:H,8,FALSE))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input_590100!A$2</f>
        <v>590100</v>
      </c>
      <c r="B5" s="100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IFERROR(VLOOKUP(B5,input_590100!L:R,7,FALSE),VLOOKUP(tables_590100!C5,input_590100!A:H,8,FALSE))</f>
        <v>1591677.5</v>
      </c>
      <c r="P5" s="46">
        <f t="shared" ca="1" si="1"/>
        <v>1.0939364261175911E-2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input_590100!A$2</f>
        <v>590100</v>
      </c>
      <c r="B6" s="100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IFERROR(VLOOKUP(B6,input_590100!L:R,7,FALSE),VLOOKUP(tables_590100!C6,input_590100!A:H,8,FALSE))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input_590100!A$2</f>
        <v>590100</v>
      </c>
      <c r="B7" s="100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IFERROR(VLOOKUP(B7,input_590100!L:R,7,FALSE),VLOOKUP(tables_590100!C7,input_590100!A:H,8,FALSE))</f>
        <v>1591677.5</v>
      </c>
      <c r="P7" s="46">
        <f t="shared" ca="1" si="1"/>
        <v>1.0939364261175911E-2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input_590100!A$2</f>
        <v>590100</v>
      </c>
      <c r="B8" s="100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IFERROR(VLOOKUP(B8,input_590100!L:R,7,FALSE),VLOOKUP(tables_590100!C8,input_590100!A:H,8,FALSE))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input_590100!A$2</f>
        <v>590100</v>
      </c>
      <c r="B9" s="100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IFERROR(VLOOKUP(B9,input_590100!L:R,7,FALSE),VLOOKUP(tables_590100!C9,input_590100!A:H,8,FALSE))</f>
        <v>1591677.5</v>
      </c>
      <c r="P9" s="46">
        <f t="shared" ca="1" si="1"/>
        <v>1.0939364261175911E-2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input_590100!A$2</f>
        <v>590100</v>
      </c>
      <c r="B10" s="100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IFERROR(VLOOKUP(B10,input_590100!L:R,7,FALSE),VLOOKUP(tables_590100!C10,input_590100!A:H,8,FALSE))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input_590100!A$2</f>
        <v>590100</v>
      </c>
      <c r="B11" s="100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IFERROR(VLOOKUP(B11,input_590100!L:R,7,FALSE),VLOOKUP(tables_590100!C11,input_590100!A:H,8,FALSE))</f>
        <v>1591677.5</v>
      </c>
      <c r="P11" s="46">
        <f t="shared" ca="1" si="1"/>
        <v>1.0939364261175911E-2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input_590100!A$2</f>
        <v>590100</v>
      </c>
      <c r="B12" s="101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IFERROR(VLOOKUP(B12,input_590100!L:R,7,FALSE),VLOOKUP(tables_590100!C12,input_590100!A:H,8,FALSE))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input_590100!A$2</f>
        <v>590100</v>
      </c>
      <c r="B13" s="101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IFERROR(VLOOKUP(B13,input_590100!L:R,7,FALSE),VLOOKUP(tables_590100!C13,input_590100!A:H,8,FALSE))</f>
        <v>1591677.5</v>
      </c>
      <c r="P13" s="46">
        <f t="shared" ca="1" si="1"/>
        <v>1.0939364261175911E-2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input_590100!A$2</f>
        <v>590100</v>
      </c>
      <c r="B14" s="100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IFERROR(VLOOKUP(B14,input_590100!L:R,7,FALSE),VLOOKUP(tables_590100!C14,input_590100!A:H,8,FALSE))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input_590100!A$2</f>
        <v>590100</v>
      </c>
      <c r="B15" s="10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IFERROR(VLOOKUP(B15,input_590100!L:R,7,FALSE),VLOOKUP(tables_590100!C15,input_590100!A:H,8,FALSE))</f>
        <v>1591677.5</v>
      </c>
      <c r="P15" s="46">
        <f t="shared" ca="1" si="1"/>
        <v>1.0939364261175911E-2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input_590100!A$2</f>
        <v>590100</v>
      </c>
      <c r="B16" s="10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IFERROR(VLOOKUP(B16,input_590100!L:R,7,FALSE),VLOOKUP(tables_590100!C16,input_590100!A:H,8,FALSE))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input_590100!A$2</f>
        <v>590100</v>
      </c>
      <c r="B17" s="100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IFERROR(VLOOKUP(B17,input_590100!L:R,7,FALSE),VLOOKUP(tables_590100!C17,input_590100!A:H,8,FALSE))</f>
        <v>1591677.5</v>
      </c>
      <c r="P17" s="46">
        <f t="shared" ca="1" si="1"/>
        <v>1.0939364261175911E-2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input_590100!A$2</f>
        <v>590100</v>
      </c>
      <c r="B18" s="100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IFERROR(VLOOKUP(B18,input_590100!L:R,7,FALSE),VLOOKUP(tables_590100!C18,input_590100!A:H,8,FALSE))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input_590100!A$2</f>
        <v>590100</v>
      </c>
      <c r="B19" s="10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IFERROR(VLOOKUP(B19,input_590100!L:R,7,FALSE),VLOOKUP(tables_590100!C19,input_590100!A:H,8,FALSE))</f>
        <v>1591677.5</v>
      </c>
      <c r="P19" s="46">
        <f t="shared" ca="1" si="1"/>
        <v>1.0939364261175911E-2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input_590100!A$2</f>
        <v>590100</v>
      </c>
      <c r="B20" s="10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IFERROR(VLOOKUP(B20,input_590100!L:R,7,FALSE),VLOOKUP(tables_590100!C20,input_590100!A:H,8,FALSE))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input_590100!A$2</f>
        <v>590100</v>
      </c>
      <c r="B21" s="100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IFERROR(VLOOKUP(B21,input_590100!L:R,7,FALSE),VLOOKUP(tables_590100!C21,input_590100!A:H,8,FALSE))</f>
        <v>1591677.5</v>
      </c>
      <c r="P21" s="46">
        <f t="shared" ca="1" si="1"/>
        <v>1.0939364261175911E-2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input_590100!A$2</f>
        <v>590100</v>
      </c>
      <c r="B22" s="100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IFERROR(VLOOKUP(B22,input_590100!L:R,7,FALSE),VLOOKUP(tables_590100!C22,input_590100!A:H,8,FALSE))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input_590100!A$2</f>
        <v>590100</v>
      </c>
      <c r="B23" s="100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IFERROR(VLOOKUP(B23,input_590100!L:R,7,FALSE),VLOOKUP(tables_590100!C23,input_590100!A:H,8,FALSE))</f>
        <v>1591677.5</v>
      </c>
      <c r="P23" s="46">
        <f t="shared" ca="1" si="1"/>
        <v>1.0939364261175911E-2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input_590100!A$2</f>
        <v>590100</v>
      </c>
      <c r="B24" s="100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IFERROR(VLOOKUP(B24,input_590100!L:R,7,FALSE),VLOOKUP(tables_590100!C24,input_590100!A:H,8,FALSE))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input_590100!A$2</f>
        <v>590100</v>
      </c>
      <c r="B25" s="100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IFERROR(VLOOKUP(B25,input_590100!L:R,7,FALSE),VLOOKUP(tables_590100!C25,input_590100!A:H,8,FALSE))</f>
        <v>1591677.5</v>
      </c>
      <c r="P25" s="46">
        <f t="shared" ca="1" si="1"/>
        <v>1.0939364261175911E-2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input_590100!A$2</f>
        <v>590100</v>
      </c>
      <c r="B26" s="100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IFERROR(VLOOKUP(B26,input_590100!L:R,7,FALSE),VLOOKUP(tables_590100!C26,input_590100!A:H,8,FALSE))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input_590100!A$2</f>
        <v>590100</v>
      </c>
      <c r="B27" s="100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IFERROR(VLOOKUP(B27,input_590100!L:R,7,FALSE),VLOOKUP(tables_590100!C27,input_590100!A:H,8,FALSE))</f>
        <v>1591677.5</v>
      </c>
      <c r="P27" s="46">
        <f t="shared" ca="1" si="1"/>
        <v>1.0939364261175911E-2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input_590100!A$2</f>
        <v>590100</v>
      </c>
      <c r="B28" s="100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IFERROR(VLOOKUP(B28,input_590100!L:R,7,FALSE),VLOOKUP(tables_590100!C28,input_590100!A:H,8,FALSE))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input_590100!A$2</f>
        <v>590100</v>
      </c>
      <c r="B29" s="100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IFERROR(VLOOKUP(B29,input_590100!L:R,7,FALSE),VLOOKUP(tables_590100!C29,input_590100!A:H,8,FALSE))</f>
        <v>1591677.5</v>
      </c>
      <c r="P29" s="46">
        <f t="shared" ca="1" si="1"/>
        <v>1.0939364261175911E-2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input_590100!A$2</f>
        <v>590100</v>
      </c>
      <c r="B30" s="100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IFERROR(VLOOKUP(B30,input_590100!L:R,7,FALSE),VLOOKUP(tables_590100!C30,input_590100!A:H,8,FALSE))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input_590100!A$2</f>
        <v>590100</v>
      </c>
      <c r="B31" s="100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IFERROR(VLOOKUP(B31,input_590100!L:R,7,FALSE),VLOOKUP(tables_590100!C31,input_590100!A:H,8,FALSE))</f>
        <v>1591677.5</v>
      </c>
      <c r="P31" s="46">
        <f t="shared" ca="1" si="1"/>
        <v>1.0939364261175911E-2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input_590100!A$2</f>
        <v>590100</v>
      </c>
      <c r="B32" s="100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IFERROR(VLOOKUP(B32,input_590100!L:R,7,FALSE),VLOOKUP(tables_590100!C32,input_590100!A:H,8,FALSE))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input_590100!A$2</f>
        <v>590100</v>
      </c>
      <c r="B33" s="100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IFERROR(VLOOKUP(B33,input_590100!L:R,7,FALSE),VLOOKUP(tables_590100!C33,input_590100!A:H,8,FALSE))</f>
        <v>1591677.5</v>
      </c>
      <c r="P33" s="46">
        <f t="shared" ca="1" si="1"/>
        <v>1.0939364261175911E-2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input_590100!A$2</f>
        <v>590100</v>
      </c>
      <c r="B34" s="100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IFERROR(VLOOKUP(B34,input_590100!L:R,7,FALSE),VLOOKUP(tables_590100!C34,input_590100!A:H,8,FALSE))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input_590100!A$2</f>
        <v>590100</v>
      </c>
      <c r="B35" s="100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IFERROR(VLOOKUP(B35,input_590100!L:R,7,FALSE),VLOOKUP(tables_590100!C35,input_590100!A:H,8,FALSE))</f>
        <v>1591677.5</v>
      </c>
      <c r="P35" s="46">
        <f t="shared" ca="1" si="1"/>
        <v>1.0939364261175911E-2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input_590100!A$2</f>
        <v>590100</v>
      </c>
      <c r="B36" s="100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IFERROR(VLOOKUP(B36,input_590100!L:R,7,FALSE),VLOOKUP(tables_590100!C36,input_590100!A:H,8,FALSE))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input_590100!A$2</f>
        <v>590100</v>
      </c>
      <c r="B37" s="100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IFERROR(VLOOKUP(B37,input_590100!L:R,7,FALSE),VLOOKUP(tables_590100!C37,input_590100!A:H,8,FALSE))</f>
        <v>1591677.5</v>
      </c>
      <c r="P37" s="46">
        <f t="shared" ca="1" si="1"/>
        <v>1.0939364261175911E-2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input_590100!A$2</f>
        <v>590100</v>
      </c>
      <c r="B38" s="100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IFERROR(VLOOKUP(B38,input_590100!L:R,7,FALSE),VLOOKUP(tables_590100!C38,input_590100!A:H,8,FALSE))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input_590100!A$2</f>
        <v>590100</v>
      </c>
      <c r="B39" s="100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IFERROR(VLOOKUP(B39,input_590100!L:R,7,FALSE),VLOOKUP(tables_590100!C39,input_590100!A:H,8,FALSE))</f>
        <v>1591677.5</v>
      </c>
      <c r="P39" s="46">
        <f t="shared" ca="1" si="1"/>
        <v>1.0939364261175911E-2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input_590100!A$2</f>
        <v>590100</v>
      </c>
      <c r="B40" s="100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IFERROR(VLOOKUP(B40,input_590100!L:R,7,FALSE),VLOOKUP(tables_590100!C40,input_590100!A:H,8,FALSE))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input_590100!A$2</f>
        <v>590100</v>
      </c>
      <c r="B41" s="100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IFERROR(VLOOKUP(B41,input_590100!L:R,7,FALSE),VLOOKUP(tables_590100!C41,input_590100!A:H,8,FALSE))</f>
        <v>1591677.5</v>
      </c>
      <c r="P41" s="46">
        <f t="shared" ca="1" si="1"/>
        <v>1.0939364261175911E-2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input_590100!A$2</f>
        <v>590100</v>
      </c>
      <c r="B42" s="100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IFERROR(VLOOKUP(B42,input_590100!L:R,7,FALSE),VLOOKUP(tables_590100!C42,input_590100!A:H,8,FALSE))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input_590100!A$2</f>
        <v>590100</v>
      </c>
      <c r="B43" s="100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IFERROR(VLOOKUP(B43,input_590100!L:R,7,FALSE),VLOOKUP(tables_590100!C43,input_590100!A:H,8,FALSE))</f>
        <v>1353750</v>
      </c>
      <c r="P43" s="46">
        <f t="shared" ca="1" si="1"/>
        <v>9.3041237113466076E-3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input_590100!A$2</f>
        <v>590100</v>
      </c>
      <c r="B44" s="100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IFERROR(VLOOKUP(B44,input_590100!L:R,7,FALSE),VLOOKUP(tables_590100!C44,input_590100!A:H,8,FALSE))</f>
        <v>71250</v>
      </c>
      <c r="P44" s="46">
        <f t="shared" ca="1" si="1"/>
        <v>4.8969072164982148E-4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input_590100!A$2</f>
        <v>590100</v>
      </c>
      <c r="B45" s="100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IFERROR(VLOOKUP(B45,input_590100!L:R,7,FALSE),VLOOKUP(tables_590100!C45,input_590100!A:H,8,FALSE))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input_590100!A$2</f>
        <v>590100</v>
      </c>
      <c r="B46" s="100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IFERROR(VLOOKUP(B46,input_590100!L:R,7,FALSE),VLOOKUP(tables_590100!C46,input_590100!A:H,8,FALSE))</f>
        <v>1353750</v>
      </c>
      <c r="P46" s="46">
        <f t="shared" ca="1" si="1"/>
        <v>9.3041237113466076E-3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input_590100!A$2</f>
        <v>590100</v>
      </c>
      <c r="B47" s="100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IFERROR(VLOOKUP(B47,input_590100!L:R,7,FALSE),VLOOKUP(tables_590100!C47,input_590100!A:H,8,FALSE))</f>
        <v>71250</v>
      </c>
      <c r="P47" s="46">
        <f t="shared" ca="1" si="1"/>
        <v>4.8969072164982148E-4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input_590100!A$2</f>
        <v>590100</v>
      </c>
      <c r="B48" s="100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IFERROR(VLOOKUP(B48,input_590100!L:R,7,FALSE),VLOOKUP(tables_590100!C48,input_590100!A:H,8,FALSE))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input_590100!A$2</f>
        <v>590100</v>
      </c>
      <c r="B49" s="100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IFERROR(VLOOKUP(B49,input_590100!L:R,7,FALSE),VLOOKUP(tables_590100!C49,input_590100!A:H,8,FALSE))</f>
        <v>1353750</v>
      </c>
      <c r="P49" s="46">
        <f t="shared" ca="1" si="1"/>
        <v>9.3041237113466076E-3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input_590100!A$2</f>
        <v>590100</v>
      </c>
      <c r="B50" s="100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IFERROR(VLOOKUP(B50,input_590100!L:R,7,FALSE),VLOOKUP(tables_590100!C50,input_590100!A:H,8,FALSE))</f>
        <v>71250</v>
      </c>
      <c r="P50" s="46">
        <f t="shared" ca="1" si="1"/>
        <v>4.8969072164982148E-4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input_590100!A$2</f>
        <v>590100</v>
      </c>
      <c r="B51" s="100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IFERROR(VLOOKUP(B51,input_590100!L:R,7,FALSE),VLOOKUP(tables_590100!C51,input_590100!A:H,8,FALSE))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input_590100!A$2</f>
        <v>590100</v>
      </c>
      <c r="B52" s="100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IFERROR(VLOOKUP(B52,input_590100!L:R,7,FALSE),VLOOKUP(tables_590100!C52,input_590100!A:H,8,FALSE))</f>
        <v>1353750</v>
      </c>
      <c r="P52" s="46">
        <f t="shared" ca="1" si="1"/>
        <v>9.3041237113466076E-3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input_590100!A$2</f>
        <v>590100</v>
      </c>
      <c r="B53" s="100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IFERROR(VLOOKUP(B53,input_590100!L:R,7,FALSE),VLOOKUP(tables_590100!C53,input_590100!A:H,8,FALSE))</f>
        <v>7143.2692299999999</v>
      </c>
      <c r="P53" s="46">
        <f t="shared" ca="1" si="1"/>
        <v>4.909463388319529E-5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input_590100!A$2</f>
        <v>590100</v>
      </c>
      <c r="B54" s="100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IFERROR(VLOOKUP(B54,input_590100!L:R,7,FALSE),VLOOKUP(tables_590100!C54,input_590100!A:H,8,FALSE))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input_590100!A$2</f>
        <v>590100</v>
      </c>
      <c r="B55" s="100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IFERROR(VLOOKUP(B55,input_590100!L:R,7,FALSE),VLOOKUP(tables_590100!C55,input_590100!A:H,8,FALSE))</f>
        <v>1353750</v>
      </c>
      <c r="P55" s="46">
        <f t="shared" ca="1" si="1"/>
        <v>9.3041237113466076E-3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input_590100!A$2</f>
        <v>590100</v>
      </c>
      <c r="B56" s="100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IFERROR(VLOOKUP(B56,input_590100!L:R,7,FALSE),VLOOKUP(tables_590100!C56,input_590100!A:H,8,FALSE))</f>
        <v>7143.2692299999999</v>
      </c>
      <c r="P56" s="46">
        <f t="shared" ca="1" si="1"/>
        <v>4.909463388319529E-5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input_590100!A$2</f>
        <v>590100</v>
      </c>
      <c r="B57" s="100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IFERROR(VLOOKUP(B57,input_590100!L:R,7,FALSE),VLOOKUP(tables_590100!C57,input_590100!A:H,8,FALSE))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input_590100!A$2</f>
        <v>590100</v>
      </c>
      <c r="B58" s="100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IFERROR(VLOOKUP(B58,input_590100!L:R,7,FALSE),VLOOKUP(tables_590100!C58,input_590100!A:H,8,FALSE))</f>
        <v>1353750</v>
      </c>
      <c r="P58" s="46">
        <f t="shared" ca="1" si="1"/>
        <v>9.3041237113466076E-3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input_590100!A$2</f>
        <v>590100</v>
      </c>
      <c r="B59" s="100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IFERROR(VLOOKUP(B59,input_590100!L:R,7,FALSE),VLOOKUP(tables_590100!C59,input_590100!A:H,8,FALSE))</f>
        <v>7143.2692299999999</v>
      </c>
      <c r="P59" s="46">
        <f t="shared" ca="1" si="1"/>
        <v>4.909463388319529E-5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input_590100!A$2</f>
        <v>590100</v>
      </c>
      <c r="B60" s="100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IFERROR(VLOOKUP(B60,input_590100!L:R,7,FALSE),VLOOKUP(tables_590100!C60,input_590100!A:H,8,FALSE))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input_590100!A$2</f>
        <v>590100</v>
      </c>
      <c r="B61" s="100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IFERROR(VLOOKUP(B61,input_590100!L:R,7,FALSE),VLOOKUP(tables_590100!C61,input_590100!A:H,8,FALSE))</f>
        <v>1353750</v>
      </c>
      <c r="P61" s="46">
        <f t="shared" ca="1" si="1"/>
        <v>9.3041237113466076E-3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input_590100!A$2</f>
        <v>590100</v>
      </c>
      <c r="B62" s="101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IFERROR(VLOOKUP(B62,input_590100!L:R,7,FALSE),VLOOKUP(tables_590100!C62,input_590100!A:H,8,FALSE))</f>
        <v>7143.2692299999999</v>
      </c>
      <c r="P62" s="46">
        <f t="shared" ca="1" si="1"/>
        <v>4.909463388319529E-5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input_590100!A$2</f>
        <v>590100</v>
      </c>
      <c r="B63" s="101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IFERROR(VLOOKUP(B63,input_590100!L:R,7,FALSE),VLOOKUP(tables_590100!C63,input_590100!A:H,8,FALSE))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input_590100!A$2</f>
        <v>590100</v>
      </c>
      <c r="B64" s="101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IFERROR(VLOOKUP(B64,input_590100!L:R,7,FALSE),VLOOKUP(tables_590100!C64,input_590100!A:H,8,FALSE))</f>
        <v>1353750</v>
      </c>
      <c r="P64" s="46">
        <f t="shared" ca="1" si="1"/>
        <v>9.3041237113466076E-3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input_590100!A$2</f>
        <v>590100</v>
      </c>
      <c r="B65" s="101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IFERROR(VLOOKUP(B65,input_590100!L:R,7,FALSE),VLOOKUP(tables_590100!C65,input_590100!A:H,8,FALSE))</f>
        <v>7143.2692299999999</v>
      </c>
      <c r="P65" s="46">
        <f t="shared" ca="1" si="1"/>
        <v>4.909463388319529E-5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input_590100!A$2</f>
        <v>590100</v>
      </c>
      <c r="B66" s="100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IFERROR(VLOOKUP(B66,input_590100!L:R,7,FALSE),VLOOKUP(tables_590100!C66,input_590100!A:H,8,FALSE))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input_590100!A$2</f>
        <v>590100</v>
      </c>
      <c r="B67" s="100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IFERROR(VLOOKUP(B67,input_590100!L:R,7,FALSE),VLOOKUP(tables_590100!C67,input_590100!A:H,8,FALSE))</f>
        <v>1353750</v>
      </c>
      <c r="P67" s="46">
        <f t="shared" ca="1" si="4"/>
        <v>9.3041237113466076E-3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input_590100!A$2</f>
        <v>590100</v>
      </c>
      <c r="B68" s="100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IFERROR(VLOOKUP(B68,input_590100!L:R,7,FALSE),VLOOKUP(tables_590100!C68,input_590100!A:H,8,FALSE))</f>
        <v>7143.2692299999999</v>
      </c>
      <c r="P68" s="46">
        <f t="shared" ca="1" si="4"/>
        <v>4.909463388319529E-5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input_590100!A$2</f>
        <v>590100</v>
      </c>
      <c r="B69" s="10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IFERROR(VLOOKUP(B69,input_590100!L:R,7,FALSE),VLOOKUP(tables_590100!C69,input_590100!A:H,8,FALSE))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input_590100!A$2</f>
        <v>590100</v>
      </c>
      <c r="B70" s="10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IFERROR(VLOOKUP(B70,input_590100!L:R,7,FALSE),VLOOKUP(tables_590100!C70,input_590100!A:H,8,FALSE))</f>
        <v>1353750</v>
      </c>
      <c r="P70" s="46">
        <f t="shared" ca="1" si="4"/>
        <v>9.3041237113466076E-3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input_590100!A$2</f>
        <v>590100</v>
      </c>
      <c r="B71" s="10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IFERROR(VLOOKUP(B71,input_590100!L:R,7,FALSE),VLOOKUP(tables_590100!C71,input_590100!A:H,8,FALSE))</f>
        <v>7143.2692299999999</v>
      </c>
      <c r="P71" s="46">
        <f t="shared" ca="1" si="4"/>
        <v>4.909463388319529E-5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input_590100!A$2</f>
        <v>590100</v>
      </c>
      <c r="B72" s="10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IFERROR(VLOOKUP(B72,input_590100!L:R,7,FALSE),VLOOKUP(tables_590100!C72,input_590100!A:H,8,FALSE))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input_590100!A$2</f>
        <v>590100</v>
      </c>
      <c r="B73" s="100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IFERROR(VLOOKUP(B73,input_590100!L:R,7,FALSE),VLOOKUP(tables_590100!C73,input_590100!A:H,8,FALSE))</f>
        <v>1353750</v>
      </c>
      <c r="P73" s="46">
        <f t="shared" ca="1" si="4"/>
        <v>9.3041237113466076E-3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input_590100!A$2</f>
        <v>590100</v>
      </c>
      <c r="B74" s="100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IFERROR(VLOOKUP(B74,input_590100!L:R,7,FALSE),VLOOKUP(tables_590100!C74,input_590100!A:H,8,FALSE))</f>
        <v>7143.2692299999999</v>
      </c>
      <c r="P74" s="46">
        <f t="shared" ca="1" si="4"/>
        <v>4.909463388319529E-5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input_590100!A$2</f>
        <v>590100</v>
      </c>
      <c r="B75" s="100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IFERROR(VLOOKUP(B75,input_590100!L:R,7,FALSE),VLOOKUP(tables_590100!C75,input_590100!A:H,8,FALSE))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input_590100!A$2</f>
        <v>590100</v>
      </c>
      <c r="B76" s="100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IFERROR(VLOOKUP(B76,input_590100!L:R,7,FALSE),VLOOKUP(tables_590100!C76,input_590100!A:H,8,FALSE))</f>
        <v>1353750</v>
      </c>
      <c r="P76" s="46">
        <f t="shared" ca="1" si="4"/>
        <v>9.3041237113466076E-3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input_590100!A$2</f>
        <v>590100</v>
      </c>
      <c r="B77" s="102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IFERROR(VLOOKUP(B77,input_590100!L:R,7,FALSE),VLOOKUP(tables_590100!C77,input_590100!A:H,8,FALSE))</f>
        <v>7143.2692299999999</v>
      </c>
      <c r="P77" s="46">
        <f t="shared" ca="1" si="4"/>
        <v>4.909463388319529E-5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input_590100!A$2</f>
        <v>590100</v>
      </c>
      <c r="B78" s="102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IFERROR(VLOOKUP(B78,input_590100!L:R,7,FALSE),VLOOKUP(tables_590100!C78,input_590100!A:H,8,FALSE))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input_590100!A$2</f>
        <v>590100</v>
      </c>
      <c r="B79" s="102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IFERROR(VLOOKUP(B79,input_590100!L:R,7,FALSE),VLOOKUP(tables_590100!C79,input_590100!A:H,8,FALSE))</f>
        <v>1353750</v>
      </c>
      <c r="P79" s="46">
        <f t="shared" ca="1" si="4"/>
        <v>9.3041237113466076E-3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input_590100!A$2</f>
        <v>590100</v>
      </c>
      <c r="B80" s="102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IFERROR(VLOOKUP(B80,input_590100!L:R,7,FALSE),VLOOKUP(tables_590100!C80,input_590100!A:H,8,FALSE))</f>
        <v>7143.2692299999999</v>
      </c>
      <c r="P80" s="46">
        <f t="shared" ca="1" si="4"/>
        <v>4.909463388319529E-5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input_590100!A$2</f>
        <v>590100</v>
      </c>
      <c r="B81" s="102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IFERROR(VLOOKUP(B81,input_590100!L:R,7,FALSE),VLOOKUP(tables_590100!C81,input_590100!A:H,8,FALSE))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input_590100!A$2</f>
        <v>590100</v>
      </c>
      <c r="B82" s="102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IFERROR(VLOOKUP(B82,input_590100!L:R,7,FALSE),VLOOKUP(tables_590100!C82,input_590100!A:H,8,FALSE))</f>
        <v>1353750</v>
      </c>
      <c r="P82" s="46">
        <f t="shared" ca="1" si="4"/>
        <v>9.3041237113466076E-3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input_590100!A$2</f>
        <v>590100</v>
      </c>
      <c r="B83" s="102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IFERROR(VLOOKUP(B83,input_590100!L:R,7,FALSE),VLOOKUP(tables_590100!C83,input_590100!A:H,8,FALSE))</f>
        <v>7143.2692299999999</v>
      </c>
      <c r="P83" s="46">
        <f t="shared" ca="1" si="4"/>
        <v>4.909463388319529E-5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input_590100!A$2</f>
        <v>590100</v>
      </c>
      <c r="B84" s="102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IFERROR(VLOOKUP(B84,input_590100!L:R,7,FALSE),VLOOKUP(tables_590100!C84,input_590100!A:H,8,FALSE))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input_590100!A$2</f>
        <v>590100</v>
      </c>
      <c r="B85" s="102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IFERROR(VLOOKUP(B85,input_590100!L:R,7,FALSE),VLOOKUP(tables_590100!C85,input_590100!A:H,8,FALSE))</f>
        <v>1353750</v>
      </c>
      <c r="P85" s="46">
        <f t="shared" ca="1" si="4"/>
        <v>9.3041237113466076E-3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input_590100!A$2</f>
        <v>590100</v>
      </c>
      <c r="B86" s="102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IFERROR(VLOOKUP(B86,input_590100!L:R,7,FALSE),VLOOKUP(tables_590100!C86,input_590100!A:H,8,FALSE))</f>
        <v>7143.2692299999999</v>
      </c>
      <c r="P86" s="46">
        <f t="shared" ca="1" si="4"/>
        <v>4.909463388319529E-5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input_590100!A$2</f>
        <v>590100</v>
      </c>
      <c r="B87" s="102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IFERROR(VLOOKUP(B87,input_590100!L:R,7,FALSE),VLOOKUP(tables_590100!C87,input_590100!A:H,8,FALSE))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input_590100!A$2</f>
        <v>590100</v>
      </c>
      <c r="B88" s="102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IFERROR(VLOOKUP(B88,input_590100!L:R,7,FALSE),VLOOKUP(tables_590100!C88,input_590100!A:H,8,FALSE))</f>
        <v>1353750</v>
      </c>
      <c r="P88" s="46">
        <f t="shared" ca="1" si="4"/>
        <v>9.3041237113466076E-3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input_590100!A$2</f>
        <v>590100</v>
      </c>
      <c r="B89" s="102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IFERROR(VLOOKUP(B89,input_590100!L:R,7,FALSE),VLOOKUP(tables_590100!C89,input_590100!A:H,8,FALSE))</f>
        <v>7143.2692299999999</v>
      </c>
      <c r="P89" s="46">
        <f t="shared" ca="1" si="4"/>
        <v>4.909463388319529E-5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input_590100!A$2</f>
        <v>590100</v>
      </c>
      <c r="B90" s="102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IFERROR(VLOOKUP(B90,input_590100!L:R,7,FALSE),VLOOKUP(tables_590100!C90,input_590100!A:H,8,FALSE))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input_590100!A$2</f>
        <v>590100</v>
      </c>
      <c r="B91" s="102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IFERROR(VLOOKUP(B91,input_590100!L:R,7,FALSE),VLOOKUP(tables_590100!C91,input_590100!A:H,8,FALSE))</f>
        <v>1353750</v>
      </c>
      <c r="P91" s="46">
        <f t="shared" ca="1" si="4"/>
        <v>9.3041237113466076E-3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input_590100!A$2</f>
        <v>590100</v>
      </c>
      <c r="B92" s="102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IFERROR(VLOOKUP(B92,input_590100!L:R,7,FALSE),VLOOKUP(tables_590100!C92,input_590100!A:H,8,FALSE))</f>
        <v>7143.2692299999999</v>
      </c>
      <c r="P92" s="46">
        <f t="shared" ca="1" si="4"/>
        <v>4.909463388319529E-5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input_590100!A$2</f>
        <v>590100</v>
      </c>
      <c r="B93" s="102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IFERROR(VLOOKUP(B93,input_590100!L:R,7,FALSE),VLOOKUP(tables_590100!C93,input_590100!A:H,8,FALSE))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input_590100!A$2</f>
        <v>590100</v>
      </c>
      <c r="B94" s="102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IFERROR(VLOOKUP(B94,input_590100!L:R,7,FALSE),VLOOKUP(tables_590100!C94,input_590100!A:H,8,FALSE))</f>
        <v>1353750</v>
      </c>
      <c r="P94" s="46">
        <f t="shared" ca="1" si="4"/>
        <v>9.3041237113466076E-3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input_590100!A$2</f>
        <v>590100</v>
      </c>
      <c r="B95" s="102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IFERROR(VLOOKUP(B95,input_590100!L:R,7,FALSE),VLOOKUP(tables_590100!C95,input_590100!A:H,8,FALSE))</f>
        <v>7143.2692299999999</v>
      </c>
      <c r="P95" s="46">
        <f t="shared" ca="1" si="4"/>
        <v>4.909463388319529E-5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input_590100!A$2</f>
        <v>590100</v>
      </c>
      <c r="B96" s="102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IFERROR(VLOOKUP(B96,input_590100!L:R,7,FALSE),VLOOKUP(tables_590100!C96,input_590100!A:H,8,FALSE))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input_590100!A$2</f>
        <v>590100</v>
      </c>
      <c r="B97" s="102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IFERROR(VLOOKUP(B97,input_590100!L:R,7,FALSE),VLOOKUP(tables_590100!C97,input_590100!A:H,8,FALSE))</f>
        <v>1353750</v>
      </c>
      <c r="P97" s="46">
        <f t="shared" ca="1" si="4"/>
        <v>9.3041237113466076E-3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input_590100!A$2</f>
        <v>590100</v>
      </c>
      <c r="B98" s="102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IFERROR(VLOOKUP(B98,input_590100!L:R,7,FALSE),VLOOKUP(tables_590100!C98,input_590100!A:H,8,FALSE))</f>
        <v>7143.2692299999999</v>
      </c>
      <c r="P98" s="46">
        <f t="shared" ca="1" si="4"/>
        <v>4.909463388319529E-5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input_590100!A$2</f>
        <v>590100</v>
      </c>
      <c r="B99" s="102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IFERROR(VLOOKUP(B99,input_590100!L:R,7,FALSE),VLOOKUP(tables_590100!C99,input_590100!A:H,8,FALSE))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input_590100!A$2</f>
        <v>590100</v>
      </c>
      <c r="B100" s="102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IFERROR(VLOOKUP(B100,input_590100!L:R,7,FALSE),VLOOKUP(tables_590100!C100,input_590100!A:H,8,FALSE))</f>
        <v>1353750</v>
      </c>
      <c r="P100" s="46">
        <f t="shared" ca="1" si="4"/>
        <v>9.3041237113466076E-3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input_590100!A$2</f>
        <v>590100</v>
      </c>
      <c r="B101" s="102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IFERROR(VLOOKUP(B101,input_590100!L:R,7,FALSE),VLOOKUP(tables_590100!C101,input_590100!A:H,8,FALSE))</f>
        <v>7143.2692299999999</v>
      </c>
      <c r="P101" s="46">
        <f t="shared" ca="1" si="4"/>
        <v>4.909463388319529E-5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input_590100!A$2</f>
        <v>590100</v>
      </c>
      <c r="B102" s="102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IFERROR(VLOOKUP(B102,input_590100!L:R,7,FALSE),VLOOKUP(tables_590100!C102,input_590100!A:H,8,FALSE))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input_590100!A$2</f>
        <v>590100</v>
      </c>
      <c r="B103" s="102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IFERROR(VLOOKUP(B103,input_590100!L:R,7,FALSE),VLOOKUP(tables_590100!C103,input_590100!A:H,8,FALSE))</f>
        <v>1353750</v>
      </c>
      <c r="P103" s="46">
        <f t="shared" ca="1" si="4"/>
        <v>9.3041237113466076E-3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input_590100!A$2</f>
        <v>590100</v>
      </c>
      <c r="B104" s="102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IFERROR(VLOOKUP(B104,input_590100!L:R,7,FALSE),VLOOKUP(tables_590100!C104,input_590100!A:H,8,FALSE))</f>
        <v>7143.2692299999999</v>
      </c>
      <c r="P104" s="46">
        <f t="shared" ca="1" si="4"/>
        <v>4.909463388319529E-5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input_590100!A$2</f>
        <v>590100</v>
      </c>
      <c r="B105" s="102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IFERROR(VLOOKUP(B105,input_590100!L:R,7,FALSE),VLOOKUP(tables_590100!C105,input_590100!A:H,8,FALSE))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input_590100!A$2</f>
        <v>590100</v>
      </c>
      <c r="B106" s="102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IFERROR(VLOOKUP(B106,input_590100!L:R,7,FALSE),VLOOKUP(tables_590100!C106,input_590100!A:H,8,FALSE))</f>
        <v>1353750</v>
      </c>
      <c r="P106" s="46">
        <f t="shared" ca="1" si="4"/>
        <v>9.3041237113466076E-3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input_590100!A$2</f>
        <v>590100</v>
      </c>
      <c r="B107" s="102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IFERROR(VLOOKUP(B107,input_590100!L:R,7,FALSE),VLOOKUP(tables_590100!C107,input_590100!A:H,8,FALSE))</f>
        <v>7143.2692299999999</v>
      </c>
      <c r="P107" s="46">
        <f t="shared" ca="1" si="4"/>
        <v>4.909463388319529E-5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input_590100!A$2</f>
        <v>590100</v>
      </c>
      <c r="B108" s="102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IFERROR(VLOOKUP(B108,input_590100!L:R,7,FALSE),VLOOKUP(tables_590100!C108,input_590100!A:H,8,FALSE))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input_590100!A$2</f>
        <v>590100</v>
      </c>
      <c r="B109" s="102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IFERROR(VLOOKUP(B109,input_590100!L:R,7,FALSE),VLOOKUP(tables_590100!C109,input_590100!A:H,8,FALSE))</f>
        <v>1353750</v>
      </c>
      <c r="P109" s="46">
        <f t="shared" ca="1" si="4"/>
        <v>9.3041237113466076E-3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input_590100!A$2</f>
        <v>590100</v>
      </c>
      <c r="B110" s="102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IFERROR(VLOOKUP(B110,input_590100!L:R,7,FALSE),VLOOKUP(tables_590100!C110,input_590100!A:H,8,FALSE))</f>
        <v>7143.2692299999999</v>
      </c>
      <c r="P110" s="46">
        <f t="shared" ca="1" si="4"/>
        <v>4.909463388319529E-5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input_590100!A$2</f>
        <v>590100</v>
      </c>
      <c r="B111" s="102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IFERROR(VLOOKUP(B111,input_590100!L:R,7,FALSE),VLOOKUP(tables_590100!C111,input_590100!A:H,8,FALSE))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input_590100!A$2</f>
        <v>590100</v>
      </c>
      <c r="B112" s="102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IFERROR(VLOOKUP(B112,input_590100!L:R,7,FALSE),VLOOKUP(tables_590100!C112,input_590100!A:H,8,FALSE))</f>
        <v>1353750</v>
      </c>
      <c r="P112" s="46">
        <f t="shared" ca="1" si="4"/>
        <v>9.3041237113466076E-3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input_590100!A$2</f>
        <v>590100</v>
      </c>
      <c r="B113" s="102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IFERROR(VLOOKUP(B113,input_590100!L:R,7,FALSE),VLOOKUP(tables_590100!C113,input_590100!A:H,8,FALSE))</f>
        <v>71250</v>
      </c>
      <c r="P113" s="46">
        <f t="shared" ca="1" si="4"/>
        <v>4.8969072164982148E-4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input_590100!A$2</f>
        <v>590100</v>
      </c>
      <c r="B114" s="102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IFERROR(VLOOKUP(B114,input_590100!L:R,7,FALSE),VLOOKUP(tables_590100!C114,input_590100!A:H,8,FALSE))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input_590100!A$2</f>
        <v>590100</v>
      </c>
      <c r="B115" s="102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IFERROR(VLOOKUP(B115,input_590100!L:R,7,FALSE),VLOOKUP(tables_590100!C115,input_590100!A:H,8,FALSE))</f>
        <v>1353750</v>
      </c>
      <c r="P115" s="46">
        <f t="shared" ca="1" si="4"/>
        <v>9.3041237113466076E-3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input_590100!A$2</f>
        <v>590100</v>
      </c>
      <c r="B116" s="102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IFERROR(VLOOKUP(B116,input_590100!L:R,7,FALSE),VLOOKUP(tables_590100!C116,input_590100!A:H,8,FALSE))</f>
        <v>7143.2692299999999</v>
      </c>
      <c r="P116" s="46">
        <f t="shared" ca="1" si="4"/>
        <v>4.909463388319529E-5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input_590100!A$2</f>
        <v>590100</v>
      </c>
      <c r="B117" s="102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IFERROR(VLOOKUP(B117,input_590100!L:R,7,FALSE),VLOOKUP(tables_590100!C117,input_590100!A:H,8,FALSE))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input_590100!A$2</f>
        <v>590100</v>
      </c>
      <c r="B118" s="102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IFERROR(VLOOKUP(B118,input_590100!L:R,7,FALSE),VLOOKUP(tables_590100!C118,input_590100!A:H,8,FALSE))</f>
        <v>1353750</v>
      </c>
      <c r="P118" s="46">
        <f t="shared" ca="1" si="4"/>
        <v>9.3041237113466076E-3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input_590100!A$2</f>
        <v>590100</v>
      </c>
      <c r="B119" s="102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IFERROR(VLOOKUP(B119,input_590100!L:R,7,FALSE),VLOOKUP(tables_590100!C119,input_590100!A:H,8,FALSE))</f>
        <v>7143.2692299999999</v>
      </c>
      <c r="P119" s="46">
        <f t="shared" ca="1" si="4"/>
        <v>4.909463388319529E-5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input_590100!A$2</f>
        <v>590100</v>
      </c>
      <c r="B120" s="102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IFERROR(VLOOKUP(B120,input_590100!L:R,7,FALSE),VLOOKUP(tables_590100!C120,input_590100!A:H,8,FALSE))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input_590100!A$2</f>
        <v>590100</v>
      </c>
      <c r="B121" s="102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IFERROR(VLOOKUP(B121,input_590100!L:R,7,FALSE),VLOOKUP(tables_590100!C121,input_590100!A:H,8,FALSE))</f>
        <v>1353750</v>
      </c>
      <c r="P121" s="46">
        <f t="shared" ca="1" si="4"/>
        <v>9.3041237113466076E-3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input_590100!A$2</f>
        <v>590100</v>
      </c>
      <c r="B122" s="102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IFERROR(VLOOKUP(B122,input_590100!L:R,7,FALSE),VLOOKUP(tables_590100!C122,input_590100!A:H,8,FALSE))</f>
        <v>7143.2692299999999</v>
      </c>
      <c r="P122" s="46">
        <f t="shared" ca="1" si="4"/>
        <v>4.909463388319529E-5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input_590100!A$2</f>
        <v>590100</v>
      </c>
      <c r="B123" s="102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IFERROR(VLOOKUP(B123,input_590100!L:R,7,FALSE),VLOOKUP(tables_590100!C123,input_590100!A:H,8,FALSE))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input_590100!A$2</f>
        <v>590100</v>
      </c>
      <c r="B124" s="102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IFERROR(VLOOKUP(B124,input_590100!L:R,7,FALSE),VLOOKUP(tables_590100!C124,input_590100!A:H,8,FALSE))</f>
        <v>1353750</v>
      </c>
      <c r="P124" s="46">
        <f t="shared" ca="1" si="4"/>
        <v>9.3041237113466076E-3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input_590100!A$2</f>
        <v>590100</v>
      </c>
      <c r="B125" s="100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IFERROR(VLOOKUP(B125,input_590100!L:R,7,FALSE),VLOOKUP(tables_590100!C125,input_590100!A:H,8,FALSE))</f>
        <v>7143.2692299999999</v>
      </c>
      <c r="P125" s="46">
        <f t="shared" ca="1" si="4"/>
        <v>4.909463388319529E-5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input_590100!A$2</f>
        <v>590100</v>
      </c>
      <c r="B126" s="100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IFERROR(VLOOKUP(B126,input_590100!L:R,7,FALSE),VLOOKUP(tables_590100!C126,input_590100!A:H,8,FALSE))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input_590100!A$2</f>
        <v>590100</v>
      </c>
      <c r="B127" s="100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IFERROR(VLOOKUP(B127,input_590100!L:R,7,FALSE),VLOOKUP(tables_590100!C127,input_590100!A:H,8,FALSE))</f>
        <v>1353750</v>
      </c>
      <c r="P127" s="46">
        <f t="shared" ca="1" si="4"/>
        <v>9.3041237113466076E-3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input_590100!A$2</f>
        <v>590100</v>
      </c>
      <c r="B128" s="100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IFERROR(VLOOKUP(B128,input_590100!L:R,7,FALSE),VLOOKUP(tables_590100!C128,input_590100!A:H,8,FALSE))</f>
        <v>7143.2692299999999</v>
      </c>
      <c r="P128" s="46">
        <f t="shared" ca="1" si="4"/>
        <v>4.909463388319529E-5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input_590100!A$2</f>
        <v>590100</v>
      </c>
      <c r="B129" s="100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IFERROR(VLOOKUP(B129,input_590100!L:R,7,FALSE),VLOOKUP(tables_590100!C129,input_590100!A:H,8,FALSE))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input_590100!A$2</f>
        <v>590100</v>
      </c>
      <c r="B130" s="100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IFERROR(VLOOKUP(B130,input_590100!L:R,7,FALSE),VLOOKUP(tables_590100!C130,input_590100!A:H,8,FALSE))</f>
        <v>1353750</v>
      </c>
      <c r="P130" s="46">
        <f t="shared" ref="P130:P193" ca="1" si="7">O130/SUM(O:O)</f>
        <v>9.3041237113466076E-3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input_590100!A$2</f>
        <v>590100</v>
      </c>
      <c r="B131" s="100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IFERROR(VLOOKUP(B131,input_590100!L:R,7,FALSE),VLOOKUP(tables_590100!C131,input_590100!A:H,8,FALSE))</f>
        <v>7143.2692299999999</v>
      </c>
      <c r="P131" s="46">
        <f t="shared" ca="1" si="7"/>
        <v>4.909463388319529E-5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input_590100!A$2</f>
        <v>590100</v>
      </c>
      <c r="B132" s="100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IFERROR(VLOOKUP(B132,input_590100!L:R,7,FALSE),VLOOKUP(tables_590100!C132,input_590100!A:H,8,FALSE))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input_590100!A$2</f>
        <v>590100</v>
      </c>
      <c r="B133" s="100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IFERROR(VLOOKUP(B133,input_590100!L:R,7,FALSE),VLOOKUP(tables_590100!C133,input_590100!A:H,8,FALSE))</f>
        <v>1353750</v>
      </c>
      <c r="P133" s="46">
        <f t="shared" ca="1" si="7"/>
        <v>9.3041237113466076E-3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input_590100!A$2</f>
        <v>590100</v>
      </c>
      <c r="B134" s="100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IFERROR(VLOOKUP(B134,input_590100!L:R,7,FALSE),VLOOKUP(tables_590100!C134,input_590100!A:H,8,FALSE))</f>
        <v>7143.2692299999999</v>
      </c>
      <c r="P134" s="46">
        <f t="shared" ca="1" si="7"/>
        <v>4.909463388319529E-5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input_590100!A$2</f>
        <v>590100</v>
      </c>
      <c r="B135" s="100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IFERROR(VLOOKUP(B135,input_590100!L:R,7,FALSE),VLOOKUP(tables_590100!C135,input_590100!A:H,8,FALSE))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input_590100!A$2</f>
        <v>590100</v>
      </c>
      <c r="B136" s="101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IFERROR(VLOOKUP(B136,input_590100!L:R,7,FALSE),VLOOKUP(tables_590100!C136,input_590100!A:H,8,FALSE))</f>
        <v>1353750</v>
      </c>
      <c r="P136" s="46">
        <f t="shared" ca="1" si="7"/>
        <v>9.3041237113466076E-3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input_590100!A$2</f>
        <v>590100</v>
      </c>
      <c r="B137" s="101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IFERROR(VLOOKUP(B137,input_590100!L:R,7,FALSE),VLOOKUP(tables_590100!C137,input_590100!A:H,8,FALSE))</f>
        <v>7143.2692299999999</v>
      </c>
      <c r="P137" s="46">
        <f t="shared" ca="1" si="7"/>
        <v>4.909463388319529E-5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input_590100!A$2</f>
        <v>590100</v>
      </c>
      <c r="B138" s="100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IFERROR(VLOOKUP(B138,input_590100!L:R,7,FALSE),VLOOKUP(tables_590100!C138,input_590100!A:H,8,FALSE))</f>
        <v>92150</v>
      </c>
      <c r="P138" s="46">
        <f t="shared" ca="1" si="7"/>
        <v>6.3333333333376904E-4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input_590100!A$2</f>
        <v>590100</v>
      </c>
      <c r="B139" s="100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IFERROR(VLOOKUP(B139,input_590100!L:R,7,FALSE),VLOOKUP(tables_590100!C139,input_590100!A:H,8,FALSE))</f>
        <v>4850</v>
      </c>
      <c r="P139" s="46">
        <f t="shared" ca="1" si="7"/>
        <v>3.3333333333356266E-5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input_590100!A$2</f>
        <v>590100</v>
      </c>
      <c r="B140" s="100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IFERROR(VLOOKUP(B140,input_590100!L:R,7,FALSE),VLOOKUP(tables_590100!C140,input_590100!A:H,8,FALSE))</f>
        <v>92150</v>
      </c>
      <c r="P140" s="46">
        <f t="shared" ca="1" si="7"/>
        <v>6.3333333333376904E-4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input_590100!A$2</f>
        <v>590100</v>
      </c>
      <c r="B141" s="100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IFERROR(VLOOKUP(B141,input_590100!L:R,7,FALSE),VLOOKUP(tables_590100!C141,input_590100!A:H,8,FALSE))</f>
        <v>4850</v>
      </c>
      <c r="P141" s="46">
        <f t="shared" ca="1" si="7"/>
        <v>3.3333333333356266E-5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input_590100!A$2</f>
        <v>590100</v>
      </c>
      <c r="B142" s="100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IFERROR(VLOOKUP(B142,input_590100!L:R,7,FALSE),VLOOKUP(tables_590100!C142,input_590100!A:H,8,FALSE))</f>
        <v>92150</v>
      </c>
      <c r="P142" s="46">
        <f t="shared" ca="1" si="7"/>
        <v>6.3333333333376904E-4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input_590100!A$2</f>
        <v>590100</v>
      </c>
      <c r="B143" s="100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IFERROR(VLOOKUP(B143,input_590100!L:R,7,FALSE),VLOOKUP(tables_590100!C143,input_590100!A:H,8,FALSE))</f>
        <v>4850</v>
      </c>
      <c r="P143" s="46">
        <f t="shared" ca="1" si="7"/>
        <v>3.3333333333356266E-5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input_590100!A$2</f>
        <v>590100</v>
      </c>
      <c r="B144" s="100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IFERROR(VLOOKUP(B144,input_590100!L:R,7,FALSE),VLOOKUP(tables_590100!C144,input_590100!A:H,8,FALSE))</f>
        <v>92150</v>
      </c>
      <c r="P144" s="46">
        <f t="shared" ca="1" si="7"/>
        <v>6.3333333333376904E-4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input_590100!A$2</f>
        <v>590100</v>
      </c>
      <c r="B145" s="100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IFERROR(VLOOKUP(B145,input_590100!L:R,7,FALSE),VLOOKUP(tables_590100!C145,input_590100!A:H,8,FALSE))</f>
        <v>4850</v>
      </c>
      <c r="P145" s="46">
        <f t="shared" ca="1" si="7"/>
        <v>3.3333333333356266E-5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input_590100!A$2</f>
        <v>590100</v>
      </c>
      <c r="B146" s="100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IFERROR(VLOOKUP(B146,input_590100!L:R,7,FALSE),VLOOKUP(tables_590100!C146,input_590100!A:H,8,FALSE))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input_590100!A$2</f>
        <v>590100</v>
      </c>
      <c r="B147" s="100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IFERROR(VLOOKUP(B147,input_590100!L:R,7,FALSE),VLOOKUP(tables_590100!C147,input_590100!A:H,8,FALSE))</f>
        <v>1353750</v>
      </c>
      <c r="P147" s="46">
        <f t="shared" ca="1" si="7"/>
        <v>9.3041237113466076E-3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input_590100!A$2</f>
        <v>590100</v>
      </c>
      <c r="B148" s="100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IFERROR(VLOOKUP(B148,input_590100!L:R,7,FALSE),VLOOKUP(tables_590100!C148,input_590100!A:H,8,FALSE))</f>
        <v>7143.2692299999999</v>
      </c>
      <c r="P148" s="46">
        <f t="shared" ca="1" si="7"/>
        <v>4.909463388319529E-5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input_590100!A$2</f>
        <v>590100</v>
      </c>
      <c r="B149" s="100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IFERROR(VLOOKUP(B149,input_590100!L:R,7,FALSE),VLOOKUP(tables_590100!C149,input_590100!A:H,8,FALSE))</f>
        <v>92150</v>
      </c>
      <c r="P149" s="46">
        <f t="shared" ca="1" si="7"/>
        <v>6.3333333333376904E-4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input_590100!A$2</f>
        <v>590100</v>
      </c>
      <c r="B150" s="100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IFERROR(VLOOKUP(B150,input_590100!L:R,7,FALSE),VLOOKUP(tables_590100!C150,input_590100!A:H,8,FALSE))</f>
        <v>4850</v>
      </c>
      <c r="P150" s="46">
        <f t="shared" ca="1" si="7"/>
        <v>3.3333333333356266E-5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input_590100!A$2</f>
        <v>590100</v>
      </c>
      <c r="B151" s="100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IFERROR(VLOOKUP(B151,input_590100!L:R,7,FALSE),VLOOKUP(tables_590100!C151,input_590100!A:H,8,FALSE))</f>
        <v>92150</v>
      </c>
      <c r="P151" s="46">
        <f t="shared" ca="1" si="7"/>
        <v>6.3333333333376904E-4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input_590100!A$2</f>
        <v>590100</v>
      </c>
      <c r="B152" s="100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IFERROR(VLOOKUP(B152,input_590100!L:R,7,FALSE),VLOOKUP(tables_590100!C152,input_590100!A:H,8,FALSE))</f>
        <v>4850</v>
      </c>
      <c r="P152" s="46">
        <f t="shared" ca="1" si="7"/>
        <v>3.3333333333356266E-5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input_590100!A$2</f>
        <v>590100</v>
      </c>
      <c r="B153" s="100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IFERROR(VLOOKUP(B153,input_590100!L:R,7,FALSE),VLOOKUP(tables_590100!C153,input_590100!A:H,8,FALSE))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input_590100!A$2</f>
        <v>590100</v>
      </c>
      <c r="B154" s="100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IFERROR(VLOOKUP(B154,input_590100!L:R,7,FALSE),VLOOKUP(tables_590100!C154,input_590100!A:H,8,FALSE))</f>
        <v>1353750</v>
      </c>
      <c r="P154" s="46">
        <f t="shared" ca="1" si="7"/>
        <v>9.3041237113466076E-3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input_590100!A$2</f>
        <v>590100</v>
      </c>
      <c r="B155" s="100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IFERROR(VLOOKUP(B155,input_590100!L:R,7,FALSE),VLOOKUP(tables_590100!C155,input_590100!A:H,8,FALSE))</f>
        <v>7143.2692299999999</v>
      </c>
      <c r="P155" s="46">
        <f t="shared" ca="1" si="7"/>
        <v>4.909463388319529E-5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input_590100!A$2</f>
        <v>590100</v>
      </c>
      <c r="B156" s="100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IFERROR(VLOOKUP(B156,input_590100!L:R,7,FALSE),VLOOKUP(tables_590100!C156,input_590100!A:H,8,FALSE))</f>
        <v>92150</v>
      </c>
      <c r="P156" s="46">
        <f t="shared" ca="1" si="7"/>
        <v>6.3333333333376904E-4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input_590100!A$2</f>
        <v>590100</v>
      </c>
      <c r="B157" s="100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IFERROR(VLOOKUP(B157,input_590100!L:R,7,FALSE),VLOOKUP(tables_590100!C157,input_590100!A:H,8,FALSE))</f>
        <v>4850</v>
      </c>
      <c r="P157" s="46">
        <f t="shared" ca="1" si="7"/>
        <v>3.3333333333356266E-5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input_590100!A$2</f>
        <v>590100</v>
      </c>
      <c r="B158" s="100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IFERROR(VLOOKUP(B158,input_590100!L:R,7,FALSE),VLOOKUP(tables_590100!C158,input_590100!A:H,8,FALSE))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input_590100!A$2</f>
        <v>590100</v>
      </c>
      <c r="B159" s="100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IFERROR(VLOOKUP(B159,input_590100!L:R,7,FALSE),VLOOKUP(tables_590100!C159,input_590100!A:H,8,FALSE))</f>
        <v>1353750</v>
      </c>
      <c r="P159" s="46">
        <f t="shared" ca="1" si="7"/>
        <v>9.3041237113466076E-3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input_590100!A$2</f>
        <v>590100</v>
      </c>
      <c r="B160" s="100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IFERROR(VLOOKUP(B160,input_590100!L:R,7,FALSE),VLOOKUP(tables_590100!C160,input_590100!A:H,8,FALSE))</f>
        <v>7143.2692299999999</v>
      </c>
      <c r="P160" s="46">
        <f t="shared" ca="1" si="7"/>
        <v>4.909463388319529E-5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input_590100!A$2</f>
        <v>590100</v>
      </c>
      <c r="B161" s="100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IFERROR(VLOOKUP(B161,input_590100!L:R,7,FALSE),VLOOKUP(tables_590100!C161,input_590100!A:H,8,FALSE))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input_590100!A$2</f>
        <v>590100</v>
      </c>
      <c r="B162" s="100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IFERROR(VLOOKUP(B162,input_590100!L:R,7,FALSE),VLOOKUP(tables_590100!C162,input_590100!A:H,8,FALSE))</f>
        <v>1353750</v>
      </c>
      <c r="P162" s="46">
        <f t="shared" ca="1" si="7"/>
        <v>9.3041237113466076E-3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input_590100!A$2</f>
        <v>590100</v>
      </c>
      <c r="B163" s="100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IFERROR(VLOOKUP(B163,input_590100!L:R,7,FALSE),VLOOKUP(tables_590100!C163,input_590100!A:H,8,FALSE))</f>
        <v>7143.2692299999999</v>
      </c>
      <c r="P163" s="46">
        <f t="shared" ca="1" si="7"/>
        <v>4.909463388319529E-5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input_590100!A$2</f>
        <v>590100</v>
      </c>
      <c r="B164" s="100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IFERROR(VLOOKUP(B164,input_590100!L:R,7,FALSE),VLOOKUP(tables_590100!C164,input_590100!A:H,8,FALSE))</f>
        <v>92150</v>
      </c>
      <c r="P164" s="46">
        <f t="shared" ca="1" si="7"/>
        <v>6.3333333333376904E-4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input_590100!A$2</f>
        <v>590100</v>
      </c>
      <c r="B165" s="100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IFERROR(VLOOKUP(B165,input_590100!L:R,7,FALSE),VLOOKUP(tables_590100!C165,input_590100!A:H,8,FALSE))</f>
        <v>4850</v>
      </c>
      <c r="P165" s="46">
        <f t="shared" ca="1" si="7"/>
        <v>3.3333333333356266E-5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input_590100!A$2</f>
        <v>590100</v>
      </c>
      <c r="B166" s="100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IFERROR(VLOOKUP(B166,input_590100!L:R,7,FALSE),VLOOKUP(tables_590100!C166,input_590100!A:H,8,FALSE))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input_590100!A$2</f>
        <v>590100</v>
      </c>
      <c r="B167" s="100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IFERROR(VLOOKUP(B167,input_590100!L:R,7,FALSE),VLOOKUP(tables_590100!C167,input_590100!A:H,8,FALSE))</f>
        <v>1353750</v>
      </c>
      <c r="P167" s="46">
        <f t="shared" ca="1" si="7"/>
        <v>9.3041237113466076E-3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input_590100!A$2</f>
        <v>590100</v>
      </c>
      <c r="B168" s="100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IFERROR(VLOOKUP(B168,input_590100!L:R,7,FALSE),VLOOKUP(tables_590100!C168,input_590100!A:H,8,FALSE))</f>
        <v>7143.2692299999999</v>
      </c>
      <c r="P168" s="46">
        <f t="shared" ca="1" si="7"/>
        <v>4.909463388319529E-5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input_590100!A$2</f>
        <v>590100</v>
      </c>
      <c r="B169" s="100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IFERROR(VLOOKUP(B169,input_590100!L:R,7,FALSE),VLOOKUP(tables_590100!C169,input_590100!A:H,8,FALSE))</f>
        <v>92150</v>
      </c>
      <c r="P169" s="46">
        <f t="shared" ca="1" si="7"/>
        <v>6.3333333333376904E-4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input_590100!A$2</f>
        <v>590100</v>
      </c>
      <c r="B170" s="100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IFERROR(VLOOKUP(B170,input_590100!L:R,7,FALSE),VLOOKUP(tables_590100!C170,input_590100!A:H,8,FALSE))</f>
        <v>4850</v>
      </c>
      <c r="P170" s="46">
        <f t="shared" ca="1" si="7"/>
        <v>3.3333333333356266E-5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input_590100!A$2</f>
        <v>590100</v>
      </c>
      <c r="B171" s="100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IFERROR(VLOOKUP(B171,input_590100!L:R,7,FALSE),VLOOKUP(tables_590100!C171,input_590100!A:H,8,FALSE))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input_590100!A$2</f>
        <v>590100</v>
      </c>
      <c r="B172" s="100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IFERROR(VLOOKUP(B172,input_590100!L:R,7,FALSE),VLOOKUP(tables_590100!C172,input_590100!A:H,8,FALSE))</f>
        <v>1353750</v>
      </c>
      <c r="P172" s="46">
        <f t="shared" ca="1" si="7"/>
        <v>9.3041237113466076E-3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input_590100!A$2</f>
        <v>590100</v>
      </c>
      <c r="B173" s="100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IFERROR(VLOOKUP(B173,input_590100!L:R,7,FALSE),VLOOKUP(tables_590100!C173,input_590100!A:H,8,FALSE))</f>
        <v>7143.2692299999999</v>
      </c>
      <c r="P173" s="46">
        <f t="shared" ca="1" si="7"/>
        <v>4.909463388319529E-5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input_590100!A$2</f>
        <v>590100</v>
      </c>
      <c r="B174" s="100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IFERROR(VLOOKUP(B174,input_590100!L:R,7,FALSE),VLOOKUP(tables_590100!C174,input_590100!A:H,8,FALSE))</f>
        <v>92150</v>
      </c>
      <c r="P174" s="46">
        <f t="shared" ca="1" si="7"/>
        <v>6.3333333333376904E-4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input_590100!A$2</f>
        <v>590100</v>
      </c>
      <c r="B175" s="100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IFERROR(VLOOKUP(B175,input_590100!L:R,7,FALSE),VLOOKUP(tables_590100!C175,input_590100!A:H,8,FALSE))</f>
        <v>4850</v>
      </c>
      <c r="P175" s="46">
        <f t="shared" ca="1" si="7"/>
        <v>3.3333333333356266E-5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input_590100!A$2</f>
        <v>590100</v>
      </c>
      <c r="B176" s="100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IFERROR(VLOOKUP(B176,input_590100!L:R,7,FALSE),VLOOKUP(tables_590100!C176,input_590100!A:H,8,FALSE))</f>
        <v>92150</v>
      </c>
      <c r="P176" s="46">
        <f t="shared" ca="1" si="7"/>
        <v>6.3333333333376904E-4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input_590100!A$2</f>
        <v>590100</v>
      </c>
      <c r="B177" s="100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IFERROR(VLOOKUP(B177,input_590100!L:R,7,FALSE),VLOOKUP(tables_590100!C177,input_590100!A:H,8,FALSE))</f>
        <v>4850</v>
      </c>
      <c r="P177" s="46">
        <f t="shared" ca="1" si="7"/>
        <v>3.3333333333356266E-5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input_590100!A$2</f>
        <v>590100</v>
      </c>
      <c r="B178" s="100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IFERROR(VLOOKUP(B178,input_590100!L:R,7,FALSE),VLOOKUP(tables_590100!C178,input_590100!A:H,8,FALSE))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input_590100!A$2</f>
        <v>590100</v>
      </c>
      <c r="B179" s="100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IFERROR(VLOOKUP(B179,input_590100!L:R,7,FALSE),VLOOKUP(tables_590100!C179,input_590100!A:H,8,FALSE))</f>
        <v>1353750</v>
      </c>
      <c r="P179" s="46">
        <f t="shared" ca="1" si="7"/>
        <v>9.3041237113466076E-3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input_590100!A$2</f>
        <v>590100</v>
      </c>
      <c r="B180" s="100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IFERROR(VLOOKUP(B180,input_590100!L:R,7,FALSE),VLOOKUP(tables_590100!C180,input_590100!A:H,8,FALSE))</f>
        <v>7143.2692299999999</v>
      </c>
      <c r="P180" s="46">
        <f t="shared" ca="1" si="7"/>
        <v>4.909463388319529E-5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input_590100!A$2</f>
        <v>590100</v>
      </c>
      <c r="B181" s="100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IFERROR(VLOOKUP(B181,input_590100!L:R,7,FALSE),VLOOKUP(tables_590100!C181,input_590100!A:H,8,FALSE))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input_590100!A$2</f>
        <v>590100</v>
      </c>
      <c r="B182" s="100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IFERROR(VLOOKUP(B182,input_590100!L:R,7,FALSE),VLOOKUP(tables_590100!C182,input_590100!A:H,8,FALSE))</f>
        <v>1353750</v>
      </c>
      <c r="P182" s="46">
        <f t="shared" ca="1" si="7"/>
        <v>9.3041237113466076E-3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input_590100!A$2</f>
        <v>590100</v>
      </c>
      <c r="B183" s="100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IFERROR(VLOOKUP(B183,input_590100!L:R,7,FALSE),VLOOKUP(tables_590100!C183,input_590100!A:H,8,FALSE))</f>
        <v>7143.2692299999999</v>
      </c>
      <c r="P183" s="46">
        <f t="shared" ca="1" si="7"/>
        <v>4.909463388319529E-5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input_590100!A$2</f>
        <v>590100</v>
      </c>
      <c r="B184" s="100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IFERROR(VLOOKUP(B184,input_590100!L:R,7,FALSE),VLOOKUP(tables_590100!C184,input_590100!A:H,8,FALSE))</f>
        <v>92150</v>
      </c>
      <c r="P184" s="46">
        <f t="shared" ca="1" si="7"/>
        <v>6.3333333333376904E-4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input_590100!A$2</f>
        <v>590100</v>
      </c>
      <c r="B185" s="100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IFERROR(VLOOKUP(B185,input_590100!L:R,7,FALSE),VLOOKUP(tables_590100!C185,input_590100!A:H,8,FALSE))</f>
        <v>4850</v>
      </c>
      <c r="P185" s="46">
        <f t="shared" ca="1" si="7"/>
        <v>3.3333333333356266E-5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input_590100!A$2</f>
        <v>590100</v>
      </c>
      <c r="B186" s="101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IFERROR(VLOOKUP(B186,input_590100!L:R,7,FALSE),VLOOKUP(tables_590100!C186,input_590100!A:H,8,FALSE))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input_590100!A$2</f>
        <v>590100</v>
      </c>
      <c r="B187" s="101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IFERROR(VLOOKUP(B187,input_590100!L:R,7,FALSE),VLOOKUP(tables_590100!C187,input_590100!A:H,8,FALSE))</f>
        <v>1353750</v>
      </c>
      <c r="P187" s="46">
        <f t="shared" ca="1" si="7"/>
        <v>9.3041237113466076E-3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input_590100!A$2</f>
        <v>590100</v>
      </c>
      <c r="B188" s="101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IFERROR(VLOOKUP(B188,input_590100!L:R,7,FALSE),VLOOKUP(tables_590100!C188,input_590100!A:H,8,FALSE))</f>
        <v>7143.2692299999999</v>
      </c>
      <c r="P188" s="46">
        <f t="shared" ca="1" si="7"/>
        <v>4.909463388319529E-5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input_590100!A$2</f>
        <v>590100</v>
      </c>
      <c r="B189" s="101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IFERROR(VLOOKUP(B189,input_590100!L:R,7,FALSE),VLOOKUP(tables_590100!C189,input_590100!A:H,8,FALSE))</f>
        <v>92150</v>
      </c>
      <c r="P189" s="46">
        <f t="shared" ca="1" si="7"/>
        <v>6.3333333333376904E-4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input_590100!A$2</f>
        <v>590100</v>
      </c>
      <c r="B190" s="100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IFERROR(VLOOKUP(B190,input_590100!L:R,7,FALSE),VLOOKUP(tables_590100!C190,input_590100!A:H,8,FALSE))</f>
        <v>4850</v>
      </c>
      <c r="P190" s="46">
        <f t="shared" ca="1" si="7"/>
        <v>3.3333333333356266E-5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input_590100!A$2</f>
        <v>590100</v>
      </c>
      <c r="B191" s="100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IFERROR(VLOOKUP(B191,input_590100!L:R,7,FALSE),VLOOKUP(tables_590100!C191,input_590100!A:H,8,FALSE))</f>
        <v>92150</v>
      </c>
      <c r="P191" s="46">
        <f t="shared" ca="1" si="7"/>
        <v>6.3333333333376904E-4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input_590100!A$2</f>
        <v>590100</v>
      </c>
      <c r="B192" s="100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IFERROR(VLOOKUP(B192,input_590100!L:R,7,FALSE),VLOOKUP(tables_590100!C192,input_590100!A:H,8,FALSE))</f>
        <v>4850</v>
      </c>
      <c r="P192" s="46">
        <f t="shared" ca="1" si="7"/>
        <v>3.3333333333356266E-5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input_590100!A$2</f>
        <v>590100</v>
      </c>
      <c r="B193" s="100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IFERROR(VLOOKUP(B193,input_590100!L:R,7,FALSE),VLOOKUP(tables_590100!C193,input_590100!A:H,8,FALSE))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input_590100!A$2</f>
        <v>590100</v>
      </c>
      <c r="B194" s="100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IFERROR(VLOOKUP(B194,input_590100!L:R,7,FALSE),VLOOKUP(tables_590100!C194,input_590100!A:H,8,FALSE))</f>
        <v>1353750</v>
      </c>
      <c r="P194" s="46">
        <f t="shared" ref="P194:P257" ca="1" si="10">O194/SUM(O:O)</f>
        <v>9.3041237113466076E-3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input_590100!A$2</f>
        <v>590100</v>
      </c>
      <c r="B195" s="100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IFERROR(VLOOKUP(B195,input_590100!L:R,7,FALSE),VLOOKUP(tables_590100!C195,input_590100!A:H,8,FALSE))</f>
        <v>7143.2692299999999</v>
      </c>
      <c r="P195" s="46">
        <f t="shared" ca="1" si="10"/>
        <v>4.909463388319529E-5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input_590100!A$2</f>
        <v>590100</v>
      </c>
      <c r="B196" s="100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IFERROR(VLOOKUP(B196,input_590100!L:R,7,FALSE),VLOOKUP(tables_590100!C196,input_590100!A:H,8,FALSE))</f>
        <v>92150</v>
      </c>
      <c r="P196" s="46">
        <f t="shared" ca="1" si="10"/>
        <v>6.3333333333376904E-4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input_590100!A$2</f>
        <v>590100</v>
      </c>
      <c r="B197" s="100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IFERROR(VLOOKUP(B197,input_590100!L:R,7,FALSE),VLOOKUP(tables_590100!C197,input_590100!A:H,8,FALSE))</f>
        <v>4850</v>
      </c>
      <c r="P197" s="46">
        <f t="shared" ca="1" si="10"/>
        <v>3.3333333333356266E-5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input_590100!A$2</f>
        <v>590100</v>
      </c>
      <c r="B198" s="100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IFERROR(VLOOKUP(B198,input_590100!L:R,7,FALSE),VLOOKUP(tables_590100!C198,input_590100!A:H,8,FALSE))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input_590100!A$2</f>
        <v>590100</v>
      </c>
      <c r="B199" s="100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IFERROR(VLOOKUP(B199,input_590100!L:R,7,FALSE),VLOOKUP(tables_590100!C199,input_590100!A:H,8,FALSE))</f>
        <v>1353750</v>
      </c>
      <c r="P199" s="46">
        <f t="shared" ca="1" si="10"/>
        <v>9.3041237113466076E-3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input_590100!A$2</f>
        <v>590100</v>
      </c>
      <c r="B200" s="100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IFERROR(VLOOKUP(B200,input_590100!L:R,7,FALSE),VLOOKUP(tables_590100!C200,input_590100!A:H,8,FALSE))</f>
        <v>7143.2692299999999</v>
      </c>
      <c r="P200" s="46">
        <f t="shared" ca="1" si="10"/>
        <v>4.909463388319529E-5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input_590100!A$2</f>
        <v>590100</v>
      </c>
      <c r="B201" s="100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IFERROR(VLOOKUP(B201,input_590100!L:R,7,FALSE),VLOOKUP(tables_590100!C201,input_590100!A:H,8,FALSE))</f>
        <v>92150</v>
      </c>
      <c r="P201" s="46">
        <f t="shared" ca="1" si="10"/>
        <v>6.3333333333376904E-4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input_590100!A$2</f>
        <v>590100</v>
      </c>
      <c r="B202" s="100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IFERROR(VLOOKUP(B202,input_590100!L:R,7,FALSE),VLOOKUP(tables_590100!C202,input_590100!A:H,8,FALSE))</f>
        <v>4850</v>
      </c>
      <c r="P202" s="46">
        <f t="shared" ca="1" si="10"/>
        <v>3.3333333333356266E-5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input_590100!A$2</f>
        <v>590100</v>
      </c>
      <c r="B203" s="100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IFERROR(VLOOKUP(B203,input_590100!L:R,7,FALSE),VLOOKUP(tables_590100!C203,input_590100!A:H,8,FALSE))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input_590100!A$2</f>
        <v>590100</v>
      </c>
      <c r="B204" s="100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IFERROR(VLOOKUP(B204,input_590100!L:R,7,FALSE),VLOOKUP(tables_590100!C204,input_590100!A:H,8,FALSE))</f>
        <v>1353750</v>
      </c>
      <c r="P204" s="46">
        <f t="shared" ca="1" si="10"/>
        <v>9.3041237113466076E-3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input_590100!A$2</f>
        <v>590100</v>
      </c>
      <c r="B205" s="100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IFERROR(VLOOKUP(B205,input_590100!L:R,7,FALSE),VLOOKUP(tables_590100!C205,input_590100!A:H,8,FALSE))</f>
        <v>7143.2692299999999</v>
      </c>
      <c r="P205" s="46">
        <f t="shared" ca="1" si="10"/>
        <v>4.909463388319529E-5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input_590100!A$2</f>
        <v>590100</v>
      </c>
      <c r="B206" s="100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IFERROR(VLOOKUP(B206,input_590100!L:R,7,FALSE),VLOOKUP(tables_590100!C206,input_590100!A:H,8,FALSE))</f>
        <v>92150</v>
      </c>
      <c r="P206" s="46">
        <f t="shared" ca="1" si="10"/>
        <v>6.3333333333376904E-4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input_590100!A$2</f>
        <v>590100</v>
      </c>
      <c r="B207" s="100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IFERROR(VLOOKUP(B207,input_590100!L:R,7,FALSE),VLOOKUP(tables_590100!C207,input_590100!A:H,8,FALSE))</f>
        <v>4850</v>
      </c>
      <c r="P207" s="46">
        <f t="shared" ca="1" si="10"/>
        <v>3.3333333333356266E-5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input_590100!A$2</f>
        <v>590100</v>
      </c>
      <c r="B208" s="100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IFERROR(VLOOKUP(B208,input_590100!L:R,7,FALSE),VLOOKUP(tables_590100!C208,input_590100!A:H,8,FALSE))</f>
        <v>92150</v>
      </c>
      <c r="P208" s="46">
        <f t="shared" ca="1" si="10"/>
        <v>6.3333333333376904E-4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input_590100!A$2</f>
        <v>590100</v>
      </c>
      <c r="B209" s="100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IFERROR(VLOOKUP(B209,input_590100!L:R,7,FALSE),VLOOKUP(tables_590100!C209,input_590100!A:H,8,FALSE))</f>
        <v>4850</v>
      </c>
      <c r="P209" s="46">
        <f t="shared" ca="1" si="10"/>
        <v>3.3333333333356266E-5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input_590100!A$2</f>
        <v>590100</v>
      </c>
      <c r="B210" s="100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IFERROR(VLOOKUP(B210,input_590100!L:R,7,FALSE),VLOOKUP(tables_590100!C210,input_590100!A:H,8,FALSE))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input_590100!A$2</f>
        <v>590100</v>
      </c>
      <c r="B211" s="100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IFERROR(VLOOKUP(B211,input_590100!L:R,7,FALSE),VLOOKUP(tables_590100!C211,input_590100!A:H,8,FALSE))</f>
        <v>1353750</v>
      </c>
      <c r="P211" s="46">
        <f t="shared" ca="1" si="10"/>
        <v>9.3041237113466076E-3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input_590100!A$2</f>
        <v>590100</v>
      </c>
      <c r="B212" s="100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IFERROR(VLOOKUP(B212,input_590100!L:R,7,FALSE),VLOOKUP(tables_590100!C212,input_590100!A:H,8,FALSE))</f>
        <v>7143.2692299999999</v>
      </c>
      <c r="P212" s="46">
        <f t="shared" ca="1" si="10"/>
        <v>4.909463388319529E-5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input_590100!A$2</f>
        <v>590100</v>
      </c>
      <c r="B213" s="100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IFERROR(VLOOKUP(B213,input_590100!L:R,7,FALSE),VLOOKUP(tables_590100!C213,input_590100!A:H,8,FALSE))</f>
        <v>92150</v>
      </c>
      <c r="P213" s="46">
        <f t="shared" ca="1" si="10"/>
        <v>6.3333333333376904E-4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input_590100!A$2</f>
        <v>590100</v>
      </c>
      <c r="B214" s="100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IFERROR(VLOOKUP(B214,input_590100!L:R,7,FALSE),VLOOKUP(tables_590100!C214,input_590100!A:H,8,FALSE))</f>
        <v>4850</v>
      </c>
      <c r="P214" s="46">
        <f t="shared" ca="1" si="10"/>
        <v>3.3333333333356266E-5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input_590100!A$2</f>
        <v>590100</v>
      </c>
      <c r="B215" s="100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IFERROR(VLOOKUP(B215,input_590100!L:R,7,FALSE),VLOOKUP(tables_590100!C215,input_590100!A:H,8,FALSE))</f>
        <v>71250</v>
      </c>
      <c r="P215" s="46">
        <f t="shared" ca="1" si="10"/>
        <v>4.8969072164982148E-4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input_590100!A$2</f>
        <v>590100</v>
      </c>
      <c r="B216" s="100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IFERROR(VLOOKUP(B216,input_590100!L:R,7,FALSE),VLOOKUP(tables_590100!C216,input_590100!A:H,8,FALSE))</f>
        <v>71250</v>
      </c>
      <c r="P216" s="46">
        <f t="shared" ca="1" si="10"/>
        <v>4.8969072164982148E-4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input_590100!A$2</f>
        <v>590100</v>
      </c>
      <c r="B217" s="100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IFERROR(VLOOKUP(B217,input_590100!L:R,7,FALSE),VLOOKUP(tables_590100!C217,input_590100!A:H,8,FALSE))</f>
        <v>71250</v>
      </c>
      <c r="P217" s="46">
        <f t="shared" ca="1" si="10"/>
        <v>4.8969072164982148E-4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input_590100!A$2</f>
        <v>590100</v>
      </c>
      <c r="B218" s="100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IFERROR(VLOOKUP(B218,input_590100!L:R,7,FALSE),VLOOKUP(tables_590100!C218,input_590100!A:H,8,FALSE))</f>
        <v>71250</v>
      </c>
      <c r="P218" s="46">
        <f t="shared" ca="1" si="10"/>
        <v>4.8969072164982148E-4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input_590100!A$2</f>
        <v>590100</v>
      </c>
      <c r="B219" s="100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IFERROR(VLOOKUP(B219,input_590100!L:R,7,FALSE),VLOOKUP(tables_590100!C219,input_590100!A:H,8,FALSE))</f>
        <v>71250</v>
      </c>
      <c r="P219" s="46">
        <f t="shared" ca="1" si="10"/>
        <v>4.8969072164982148E-4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input_590100!A$2</f>
        <v>590100</v>
      </c>
      <c r="B220" s="100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IFERROR(VLOOKUP(B220,input_590100!L:R,7,FALSE),VLOOKUP(tables_590100!C220,input_590100!A:H,8,FALSE))</f>
        <v>71250</v>
      </c>
      <c r="P220" s="46">
        <f t="shared" ca="1" si="10"/>
        <v>4.8969072164982148E-4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input_590100!A$2</f>
        <v>590100</v>
      </c>
      <c r="B221" s="100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IFERROR(VLOOKUP(B221,input_590100!L:R,7,FALSE),VLOOKUP(tables_590100!C221,input_590100!A:H,8,FALSE))</f>
        <v>92150</v>
      </c>
      <c r="P221" s="46">
        <f t="shared" ca="1" si="10"/>
        <v>6.3333333333376904E-4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input_590100!A$2</f>
        <v>590100</v>
      </c>
      <c r="B222" s="100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IFERROR(VLOOKUP(B222,input_590100!L:R,7,FALSE),VLOOKUP(tables_590100!C222,input_590100!A:H,8,FALSE))</f>
        <v>4850</v>
      </c>
      <c r="P222" s="46">
        <f t="shared" ca="1" si="10"/>
        <v>3.3333333333356266E-5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input_590100!A$2</f>
        <v>590100</v>
      </c>
      <c r="B223" s="100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IFERROR(VLOOKUP(B223,input_590100!L:R,7,FALSE),VLOOKUP(tables_590100!C223,input_590100!A:H,8,FALSE))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input_590100!A$2</f>
        <v>590100</v>
      </c>
      <c r="B224" s="100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IFERROR(VLOOKUP(B224,input_590100!L:R,7,FALSE),VLOOKUP(tables_590100!C224,input_590100!A:H,8,FALSE))</f>
        <v>1353750</v>
      </c>
      <c r="P224" s="46">
        <f t="shared" ca="1" si="10"/>
        <v>9.3041237113466076E-3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input_590100!A$2</f>
        <v>590100</v>
      </c>
      <c r="B225" s="100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IFERROR(VLOOKUP(B225,input_590100!L:R,7,FALSE),VLOOKUP(tables_590100!C225,input_590100!A:H,8,FALSE))</f>
        <v>7143.2692299999999</v>
      </c>
      <c r="P225" s="46">
        <f t="shared" ca="1" si="10"/>
        <v>4.909463388319529E-5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input_590100!A$2</f>
        <v>590100</v>
      </c>
      <c r="B226" s="100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IFERROR(VLOOKUP(B226,input_590100!L:R,7,FALSE),VLOOKUP(tables_590100!C226,input_590100!A:H,8,FALSE))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input_590100!A$2</f>
        <v>590100</v>
      </c>
      <c r="B227" s="100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IFERROR(VLOOKUP(B227,input_590100!L:R,7,FALSE),VLOOKUP(tables_590100!C227,input_590100!A:H,8,FALSE))</f>
        <v>1353750</v>
      </c>
      <c r="P227" s="46">
        <f t="shared" ca="1" si="10"/>
        <v>9.3041237113466076E-3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input_590100!A$2</f>
        <v>590100</v>
      </c>
      <c r="B228" s="100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IFERROR(VLOOKUP(B228,input_590100!L:R,7,FALSE),VLOOKUP(tables_590100!C228,input_590100!A:H,8,FALSE))</f>
        <v>7143.2692299999999</v>
      </c>
      <c r="P228" s="46">
        <f t="shared" ca="1" si="10"/>
        <v>4.909463388319529E-5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input_590100!A$2</f>
        <v>590100</v>
      </c>
      <c r="B229" s="100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IFERROR(VLOOKUP(B229,input_590100!L:R,7,FALSE),VLOOKUP(tables_590100!C229,input_590100!A:H,8,FALSE))</f>
        <v>92150</v>
      </c>
      <c r="P229" s="46">
        <f t="shared" ca="1" si="10"/>
        <v>6.3333333333376904E-4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input_590100!A$2</f>
        <v>590100</v>
      </c>
      <c r="B230" s="100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IFERROR(VLOOKUP(B230,input_590100!L:R,7,FALSE),VLOOKUP(tables_590100!C230,input_590100!A:H,8,FALSE))</f>
        <v>4850</v>
      </c>
      <c r="P230" s="46">
        <f t="shared" ca="1" si="10"/>
        <v>3.3333333333356266E-5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input_590100!A$2</f>
        <v>590100</v>
      </c>
      <c r="B231" s="100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IFERROR(VLOOKUP(B231,input_590100!L:R,7,FALSE),VLOOKUP(tables_590100!C231,input_590100!A:H,8,FALSE))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input_590100!A$2</f>
        <v>590100</v>
      </c>
      <c r="B232" s="100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IFERROR(VLOOKUP(B232,input_590100!L:R,7,FALSE),VLOOKUP(tables_590100!C232,input_590100!A:H,8,FALSE))</f>
        <v>1353750</v>
      </c>
      <c r="P232" s="46">
        <f t="shared" ca="1" si="10"/>
        <v>9.3041237113466076E-3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input_590100!A$2</f>
        <v>590100</v>
      </c>
      <c r="B233" s="100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IFERROR(VLOOKUP(B233,input_590100!L:R,7,FALSE),VLOOKUP(tables_590100!C233,input_590100!A:H,8,FALSE))</f>
        <v>7143.2692299999999</v>
      </c>
      <c r="P233" s="46">
        <f t="shared" ca="1" si="10"/>
        <v>4.909463388319529E-5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input_590100!A$2</f>
        <v>590100</v>
      </c>
      <c r="B234" s="100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IFERROR(VLOOKUP(B234,input_590100!L:R,7,FALSE),VLOOKUP(tables_590100!C234,input_590100!A:H,8,FALSE))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input_590100!A$2</f>
        <v>590100</v>
      </c>
      <c r="B235" s="100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IFERROR(VLOOKUP(B235,input_590100!L:R,7,FALSE),VLOOKUP(tables_590100!C235,input_590100!A:H,8,FALSE))</f>
        <v>1353750</v>
      </c>
      <c r="P235" s="46">
        <f t="shared" ca="1" si="10"/>
        <v>9.3041237113466076E-3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input_590100!A$2</f>
        <v>590100</v>
      </c>
      <c r="B236" s="100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IFERROR(VLOOKUP(B236,input_590100!L:R,7,FALSE),VLOOKUP(tables_590100!C236,input_590100!A:H,8,FALSE))</f>
        <v>7143.2692299999999</v>
      </c>
      <c r="P236" s="46">
        <f t="shared" ca="1" si="10"/>
        <v>4.909463388319529E-5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input_590100!A$2</f>
        <v>590100</v>
      </c>
      <c r="B237" s="100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IFERROR(VLOOKUP(B237,input_590100!L:R,7,FALSE),VLOOKUP(tables_590100!C237,input_590100!A:H,8,FALSE))</f>
        <v>92150</v>
      </c>
      <c r="P237" s="46">
        <f t="shared" ca="1" si="10"/>
        <v>6.3333333333376904E-4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input_590100!A$2</f>
        <v>590100</v>
      </c>
      <c r="B238" s="100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IFERROR(VLOOKUP(B238,input_590100!L:R,7,FALSE),VLOOKUP(tables_590100!C238,input_590100!A:H,8,FALSE))</f>
        <v>4850</v>
      </c>
      <c r="P238" s="46">
        <f t="shared" ca="1" si="10"/>
        <v>3.3333333333356266E-5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input_590100!A$2</f>
        <v>590100</v>
      </c>
      <c r="B239" s="100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IFERROR(VLOOKUP(B239,input_590100!L:R,7,FALSE),VLOOKUP(tables_590100!C239,input_590100!A:H,8,FALSE))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input_590100!A$2</f>
        <v>590100</v>
      </c>
      <c r="B240" s="100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IFERROR(VLOOKUP(B240,input_590100!L:R,7,FALSE),VLOOKUP(tables_590100!C240,input_590100!A:H,8,FALSE))</f>
        <v>1353750</v>
      </c>
      <c r="P240" s="46">
        <f t="shared" ca="1" si="10"/>
        <v>9.3041237113466076E-3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input_590100!A$2</f>
        <v>590100</v>
      </c>
      <c r="B241" s="100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IFERROR(VLOOKUP(B241,input_590100!L:R,7,FALSE),VLOOKUP(tables_590100!C241,input_590100!A:H,8,FALSE))</f>
        <v>7143.2692299999999</v>
      </c>
      <c r="P241" s="46">
        <f t="shared" ca="1" si="10"/>
        <v>4.909463388319529E-5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input_590100!A$2</f>
        <v>590100</v>
      </c>
      <c r="B242" s="100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IFERROR(VLOOKUP(B242,input_590100!L:R,7,FALSE),VLOOKUP(tables_590100!C242,input_590100!A:H,8,FALSE))</f>
        <v>92150</v>
      </c>
      <c r="P242" s="46">
        <f t="shared" ca="1" si="10"/>
        <v>6.3333333333376904E-4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input_590100!A$2</f>
        <v>590100</v>
      </c>
      <c r="B243" s="100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IFERROR(VLOOKUP(B243,input_590100!L:R,7,FALSE),VLOOKUP(tables_590100!C243,input_590100!A:H,8,FALSE))</f>
        <v>4850</v>
      </c>
      <c r="P243" s="46">
        <f t="shared" ca="1" si="10"/>
        <v>3.3333333333356266E-5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input_590100!A$2</f>
        <v>590100</v>
      </c>
      <c r="B244" s="100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IFERROR(VLOOKUP(B244,input_590100!L:R,7,FALSE),VLOOKUP(tables_590100!C244,input_590100!A:H,8,FALSE))</f>
        <v>92150</v>
      </c>
      <c r="P244" s="46">
        <f t="shared" ca="1" si="10"/>
        <v>6.3333333333376904E-4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input_590100!A$2</f>
        <v>590100</v>
      </c>
      <c r="B245" s="10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IFERROR(VLOOKUP(B245,input_590100!L:R,7,FALSE),VLOOKUP(tables_590100!C245,input_590100!A:H,8,FALSE))</f>
        <v>4850</v>
      </c>
      <c r="P245" s="46">
        <f t="shared" ca="1" si="10"/>
        <v>3.3333333333356266E-5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input_590100!A$2</f>
        <v>590100</v>
      </c>
      <c r="B246" s="10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IFERROR(VLOOKUP(B246,input_590100!L:R,7,FALSE),VLOOKUP(tables_590100!C246,input_590100!A:H,8,FALSE))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input_590100!A$2</f>
        <v>590100</v>
      </c>
      <c r="B247" s="10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IFERROR(VLOOKUP(B247,input_590100!L:R,7,FALSE),VLOOKUP(tables_590100!C247,input_590100!A:H,8,FALSE))</f>
        <v>1353750</v>
      </c>
      <c r="P247" s="46">
        <f t="shared" ca="1" si="10"/>
        <v>9.3041237113466076E-3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input_590100!A$2</f>
        <v>590100</v>
      </c>
      <c r="B248" s="10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IFERROR(VLOOKUP(B248,input_590100!L:R,7,FALSE),VLOOKUP(tables_590100!C248,input_590100!A:H,8,FALSE))</f>
        <v>7143.2692299999999</v>
      </c>
      <c r="P248" s="46">
        <f t="shared" ca="1" si="10"/>
        <v>4.909463388319529E-5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input_590100!A$2</f>
        <v>590100</v>
      </c>
      <c r="B249" s="10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IFERROR(VLOOKUP(B249,input_590100!L:R,7,FALSE),VLOOKUP(tables_590100!C249,input_590100!A:H,8,FALSE))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input_590100!A$2</f>
        <v>590100</v>
      </c>
      <c r="B250" s="10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IFERROR(VLOOKUP(B250,input_590100!L:R,7,FALSE),VLOOKUP(tables_590100!C250,input_590100!A:H,8,FALSE))</f>
        <v>1353750</v>
      </c>
      <c r="P250" s="46">
        <f t="shared" ca="1" si="10"/>
        <v>9.3041237113466076E-3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input_590100!A$2</f>
        <v>590100</v>
      </c>
      <c r="B251" s="10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IFERROR(VLOOKUP(B251,input_590100!L:R,7,FALSE),VLOOKUP(tables_590100!C251,input_590100!A:H,8,FALSE))</f>
        <v>7143.2692299999999</v>
      </c>
      <c r="P251" s="46">
        <f t="shared" ca="1" si="10"/>
        <v>4.909463388319529E-5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input_590100!A$2</f>
        <v>590100</v>
      </c>
      <c r="B252" s="10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IFERROR(VLOOKUP(B252,input_590100!L:R,7,FALSE),VLOOKUP(tables_590100!C252,input_590100!A:H,8,FALSE))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input_590100!A$2</f>
        <v>590100</v>
      </c>
      <c r="B253" s="10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IFERROR(VLOOKUP(B253,input_590100!L:R,7,FALSE),VLOOKUP(tables_590100!C253,input_590100!A:H,8,FALSE))</f>
        <v>1353750</v>
      </c>
      <c r="P253" s="46">
        <f t="shared" ca="1" si="10"/>
        <v>9.3041237113466076E-3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input_590100!A$2</f>
        <v>590100</v>
      </c>
      <c r="B254" s="10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IFERROR(VLOOKUP(B254,input_590100!L:R,7,FALSE),VLOOKUP(tables_590100!C254,input_590100!A:H,8,FALSE))</f>
        <v>7143.2692299999999</v>
      </c>
      <c r="P254" s="46">
        <f t="shared" ca="1" si="10"/>
        <v>4.909463388319529E-5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input_590100!A$2</f>
        <v>590100</v>
      </c>
      <c r="B255" s="10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IFERROR(VLOOKUP(B255,input_590100!L:R,7,FALSE),VLOOKUP(tables_590100!C255,input_590100!A:H,8,FALSE))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input_590100!A$2</f>
        <v>590100</v>
      </c>
      <c r="B256" s="10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IFERROR(VLOOKUP(B256,input_590100!L:R,7,FALSE),VLOOKUP(tables_590100!C256,input_590100!A:H,8,FALSE))</f>
        <v>1353750</v>
      </c>
      <c r="P256" s="46">
        <f t="shared" ca="1" si="10"/>
        <v>9.3041237113466076E-3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input_590100!A$2</f>
        <v>590100</v>
      </c>
      <c r="B257" s="10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IFERROR(VLOOKUP(B257,input_590100!L:R,7,FALSE),VLOOKUP(tables_590100!C257,input_590100!A:H,8,FALSE))</f>
        <v>7143.2692299999999</v>
      </c>
      <c r="P257" s="46">
        <f t="shared" ca="1" si="10"/>
        <v>4.909463388319529E-5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input_590100!A$2</f>
        <v>590100</v>
      </c>
      <c r="B258" s="10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IFERROR(VLOOKUP(B258,input_590100!L:R,7,FALSE),VLOOKUP(tables_590100!C258,input_590100!A:H,8,FALSE))</f>
        <v>92150</v>
      </c>
      <c r="P258" s="46">
        <f t="shared" ref="P258:P294" ca="1" si="13">O258/SUM(O:O)</f>
        <v>6.3333333333376904E-4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input_590100!A$2</f>
        <v>590100</v>
      </c>
      <c r="B259" s="10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IFERROR(VLOOKUP(B259,input_590100!L:R,7,FALSE),VLOOKUP(tables_590100!C259,input_590100!A:H,8,FALSE))</f>
        <v>4850</v>
      </c>
      <c r="P259" s="46">
        <f t="shared" ca="1" si="13"/>
        <v>3.3333333333356266E-5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input_590100!A$2</f>
        <v>590100</v>
      </c>
      <c r="B260" s="10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IFERROR(VLOOKUP(B260,input_590100!L:R,7,FALSE),VLOOKUP(tables_590100!C260,input_590100!A:H,8,FALSE))</f>
        <v>92150</v>
      </c>
      <c r="P260" s="46">
        <f t="shared" ca="1" si="13"/>
        <v>6.3333333333376904E-4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input_590100!A$2</f>
        <v>590100</v>
      </c>
      <c r="B261" s="10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IFERROR(VLOOKUP(B261,input_590100!L:R,7,FALSE),VLOOKUP(tables_590100!C261,input_590100!A:H,8,FALSE))</f>
        <v>4850</v>
      </c>
      <c r="P261" s="46">
        <f t="shared" ca="1" si="13"/>
        <v>3.3333333333356266E-5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input_590100!A$2</f>
        <v>590100</v>
      </c>
      <c r="B262" s="10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IFERROR(VLOOKUP(B262,input_590100!L:R,7,FALSE),VLOOKUP(tables_590100!C262,input_590100!A:H,8,FALSE))</f>
        <v>1333392.85714</v>
      </c>
      <c r="P262" s="46">
        <f t="shared" ca="1" si="13"/>
        <v>9.1642120765698786E-3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input_590100!A$2</f>
        <v>590100</v>
      </c>
      <c r="B263" s="10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IFERROR(VLOOKUP(B263,input_590100!L:R,7,FALSE),VLOOKUP(tables_590100!C263,input_590100!A:H,8,FALSE))</f>
        <v>71250</v>
      </c>
      <c r="P263" s="46">
        <f t="shared" ca="1" si="13"/>
        <v>4.8969072164982148E-4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input_590100!A$2</f>
        <v>590100</v>
      </c>
      <c r="B264" s="10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IFERROR(VLOOKUP(B264,input_590100!L:R,7,FALSE),VLOOKUP(tables_590100!C264,input_590100!A:H,8,FALSE))</f>
        <v>1333392.85714</v>
      </c>
      <c r="P264" s="46">
        <f t="shared" ca="1" si="13"/>
        <v>9.1642120765698786E-3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input_590100!A$2</f>
        <v>590100</v>
      </c>
      <c r="B265" s="10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IFERROR(VLOOKUP(B265,input_590100!L:R,7,FALSE),VLOOKUP(tables_590100!C265,input_590100!A:H,8,FALSE))</f>
        <v>71250</v>
      </c>
      <c r="P265" s="46">
        <f t="shared" ca="1" si="13"/>
        <v>4.8969072164982148E-4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input_590100!A$2</f>
        <v>590100</v>
      </c>
      <c r="B266" s="10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IFERROR(VLOOKUP(B266,input_590100!L:R,7,FALSE),VLOOKUP(tables_590100!C266,input_590100!A:H,8,FALSE))</f>
        <v>97000</v>
      </c>
      <c r="P266" s="46">
        <f t="shared" ca="1" si="13"/>
        <v>6.6666666666712537E-4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input_590100!A$2</f>
        <v>590100</v>
      </c>
      <c r="B267" s="10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IFERROR(VLOOKUP(B267,input_590100!L:R,7,FALSE),VLOOKUP(tables_590100!C267,input_590100!A:H,8,FALSE))</f>
        <v>97000</v>
      </c>
      <c r="P267" s="46">
        <f t="shared" ca="1" si="13"/>
        <v>6.6666666666712537E-4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input_590100!A$2</f>
        <v>590100</v>
      </c>
      <c r="B268" s="10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IFERROR(VLOOKUP(B268,input_590100!L:R,7,FALSE),VLOOKUP(tables_590100!C268,input_590100!A:H,8,FALSE))</f>
        <v>97000</v>
      </c>
      <c r="P268" s="46">
        <f t="shared" ca="1" si="13"/>
        <v>6.6666666666712537E-4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input_590100!A$2</f>
        <v>590100</v>
      </c>
      <c r="B269" s="10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IFERROR(VLOOKUP(B269,input_590100!L:R,7,FALSE),VLOOKUP(tables_590100!C269,input_590100!A:H,8,FALSE))</f>
        <v>97000</v>
      </c>
      <c r="P269" s="46">
        <f t="shared" ca="1" si="13"/>
        <v>6.6666666666712537E-4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input_590100!A$2</f>
        <v>590100</v>
      </c>
      <c r="B270" s="10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IFERROR(VLOOKUP(B270,input_590100!L:R,7,FALSE),VLOOKUP(tables_590100!C270,input_590100!A:H,8,FALSE))</f>
        <v>1333392.85714</v>
      </c>
      <c r="P270" s="46">
        <f t="shared" ca="1" si="13"/>
        <v>9.1642120765698786E-3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input_590100!A$2</f>
        <v>590100</v>
      </c>
      <c r="B271" s="102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IFERROR(VLOOKUP(B271,input_590100!L:R,7,FALSE),VLOOKUP(tables_590100!C271,input_590100!A:H,8,FALSE))</f>
        <v>71250</v>
      </c>
      <c r="P271" s="46">
        <f t="shared" ca="1" si="13"/>
        <v>4.8969072164982148E-4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input_590100!A$2</f>
        <v>590100</v>
      </c>
      <c r="B272" s="102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IFERROR(VLOOKUP(B272,input_590100!L:R,7,FALSE),VLOOKUP(tables_590100!C272,input_590100!A:H,8,FALSE))</f>
        <v>1333392.85714</v>
      </c>
      <c r="P272" s="46">
        <f t="shared" ca="1" si="13"/>
        <v>9.1642120765698786E-3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input_590100!A$2</f>
        <v>590100</v>
      </c>
      <c r="B273" s="102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IFERROR(VLOOKUP(B273,input_590100!L:R,7,FALSE),VLOOKUP(tables_590100!C273,input_590100!A:H,8,FALSE))</f>
        <v>71250</v>
      </c>
      <c r="P273" s="46">
        <f t="shared" ca="1" si="13"/>
        <v>4.8969072164982148E-4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input_590100!A$2</f>
        <v>590100</v>
      </c>
      <c r="B274" s="102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IFERROR(VLOOKUP(B274,input_590100!L:R,7,FALSE),VLOOKUP(tables_590100!C274,input_590100!A:H,8,FALSE))</f>
        <v>92150</v>
      </c>
      <c r="P274" s="46">
        <f t="shared" ca="1" si="13"/>
        <v>6.3333333333376904E-4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input_590100!A$2</f>
        <v>590100</v>
      </c>
      <c r="B275" s="102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IFERROR(VLOOKUP(B275,input_590100!L:R,7,FALSE),VLOOKUP(tables_590100!C275,input_590100!A:H,8,FALSE))</f>
        <v>4850</v>
      </c>
      <c r="P275" s="46">
        <f t="shared" ca="1" si="13"/>
        <v>3.3333333333356266E-5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input_590100!A$2</f>
        <v>590100</v>
      </c>
      <c r="B276" s="102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IFERROR(VLOOKUP(B276,input_590100!L:R,7,FALSE),VLOOKUP(tables_590100!C276,input_590100!A:H,8,FALSE))</f>
        <v>92150</v>
      </c>
      <c r="P276" s="46">
        <f t="shared" ca="1" si="13"/>
        <v>6.3333333333376904E-4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input_590100!A$2</f>
        <v>590100</v>
      </c>
      <c r="B277" s="102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IFERROR(VLOOKUP(B277,input_590100!L:R,7,FALSE),VLOOKUP(tables_590100!C277,input_590100!A:H,8,FALSE))</f>
        <v>4850</v>
      </c>
      <c r="P277" s="46">
        <f t="shared" ca="1" si="13"/>
        <v>3.3333333333356266E-5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input_590100!A$2</f>
        <v>590100</v>
      </c>
      <c r="B278" s="102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IFERROR(VLOOKUP(B278,input_590100!L:R,7,FALSE),VLOOKUP(tables_590100!C278,input_590100!A:H,8,FALSE))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input_590100!A$2</f>
        <v>590100</v>
      </c>
      <c r="B279" s="102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IFERROR(VLOOKUP(B279,input_590100!L:R,7,FALSE),VLOOKUP(tables_590100!C279,input_590100!A:H,8,FALSE))</f>
        <v>1353750</v>
      </c>
      <c r="P279" s="46">
        <f t="shared" ca="1" si="13"/>
        <v>9.3041237113466076E-3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input_590100!A$2</f>
        <v>590100</v>
      </c>
      <c r="B280" s="102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IFERROR(VLOOKUP(B280,input_590100!L:R,7,FALSE),VLOOKUP(tables_590100!C280,input_590100!A:H,8,FALSE))</f>
        <v>7143.2692299999999</v>
      </c>
      <c r="P280" s="46">
        <f t="shared" ca="1" si="13"/>
        <v>4.909463388319529E-5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input_590100!A$2</f>
        <v>590100</v>
      </c>
      <c r="B281" s="102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IFERROR(VLOOKUP(B281,input_590100!L:R,7,FALSE),VLOOKUP(tables_590100!C281,input_590100!A:H,8,FALSE))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input_590100!A$2</f>
        <v>590100</v>
      </c>
      <c r="B282" s="102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IFERROR(VLOOKUP(B282,input_590100!L:R,7,FALSE),VLOOKUP(tables_590100!C282,input_590100!A:H,8,FALSE))</f>
        <v>1353750</v>
      </c>
      <c r="P282" s="46">
        <f t="shared" ca="1" si="13"/>
        <v>9.3041237113466076E-3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input_590100!A$2</f>
        <v>590100</v>
      </c>
      <c r="B283" s="102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IFERROR(VLOOKUP(B283,input_590100!L:R,7,FALSE),VLOOKUP(tables_590100!C283,input_590100!A:H,8,FALSE))</f>
        <v>7143.2692299999999</v>
      </c>
      <c r="P283" s="46">
        <f t="shared" ca="1" si="13"/>
        <v>4.909463388319529E-5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input_590100!A$2</f>
        <v>590100</v>
      </c>
      <c r="B284" s="102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IFERROR(VLOOKUP(B284,input_590100!L:R,7,FALSE),VLOOKUP(tables_590100!C284,input_590100!A:H,8,FALSE))</f>
        <v>97000</v>
      </c>
      <c r="P284" s="46">
        <f t="shared" ca="1" si="13"/>
        <v>6.6666666666712537E-4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input_590100!A$2</f>
        <v>590100</v>
      </c>
      <c r="B285" s="102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IFERROR(VLOOKUP(B285,input_590100!L:R,7,FALSE),VLOOKUP(tables_590100!C285,input_590100!A:H,8,FALSE))</f>
        <v>97000</v>
      </c>
      <c r="P285" s="46">
        <f t="shared" ca="1" si="13"/>
        <v>6.6666666666712537E-4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input_590100!A$2</f>
        <v>590100</v>
      </c>
      <c r="B286" s="102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IFERROR(VLOOKUP(B286,input_590100!L:R,7,FALSE),VLOOKUP(tables_590100!C286,input_590100!A:H,8,FALSE))</f>
        <v>1333392.85714</v>
      </c>
      <c r="P286" s="46">
        <f t="shared" ca="1" si="13"/>
        <v>9.1642120765698786E-3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input_590100!A$2</f>
        <v>590100</v>
      </c>
      <c r="B287" s="102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IFERROR(VLOOKUP(B287,input_590100!L:R,7,FALSE),VLOOKUP(tables_590100!C287,input_590100!A:H,8,FALSE))</f>
        <v>71250</v>
      </c>
      <c r="P287" s="46">
        <f t="shared" ca="1" si="13"/>
        <v>4.8969072164982148E-4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input_590100!A$2</f>
        <v>590100</v>
      </c>
      <c r="B288" s="102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IFERROR(VLOOKUP(B288,input_590100!L:R,7,FALSE),VLOOKUP(tables_590100!C288,input_590100!A:H,8,FALSE))</f>
        <v>1333392.85714</v>
      </c>
      <c r="P288" s="46">
        <f t="shared" ca="1" si="13"/>
        <v>9.1642120765698786E-3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input_590100!A$2</f>
        <v>590100</v>
      </c>
      <c r="B289" s="102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IFERROR(VLOOKUP(B289,input_590100!L:R,7,FALSE),VLOOKUP(tables_590100!C289,input_590100!A:H,8,FALSE))</f>
        <v>71250</v>
      </c>
      <c r="P289" s="46">
        <f t="shared" ca="1" si="13"/>
        <v>4.8969072164982148E-4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input_590100!A$2</f>
        <v>590100</v>
      </c>
      <c r="B290" s="102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IFERROR(VLOOKUP(B290,input_590100!L:R,7,FALSE),VLOOKUP(tables_590100!C290,input_590100!A:H,8,FALSE))</f>
        <v>1333392.85714</v>
      </c>
      <c r="P290" s="46">
        <f t="shared" ca="1" si="13"/>
        <v>9.1642120765698786E-3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input_590100!A$2</f>
        <v>590100</v>
      </c>
      <c r="B291" s="102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IFERROR(VLOOKUP(B291,input_590100!L:R,7,FALSE),VLOOKUP(tables_590100!C291,input_590100!A:H,8,FALSE))</f>
        <v>71250</v>
      </c>
      <c r="P291" s="46">
        <f t="shared" ca="1" si="13"/>
        <v>4.8969072164982148E-4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input_590100!A$2</f>
        <v>590100</v>
      </c>
      <c r="B292" s="102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IFERROR(VLOOKUP(B292,input_590100!L:R,7,FALSE),VLOOKUP(tables_590100!C292,input_590100!A:H,8,FALSE))</f>
        <v>1333392.85714</v>
      </c>
      <c r="P292" s="46">
        <f t="shared" ca="1" si="13"/>
        <v>9.1642120765698786E-3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input_590100!A$2</f>
        <v>590100</v>
      </c>
      <c r="B293" s="102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IFERROR(VLOOKUP(B293,input_590100!L:R,7,FALSE),VLOOKUP(tables_590100!C293,input_590100!A:H,8,FALSE))</f>
        <v>71250</v>
      </c>
      <c r="P293" s="46">
        <f t="shared" ca="1" si="13"/>
        <v>4.8969072164982148E-4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input_590100!A$2</f>
        <v>590100</v>
      </c>
      <c r="B294" s="102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IFERROR(VLOOKUP(B294,input_590100!L:R,7,FALSE),VLOOKUP(tables_590100!C294,input_590100!A:H,8,FALSE))</f>
        <v>97000</v>
      </c>
      <c r="P294" s="46">
        <f t="shared" ca="1" si="13"/>
        <v>6.6666666666712537E-4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input_590100!A$2</f>
        <v>590100</v>
      </c>
      <c r="B295" s="102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IFERROR(VLOOKUP(B295,input_590100!L:R,7,FALSE),VLOOKUP(tables_590100!C295,input_590100!A:H,8,FALSE))</f>
        <v>97000</v>
      </c>
      <c r="P295" s="46">
        <f t="shared" ref="P295:P299" ca="1" si="20">O295/SUM(O:O)</f>
        <v>6.6666666666712537E-4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input_590100!A$2</f>
        <v>590100</v>
      </c>
      <c r="B296" s="102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IFERROR(VLOOKUP(B296,input_590100!L:R,7,FALSE),VLOOKUP(tables_590100!C296,input_590100!A:H,8,FALSE))</f>
        <v>97000</v>
      </c>
      <c r="P296" s="46">
        <f t="shared" ca="1" si="20"/>
        <v>6.6666666666712537E-4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input_590100!A$2</f>
        <v>590100</v>
      </c>
      <c r="B297" s="102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IFERROR(VLOOKUP(B297,input_590100!L:R,7,FALSE),VLOOKUP(tables_590100!C297,input_590100!A:H,8,FALSE))</f>
        <v>1333392.85714</v>
      </c>
      <c r="P297" s="46">
        <f t="shared" ca="1" si="20"/>
        <v>9.1642120765698786E-3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input_590100!A$2</f>
        <v>590100</v>
      </c>
      <c r="B298" s="102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IFERROR(VLOOKUP(B298,input_590100!L:R,7,FALSE),VLOOKUP(tables_590100!C298,input_590100!A:H,8,FALSE))</f>
        <v>71250</v>
      </c>
      <c r="P298" s="46">
        <f t="shared" ca="1" si="20"/>
        <v>4.8969072164982148E-4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input_590100!A$2</f>
        <v>590100</v>
      </c>
      <c r="B299" s="102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IFERROR(VLOOKUP(B299,input_590100!L:R,7,FALSE),VLOOKUP(tables_590100!C299,input_590100!A:H,8,FALSE))</f>
        <v>97000</v>
      </c>
      <c r="P299" s="46">
        <f t="shared" ca="1" si="20"/>
        <v>6.6666666666712537E-4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input_590100!A$2</f>
        <v>590100</v>
      </c>
      <c r="B300" s="102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IFERROR(VLOOKUP(B300,input_590100!L:R,7,FALSE),VLOOKUP(tables_590100!C300,input_590100!A:H,8,FALSE))</f>
        <v>97000</v>
      </c>
      <c r="P300" s="46">
        <f t="shared" ref="P300:P304" ca="1" si="22">O300/SUM(O:O)</f>
        <v>6.6666666666712537E-4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input_590100!A$2</f>
        <v>590100</v>
      </c>
      <c r="B301" s="102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IFERROR(VLOOKUP(B301,input_590100!L:R,7,FALSE),VLOOKUP(tables_590100!C301,input_590100!A:H,8,FALSE))</f>
        <v>97000</v>
      </c>
      <c r="P301" s="46">
        <f t="shared" ca="1" si="22"/>
        <v>6.6666666666712537E-4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input_590100!A$2</f>
        <v>590100</v>
      </c>
      <c r="B302" s="102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IFERROR(VLOOKUP(B302,input_590100!L:R,7,FALSE),VLOOKUP(tables_590100!C302,input_590100!A:H,8,FALSE))</f>
        <v>97000</v>
      </c>
      <c r="P302" s="46">
        <f t="shared" ca="1" si="22"/>
        <v>6.6666666666712537E-4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input_590100!A$2</f>
        <v>590100</v>
      </c>
      <c r="B303" s="102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IFERROR(VLOOKUP(B303,input_590100!L:R,7,FALSE),VLOOKUP(tables_590100!C303,input_590100!A:H,8,FALSE))</f>
        <v>1333392.85714</v>
      </c>
      <c r="P303" s="46">
        <f t="shared" ca="1" si="22"/>
        <v>9.1642120765698786E-3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input_590100!A$2</f>
        <v>590100</v>
      </c>
      <c r="B304" s="102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IFERROR(VLOOKUP(B304,input_590100!L:R,7,FALSE),VLOOKUP(tables_590100!C304,input_590100!A:H,8,FALSE))</f>
        <v>71250</v>
      </c>
      <c r="P304" s="46">
        <f t="shared" ca="1" si="22"/>
        <v>4.8969072164982148E-4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input_590100!A$2</f>
        <v>590100</v>
      </c>
      <c r="B305" s="102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IFERROR(VLOOKUP(B305,input_590100!L:R,7,FALSE),VLOOKUP(tables_590100!C305,input_590100!A:H,8,FALSE))</f>
        <v>97000</v>
      </c>
      <c r="P305" s="46">
        <f t="shared" ref="P305:P308" ca="1" si="24">O305/SUM(O:O)</f>
        <v>6.6666666666712537E-4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input_590100!A$2</f>
        <v>590100</v>
      </c>
      <c r="B306" s="102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IFERROR(VLOOKUP(B306,input_590100!L:R,7,FALSE),VLOOKUP(tables_590100!C306,input_590100!A:H,8,FALSE))</f>
        <v>1333392.85714</v>
      </c>
      <c r="P306" s="46">
        <f t="shared" ca="1" si="24"/>
        <v>9.1642120765698786E-3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input_590100!A$2</f>
        <v>590100</v>
      </c>
      <c r="B307" s="102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IFERROR(VLOOKUP(B307,input_590100!L:R,7,FALSE),VLOOKUP(tables_590100!C307,input_590100!A:H,8,FALSE))</f>
        <v>71250</v>
      </c>
      <c r="P307" s="46">
        <f t="shared" ca="1" si="24"/>
        <v>4.8969072164982148E-4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input_590100!A$2</f>
        <v>590100</v>
      </c>
      <c r="B308" s="102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IFERROR(VLOOKUP(B308,input_590100!L:R,7,FALSE),VLOOKUP(tables_590100!C308,input_590100!A:H,8,FALSE))</f>
        <v>97000</v>
      </c>
      <c r="P308" s="46">
        <f t="shared" ca="1" si="24"/>
        <v>6.6666666666712537E-4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input_590100!A$2</f>
        <v>590100</v>
      </c>
      <c r="B309" s="102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IFERROR(VLOOKUP(B309,input_590100!L:R,7,FALSE),VLOOKUP(tables_590100!C309,input_590100!A:H,8,FALSE))</f>
        <v>97000</v>
      </c>
      <c r="P309" s="46">
        <f t="shared" ref="P309" ca="1" si="26">O309/SUM(O:O)</f>
        <v>6.6666666666712537E-4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input_590100!A$2</f>
        <v>590100</v>
      </c>
      <c r="B310" s="102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IFERROR(VLOOKUP(B310,input_590100!L:R,7,FALSE),VLOOKUP(tables_590100!C310,input_590100!A:H,8,FALSE))</f>
        <v>97000</v>
      </c>
      <c r="P310" s="46">
        <f t="shared" ref="P310:P314" ca="1" si="28">O310/SUM(O:O)</f>
        <v>6.6666666666712537E-4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input_590100!A$2</f>
        <v>590100</v>
      </c>
      <c r="B311" s="102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IFERROR(VLOOKUP(B311,input_590100!L:R,7,FALSE),VLOOKUP(tables_590100!C311,input_590100!A:H,8,FALSE))</f>
        <v>1333392.85714</v>
      </c>
      <c r="P311" s="46">
        <f t="shared" ca="1" si="28"/>
        <v>9.1642120765698786E-3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input_590100!A$2</f>
        <v>590100</v>
      </c>
      <c r="B312" s="102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IFERROR(VLOOKUP(B312,input_590100!L:R,7,FALSE),VLOOKUP(tables_590100!C312,input_590100!A:H,8,FALSE))</f>
        <v>71250</v>
      </c>
      <c r="P312" s="46">
        <f t="shared" ca="1" si="28"/>
        <v>4.8969072164982148E-4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input_590100!A$2</f>
        <v>590100</v>
      </c>
      <c r="B313" s="102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IFERROR(VLOOKUP(B313,input_590100!L:R,7,FALSE),VLOOKUP(tables_590100!C313,input_590100!A:H,8,FALSE))</f>
        <v>97000</v>
      </c>
      <c r="P313" s="46">
        <f t="shared" ca="1" si="28"/>
        <v>6.6666666666712537E-4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input_590100!A$2</f>
        <v>590100</v>
      </c>
      <c r="B314" s="102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IFERROR(VLOOKUP(B314,input_590100!L:R,7,FALSE),VLOOKUP(tables_590100!C314,input_590100!A:H,8,FALSE))</f>
        <v>97000</v>
      </c>
      <c r="P314" s="46">
        <f t="shared" ca="1" si="28"/>
        <v>6.6666666666712537E-4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input_590100!A$2</f>
        <v>590100</v>
      </c>
      <c r="B315" s="102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IFERROR(VLOOKUP(B315,input_590100!L:R,7,FALSE),VLOOKUP(tables_590100!C315,input_590100!A:H,8,FALSE))</f>
        <v>97000</v>
      </c>
      <c r="P315" s="46">
        <f t="shared" ref="P315:P319" ca="1" si="30">O315/SUM(O:O)</f>
        <v>6.6666666666712537E-4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input_590100!A$2</f>
        <v>590100</v>
      </c>
      <c r="B316" s="102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IFERROR(VLOOKUP(B316,input_590100!L:R,7,FALSE),VLOOKUP(tables_590100!C316,input_590100!A:H,8,FALSE))</f>
        <v>97000</v>
      </c>
      <c r="P316" s="46">
        <f t="shared" ca="1" si="30"/>
        <v>6.6666666666712537E-4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input_590100!A$2</f>
        <v>590100</v>
      </c>
      <c r="B317" s="102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IFERROR(VLOOKUP(B317,input_590100!L:R,7,FALSE),VLOOKUP(tables_590100!C317,input_590100!A:H,8,FALSE))</f>
        <v>97000</v>
      </c>
      <c r="P317" s="46">
        <f t="shared" ca="1" si="30"/>
        <v>6.6666666666712537E-4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input_590100!A$2</f>
        <v>590100</v>
      </c>
      <c r="B318" s="102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IFERROR(VLOOKUP(B318,input_590100!L:R,7,FALSE),VLOOKUP(tables_590100!C318,input_590100!A:H,8,FALSE))</f>
        <v>1333392.85714</v>
      </c>
      <c r="P318" s="46">
        <f t="shared" ca="1" si="30"/>
        <v>9.1642120765698786E-3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input_590100!A$2</f>
        <v>590100</v>
      </c>
      <c r="B319" s="102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IFERROR(VLOOKUP(B319,input_590100!L:R,7,FALSE),VLOOKUP(tables_590100!C319,input_590100!A:H,8,FALSE))</f>
        <v>71250</v>
      </c>
      <c r="P319" s="46">
        <f t="shared" ca="1" si="30"/>
        <v>4.8969072164982148E-4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input_590100!A$2</f>
        <v>590100</v>
      </c>
      <c r="B320" s="102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IFERROR(VLOOKUP(B320,input_590100!L:R,7,FALSE),VLOOKUP(tables_590100!C320,input_590100!A:H,8,FALSE))</f>
        <v>97000</v>
      </c>
      <c r="P320" s="46">
        <f t="shared" ref="P320:P324" ca="1" si="32">O320/SUM(O:O)</f>
        <v>6.6666666666712537E-4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input_590100!A$2</f>
        <v>590100</v>
      </c>
      <c r="B321" s="102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IFERROR(VLOOKUP(B321,input_590100!L:R,7,FALSE),VLOOKUP(tables_590100!C321,input_590100!A:H,8,FALSE))</f>
        <v>97000</v>
      </c>
      <c r="P321" s="46">
        <f t="shared" ca="1" si="32"/>
        <v>6.6666666666712537E-4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input_590100!A$2</f>
        <v>590100</v>
      </c>
      <c r="B322" s="102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IFERROR(VLOOKUP(B322,input_590100!L:R,7,FALSE),VLOOKUP(tables_590100!C322,input_590100!A:H,8,FALSE))</f>
        <v>97000</v>
      </c>
      <c r="P322" s="46">
        <f t="shared" ca="1" si="32"/>
        <v>6.6666666666712537E-4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input_590100!A$2</f>
        <v>590100</v>
      </c>
      <c r="B323" s="102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IFERROR(VLOOKUP(B323,input_590100!L:R,7,FALSE),VLOOKUP(tables_590100!C323,input_590100!A:H,8,FALSE))</f>
        <v>97000</v>
      </c>
      <c r="P323" s="46">
        <f t="shared" ca="1" si="32"/>
        <v>6.6666666666712537E-4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input_590100!A$2</f>
        <v>590100</v>
      </c>
      <c r="B324" s="10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IFERROR(VLOOKUP(B324,input_590100!L:R,7,FALSE),VLOOKUP(tables_590100!C324,input_590100!A:H,8,FALSE))</f>
        <v>1333392.85714</v>
      </c>
      <c r="P324" s="46">
        <f t="shared" ca="1" si="32"/>
        <v>9.1642120765698786E-3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input_590100!A$2</f>
        <v>590100</v>
      </c>
      <c r="B325" s="10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IFERROR(VLOOKUP(B325,input_590100!L:R,7,FALSE),VLOOKUP(tables_590100!C325,input_590100!A:H,8,FALSE))</f>
        <v>71250</v>
      </c>
      <c r="P325" s="46">
        <f t="shared" ref="P325:P330" ca="1" si="35">O325/SUM(O:O)</f>
        <v>4.8969072164982148E-4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input_590100!A$2</f>
        <v>590100</v>
      </c>
      <c r="B326" s="10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IFERROR(VLOOKUP(B326,input_590100!L:R,7,FALSE),VLOOKUP(tables_590100!C326,input_590100!A:H,8,FALSE))</f>
        <v>1333392.85714</v>
      </c>
      <c r="P326" s="46">
        <f t="shared" ca="1" si="35"/>
        <v>9.1642120765698786E-3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input_590100!A$2</f>
        <v>590100</v>
      </c>
      <c r="B327" s="10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IFERROR(VLOOKUP(B327,input_590100!L:R,7,FALSE),VLOOKUP(tables_590100!C327,input_590100!A:H,8,FALSE))</f>
        <v>71250</v>
      </c>
      <c r="P327" s="46">
        <f t="shared" ca="1" si="35"/>
        <v>4.8969072164982148E-4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input_590100!A$2</f>
        <v>590100</v>
      </c>
      <c r="B328" s="10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IFERROR(VLOOKUP(B328,input_590100!L:R,7,FALSE),VLOOKUP(tables_590100!C328,input_590100!A:H,8,FALSE))</f>
        <v>97000</v>
      </c>
      <c r="P328" s="46">
        <f t="shared" ca="1" si="35"/>
        <v>6.6666666666712537E-4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input_590100!A$2</f>
        <v>590100</v>
      </c>
      <c r="B329" s="10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IFERROR(VLOOKUP(B329,input_590100!L:R,7,FALSE),VLOOKUP(tables_590100!C329,input_590100!A:H,8,FALSE))</f>
        <v>97000</v>
      </c>
      <c r="P329" s="46">
        <f t="shared" ca="1" si="35"/>
        <v>6.6666666666712537E-4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input_590100!A$2</f>
        <v>590100</v>
      </c>
      <c r="B330" s="102">
        <v>1157</v>
      </c>
      <c r="C330" s="7" t="str">
        <f t="shared" si="34"/>
        <v>PremiumSS5R5only</v>
      </c>
      <c r="D330" s="96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IFERROR(VLOOKUP(B330,input_590100!L:R,7,FALSE),VLOOKUP(tables_590100!C330,input_590100!A:H,8,FALSE))</f>
        <v>97000</v>
      </c>
      <c r="P330" s="46">
        <f t="shared" ca="1" si="35"/>
        <v>6.6666666666712537E-4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input_590100!A$2</f>
        <v>590100</v>
      </c>
      <c r="B331" s="100">
        <v>1214</v>
      </c>
      <c r="C331" s="7" t="str">
        <f t="shared" ref="C331:C335" si="36">D331&amp;J331&amp;E331&amp;F331&amp;G331</f>
        <v>PremiumSS5R5only</v>
      </c>
      <c r="D331" s="96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IFERROR(VLOOKUP(B331,input_590100!L:R,7,FALSE),VLOOKUP(tables_590100!C331,input_590100!A:H,8,FALSE))</f>
        <v>97000</v>
      </c>
      <c r="P331" s="46">
        <f t="shared" ref="P331:P335" ca="1" si="38">O331/SUM(O:O)</f>
        <v>6.6666666666712537E-4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input_590100!A$2</f>
        <v>590100</v>
      </c>
      <c r="B332" s="100">
        <v>1212</v>
      </c>
      <c r="C332" s="7" t="str">
        <f t="shared" si="36"/>
        <v>PremiumSS5R5only</v>
      </c>
      <c r="D332" s="96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IFERROR(VLOOKUP(B332,input_590100!L:R,7,FALSE),VLOOKUP(tables_590100!C332,input_590100!A:H,8,FALSE))</f>
        <v>97000</v>
      </c>
      <c r="P332" s="46">
        <f t="shared" ca="1" si="38"/>
        <v>6.6666666666712537E-4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input_590100!A$2</f>
        <v>590100</v>
      </c>
      <c r="B333" s="100">
        <v>1208</v>
      </c>
      <c r="C333" s="7" t="str">
        <f t="shared" si="36"/>
        <v>PremiumSS5R5only</v>
      </c>
      <c r="D333" s="96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IFERROR(VLOOKUP(B333,input_590100!L:R,7,FALSE),VLOOKUP(tables_590100!C333,input_590100!A:H,8,FALSE))</f>
        <v>97000</v>
      </c>
      <c r="P333" s="46">
        <f t="shared" ca="1" si="38"/>
        <v>6.6666666666712537E-4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input_590100!A$2</f>
        <v>590100</v>
      </c>
      <c r="B334" s="101">
        <v>1210</v>
      </c>
      <c r="C334" s="7" t="str">
        <f t="shared" si="36"/>
        <v>Premium4R3less</v>
      </c>
      <c r="D334" s="96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IFERROR(VLOOKUP(B334,input_590100!L:R,7,FALSE),VLOOKUP(tables_590100!C334,input_590100!A:H,8,FALSE))</f>
        <v>1333392.85714</v>
      </c>
      <c r="P334" s="46">
        <f t="shared" ca="1" si="38"/>
        <v>9.1642120765698786E-3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input_590100!A$2</f>
        <v>590100</v>
      </c>
      <c r="B335" s="100">
        <v>1211</v>
      </c>
      <c r="C335" s="7" t="str">
        <f t="shared" si="36"/>
        <v>Premium5R3less</v>
      </c>
      <c r="D335" s="96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IFERROR(VLOOKUP(B335,input_590100!L:R,7,FALSE),VLOOKUP(tables_590100!C335,input_590100!A:H,8,FALSE))</f>
        <v>71250</v>
      </c>
      <c r="P335" s="46">
        <f t="shared" ca="1" si="38"/>
        <v>4.8969072164982148E-4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input_590100!A$2</f>
        <v>590100</v>
      </c>
      <c r="B336" s="102">
        <v>1224</v>
      </c>
      <c r="C336" s="7" t="str">
        <f t="shared" ref="C336:C340" si="39">D336&amp;J336&amp;E336&amp;F336&amp;G336</f>
        <v>Premium4R3less</v>
      </c>
      <c r="D336" s="96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IFERROR(VLOOKUP(B336,input_590100!L:R,7,FALSE),VLOOKUP(tables_590100!C336,input_590100!A:H,8,FALSE))</f>
        <v>1333392.85714</v>
      </c>
      <c r="P336" s="46">
        <f t="shared" ref="P336:P340" ca="1" si="41">O336/SUM(O:O)</f>
        <v>9.1642120765698786E-3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input_590100!A$2</f>
        <v>590100</v>
      </c>
      <c r="B337" s="102">
        <v>1225</v>
      </c>
      <c r="C337" s="7" t="str">
        <f t="shared" si="39"/>
        <v>Premium5R3less</v>
      </c>
      <c r="D337" s="96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IFERROR(VLOOKUP(B337,input_590100!L:R,7,FALSE),VLOOKUP(tables_590100!C337,input_590100!A:H,8,FALSE))</f>
        <v>71250</v>
      </c>
      <c r="P337" s="46">
        <f t="shared" ca="1" si="41"/>
        <v>4.8969072164982148E-4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input_590100!A$2</f>
        <v>590100</v>
      </c>
      <c r="B338" s="102">
        <v>1226</v>
      </c>
      <c r="C338" s="7" t="str">
        <f t="shared" si="39"/>
        <v>PremiumSS5R5only</v>
      </c>
      <c r="D338" s="96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IFERROR(VLOOKUP(B338,input_590100!L:R,7,FALSE),VLOOKUP(tables_590100!C338,input_590100!A:H,8,FALSE))</f>
        <v>97000</v>
      </c>
      <c r="P338" s="46">
        <f t="shared" ca="1" si="41"/>
        <v>6.6666666666712537E-4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input_590100!A$2</f>
        <v>590100</v>
      </c>
      <c r="B339" s="102">
        <v>1228</v>
      </c>
      <c r="C339" s="7" t="str">
        <f t="shared" si="39"/>
        <v>PremiumSS5R5only</v>
      </c>
      <c r="D339" s="96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IFERROR(VLOOKUP(B339,input_590100!L:R,7,FALSE),VLOOKUP(tables_590100!C339,input_590100!A:H,8,FALSE))</f>
        <v>97000</v>
      </c>
      <c r="P339" s="46">
        <f t="shared" ca="1" si="41"/>
        <v>6.6666666666712537E-4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input_590100!A$2</f>
        <v>590100</v>
      </c>
      <c r="B340" s="102">
        <v>1230</v>
      </c>
      <c r="C340" s="7" t="str">
        <f t="shared" si="39"/>
        <v>PremiumSS5R5only</v>
      </c>
      <c r="D340" s="96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IFERROR(VLOOKUP(B340,input_590100!L:R,7,FALSE),VLOOKUP(tables_590100!C340,input_590100!A:H,8,FALSE))</f>
        <v>97000</v>
      </c>
      <c r="P340" s="46">
        <f t="shared" ca="1" si="41"/>
        <v>6.6666666666712537E-4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input_590100!A$2</f>
        <v>590100</v>
      </c>
      <c r="B341" s="102">
        <v>1250</v>
      </c>
      <c r="C341" s="7" t="str">
        <f t="shared" ref="C341:C345" si="42">D341&amp;J341&amp;E341&amp;F341&amp;G341</f>
        <v>PremiumSS5R5only</v>
      </c>
      <c r="D341" s="96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IFERROR(VLOOKUP(B341,input_590100!L:R,7,FALSE),VLOOKUP(tables_590100!C341,input_590100!A:H,8,FALSE))</f>
        <v>97000</v>
      </c>
      <c r="P341" s="46">
        <f t="shared" ref="P341:P345" ca="1" si="44">O341/SUM(O:O)</f>
        <v>6.6666666666712537E-4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input_590100!A$2</f>
        <v>590100</v>
      </c>
      <c r="B342" s="102">
        <v>1248</v>
      </c>
      <c r="C342" s="7" t="str">
        <f t="shared" si="42"/>
        <v>Premium4R3less</v>
      </c>
      <c r="D342" s="96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IFERROR(VLOOKUP(B342,input_590100!L:R,7,FALSE),VLOOKUP(tables_590100!C342,input_590100!A:H,8,FALSE))</f>
        <v>1333392.85714</v>
      </c>
      <c r="P342" s="46">
        <f t="shared" ca="1" si="44"/>
        <v>9.1642120765698786E-3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input_590100!A$2</f>
        <v>590100</v>
      </c>
      <c r="B343" s="102">
        <v>1249</v>
      </c>
      <c r="C343" s="7" t="str">
        <f t="shared" si="42"/>
        <v>Premium5R3less</v>
      </c>
      <c r="D343" s="96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IFERROR(VLOOKUP(B343,input_590100!L:R,7,FALSE),VLOOKUP(tables_590100!C343,input_590100!A:H,8,FALSE))</f>
        <v>71250</v>
      </c>
      <c r="P343" s="46">
        <f t="shared" ca="1" si="44"/>
        <v>4.8969072164982148E-4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input_590100!A$2</f>
        <v>590100</v>
      </c>
      <c r="B344" s="102">
        <v>1246</v>
      </c>
      <c r="C344" s="7" t="str">
        <f t="shared" si="42"/>
        <v>PremiumSS5R5only</v>
      </c>
      <c r="D344" s="96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IFERROR(VLOOKUP(B344,input_590100!L:R,7,FALSE),VLOOKUP(tables_590100!C344,input_590100!A:H,8,FALSE))</f>
        <v>97000</v>
      </c>
      <c r="P344" s="46">
        <f t="shared" ca="1" si="44"/>
        <v>6.6666666666712537E-4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input_590100!A$2</f>
        <v>590100</v>
      </c>
      <c r="B345" s="102">
        <v>1244</v>
      </c>
      <c r="C345" s="7" t="str">
        <f t="shared" si="42"/>
        <v>PremiumSS5R5only</v>
      </c>
      <c r="D345" s="96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IFERROR(VLOOKUP(B345,input_590100!L:R,7,FALSE),VLOOKUP(tables_590100!C345,input_590100!A:H,8,FALSE))</f>
        <v>97000</v>
      </c>
      <c r="P345" s="46">
        <f t="shared" ca="1" si="44"/>
        <v>6.6666666666712537E-4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input_590100!A$2</f>
        <v>590100</v>
      </c>
      <c r="B346" s="102">
        <v>1260</v>
      </c>
      <c r="C346" s="7" t="str">
        <f t="shared" ref="C346:C350" si="45">D346&amp;J346&amp;E346&amp;F346&amp;G346</f>
        <v>PremiumSS5R5only</v>
      </c>
      <c r="D346" s="96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IFERROR(VLOOKUP(B346,input_590100!L:R,7,FALSE),VLOOKUP(tables_590100!C346,input_590100!A:H,8,FALSE))</f>
        <v>97000</v>
      </c>
      <c r="P346" s="46">
        <f t="shared" ref="P346:P350" ca="1" si="47">O346/SUM(O:O)</f>
        <v>6.6666666666712537E-4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input_590100!A$2</f>
        <v>590100</v>
      </c>
      <c r="B347" s="102">
        <v>1262</v>
      </c>
      <c r="C347" s="7" t="str">
        <f t="shared" si="45"/>
        <v>PremiumSS5R5only</v>
      </c>
      <c r="D347" s="96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IFERROR(VLOOKUP(B347,input_590100!L:R,7,FALSE),VLOOKUP(tables_590100!C347,input_590100!A:H,8,FALSE))</f>
        <v>97000</v>
      </c>
      <c r="P347" s="46">
        <f t="shared" ca="1" si="47"/>
        <v>6.6666666666712537E-4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input_590100!A$2</f>
        <v>590100</v>
      </c>
      <c r="B348" s="102">
        <v>1264</v>
      </c>
      <c r="C348" s="7" t="str">
        <f t="shared" si="45"/>
        <v>PremiumSS5R5only</v>
      </c>
      <c r="D348" s="96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IFERROR(VLOOKUP(B348,input_590100!L:R,7,FALSE),VLOOKUP(tables_590100!C348,input_590100!A:H,8,FALSE))</f>
        <v>97000</v>
      </c>
      <c r="P348" s="46">
        <f t="shared" ca="1" si="47"/>
        <v>6.6666666666712537E-4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input_590100!A$2</f>
        <v>590100</v>
      </c>
      <c r="B349" s="102">
        <v>1266</v>
      </c>
      <c r="C349" s="7" t="str">
        <f t="shared" si="45"/>
        <v>Premium4R3less</v>
      </c>
      <c r="D349" s="96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IFERROR(VLOOKUP(B349,input_590100!L:R,7,FALSE),VLOOKUP(tables_590100!C349,input_590100!A:H,8,FALSE))</f>
        <v>1333392.85714</v>
      </c>
      <c r="P349" s="46">
        <f t="shared" ca="1" si="47"/>
        <v>9.1642120765698786E-3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input_590100!A$2</f>
        <v>590100</v>
      </c>
      <c r="B350" s="102">
        <v>1267</v>
      </c>
      <c r="C350" s="7" t="str">
        <f t="shared" si="45"/>
        <v>Premium5R3less</v>
      </c>
      <c r="D350" s="96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IFERROR(VLOOKUP(B350,input_590100!L:R,7,FALSE),VLOOKUP(tables_590100!C350,input_590100!A:H,8,FALSE))</f>
        <v>71250</v>
      </c>
      <c r="P350" s="46">
        <f t="shared" ca="1" si="47"/>
        <v>4.8969072164982148E-4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input_590100!A$2</f>
        <v>590100</v>
      </c>
      <c r="B351" s="102">
        <v>1332</v>
      </c>
      <c r="C351" s="7" t="str">
        <f t="shared" ref="C351:C355" si="48">D351&amp;J351&amp;E351&amp;F351&amp;G351</f>
        <v>PremiumSS5R5only</v>
      </c>
      <c r="D351" s="96" t="str">
        <f t="shared" ref="D351:D355" si="4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IFERROR(VLOOKUP(B351,input_590100!L:R,7,FALSE),VLOOKUP(tables_590100!C351,input_590100!A:H,8,FALSE))</f>
        <v>97000</v>
      </c>
      <c r="P351" s="46">
        <f t="shared" ref="P351:P355" ca="1" si="50">O351/SUM(O:O)</f>
        <v>6.6666666666712537E-4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input_590100!A$2</f>
        <v>590100</v>
      </c>
      <c r="B352" s="102">
        <v>1336</v>
      </c>
      <c r="C352" s="7" t="str">
        <f t="shared" si="48"/>
        <v>PremiumSS5R5only</v>
      </c>
      <c r="D352" s="96" t="str">
        <f t="shared" si="4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IFERROR(VLOOKUP(B352,input_590100!L:R,7,FALSE),VLOOKUP(tables_590100!C352,input_590100!A:H,8,FALSE))</f>
        <v>97000</v>
      </c>
      <c r="P352" s="46">
        <f t="shared" ca="1" si="50"/>
        <v>6.6666666666712537E-4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input_590100!A$2</f>
        <v>590100</v>
      </c>
      <c r="B353" s="102">
        <v>1338</v>
      </c>
      <c r="C353" s="7" t="str">
        <f t="shared" si="48"/>
        <v>PremiumSS5R5only</v>
      </c>
      <c r="D353" s="96" t="str">
        <f t="shared" si="4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IFERROR(VLOOKUP(B353,input_590100!L:R,7,FALSE),VLOOKUP(tables_590100!C353,input_590100!A:H,8,FALSE))</f>
        <v>97000</v>
      </c>
      <c r="P353" s="46">
        <f t="shared" ca="1" si="50"/>
        <v>6.6666666666712537E-4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input_590100!A$2</f>
        <v>590100</v>
      </c>
      <c r="B354" s="102">
        <v>1334</v>
      </c>
      <c r="C354" s="7" t="str">
        <f t="shared" si="48"/>
        <v>Premium4R3less</v>
      </c>
      <c r="D354" s="96" t="str">
        <f t="shared" si="4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IFERROR(VLOOKUP(B354,input_590100!L:R,7,FALSE),VLOOKUP(tables_590100!C354,input_590100!A:H,8,FALSE))</f>
        <v>1333392.85714</v>
      </c>
      <c r="P354" s="46">
        <f t="shared" ca="1" si="50"/>
        <v>9.1642120765698786E-3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input_590100!A$2</f>
        <v>590100</v>
      </c>
      <c r="B355" s="102">
        <v>1335</v>
      </c>
      <c r="C355" s="7" t="str">
        <f t="shared" si="48"/>
        <v>Premium5R3less</v>
      </c>
      <c r="D355" s="96" t="str">
        <f t="shared" si="4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IFERROR(VLOOKUP(B355,input_590100!L:R,7,FALSE),VLOOKUP(tables_590100!C355,input_590100!A:H,8,FALSE))</f>
        <v>71250</v>
      </c>
      <c r="P355" s="46">
        <f t="shared" ca="1" si="50"/>
        <v>4.8969072164982148E-4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input_590100!A$2</f>
        <v>590100</v>
      </c>
      <c r="B356" s="5">
        <v>1381</v>
      </c>
      <c r="C356" s="7" t="str">
        <f t="shared" ref="C356" si="51">D356&amp;J356&amp;E356&amp;F356&amp;G356</f>
        <v>Premium4R3less</v>
      </c>
      <c r="D356" s="96" t="str">
        <f t="shared" ref="D356" si="52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IFERROR(VLOOKUP(B356,input_590100!L:R,7,FALSE),VLOOKUP(tables_590100!C356,input_590100!A:H,8,FALSE))</f>
        <v>1333392.85714</v>
      </c>
      <c r="P356" s="46">
        <f t="shared" ref="P356" ca="1" si="53">O356/SUM(O:O)</f>
        <v>9.1642120765698786E-3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input_590100!A$2</f>
        <v>590100</v>
      </c>
      <c r="B357" s="5">
        <v>1382</v>
      </c>
      <c r="C357" s="7" t="str">
        <f t="shared" ref="C357:C360" si="54">D357&amp;J357&amp;E357&amp;F357&amp;G357</f>
        <v>Premium5R3less</v>
      </c>
      <c r="D357" s="96" t="str">
        <f t="shared" ref="D357:D360" si="55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IFERROR(VLOOKUP(B357,input_590100!L:R,7,FALSE),VLOOKUP(tables_590100!C357,input_590100!A:H,8,FALSE))</f>
        <v>71250</v>
      </c>
      <c r="P357" s="46">
        <f t="shared" ref="P357:P360" ca="1" si="56">O357/SUM(O:O)</f>
        <v>4.8969072164982148E-4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input_590100!A$2</f>
        <v>590100</v>
      </c>
      <c r="B358" s="5">
        <v>1383</v>
      </c>
      <c r="C358" s="7" t="str">
        <f t="shared" si="54"/>
        <v>PremiumSS5R5only</v>
      </c>
      <c r="D358" s="96" t="str">
        <f t="shared" si="55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IFERROR(VLOOKUP(B358,input_590100!L:R,7,FALSE),VLOOKUP(tables_590100!C358,input_590100!A:H,8,FALSE))</f>
        <v>97000</v>
      </c>
      <c r="P358" s="46">
        <f t="shared" ca="1" si="56"/>
        <v>6.6666666666712537E-4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input_590100!A$2</f>
        <v>590100</v>
      </c>
      <c r="B359" s="5">
        <v>1385</v>
      </c>
      <c r="C359" s="7" t="str">
        <f t="shared" si="54"/>
        <v>PremiumSS5R5only</v>
      </c>
      <c r="D359" s="96" t="str">
        <f t="shared" si="55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IFERROR(VLOOKUP(B359,input_590100!L:R,7,FALSE),VLOOKUP(tables_590100!C359,input_590100!A:H,8,FALSE))</f>
        <v>97000</v>
      </c>
      <c r="P359" s="46">
        <f t="shared" ca="1" si="56"/>
        <v>6.6666666666712537E-4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input_590100!A$2</f>
        <v>590100</v>
      </c>
      <c r="B360" s="5">
        <v>1387</v>
      </c>
      <c r="C360" s="7" t="str">
        <f t="shared" si="54"/>
        <v>PremiumSS5R5only</v>
      </c>
      <c r="D360" s="96" t="str">
        <f t="shared" si="5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IFERROR(VLOOKUP(B360,input_590100!L:R,7,FALSE),VLOOKUP(tables_590100!C360,input_590100!A:H,8,FALSE))</f>
        <v>97000</v>
      </c>
      <c r="P360" s="46">
        <f t="shared" ca="1" si="56"/>
        <v>6.6666666666712537E-4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input_590010</vt:lpstr>
      <vt:lpstr>tables_590010</vt:lpstr>
      <vt:lpstr>input_590100</vt:lpstr>
      <vt:lpstr>tables_590100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2017-04-30T13:58:17Z</dcterms:modified>
</cp:coreProperties>
</file>