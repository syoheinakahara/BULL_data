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1080" windowHeight="2082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enemy_habitat_S!$B$1:$Y$1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1" l="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L27" i="19"/>
  <c r="K27" i="19"/>
  <c r="G27" i="19"/>
  <c r="F27" i="19"/>
  <c r="D27" i="19"/>
  <c r="C27" i="19"/>
  <c r="L26" i="19"/>
  <c r="K26" i="19"/>
  <c r="G26" i="19"/>
  <c r="F26" i="19"/>
  <c r="D26" i="19"/>
  <c r="C26" i="19"/>
  <c r="L25" i="19"/>
  <c r="K25" i="19"/>
  <c r="G25" i="19"/>
  <c r="F25" i="19"/>
  <c r="D25" i="19"/>
  <c r="C25" i="19"/>
  <c r="L24" i="19"/>
  <c r="K24" i="19"/>
  <c r="G24" i="19"/>
  <c r="F24" i="19"/>
  <c r="D24" i="19"/>
  <c r="C24" i="19"/>
  <c r="L23" i="19"/>
  <c r="K23" i="19"/>
  <c r="G23" i="19"/>
  <c r="F23" i="19"/>
  <c r="D23" i="19"/>
  <c r="C23" i="19"/>
  <c r="L22" i="19"/>
  <c r="K22" i="19"/>
  <c r="G22" i="19"/>
  <c r="F22" i="19"/>
  <c r="D22" i="19"/>
  <c r="C22" i="19"/>
  <c r="L21" i="19"/>
  <c r="K21" i="19"/>
  <c r="G21" i="19"/>
  <c r="F21" i="19"/>
  <c r="D21" i="19"/>
  <c r="C21" i="19"/>
  <c r="L20" i="19"/>
  <c r="K20" i="19"/>
  <c r="G20" i="19"/>
  <c r="F20" i="19"/>
  <c r="D20" i="19"/>
  <c r="C20" i="19"/>
  <c r="L19" i="19"/>
  <c r="K19" i="19"/>
  <c r="G19" i="19"/>
  <c r="F19" i="19"/>
  <c r="D19" i="19"/>
  <c r="C19" i="19"/>
  <c r="L18" i="19"/>
  <c r="K18" i="19"/>
  <c r="G18" i="19"/>
  <c r="F18" i="19"/>
  <c r="D18" i="19"/>
  <c r="C18" i="19"/>
  <c r="L17" i="19"/>
  <c r="K17" i="19"/>
  <c r="G17" i="19"/>
  <c r="F17" i="19"/>
  <c r="D17" i="19"/>
  <c r="C17" i="19"/>
  <c r="L16" i="19"/>
  <c r="K16" i="19"/>
  <c r="G16" i="19"/>
  <c r="F16" i="19"/>
  <c r="D16" i="19"/>
  <c r="C16" i="19"/>
  <c r="L15" i="19"/>
  <c r="K15" i="19"/>
  <c r="G15" i="19"/>
  <c r="F15" i="19"/>
  <c r="D15" i="19"/>
  <c r="C15" i="19"/>
  <c r="L14" i="19"/>
  <c r="K14" i="19"/>
  <c r="G14" i="19"/>
  <c r="F14" i="19"/>
  <c r="D14" i="19"/>
  <c r="C14" i="19"/>
  <c r="L13" i="19"/>
  <c r="K13" i="19"/>
  <c r="G13" i="19"/>
  <c r="F13" i="19"/>
  <c r="D13" i="19"/>
  <c r="C13" i="19"/>
  <c r="L12" i="19"/>
  <c r="K12" i="19"/>
  <c r="G12" i="19"/>
  <c r="F12" i="19"/>
  <c r="D12" i="19"/>
  <c r="C12" i="19"/>
  <c r="L11" i="19"/>
  <c r="K11" i="19"/>
  <c r="G11" i="19"/>
  <c r="F11" i="19"/>
  <c r="D11" i="19"/>
  <c r="C11" i="19"/>
  <c r="L10" i="19"/>
  <c r="K10" i="19"/>
  <c r="G10" i="19"/>
  <c r="F10" i="19"/>
  <c r="D10" i="19"/>
  <c r="C10" i="19"/>
  <c r="L9" i="19"/>
  <c r="K9" i="19"/>
  <c r="G9" i="19"/>
  <c r="F9" i="19"/>
  <c r="D9" i="19"/>
  <c r="C9" i="19"/>
  <c r="L8" i="19"/>
  <c r="K8" i="19"/>
  <c r="G8" i="19"/>
  <c r="F8" i="19"/>
  <c r="D8" i="19"/>
  <c r="C8" i="19"/>
  <c r="L7" i="19"/>
  <c r="K7" i="19"/>
  <c r="G7" i="19"/>
  <c r="F7" i="19"/>
  <c r="D7" i="19"/>
  <c r="C7" i="19"/>
  <c r="L6" i="19"/>
  <c r="K6" i="19"/>
  <c r="G6" i="19"/>
  <c r="F6" i="19"/>
  <c r="D6" i="19"/>
  <c r="C6" i="19"/>
  <c r="L5" i="19"/>
  <c r="K5" i="19"/>
  <c r="G5" i="19"/>
  <c r="F5" i="19"/>
  <c r="D5" i="19"/>
  <c r="C5" i="19"/>
  <c r="L4" i="19"/>
  <c r="K4" i="19"/>
  <c r="G4" i="19"/>
  <c r="F4" i="19"/>
  <c r="D4" i="19"/>
  <c r="C4" i="19"/>
  <c r="L3" i="19"/>
  <c r="K3" i="19"/>
  <c r="G3" i="19"/>
  <c r="F3" i="19"/>
  <c r="D3" i="19"/>
  <c r="C3" i="19"/>
  <c r="L2" i="19"/>
  <c r="K2" i="19"/>
  <c r="G2" i="19"/>
  <c r="F2" i="19"/>
  <c r="D2" i="19"/>
  <c r="C2" i="19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11" i="9"/>
  <c r="N11" i="9"/>
  <c r="M11" i="9"/>
  <c r="L11" i="9"/>
  <c r="K11" i="9"/>
  <c r="J11" i="9"/>
  <c r="I11" i="9"/>
  <c r="H11" i="9"/>
  <c r="G11" i="9"/>
  <c r="E11" i="9"/>
  <c r="D11" i="9"/>
  <c r="A11" i="9"/>
  <c r="J11" i="11"/>
  <c r="M14" i="10"/>
  <c r="T14" i="10"/>
  <c r="W14" i="10"/>
  <c r="V14" i="10"/>
  <c r="X14" i="10"/>
  <c r="U14" i="10"/>
  <c r="Y14" i="10"/>
  <c r="S90" i="10"/>
  <c r="N85" i="10"/>
  <c r="Q85" i="10"/>
  <c r="P85" i="10"/>
  <c r="R85" i="10"/>
  <c r="O85" i="10"/>
  <c r="S85" i="10"/>
  <c r="N73" i="10"/>
  <c r="Q73" i="10"/>
  <c r="P73" i="10"/>
  <c r="R73" i="10"/>
  <c r="O73" i="10"/>
  <c r="S73" i="10"/>
  <c r="N61" i="10"/>
  <c r="Q61" i="10"/>
  <c r="P61" i="10"/>
  <c r="R61" i="10"/>
  <c r="O61" i="10"/>
  <c r="S61" i="10"/>
  <c r="N49" i="10"/>
  <c r="Q49" i="10"/>
  <c r="P49" i="10"/>
  <c r="R49" i="10"/>
  <c r="O49" i="10"/>
  <c r="S49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AA2" i="1"/>
  <c r="O71" i="9"/>
  <c r="N71" i="9"/>
  <c r="M71" i="9"/>
  <c r="L71" i="9"/>
  <c r="K71" i="9"/>
  <c r="J71" i="9"/>
  <c r="I71" i="9"/>
  <c r="H71" i="9"/>
  <c r="G71" i="9"/>
  <c r="E71" i="9"/>
  <c r="D71" i="9"/>
  <c r="A71" i="9"/>
  <c r="J72" i="11"/>
  <c r="V2" i="1"/>
  <c r="J9" i="11"/>
  <c r="J10" i="11"/>
  <c r="M12" i="10"/>
  <c r="T12" i="10"/>
  <c r="W12" i="10"/>
  <c r="V12" i="10"/>
  <c r="X12" i="10"/>
  <c r="U12" i="10"/>
  <c r="Y12" i="10"/>
  <c r="M21" i="10"/>
  <c r="M31" i="10"/>
  <c r="M41" i="10"/>
  <c r="M58" i="10"/>
  <c r="M70" i="10"/>
  <c r="M82" i="10"/>
  <c r="N82" i="10"/>
  <c r="Q82" i="10"/>
  <c r="P82" i="10"/>
  <c r="R82" i="10"/>
  <c r="O82" i="10"/>
  <c r="S82" i="10"/>
  <c r="N70" i="10"/>
  <c r="Q70" i="10"/>
  <c r="P70" i="10"/>
  <c r="R70" i="10"/>
  <c r="O70" i="10"/>
  <c r="S70" i="10"/>
  <c r="N58" i="10"/>
  <c r="Q58" i="10"/>
  <c r="P58" i="10"/>
  <c r="R58" i="10"/>
  <c r="O58" i="10"/>
  <c r="S58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3" i="10"/>
  <c r="T13" i="10"/>
  <c r="W13" i="10"/>
  <c r="V13" i="10"/>
  <c r="X13" i="10"/>
  <c r="U13" i="10"/>
  <c r="Y13" i="10"/>
  <c r="M23" i="10"/>
  <c r="M33" i="10"/>
  <c r="M48" i="10"/>
  <c r="M60" i="10"/>
  <c r="M72" i="10"/>
  <c r="M84" i="10"/>
  <c r="M89" i="10"/>
  <c r="N89" i="10"/>
  <c r="Q89" i="10"/>
  <c r="P89" i="10"/>
  <c r="R89" i="10"/>
  <c r="O89" i="10"/>
  <c r="S89" i="10"/>
  <c r="N84" i="10"/>
  <c r="Q84" i="10"/>
  <c r="P84" i="10"/>
  <c r="R84" i="10"/>
  <c r="O84" i="10"/>
  <c r="S84" i="10"/>
  <c r="N72" i="10"/>
  <c r="Q72" i="10"/>
  <c r="P72" i="10"/>
  <c r="R72" i="10"/>
  <c r="O72" i="10"/>
  <c r="S72" i="10"/>
  <c r="N60" i="10"/>
  <c r="Q60" i="10"/>
  <c r="P60" i="10"/>
  <c r="R60" i="10"/>
  <c r="O60" i="10"/>
  <c r="S60" i="10"/>
  <c r="N48" i="10"/>
  <c r="Q48" i="10"/>
  <c r="P48" i="10"/>
  <c r="R48" i="10"/>
  <c r="O48" i="10"/>
  <c r="S48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F16" i="7"/>
  <c r="E16" i="7"/>
  <c r="F15" i="7"/>
  <c r="E15" i="7"/>
  <c r="F14" i="7"/>
  <c r="E14" i="7"/>
  <c r="F13" i="7"/>
  <c r="E13" i="7"/>
  <c r="F12" i="7"/>
  <c r="E12" i="7"/>
  <c r="F11" i="7"/>
  <c r="E11" i="7"/>
  <c r="F10" i="7"/>
  <c r="E10" i="7"/>
  <c r="F9" i="7"/>
  <c r="E9" i="7"/>
  <c r="F8" i="7"/>
  <c r="E8" i="7"/>
  <c r="F7" i="7"/>
  <c r="E7" i="7"/>
  <c r="F6" i="7"/>
  <c r="E6" i="7"/>
  <c r="F5" i="7"/>
  <c r="E5" i="7"/>
  <c r="F4" i="7"/>
  <c r="E4" i="7"/>
  <c r="F3" i="7"/>
  <c r="E3" i="7"/>
  <c r="O10" i="9"/>
  <c r="N10" i="9"/>
  <c r="M10" i="9"/>
  <c r="L10" i="9"/>
  <c r="K10" i="9"/>
  <c r="J10" i="9"/>
  <c r="I10" i="9"/>
  <c r="H10" i="9"/>
  <c r="G10" i="9"/>
  <c r="E10" i="9"/>
  <c r="D10" i="9"/>
  <c r="A10" i="9"/>
  <c r="E12" i="9"/>
  <c r="W13" i="7"/>
  <c r="R13" i="7"/>
  <c r="Q13" i="7"/>
  <c r="P13" i="7"/>
  <c r="O13" i="7"/>
  <c r="N13" i="7"/>
  <c r="H1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13" i="7"/>
  <c r="I13" i="7"/>
  <c r="A13" i="7"/>
  <c r="W8" i="7"/>
  <c r="R8" i="7"/>
  <c r="Q8" i="7"/>
  <c r="P8" i="7"/>
  <c r="O8" i="7"/>
  <c r="N8" i="7"/>
  <c r="H8" i="7"/>
  <c r="J8" i="7"/>
  <c r="I8" i="7"/>
  <c r="A8" i="7"/>
  <c r="W3" i="7"/>
  <c r="R3" i="7"/>
  <c r="Q3" i="7"/>
  <c r="P3" i="7"/>
  <c r="O3" i="7"/>
  <c r="N3" i="7"/>
  <c r="H3" i="7"/>
  <c r="J3" i="7"/>
  <c r="I3" i="7"/>
  <c r="A3" i="7"/>
  <c r="Q13" i="1"/>
  <c r="Q9" i="1"/>
  <c r="J71" i="11"/>
  <c r="J70" i="11"/>
  <c r="J69" i="11"/>
  <c r="J68" i="11"/>
  <c r="J67" i="11"/>
  <c r="J66" i="11"/>
  <c r="J65" i="11"/>
  <c r="J64" i="11"/>
  <c r="J63" i="11"/>
  <c r="J62" i="11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67" i="10"/>
  <c r="T67" i="10"/>
  <c r="W67" i="10"/>
  <c r="V67" i="10"/>
  <c r="X67" i="10"/>
  <c r="U67" i="10"/>
  <c r="Y67" i="10"/>
  <c r="M78" i="10"/>
  <c r="N78" i="10"/>
  <c r="Q78" i="10"/>
  <c r="P78" i="10"/>
  <c r="R78" i="10"/>
  <c r="O78" i="10"/>
  <c r="S78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5" i="10"/>
  <c r="T65" i="10"/>
  <c r="W65" i="10"/>
  <c r="V65" i="10"/>
  <c r="X65" i="10"/>
  <c r="U65" i="10"/>
  <c r="Y65" i="10"/>
  <c r="M77" i="10"/>
  <c r="N77" i="10"/>
  <c r="Q77" i="10"/>
  <c r="P77" i="10"/>
  <c r="R77" i="10"/>
  <c r="O77" i="10"/>
  <c r="S77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H12" i="7"/>
  <c r="I12" i="7"/>
  <c r="J12" i="7"/>
  <c r="N12" i="7"/>
  <c r="O12" i="7"/>
  <c r="P12" i="7"/>
  <c r="Q12" i="7"/>
  <c r="R12" i="7"/>
  <c r="W12" i="7"/>
  <c r="H14" i="7"/>
  <c r="I14" i="7"/>
  <c r="J14" i="7"/>
  <c r="N14" i="7"/>
  <c r="O14" i="7"/>
  <c r="P14" i="7"/>
  <c r="Q14" i="7"/>
  <c r="R14" i="7"/>
  <c r="W14" i="7"/>
  <c r="H15" i="7"/>
  <c r="I15" i="7"/>
  <c r="J15" i="7"/>
  <c r="N15" i="7"/>
  <c r="O15" i="7"/>
  <c r="P15" i="7"/>
  <c r="Q15" i="7"/>
  <c r="R15" i="7"/>
  <c r="W15" i="7"/>
  <c r="H16" i="7"/>
  <c r="I16" i="7"/>
  <c r="J16" i="7"/>
  <c r="N16" i="7"/>
  <c r="O16" i="7"/>
  <c r="P16" i="7"/>
  <c r="Q16" i="7"/>
  <c r="R16" i="7"/>
  <c r="W16" i="7"/>
  <c r="J61" i="11"/>
  <c r="J60" i="11"/>
  <c r="J59" i="11"/>
  <c r="J58" i="11"/>
  <c r="J57" i="11"/>
  <c r="J56" i="11"/>
  <c r="J55" i="11"/>
  <c r="J54" i="11"/>
  <c r="J53" i="11"/>
  <c r="J52" i="11"/>
  <c r="J51" i="11"/>
  <c r="O70" i="9"/>
  <c r="N70" i="9"/>
  <c r="M70" i="9"/>
  <c r="L70" i="9"/>
  <c r="K70" i="9"/>
  <c r="J70" i="9"/>
  <c r="I70" i="9"/>
  <c r="H70" i="9"/>
  <c r="G70" i="9"/>
  <c r="E70" i="9"/>
  <c r="D70" i="9"/>
  <c r="A70" i="9"/>
  <c r="J50" i="11"/>
  <c r="O69" i="9"/>
  <c r="N69" i="9"/>
  <c r="M69" i="9"/>
  <c r="L69" i="9"/>
  <c r="K69" i="9"/>
  <c r="J69" i="9"/>
  <c r="I69" i="9"/>
  <c r="H69" i="9"/>
  <c r="G69" i="9"/>
  <c r="E69" i="9"/>
  <c r="D69" i="9"/>
  <c r="A69" i="9"/>
  <c r="J49" i="11"/>
  <c r="O68" i="9"/>
  <c r="N68" i="9"/>
  <c r="M68" i="9"/>
  <c r="L68" i="9"/>
  <c r="K68" i="9"/>
  <c r="J68" i="9"/>
  <c r="I68" i="9"/>
  <c r="H68" i="9"/>
  <c r="G68" i="9"/>
  <c r="E68" i="9"/>
  <c r="D68" i="9"/>
  <c r="A68" i="9"/>
  <c r="J48" i="11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J47" i="11"/>
  <c r="J46" i="11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J45" i="11"/>
  <c r="O61" i="9"/>
  <c r="N61" i="9"/>
  <c r="M61" i="9"/>
  <c r="L61" i="9"/>
  <c r="K61" i="9"/>
  <c r="J61" i="9"/>
  <c r="I61" i="9"/>
  <c r="H61" i="9"/>
  <c r="G61" i="9"/>
  <c r="E61" i="9"/>
  <c r="D61" i="9"/>
  <c r="A61" i="9"/>
  <c r="J44" i="11"/>
  <c r="O60" i="9"/>
  <c r="N60" i="9"/>
  <c r="M60" i="9"/>
  <c r="L60" i="9"/>
  <c r="K60" i="9"/>
  <c r="J60" i="9"/>
  <c r="I60" i="9"/>
  <c r="H60" i="9"/>
  <c r="G60" i="9"/>
  <c r="E60" i="9"/>
  <c r="D60" i="9"/>
  <c r="A60" i="9"/>
  <c r="J43" i="11"/>
  <c r="O59" i="9"/>
  <c r="N59" i="9"/>
  <c r="M59" i="9"/>
  <c r="L59" i="9"/>
  <c r="K59" i="9"/>
  <c r="J59" i="9"/>
  <c r="I59" i="9"/>
  <c r="H59" i="9"/>
  <c r="G59" i="9"/>
  <c r="E59" i="9"/>
  <c r="D59" i="9"/>
  <c r="A59" i="9"/>
  <c r="J42" i="11"/>
  <c r="O58" i="9"/>
  <c r="N58" i="9"/>
  <c r="M58" i="9"/>
  <c r="L58" i="9"/>
  <c r="K58" i="9"/>
  <c r="J58" i="9"/>
  <c r="I58" i="9"/>
  <c r="H58" i="9"/>
  <c r="G58" i="9"/>
  <c r="E58" i="9"/>
  <c r="D58" i="9"/>
  <c r="A58" i="9"/>
  <c r="J41" i="11"/>
  <c r="O57" i="9"/>
  <c r="N57" i="9"/>
  <c r="M57" i="9"/>
  <c r="L57" i="9"/>
  <c r="K57" i="9"/>
  <c r="J57" i="9"/>
  <c r="I57" i="9"/>
  <c r="H57" i="9"/>
  <c r="G57" i="9"/>
  <c r="E57" i="9"/>
  <c r="D57" i="9"/>
  <c r="A57" i="9"/>
  <c r="J40" i="11"/>
  <c r="O56" i="9"/>
  <c r="N56" i="9"/>
  <c r="M56" i="9"/>
  <c r="L56" i="9"/>
  <c r="K56" i="9"/>
  <c r="J56" i="9"/>
  <c r="I56" i="9"/>
  <c r="H56" i="9"/>
  <c r="G56" i="9"/>
  <c r="E56" i="9"/>
  <c r="D56" i="9"/>
  <c r="A56" i="9"/>
  <c r="J39" i="11"/>
  <c r="O55" i="9"/>
  <c r="N55" i="9"/>
  <c r="M55" i="9"/>
  <c r="L55" i="9"/>
  <c r="K55" i="9"/>
  <c r="J55" i="9"/>
  <c r="I55" i="9"/>
  <c r="H55" i="9"/>
  <c r="G55" i="9"/>
  <c r="E55" i="9"/>
  <c r="D55" i="9"/>
  <c r="A55" i="9"/>
  <c r="J38" i="11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J37" i="11"/>
  <c r="O50" i="9"/>
  <c r="N50" i="9"/>
  <c r="M50" i="9"/>
  <c r="L50" i="9"/>
  <c r="K50" i="9"/>
  <c r="J50" i="9"/>
  <c r="I50" i="9"/>
  <c r="H50" i="9"/>
  <c r="G50" i="9"/>
  <c r="E50" i="9"/>
  <c r="D50" i="9"/>
  <c r="A50" i="9"/>
  <c r="J36" i="11"/>
  <c r="O49" i="9"/>
  <c r="N49" i="9"/>
  <c r="M49" i="9"/>
  <c r="L49" i="9"/>
  <c r="K49" i="9"/>
  <c r="J49" i="9"/>
  <c r="I49" i="9"/>
  <c r="H49" i="9"/>
  <c r="G49" i="9"/>
  <c r="E49" i="9"/>
  <c r="D49" i="9"/>
  <c r="A49" i="9"/>
  <c r="J35" i="11"/>
  <c r="O48" i="9"/>
  <c r="N48" i="9"/>
  <c r="M48" i="9"/>
  <c r="L48" i="9"/>
  <c r="K48" i="9"/>
  <c r="J48" i="9"/>
  <c r="I48" i="9"/>
  <c r="H48" i="9"/>
  <c r="G48" i="9"/>
  <c r="E48" i="9"/>
  <c r="D48" i="9"/>
  <c r="A48" i="9"/>
  <c r="J34" i="11"/>
  <c r="O47" i="9"/>
  <c r="N47" i="9"/>
  <c r="M47" i="9"/>
  <c r="L47" i="9"/>
  <c r="K47" i="9"/>
  <c r="J47" i="9"/>
  <c r="I47" i="9"/>
  <c r="H47" i="9"/>
  <c r="G47" i="9"/>
  <c r="E47" i="9"/>
  <c r="D47" i="9"/>
  <c r="A47" i="9"/>
  <c r="J33" i="11"/>
  <c r="O46" i="9"/>
  <c r="N46" i="9"/>
  <c r="M46" i="9"/>
  <c r="L46" i="9"/>
  <c r="K46" i="9"/>
  <c r="J46" i="9"/>
  <c r="I46" i="9"/>
  <c r="H46" i="9"/>
  <c r="G46" i="9"/>
  <c r="E46" i="9"/>
  <c r="D46" i="9"/>
  <c r="A46" i="9"/>
  <c r="J32" i="11"/>
  <c r="O45" i="9"/>
  <c r="N45" i="9"/>
  <c r="M45" i="9"/>
  <c r="L45" i="9"/>
  <c r="K45" i="9"/>
  <c r="J45" i="9"/>
  <c r="I45" i="9"/>
  <c r="H45" i="9"/>
  <c r="G45" i="9"/>
  <c r="E45" i="9"/>
  <c r="D45" i="9"/>
  <c r="A45" i="9"/>
  <c r="J31" i="11"/>
  <c r="O44" i="9"/>
  <c r="N44" i="9"/>
  <c r="M44" i="9"/>
  <c r="L44" i="9"/>
  <c r="K44" i="9"/>
  <c r="J44" i="9"/>
  <c r="I44" i="9"/>
  <c r="H44" i="9"/>
  <c r="G44" i="9"/>
  <c r="E44" i="9"/>
  <c r="D44" i="9"/>
  <c r="A44" i="9"/>
  <c r="J30" i="11"/>
  <c r="O43" i="9"/>
  <c r="N43" i="9"/>
  <c r="M43" i="9"/>
  <c r="L43" i="9"/>
  <c r="K43" i="9"/>
  <c r="J43" i="9"/>
  <c r="I43" i="9"/>
  <c r="H43" i="9"/>
  <c r="G43" i="9"/>
  <c r="E43" i="9"/>
  <c r="D43" i="9"/>
  <c r="A43" i="9"/>
  <c r="J29" i="11"/>
  <c r="O42" i="9"/>
  <c r="N42" i="9"/>
  <c r="M42" i="9"/>
  <c r="L42" i="9"/>
  <c r="K42" i="9"/>
  <c r="J42" i="9"/>
  <c r="I42" i="9"/>
  <c r="H42" i="9"/>
  <c r="G42" i="9"/>
  <c r="E42" i="9"/>
  <c r="D42" i="9"/>
  <c r="A42" i="9"/>
  <c r="J28" i="11"/>
  <c r="O41" i="9"/>
  <c r="N41" i="9"/>
  <c r="M41" i="9"/>
  <c r="L41" i="9"/>
  <c r="K41" i="9"/>
  <c r="J41" i="9"/>
  <c r="I41" i="9"/>
  <c r="H41" i="9"/>
  <c r="G41" i="9"/>
  <c r="E41" i="9"/>
  <c r="D41" i="9"/>
  <c r="A41" i="9"/>
  <c r="J27" i="11"/>
  <c r="O40" i="9"/>
  <c r="N40" i="9"/>
  <c r="M40" i="9"/>
  <c r="L40" i="9"/>
  <c r="K40" i="9"/>
  <c r="J40" i="9"/>
  <c r="I40" i="9"/>
  <c r="H40" i="9"/>
  <c r="G40" i="9"/>
  <c r="E40" i="9"/>
  <c r="D40" i="9"/>
  <c r="A40" i="9"/>
  <c r="J26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J25" i="11"/>
  <c r="O36" i="9"/>
  <c r="N36" i="9"/>
  <c r="M36" i="9"/>
  <c r="L36" i="9"/>
  <c r="K36" i="9"/>
  <c r="J36" i="9"/>
  <c r="I36" i="9"/>
  <c r="H36" i="9"/>
  <c r="G36" i="9"/>
  <c r="E36" i="9"/>
  <c r="D36" i="9"/>
  <c r="A36" i="9"/>
  <c r="J24" i="11"/>
  <c r="O35" i="9"/>
  <c r="N35" i="9"/>
  <c r="M35" i="9"/>
  <c r="L35" i="9"/>
  <c r="K35" i="9"/>
  <c r="J35" i="9"/>
  <c r="I35" i="9"/>
  <c r="H35" i="9"/>
  <c r="G35" i="9"/>
  <c r="E35" i="9"/>
  <c r="D35" i="9"/>
  <c r="A35" i="9"/>
  <c r="J23" i="11"/>
  <c r="O34" i="9"/>
  <c r="N34" i="9"/>
  <c r="M34" i="9"/>
  <c r="L34" i="9"/>
  <c r="K34" i="9"/>
  <c r="J34" i="9"/>
  <c r="I34" i="9"/>
  <c r="H34" i="9"/>
  <c r="G34" i="9"/>
  <c r="E34" i="9"/>
  <c r="D34" i="9"/>
  <c r="A34" i="9"/>
  <c r="J22" i="11"/>
  <c r="O33" i="9"/>
  <c r="N33" i="9"/>
  <c r="M33" i="9"/>
  <c r="L33" i="9"/>
  <c r="K33" i="9"/>
  <c r="J33" i="9"/>
  <c r="I33" i="9"/>
  <c r="H33" i="9"/>
  <c r="G33" i="9"/>
  <c r="E33" i="9"/>
  <c r="D33" i="9"/>
  <c r="A33" i="9"/>
  <c r="J21" i="11"/>
  <c r="J20" i="11"/>
  <c r="J19" i="11"/>
  <c r="J18" i="11"/>
  <c r="J17" i="11"/>
  <c r="J16" i="11"/>
  <c r="J15" i="11"/>
  <c r="J14" i="11"/>
  <c r="J13" i="11"/>
  <c r="J12" i="11"/>
  <c r="J8" i="11"/>
  <c r="J7" i="11"/>
  <c r="J6" i="11"/>
  <c r="J5" i="11"/>
  <c r="J4" i="11"/>
  <c r="J3" i="11"/>
  <c r="T89" i="10"/>
  <c r="W89" i="10"/>
  <c r="V89" i="10"/>
  <c r="X89" i="10"/>
  <c r="U89" i="10"/>
  <c r="Y89" i="10"/>
  <c r="G89" i="10"/>
  <c r="J89" i="10"/>
  <c r="I89" i="10"/>
  <c r="K89" i="10"/>
  <c r="H89" i="10"/>
  <c r="L89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G90" i="10"/>
  <c r="J90" i="10"/>
  <c r="I90" i="10"/>
  <c r="K90" i="10"/>
  <c r="H90" i="10"/>
  <c r="L90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46" i="10"/>
  <c r="T46" i="10"/>
  <c r="W46" i="10"/>
  <c r="V46" i="10"/>
  <c r="X46" i="10"/>
  <c r="U46" i="10"/>
  <c r="Y46" i="10"/>
  <c r="M75" i="10"/>
  <c r="M87" i="10"/>
  <c r="N87" i="10"/>
  <c r="Q87" i="10"/>
  <c r="P87" i="10"/>
  <c r="R87" i="10"/>
  <c r="O87" i="10"/>
  <c r="S87" i="10"/>
  <c r="N75" i="10"/>
  <c r="Q75" i="10"/>
  <c r="P75" i="10"/>
  <c r="R75" i="10"/>
  <c r="O75" i="10"/>
  <c r="S75" i="10"/>
  <c r="M63" i="10"/>
  <c r="N63" i="10"/>
  <c r="Q63" i="10"/>
  <c r="P63" i="10"/>
  <c r="R63" i="10"/>
  <c r="O63" i="10"/>
  <c r="S63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M74" i="10"/>
  <c r="M86" i="10"/>
  <c r="N86" i="10"/>
  <c r="Q86" i="10"/>
  <c r="P86" i="10"/>
  <c r="R86" i="10"/>
  <c r="O86" i="10"/>
  <c r="S86" i="10"/>
  <c r="N74" i="10"/>
  <c r="Q74" i="10"/>
  <c r="P74" i="10"/>
  <c r="R74" i="10"/>
  <c r="O74" i="10"/>
  <c r="S74" i="10"/>
  <c r="M62" i="10"/>
  <c r="N62" i="10"/>
  <c r="Q62" i="10"/>
  <c r="P62" i="10"/>
  <c r="R62" i="10"/>
  <c r="O62" i="10"/>
  <c r="S62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M61" i="10"/>
  <c r="M73" i="10"/>
  <c r="M85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M59" i="10"/>
  <c r="M71" i="10"/>
  <c r="M83" i="10"/>
  <c r="N83" i="10"/>
  <c r="Q83" i="10"/>
  <c r="P83" i="10"/>
  <c r="R83" i="10"/>
  <c r="O83" i="10"/>
  <c r="S83" i="10"/>
  <c r="N71" i="10"/>
  <c r="Q71" i="10"/>
  <c r="P71" i="10"/>
  <c r="R71" i="10"/>
  <c r="O71" i="10"/>
  <c r="S71" i="10"/>
  <c r="N59" i="10"/>
  <c r="Q59" i="10"/>
  <c r="P59" i="10"/>
  <c r="R59" i="10"/>
  <c r="O59" i="10"/>
  <c r="S59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W11" i="7"/>
  <c r="R11" i="7"/>
  <c r="Q11" i="7"/>
  <c r="P11" i="7"/>
  <c r="O11" i="7"/>
  <c r="N11" i="7"/>
  <c r="H11" i="7"/>
  <c r="J11" i="7"/>
  <c r="I11" i="7"/>
  <c r="W6" i="7"/>
  <c r="R6" i="7"/>
  <c r="Q6" i="7"/>
  <c r="P6" i="7"/>
  <c r="O6" i="7"/>
  <c r="N6" i="7"/>
  <c r="H6" i="7"/>
  <c r="J6" i="7"/>
  <c r="I6" i="7"/>
  <c r="T87" i="10"/>
  <c r="W87" i="10"/>
  <c r="V87" i="10"/>
  <c r="X87" i="10"/>
  <c r="U87" i="10"/>
  <c r="Y87" i="10"/>
  <c r="G87" i="10"/>
  <c r="J87" i="10"/>
  <c r="I87" i="10"/>
  <c r="K87" i="10"/>
  <c r="H87" i="10"/>
  <c r="L87" i="10"/>
  <c r="T86" i="10"/>
  <c r="W86" i="10"/>
  <c r="V86" i="10"/>
  <c r="X86" i="10"/>
  <c r="U86" i="10"/>
  <c r="Y86" i="10"/>
  <c r="G86" i="10"/>
  <c r="J86" i="10"/>
  <c r="I86" i="10"/>
  <c r="K86" i="10"/>
  <c r="H86" i="10"/>
  <c r="L86" i="10"/>
  <c r="T85" i="10"/>
  <c r="W85" i="10"/>
  <c r="V85" i="10"/>
  <c r="X85" i="10"/>
  <c r="U85" i="10"/>
  <c r="Y85" i="10"/>
  <c r="G85" i="10"/>
  <c r="J85" i="10"/>
  <c r="I85" i="10"/>
  <c r="K85" i="10"/>
  <c r="H85" i="10"/>
  <c r="L85" i="10"/>
  <c r="T84" i="10"/>
  <c r="W84" i="10"/>
  <c r="V84" i="10"/>
  <c r="X84" i="10"/>
  <c r="U84" i="10"/>
  <c r="Y84" i="10"/>
  <c r="G84" i="10"/>
  <c r="J84" i="10"/>
  <c r="I84" i="10"/>
  <c r="K84" i="10"/>
  <c r="H84" i="10"/>
  <c r="L84" i="10"/>
  <c r="T83" i="10"/>
  <c r="W83" i="10"/>
  <c r="V83" i="10"/>
  <c r="X83" i="10"/>
  <c r="U83" i="10"/>
  <c r="Y83" i="10"/>
  <c r="G83" i="10"/>
  <c r="J83" i="10"/>
  <c r="I83" i="10"/>
  <c r="K83" i="10"/>
  <c r="H83" i="10"/>
  <c r="L83" i="10"/>
  <c r="T82" i="10"/>
  <c r="W82" i="10"/>
  <c r="V82" i="10"/>
  <c r="X82" i="10"/>
  <c r="U82" i="10"/>
  <c r="Y82" i="10"/>
  <c r="G82" i="10"/>
  <c r="J82" i="10"/>
  <c r="I82" i="10"/>
  <c r="K82" i="10"/>
  <c r="H82" i="10"/>
  <c r="L82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T78" i="10"/>
  <c r="W78" i="10"/>
  <c r="V78" i="10"/>
  <c r="X78" i="10"/>
  <c r="U78" i="10"/>
  <c r="Y78" i="10"/>
  <c r="G78" i="10"/>
  <c r="J78" i="10"/>
  <c r="I78" i="10"/>
  <c r="K78" i="10"/>
  <c r="H78" i="10"/>
  <c r="L78" i="10"/>
  <c r="T77" i="10"/>
  <c r="W77" i="10"/>
  <c r="V77" i="10"/>
  <c r="X77" i="10"/>
  <c r="U77" i="10"/>
  <c r="Y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72" i="10"/>
  <c r="W72" i="10"/>
  <c r="V72" i="10"/>
  <c r="X72" i="10"/>
  <c r="U72" i="10"/>
  <c r="Y72" i="10"/>
  <c r="G72" i="10"/>
  <c r="J72" i="10"/>
  <c r="I72" i="10"/>
  <c r="K72" i="10"/>
  <c r="H72" i="10"/>
  <c r="L72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T61" i="10"/>
  <c r="W61" i="10"/>
  <c r="V61" i="10"/>
  <c r="X61" i="10"/>
  <c r="U61" i="10"/>
  <c r="Y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T58" i="10"/>
  <c r="W58" i="10"/>
  <c r="V58" i="10"/>
  <c r="X58" i="10"/>
  <c r="U58" i="10"/>
  <c r="Y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D12" i="9"/>
  <c r="A12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W10" i="7"/>
  <c r="R10" i="7"/>
  <c r="Q10" i="7"/>
  <c r="P10" i="7"/>
  <c r="O10" i="7"/>
  <c r="N10" i="7"/>
  <c r="H10" i="7"/>
  <c r="J10" i="7"/>
  <c r="I10" i="7"/>
  <c r="W9" i="7"/>
  <c r="R9" i="7"/>
  <c r="Q9" i="7"/>
  <c r="P9" i="7"/>
  <c r="O9" i="7"/>
  <c r="N9" i="7"/>
  <c r="H9" i="7"/>
  <c r="J9" i="7"/>
  <c r="I9" i="7"/>
  <c r="W7" i="7"/>
  <c r="R7" i="7"/>
  <c r="Q7" i="7"/>
  <c r="P7" i="7"/>
  <c r="O7" i="7"/>
  <c r="N7" i="7"/>
  <c r="H7" i="7"/>
  <c r="J7" i="7"/>
  <c r="I7" i="7"/>
  <c r="W5" i="7"/>
  <c r="R5" i="7"/>
  <c r="Q5" i="7"/>
  <c r="P5" i="7"/>
  <c r="O5" i="7"/>
  <c r="N5" i="7"/>
  <c r="H5" i="7"/>
  <c r="J5" i="7"/>
  <c r="I5" i="7"/>
  <c r="W4" i="7"/>
  <c r="R4" i="7"/>
  <c r="Q4" i="7"/>
  <c r="P4" i="7"/>
  <c r="O4" i="7"/>
  <c r="N4" i="7"/>
  <c r="H4" i="7"/>
  <c r="J4" i="7"/>
  <c r="I4" i="7"/>
  <c r="W2" i="7"/>
  <c r="R2" i="7"/>
  <c r="Q2" i="7"/>
  <c r="P2" i="7"/>
  <c r="O2" i="7"/>
  <c r="N2" i="7"/>
  <c r="H2" i="7"/>
  <c r="J2" i="7"/>
  <c r="I2" i="7"/>
  <c r="D2" i="7"/>
  <c r="F2" i="7"/>
  <c r="E2" i="7"/>
  <c r="A2" i="7"/>
  <c r="AB13" i="1"/>
  <c r="AD13" i="1"/>
  <c r="AG13" i="1"/>
  <c r="AE13" i="1"/>
  <c r="AC13" i="1"/>
  <c r="V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V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V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V3" i="1"/>
  <c r="P3" i="1"/>
  <c r="O3" i="1"/>
  <c r="N3" i="1"/>
  <c r="M3" i="1"/>
  <c r="H3" i="1"/>
  <c r="J3" i="1"/>
  <c r="I3" i="1"/>
  <c r="D3" i="1"/>
  <c r="F3" i="1"/>
  <c r="E3" i="1"/>
  <c r="A3" i="1"/>
  <c r="H10" i="2"/>
  <c r="E10" i="2"/>
  <c r="D10" i="2"/>
  <c r="H2" i="1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AB2" i="1"/>
  <c r="AE2" i="1"/>
  <c r="AD2" i="1"/>
  <c r="AC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<sst xmlns="http://schemas.openxmlformats.org/spreadsheetml/2006/main" count="1341" uniqueCount="540">
  <si>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</si>
  <si>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</si>
  <si>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</si>
  <si>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</si>
  <si>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</si>
  <si>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</si>
  <si>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</si>
  <si>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</si>
  <si>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</si>
  <si>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</si>
  <si>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</si>
  <si>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</si>
  <si>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</si>
  <si>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</si>
  <si>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</si>
  <si>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</si>
  <si>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</si>
  <si>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</si>
  <si>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</si>
  <si>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</si>
  <si>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</si>
  <si>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</si>
  <si>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</si>
  <si>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</si>
  <si>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</si>
  <si>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</si>
  <si>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</si>
  <si>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</si>
  <si>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</si>
  <si>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</si>
  <si>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</si>
  <si>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</si>
  <si>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</si>
  <si>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</si>
  <si>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</si>
  <si>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</si>
  <si>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</si>
  <si>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</si>
  <si>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</si>
  <si>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</si>
  <si>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</si>
  <si>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</si>
  <si>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</si>
  <si>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</si>
  <si>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</si>
  <si>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</si>
  <si>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</si>
  <si>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</si>
  <si>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</si>
  <si>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</si>
  <si>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</si>
  <si>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</si>
  <si>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</si>
  <si>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</si>
  <si>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</si>
  <si>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</si>
  <si>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</si>
  <si>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</si>
  <si>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</si>
  <si>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</si>
  <si>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</si>
  <si>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</si>
  <si>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</si>
  <si>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</si>
  <si>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</si>
  <si>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</si>
  <si>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</si>
  <si>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</si>
  <si>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</si>
  <si>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</si>
  <si>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</si>
  <si>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</si>
  <si>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</si>
  <si>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</si>
  <si>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</si>
  <si>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</si>
  <si>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</si>
  <si>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</si>
  <si>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</si>
  <si>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</si>
  <si>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</si>
  <si>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</si>
  <si>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</si>
  <si>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</si>
  <si>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</si>
  <si>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</si>
  <si>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</si>
  <si>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</si>
  <si>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</si>
  <si>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</si>
  <si>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</si>
  <si>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</si>
  <si>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</si>
  <si>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</si>
  <si>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</si>
  <si>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</si>
  <si>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</si>
  <si>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</si>
  <si>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</si>
  <si>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</si>
  <si>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</si>
  <si>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</si>
  <si>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</si>
  <si>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</si>
  <si>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</si>
  <si>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</si>
  <si>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</si>
  <si>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</si>
  <si>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</si>
  <si>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</si>
  <si>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</si>
  <si>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</si>
  <si>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</si>
  <si>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</si>
  <si>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</si>
  <si>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</si>
  <si>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</si>
  <si>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</si>
  <si>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</si>
  <si>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</si>
  <si>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</si>
  <si>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</si>
  <si>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</si>
  <si>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</si>
  <si>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</si>
  <si>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</si>
  <si>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</si>
  <si>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</si>
  <si>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</si>
  <si>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</si>
  <si>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</si>
  <si>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</si>
  <si>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</si>
  <si>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</si>
  <si>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</si>
  <si>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</si>
  <si>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</si>
  <si>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</si>
  <si>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</si>
  <si>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</si>
  <si>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</si>
  <si>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</si>
  <si>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</si>
  <si>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</si>
  <si>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</si>
  <si>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</si>
  <si>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</si>
  <si>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</si>
  <si>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</si>
  <si>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</si>
  <si>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</si>
  <si>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</si>
  <si>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</si>
  <si>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</si>
  <si>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</si>
  <si>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</si>
  <si>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</si>
  <si>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</si>
  <si>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</si>
  <si>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</si>
  <si>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</si>
  <si>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</si>
  <si>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</si>
  <si>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</si>
  <si>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</si>
  <si>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</si>
  <si>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</si>
  <si>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</si>
  <si>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</si>
  <si>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</si>
  <si>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</si>
  <si>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</si>
  <si>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</si>
  <si>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</si>
  <si>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</si>
  <si>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</si>
  <si>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</si>
  <si>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</si>
  <si>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</si>
  <si>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</si>
  <si>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</si>
  <si>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</si>
  <si>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</si>
  <si>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</si>
  <si>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</si>
  <si>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</si>
  <si>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</si>
  <si>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</si>
  <si>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</si>
  <si>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</si>
  <si>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</si>
  <si>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</si>
  <si>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</si>
  <si>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</si>
  <si>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</si>
  <si>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</si>
  <si>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</si>
  <si>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</si>
  <si>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</si>
  <si>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</si>
  <si>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</si>
  <si>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</si>
  <si>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</si>
  <si>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</si>
  <si>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</si>
  <si>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</si>
  <si>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</si>
  <si>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</si>
  <si>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</si>
  <si>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</si>
  <si>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</si>
  <si>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</si>
  <si>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</si>
  <si>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エージェント ジョー</t>
  </si>
  <si>
    <t>[effect:nothing]</t>
  </si>
  <si>
    <t>予約枠</t>
    <rPh sb="0" eb="3">
      <t>ヨヤクワク</t>
    </rPh>
    <phoneticPr fontId="5"/>
  </si>
  <si>
    <t>ベルフェゴール</t>
  </si>
  <si>
    <t>怠惰の頂点 ベルフェゴール</t>
    <phoneticPr fontId="5"/>
  </si>
  <si>
    <t>皇魔 アスタロト</t>
  </si>
  <si>
    <t>天眼の皇貴魔 アスタロト</t>
  </si>
  <si>
    <t>R１　ベルゼブブ</t>
  </si>
  <si>
    <t>R１　ベルゼブブ</t>
    <phoneticPr fontId="5"/>
  </si>
  <si>
    <t>R3　ベルゼブブ</t>
    <phoneticPr fontId="5"/>
  </si>
  <si>
    <t>怠惰の頂点 ベルフェゴール</t>
    <phoneticPr fontId="5"/>
  </si>
  <si>
    <t>null</t>
    <phoneticPr fontId="5"/>
  </si>
  <si>
    <t>40017_1-1/255&lt;lv1&gt;sq1st2</t>
  </si>
  <si>
    <t>[effect:nothing]</t>
    <phoneticPr fontId="5"/>
  </si>
  <si>
    <t>[effect:nothing]</t>
    <phoneticPr fontId="5"/>
  </si>
  <si>
    <t>[effect:suicide, val:1, dead_type:escape, target:myself, animation:enemy_suicide]</t>
    <phoneticPr fontId="5"/>
  </si>
  <si>
    <t>[effect:spread, val:0.3]</t>
    <phoneticPr fontId="5"/>
  </si>
  <si>
    <t>全体攻撃</t>
    <rPh sb="0" eb="4">
      <t>ゼンタイコウゲキ</t>
    </rPh>
    <phoneticPr fontId="5"/>
  </si>
  <si>
    <t>お邪魔パネル生成</t>
    <phoneticPr fontId="5"/>
  </si>
  <si>
    <t>[effect:break_attack, val:0.2, lowest_val:2000, count:-1, block:jammer, target:unit_one]</t>
    <phoneticPr fontId="5"/>
  </si>
  <si>
    <t>あれぇ？ボクなにかしてたぁ？</t>
    <phoneticPr fontId="5"/>
  </si>
  <si>
    <t>お昼寝のじゅんびできたぁ〜</t>
    <rPh sb="1" eb="3">
      <t>ヒルネ</t>
    </rPh>
    <phoneticPr fontId="5"/>
  </si>
  <si>
    <t>[effect:critical, val:1.4]</t>
    <phoneticPr fontId="5"/>
  </si>
  <si>
    <t>クリティカルヒット！</t>
    <phoneticPr fontId="5"/>
  </si>
  <si>
    <t>[effect:spread, val:0.3],[effect:crash_growth, count:-1, val:-100, animation:change_block]</t>
    <phoneticPr fontId="5"/>
  </si>
  <si>
    <t>全体攻撃＋出現しているCパネル激烈縮小</t>
    <phoneticPr fontId="5"/>
  </si>
  <si>
    <t>その程度の力など</t>
    <rPh sb="2" eb="4">
      <t>テイド</t>
    </rPh>
    <rPh sb="5" eb="6">
      <t>チカラ</t>
    </rPh>
    <phoneticPr fontId="5"/>
  </si>
  <si>
    <t>5ターンウィルス状態</t>
    <rPh sb="8" eb="10">
      <t>ジョウタイ</t>
    </rPh>
    <phoneticPr fontId="5"/>
  </si>
  <si>
    <t>[effect:spread, val:0.3],[effect:remove_enhancement, target:unit_all, target_effect:all, target_type:buff, count:-1, animation:frozen_wave]</t>
    <phoneticPr fontId="5"/>
  </si>
  <si>
    <t>やるな！ならばこれで！</t>
    <phoneticPr fontId="5"/>
  </si>
  <si>
    <t>その力を封じる！</t>
    <rPh sb="2" eb="3">
      <t>チカラ</t>
    </rPh>
    <rPh sb="4" eb="5">
      <t>フウ</t>
    </rPh>
    <phoneticPr fontId="5"/>
  </si>
  <si>
    <t>緑の力を使わせてもらう！</t>
    <rPh sb="0" eb="1">
      <t>ミドリ</t>
    </rPh>
    <rPh sb="2" eb="3">
      <t>チカラ</t>
    </rPh>
    <rPh sb="4" eb="5">
      <t>ツカ</t>
    </rPh>
    <phoneticPr fontId="5"/>
  </si>
  <si>
    <t>黄の力を使わせてもらう！</t>
    <rPh sb="0" eb="1">
      <t>キイロ</t>
    </rPh>
    <rPh sb="2" eb="3">
      <t>チカラ</t>
    </rPh>
    <rPh sb="4" eb="5">
      <t>ツカ</t>
    </rPh>
    <phoneticPr fontId="5"/>
  </si>
  <si>
    <t>赤の力を使わせてもらう！</t>
    <rPh sb="0" eb="1">
      <t>アカ</t>
    </rPh>
    <rPh sb="2" eb="3">
      <t>チカラ</t>
    </rPh>
    <rPh sb="4" eb="5">
      <t>ツカ</t>
    </rPh>
    <phoneticPr fontId="5"/>
  </si>
  <si>
    <t>青の力を使わせてもらう！</t>
    <rPh sb="0" eb="1">
      <t>アオ</t>
    </rPh>
    <rPh sb="2" eb="3">
      <t>チカラ</t>
    </rPh>
    <rPh sb="4" eb="5">
      <t>ツカ</t>
    </rPh>
    <phoneticPr fontId="5"/>
  </si>
  <si>
    <t>[effect:degrade_unit, target:unit_all, turn:-1, status:action, val:1, calc:mul, animation:enemy_tap_down]</t>
    <phoneticPr fontId="5"/>
  </si>
  <si>
    <t>スキルバインド無効</t>
  </si>
  <si>
    <t>追加して　ア・ゲ・ル☆</t>
    <rPh sb="0" eb="2">
      <t>ツイカ</t>
    </rPh>
    <phoneticPr fontId="5"/>
  </si>
  <si>
    <t>[effect:freq_turn, target:myself, turn:-1, val:1, animation:enemy_freq_turn]</t>
    <phoneticPr fontId="5"/>
  </si>
  <si>
    <t>7ターンウィルス状態</t>
    <phoneticPr fontId="5"/>
  </si>
  <si>
    <t>青パネルを吸収して回復</t>
    <rPh sb="0" eb="1">
      <t>アオ</t>
    </rPh>
    <rPh sb="9" eb="11">
      <t>カイフク</t>
    </rPh>
    <phoneticPr fontId="5"/>
  </si>
  <si>
    <t>赤パネルを吸収して回復</t>
    <rPh sb="0" eb="1">
      <t>アカ</t>
    </rPh>
    <rPh sb="9" eb="11">
      <t>カイフク</t>
    </rPh>
    <phoneticPr fontId="5"/>
  </si>
  <si>
    <t>黄パネルを吸収して回復</t>
    <rPh sb="0" eb="1">
      <t>キイロ</t>
    </rPh>
    <rPh sb="9" eb="11">
      <t>カイフク</t>
    </rPh>
    <phoneticPr fontId="5"/>
  </si>
  <si>
    <t>緑パネルを吸収して回復</t>
    <rPh sb="0" eb="1">
      <t>ミドリ</t>
    </rPh>
    <rPh sb="9" eb="11">
      <t>カイフク</t>
    </rPh>
    <phoneticPr fontId="5"/>
  </si>
  <si>
    <t>R2　ベルゼブブ</t>
    <phoneticPr fontId="5"/>
  </si>
  <si>
    <t>この傷が6つついた時、アナタとは永遠にサヨウナラ！</t>
    <rPh sb="2" eb="3">
      <t>キズ</t>
    </rPh>
    <rPh sb="9" eb="10">
      <t>トキ</t>
    </rPh>
    <rPh sb="16" eb="18">
      <t>エイエン</t>
    </rPh>
    <phoneticPr fontId="5"/>
  </si>
  <si>
    <t>生き延びるにはアタシを倒すしかナイワヨ？</t>
    <rPh sb="0" eb="1">
      <t>イ</t>
    </rPh>
    <rPh sb="2" eb="3">
      <t>ノ</t>
    </rPh>
    <rPh sb="11" eb="12">
      <t>タオ</t>
    </rPh>
    <phoneticPr fontId="5"/>
  </si>
  <si>
    <t>さぁいよいよ次が最後ねッ！</t>
    <rPh sb="6" eb="7">
      <t>ツギ</t>
    </rPh>
    <rPh sb="8" eb="10">
      <t>サイゴ</t>
    </rPh>
    <phoneticPr fontId="5"/>
  </si>
  <si>
    <t>[effect:damage_hp, target:unit_all, color:green, val:0.7]</t>
    <phoneticPr fontId="5"/>
  </si>
  <si>
    <t>old</t>
  </si>
  <si>
    <t>お邪魔パネル生成</t>
  </si>
  <si>
    <t>よいしょっと・・・</t>
  </si>
  <si>
    <t>むにゃむにゃ・・・いただぃまぁす〜</t>
  </si>
  <si>
    <t>あれぇ？ボクなにかしてたぁ？</t>
  </si>
  <si>
    <t>クリティカルヒット！</t>
  </si>
  <si>
    <t>全体攻撃＋出現しているCパネル激烈縮小</t>
  </si>
  <si>
    <t>やるな！ならばこれで！</t>
  </si>
  <si>
    <t>クリティカルヒット＋1ターンスキルバインド</t>
  </si>
  <si>
    <t>これでチェックメイトかしらん☆</t>
  </si>
  <si>
    <t>7ターンウィルス状態</t>
  </si>
  <si>
    <t>ルシファー・・・</t>
  </si>
  <si>
    <t>null</t>
    <phoneticPr fontId="5"/>
  </si>
  <si>
    <t>null</t>
    <phoneticPr fontId="5"/>
  </si>
  <si>
    <t>null</t>
    <phoneticPr fontId="5"/>
  </si>
  <si>
    <t>エージェントスナイプ</t>
    <phoneticPr fontId="5"/>
  </si>
  <si>
    <t>ベルフェゴールは寝ぼけている</t>
    <rPh sb="8" eb="9">
      <t>ネ</t>
    </rPh>
    <phoneticPr fontId="5"/>
  </si>
  <si>
    <t>ベルフェゴールは寝ぼけている</t>
    <phoneticPr fontId="5"/>
  </si>
  <si>
    <t>ベルフェゴールは今にも眠りそうだ</t>
    <rPh sb="8" eb="9">
      <t>イマ</t>
    </rPh>
    <rPh sb="11" eb="12">
      <t>ネムリ</t>
    </rPh>
    <phoneticPr fontId="5"/>
  </si>
  <si>
    <t>ついてこれるかな？</t>
    <phoneticPr fontId="5"/>
  </si>
  <si>
    <t>強烈な一撃をくらわせてやる</t>
    <rPh sb="0" eb="2">
      <t>キョウレツ</t>
    </rPh>
    <rPh sb="3" eb="5">
      <t>イチゲキ</t>
    </rPh>
    <phoneticPr fontId="5"/>
  </si>
  <si>
    <t>もらった！</t>
    <phoneticPr fontId="5"/>
  </si>
  <si>
    <t>じわじわと行くぞ？</t>
    <rPh sb="5" eb="6">
      <t>イ</t>
    </rPh>
    <phoneticPr fontId="5"/>
  </si>
  <si>
    <t>いつまで耐えられるかな？</t>
    <rPh sb="4" eb="5">
      <t>タ</t>
    </rPh>
    <phoneticPr fontId="5"/>
  </si>
  <si>
    <t>null</t>
    <phoneticPr fontId="5"/>
  </si>
  <si>
    <t>むにゃむにゃ・・・どいてどいてぇ〜</t>
  </si>
  <si>
    <t>むにゃむにゃ・・・あそぼぅよ〜</t>
  </si>
  <si>
    <t>ベルフェゴールは寝ぼけている</t>
  </si>
  <si>
    <t>[effect:enhance_enemy, target:myself, turn:-1, status:defense, val:10000, calc:add, animation:enemy_enhance_defense]</t>
    <phoneticPr fontId="5"/>
  </si>
  <si>
    <t>[effect:heal, target:myself, val:0.1, animation:enemy_heal],[effect:enhance_enemy, target:myself, turn:-1, status:defense, val:10000, calc:add, animation:enemy_enhance_defense]</t>
    <phoneticPr fontId="5"/>
  </si>
  <si>
    <t>[effect:break_attack, val:0.1, lowest_val:3000, count:-1, block:block_green, target:unit_one]</t>
    <phoneticPr fontId="5"/>
  </si>
  <si>
    <t>[effect:break_attack, val:0.2, lowest_val:3000, count:-1, block:jammer, target:unit_one]</t>
    <phoneticPr fontId="5"/>
  </si>
  <si>
    <t>本気で相手をしてやる</t>
    <rPh sb="0" eb="2">
      <t>ホンキ</t>
    </rPh>
    <rPh sb="3" eb="5">
      <t>アイテ</t>
    </rPh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</si>
  <si>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</si>
  <si>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7ターンウィルス状態＋状態異常無効</t>
    <rPh sb="8" eb="10">
      <t>ジョウタイ</t>
    </rPh>
    <phoneticPr fontId="5"/>
  </si>
  <si>
    <t>これならどうだっ！</t>
    <phoneticPr fontId="5"/>
  </si>
  <si>
    <t>薙ぎはらっちゃうよっ！</t>
    <rPh sb="0" eb="1">
      <t>ナ</t>
    </rPh>
    <phoneticPr fontId="5"/>
  </si>
  <si>
    <t>プレゼントだよっ！</t>
    <phoneticPr fontId="5"/>
  </si>
  <si>
    <t>やっぱり返してっ！</t>
    <rPh sb="4" eb="5">
      <t>カエ</t>
    </rPh>
    <phoneticPr fontId="5"/>
  </si>
  <si>
    <t>[effect:break_attack, val:0.08, lowest_val:3500, count:-1, block:block_red, target:unit_one]</t>
    <phoneticPr fontId="5"/>
  </si>
  <si>
    <t>絶望しろ！</t>
    <rPh sb="0" eb="2">
      <t>ゼツボウ</t>
    </rPh>
    <phoneticPr fontId="5"/>
  </si>
  <si>
    <t>[effect:break_heal_ratio, val:0.02, lowest_val:3000, count:-1, block:block_green, target:myself, animation:enemy_heal]</t>
    <phoneticPr fontId="5"/>
  </si>
  <si>
    <t>[effect:break_heal_ratio, val:0.02, lowest_val:3000, count:-1, block:block_blue, target:myself, animation:enemy_heal]</t>
    <phoneticPr fontId="5"/>
  </si>
  <si>
    <t>[effect:critical, val:1.2]</t>
    <phoneticPr fontId="5"/>
  </si>
  <si>
    <t>[effect:critical, val:1]</t>
    <phoneticPr fontId="5"/>
  </si>
  <si>
    <t>[effect:critical, val:1]</t>
    <phoneticPr fontId="5"/>
  </si>
  <si>
    <t>[effect:critical, val:1]</t>
    <phoneticPr fontId="5"/>
  </si>
  <si>
    <t>[effect:break_attack, val:0.17, lowest_val:3500, count:-1, block:block_green, target:unit_one]</t>
    <phoneticPr fontId="5"/>
  </si>
  <si>
    <t>[effect:virus, turn:5, target:unit_all, rate:1, val:0.1, animation:enemy_virus]</t>
    <phoneticPr fontId="5"/>
  </si>
  <si>
    <t>[effect:break_heal_ratio, val:0.02, lowest_val:3000, count:-1, block:block_red, target:myself, animation:enemy_heal]</t>
    <phoneticPr fontId="5"/>
  </si>
  <si>
    <t>[effect:break_heal_ratio, val:0.02, lowest_val:3000, count:-1, block:block_yellow, target:myself, animation:enemy_heal]</t>
    <phoneticPr fontId="5"/>
  </si>
  <si>
    <t>いいわっ！いい感じよっ！</t>
    <rPh sb="7" eb="8">
      <t>カン</t>
    </rPh>
    <phoneticPr fontId="5"/>
  </si>
  <si>
    <t>アタシの愛をもっと浴びてぇ！</t>
    <rPh sb="4" eb="5">
      <t>アイ</t>
    </rPh>
    <rPh sb="9" eb="10">
      <t>ア</t>
    </rPh>
    <phoneticPr fontId="5"/>
  </si>
  <si>
    <t>アナタの愛を感じちゃう！</t>
    <rPh sb="4" eb="5">
      <t>アイ</t>
    </rPh>
    <rPh sb="6" eb="7">
      <t>カン</t>
    </rPh>
    <phoneticPr fontId="5"/>
  </si>
  <si>
    <t>ほらほらモット、ガンバッテ！</t>
    <phoneticPr fontId="5"/>
  </si>
  <si>
    <t>そらッ！</t>
    <phoneticPr fontId="5"/>
  </si>
  <si>
    <t>２ッ！</t>
    <phoneticPr fontId="5"/>
  </si>
  <si>
    <t>３ッ！４ッ！</t>
    <phoneticPr fontId="5"/>
  </si>
  <si>
    <t>5ッ！</t>
    <phoneticPr fontId="5"/>
  </si>
  <si>
    <t>サ・ヨ・ウ・ナ・ラ</t>
    <phoneticPr fontId="5"/>
  </si>
  <si>
    <t>ベルゼブブ様に刃向かう者達か・・・</t>
  </si>
  <si>
    <t>状態異常無効</t>
  </si>
  <si>
    <t>[effect:virus, turn:7, target:unit_all, rate:1, val:0.2, animation:enemy_virus],[effect:tolerance,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</si>
  <si>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[effect:virus, turn:7, target:unit_all, rate:1, val:0.2, animation:enemy_virus],[effect:tolerance,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</si>
  <si>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animation:enemy_tolerance],[effect:fix_speed, target:myself, turn:1]</t>
    <phoneticPr fontId="5"/>
  </si>
  <si>
    <t>もらった！</t>
  </si>
  <si>
    <t>ついてこれるかな？</t>
  </si>
  <si>
    <t>エージェントスナイプ</t>
  </si>
  <si>
    <t>？？？「もぅん！仕方ないわねぇん・・・」</t>
  </si>
  <si>
    <t>？？？「ベルフェゴール！役立ちなさいよん！」</t>
  </si>
  <si>
    <t>お昼寝のじゅんびできたぁ〜</t>
  </si>
  <si>
    <t>戦いなんて面倒だよぉ〜ねむぃ・・・</t>
  </si>
  <si>
    <t>ベルフェゴールは今にも眠りそうだ</t>
  </si>
  <si>
    <t>むにゃ・・・あれ・・・あれれ・・・</t>
  </si>
  <si>
    <t>ぼくの・・・データが・・・</t>
  </si>
  <si>
    <t>むにゃむにゃ・・・</t>
  </si>
  <si>
    <t>敵・・・やっつけるっ！</t>
  </si>
  <si>
    <t>？？？「これでオーケーねん☆」</t>
  </si>
  <si>
    <t>薙ぎはらっちゃうよっ！</t>
  </si>
  <si>
    <t>全体攻撃</t>
  </si>
  <si>
    <t>これならどうだっ！</t>
  </si>
  <si>
    <t>赤パネルを吸収して攻撃</t>
  </si>
  <si>
    <t>プレゼントだよっ！</t>
  </si>
  <si>
    <t>2連続攻撃＋お邪魔パネル2つ生成</t>
  </si>
  <si>
    <t>やっぱり返してっ！</t>
  </si>
  <si>
    <t>お邪魔パネルを吸収して攻撃</t>
  </si>
  <si>
    <t>まぁいいや・・・お昼寝のつづきしよっと・・・</t>
  </si>
  <si>
    <t>絶望しろ！</t>
  </si>
  <si>
    <t>フィーバーゲージ減少</t>
  </si>
  <si>
    <t>これでもまだ刃向かえるか？</t>
  </si>
  <si>
    <t>全体攻撃＋強化効果解除</t>
  </si>
  <si>
    <t>その程度の力など</t>
  </si>
  <si>
    <t>赤パネルを緑パネルに変化＋速度アップ</t>
  </si>
  <si>
    <t>強烈な一撃をくらわせてやる</t>
  </si>
  <si>
    <t>緑パネルを吸収して攻撃</t>
  </si>
  <si>
    <t>じわじわと行くぞ？</t>
  </si>
  <si>
    <t>5ターンウィルス状態</t>
  </si>
  <si>
    <t>本気で相手をしてやる</t>
  </si>
  <si>
    <t>そうだな・・・最初は「緑」にするか</t>
  </si>
  <si>
    <t>その力を封じる！</t>
  </si>
  <si>
    <t>全体攻撃＋緑パネルフリーズ</t>
  </si>
  <si>
    <t>緑の力を使わせてもらう！</t>
  </si>
  <si>
    <t>次は・・・「黄」だ</t>
  </si>
  <si>
    <t>全体攻撃＋黄パネルフリーズ</t>
  </si>
  <si>
    <t>黄の力を使わせてもらう！</t>
  </si>
  <si>
    <t>次は・・・「赤」だ</t>
  </si>
  <si>
    <t>全体攻撃＋赤パネルフリーズ</t>
  </si>
  <si>
    <t>赤の力を使わせてもらう！</t>
  </si>
  <si>
    <t>次は・・・「青」だ</t>
  </si>
  <si>
    <t>全体攻撃＋青パネルフリーズ</t>
  </si>
  <si>
    <t>青の力を使わせてもらう！</t>
  </si>
  <si>
    <t>青パネルを吸収して攻撃</t>
  </si>
  <si>
    <t>いつまで耐えられるかな？</t>
  </si>
  <si>
    <t>ベルゼブブ様・・・</t>
  </si>
  <si>
    <t>申し訳ありません・・・</t>
  </si>
  <si>
    <t>あんら、メタトロンじゃない☆</t>
  </si>
  <si>
    <t>フェニックスちゃん、また来たのね☆</t>
  </si>
  <si>
    <t>アンタもあの子を狙ってるのね☆</t>
  </si>
  <si>
    <t>この泥棒猫ッん！</t>
  </si>
  <si>
    <t>アタシは楽して勝たせてもらうわん☆</t>
  </si>
  <si>
    <t>2連続攻撃＋時限爆弾15個生成</t>
  </si>
  <si>
    <t>追加して　ア・ゲ・ル☆</t>
  </si>
  <si>
    <t>Cパネル生成大延長</t>
  </si>
  <si>
    <t>頑張ったご褒美よぉん？チュッ☆</t>
  </si>
  <si>
    <t>タップ数減少</t>
  </si>
  <si>
    <t>さすがメタトロン・・・でも、アタシはまだまだ元気よぉ！</t>
  </si>
  <si>
    <t>7ターンウィルス状態＋状態異常無効</t>
  </si>
  <si>
    <t>フェニックスちゃん、いつもより頑張ってるじゃない！</t>
  </si>
  <si>
    <t>ナマイキなアンタ達にはオシオキが必要ねっ！</t>
  </si>
  <si>
    <t>いいわっ！いい感じよっ！</t>
  </si>
  <si>
    <t>アタシの愛をもっと浴びてぇ！</t>
  </si>
  <si>
    <t>アナタの愛を感じちゃう！</t>
  </si>
  <si>
    <t>青パネルを吸収して回復</t>
  </si>
  <si>
    <t>ほらほらモット、ガンバッテ！</t>
  </si>
  <si>
    <t>赤パネルを吸収して回復</t>
  </si>
  <si>
    <t>歯応え、感じてきたかしら！</t>
  </si>
  <si>
    <t>黄パネルを吸収して回復</t>
  </si>
  <si>
    <t>アタシ、追い詰められてるのかしら！</t>
  </si>
  <si>
    <t>緑パネルを吸収して回復</t>
  </si>
  <si>
    <t>そんなに逃げると追いかけちゃうわよ！</t>
  </si>
  <si>
    <t>速度アップ</t>
  </si>
  <si>
    <t>メタトロンなんかにアタシの何が分かるのっ！？</t>
  </si>
  <si>
    <t>フェニックス、調子乗ってんじゃナイワヨ？</t>
  </si>
  <si>
    <t>あの子の存在そのものを…罪だとでも言うつもりッ！？</t>
  </si>
  <si>
    <t>もう！ユルサナイ！</t>
  </si>
  <si>
    <t>苦しませながらアンタ達を消してアゲル！</t>
  </si>
  <si>
    <t>そらッ！</t>
  </si>
  <si>
    <t>この傷が6つついた時、アナタとは永遠にサヨウナラ！</t>
  </si>
  <si>
    <t>２ッ！</t>
  </si>
  <si>
    <t>生き延びるにはアタシを倒すしかナイワヨ？</t>
  </si>
  <si>
    <t>３ッ！４ッ！</t>
  </si>
  <si>
    <t>油断してちゃダメヨ？</t>
  </si>
  <si>
    <t>5ッ！</t>
  </si>
  <si>
    <t>さぁいよいよ次が最後ねッ！</t>
  </si>
  <si>
    <t>サ・ヨ・ウ・ナ・ラ</t>
  </si>
  <si>
    <t>久しぶりに燃えたわん・・・</t>
  </si>
  <si>
    <t>アナタは・・・アタシの・・・</t>
  </si>
  <si>
    <t>あら・・・まだ立ってるの・・・？</t>
  </si>
  <si>
    <t>終わりにしてあげるッ！</t>
  </si>
  <si>
    <t>[effect:critical, val:1.6]</t>
    <phoneticPr fontId="5"/>
  </si>
  <si>
    <t>[effect:virus, turn:7, target:unit_all, rate:1, val:0.2, animation:enemy_virus]</t>
    <phoneticPr fontId="5"/>
  </si>
  <si>
    <t>[effect:spread, val:0.3]</t>
    <phoneticPr fontId="5"/>
  </si>
  <si>
    <t>フィーバーゲージ減少＋全体攻撃</t>
    <rPh sb="8" eb="10">
      <t>geンンsyou</t>
    </rPh>
    <rPh sb="11" eb="15">
      <t>ゼンタイコウゲキ</t>
    </rPh>
    <phoneticPr fontId="5"/>
  </si>
  <si>
    <t>[effect:rush, count:2, val:0.7]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</si>
  <si>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</si>
  <si>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[effect:tolerance, target:myself, turn:-1, tolerance_effect:hungup, count:-1, animation:enemy_tolerance]</t>
    <phoneticPr fontId="5"/>
  </si>
  <si>
    <t>[effect:tolerance, target:myself, turn:-1, tolerance_effect:hungup, count:-1, animation:enemy_tolerance]</t>
    <phoneticPr fontId="5"/>
  </si>
  <si>
    <t>[effect:tolerance, target:myself, turn:-1, tolerance_effect:hungup, count:-1, animation:enemy_tolerance]</t>
    <phoneticPr fontId="5"/>
  </si>
  <si>
    <t>null</t>
    <phoneticPr fontId="5"/>
  </si>
  <si>
    <t>[effect:spread, val:0.15],[effect:panel_freeze, target:block_green, count:50]</t>
    <phoneticPr fontId="5"/>
  </si>
  <si>
    <t>[effect:spread, val:0.15],[effect:panel_freeze, target:block_yellow, count:50]</t>
    <phoneticPr fontId="5"/>
  </si>
  <si>
    <t>[effect:spread, val:0.15],[effect:panel_freeze, target:block_red, count:50]</t>
    <phoneticPr fontId="5"/>
  </si>
  <si>
    <t>[effect:spread, val:0.15],[effect:panel_freeze, target:block_blue, count:50]</t>
    <phoneticPr fontId="5"/>
  </si>
  <si>
    <t>[effect:break_attack, val:0.02, lowest_val:1000, count:10, block:block_green, target:unit_all]</t>
    <phoneticPr fontId="5"/>
  </si>
  <si>
    <t>[effect:break_attack, val:0.02, lowest_val:1000, count:10, block:block_yellow, target:unit_all]</t>
    <phoneticPr fontId="5"/>
  </si>
  <si>
    <t>[effect:break_attack, val:0.02, lowest_val:1000, count:-1, block:block_red, target:unit_all]</t>
    <phoneticPr fontId="5"/>
  </si>
  <si>
    <t>[effect:break_attack, val:0.02, lowest_val:1000, count:-1, block:block_blue, target:unit_all]</t>
    <phoneticPr fontId="5"/>
  </si>
  <si>
    <t>[effect:critical, val:0.75],[effect:hungup, target:unit_one, turn:1, rate:1, animation:hungup01]</t>
    <phoneticPr fontId="5"/>
  </si>
  <si>
    <t>[effect:critical, val:0.75],[effect:hungup, target:unit_one, turn:1, rate:1, animation:hungup01]</t>
    <phoneticPr fontId="5"/>
  </si>
  <si>
    <t>戦うのヤダよぉ〜ねむぃ…</t>
    <rPh sb="0" eb="1">
      <t>タタカ</t>
    </rPh>
    <phoneticPr fontId="5"/>
  </si>
  <si>
    <t>むにゃむにゃ…いただぃまぁす</t>
    <phoneticPr fontId="5"/>
  </si>
  <si>
    <t>むにゃむにゃ…どいてぇ〜</t>
    <phoneticPr fontId="5"/>
  </si>
  <si>
    <t>むにゃ…あれ…あれれ…</t>
    <phoneticPr fontId="5"/>
  </si>
  <si>
    <t>むにゃむにゃ…</t>
    <phoneticPr fontId="5"/>
  </si>
  <si>
    <t>むにゃむにゃ…あそぼぅよ〜</t>
    <phoneticPr fontId="5"/>
  </si>
  <si>
    <t>敵…やっつけるっ！</t>
    <rPh sb="0" eb="1">
      <t>テキ</t>
    </rPh>
    <phoneticPr fontId="5"/>
  </si>
  <si>
    <t>？？？「ウフフ、これでバッチリね☆」</t>
    <phoneticPr fontId="5"/>
  </si>
  <si>
    <t>赤パネル吸収攻撃</t>
    <rPh sb="0" eb="1">
      <t>アカ</t>
    </rPh>
    <rPh sb="6" eb="8">
      <t>コウゲキ</t>
    </rPh>
    <phoneticPr fontId="5"/>
  </si>
  <si>
    <t>お邪魔パネル吸収攻撃</t>
    <rPh sb="1" eb="3">
      <t>ジャマ</t>
    </rPh>
    <rPh sb="6" eb="8">
      <t>キュウシュウ</t>
    </rPh>
    <rPh sb="8" eb="10">
      <t>コウゲキ</t>
    </rPh>
    <phoneticPr fontId="5"/>
  </si>
  <si>
    <t>ベルゼブブ様に刃向かう者達か</t>
    <rPh sb="5" eb="6">
      <t>サマ</t>
    </rPh>
    <rPh sb="7" eb="9">
      <t>ハム</t>
    </rPh>
    <rPh sb="11" eb="13">
      <t>モノタチ</t>
    </rPh>
    <phoneticPr fontId="5"/>
  </si>
  <si>
    <t>ここで息の根を止める！</t>
    <rPh sb="3" eb="4">
      <t>イキノネヲ</t>
    </rPh>
    <rPh sb="7" eb="8">
      <t>トメル</t>
    </rPh>
    <phoneticPr fontId="5"/>
  </si>
  <si>
    <t>これでもまだ立ち上がれるか？</t>
    <rPh sb="6" eb="7">
      <t>タチアガレル</t>
    </rPh>
    <phoneticPr fontId="5"/>
  </si>
  <si>
    <t>全体攻撃＋全てのプラス効果を解除</t>
    <rPh sb="0" eb="4">
      <t>ゼンタイコウゲキ</t>
    </rPh>
    <rPh sb="5" eb="6">
      <t>スベテノ</t>
    </rPh>
    <rPh sb="11" eb="13">
      <t>コウカ</t>
    </rPh>
    <rPh sb="14" eb="16">
      <t>カイジョ</t>
    </rPh>
    <phoneticPr fontId="5"/>
  </si>
  <si>
    <t>赤パネルを緑パネルに変換＋全体攻撃</t>
    <rPh sb="0" eb="1">
      <t>アカ</t>
    </rPh>
    <rPh sb="5" eb="6">
      <t>ミドリ</t>
    </rPh>
    <rPh sb="10" eb="12">
      <t>ヘンカn</t>
    </rPh>
    <phoneticPr fontId="5"/>
  </si>
  <si>
    <t>緑パネル吸収攻撃</t>
    <rPh sb="0" eb="1">
      <t>ミドリ</t>
    </rPh>
    <rPh sb="6" eb="8">
      <t>コウゲキ</t>
    </rPh>
    <phoneticPr fontId="5"/>
  </si>
  <si>
    <t>そうだな…最初は「緑」にするか</t>
    <rPh sb="5" eb="7">
      <t>サイショ</t>
    </rPh>
    <rPh sb="9" eb="10">
      <t>ミドリ</t>
    </rPh>
    <phoneticPr fontId="5"/>
  </si>
  <si>
    <t>次は…「黄」だ</t>
    <rPh sb="0" eb="1">
      <t>ツギ</t>
    </rPh>
    <rPh sb="4" eb="5">
      <t>キイロ</t>
    </rPh>
    <phoneticPr fontId="5"/>
  </si>
  <si>
    <t>全体攻撃＋緑パネルプロテクト</t>
    <rPh sb="0" eb="4">
      <t>ゼンタイコウゲキ</t>
    </rPh>
    <rPh sb="5" eb="6">
      <t>ミドリ</t>
    </rPh>
    <phoneticPr fontId="5"/>
  </si>
  <si>
    <t>全体攻撃＋黄パネルプロテクト</t>
    <rPh sb="0" eb="4">
      <t>ゼンタイコウゲキ</t>
    </rPh>
    <rPh sb="5" eb="6">
      <t>キイロ</t>
    </rPh>
    <phoneticPr fontId="5"/>
  </si>
  <si>
    <t>次は…「赤」だ</t>
    <rPh sb="0" eb="1">
      <t>ツギ</t>
    </rPh>
    <rPh sb="4" eb="5">
      <t>アカ</t>
    </rPh>
    <phoneticPr fontId="5"/>
  </si>
  <si>
    <t>全体攻撃＋赤パネルプロテクト</t>
    <rPh sb="0" eb="4">
      <t>ゼンタイコウゲキ</t>
    </rPh>
    <rPh sb="5" eb="6">
      <t>アカ</t>
    </rPh>
    <phoneticPr fontId="5"/>
  </si>
  <si>
    <t>次は…「青」だ</t>
    <rPh sb="0" eb="1">
      <t>ツギ</t>
    </rPh>
    <rPh sb="4" eb="5">
      <t>アオ</t>
    </rPh>
    <phoneticPr fontId="5"/>
  </si>
  <si>
    <t>全体攻撃＋青パネルプロテクト</t>
    <rPh sb="0" eb="4">
      <t>ゼンタイコウゲキ</t>
    </rPh>
    <rPh sb="5" eb="6">
      <t>アオ</t>
    </rPh>
    <phoneticPr fontId="5"/>
  </si>
  <si>
    <t>青パネル吸収攻撃</t>
    <rPh sb="0" eb="1">
      <t>アオ</t>
    </rPh>
    <rPh sb="6" eb="8">
      <t>コウゲキ</t>
    </rPh>
    <phoneticPr fontId="5"/>
  </si>
  <si>
    <t>1ターンスキルバインド＋クリティカル！</t>
    <phoneticPr fontId="5"/>
  </si>
  <si>
    <t>ベルゼブブ様…</t>
    <rPh sb="5" eb="6">
      <t>サマ</t>
    </rPh>
    <phoneticPr fontId="5"/>
  </si>
  <si>
    <t>申し訳ありません…</t>
    <rPh sb="0" eb="1">
      <t>モウ</t>
    </rPh>
    <rPh sb="2" eb="3">
      <t>ワケ</t>
    </rPh>
    <phoneticPr fontId="5"/>
  </si>
  <si>
    <t>あら、メタトロンじゃない☆</t>
    <phoneticPr fontId="5"/>
  </si>
  <si>
    <t>あら、メタトロンじゃない☆</t>
    <phoneticPr fontId="5"/>
  </si>
  <si>
    <t>鳥ちゃん、また来たのね☆</t>
    <rPh sb="0" eb="1">
      <t>トリ</t>
    </rPh>
    <rPh sb="7" eb="8">
      <t>キ</t>
    </rPh>
    <phoneticPr fontId="5"/>
  </si>
  <si>
    <t>アンタもあの子を狙ってるのね？</t>
    <phoneticPr fontId="5"/>
  </si>
  <si>
    <t>この泥棒猫ッ！</t>
    <rPh sb="2" eb="4">
      <t>ドロボウ</t>
    </rPh>
    <rPh sb="4" eb="5">
      <t>ネコ</t>
    </rPh>
    <phoneticPr fontId="5"/>
  </si>
  <si>
    <t>アタシは楽々勝たせてもらうわ☆</t>
    <rPh sb="4" eb="5">
      <t>ラクラク</t>
    </rPh>
    <rPh sb="6" eb="7">
      <t>カ</t>
    </rPh>
    <phoneticPr fontId="5"/>
  </si>
  <si>
    <t>これはどうかしらん☆</t>
    <phoneticPr fontId="5"/>
  </si>
  <si>
    <t>頑張ったご褒美よぉ？チュッ☆</t>
    <rPh sb="0" eb="2">
      <t>ガンバ</t>
    </rPh>
    <rPh sb="5" eb="7">
      <t>ホウビ</t>
    </rPh>
    <phoneticPr fontId="5"/>
  </si>
  <si>
    <t>解除するまでタップ数が1減少</t>
    <rPh sb="0" eb="2">
      <t>カイジョ</t>
    </rPh>
    <rPh sb="9" eb="10">
      <t>スウ</t>
    </rPh>
    <rPh sb="12" eb="14">
      <t>ゲンショウ</t>
    </rPh>
    <phoneticPr fontId="5"/>
  </si>
  <si>
    <t>[effect:crash_condition, target:unit_all, val:4, turn:6, animation:enemy_crash_extend]</t>
    <phoneticPr fontId="5"/>
  </si>
  <si>
    <t>2回連続攻撃＋時限式パネル15個生成</t>
    <rPh sb="1" eb="2">
      <t>カイ</t>
    </rPh>
    <rPh sb="2" eb="4">
      <t>レンゾク</t>
    </rPh>
    <rPh sb="4" eb="6">
      <t>コウゲキ</t>
    </rPh>
    <rPh sb="7" eb="9">
      <t>ジゲンバクダン</t>
    </rPh>
    <rPh sb="9" eb="10">
      <t>シキ</t>
    </rPh>
    <rPh sb="15" eb="16">
      <t>※</t>
    </rPh>
    <phoneticPr fontId="5"/>
  </si>
  <si>
    <t>クリティカル！</t>
    <phoneticPr fontId="5"/>
  </si>
  <si>
    <t>アンタは話が通じないから大ッキライよ☆</t>
    <rPh sb="4" eb="5">
      <t>ハナシガ</t>
    </rPh>
    <rPh sb="6" eb="7">
      <t>ツウジル</t>
    </rPh>
    <rPh sb="12" eb="13">
      <t>ダイ</t>
    </rPh>
    <phoneticPr fontId="5"/>
  </si>
  <si>
    <t>安心しなさい　また灰に戻してアゲル☆</t>
    <rPh sb="0" eb="2">
      <t>アンシン</t>
    </rPh>
    <rPh sb="9" eb="10">
      <t>Highニ</t>
    </rPh>
    <rPh sb="11" eb="12">
      <t>モドス</t>
    </rPh>
    <phoneticPr fontId="5"/>
  </si>
  <si>
    <t>悪い子にはお仕置きしちゃうわよ☆</t>
    <rPh sb="0" eb="1">
      <t>ワルイコ</t>
    </rPh>
    <phoneticPr fontId="5"/>
  </si>
  <si>
    <t>[effect:suicide, val:1, dead_type:escape, target:myself]</t>
    <phoneticPr fontId="5"/>
  </si>
  <si>
    <t>よいしょっと…</t>
    <phoneticPr fontId="5"/>
  </si>
  <si>
    <t>さすがね…でも、アタシはまだまだ元気よぉ！</t>
    <rPh sb="16" eb="18">
      <t>ゲンキ</t>
    </rPh>
    <phoneticPr fontId="5"/>
  </si>
  <si>
    <t>いつもより頑張ってるじゃない！</t>
    <rPh sb="5" eb="7">
      <t>ガンバ</t>
    </rPh>
    <phoneticPr fontId="5"/>
  </si>
  <si>
    <t>ナマイキなのよッアンタ達！</t>
    <rPh sb="11" eb="12">
      <t>タチ</t>
    </rPh>
    <phoneticPr fontId="5"/>
  </si>
  <si>
    <t>手応え、感じてきたかしら！</t>
    <rPh sb="0" eb="1">
      <t>テ</t>
    </rPh>
    <rPh sb="1" eb="3">
      <t>hagotae</t>
    </rPh>
    <rPh sb="4" eb="5">
      <t>カン</t>
    </rPh>
    <phoneticPr fontId="5"/>
  </si>
  <si>
    <t>追い詰められてるのかしら！</t>
    <rPh sb="0" eb="1">
      <t>オ</t>
    </rPh>
    <rPh sb="2" eb="3">
      <t>ツ</t>
    </rPh>
    <phoneticPr fontId="5"/>
  </si>
  <si>
    <t>逃げられると思わないことね！</t>
    <rPh sb="0" eb="1">
      <t>ニ</t>
    </rPh>
    <rPh sb="6" eb="7">
      <t>オモワナイ</t>
    </rPh>
    <phoneticPr fontId="5"/>
  </si>
  <si>
    <t>調子乗ってんじゃナイワヨ？</t>
    <rPh sb="0" eb="2">
      <t>チョウシ</t>
    </rPh>
    <rPh sb="2" eb="3">
      <t>ノ</t>
    </rPh>
    <phoneticPr fontId="5"/>
  </si>
  <si>
    <t>アンタに何が分かるっての！？</t>
    <rPh sb="4" eb="5">
      <t>ナニ</t>
    </rPh>
    <rPh sb="6" eb="7">
      <t>ワ</t>
    </rPh>
    <phoneticPr fontId="5"/>
  </si>
  <si>
    <t>あの子は…あの子はね…</t>
    <rPh sb="2" eb="3">
      <t>コ</t>
    </rPh>
    <phoneticPr fontId="5"/>
  </si>
  <si>
    <t>やっと今　生きているのよ…！！</t>
    <rPh sb="3" eb="4">
      <t>イマ</t>
    </rPh>
    <rPh sb="5" eb="6">
      <t>イキテイル</t>
    </rPh>
    <phoneticPr fontId="5"/>
  </si>
  <si>
    <t>油断してちゃダメデショ？</t>
    <rPh sb="0" eb="2">
      <t>ユダン</t>
    </rPh>
    <phoneticPr fontId="5"/>
  </si>
  <si>
    <t>あら…まだ立ってるの…？</t>
    <rPh sb="5" eb="6">
      <t>タッテル</t>
    </rPh>
    <phoneticPr fontId="5"/>
  </si>
  <si>
    <t>何も分からないでしょうね…機械のアンタにはッ！</t>
    <rPh sb="0" eb="1">
      <t>ナニモ</t>
    </rPh>
    <rPh sb="2" eb="3">
      <t>ワカラナイ</t>
    </rPh>
    <rPh sb="13" eb="15">
      <t>キカイ</t>
    </rPh>
    <phoneticPr fontId="5"/>
  </si>
  <si>
    <t>極上の苦痛で消し去ってあげるわ！</t>
    <rPh sb="0" eb="2">
      <t>ゴクジョウノ</t>
    </rPh>
    <rPh sb="3" eb="5">
      <t>クツウ</t>
    </rPh>
    <rPh sb="6" eb="7">
      <t>ケ</t>
    </rPh>
    <rPh sb="8" eb="9">
      <t>サッテ</t>
    </rPh>
    <phoneticPr fontId="5"/>
  </si>
  <si>
    <t>いい加減に諦めなさいよッ！</t>
    <rPh sb="5" eb="6">
      <t>アキラメナサイ</t>
    </rPh>
    <phoneticPr fontId="5"/>
  </si>
  <si>
    <t>これ以上　邪魔するなら…</t>
    <rPh sb="5" eb="7">
      <t>ジャマ</t>
    </rPh>
    <phoneticPr fontId="5"/>
  </si>
  <si>
    <t>本文なし</t>
    <rPh sb="0" eb="2">
      <t>ホンブン</t>
    </rPh>
    <phoneticPr fontId="5"/>
  </si>
  <si>
    <t>まぁいいや…お昼寝のつづきしよっと…</t>
    <rPh sb="7" eb="9">
      <t>ヒルネ</t>
    </rPh>
    <phoneticPr fontId="5"/>
  </si>
  <si>
    <t>ボクは…ボク…は…</t>
    <phoneticPr fontId="5"/>
  </si>
  <si>
    <t>[effect:enemy_message, val1:2.5, val2:2.5, dead_type:suicide]</t>
    <phoneticPr fontId="5"/>
  </si>
  <si>
    <t>？？？「んもう！どれだけ手間取っているのよん！」</t>
    <rPh sb="12" eb="15">
      <t>テマドッテイル</t>
    </rPh>
    <phoneticPr fontId="5"/>
  </si>
  <si>
    <t>[effect:enemy_message, val1:0, val2:3, dead_type:suicide]</t>
    <phoneticPr fontId="5"/>
  </si>
  <si>
    <t>drop_unit_rate</t>
    <phoneticPr fontId="5"/>
  </si>
  <si>
    <t>[effect:enemy_message, val1:2, val2:2, dead_type:suicide]</t>
    <phoneticPr fontId="5"/>
  </si>
  <si>
    <t>6ターンCパネル生成特大延長</t>
    <rPh sb="10" eb="12">
      <t>トクダイ</t>
    </rPh>
    <phoneticPr fontId="5"/>
  </si>
  <si>
    <t>[effect:damage_hp, target:unit_all, color:green, val:0.7]</t>
    <phoneticPr fontId="5"/>
  </si>
  <si>
    <t>自身の最大HPに準拠した威力の全体攻撃</t>
    <rPh sb="8" eb="10">
      <t>ジュンキョ</t>
    </rPh>
    <rPh sb="12" eb="14">
      <t>イリョク</t>
    </rPh>
    <rPh sb="17" eb="19">
      <t>コウゲキ</t>
    </rPh>
    <phoneticPr fontId="5"/>
  </si>
  <si>
    <t>？？？「この子は役に立たないわね。
ベルフェゴール！アンタの出番よん！」</t>
    <rPh sb="8" eb="9">
      <t>ヤクニタタナイ</t>
    </rPh>
    <rPh sb="30" eb="32">
      <t>デバン</t>
    </rPh>
    <phoneticPr fontId="5"/>
  </si>
  <si>
    <t>effect_param</t>
    <phoneticPr fontId="5"/>
  </si>
  <si>
    <t>[effect:suicide, val:1, dead_type:suicide, target:enemy_all, animation:enemy_suicide]</t>
    <phoneticPr fontId="5"/>
  </si>
  <si>
    <t>old</t>
    <phoneticPr fontId="5"/>
  </si>
  <si>
    <t>ja</t>
    <phoneticPr fontId="5"/>
  </si>
  <si>
    <t>NULL</t>
    <phoneticPr fontId="5"/>
  </si>
  <si>
    <t>攻撃頻度が1ターンにUP</t>
    <phoneticPr fontId="5"/>
  </si>
  <si>
    <t>[effect:change_block, new_block:block_green, target:block_red, count:0, val:0, min_time_count:0, max_time_count:0, animation:change_block],[effect:spread, val:0.2]</t>
    <phoneticPr fontId="5"/>
  </si>
  <si>
    <t>ベルフェゴールとエージェントジョーは
一定ターン毎にお邪魔パネルを生成します
手詰まりになる前に攻め込みましょう</t>
    <phoneticPr fontId="5"/>
  </si>
  <si>
    <t>アスタロトは全てのプラス効果を解除したり
Cパネルを大幅に縮小するスキルを使います
不利な状況に陥らないよう注意しましょう</t>
    <phoneticPr fontId="5"/>
  </si>
  <si>
    <t>アスタロトが各色パネルをプロテクトしたら
直後に各色パネル吸収攻撃が来る合図です
対象のパネルを消せば威力を軽減できます</t>
    <phoneticPr fontId="5"/>
  </si>
  <si>
    <t>ベルゼブブが生成する時限パネルは
放置すると思わぬ大ダメージを受けます
盤面の状況に応じて的確に処理しましょう</t>
    <phoneticPr fontId="5"/>
  </si>
  <si>
    <t>ベルゼブブは一定のターンが経過する毎に
強力なウィルスを付与してきます
ウィルス状態を解除するスキルが有効です</t>
    <phoneticPr fontId="5"/>
  </si>
  <si>
    <t>ベルゼブブが終盤戦で使用する即死攻撃は
6つのカウントが満たされた時に発動します
その前に総攻撃を仕掛けて倒し切りましょう</t>
    <phoneticPr fontId="5"/>
  </si>
  <si>
    <t>old</t>
    <phoneticPr fontId="7"/>
  </si>
  <si>
    <t>…今日は花を持たせてアゲルわ</t>
    <phoneticPr fontId="5"/>
  </si>
  <si>
    <t>あの子のため…アタシはまだ…！</t>
    <phoneticPr fontId="5"/>
  </si>
  <si>
    <t>2回連続攻撃＋お邪魔パネル3つ生成</t>
    <rPh sb="1" eb="2">
      <t>カイ</t>
    </rPh>
    <rPh sb="2" eb="4">
      <t>レンゾク</t>
    </rPh>
    <rPh sb="4" eb="6">
      <t>コウゲキ</t>
    </rPh>
    <phoneticPr fontId="5"/>
  </si>
  <si>
    <t>unit</t>
    <phoneticPr fontId="5"/>
  </si>
  <si>
    <t>null</t>
    <phoneticPr fontId="5"/>
  </si>
  <si>
    <t>link</t>
    <phoneticPr fontId="5"/>
  </si>
  <si>
    <t>unit</t>
    <phoneticPr fontId="5"/>
  </si>
  <si>
    <t>[effect:degrade_fever, val:1000, animation:fevergauge_down],[effect:spread, val:0.2]</t>
    <phoneticPr fontId="5"/>
  </si>
  <si>
    <t>[effect:force_change_block, new_block:jammer, target:block_all, ignore01:block_positive, ignore02:block_negative, count:3, val:0]</t>
    <phoneticPr fontId="5"/>
  </si>
  <si>
    <t>[effect:rush, count:2, val:0.6],[effect:force_change_block, new_block:jammer, target:block_all, ignore01:block_positive, ignore02:block_negative, count:3, val:0]</t>
    <phoneticPr fontId="5"/>
  </si>
  <si>
    <t>[effect:rush, count:2, val:0.6],[effect:force_change_block, new_block:time_bomb, target:block_all, ignore01:block_positive, ignore02:block_negative, count:15, val:0.1, min_time_count:3, max_time_count:5]</t>
    <phoneticPr fontId="5"/>
  </si>
  <si>
    <t>[effect:rush, count:2, val:0.6],[effect:force_change_block, new_block:time_bomb, target:block_all, ignore01:block_positive, ignore02:block_negative, count:15, val:0.1, min_time_count:3, max_time_count:5]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</si>
</sst>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16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vertical="center"/>
    </xf>
    <xf numFmtId="177" fontId="8" fillId="32" borderId="4" xfId="0" applyNumberFormat="1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6" fillId="31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1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horizontal="left" vertical="center" wrapText="1"/>
    </xf>
    <xf numFmtId="0" fontId="11" fillId="32" borderId="7" xfId="0" applyFont="1" applyFill="1" applyBorder="1" applyAlignment="1">
      <alignment horizontal="left" vertical="center" wrapText="1"/>
    </xf>
    <xf numFmtId="0" fontId="0" fillId="0" borderId="23" xfId="0" applyBorder="1"/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28" fillId="3" borderId="7" xfId="0" applyFont="1" applyFill="1" applyBorder="1"/>
    <xf numFmtId="0" fontId="31" fillId="3" borderId="7" xfId="0" applyFont="1" applyFill="1" applyBorder="1"/>
    <xf numFmtId="38" fontId="16" fillId="3" borderId="7" xfId="628" applyFont="1" applyFill="1" applyBorder="1" applyAlignment="1"/>
    <xf numFmtId="38" fontId="16" fillId="0" borderId="7" xfId="628" applyFont="1" applyFill="1" applyBorder="1" applyAlignment="1">
      <alignment wrapText="1"/>
    </xf>
    <xf numFmtId="0" fontId="4" fillId="15" borderId="7" xfId="0" applyFont="1" applyFill="1" applyBorder="1" applyAlignment="1">
      <alignment horizontal="right" vertical="center"/>
    </xf>
    <xf numFmtId="0" fontId="27" fillId="15" borderId="23" xfId="0" applyFont="1" applyFill="1" applyBorder="1"/>
  </cellXfs>
  <cellStyles count="116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赤字強調" xfId="431"/>
    <cellStyle name="青字強調" xfId="43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28" sqref="C2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262</v>
      </c>
      <c r="B2" s="57" t="s">
        <v>106</v>
      </c>
      <c r="C2" s="62">
        <v>40017</v>
      </c>
      <c r="D2" s="57" t="s">
        <v>107</v>
      </c>
      <c r="E2" s="56" t="str">
        <f>B2&amp;C2&amp;D2</f>
        <v>floors_40017.tmp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262</v>
      </c>
      <c r="B3" s="57" t="s">
        <v>109</v>
      </c>
      <c r="C3" s="62">
        <v>40017</v>
      </c>
      <c r="D3" s="57" t="s">
        <v>107</v>
      </c>
      <c r="E3" s="56" t="str">
        <f>B3&amp;C3&amp;D3</f>
        <v>enemy_habitats_40017.tmp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262</v>
      </c>
      <c r="B4" s="57" t="s">
        <v>111</v>
      </c>
      <c r="C4" s="62">
        <v>40017</v>
      </c>
      <c r="D4" s="57" t="s">
        <v>107</v>
      </c>
      <c r="E4" s="56" t="str">
        <f>B4&amp;C4&amp;D4</f>
        <v>enemy_habitat_S_40017.tmp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262</v>
      </c>
      <c r="B5" s="57" t="s">
        <v>113</v>
      </c>
      <c r="C5" s="62">
        <v>40017</v>
      </c>
      <c r="D5" s="57" t="s">
        <v>107</v>
      </c>
      <c r="E5" s="56" t="str">
        <f>B5&amp;C5&amp;D5</f>
        <v>enemy_skill_sets_40017.tmp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262</v>
      </c>
      <c r="B6" s="57" t="s">
        <v>115</v>
      </c>
      <c r="C6" s="62">
        <v>40017</v>
      </c>
      <c r="D6" s="57" t="s">
        <v>116</v>
      </c>
      <c r="E6" s="56" t="str">
        <f t="shared" ref="E6:E10" si="0">B6&amp;C6&amp;D6</f>
        <v>enemy_skills_tmp_40017.tmp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262</v>
      </c>
      <c r="B7" s="57" t="s">
        <v>117</v>
      </c>
      <c r="C7" s="62">
        <v>40017</v>
      </c>
      <c r="D7" s="57" t="s">
        <v>107</v>
      </c>
      <c r="E7" s="56" t="str">
        <f>B7&amp;C7&amp;D7</f>
        <v>enemy_skills_i18n_40017.tmp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262</v>
      </c>
      <c r="B8" s="57" t="s">
        <v>119</v>
      </c>
      <c r="C8" s="62">
        <v>40017</v>
      </c>
      <c r="D8" s="57" t="s">
        <v>120</v>
      </c>
      <c r="E8" s="56" t="str">
        <f t="shared" si="0"/>
        <v>enemy_skill_triggers_40017.tmp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516</v>
      </c>
      <c r="B9" s="67" t="s">
        <v>177</v>
      </c>
      <c r="C9" s="62">
        <v>40017</v>
      </c>
      <c r="D9" s="67" t="s">
        <v>171</v>
      </c>
      <c r="E9" s="68" t="str">
        <f t="shared" si="0"/>
        <v>stage_bug_bonuses_40017.tmp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6" customFormat="1" x14ac:dyDescent="0.15">
      <c r="A10" s="61" t="s">
        <v>516</v>
      </c>
      <c r="B10" s="67" t="s">
        <v>201</v>
      </c>
      <c r="C10" s="62">
        <v>40017</v>
      </c>
      <c r="D10" s="67" t="s">
        <v>180</v>
      </c>
      <c r="E10" s="68" t="str">
        <f t="shared" si="0"/>
        <v>stage_hints_data_c_40017.tmp</v>
      </c>
      <c r="F10" s="67" t="s">
        <v>209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75" t="s">
        <v>184</v>
      </c>
    </row>
    <row r="11" spans="1:30" s="76" customFormat="1" x14ac:dyDescent="0.15">
      <c r="A11" s="61" t="s">
        <v>262</v>
      </c>
      <c r="B11" s="67" t="s">
        <v>202</v>
      </c>
      <c r="C11" s="62">
        <v>40017</v>
      </c>
      <c r="D11" s="67" t="s">
        <v>171</v>
      </c>
      <c r="E11" s="68" t="str">
        <f t="shared" ref="E11:E12" si="1">B11&amp;C11&amp;D11</f>
        <v>stage_hints_data_f_40017.tmp</v>
      </c>
      <c r="F11" s="67" t="s">
        <v>211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75" t="s">
        <v>184</v>
      </c>
    </row>
    <row r="12" spans="1:30" s="76" customFormat="1" x14ac:dyDescent="0.15">
      <c r="A12" s="67" t="s">
        <v>527</v>
      </c>
      <c r="B12" s="67" t="s">
        <v>203</v>
      </c>
      <c r="C12" s="62">
        <v>40017</v>
      </c>
      <c r="D12" s="67" t="s">
        <v>171</v>
      </c>
      <c r="E12" s="68" t="str">
        <f t="shared" si="1"/>
        <v>stage_hints_i18n_40017.tmp</v>
      </c>
      <c r="F12" s="67" t="s">
        <v>212</v>
      </c>
      <c r="G12" s="74" t="s">
        <v>204</v>
      </c>
      <c r="H12" s="94" t="s">
        <v>205</v>
      </c>
      <c r="I12" s="73" t="s">
        <v>206</v>
      </c>
      <c r="J12" s="95" t="s">
        <v>207</v>
      </c>
      <c r="K12" s="75" t="s">
        <v>208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G7" sqref="G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8" style="3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40017_1-1</v>
      </c>
      <c r="B2" s="16" t="str">
        <f>IF(COUNTIF(enemy_habitats!$H:$H,A2),"OK","NG")</f>
        <v>OK</v>
      </c>
      <c r="C2" s="7">
        <v>40017</v>
      </c>
      <c r="D2" s="11" t="str">
        <f ca="1">VLOOKUP($C2,OFFSET([2]quests!$A$1,0,0,COUNTA([2]quests!$A:$A),MATCH(D$1,[2]quests!$1:$1,0)-MATCH($C$1,[2]quests!$1:$1,0)+1),MATCH(D$1,[2]quests!$1:$1,0)-MATCH($C$1,[2]quests!$1:$1,0)+1,FALSE)</f>
        <v>ベルゼブブ襲来！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降臨17</v>
      </c>
      <c r="F2" s="21">
        <v>1</v>
      </c>
      <c r="G2" s="23" t="str">
        <f>C2&amp;"_"&amp;F2</f>
        <v>40017_1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【超絶級】ベルゼブブ襲来 </v>
      </c>
      <c r="I2" s="21">
        <v>1</v>
      </c>
      <c r="J2" s="12">
        <v>35</v>
      </c>
      <c r="K2" s="12">
        <v>35</v>
      </c>
    </row>
    <row r="3" spans="1:11" ht="21" customHeight="1" x14ac:dyDescent="0.15">
      <c r="A3" s="16" t="str">
        <f t="shared" ref="A3:A10" si="0">G3&amp;"-"&amp;I3</f>
        <v>40017_1-2</v>
      </c>
      <c r="B3" s="16" t="str">
        <f>IF(COUNTIF(enemy_habitats!$H:$H,A3),"OK","NG")</f>
        <v>OK</v>
      </c>
      <c r="C3" s="7">
        <v>40017</v>
      </c>
      <c r="D3" s="11" t="str">
        <f ca="1">VLOOKUP($C3,OFFSET([2]quests!$A$1,0,0,COUNTA([2]quests!$A:$A),MATCH(D$1,[2]quests!$1:$1,0)-MATCH($C$1,[2]quests!$1:$1,0)+1),MATCH(D$1,[2]quests!$1:$1,0)-MATCH($C$1,[2]quests!$1:$1,0)+1,FALSE)</f>
        <v>ベルゼブブ襲来！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降臨17</v>
      </c>
      <c r="F3" s="21">
        <v>1</v>
      </c>
      <c r="G3" s="23" t="str">
        <f t="shared" ref="G3:G10" si="1">C3&amp;"_"&amp;F3</f>
        <v>40017_1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【超絶級】ベルゼブブ襲来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40017_1-3</v>
      </c>
      <c r="B4" s="16" t="str">
        <f>IF(COUNTIF(enemy_habitats!$H:$H,A4),"OK","NG")</f>
        <v>OK</v>
      </c>
      <c r="C4" s="7">
        <v>40017</v>
      </c>
      <c r="D4" s="11" t="str">
        <f ca="1">VLOOKUP($C4,OFFSET([2]quests!$A$1,0,0,COUNTA([2]quests!$A:$A),MATCH(D$1,[2]quests!$1:$1,0)-MATCH($C$1,[2]quests!$1:$1,0)+1),MATCH(D$1,[2]quests!$1:$1,0)-MATCH($C$1,[2]quests!$1:$1,0)+1,FALSE)</f>
        <v>ベルゼブブ襲来！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降臨17</v>
      </c>
      <c r="F4" s="21">
        <v>1</v>
      </c>
      <c r="G4" s="23" t="str">
        <f t="shared" si="1"/>
        <v>40017_1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【超絶級】ベルゼブブ襲来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40017_2-1</v>
      </c>
      <c r="B5" s="16" t="str">
        <f>IF(COUNTIF(enemy_habitats!$H:$H,A5),"OK","NG")</f>
        <v>OK</v>
      </c>
      <c r="C5" s="7">
        <v>40017</v>
      </c>
      <c r="D5" s="11" t="str">
        <f ca="1">VLOOKUP($C5,OFFSET([2]quests!$A$1,0,0,COUNTA([2]quests!$A:$A),MATCH(D$1,[2]quests!$1:$1,0)-MATCH($C$1,[2]quests!$1:$1,0)+1),MATCH(D$1,[2]quests!$1:$1,0)-MATCH($C$1,[2]quests!$1:$1,0)+1,FALSE)</f>
        <v>ベルゼブブ襲来！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降臨17</v>
      </c>
      <c r="F5" s="21">
        <v>2</v>
      </c>
      <c r="G5" s="23" t="str">
        <f t="shared" si="1"/>
        <v>40017_2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【ウィザード級】ベルゼブブ襲来</v>
      </c>
      <c r="I5" s="21">
        <v>1</v>
      </c>
      <c r="J5" s="12">
        <v>35</v>
      </c>
      <c r="K5" s="12">
        <v>35</v>
      </c>
    </row>
    <row r="6" spans="1:11" ht="21" customHeight="1" x14ac:dyDescent="0.15">
      <c r="A6" s="16" t="str">
        <f t="shared" si="0"/>
        <v>40017_2-2</v>
      </c>
      <c r="B6" s="16" t="str">
        <f>IF(COUNTIF(enemy_habitats!$H:$H,A6),"OK","NG")</f>
        <v>OK</v>
      </c>
      <c r="C6" s="7">
        <v>40017</v>
      </c>
      <c r="D6" s="11" t="str">
        <f ca="1">VLOOKUP($C6,OFFSET([2]quests!$A$1,0,0,COUNTA([2]quests!$A:$A),MATCH(D$1,[2]quests!$1:$1,0)-MATCH($C$1,[2]quests!$1:$1,0)+1),MATCH(D$1,[2]quests!$1:$1,0)-MATCH($C$1,[2]quests!$1:$1,0)+1,FALSE)</f>
        <v>ベルゼブブ襲来！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降臨17</v>
      </c>
      <c r="F6" s="21">
        <v>2</v>
      </c>
      <c r="G6" s="23" t="str">
        <f t="shared" si="1"/>
        <v>40017_2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【ウィザード級】ベルゼブブ襲来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40017_2-3</v>
      </c>
      <c r="B7" s="16" t="str">
        <f>IF(COUNTIF(enemy_habitats!$H:$H,A7),"OK","NG")</f>
        <v>OK</v>
      </c>
      <c r="C7" s="7">
        <v>40017</v>
      </c>
      <c r="D7" s="11" t="str">
        <f ca="1">VLOOKUP($C7,OFFSET([2]quests!$A$1,0,0,COUNTA([2]quests!$A:$A),MATCH(D$1,[2]quests!$1:$1,0)-MATCH($C$1,[2]quests!$1:$1,0)+1),MATCH(D$1,[2]quests!$1:$1,0)-MATCH($C$1,[2]quests!$1:$1,0)+1,FALSE)</f>
        <v>ベルゼブブ襲来！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降臨17</v>
      </c>
      <c r="F7" s="21">
        <v>2</v>
      </c>
      <c r="G7" s="23" t="str">
        <f t="shared" si="1"/>
        <v>40017_2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【ウィザード級】ベルゼブブ襲来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40017_3-1</v>
      </c>
      <c r="B8" s="16" t="str">
        <f>IF(COUNTIF(enemy_habitats!$H:$H,A8),"OK","NG")</f>
        <v>OK</v>
      </c>
      <c r="C8" s="7">
        <v>40017</v>
      </c>
      <c r="D8" s="11" t="str">
        <f ca="1">VLOOKUP($C8,OFFSET([2]quests!$A$1,0,0,COUNTA([2]quests!$A:$A),MATCH(D$1,[2]quests!$1:$1,0)-MATCH($C$1,[2]quests!$1:$1,0)+1),MATCH(D$1,[2]quests!$1:$1,0)-MATCH($C$1,[2]quests!$1:$1,0)+1,FALSE)</f>
        <v>ベルゼブブ襲来！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降臨17</v>
      </c>
      <c r="F8" s="21">
        <v>3</v>
      </c>
      <c r="G8" s="23" t="str">
        <f t="shared" si="1"/>
        <v>40017_3</v>
      </c>
      <c r="H8" s="15" t="str">
        <f ca="1">VLOOKUP($G8,OFFSET([2]stages!$A$1,0,0,COUNTA([2]stages!$A:$A),MATCH(H$1,[2]stages!$2:$2,0)-MATCH($G$1,[2]stages!$2:$2,0)+1),MATCH(H$1,[2]stages!$2:$2,0)-MATCH($G$1,[2]stages!$2:$2,0)+1,FALSE)</f>
        <v>【ノーコンテニュー】ベルゼブブ襲来</v>
      </c>
      <c r="I8" s="21">
        <v>1</v>
      </c>
      <c r="J8" s="12">
        <v>35</v>
      </c>
      <c r="K8" s="12">
        <v>35</v>
      </c>
    </row>
    <row r="9" spans="1:11" ht="21" customHeight="1" x14ac:dyDescent="0.15">
      <c r="A9" s="16" t="str">
        <f t="shared" si="0"/>
        <v>40017_3-2</v>
      </c>
      <c r="B9" s="16" t="str">
        <f>IF(COUNTIF(enemy_habitats!$H:$H,A9),"OK","NG")</f>
        <v>OK</v>
      </c>
      <c r="C9" s="7">
        <v>40017</v>
      </c>
      <c r="D9" s="11" t="str">
        <f ca="1">VLOOKUP($C9,OFFSET([2]quests!$A$1,0,0,COUNTA([2]quests!$A:$A),MATCH(D$1,[2]quests!$1:$1,0)-MATCH($C$1,[2]quests!$1:$1,0)+1),MATCH(D$1,[2]quests!$1:$1,0)-MATCH($C$1,[2]quests!$1:$1,0)+1,FALSE)</f>
        <v>ベルゼブブ襲来！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降臨17</v>
      </c>
      <c r="F9" s="21">
        <v>3</v>
      </c>
      <c r="G9" s="23" t="str">
        <f t="shared" si="1"/>
        <v>40017_3</v>
      </c>
      <c r="H9" s="15" t="str">
        <f ca="1">VLOOKUP($G9,OFFSET([2]stages!$A$1,0,0,COUNTA([2]stages!$A:$A),MATCH(H$1,[2]stages!$2:$2,0)-MATCH($G$1,[2]stages!$2:$2,0)+1),MATCH(H$1,[2]stages!$2:$2,0)-MATCH($G$1,[2]stages!$2:$2,0)+1,FALSE)</f>
        <v>【ノーコンテニュー】ベルゼブブ襲来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40017_3-3</v>
      </c>
      <c r="B10" s="16" t="str">
        <f>IF(COUNTIF(enemy_habitats!$H:$H,A10),"OK","NG")</f>
        <v>OK</v>
      </c>
      <c r="C10" s="7">
        <v>40017</v>
      </c>
      <c r="D10" s="11" t="str">
        <f ca="1">VLOOKUP($C10,OFFSET([2]quests!$A$1,0,0,COUNTA([2]quests!$A:$A),MATCH(D$1,[2]quests!$1:$1,0)-MATCH($C$1,[2]quests!$1:$1,0)+1),MATCH(D$1,[2]quests!$1:$1,0)-MATCH($C$1,[2]quests!$1:$1,0)+1,FALSE)</f>
        <v>ベルゼブブ襲来！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降臨17</v>
      </c>
      <c r="F10" s="21">
        <v>3</v>
      </c>
      <c r="G10" s="23" t="str">
        <f t="shared" si="1"/>
        <v>40017_3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【ノーコンテニュー】ベルゼブブ襲来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3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T15" sqref="T1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4.66406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508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 ca="1">B2&amp;"_"&amp;C2&amp;"-"&amp;G2&amp;"/"&amp;L2&amp;"&lt;lv"&amp;R2&amp;"&gt;s"&amp;AA2</f>
        <v>40017_1-1/3&lt;lv45&gt;s2</v>
      </c>
      <c r="B2" s="22">
        <v>40017</v>
      </c>
      <c r="C2" s="21">
        <v>1</v>
      </c>
      <c r="D2" s="2" t="str">
        <f>B2&amp;"_"&amp;C2</f>
        <v>40017_1</v>
      </c>
      <c r="E2" s="4" t="str">
        <f ca="1">VLOOKUP($B2,OFFSET([2]quests!$A$1,0,0,COUNTA([2]quests!$A:$A),MATCH(E$1,[2]quests!$1:$1,0)-MATCH($B$1,[2]quests!$1:$1,0)+1),MATCH(E$1,[2]quests!$1:$1,0)-MATCH($B$1,[2]quests!$1:$1,0)+1,FALSE)</f>
        <v>ベルゼブブ襲来！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2" s="21">
        <v>1</v>
      </c>
      <c r="H2" s="15" t="str">
        <f>B2&amp;"_"&amp;C2&amp;"-"&amp;G2</f>
        <v>40017_1-1</v>
      </c>
      <c r="I2" s="4">
        <f ca="1">VLOOKUP($H2,OFFSET(floors!$A$1,0,0,COUNTA(floors!$A:$A),MATCH(I$1,floors!$1:$1,0)-MATCH($H$1,floors!$1:$1,0)+1),MATCH(I$1,floors!$1:$1,0)-MATCH($H$1,floors!$1:$1,0)+1,FALSE)</f>
        <v>35</v>
      </c>
      <c r="J2" s="4">
        <f ca="1">VLOOKUP($H2,OFFSET(floors!$A$1,0,0,COUNTA(floors!$A:$A),MATCH(J$1,floors!$1:$1,0)-MATCH($H$1,floors!$1:$1,0)+1),MATCH(J$1,floors!$1:$1,0)-MATCH($H$1,floors!$1:$1,0)+1,FALSE)</f>
        <v>35</v>
      </c>
      <c r="K2" s="38" t="s">
        <v>224</v>
      </c>
      <c r="L2" s="98">
        <v>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エージェント ジョー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v>30</v>
      </c>
      <c r="R2" s="5">
        <v>45</v>
      </c>
      <c r="S2" s="25">
        <v>10</v>
      </c>
      <c r="T2" s="25">
        <v>1.3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40017001</v>
      </c>
      <c r="X2" s="6">
        <v>1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f>L2</f>
        <v>3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ref="A3:A13" si="0">B3&amp;"_"&amp;C3&amp;"-"&amp;G3&amp;"/"&amp;L3&amp;"&lt;lv"&amp;R3&amp;"&gt;s"&amp;AA3</f>
        <v>40017_1-1/253&lt;lv60&gt;s2</v>
      </c>
      <c r="B3" s="22">
        <v>40017</v>
      </c>
      <c r="C3" s="21">
        <v>1</v>
      </c>
      <c r="D3" s="2" t="str">
        <f t="shared" ref="D3:D13" si="1">B3&amp;"_"&amp;C3</f>
        <v>40017_1</v>
      </c>
      <c r="E3" s="4" t="str">
        <f ca="1">VLOOKUP($B3,OFFSET([2]quests!$A$1,0,0,COUNTA([2]quests!$A:$A),MATCH(E$1,[2]quests!$1:$1,0)-MATCH($B$1,[2]quests!$1:$1,0)+1),MATCH(E$1,[2]quests!$1:$1,0)-MATCH($B$1,[2]quests!$1:$1,0)+1,FALSE)</f>
        <v>ベルゼブブ襲来！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3" s="21">
        <v>1</v>
      </c>
      <c r="H3" s="15" t="str">
        <f t="shared" ref="H3:H13" si="2">B3&amp;"_"&amp;C3&amp;"-"&amp;G3</f>
        <v>40017_1-1</v>
      </c>
      <c r="I3" s="4">
        <f ca="1">VLOOKUP($H3,OFFSET(floors!$A$1,0,0,COUNTA(floors!$A:$A),MATCH(I$1,floors!$1:$1,0)-MATCH($H$1,floors!$1:$1,0)+1),MATCH(I$1,floors!$1:$1,0)-MATCH($H$1,floors!$1:$1,0)+1,FALSE)</f>
        <v>35</v>
      </c>
      <c r="J3" s="4">
        <f ca="1">VLOOKUP($H3,OFFSET(floors!$A$1,0,0,COUNTA(floors!$A:$A),MATCH(J$1,floors!$1:$1,0)-MATCH($H$1,floors!$1:$1,0)+1),MATCH(J$1,floors!$1:$1,0)-MATCH($H$1,floors!$1:$1,0)+1,FALSE)</f>
        <v>35</v>
      </c>
      <c r="K3" s="38">
        <v>1</v>
      </c>
      <c r="L3" s="98">
        <v>253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ベルフェゴール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v>30</v>
      </c>
      <c r="R3" s="5">
        <v>60</v>
      </c>
      <c r="S3" s="25">
        <v>99</v>
      </c>
      <c r="T3" s="25">
        <v>0.75</v>
      </c>
      <c r="U3" s="5">
        <v>50000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40017002</v>
      </c>
      <c r="X3" s="6">
        <v>1</v>
      </c>
      <c r="Y3" s="6">
        <v>100</v>
      </c>
      <c r="Z3" s="6">
        <v>1</v>
      </c>
      <c r="AA3" s="17">
        <v>2</v>
      </c>
      <c r="AB3" s="24">
        <f t="shared" ref="AB3:AB13" si="3">L3</f>
        <v>253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ベルフェゴール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4">
        <f t="shared" ref="AG3:AG13" ca="1" si="4">AD3</f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40017_1-2/408&lt;lv45&gt;s1</v>
      </c>
      <c r="B4" s="22">
        <v>40017</v>
      </c>
      <c r="C4" s="21">
        <v>1</v>
      </c>
      <c r="D4" s="2" t="str">
        <f t="shared" si="1"/>
        <v>40017_1</v>
      </c>
      <c r="E4" s="4" t="str">
        <f ca="1">VLOOKUP($B4,OFFSET([2]quests!$A$1,0,0,COUNTA([2]quests!$A:$A),MATCH(E$1,[2]quests!$1:$1,0)-MATCH($B$1,[2]quests!$1:$1,0)+1),MATCH(E$1,[2]quests!$1:$1,0)-MATCH($B$1,[2]quests!$1:$1,0)+1,FALSE)</f>
        <v>ベルゼブブ襲来！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4" s="21">
        <v>2</v>
      </c>
      <c r="H4" s="15" t="str">
        <f t="shared" si="2"/>
        <v>40017_1-2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98">
        <v>408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皇魔 アスタロト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v>60</v>
      </c>
      <c r="R4" s="5">
        <v>45</v>
      </c>
      <c r="S4" s="25">
        <v>3.5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40017004</v>
      </c>
      <c r="X4" s="6">
        <v>1</v>
      </c>
      <c r="Y4" s="6">
        <v>100</v>
      </c>
      <c r="Z4" s="6">
        <v>1</v>
      </c>
      <c r="AA4" s="17">
        <v>1</v>
      </c>
      <c r="AB4" s="24">
        <f t="shared" si="3"/>
        <v>408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皇魔 アスタロト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" s="7">
        <v>1</v>
      </c>
      <c r="AG4" s="24">
        <f t="shared" ca="1" si="4"/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40017_1-3/844&lt;lv45&gt;s1</v>
      </c>
      <c r="B5" s="22">
        <v>40017</v>
      </c>
      <c r="C5" s="21">
        <v>1</v>
      </c>
      <c r="D5" s="2" t="str">
        <f t="shared" si="1"/>
        <v>40017_1</v>
      </c>
      <c r="E5" s="4" t="str">
        <f ca="1">VLOOKUP($B5,OFFSET([2]quests!$A$1,0,0,COUNTA([2]quests!$A:$A),MATCH(E$1,[2]quests!$1:$1,0)-MATCH($B$1,[2]quests!$1:$1,0)+1),MATCH(E$1,[2]quests!$1:$1,0)-MATCH($B$1,[2]quests!$1:$1,0)+1,FALSE)</f>
        <v>ベルゼブブ襲来！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5" s="21">
        <v>3</v>
      </c>
      <c r="H5" s="15" t="str">
        <f t="shared" si="2"/>
        <v>40017_1-3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98">
        <v>844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ベルゼブブ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45</v>
      </c>
      <c r="S5" s="25">
        <v>2.8</v>
      </c>
      <c r="T5" s="25">
        <v>1.5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40017006</v>
      </c>
      <c r="X5" s="6">
        <v>1</v>
      </c>
      <c r="Y5" s="6">
        <v>100</v>
      </c>
      <c r="Z5" s="6">
        <v>1</v>
      </c>
      <c r="AA5" s="17">
        <v>1</v>
      </c>
      <c r="AB5" s="24">
        <f t="shared" si="3"/>
        <v>844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ベルゼブブ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7">
        <v>1</v>
      </c>
      <c r="AG5" s="24">
        <f t="shared" ca="1" si="4"/>
        <v>5</v>
      </c>
      <c r="AH5" s="8">
        <v>15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0"/>
        <v>40017_2-1/3&lt;lv60&gt;s2</v>
      </c>
      <c r="B6" s="22">
        <v>40017</v>
      </c>
      <c r="C6" s="21">
        <v>2</v>
      </c>
      <c r="D6" s="2" t="str">
        <f t="shared" si="1"/>
        <v>40017_2</v>
      </c>
      <c r="E6" s="4" t="str">
        <f ca="1">VLOOKUP($B6,OFFSET([2]quests!$A$1,0,0,COUNTA([2]quests!$A:$A),MATCH(E$1,[2]quests!$1:$1,0)-MATCH($B$1,[2]quests!$1:$1,0)+1),MATCH(E$1,[2]quests!$1:$1,0)-MATCH($B$1,[2]quests!$1:$1,0)+1,FALSE)</f>
        <v>ベルゼブブ襲来！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【ウィザード級】ベルゼブブ襲来</v>
      </c>
      <c r="G6" s="21">
        <v>1</v>
      </c>
      <c r="H6" s="15" t="str">
        <f t="shared" si="2"/>
        <v>40017_2-1</v>
      </c>
      <c r="I6" s="4">
        <f ca="1">VLOOKUP($H6,OFFSET(floors!$A$1,0,0,COUNTA(floors!$A:$A),MATCH(I$1,floors!$1:$1,0)-MATCH($H$1,floors!$1:$1,0)+1),MATCH(I$1,floors!$1:$1,0)-MATCH($H$1,floors!$1:$1,0)+1,FALSE)</f>
        <v>35</v>
      </c>
      <c r="J6" s="4">
        <f ca="1">VLOOKUP($H6,OFFSET(floors!$A$1,0,0,COUNTA(floors!$A:$A),MATCH(J$1,floors!$1:$1,0)-MATCH($H$1,floors!$1:$1,0)+1),MATCH(J$1,floors!$1:$1,0)-MATCH($H$1,floors!$1:$1,0)+1,FALSE)</f>
        <v>35</v>
      </c>
      <c r="K6" s="38" t="s">
        <v>224</v>
      </c>
      <c r="L6" s="97">
        <v>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エージェント ジョー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v>30</v>
      </c>
      <c r="R6" s="99">
        <v>60</v>
      </c>
      <c r="S6" s="100">
        <v>10</v>
      </c>
      <c r="T6" s="100">
        <v>1.3</v>
      </c>
      <c r="U6" s="99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">
        <v>40017001</v>
      </c>
      <c r="X6" s="6">
        <v>1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f t="shared" si="3"/>
        <v>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" s="7">
        <v>1</v>
      </c>
      <c r="AG6" s="24">
        <f t="shared" ca="1" si="4"/>
        <v>1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40017_2-1/253&lt;lv60&gt;s2</v>
      </c>
      <c r="B7" s="22">
        <v>40017</v>
      </c>
      <c r="C7" s="21">
        <v>2</v>
      </c>
      <c r="D7" s="2" t="str">
        <f t="shared" si="1"/>
        <v>40017_2</v>
      </c>
      <c r="E7" s="4" t="str">
        <f ca="1">VLOOKUP($B7,OFFSET([2]quests!$A$1,0,0,COUNTA([2]quests!$A:$A),MATCH(E$1,[2]quests!$1:$1,0)-MATCH($B$1,[2]quests!$1:$1,0)+1),MATCH(E$1,[2]quests!$1:$1,0)-MATCH($B$1,[2]quests!$1:$1,0)+1,FALSE)</f>
        <v>ベルゼブブ襲来！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【ウィザード級】ベルゼブブ襲来</v>
      </c>
      <c r="G7" s="21">
        <v>1</v>
      </c>
      <c r="H7" s="15" t="str">
        <f t="shared" si="2"/>
        <v>40017_2-1</v>
      </c>
      <c r="I7" s="4">
        <f ca="1">VLOOKUP($H7,OFFSET(floors!$A$1,0,0,COUNTA(floors!$A:$A),MATCH(I$1,floors!$1:$1,0)-MATCH($H$1,floors!$1:$1,0)+1),MATCH(I$1,floors!$1:$1,0)-MATCH($H$1,floors!$1:$1,0)+1,FALSE)</f>
        <v>35</v>
      </c>
      <c r="J7" s="4">
        <f ca="1">VLOOKUP($H7,OFFSET(floors!$A$1,0,0,COUNTA(floors!$A:$A),MATCH(J$1,floors!$1:$1,0)-MATCH($H$1,floors!$1:$1,0)+1),MATCH(J$1,floors!$1:$1,0)-MATCH($H$1,floors!$1:$1,0)+1,FALSE)</f>
        <v>35</v>
      </c>
      <c r="K7" s="38">
        <v>4</v>
      </c>
      <c r="L7" s="97">
        <v>253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ベルフェゴール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v>30</v>
      </c>
      <c r="R7" s="99">
        <v>60</v>
      </c>
      <c r="S7" s="100">
        <v>99</v>
      </c>
      <c r="T7" s="100">
        <v>1.7</v>
      </c>
      <c r="U7" s="99">
        <v>50000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40017002</v>
      </c>
      <c r="X7" s="6">
        <v>1</v>
      </c>
      <c r="Y7" s="6">
        <v>100</v>
      </c>
      <c r="Z7" s="6">
        <v>1</v>
      </c>
      <c r="AA7" s="17">
        <v>2</v>
      </c>
      <c r="AB7" s="24">
        <f t="shared" si="3"/>
        <v>253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ベルフェゴール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40017_2-2/408&lt;lv60&gt;s1</v>
      </c>
      <c r="B8" s="22">
        <v>40017</v>
      </c>
      <c r="C8" s="21">
        <v>2</v>
      </c>
      <c r="D8" s="2" t="str">
        <f t="shared" si="1"/>
        <v>40017_2</v>
      </c>
      <c r="E8" s="4" t="str">
        <f ca="1">VLOOKUP($B8,OFFSET([2]quests!$A$1,0,0,COUNTA([2]quests!$A:$A),MATCH(E$1,[2]quests!$1:$1,0)-MATCH($B$1,[2]quests!$1:$1,0)+1),MATCH(E$1,[2]quests!$1:$1,0)-MATCH($B$1,[2]quests!$1:$1,0)+1,FALSE)</f>
        <v>ベルゼブブ襲来！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【ウィザード級】ベルゼブブ襲来</v>
      </c>
      <c r="G8" s="21">
        <v>2</v>
      </c>
      <c r="H8" s="15" t="str">
        <f t="shared" si="2"/>
        <v>40017_2-2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5</v>
      </c>
      <c r="L8" s="97">
        <v>408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皇魔 アスタロト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v>60</v>
      </c>
      <c r="R8" s="99">
        <v>60</v>
      </c>
      <c r="S8" s="100">
        <v>3.5</v>
      </c>
      <c r="T8" s="100">
        <v>1</v>
      </c>
      <c r="U8" s="99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40017004</v>
      </c>
      <c r="X8" s="6">
        <v>1</v>
      </c>
      <c r="Y8" s="6">
        <v>100</v>
      </c>
      <c r="Z8" s="6">
        <v>1</v>
      </c>
      <c r="AA8" s="17">
        <v>1</v>
      </c>
      <c r="AB8" s="24">
        <f t="shared" si="3"/>
        <v>408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皇魔 アスタロト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40017_2-3/844&lt;lv60&gt;s1</v>
      </c>
      <c r="B9" s="22">
        <v>40017</v>
      </c>
      <c r="C9" s="21">
        <v>2</v>
      </c>
      <c r="D9" s="2" t="str">
        <f t="shared" si="1"/>
        <v>40017_2</v>
      </c>
      <c r="E9" s="4" t="str">
        <f ca="1">VLOOKUP($B9,OFFSET([2]quests!$A$1,0,0,COUNTA([2]quests!$A:$A),MATCH(E$1,[2]quests!$1:$1,0)-MATCH($B$1,[2]quests!$1:$1,0)+1),MATCH(E$1,[2]quests!$1:$1,0)-MATCH($B$1,[2]quests!$1:$1,0)+1,FALSE)</f>
        <v>ベルゼブブ襲来！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【ウィザード級】ベルゼブブ襲来</v>
      </c>
      <c r="G9" s="21">
        <v>3</v>
      </c>
      <c r="H9" s="15" t="str">
        <f t="shared" si="2"/>
        <v>40017_2-3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6</v>
      </c>
      <c r="L9" s="97">
        <v>844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ベルゼブブ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99">
        <v>60</v>
      </c>
      <c r="S9" s="100">
        <v>2.8</v>
      </c>
      <c r="T9" s="100">
        <v>1.5</v>
      </c>
      <c r="U9" s="99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">
        <v>40017006</v>
      </c>
      <c r="X9" s="6">
        <v>1</v>
      </c>
      <c r="Y9" s="6">
        <v>100</v>
      </c>
      <c r="Z9" s="6">
        <v>1</v>
      </c>
      <c r="AA9" s="17">
        <v>1</v>
      </c>
      <c r="AB9" s="24">
        <f t="shared" si="3"/>
        <v>844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ベルゼブブ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7">
        <v>1</v>
      </c>
      <c r="AG9" s="24">
        <f t="shared" ca="1" si="4"/>
        <v>5</v>
      </c>
      <c r="AH9" s="8">
        <v>30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ca="1" si="0"/>
        <v>40017_3-1/3&lt;lv60&gt;s2</v>
      </c>
      <c r="B10" s="22">
        <v>40017</v>
      </c>
      <c r="C10" s="21">
        <v>3</v>
      </c>
      <c r="D10" s="2" t="str">
        <f t="shared" si="1"/>
        <v>40017_3</v>
      </c>
      <c r="E10" s="4" t="str">
        <f ca="1">VLOOKUP($B10,OFFSET([2]quests!$A$1,0,0,COUNTA([2]quests!$A:$A),MATCH(E$1,[2]quests!$1:$1,0)-MATCH($B$1,[2]quests!$1:$1,0)+1),MATCH(E$1,[2]quests!$1:$1,0)-MATCH($B$1,[2]quests!$1:$1,0)+1,FALSE)</f>
        <v>ベルゼブブ襲来！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【ノーコンテニュー】ベルゼブブ襲来</v>
      </c>
      <c r="G10" s="21">
        <v>1</v>
      </c>
      <c r="H10" s="15" t="str">
        <f t="shared" si="2"/>
        <v>40017_3-1</v>
      </c>
      <c r="I10" s="4">
        <f ca="1">VLOOKUP($H10,OFFSET(floors!$A$1,0,0,COUNTA(floors!$A:$A),MATCH(I$1,floors!$1:$1,0)-MATCH($H$1,floors!$1:$1,0)+1),MATCH(I$1,floors!$1:$1,0)-MATCH($H$1,floors!$1:$1,0)+1,FALSE)</f>
        <v>35</v>
      </c>
      <c r="J10" s="4">
        <f ca="1">VLOOKUP($H10,OFFSET(floors!$A$1,0,0,COUNTA(floors!$A:$A),MATCH(J$1,floors!$1:$1,0)-MATCH($H$1,floors!$1:$1,0)+1),MATCH(J$1,floors!$1:$1,0)-MATCH($H$1,floors!$1:$1,0)+1,FALSE)</f>
        <v>35</v>
      </c>
      <c r="K10" s="38" t="s">
        <v>224</v>
      </c>
      <c r="L10" s="96">
        <v>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エージェント ジョー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v>30</v>
      </c>
      <c r="R10" s="5">
        <v>60</v>
      </c>
      <c r="S10" s="25">
        <v>10</v>
      </c>
      <c r="T10" s="25">
        <v>1.3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4">
        <v>40017001</v>
      </c>
      <c r="X10" s="6">
        <v>1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f t="shared" si="3"/>
        <v>3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" s="7">
        <v>1</v>
      </c>
      <c r="AG10" s="24">
        <f t="shared" ca="1" si="4"/>
        <v>1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0"/>
        <v>40017_3-1/253&lt;lv60&gt;s2</v>
      </c>
      <c r="B11" s="22">
        <v>40017</v>
      </c>
      <c r="C11" s="21">
        <v>3</v>
      </c>
      <c r="D11" s="2" t="str">
        <f t="shared" si="1"/>
        <v>40017_3</v>
      </c>
      <c r="E11" s="4" t="str">
        <f ca="1">VLOOKUP($B11,OFFSET([2]quests!$A$1,0,0,COUNTA([2]quests!$A:$A),MATCH(E$1,[2]quests!$1:$1,0)-MATCH($B$1,[2]quests!$1:$1,0)+1),MATCH(E$1,[2]quests!$1:$1,0)-MATCH($B$1,[2]quests!$1:$1,0)+1,FALSE)</f>
        <v>ベルゼブブ襲来！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【ノーコンテニュー】ベルゼブブ襲来</v>
      </c>
      <c r="G11" s="21">
        <v>1</v>
      </c>
      <c r="H11" s="15" t="str">
        <f t="shared" si="2"/>
        <v>40017_3-1</v>
      </c>
      <c r="I11" s="4">
        <f ca="1">VLOOKUP($H11,OFFSET(floors!$A$1,0,0,COUNTA(floors!$A:$A),MATCH(I$1,floors!$1:$1,0)-MATCH($H$1,floors!$1:$1,0)+1),MATCH(I$1,floors!$1:$1,0)-MATCH($H$1,floors!$1:$1,0)+1,FALSE)</f>
        <v>35</v>
      </c>
      <c r="J11" s="4">
        <f ca="1">VLOOKUP($H11,OFFSET(floors!$A$1,0,0,COUNTA(floors!$A:$A),MATCH(J$1,floors!$1:$1,0)-MATCH($H$1,floors!$1:$1,0)+1),MATCH(J$1,floors!$1:$1,0)-MATCH($H$1,floors!$1:$1,0)+1,FALSE)</f>
        <v>35</v>
      </c>
      <c r="K11" s="38">
        <v>7</v>
      </c>
      <c r="L11" s="96">
        <v>253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ベルフェゴール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v>30</v>
      </c>
      <c r="R11" s="5">
        <v>60</v>
      </c>
      <c r="S11" s="25">
        <v>99</v>
      </c>
      <c r="T11" s="25">
        <v>1.7</v>
      </c>
      <c r="U11" s="5">
        <v>50000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4">
        <v>40017002</v>
      </c>
      <c r="X11" s="6">
        <v>1</v>
      </c>
      <c r="Y11" s="6">
        <v>100</v>
      </c>
      <c r="Z11" s="6">
        <v>1</v>
      </c>
      <c r="AA11" s="17">
        <v>2</v>
      </c>
      <c r="AB11" s="24">
        <f t="shared" si="3"/>
        <v>253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ベルフェゴール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1" s="7">
        <v>1</v>
      </c>
      <c r="AG11" s="24">
        <f t="shared" ca="1" si="4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si="0"/>
        <v>40017_3-2/408&lt;lv60&gt;s1</v>
      </c>
      <c r="B12" s="22">
        <v>40017</v>
      </c>
      <c r="C12" s="21">
        <v>3</v>
      </c>
      <c r="D12" s="2" t="str">
        <f t="shared" si="1"/>
        <v>40017_3</v>
      </c>
      <c r="E12" s="4" t="str">
        <f ca="1">VLOOKUP($B12,OFFSET([2]quests!$A$1,0,0,COUNTA([2]quests!$A:$A),MATCH(E$1,[2]quests!$1:$1,0)-MATCH($B$1,[2]quests!$1:$1,0)+1),MATCH(E$1,[2]quests!$1:$1,0)-MATCH($B$1,[2]quests!$1:$1,0)+1,FALSE)</f>
        <v>ベルゼブブ襲来！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【ノーコンテニュー】ベルゼブブ襲来</v>
      </c>
      <c r="G12" s="21">
        <v>2</v>
      </c>
      <c r="H12" s="15" t="str">
        <f t="shared" si="2"/>
        <v>40017_3-2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8</v>
      </c>
      <c r="L12" s="96">
        <v>408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皇魔 アスタロト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7">
        <v>60</v>
      </c>
      <c r="R12" s="5">
        <v>60</v>
      </c>
      <c r="S12" s="25">
        <v>3.5</v>
      </c>
      <c r="T12" s="25">
        <v>1</v>
      </c>
      <c r="U12" s="5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2" s="4">
        <v>40017004</v>
      </c>
      <c r="X12" s="6">
        <v>1</v>
      </c>
      <c r="Y12" s="6">
        <v>100</v>
      </c>
      <c r="Z12" s="6">
        <v>1</v>
      </c>
      <c r="AA12" s="17">
        <v>1</v>
      </c>
      <c r="AB12" s="24">
        <f t="shared" si="3"/>
        <v>408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皇魔 アスタロト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2" s="7">
        <v>1</v>
      </c>
      <c r="AG12" s="24">
        <f t="shared" ca="1" si="4"/>
        <v>4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0"/>
        <v>40017_3-3/844&lt;lv60&gt;s1</v>
      </c>
      <c r="B13" s="22">
        <v>40017</v>
      </c>
      <c r="C13" s="21">
        <v>3</v>
      </c>
      <c r="D13" s="2" t="str">
        <f t="shared" si="1"/>
        <v>40017_3</v>
      </c>
      <c r="E13" s="4" t="str">
        <f ca="1">VLOOKUP($B13,OFFSET([2]quests!$A$1,0,0,COUNTA([2]quests!$A:$A),MATCH(E$1,[2]quests!$1:$1,0)-MATCH($B$1,[2]quests!$1:$1,0)+1),MATCH(E$1,[2]quests!$1:$1,0)-MATCH($B$1,[2]quests!$1:$1,0)+1,FALSE)</f>
        <v>ベルゼブブ襲来！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【ノーコンテニュー】ベルゼブブ襲来</v>
      </c>
      <c r="G13" s="21">
        <v>3</v>
      </c>
      <c r="H13" s="15" t="str">
        <f t="shared" si="2"/>
        <v>40017_3-3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9</v>
      </c>
      <c r="L13" s="96">
        <v>844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ベルゼブブ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5">
        <v>3.8</v>
      </c>
      <c r="T13" s="25">
        <v>1.5</v>
      </c>
      <c r="U13" s="5">
        <v>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4">
        <v>40017006</v>
      </c>
      <c r="X13" s="6">
        <v>1</v>
      </c>
      <c r="Y13" s="6">
        <v>100</v>
      </c>
      <c r="Z13" s="6">
        <v>1</v>
      </c>
      <c r="AA13" s="17">
        <v>1</v>
      </c>
      <c r="AB13" s="24">
        <f t="shared" si="3"/>
        <v>844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ベルゼブブ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5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3" s="7">
        <v>1</v>
      </c>
      <c r="AG13" s="24">
        <f t="shared" ca="1" si="4"/>
        <v>5</v>
      </c>
      <c r="AH13" s="8">
        <v>100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6"/>
  <sheetViews>
    <sheetView showGridLines="0" zoomScale="70" zoomScaleNormal="70" zoomScalePageLayoutView="7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5" sqref="T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9.33203125" style="3" bestFit="1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 t="shared" ref="A2" si="0">B2&amp;"_"&amp;C2&amp;"-"&amp;G2&amp;"/"&amp;M2&amp;"&lt;lv"&amp;S2&amp;"&gt;sq"&amp;K2&amp;"st"&amp;L2</f>
        <v>40017_1-1/255&lt;lv45&gt;sq1st2</v>
      </c>
      <c r="B2" s="22">
        <v>40017</v>
      </c>
      <c r="C2" s="21">
        <v>1</v>
      </c>
      <c r="D2" s="2" t="str">
        <f t="shared" ref="D2:D16" si="1">B2&amp;"_"&amp;C2</f>
        <v>40017_1</v>
      </c>
      <c r="E2" s="4" t="str">
        <f ca="1">VLOOKUP($B2,OFFSET([2]quests!$A$1,0,0,COUNTA([2]quests!$A:$A),MATCH(E$1,[2]quests!$1:$1,0)-MATCH($B$1,[2]quests!$1:$1,0)+1),MATCH(E$1,[2]quests!$1:$1,0)-MATCH($B$1,[2]quests!$1:$1,0)+1,FALSE)</f>
        <v>ベルゼブブ襲来！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2" s="21">
        <v>1</v>
      </c>
      <c r="H2" s="15" t="str">
        <f t="shared" ref="H2:H14" si="2">B2&amp;"_"&amp;C2&amp;"-"&amp;G2</f>
        <v>40017_1-1</v>
      </c>
      <c r="I2" s="4">
        <f ca="1">VLOOKUP($H2,OFFSET(floors!$A$1,0,0,COUNTA(floors!$A:$A),MATCH(I$1,floors!$1:$1,0)-MATCH($H$1,floors!$1:$1,0)+1),MATCH(I$1,floors!$1:$1,0)-MATCH($H$1,floors!$1:$1,0)+1,FALSE)</f>
        <v>35</v>
      </c>
      <c r="J2" s="4">
        <f ca="1">VLOOKUP($H2,OFFSET(floors!$A$1,0,0,COUNTA(floors!$A:$A),MATCH(J$1,floors!$1:$1,0)-MATCH($H$1,floors!$1:$1,0)+1),MATCH(J$1,floors!$1:$1,0)-MATCH($H$1,floors!$1:$1,0)+1,FALSE)</f>
        <v>35</v>
      </c>
      <c r="K2" s="38">
        <v>1</v>
      </c>
      <c r="L2" s="38">
        <v>2</v>
      </c>
      <c r="M2" s="20">
        <v>255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怠惰の頂点 ベルフェゴール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45</v>
      </c>
      <c r="T2" s="25">
        <v>3</v>
      </c>
      <c r="U2" s="25">
        <v>1.8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40017003</v>
      </c>
      <c r="Y2" s="70">
        <v>2</v>
      </c>
    </row>
    <row r="3" spans="1:25" ht="21" customHeight="1" x14ac:dyDescent="0.15">
      <c r="A3" s="16" t="str">
        <f t="shared" ref="A3" si="3">B3&amp;"_"&amp;C3&amp;"-"&amp;G3&amp;"/"&amp;M3&amp;"&lt;lv"&amp;S3&amp;"&gt;sq"&amp;K3&amp;"st"&amp;L3</f>
        <v>40017_1-1/254&lt;lv45&gt;sq1st3</v>
      </c>
      <c r="B3" s="22">
        <v>40017</v>
      </c>
      <c r="C3" s="21">
        <v>1</v>
      </c>
      <c r="D3" s="2" t="str">
        <f t="shared" si="1"/>
        <v>40017_1</v>
      </c>
      <c r="E3" s="4" t="str">
        <f ca="1">VLOOKUP($B3,OFFSET([2]quests!$A$1,0,0,COUNTA([2]quests!$A:$A),MATCH(E$1,[2]quests!$1:$1,0)-MATCH($B$1,[2]quests!$1:$1,0)+1),MATCH(E$1,[2]quests!$1:$1,0)-MATCH($B$1,[2]quests!$1:$1,0)+1,FALSE)</f>
        <v>ベルゼブブ襲来！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3" s="21">
        <v>1</v>
      </c>
      <c r="H3" s="15" t="str">
        <f t="shared" ref="H3" si="4">B3&amp;"_"&amp;C3&amp;"-"&amp;G3</f>
        <v>40017_1-1</v>
      </c>
      <c r="I3" s="4">
        <f ca="1">VLOOKUP($H3,OFFSET(floors!$A$1,0,0,COUNTA(floors!$A:$A),MATCH(I$1,floors!$1:$1,0)-MATCH($H$1,floors!$1:$1,0)+1),MATCH(I$1,floors!$1:$1,0)-MATCH($H$1,floors!$1:$1,0)+1,FALSE)</f>
        <v>35</v>
      </c>
      <c r="J3" s="4">
        <f ca="1">VLOOKUP($H3,OFFSET(floors!$A$1,0,0,COUNTA(floors!$A:$A),MATCH(J$1,floors!$1:$1,0)-MATCH($H$1,floors!$1:$1,0)+1),MATCH(J$1,floors!$1:$1,0)-MATCH($H$1,floors!$1:$1,0)+1,FALSE)</f>
        <v>35</v>
      </c>
      <c r="K3" s="38">
        <v>1</v>
      </c>
      <c r="L3" s="38">
        <v>3</v>
      </c>
      <c r="M3" s="20">
        <v>254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怠惰 ベルフェゴール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45</v>
      </c>
      <c r="T3" s="25">
        <v>1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40017009</v>
      </c>
      <c r="Y3" s="70">
        <v>2</v>
      </c>
    </row>
    <row r="4" spans="1:25" ht="21" customHeight="1" x14ac:dyDescent="0.15">
      <c r="A4" s="16" t="s">
        <v>225</v>
      </c>
      <c r="B4" s="22">
        <v>40017</v>
      </c>
      <c r="C4" s="21">
        <v>1</v>
      </c>
      <c r="D4" s="2" t="str">
        <f t="shared" si="1"/>
        <v>40017_1</v>
      </c>
      <c r="E4" s="4" t="str">
        <f ca="1">VLOOKUP($B4,OFFSET([2]quests!$A$1,0,0,COUNTA([2]quests!$A:$A),MATCH(E$1,[2]quests!$1:$1,0)-MATCH($B$1,[2]quests!$1:$1,0)+1),MATCH(E$1,[2]quests!$1:$1,0)-MATCH($B$1,[2]quests!$1:$1,0)+1,FALSE)</f>
        <v>ベルゼブブ襲来！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4" s="21">
        <v>2</v>
      </c>
      <c r="H4" s="15" t="str">
        <f t="shared" si="2"/>
        <v>40017_1-2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409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天眼の皇貴魔 アスタロト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45</v>
      </c>
      <c r="T4" s="25">
        <v>3</v>
      </c>
      <c r="U4" s="25">
        <v>1.2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40017005</v>
      </c>
      <c r="Y4" s="70">
        <v>1</v>
      </c>
    </row>
    <row r="5" spans="1:25" ht="21" customHeight="1" x14ac:dyDescent="0.15">
      <c r="A5" s="16" t="s">
        <v>225</v>
      </c>
      <c r="B5" s="22">
        <v>40017</v>
      </c>
      <c r="C5" s="21">
        <v>1</v>
      </c>
      <c r="D5" s="2" t="str">
        <f t="shared" si="1"/>
        <v>40017_1</v>
      </c>
      <c r="E5" s="4" t="str">
        <f ca="1">VLOOKUP($B5,OFFSET([2]quests!$A$1,0,0,COUNTA([2]quests!$A:$A),MATCH(E$1,[2]quests!$1:$1,0)-MATCH($B$1,[2]quests!$1:$1,0)+1),MATCH(E$1,[2]quests!$1:$1,0)-MATCH($B$1,[2]quests!$1:$1,0)+1,FALSE)</f>
        <v>ベルゼブブ襲来！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5" s="21">
        <v>3</v>
      </c>
      <c r="H5" s="15" t="str">
        <f t="shared" si="2"/>
        <v>40017_1-3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845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妖艶なる蝿王 ベルゼブブ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45</v>
      </c>
      <c r="T5" s="25">
        <v>5.4</v>
      </c>
      <c r="U5" s="25">
        <v>2.5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">
        <v>40017007</v>
      </c>
      <c r="Y5" s="70">
        <v>2</v>
      </c>
    </row>
    <row r="6" spans="1:25" ht="21" customHeight="1" x14ac:dyDescent="0.15">
      <c r="A6" s="16" t="s">
        <v>225</v>
      </c>
      <c r="B6" s="22">
        <v>40017</v>
      </c>
      <c r="C6" s="21">
        <v>1</v>
      </c>
      <c r="D6" s="2" t="str">
        <f t="shared" si="1"/>
        <v>40017_1</v>
      </c>
      <c r="E6" s="4" t="str">
        <f ca="1">VLOOKUP($B6,OFFSET([2]quests!$A$1,0,0,COUNTA([2]quests!$A:$A),MATCH(E$1,[2]quests!$1:$1,0)-MATCH($B$1,[2]quests!$1:$1,0)+1),MATCH(E$1,[2]quests!$1:$1,0)-MATCH($B$1,[2]quests!$1:$1,0)+1,FALSE)</f>
        <v>ベルゼブブ襲来！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【超絶級】ベルゼブブ襲来 </v>
      </c>
      <c r="G6" s="21">
        <v>3</v>
      </c>
      <c r="H6" s="15" t="str">
        <f t="shared" ref="H6" si="5">B6&amp;"_"&amp;C6&amp;"-"&amp;G6</f>
        <v>40017_1-3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38">
        <v>3</v>
      </c>
      <c r="M6" s="20">
        <v>845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妖艶なる蝿王 ベルゼブブ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45</v>
      </c>
      <c r="T6" s="25">
        <v>3.8</v>
      </c>
      <c r="U6" s="25">
        <v>2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4">
        <v>40017008</v>
      </c>
      <c r="Y6" s="70">
        <v>1</v>
      </c>
    </row>
    <row r="7" spans="1:25" ht="21" customHeight="1" x14ac:dyDescent="0.15">
      <c r="A7" s="16" t="s">
        <v>225</v>
      </c>
      <c r="B7" s="22">
        <v>40017</v>
      </c>
      <c r="C7" s="21">
        <v>2</v>
      </c>
      <c r="D7" s="2" t="str">
        <f t="shared" si="1"/>
        <v>40017_2</v>
      </c>
      <c r="E7" s="4" t="str">
        <f ca="1">VLOOKUP($B7,OFFSET([2]quests!$A$1,0,0,COUNTA([2]quests!$A:$A),MATCH(E$1,[2]quests!$1:$1,0)-MATCH($B$1,[2]quests!$1:$1,0)+1),MATCH(E$1,[2]quests!$1:$1,0)-MATCH($B$1,[2]quests!$1:$1,0)+1,FALSE)</f>
        <v>ベルゼブブ襲来！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【ウィザード級】ベルゼブブ襲来</v>
      </c>
      <c r="G7" s="21">
        <v>1</v>
      </c>
      <c r="H7" s="15" t="str">
        <f t="shared" si="2"/>
        <v>40017_2-1</v>
      </c>
      <c r="I7" s="4">
        <f ca="1">VLOOKUP($H7,OFFSET(floors!$A$1,0,0,COUNTA(floors!$A:$A),MATCH(I$1,floors!$1:$1,0)-MATCH($H$1,floors!$1:$1,0)+1),MATCH(I$1,floors!$1:$1,0)-MATCH($H$1,floors!$1:$1,0)+1,FALSE)</f>
        <v>35</v>
      </c>
      <c r="J7" s="4">
        <f ca="1">VLOOKUP($H7,OFFSET(floors!$A$1,0,0,COUNTA(floors!$A:$A),MATCH(J$1,floors!$1:$1,0)-MATCH($H$1,floors!$1:$1,0)+1),MATCH(J$1,floors!$1:$1,0)-MATCH($H$1,floors!$1:$1,0)+1,FALSE)</f>
        <v>35</v>
      </c>
      <c r="K7" s="38">
        <v>4</v>
      </c>
      <c r="L7" s="38">
        <v>2</v>
      </c>
      <c r="M7" s="97">
        <v>255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怠惰の頂点 ベルフェゴール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99">
        <v>60</v>
      </c>
      <c r="T7" s="100">
        <v>3</v>
      </c>
      <c r="U7" s="100">
        <v>2</v>
      </c>
      <c r="V7" s="99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4">
        <v>40017003</v>
      </c>
      <c r="Y7" s="70">
        <v>2</v>
      </c>
    </row>
    <row r="8" spans="1:25" ht="21" customHeight="1" x14ac:dyDescent="0.15">
      <c r="A8" s="16" t="str">
        <f t="shared" ref="A8" si="6">B8&amp;"_"&amp;C8&amp;"-"&amp;G8&amp;"/"&amp;M8&amp;"&lt;lv"&amp;S8&amp;"&gt;sq"&amp;K8&amp;"st"&amp;L8</f>
        <v>40017_2-1/254&lt;lv60&gt;sq4st3</v>
      </c>
      <c r="B8" s="22">
        <v>40017</v>
      </c>
      <c r="C8" s="21">
        <v>2</v>
      </c>
      <c r="D8" s="2" t="str">
        <f t="shared" si="1"/>
        <v>40017_2</v>
      </c>
      <c r="E8" s="4" t="str">
        <f ca="1">VLOOKUP($B8,OFFSET([2]quests!$A$1,0,0,COUNTA([2]quests!$A:$A),MATCH(E$1,[2]quests!$1:$1,0)-MATCH($B$1,[2]quests!$1:$1,0)+1),MATCH(E$1,[2]quests!$1:$1,0)-MATCH($B$1,[2]quests!$1:$1,0)+1,FALSE)</f>
        <v>ベルゼブブ襲来！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【ウィザード級】ベルゼブブ襲来</v>
      </c>
      <c r="G8" s="21">
        <v>1</v>
      </c>
      <c r="H8" s="15" t="str">
        <f t="shared" si="2"/>
        <v>40017_2-1</v>
      </c>
      <c r="I8" s="4">
        <f ca="1">VLOOKUP($H8,OFFSET(floors!$A$1,0,0,COUNTA(floors!$A:$A),MATCH(I$1,floors!$1:$1,0)-MATCH($H$1,floors!$1:$1,0)+1),MATCH(I$1,floors!$1:$1,0)-MATCH($H$1,floors!$1:$1,0)+1,FALSE)</f>
        <v>35</v>
      </c>
      <c r="J8" s="4">
        <f ca="1">VLOOKUP($H8,OFFSET(floors!$A$1,0,0,COUNTA(floors!$A:$A),MATCH(J$1,floors!$1:$1,0)-MATCH($H$1,floors!$1:$1,0)+1),MATCH(J$1,floors!$1:$1,0)-MATCH($H$1,floors!$1:$1,0)+1,FALSE)</f>
        <v>35</v>
      </c>
      <c r="K8" s="38">
        <v>4</v>
      </c>
      <c r="L8" s="38">
        <v>3</v>
      </c>
      <c r="M8" s="20">
        <v>254</v>
      </c>
      <c r="N8" s="17" t="str">
        <f ca="1">VLOOKUP($M8,OFFSET([3]enemies!$A$1,0,0,COUNTA([3]enemies!$A:$A),MATCH(N$1,[3]enemies!$1:$1,0)-MATCH($M$1,[3]enemies!$1:$1,0)+1),MATCH(N$1,[3]enemies!$1:$1,0)-MATCH($M$1,[3]enemies!$1:$1,0)+1,FALSE)</f>
        <v>怠惰 ベルフェゴール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7">
        <f ca="1">VLOOKUP($M8,OFFSET([3]enemies!$A$1,0,0,COUNTA([3]enemies!$A:$A),MATCH(R$1,[3]enemies!$1:$1,0)-MATCH($M$1,[3]enemies!$1:$1,0)+1),MATCH(R$1,[3]enemies!$1:$1,0)-MATCH($M$1,[3]enemies!$1:$1,0)+1,FALSE)</f>
        <v>30</v>
      </c>
      <c r="S8" s="5">
        <v>60</v>
      </c>
      <c r="T8" s="25">
        <v>1</v>
      </c>
      <c r="U8" s="25">
        <v>1</v>
      </c>
      <c r="V8" s="5">
        <v>0</v>
      </c>
      <c r="W8" s="4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8" s="4">
        <v>40017009</v>
      </c>
      <c r="Y8" s="70">
        <v>2</v>
      </c>
    </row>
    <row r="9" spans="1:25" ht="21" customHeight="1" x14ac:dyDescent="0.15">
      <c r="A9" s="16" t="s">
        <v>225</v>
      </c>
      <c r="B9" s="22">
        <v>40017</v>
      </c>
      <c r="C9" s="21">
        <v>2</v>
      </c>
      <c r="D9" s="2" t="str">
        <f t="shared" si="1"/>
        <v>40017_2</v>
      </c>
      <c r="E9" s="4" t="str">
        <f ca="1">VLOOKUP($B9,OFFSET([2]quests!$A$1,0,0,COUNTA([2]quests!$A:$A),MATCH(E$1,[2]quests!$1:$1,0)-MATCH($B$1,[2]quests!$1:$1,0)+1),MATCH(E$1,[2]quests!$1:$1,0)-MATCH($B$1,[2]quests!$1:$1,0)+1,FALSE)</f>
        <v>ベルゼブブ襲来！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【ウィザード級】ベルゼブブ襲来</v>
      </c>
      <c r="G9" s="21">
        <v>2</v>
      </c>
      <c r="H9" s="15" t="str">
        <f t="shared" si="2"/>
        <v>40017_2-2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5</v>
      </c>
      <c r="L9" s="38">
        <v>2</v>
      </c>
      <c r="M9" s="97">
        <v>409</v>
      </c>
      <c r="N9" s="17" t="str">
        <f ca="1">VLOOKUP($M9,OFFSET([3]enemies!$A$1,0,0,COUNTA([3]enemies!$A:$A),MATCH(N$1,[3]enemies!$1:$1,0)-MATCH($M$1,[3]enemies!$1:$1,0)+1),MATCH(N$1,[3]enemies!$1:$1,0)-MATCH($M$1,[3]enemies!$1:$1,0)+1,FALSE)</f>
        <v>天眼の皇貴魔 アスタロト</v>
      </c>
      <c r="O9" s="17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PremiumSS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99">
        <v>60</v>
      </c>
      <c r="T9" s="100">
        <v>3</v>
      </c>
      <c r="U9" s="100">
        <v>1.2</v>
      </c>
      <c r="V9" s="99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9" s="4">
        <v>40017005</v>
      </c>
      <c r="Y9" s="70">
        <v>1</v>
      </c>
    </row>
    <row r="10" spans="1:25" ht="21" customHeight="1" x14ac:dyDescent="0.15">
      <c r="A10" s="16" t="s">
        <v>225</v>
      </c>
      <c r="B10" s="22">
        <v>40017</v>
      </c>
      <c r="C10" s="21">
        <v>2</v>
      </c>
      <c r="D10" s="2" t="str">
        <f t="shared" si="1"/>
        <v>40017_2</v>
      </c>
      <c r="E10" s="4" t="str">
        <f ca="1">VLOOKUP($B10,OFFSET([2]quests!$A$1,0,0,COUNTA([2]quests!$A:$A),MATCH(E$1,[2]quests!$1:$1,0)-MATCH($B$1,[2]quests!$1:$1,0)+1),MATCH(E$1,[2]quests!$1:$1,0)-MATCH($B$1,[2]quests!$1:$1,0)+1,FALSE)</f>
        <v>ベルゼブブ襲来！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【ウィザード級】ベルゼブブ襲来</v>
      </c>
      <c r="G10" s="21">
        <v>3</v>
      </c>
      <c r="H10" s="15" t="str">
        <f t="shared" si="2"/>
        <v>40017_2-3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6</v>
      </c>
      <c r="L10" s="38">
        <v>2</v>
      </c>
      <c r="M10" s="97">
        <v>845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妖艶なる蝿王 ベルゼブブ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god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99">
        <v>60</v>
      </c>
      <c r="T10" s="100">
        <v>5.4</v>
      </c>
      <c r="U10" s="100">
        <v>2.5</v>
      </c>
      <c r="V10" s="99">
        <v>0</v>
      </c>
      <c r="W10" s="4" t="e">
        <f ca="1">VLOOKUP($X10,OFFSET([5]enemy_skill_sets!$B$1,0,0,COUNTA([5]enemy_skill_sets!$B:$B),MATCH(N$1,[5]enemy_skill_sets!$1:$1,0)-MATCH($X$1,[5]enemy_skill_sets!$1:$1,0)+2),MATCH(N$1,[5]enemy_skill_sets!$1:$1,0)-MATCH($X$1,[5]enemy_skill_sets!$1:$1,0)+2,FALSE)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0" s="4">
        <v>40017007</v>
      </c>
      <c r="Y10" s="70">
        <v>2</v>
      </c>
    </row>
    <row r="11" spans="1:25" ht="21" customHeight="1" x14ac:dyDescent="0.15">
      <c r="A11" s="16" t="s">
        <v>225</v>
      </c>
      <c r="B11" s="22">
        <v>40017</v>
      </c>
      <c r="C11" s="21">
        <v>2</v>
      </c>
      <c r="D11" s="2" t="str">
        <f t="shared" si="1"/>
        <v>40017_2</v>
      </c>
      <c r="E11" s="4" t="str">
        <f ca="1">VLOOKUP($B11,OFFSET([2]quests!$A$1,0,0,COUNTA([2]quests!$A:$A),MATCH(E$1,[2]quests!$1:$1,0)-MATCH($B$1,[2]quests!$1:$1,0)+1),MATCH(E$1,[2]quests!$1:$1,0)-MATCH($B$1,[2]quests!$1:$1,0)+1,FALSE)</f>
        <v>ベルゼブブ襲来！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【ウィザード級】ベルゼブブ襲来</v>
      </c>
      <c r="G11" s="21">
        <v>3</v>
      </c>
      <c r="H11" s="15" t="str">
        <f t="shared" ref="H11" si="7">B11&amp;"_"&amp;C11&amp;"-"&amp;G11</f>
        <v>40017_2-3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6</v>
      </c>
      <c r="L11" s="38">
        <v>3</v>
      </c>
      <c r="M11" s="97">
        <v>845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妖艶なる蝿王 ベルゼブブ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green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god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99">
        <v>60</v>
      </c>
      <c r="T11" s="100">
        <v>3.8</v>
      </c>
      <c r="U11" s="100">
        <v>2</v>
      </c>
      <c r="V11" s="99">
        <v>0</v>
      </c>
      <c r="W11" s="4" t="e">
        <f ca="1">VLOOKUP($X11,OFFSET([5]enemy_skill_sets!$B$1,0,0,COUNTA([5]enemy_skill_sets!$B:$B),MATCH(N$1,[5]enemy_skill_sets!$1:$1,0)-MATCH($X$1,[5]enemy_skill_sets!$1:$1,0)+2),MATCH(N$1,[5]enemy_skill_sets!$1:$1,0)-MATCH($X$1,[5]enemy_skill_sets!$1:$1,0)+2,FALSE)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1" s="4">
        <v>40017008</v>
      </c>
      <c r="Y11" s="70">
        <v>1</v>
      </c>
    </row>
    <row r="12" spans="1:25" ht="21" customHeight="1" x14ac:dyDescent="0.15">
      <c r="A12" s="16" t="s">
        <v>225</v>
      </c>
      <c r="B12" s="22">
        <v>40017</v>
      </c>
      <c r="C12" s="21">
        <v>3</v>
      </c>
      <c r="D12" s="2" t="str">
        <f t="shared" si="1"/>
        <v>40017_3</v>
      </c>
      <c r="E12" s="4" t="str">
        <f ca="1">VLOOKUP($B12,OFFSET([2]quests!$A$1,0,0,COUNTA([2]quests!$A:$A),MATCH(E$1,[2]quests!$1:$1,0)-MATCH($B$1,[2]quests!$1:$1,0)+1),MATCH(E$1,[2]quests!$1:$1,0)-MATCH($B$1,[2]quests!$1:$1,0)+1,FALSE)</f>
        <v>ベルゼブブ襲来！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【ノーコンテニュー】ベルゼブブ襲来</v>
      </c>
      <c r="G12" s="21">
        <v>1</v>
      </c>
      <c r="H12" s="15" t="str">
        <f t="shared" si="2"/>
        <v>40017_3-1</v>
      </c>
      <c r="I12" s="4">
        <f ca="1">VLOOKUP($H12,OFFSET(floors!$A$1,0,0,COUNTA(floors!$A:$A),MATCH(I$1,floors!$1:$1,0)-MATCH($H$1,floors!$1:$1,0)+1),MATCH(I$1,floors!$1:$1,0)-MATCH($H$1,floors!$1:$1,0)+1,FALSE)</f>
        <v>35</v>
      </c>
      <c r="J12" s="4">
        <f ca="1">VLOOKUP($H12,OFFSET(floors!$A$1,0,0,COUNTA(floors!$A:$A),MATCH(J$1,floors!$1:$1,0)-MATCH($H$1,floors!$1:$1,0)+1),MATCH(J$1,floors!$1:$1,0)-MATCH($H$1,floors!$1:$1,0)+1,FALSE)</f>
        <v>35</v>
      </c>
      <c r="K12" s="38">
        <v>7</v>
      </c>
      <c r="L12" s="38">
        <v>2</v>
      </c>
      <c r="M12" s="20">
        <v>255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怠惰の頂点 ベルフェゴール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PremiumS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god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60</v>
      </c>
      <c r="T12" s="25">
        <v>3</v>
      </c>
      <c r="U12" s="25">
        <v>2</v>
      </c>
      <c r="V12" s="5">
        <v>0</v>
      </c>
      <c r="W12" s="4" t="e">
        <f ca="1">VLOOKUP($X12,OFFSET([5]enemy_skill_sets!$B$1,0,0,COUNTA([5]enemy_skill_sets!$B:$B),MATCH(N$1,[5]enemy_skill_sets!$1:$1,0)-MATCH($X$1,[5]enemy_skill_sets!$1:$1,0)+2),MATCH(N$1,[5]enemy_skill_sets!$1:$1,0)-MATCH($X$1,[5]enemy_skill_sets!$1:$1,0)+2,FALSE)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2" s="4">
        <v>40017003</v>
      </c>
      <c r="Y12" s="70">
        <v>2</v>
      </c>
    </row>
    <row r="13" spans="1:25" ht="21" customHeight="1" x14ac:dyDescent="0.15">
      <c r="A13" s="16" t="str">
        <f t="shared" ref="A13" si="8">B13&amp;"_"&amp;C13&amp;"-"&amp;G13&amp;"/"&amp;M13&amp;"&lt;lv"&amp;S13&amp;"&gt;sq"&amp;K13&amp;"st"&amp;L13</f>
        <v>40017_3-1/254&lt;lv60&gt;sq7st3</v>
      </c>
      <c r="B13" s="22">
        <v>40017</v>
      </c>
      <c r="C13" s="21">
        <v>3</v>
      </c>
      <c r="D13" s="2" t="str">
        <f t="shared" si="1"/>
        <v>40017_3</v>
      </c>
      <c r="E13" s="4" t="str">
        <f ca="1">VLOOKUP($B13,OFFSET([2]quests!$A$1,0,0,COUNTA([2]quests!$A:$A),MATCH(E$1,[2]quests!$1:$1,0)-MATCH($B$1,[2]quests!$1:$1,0)+1),MATCH(E$1,[2]quests!$1:$1,0)-MATCH($B$1,[2]quests!$1:$1,0)+1,FALSE)</f>
        <v>ベルゼブブ襲来！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【ノーコンテニュー】ベルゼブブ襲来</v>
      </c>
      <c r="G13" s="21">
        <v>1</v>
      </c>
      <c r="H13" s="15" t="str">
        <f t="shared" si="2"/>
        <v>40017_3-1</v>
      </c>
      <c r="I13" s="4">
        <f ca="1">VLOOKUP($H13,OFFSET(floors!$A$1,0,0,COUNTA(floors!$A:$A),MATCH(I$1,floors!$1:$1,0)-MATCH($H$1,floors!$1:$1,0)+1),MATCH(I$1,floors!$1:$1,0)-MATCH($H$1,floors!$1:$1,0)+1,FALSE)</f>
        <v>35</v>
      </c>
      <c r="J13" s="4">
        <f ca="1">VLOOKUP($H13,OFFSET(floors!$A$1,0,0,COUNTA(floors!$A:$A),MATCH(J$1,floors!$1:$1,0)-MATCH($H$1,floors!$1:$1,0)+1),MATCH(J$1,floors!$1:$1,0)-MATCH($H$1,floors!$1:$1,0)+1,FALSE)</f>
        <v>35</v>
      </c>
      <c r="K13" s="38">
        <v>7</v>
      </c>
      <c r="L13" s="38">
        <v>3</v>
      </c>
      <c r="M13" s="20">
        <v>254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怠惰 ベルフェゴール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PremiumS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god</v>
      </c>
      <c r="R13" s="17">
        <f ca="1">VLOOKUP($M13,OFFSET([3]enemies!$A$1,0,0,COUNTA([3]enemies!$A:$A),MATCH(R$1,[3]enemies!$1:$1,0)-MATCH($M$1,[3]enemies!$1:$1,0)+1),MATCH(R$1,[3]enemies!$1:$1,0)-MATCH($M$1,[3]enemies!$1:$1,0)+1,FALSE)</f>
        <v>30</v>
      </c>
      <c r="S13" s="5">
        <v>60</v>
      </c>
      <c r="T13" s="25">
        <v>1</v>
      </c>
      <c r="U13" s="25">
        <v>1</v>
      </c>
      <c r="V13" s="5">
        <v>0</v>
      </c>
      <c r="W13" s="4" t="e">
        <f ca="1">VLOOKUP($X13,OFFSET([5]enemy_skill_sets!$B$1,0,0,COUNTA([5]enemy_skill_sets!$B:$B),MATCH(N$1,[5]enemy_skill_sets!$1:$1,0)-MATCH($X$1,[5]enemy_skill_sets!$1:$1,0)+2),MATCH(N$1,[5]enemy_skill_sets!$1:$1,0)-MATCH($X$1,[5]enemy_skill_sets!$1:$1,0)+2,FALSE)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3" s="4">
        <v>40017009</v>
      </c>
      <c r="Y13" s="70">
        <v>2</v>
      </c>
    </row>
    <row r="14" spans="1:25" ht="21" customHeight="1" x14ac:dyDescent="0.15">
      <c r="A14" s="16" t="s">
        <v>225</v>
      </c>
      <c r="B14" s="22">
        <v>40017</v>
      </c>
      <c r="C14" s="21">
        <v>3</v>
      </c>
      <c r="D14" s="2" t="str">
        <f t="shared" si="1"/>
        <v>40017_3</v>
      </c>
      <c r="E14" s="4" t="str">
        <f ca="1">VLOOKUP($B14,OFFSET([2]quests!$A$1,0,0,COUNTA([2]quests!$A:$A),MATCH(E$1,[2]quests!$1:$1,0)-MATCH($B$1,[2]quests!$1:$1,0)+1),MATCH(E$1,[2]quests!$1:$1,0)-MATCH($B$1,[2]quests!$1:$1,0)+1,FALSE)</f>
        <v>ベルゼブブ襲来！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【ノーコンテニュー】ベルゼブブ襲来</v>
      </c>
      <c r="G14" s="21">
        <v>2</v>
      </c>
      <c r="H14" s="15" t="str">
        <f t="shared" si="2"/>
        <v>40017_3-2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8</v>
      </c>
      <c r="L14" s="38">
        <v>2</v>
      </c>
      <c r="M14" s="20">
        <v>409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天眼の皇貴魔 アスタロト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yellow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PremiumSS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god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60</v>
      </c>
      <c r="T14" s="25">
        <v>3</v>
      </c>
      <c r="U14" s="25">
        <v>1.2</v>
      </c>
      <c r="V14" s="5">
        <v>0</v>
      </c>
      <c r="W14" s="4" t="e">
        <f ca="1">VLOOKUP($X14,OFFSET([5]enemy_skill_sets!$B$1,0,0,COUNTA([5]enemy_skill_sets!$B:$B),MATCH(N$1,[5]enemy_skill_sets!$1:$1,0)-MATCH($X$1,[5]enemy_skill_sets!$1:$1,0)+2),MATCH(N$1,[5]enemy_skill_sets!$1:$1,0)-MATCH($X$1,[5]enemy_skill_sets!$1:$1,0)+2,FALSE)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4" s="4">
        <v>40017005</v>
      </c>
      <c r="Y14" s="70">
        <v>1</v>
      </c>
    </row>
    <row r="15" spans="1:25" ht="21" customHeight="1" x14ac:dyDescent="0.15">
      <c r="A15" s="16" t="s">
        <v>225</v>
      </c>
      <c r="B15" s="22">
        <v>40017</v>
      </c>
      <c r="C15" s="21">
        <v>3</v>
      </c>
      <c r="D15" s="2" t="str">
        <f t="shared" si="1"/>
        <v>40017_3</v>
      </c>
      <c r="E15" s="4" t="str">
        <f ca="1">VLOOKUP($B15,OFFSET([2]quests!$A$1,0,0,COUNTA([2]quests!$A:$A),MATCH(E$1,[2]quests!$1:$1,0)-MATCH($B$1,[2]quests!$1:$1,0)+1),MATCH(E$1,[2]quests!$1:$1,0)-MATCH($B$1,[2]quests!$1:$1,0)+1,FALSE)</f>
        <v>ベルゼブブ襲来！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【ノーコンテニュー】ベルゼブブ襲来</v>
      </c>
      <c r="G15" s="21">
        <v>3</v>
      </c>
      <c r="H15" s="15" t="str">
        <f t="shared" ref="H15" si="9">B15&amp;"_"&amp;C15&amp;"-"&amp;G15</f>
        <v>40017_3-3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9</v>
      </c>
      <c r="L15" s="38">
        <v>2</v>
      </c>
      <c r="M15" s="20">
        <v>845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妖艶なる蝿王 ベルゼブブ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green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DropWizS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god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60</v>
      </c>
      <c r="T15" s="25">
        <v>5.4</v>
      </c>
      <c r="U15" s="25">
        <v>2.5</v>
      </c>
      <c r="V15" s="5">
        <v>0</v>
      </c>
      <c r="W15" s="4" t="e">
        <f ca="1">VLOOKUP($X15,OFFSET([5]enemy_skill_sets!$B$1,0,0,COUNTA([5]enemy_skill_sets!$B:$B),MATCH(N$1,[5]enemy_skill_sets!$1:$1,0)-MATCH($X$1,[5]enemy_skill_sets!$1:$1,0)+2),MATCH(N$1,[5]enemy_skill_sets!$1:$1,0)-MATCH($X$1,[5]enemy_skill_sets!$1:$1,0)+2,FALSE)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5" s="4">
        <v>40017007</v>
      </c>
      <c r="Y15" s="70">
        <v>2</v>
      </c>
    </row>
    <row r="16" spans="1:25" ht="21" customHeight="1" x14ac:dyDescent="0.15">
      <c r="A16" s="16" t="s">
        <v>225</v>
      </c>
      <c r="B16" s="22">
        <v>40017</v>
      </c>
      <c r="C16" s="21">
        <v>3</v>
      </c>
      <c r="D16" s="2" t="str">
        <f t="shared" si="1"/>
        <v>40017_3</v>
      </c>
      <c r="E16" s="4" t="str">
        <f ca="1">VLOOKUP($B16,OFFSET([2]quests!$A$1,0,0,COUNTA([2]quests!$A:$A),MATCH(E$1,[2]quests!$1:$1,0)-MATCH($B$1,[2]quests!$1:$1,0)+1),MATCH(E$1,[2]quests!$1:$1,0)-MATCH($B$1,[2]quests!$1:$1,0)+1,FALSE)</f>
        <v>ベルゼブブ襲来！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【ノーコンテニュー】ベルゼブブ襲来</v>
      </c>
      <c r="G16" s="21">
        <v>3</v>
      </c>
      <c r="H16" s="15" t="str">
        <f t="shared" ref="H16" si="10">B16&amp;"_"&amp;C16&amp;"-"&amp;G16</f>
        <v>40017_3-3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9</v>
      </c>
      <c r="L16" s="38">
        <v>3</v>
      </c>
      <c r="M16" s="20">
        <v>845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妖艶なる蝿王 ベルゼブブ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green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DropWizS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god</v>
      </c>
      <c r="R16" s="17">
        <f ca="1">VLOOKUP($M16,OFFSET([3]enemies!$A$1,0,0,COUNTA([3]enemies!$A:$A),MATCH(R$1,[3]enemies!$1:$1,0)-MATCH($M$1,[3]enemies!$1:$1,0)+1),MATCH(R$1,[3]enemies!$1:$1,0)-MATCH($M$1,[3]enemies!$1:$1,0)+1,FALSE)</f>
        <v>60</v>
      </c>
      <c r="S16" s="5">
        <v>60</v>
      </c>
      <c r="T16" s="25">
        <v>3.8</v>
      </c>
      <c r="U16" s="25">
        <v>2</v>
      </c>
      <c r="V16" s="5">
        <v>0</v>
      </c>
      <c r="W16" s="4" t="e">
        <f ca="1">VLOOKUP($X16,OFFSET([5]enemy_skill_sets!$B$1,0,0,COUNTA([5]enemy_skill_sets!$B:$B),MATCH(N$1,[5]enemy_skill_sets!$1:$1,0)-MATCH($X$1,[5]enemy_skill_sets!$1:$1,0)+2),MATCH(N$1,[5]enemy_skill_sets!$1:$1,0)-MATCH($X$1,[5]enemy_skill_sets!$1:$1,0)+2,FALSE)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6" s="4">
        <v>40017008</v>
      </c>
      <c r="Y16" s="70">
        <v>1</v>
      </c>
    </row>
  </sheetData>
  <sheetProtection selectLockedCells="1" selectUnlockedCells="1"/>
  <autoFilter ref="B1:Y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1"/>
  <sheetViews>
    <sheetView showGridLines="0" tabSelected="1" workbookViewId="0">
      <pane ySplit="1" topLeftCell="A37" activePane="bottomLeft" state="frozenSplit"/>
      <selection pane="bottomLeft" activeCell="F54" sqref="F5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514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40017001</v>
      </c>
      <c r="B2" s="47" t="s">
        <v>536</v>
      </c>
      <c r="C2" s="50">
        <v>3</v>
      </c>
      <c r="D2" s="107" t="s">
        <v>127</v>
      </c>
      <c r="E2" s="51" t="s">
        <v>277</v>
      </c>
      <c r="F2" s="51" t="s">
        <v>231</v>
      </c>
      <c r="G2" s="63" t="str">
        <f>IFERROR(LEFT(B2,FIND("],",B2)),B2)</f>
        <v>[effect:force_change_block, new_block:jammer, target:block_all, ignore01:block_positive, ignore02:block_negative, count:3, val:0]</v>
      </c>
      <c r="H2" s="63">
        <f>FIND("effect:",G2)+7</f>
        <v>9</v>
      </c>
      <c r="I2" s="63">
        <f>IFERROR(FIND(",",G2),LEN(G2))</f>
        <v>27</v>
      </c>
      <c r="J2" s="63">
        <f>FIND("target:",G2)+7</f>
        <v>54</v>
      </c>
      <c r="K2" s="63">
        <f>FIND(",",G2,I2+1)</f>
        <v>45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40017002</v>
      </c>
      <c r="B3" s="47" t="s">
        <v>507</v>
      </c>
      <c r="C3" s="50">
        <v>3</v>
      </c>
      <c r="D3" s="50" t="s">
        <v>127</v>
      </c>
      <c r="E3" s="51" t="s">
        <v>502</v>
      </c>
      <c r="F3" s="51" t="s">
        <v>513</v>
      </c>
      <c r="G3" s="63" t="str">
        <f t="shared" ref="G3:G32" si="0">IFERROR(LEFT(B3,FIND("],",B3)),B3)</f>
        <v>[effect:enemy_message, val1:0, val2:3, dead_type:suicide]</v>
      </c>
      <c r="H3" s="63">
        <f t="shared" ref="H3:H75" si="1">FIND("effect:",G3)+7</f>
        <v>9</v>
      </c>
      <c r="I3" s="63">
        <f t="shared" ref="I3:I32" si="2">IFERROR(FIND(",",G3),LEN(G3))</f>
        <v>22</v>
      </c>
      <c r="J3" s="63" t="e">
        <f t="shared" ref="J3:J32" si="3">FIND("target:",G3)+7</f>
        <v>#VALUE!</v>
      </c>
      <c r="K3" s="63">
        <f t="shared" ref="K3:K32" si="4">FIND(",",G3,I3+1)</f>
        <v>30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32" si="5">IFERROR(RIGHT(B3,LEN(B3)-FIND("],",B3)-1),"none")</f>
        <v>none</v>
      </c>
      <c r="N3" s="48" t="str">
        <f>IFERROR(LEFT(M3,FIND("],",M3)+#REF!),M3)</f>
        <v>none</v>
      </c>
      <c r="O3" s="63" t="e">
        <f t="shared" ref="O3:O75" si="6">FIND("effect:",N3)+7</f>
        <v>#VALUE!</v>
      </c>
      <c r="P3" s="63">
        <f t="shared" ref="P3:P32" si="7">IFERROR(FIND(",",N3),LEN(N3))</f>
        <v>4</v>
      </c>
      <c r="Q3" s="63" t="e">
        <f t="shared" ref="Q3:Q32" si="8">FIND("target:",N3)+7</f>
        <v>#VALUE!</v>
      </c>
      <c r="R3" s="63" t="e">
        <f t="shared" ref="R3:R32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32" si="10">IFERROR(RIGHT(M3,LEN(M3)-FIND("],",M3)-1),"none")</f>
        <v>none</v>
      </c>
      <c r="U3" s="63" t="e">
        <f t="shared" ref="U3:U75" si="11">FIND("effect:",T3)+7</f>
        <v>#VALUE!</v>
      </c>
      <c r="V3" s="63">
        <f t="shared" ref="V3:V32" si="12">IFERROR(FIND(",",T3),LEN(T3))</f>
        <v>4</v>
      </c>
      <c r="W3" s="63" t="e">
        <f t="shared" ref="W3:W32" si="13">FIND("target:",T3)+7</f>
        <v>#VALUE!</v>
      </c>
      <c r="X3" s="63" t="e">
        <f t="shared" ref="X3:X32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40017003</v>
      </c>
      <c r="B4" s="47" t="s">
        <v>214</v>
      </c>
      <c r="C4" s="50">
        <v>3</v>
      </c>
      <c r="D4" s="50" t="s">
        <v>127</v>
      </c>
      <c r="E4" s="51" t="s">
        <v>213</v>
      </c>
      <c r="F4" s="51" t="s">
        <v>215</v>
      </c>
      <c r="G4" s="63" t="str">
        <f t="shared" si="0"/>
        <v>[effect:nothing]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何もしない</v>
      </c>
      <c r="M4" s="63" t="str">
        <f t="shared" si="5"/>
        <v>none</v>
      </c>
      <c r="N4" s="48" t="str">
        <f t="shared" ref="N4:N11" si="15">IFERROR(LEFT(M4,FIND("],",M4)+S14),M4)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40017004</v>
      </c>
      <c r="B5" s="47" t="s">
        <v>214</v>
      </c>
      <c r="C5" s="50">
        <v>3</v>
      </c>
      <c r="D5" s="50" t="s">
        <v>127</v>
      </c>
      <c r="E5" s="51" t="s">
        <v>213</v>
      </c>
      <c r="F5" s="51" t="s">
        <v>215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8" t="str">
        <f t="shared" si="15"/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40017005</v>
      </c>
      <c r="B6" s="47" t="s">
        <v>214</v>
      </c>
      <c r="C6" s="50">
        <v>3</v>
      </c>
      <c r="D6" s="50" t="s">
        <v>127</v>
      </c>
      <c r="E6" s="51" t="s">
        <v>213</v>
      </c>
      <c r="F6" s="51" t="s">
        <v>215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15"/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40017006</v>
      </c>
      <c r="B7" s="47" t="s">
        <v>290</v>
      </c>
      <c r="C7" s="50">
        <v>3</v>
      </c>
      <c r="D7" s="107" t="s">
        <v>127</v>
      </c>
      <c r="E7" s="51" t="s">
        <v>485</v>
      </c>
      <c r="F7" s="51" t="s">
        <v>234</v>
      </c>
      <c r="G7" s="63" t="str">
        <f t="shared" si="0"/>
        <v>[effect:enhance_enemy, target:myself, turn:-1, status:defense, val:10000, calc:add, animation:enemy_enhance_defense]</v>
      </c>
      <c r="H7" s="63">
        <f t="shared" si="1"/>
        <v>9</v>
      </c>
      <c r="I7" s="63">
        <f t="shared" si="2"/>
        <v>22</v>
      </c>
      <c r="J7" s="63">
        <f t="shared" si="3"/>
        <v>31</v>
      </c>
      <c r="K7" s="63">
        <f t="shared" si="4"/>
        <v>37</v>
      </c>
      <c r="L7" s="63" t="str">
        <f>IFERROR(VLOOKUP(MID(G7,J7,K7-J7),[6]skilldef!$C:$D,2,FALSE),"-") &amp; " / " &amp; IFERROR(VLOOKUP(MID(G7,H7,I7-H7),[6]skilldef!$A:$B,2,FALSE),"-")</f>
        <v>自分自身に / ステータス強化</v>
      </c>
      <c r="M7" s="63" t="str">
        <f t="shared" si="5"/>
        <v>none</v>
      </c>
      <c r="N7" s="48" t="str">
        <f t="shared" si="15"/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40017007</v>
      </c>
      <c r="B8" s="47" t="s">
        <v>227</v>
      </c>
      <c r="C8" s="50">
        <v>3</v>
      </c>
      <c r="D8" s="107" t="s">
        <v>127</v>
      </c>
      <c r="E8" s="51" t="s">
        <v>441</v>
      </c>
      <c r="F8" s="51" t="s">
        <v>280</v>
      </c>
      <c r="G8" s="63" t="str">
        <f t="shared" si="0"/>
        <v>[effect:nothing]</v>
      </c>
      <c r="H8" s="63">
        <f t="shared" si="1"/>
        <v>9</v>
      </c>
      <c r="I8" s="63">
        <f t="shared" si="2"/>
        <v>16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何もしない</v>
      </c>
      <c r="M8" s="63" t="str">
        <f t="shared" si="5"/>
        <v>none</v>
      </c>
      <c r="N8" s="48" t="str">
        <f t="shared" si="15"/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40017008</v>
      </c>
      <c r="B9" s="47" t="s">
        <v>292</v>
      </c>
      <c r="C9" s="50">
        <v>3</v>
      </c>
      <c r="D9" s="107" t="s">
        <v>127</v>
      </c>
      <c r="E9" s="51" t="s">
        <v>442</v>
      </c>
      <c r="F9" s="51" t="s">
        <v>278</v>
      </c>
      <c r="G9" s="63" t="str">
        <f t="shared" si="0"/>
        <v>[effect:break_attack, val:0.1, lowest_val:3000, count:-1, block:block_green, target:unit_one]</v>
      </c>
      <c r="H9" s="63">
        <f t="shared" si="1"/>
        <v>9</v>
      </c>
      <c r="I9" s="63">
        <f t="shared" si="2"/>
        <v>21</v>
      </c>
      <c r="J9" s="63">
        <f t="shared" si="3"/>
        <v>85</v>
      </c>
      <c r="K9" s="63">
        <f t="shared" si="4"/>
        <v>30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none</v>
      </c>
      <c r="N9" s="48" t="str">
        <f t="shared" si="15"/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40017009</v>
      </c>
      <c r="B10" s="47" t="s">
        <v>232</v>
      </c>
      <c r="C10" s="50">
        <v>3</v>
      </c>
      <c r="D10" s="107" t="s">
        <v>127</v>
      </c>
      <c r="E10" s="51" t="s">
        <v>443</v>
      </c>
      <c r="F10" s="51" t="s">
        <v>279</v>
      </c>
      <c r="G10" s="63" t="str">
        <f t="shared" si="0"/>
        <v>[effect:break_attack, val:0.2, lowest_val:2000, count:-1, block:jammer, target:unit_one]</v>
      </c>
      <c r="H10" s="63">
        <f t="shared" si="1"/>
        <v>9</v>
      </c>
      <c r="I10" s="63">
        <f t="shared" si="2"/>
        <v>21</v>
      </c>
      <c r="J10" s="63">
        <f t="shared" si="3"/>
        <v>80</v>
      </c>
      <c r="K10" s="63">
        <f t="shared" si="4"/>
        <v>30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none</v>
      </c>
      <c r="N10" s="48" t="str">
        <f t="shared" si="15"/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40017010</v>
      </c>
      <c r="B11" s="47" t="s">
        <v>228</v>
      </c>
      <c r="C11" s="50">
        <v>3</v>
      </c>
      <c r="D11" s="50" t="s">
        <v>127</v>
      </c>
      <c r="E11" s="51" t="s">
        <v>444</v>
      </c>
      <c r="F11" s="51" t="s">
        <v>504</v>
      </c>
      <c r="G11" s="63" t="str">
        <f t="shared" si="0"/>
        <v>[effect:suicide, val:1, dead_type:escape, target:myself, animation:enemy_suicide]</v>
      </c>
      <c r="H11" s="63">
        <f t="shared" si="1"/>
        <v>9</v>
      </c>
      <c r="I11" s="63">
        <f t="shared" si="2"/>
        <v>16</v>
      </c>
      <c r="J11" s="63">
        <f t="shared" si="3"/>
        <v>50</v>
      </c>
      <c r="K11" s="63">
        <f t="shared" si="4"/>
        <v>23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none</v>
      </c>
      <c r="N11" s="48" t="str">
        <f t="shared" si="15"/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40017011</v>
      </c>
      <c r="B12" s="47" t="s">
        <v>291</v>
      </c>
      <c r="C12" s="50">
        <v>3</v>
      </c>
      <c r="D12" s="50" t="s">
        <v>127</v>
      </c>
      <c r="E12" s="51" t="s">
        <v>445</v>
      </c>
      <c r="F12" s="51" t="s">
        <v>280</v>
      </c>
      <c r="G12" s="63" t="str">
        <f t="shared" ref="G12" si="16">IFERROR(LEFT(B12,FIND("],",B12)),B12)</f>
        <v>[effect:heal, target:myself, val:0.1, animation:enemy_heal]</v>
      </c>
      <c r="H12" s="63">
        <f t="shared" ref="H12" si="17">FIND("effect:",G12)+7</f>
        <v>9</v>
      </c>
      <c r="I12" s="63">
        <f t="shared" ref="I12" si="18">IFERROR(FIND(",",G12),LEN(G12))</f>
        <v>13</v>
      </c>
      <c r="J12" s="63">
        <f t="shared" ref="J12" si="19">FIND("target:",G12)+7</f>
        <v>22</v>
      </c>
      <c r="K12" s="63">
        <f t="shared" ref="K12" si="20">FIND(",",G12,I12+1)</f>
        <v>28</v>
      </c>
      <c r="L12" s="63" t="str">
        <f>IFERROR(VLOOKUP(MID(G12,J12,K12-J12),[6]skilldef!$C:$D,2,FALSE),"-") &amp; " / " &amp; IFERROR(VLOOKUP(MID(G12,H12,I12-H12),[6]skilldef!$A:$B,2,FALSE),"-")</f>
        <v>自分自身に / 回復</v>
      </c>
      <c r="M12" s="63" t="str">
        <f t="shared" ref="M12" si="21">IFERROR(RIGHT(B12,LEN(B12)-FIND("],",B12)-1),"none")</f>
        <v>[effect:enhance_enemy, target:myself, turn:-1, status:defense, val:10000, calc:add, animation:enemy_enhance_defense]</v>
      </c>
      <c r="N12" s="48" t="str">
        <f>IFERROR(LEFT(M12,FIND("],",M12)+S21),M12)</f>
        <v>[effect:enhance_enemy, target:myself, turn:-1, status:defense, val:10000, calc:add, animation:enemy_enhance_defense]</v>
      </c>
      <c r="O12" s="63">
        <f t="shared" ref="O12" si="22">FIND("effect:",N12)+7</f>
        <v>9</v>
      </c>
      <c r="P12" s="63">
        <f t="shared" ref="P12" si="23">IFERROR(FIND(",",N12),LEN(N12))</f>
        <v>22</v>
      </c>
      <c r="Q12" s="63">
        <f t="shared" ref="Q12" si="24">FIND("target:",N12)+7</f>
        <v>31</v>
      </c>
      <c r="R12" s="63">
        <f t="shared" ref="R12" si="25">FIND(",",N12,P12+1)</f>
        <v>37</v>
      </c>
      <c r="S12" s="63" t="str">
        <f>IFERROR(VLOOKUP(MID(N12,Q12,R12-Q12),[6]skilldef!$C:$D,2,FALSE),"-") &amp; " / " &amp; IFERROR(VLOOKUP(MID(N12,O12,P12-O12),[6]skilldef!$A:$B,2,FALSE),"-")</f>
        <v>自分自身に / ステータス強化</v>
      </c>
      <c r="T12" s="48" t="str">
        <f t="shared" ref="T12" si="26">IFERROR(RIGHT(M12,LEN(M12)-FIND("],",M12)-1),"none")</f>
        <v>none</v>
      </c>
      <c r="U12" s="63" t="e">
        <f t="shared" ref="U12" si="27">FIND("effect:",T12)+7</f>
        <v>#VALUE!</v>
      </c>
      <c r="V12" s="63">
        <f t="shared" ref="V12" si="28">IFERROR(FIND(",",T12),LEN(T12))</f>
        <v>4</v>
      </c>
      <c r="W12" s="63" t="e">
        <f t="shared" ref="W12" si="29">FIND("target:",T12)+7</f>
        <v>#VALUE!</v>
      </c>
      <c r="X12" s="63" t="e">
        <f t="shared" ref="X12" si="30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40017012</v>
      </c>
      <c r="B13" s="47" t="s">
        <v>229</v>
      </c>
      <c r="C13" s="50">
        <v>3</v>
      </c>
      <c r="D13" s="107" t="s">
        <v>127</v>
      </c>
      <c r="E13" s="51" t="s">
        <v>446</v>
      </c>
      <c r="F13" s="51" t="s">
        <v>279</v>
      </c>
      <c r="G13" s="63" t="str">
        <f t="shared" ref="G13:G14" si="31">IFERROR(LEFT(B13,FIND("],",B13)),B13)</f>
        <v>[effect:spread, val:0.3]</v>
      </c>
      <c r="H13" s="63">
        <f t="shared" ref="H13:H14" si="32">FIND("effect:",G13)+7</f>
        <v>9</v>
      </c>
      <c r="I13" s="63">
        <f t="shared" ref="I13:I14" si="33">IFERROR(FIND(",",G13),LEN(G13))</f>
        <v>15</v>
      </c>
      <c r="J13" s="63" t="e">
        <f t="shared" ref="J13:J14" si="34">FIND("target:",G13)+7</f>
        <v>#VALUE!</v>
      </c>
      <c r="K13" s="63" t="e">
        <f t="shared" ref="K13:K14" si="35">FIND(",",G13,I13+1)</f>
        <v>#VALUE!</v>
      </c>
      <c r="L13" s="63" t="str">
        <f>IFERROR(VLOOKUP(MID(G13,J13,K13-J13),[6]skilldef!$C:$D,2,FALSE),"-") &amp; " / " &amp; IFERROR(VLOOKUP(MID(G13,H13,I13-H13),[6]skilldef!$A:$B,2,FALSE),"-")</f>
        <v>- / 全体攻撃</v>
      </c>
      <c r="M13" s="63" t="str">
        <f t="shared" ref="M13:M14" si="36">IFERROR(RIGHT(B13,LEN(B13)-FIND("],",B13)-1),"none")</f>
        <v>none</v>
      </c>
      <c r="N13" s="48" t="str">
        <f>IFERROR(LEFT(M13,FIND("],",M13)+S23),M13)</f>
        <v>none</v>
      </c>
      <c r="O13" s="63" t="e">
        <f t="shared" ref="O13:O14" si="37">FIND("effect:",N13)+7</f>
        <v>#VALUE!</v>
      </c>
      <c r="P13" s="63">
        <f t="shared" ref="P13:P14" si="38">IFERROR(FIND(",",N13),LEN(N13))</f>
        <v>4</v>
      </c>
      <c r="Q13" s="63" t="e">
        <f t="shared" ref="Q13:Q14" si="39">FIND("target:",N13)+7</f>
        <v>#VALUE!</v>
      </c>
      <c r="R13" s="63" t="e">
        <f t="shared" ref="R13:R14" si="40">FIND(",",N13,P13+1)</f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ref="T13:T14" si="41">IFERROR(RIGHT(M13,LEN(M13)-FIND("],",M13)-1),"none")</f>
        <v>none</v>
      </c>
      <c r="U13" s="63" t="e">
        <f t="shared" ref="U13:U14" si="42">FIND("effect:",T13)+7</f>
        <v>#VALUE!</v>
      </c>
      <c r="V13" s="63">
        <f t="shared" ref="V13:V14" si="43">IFERROR(FIND(",",T13),LEN(T13))</f>
        <v>4</v>
      </c>
      <c r="W13" s="63" t="e">
        <f t="shared" ref="W13:W14" si="44">FIND("target:",T13)+7</f>
        <v>#VALUE!</v>
      </c>
      <c r="X13" s="63" t="e">
        <f t="shared" ref="X13:X14" si="45">FIND(",",T13,V13+1)</f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40017013</v>
      </c>
      <c r="B14" s="47" t="s">
        <v>515</v>
      </c>
      <c r="C14" s="50">
        <v>3</v>
      </c>
      <c r="D14" s="50" t="s">
        <v>197</v>
      </c>
      <c r="E14" s="51" t="s">
        <v>445</v>
      </c>
      <c r="F14" s="51" t="s">
        <v>506</v>
      </c>
      <c r="G14" s="63" t="str">
        <f t="shared" si="31"/>
        <v>[effect:suicide, val:1, dead_type:suicide, target:enemy_all, animation:enemy_suicide]</v>
      </c>
      <c r="H14" s="63">
        <f t="shared" si="32"/>
        <v>9</v>
      </c>
      <c r="I14" s="63">
        <f t="shared" si="33"/>
        <v>16</v>
      </c>
      <c r="J14" s="63">
        <f t="shared" si="34"/>
        <v>51</v>
      </c>
      <c r="K14" s="63">
        <f t="shared" si="35"/>
        <v>23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36"/>
        <v>none</v>
      </c>
      <c r="N14" s="48" t="str">
        <f t="shared" ref="N14" si="46">IFERROR(LEFT(M14,FIND("],",M14)+S24),M14)</f>
        <v>none</v>
      </c>
      <c r="O14" s="63" t="e">
        <f t="shared" si="37"/>
        <v>#VALUE!</v>
      </c>
      <c r="P14" s="63">
        <f t="shared" si="38"/>
        <v>4</v>
      </c>
      <c r="Q14" s="63" t="e">
        <f t="shared" si="39"/>
        <v>#VALUE!</v>
      </c>
      <c r="R14" s="63" t="e">
        <f t="shared" si="4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41"/>
        <v>none</v>
      </c>
      <c r="U14" s="63" t="e">
        <f t="shared" si="42"/>
        <v>#VALUE!</v>
      </c>
      <c r="V14" s="63">
        <f t="shared" si="43"/>
        <v>4</v>
      </c>
      <c r="W14" s="63" t="e">
        <f t="shared" si="44"/>
        <v>#VALUE!</v>
      </c>
      <c r="X14" s="63" t="e">
        <f t="shared" si="4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40017014</v>
      </c>
      <c r="B15" s="47" t="s">
        <v>214</v>
      </c>
      <c r="C15" s="50">
        <v>3</v>
      </c>
      <c r="D15" s="50" t="s">
        <v>127</v>
      </c>
      <c r="E15" s="51" t="s">
        <v>216</v>
      </c>
      <c r="F15" s="51" t="s">
        <v>215</v>
      </c>
      <c r="G15" s="63" t="str">
        <f t="shared" si="0"/>
        <v>[effect:nothing]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5"/>
        <v>none</v>
      </c>
      <c r="N15" s="48" t="str">
        <f t="shared" ref="N15:N31" si="47">IFERROR(LEFT(M15,FIND("],",M15)+S25),M15)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40017015</v>
      </c>
      <c r="B16" s="47" t="s">
        <v>214</v>
      </c>
      <c r="C16" s="50">
        <v>3</v>
      </c>
      <c r="D16" s="50" t="s">
        <v>127</v>
      </c>
      <c r="E16" s="51" t="s">
        <v>216</v>
      </c>
      <c r="F16" s="51" t="s">
        <v>215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何もしない</v>
      </c>
      <c r="M16" s="63" t="str">
        <f t="shared" si="5"/>
        <v>none</v>
      </c>
      <c r="N16" s="48" t="str">
        <f t="shared" si="47"/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40017016</v>
      </c>
      <c r="B17" s="47" t="s">
        <v>428</v>
      </c>
      <c r="C17" s="50">
        <v>3</v>
      </c>
      <c r="D17" s="50" t="s">
        <v>127</v>
      </c>
      <c r="E17" s="51" t="s">
        <v>447</v>
      </c>
      <c r="F17" s="51" t="s">
        <v>448</v>
      </c>
      <c r="G17" s="63" t="str">
        <f t="shared" si="0"/>
        <v>[effect:tolerance, target:myself, turn:-1, tolerance_effect:hungup, count:-1, animation:enemy_tolerance]</v>
      </c>
      <c r="H17" s="63">
        <f t="shared" si="1"/>
        <v>9</v>
      </c>
      <c r="I17" s="63">
        <f t="shared" si="2"/>
        <v>18</v>
      </c>
      <c r="J17" s="63">
        <f t="shared" si="3"/>
        <v>27</v>
      </c>
      <c r="K17" s="63">
        <f t="shared" si="4"/>
        <v>33</v>
      </c>
      <c r="L17" s="63" t="str">
        <f>IFERROR(VLOOKUP(MID(G17,J17,K17-J17),[6]skilldef!$C:$D,2,FALSE),"-") &amp; " / " &amp; IFERROR(VLOOKUP(MID(G17,H17,I17-H17),[6]skilldef!$A:$B,2,FALSE),"-")</f>
        <v>自分自身に / 状態異常耐性</v>
      </c>
      <c r="M17" s="63" t="str">
        <f t="shared" si="5"/>
        <v>none</v>
      </c>
      <c r="N17" s="48" t="str">
        <f t="shared" si="47"/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40017017</v>
      </c>
      <c r="B18" s="47" t="s">
        <v>423</v>
      </c>
      <c r="C18" s="50">
        <v>3</v>
      </c>
      <c r="D18" s="107" t="s">
        <v>127</v>
      </c>
      <c r="E18" s="105" t="s">
        <v>298</v>
      </c>
      <c r="F18" s="51" t="s">
        <v>230</v>
      </c>
      <c r="G18" s="63" t="str">
        <f t="shared" si="0"/>
        <v>[effect:spread, val:0.3]</v>
      </c>
      <c r="H18" s="63">
        <f t="shared" si="1"/>
        <v>9</v>
      </c>
      <c r="I18" s="63">
        <f t="shared" si="2"/>
        <v>15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全体攻撃</v>
      </c>
      <c r="M18" s="63" t="str">
        <f t="shared" si="5"/>
        <v>none</v>
      </c>
      <c r="N18" s="48" t="str">
        <f t="shared" si="47"/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40017018</v>
      </c>
      <c r="B19" s="47" t="s">
        <v>301</v>
      </c>
      <c r="C19" s="50">
        <v>3</v>
      </c>
      <c r="D19" s="107" t="s">
        <v>127</v>
      </c>
      <c r="E19" s="105" t="s">
        <v>297</v>
      </c>
      <c r="F19" s="51" t="s">
        <v>449</v>
      </c>
      <c r="G19" s="63" t="str">
        <f t="shared" si="0"/>
        <v>[effect:break_attack, val:0.08, lowest_val:3500, count:-1, block:block_red, target:unit_one]</v>
      </c>
      <c r="H19" s="63">
        <f t="shared" si="1"/>
        <v>9</v>
      </c>
      <c r="I19" s="63">
        <f t="shared" si="2"/>
        <v>21</v>
      </c>
      <c r="J19" s="63">
        <f t="shared" si="3"/>
        <v>84</v>
      </c>
      <c r="K19" s="63">
        <f t="shared" si="4"/>
        <v>31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none</v>
      </c>
      <c r="N19" s="48" t="str">
        <f t="shared" si="47"/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40017019</v>
      </c>
      <c r="B20" s="47" t="s">
        <v>537</v>
      </c>
      <c r="C20" s="50">
        <v>3</v>
      </c>
      <c r="D20" s="107" t="s">
        <v>127</v>
      </c>
      <c r="E20" s="51" t="s">
        <v>299</v>
      </c>
      <c r="F20" s="51" t="s">
        <v>530</v>
      </c>
      <c r="G20" s="63" t="str">
        <f t="shared" si="0"/>
        <v>[effect:rush, count:2, val:0.6]</v>
      </c>
      <c r="H20" s="63">
        <f t="shared" si="1"/>
        <v>9</v>
      </c>
      <c r="I20" s="63">
        <f t="shared" si="2"/>
        <v>13</v>
      </c>
      <c r="J20" s="63" t="e">
        <f t="shared" si="3"/>
        <v>#VALUE!</v>
      </c>
      <c r="K20" s="63">
        <f t="shared" si="4"/>
        <v>22</v>
      </c>
      <c r="L20" s="63" t="str">
        <f>IFERROR(VLOOKUP(MID(G20,J20,K20-J20),[6]skilldef!$C:$D,2,FALSE),"-") &amp; " / " &amp; IFERROR(VLOOKUP(MID(G20,H20,I20-H20),[6]skilldef!$A:$B,2,FALSE),"-")</f>
        <v>- / 連続攻撃</v>
      </c>
      <c r="M20" s="63" t="str">
        <f t="shared" si="5"/>
        <v>[effect:force_change_block, new_block:jammer, target:block_all, ignore01:block_positive, ignore02:block_negative, count:3, val:0]</v>
      </c>
      <c r="N20" s="48" t="str">
        <f t="shared" si="47"/>
        <v>[effect:force_change_block, new_block:jammer, target:block_all, ignore01:block_positive, ignore02:block_negative, count:3, val:0]</v>
      </c>
      <c r="O20" s="63">
        <f t="shared" si="6"/>
        <v>9</v>
      </c>
      <c r="P20" s="63">
        <f t="shared" si="7"/>
        <v>27</v>
      </c>
      <c r="Q20" s="63">
        <f t="shared" si="8"/>
        <v>54</v>
      </c>
      <c r="R20" s="63">
        <f t="shared" si="9"/>
        <v>45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40017020</v>
      </c>
      <c r="B21" s="47" t="s">
        <v>293</v>
      </c>
      <c r="C21" s="50">
        <v>3</v>
      </c>
      <c r="D21" s="107" t="s">
        <v>127</v>
      </c>
      <c r="E21" s="51" t="s">
        <v>300</v>
      </c>
      <c r="F21" s="51" t="s">
        <v>450</v>
      </c>
      <c r="G21" s="63" t="str">
        <f t="shared" si="0"/>
        <v>[effect:break_attack, val:0.2, lowest_val:3000, count:-1, block:jammer, target:unit_one]</v>
      </c>
      <c r="H21" s="63">
        <f t="shared" si="1"/>
        <v>9</v>
      </c>
      <c r="I21" s="63">
        <f t="shared" si="2"/>
        <v>21</v>
      </c>
      <c r="J21" s="63">
        <f t="shared" si="3"/>
        <v>80</v>
      </c>
      <c r="K21" s="63">
        <f t="shared" si="4"/>
        <v>30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none</v>
      </c>
      <c r="N21" s="48" t="str">
        <f t="shared" si="47"/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40017021</v>
      </c>
      <c r="B22" s="47" t="s">
        <v>484</v>
      </c>
      <c r="C22" s="50">
        <v>3</v>
      </c>
      <c r="D22" s="50" t="s">
        <v>127</v>
      </c>
      <c r="E22" s="51" t="s">
        <v>233</v>
      </c>
      <c r="F22" s="51" t="s">
        <v>503</v>
      </c>
      <c r="G22" s="63" t="str">
        <f t="shared" si="0"/>
        <v>[effect:suicide, val:1, dead_type:escape, target:myself]</v>
      </c>
      <c r="H22" s="63">
        <f t="shared" si="1"/>
        <v>9</v>
      </c>
      <c r="I22" s="63">
        <f t="shared" si="2"/>
        <v>16</v>
      </c>
      <c r="J22" s="63">
        <f t="shared" si="3"/>
        <v>50</v>
      </c>
      <c r="K22" s="63">
        <f t="shared" si="4"/>
        <v>23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none</v>
      </c>
      <c r="N22" s="48" t="str">
        <f t="shared" si="47"/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40017022</v>
      </c>
      <c r="B23" s="47" t="s">
        <v>214</v>
      </c>
      <c r="C23" s="50">
        <v>3</v>
      </c>
      <c r="D23" s="50" t="s">
        <v>127</v>
      </c>
      <c r="E23" s="51" t="s">
        <v>223</v>
      </c>
      <c r="F23" s="51" t="s">
        <v>215</v>
      </c>
      <c r="G23" s="63" t="str">
        <f t="shared" si="0"/>
        <v>[effect:nothing]</v>
      </c>
      <c r="H23" s="63">
        <f t="shared" si="1"/>
        <v>9</v>
      </c>
      <c r="I23" s="63">
        <f t="shared" si="2"/>
        <v>16</v>
      </c>
      <c r="J23" s="63" t="e">
        <f t="shared" si="3"/>
        <v>#VALUE!</v>
      </c>
      <c r="K23" s="63" t="e">
        <f t="shared" si="4"/>
        <v>#VALUE!</v>
      </c>
      <c r="L23" s="63" t="str">
        <f>IFERROR(VLOOKUP(MID(G23,J23,K23-J23),[6]skilldef!$C:$D,2,FALSE),"-") &amp; " / " &amp; IFERROR(VLOOKUP(MID(G23,H23,I23-H23),[6]skilldef!$A:$B,2,FALSE),"-")</f>
        <v>- / 何もしない</v>
      </c>
      <c r="M23" s="63" t="str">
        <f t="shared" si="5"/>
        <v>none</v>
      </c>
      <c r="N23" s="48" t="str">
        <f t="shared" si="47"/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40017023</v>
      </c>
      <c r="B24" s="47" t="s">
        <v>214</v>
      </c>
      <c r="C24" s="50">
        <v>3</v>
      </c>
      <c r="D24" s="50" t="s">
        <v>127</v>
      </c>
      <c r="E24" s="51" t="s">
        <v>217</v>
      </c>
      <c r="F24" s="51" t="s">
        <v>215</v>
      </c>
      <c r="G24" s="63" t="str">
        <f t="shared" si="0"/>
        <v>[effect:nothing]</v>
      </c>
      <c r="H24" s="63">
        <f t="shared" si="1"/>
        <v>9</v>
      </c>
      <c r="I24" s="63">
        <f t="shared" si="2"/>
        <v>16</v>
      </c>
      <c r="J24" s="63" t="e">
        <f t="shared" si="3"/>
        <v>#VALUE!</v>
      </c>
      <c r="K24" s="63" t="e">
        <f t="shared" si="4"/>
        <v>#VALUE!</v>
      </c>
      <c r="L24" s="63" t="str">
        <f>IFERROR(VLOOKUP(MID(G24,J24,K24-J24),[6]skilldef!$C:$D,2,FALSE),"-") &amp; " / " &amp; IFERROR(VLOOKUP(MID(G24,H24,I24-H24),[6]skilldef!$A:$B,2,FALSE),"-")</f>
        <v>- / 何もしない</v>
      </c>
      <c r="M24" s="63" t="str">
        <f t="shared" si="5"/>
        <v>none</v>
      </c>
      <c r="N24" s="48" t="str">
        <f t="shared" si="47"/>
        <v>none</v>
      </c>
      <c r="O24" s="63" t="e">
        <f t="shared" si="6"/>
        <v>#VALUE!</v>
      </c>
      <c r="P24" s="63">
        <f t="shared" si="7"/>
        <v>4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40017024</v>
      </c>
      <c r="B25" s="47" t="s">
        <v>214</v>
      </c>
      <c r="C25" s="50">
        <v>3</v>
      </c>
      <c r="D25" s="50" t="s">
        <v>127</v>
      </c>
      <c r="E25" s="51" t="s">
        <v>217</v>
      </c>
      <c r="F25" s="51" t="s">
        <v>215</v>
      </c>
      <c r="G25" s="63" t="str">
        <f t="shared" si="0"/>
        <v>[effect:nothing]</v>
      </c>
      <c r="H25" s="63">
        <f t="shared" si="1"/>
        <v>9</v>
      </c>
      <c r="I25" s="63">
        <f t="shared" si="2"/>
        <v>16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何もしない</v>
      </c>
      <c r="M25" s="63" t="str">
        <f t="shared" si="5"/>
        <v>none</v>
      </c>
      <c r="N25" s="48" t="str">
        <f t="shared" si="47"/>
        <v>none</v>
      </c>
      <c r="O25" s="63" t="e">
        <f t="shared" si="6"/>
        <v>#VALUE!</v>
      </c>
      <c r="P25" s="63">
        <f t="shared" si="7"/>
        <v>4</v>
      </c>
      <c r="Q25" s="63" t="e">
        <f t="shared" si="8"/>
        <v>#VALUE!</v>
      </c>
      <c r="R25" s="63" t="e">
        <f t="shared" si="9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40017025</v>
      </c>
      <c r="B26" s="47" t="s">
        <v>214</v>
      </c>
      <c r="C26" s="50">
        <v>3</v>
      </c>
      <c r="D26" s="50" t="s">
        <v>127</v>
      </c>
      <c r="E26" s="51" t="s">
        <v>217</v>
      </c>
      <c r="F26" s="51" t="s">
        <v>215</v>
      </c>
      <c r="G26" s="63" t="str">
        <f t="shared" si="0"/>
        <v>[effect:nothing]</v>
      </c>
      <c r="H26" s="63">
        <f t="shared" si="1"/>
        <v>9</v>
      </c>
      <c r="I26" s="63">
        <f t="shared" si="2"/>
        <v>16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何もしない</v>
      </c>
      <c r="M26" s="63" t="str">
        <f t="shared" si="5"/>
        <v>none</v>
      </c>
      <c r="N26" s="48" t="str">
        <f t="shared" si="47"/>
        <v>none</v>
      </c>
      <c r="O26" s="63" t="e">
        <f t="shared" si="6"/>
        <v>#VALUE!</v>
      </c>
      <c r="P26" s="63">
        <f t="shared" si="7"/>
        <v>4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40017026</v>
      </c>
      <c r="B27" s="47" t="s">
        <v>427</v>
      </c>
      <c r="C27" s="50">
        <v>3</v>
      </c>
      <c r="D27" s="50" t="s">
        <v>127</v>
      </c>
      <c r="E27" s="51" t="s">
        <v>451</v>
      </c>
      <c r="F27" s="51" t="s">
        <v>452</v>
      </c>
      <c r="G27" s="63" t="str">
        <f t="shared" si="0"/>
        <v>[effect:tolerance, target:myself, turn:-1, tolerance_effect:hungup, count:-1, animation:enemy_tolerance]</v>
      </c>
      <c r="H27" s="63">
        <f t="shared" si="1"/>
        <v>9</v>
      </c>
      <c r="I27" s="63">
        <f t="shared" si="2"/>
        <v>18</v>
      </c>
      <c r="J27" s="63">
        <f t="shared" si="3"/>
        <v>27</v>
      </c>
      <c r="K27" s="63">
        <f t="shared" si="4"/>
        <v>33</v>
      </c>
      <c r="L27" s="63" t="str">
        <f>IFERROR(VLOOKUP(MID(G27,J27,K27-J27),[6]skilldef!$C:$D,2,FALSE),"-") &amp; " / " &amp; IFERROR(VLOOKUP(MID(G27,H27,I27-H27),[6]skilldef!$A:$B,2,FALSE),"-")</f>
        <v>自分自身に / 状態異常耐性</v>
      </c>
      <c r="M27" s="63" t="str">
        <f t="shared" si="5"/>
        <v>none</v>
      </c>
      <c r="N27" s="48" t="str">
        <f t="shared" si="47"/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40017027</v>
      </c>
      <c r="B28" s="47" t="s">
        <v>235</v>
      </c>
      <c r="C28" s="50">
        <v>3</v>
      </c>
      <c r="D28" s="50" t="s">
        <v>127</v>
      </c>
      <c r="E28" s="51" t="s">
        <v>283</v>
      </c>
      <c r="F28" s="51" t="s">
        <v>236</v>
      </c>
      <c r="G28" s="63" t="str">
        <f t="shared" si="0"/>
        <v>[effect:critical, val:1.4]</v>
      </c>
      <c r="H28" s="63">
        <f t="shared" si="1"/>
        <v>9</v>
      </c>
      <c r="I28" s="63">
        <f t="shared" si="2"/>
        <v>17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IFERROR(VLOOKUP(MID(G28,J28,K28-J28),[6]skilldef!$C:$D,2,FALSE),"-") &amp; " / " &amp; IFERROR(VLOOKUP(MID(G28,H28,I28-H28),[6]skilldef!$A:$B,2,FALSE),"-")</f>
        <v>- / 大攻撃</v>
      </c>
      <c r="M28" s="63" t="str">
        <f t="shared" si="5"/>
        <v>none</v>
      </c>
      <c r="N28" s="48" t="str">
        <f t="shared" si="47"/>
        <v>none</v>
      </c>
      <c r="O28" s="63" t="e">
        <f t="shared" si="6"/>
        <v>#VALUE!</v>
      </c>
      <c r="P28" s="63">
        <f t="shared" si="7"/>
        <v>4</v>
      </c>
      <c r="Q28" s="63" t="e">
        <f t="shared" si="8"/>
        <v>#VALUE!</v>
      </c>
      <c r="R28" s="63" t="e">
        <f t="shared" si="9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40017028</v>
      </c>
      <c r="B29" s="47" t="s">
        <v>535</v>
      </c>
      <c r="C29" s="50">
        <v>3</v>
      </c>
      <c r="D29" s="107" t="s">
        <v>127</v>
      </c>
      <c r="E29" s="51" t="s">
        <v>302</v>
      </c>
      <c r="F29" s="51" t="s">
        <v>424</v>
      </c>
      <c r="G29" s="63" t="str">
        <f t="shared" si="0"/>
        <v>[effect:degrade_fever, val:1000, animation:fevergauge_down]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>
        <f t="shared" si="4"/>
        <v>32</v>
      </c>
      <c r="L29" s="63" t="str">
        <f>IFERROR(VLOOKUP(MID(G29,J29,K29-J29),[6]skilldef!$C:$D,2,FALSE),"-") &amp; " / " &amp; IFERROR(VLOOKUP(MID(G29,H29,I29-H29),[6]skilldef!$A:$B,2,FALSE),"-")</f>
        <v>- / フィーバーゲージ減少</v>
      </c>
      <c r="M29" s="63" t="str">
        <f t="shared" si="5"/>
        <v>[effect:spread, val:0.2]</v>
      </c>
      <c r="N29" s="48" t="str">
        <f t="shared" si="47"/>
        <v>[effect:spread, val:0.2]</v>
      </c>
      <c r="O29" s="63">
        <f t="shared" si="6"/>
        <v>9</v>
      </c>
      <c r="P29" s="63">
        <f t="shared" si="7"/>
        <v>15</v>
      </c>
      <c r="Q29" s="63" t="e">
        <f t="shared" si="8"/>
        <v>#VALUE!</v>
      </c>
      <c r="R29" s="63" t="e">
        <f t="shared" si="9"/>
        <v>#VALUE!</v>
      </c>
      <c r="S29" s="63" t="str">
        <f>IFERROR(VLOOKUP(MID(N29,Q29,R29-Q29),[6]skilldef!$C:$D,2,FALSE),"-") &amp; " / " &amp; IFERROR(VLOOKUP(MID(N29,O29,P29-O29),[6]skilldef!$A:$B,2,FALSE),"-")</f>
        <v>- / 全体攻撃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40017029</v>
      </c>
      <c r="B30" s="47" t="s">
        <v>241</v>
      </c>
      <c r="C30" s="50">
        <v>3</v>
      </c>
      <c r="D30" s="107" t="s">
        <v>127</v>
      </c>
      <c r="E30" s="51" t="s">
        <v>453</v>
      </c>
      <c r="F30" s="51" t="s">
        <v>454</v>
      </c>
      <c r="G30" s="63" t="str">
        <f t="shared" si="0"/>
        <v>[effect:spread, val:0.3]</v>
      </c>
      <c r="H30" s="63">
        <f t="shared" si="1"/>
        <v>9</v>
      </c>
      <c r="I30" s="63">
        <f t="shared" si="2"/>
        <v>15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全体攻撃</v>
      </c>
      <c r="M30" s="63" t="str">
        <f t="shared" si="5"/>
        <v>[effect:remove_enhancement, target:unit_all, target_effect:all, target_type:buff, count:-1, animation:frozen_wave]</v>
      </c>
      <c r="N30" s="48" t="str">
        <f t="shared" si="47"/>
        <v>[effect:remove_enhancement, target:unit_all, target_effect:all, target_type:buff, count:-1, animation:frozen_wave]</v>
      </c>
      <c r="O30" s="63">
        <f t="shared" si="6"/>
        <v>9</v>
      </c>
      <c r="P30" s="63">
        <f t="shared" si="7"/>
        <v>27</v>
      </c>
      <c r="Q30" s="63">
        <f t="shared" si="8"/>
        <v>36</v>
      </c>
      <c r="R30" s="63">
        <f t="shared" si="9"/>
        <v>44</v>
      </c>
      <c r="S30" s="63" t="str">
        <f>IFERROR(VLOOKUP(MID(N30,Q30,R30-Q30),[6]skilldef!$C:$D,2,FALSE),"-") &amp; " / " &amp; IFERROR(VLOOKUP(MID(N30,O30,P30-O30),[6]skilldef!$A:$B,2,FALSE),"-")</f>
        <v>味方全体に / -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40017030</v>
      </c>
      <c r="B31" s="47" t="s">
        <v>237</v>
      </c>
      <c r="C31" s="50">
        <v>3</v>
      </c>
      <c r="D31" s="107" t="s">
        <v>127</v>
      </c>
      <c r="E31" s="51" t="s">
        <v>239</v>
      </c>
      <c r="F31" s="51" t="s">
        <v>238</v>
      </c>
      <c r="G31" s="63" t="str">
        <f t="shared" si="0"/>
        <v>[effect:spread, val:0.3]</v>
      </c>
      <c r="H31" s="63">
        <f t="shared" si="1"/>
        <v>9</v>
      </c>
      <c r="I31" s="63">
        <f t="shared" si="2"/>
        <v>15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IFERROR(VLOOKUP(MID(G31,J31,K31-J31),[6]skilldef!$C:$D,2,FALSE),"-") &amp; " / " &amp; IFERROR(VLOOKUP(MID(G31,H31,I31-H31),[6]skilldef!$A:$B,2,FALSE),"-")</f>
        <v>- / 全体攻撃</v>
      </c>
      <c r="M31" s="63" t="str">
        <f t="shared" si="5"/>
        <v>[effect:crash_growth, count:-1, val:-100, animation:change_block]</v>
      </c>
      <c r="N31" s="48" t="str">
        <f t="shared" si="47"/>
        <v>[effect:crash_growth, count:-1, val:-100, animation:change_block]</v>
      </c>
      <c r="O31" s="63">
        <f t="shared" si="6"/>
        <v>9</v>
      </c>
      <c r="P31" s="63">
        <f t="shared" si="7"/>
        <v>21</v>
      </c>
      <c r="Q31" s="63" t="e">
        <f t="shared" si="8"/>
        <v>#VALUE!</v>
      </c>
      <c r="R31" s="63">
        <f t="shared" si="9"/>
        <v>31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40017031</v>
      </c>
      <c r="B32" s="47" t="s">
        <v>520</v>
      </c>
      <c r="C32" s="50">
        <v>3</v>
      </c>
      <c r="D32" s="107" t="s">
        <v>127</v>
      </c>
      <c r="E32" s="51" t="s">
        <v>281</v>
      </c>
      <c r="F32" s="51" t="s">
        <v>455</v>
      </c>
      <c r="G32" s="63" t="str">
        <f t="shared" si="0"/>
        <v>[effect:change_block, new_block:block_green, target:block_red, count:0, val:0, min_time_count:0, max_time_count:0, animation:change_block]</v>
      </c>
      <c r="H32" s="63">
        <f t="shared" si="1"/>
        <v>9</v>
      </c>
      <c r="I32" s="63">
        <f t="shared" si="2"/>
        <v>21</v>
      </c>
      <c r="J32" s="63">
        <f t="shared" si="3"/>
        <v>53</v>
      </c>
      <c r="K32" s="63">
        <f t="shared" si="4"/>
        <v>44</v>
      </c>
      <c r="L32" s="63" t="str">
        <f>IFERROR(VLOOKUP(MID(G32,J32,K32-J32),[6]skilldef!$C:$D,2,FALSE),"-") &amp; " / " &amp; IFERROR(VLOOKUP(MID(G32,H32,I32-H32),[6]skilldef!$A:$B,2,FALSE),"-")</f>
        <v>- / ブロック変換</v>
      </c>
      <c r="M32" s="63" t="str">
        <f t="shared" si="5"/>
        <v>[effect:spread, val:0.2]</v>
      </c>
      <c r="N32" s="48" t="str">
        <f t="shared" ref="N32:N37" si="48">IFERROR(LEFT(M32,FIND("],",M32)+S47),M32)</f>
        <v>[effect:spread, val:0.2]</v>
      </c>
      <c r="O32" s="63">
        <f t="shared" si="6"/>
        <v>9</v>
      </c>
      <c r="P32" s="63">
        <f t="shared" si="7"/>
        <v>15</v>
      </c>
      <c r="Q32" s="63" t="e">
        <f t="shared" si="8"/>
        <v>#VALUE!</v>
      </c>
      <c r="R32" s="63" t="e">
        <f t="shared" si="9"/>
        <v>#VALUE!</v>
      </c>
      <c r="S32" s="63" t="str">
        <f>IFERROR(VLOOKUP(MID(N32,Q32,R32-Q32),[6]skilldef!$C:$D,2,FALSE),"-") &amp; " / " &amp; IFERROR(VLOOKUP(MID(N32,O32,P32-O32),[6]skilldef!$A:$B,2,FALSE),"-")</f>
        <v>- / 全体攻撃</v>
      </c>
      <c r="T32" s="48" t="str">
        <f t="shared" si="10"/>
        <v>none</v>
      </c>
      <c r="U32" s="63" t="e">
        <f t="shared" si="11"/>
        <v>#VALUE!</v>
      </c>
      <c r="V32" s="63">
        <f t="shared" si="12"/>
        <v>4</v>
      </c>
      <c r="W32" s="63" t="e">
        <f t="shared" si="13"/>
        <v>#VALUE!</v>
      </c>
      <c r="X32" s="63" t="e">
        <f t="shared" si="14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40017032</v>
      </c>
      <c r="B33" s="47" t="s">
        <v>309</v>
      </c>
      <c r="C33" s="50">
        <v>3</v>
      </c>
      <c r="D33" s="107" t="s">
        <v>127</v>
      </c>
      <c r="E33" s="51" t="s">
        <v>282</v>
      </c>
      <c r="F33" s="51" t="s">
        <v>456</v>
      </c>
      <c r="G33" s="63" t="str">
        <f t="shared" ref="G33:G57" si="49">IFERROR(LEFT(B33,FIND("],",B33)),B33)</f>
        <v>[effect:break_attack, val:0.17, lowest_val:3500, count:-1, block:block_green, target:unit_one]</v>
      </c>
      <c r="H33" s="63">
        <f t="shared" si="1"/>
        <v>9</v>
      </c>
      <c r="I33" s="63">
        <f t="shared" ref="I33:I57" si="50">IFERROR(FIND(",",G33),LEN(G33))</f>
        <v>21</v>
      </c>
      <c r="J33" s="63">
        <f t="shared" ref="J33:J57" si="51">FIND("target:",G33)+7</f>
        <v>86</v>
      </c>
      <c r="K33" s="63">
        <f t="shared" ref="K33:K57" si="52">FIND(",",G33,I33+1)</f>
        <v>31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ref="M33:M57" si="53">IFERROR(RIGHT(B33,LEN(B33)-FIND("],",B33)-1),"none")</f>
        <v>none</v>
      </c>
      <c r="N33" s="48" t="str">
        <f t="shared" si="48"/>
        <v>none</v>
      </c>
      <c r="O33" s="63" t="e">
        <f t="shared" si="6"/>
        <v>#VALUE!</v>
      </c>
      <c r="P33" s="63">
        <f t="shared" ref="P33:P57" si="54">IFERROR(FIND(",",N33),LEN(N33))</f>
        <v>4</v>
      </c>
      <c r="Q33" s="63" t="e">
        <f t="shared" ref="Q33:Q57" si="55">FIND("target:",N33)+7</f>
        <v>#VALUE!</v>
      </c>
      <c r="R33" s="63" t="e">
        <f t="shared" ref="R33:R57" si="56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:T57" si="57">IFERROR(RIGHT(M33,LEN(M33)-FIND("],",M33)-1),"none")</f>
        <v>none</v>
      </c>
      <c r="U33" s="63" t="e">
        <f t="shared" si="11"/>
        <v>#VALUE!</v>
      </c>
      <c r="V33" s="63">
        <f t="shared" ref="V33:V57" si="58">IFERROR(FIND(",",T33),LEN(T33))</f>
        <v>4</v>
      </c>
      <c r="W33" s="63" t="e">
        <f t="shared" ref="W33:W57" si="59">FIND("target:",T33)+7</f>
        <v>#VALUE!</v>
      </c>
      <c r="X33" s="63" t="e">
        <f t="shared" ref="X33:X57" si="60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40017033</v>
      </c>
      <c r="B34" s="47" t="s">
        <v>310</v>
      </c>
      <c r="C34" s="50">
        <v>3</v>
      </c>
      <c r="D34" s="50" t="s">
        <v>127</v>
      </c>
      <c r="E34" s="51" t="s">
        <v>284</v>
      </c>
      <c r="F34" s="51" t="s">
        <v>240</v>
      </c>
      <c r="G34" s="63" t="str">
        <f t="shared" si="49"/>
        <v>[effect:virus, turn:5, target:unit_all, rate:1, val:0.1, animation:enemy_virus]</v>
      </c>
      <c r="H34" s="63">
        <f t="shared" si="1"/>
        <v>9</v>
      </c>
      <c r="I34" s="63">
        <f t="shared" si="50"/>
        <v>14</v>
      </c>
      <c r="J34" s="63">
        <f t="shared" si="51"/>
        <v>31</v>
      </c>
      <c r="K34" s="63">
        <f t="shared" si="52"/>
        <v>22</v>
      </c>
      <c r="L34" s="63" t="str">
        <f>IFERROR(VLOOKUP(MID(G34,J34,K34-J34),[6]skilldef!$C:$D,2,FALSE),"-") &amp; " / " &amp; IFERROR(VLOOKUP(MID(G34,H34,I34-H34),[6]skilldef!$A:$B,2,FALSE),"-")</f>
        <v>- / ウィルス</v>
      </c>
      <c r="M34" s="63" t="str">
        <f t="shared" si="53"/>
        <v>none</v>
      </c>
      <c r="N34" s="48" t="str">
        <f t="shared" si="48"/>
        <v>none</v>
      </c>
      <c r="O34" s="63" t="e">
        <f t="shared" si="6"/>
        <v>#VALUE!</v>
      </c>
      <c r="P34" s="63">
        <f t="shared" si="54"/>
        <v>4</v>
      </c>
      <c r="Q34" s="63" t="e">
        <f t="shared" si="55"/>
        <v>#VALUE!</v>
      </c>
      <c r="R34" s="63" t="e">
        <f t="shared" si="56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57"/>
        <v>none</v>
      </c>
      <c r="U34" s="63" t="e">
        <f t="shared" si="11"/>
        <v>#VALUE!</v>
      </c>
      <c r="V34" s="63">
        <f t="shared" si="58"/>
        <v>4</v>
      </c>
      <c r="W34" s="63" t="e">
        <f t="shared" si="59"/>
        <v>#VALUE!</v>
      </c>
      <c r="X34" s="63" t="e">
        <f t="shared" si="60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40017034</v>
      </c>
      <c r="B35" s="47" t="s">
        <v>214</v>
      </c>
      <c r="C35" s="50">
        <v>3</v>
      </c>
      <c r="D35" s="50" t="s">
        <v>127</v>
      </c>
      <c r="E35" s="51" t="s">
        <v>218</v>
      </c>
      <c r="F35" s="51" t="s">
        <v>215</v>
      </c>
      <c r="G35" s="63" t="str">
        <f t="shared" si="49"/>
        <v>[effect:nothing]</v>
      </c>
      <c r="H35" s="63">
        <f t="shared" si="1"/>
        <v>9</v>
      </c>
      <c r="I35" s="63">
        <f t="shared" si="50"/>
        <v>16</v>
      </c>
      <c r="J35" s="63" t="e">
        <f t="shared" si="51"/>
        <v>#VALUE!</v>
      </c>
      <c r="K35" s="63" t="e">
        <f t="shared" si="52"/>
        <v>#VALUE!</v>
      </c>
      <c r="L35" s="63" t="str">
        <f>IFERROR(VLOOKUP(MID(G35,J35,K35-J35),[6]skilldef!$C:$D,2,FALSE),"-") &amp; " / " &amp; IFERROR(VLOOKUP(MID(G35,H35,I35-H35),[6]skilldef!$A:$B,2,FALSE),"-")</f>
        <v>- / 何もしない</v>
      </c>
      <c r="M35" s="63" t="str">
        <f t="shared" si="53"/>
        <v>none</v>
      </c>
      <c r="N35" s="48" t="str">
        <f t="shared" si="48"/>
        <v>none</v>
      </c>
      <c r="O35" s="63" t="e">
        <f t="shared" si="6"/>
        <v>#VALUE!</v>
      </c>
      <c r="P35" s="63">
        <f t="shared" si="54"/>
        <v>4</v>
      </c>
      <c r="Q35" s="63" t="e">
        <f t="shared" si="55"/>
        <v>#VALUE!</v>
      </c>
      <c r="R35" s="63" t="e">
        <f t="shared" si="56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57"/>
        <v>none</v>
      </c>
      <c r="U35" s="63" t="e">
        <f t="shared" si="11"/>
        <v>#VALUE!</v>
      </c>
      <c r="V35" s="63">
        <f t="shared" si="58"/>
        <v>4</v>
      </c>
      <c r="W35" s="63" t="e">
        <f t="shared" si="59"/>
        <v>#VALUE!</v>
      </c>
      <c r="X35" s="63" t="e">
        <f t="shared" si="60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40017035</v>
      </c>
      <c r="B36" s="47" t="s">
        <v>214</v>
      </c>
      <c r="C36" s="50">
        <v>3</v>
      </c>
      <c r="D36" s="50" t="s">
        <v>127</v>
      </c>
      <c r="E36" s="51" t="s">
        <v>218</v>
      </c>
      <c r="F36" s="51" t="s">
        <v>215</v>
      </c>
      <c r="G36" s="63" t="str">
        <f t="shared" si="49"/>
        <v>[effect:nothing]</v>
      </c>
      <c r="H36" s="63">
        <f t="shared" si="1"/>
        <v>9</v>
      </c>
      <c r="I36" s="63">
        <f t="shared" si="50"/>
        <v>16</v>
      </c>
      <c r="J36" s="63" t="e">
        <f t="shared" si="51"/>
        <v>#VALUE!</v>
      </c>
      <c r="K36" s="63" t="e">
        <f t="shared" si="52"/>
        <v>#VALUE!</v>
      </c>
      <c r="L36" s="63" t="str">
        <f>IFERROR(VLOOKUP(MID(G36,J36,K36-J36),[6]skilldef!$C:$D,2,FALSE),"-") &amp; " / " &amp; IFERROR(VLOOKUP(MID(G36,H36,I36-H36),[6]skilldef!$A:$B,2,FALSE),"-")</f>
        <v>- / 何もしない</v>
      </c>
      <c r="M36" s="63" t="str">
        <f t="shared" si="53"/>
        <v>none</v>
      </c>
      <c r="N36" s="48" t="str">
        <f t="shared" si="48"/>
        <v>none</v>
      </c>
      <c r="O36" s="63" t="e">
        <f t="shared" si="6"/>
        <v>#VALUE!</v>
      </c>
      <c r="P36" s="63">
        <f t="shared" si="54"/>
        <v>4</v>
      </c>
      <c r="Q36" s="63" t="e">
        <f t="shared" si="55"/>
        <v>#VALUE!</v>
      </c>
      <c r="R36" s="63" t="e">
        <f t="shared" si="56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57"/>
        <v>none</v>
      </c>
      <c r="U36" s="63" t="e">
        <f t="shared" si="11"/>
        <v>#VALUE!</v>
      </c>
      <c r="V36" s="63">
        <f t="shared" si="58"/>
        <v>4</v>
      </c>
      <c r="W36" s="63" t="e">
        <f t="shared" si="59"/>
        <v>#VALUE!</v>
      </c>
      <c r="X36" s="63" t="e">
        <f t="shared" si="60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40017036</v>
      </c>
      <c r="B37" s="47" t="s">
        <v>429</v>
      </c>
      <c r="C37" s="50">
        <v>3</v>
      </c>
      <c r="D37" s="50" t="s">
        <v>127</v>
      </c>
      <c r="E37" s="51" t="s">
        <v>294</v>
      </c>
      <c r="F37" s="51" t="s">
        <v>457</v>
      </c>
      <c r="G37" s="63" t="str">
        <f t="shared" si="49"/>
        <v>[effect:tolerance, target:myself, turn:-1, tolerance_effect:hungup, count:-1, animation:enemy_tolerance]</v>
      </c>
      <c r="H37" s="63">
        <f t="shared" si="1"/>
        <v>9</v>
      </c>
      <c r="I37" s="63">
        <f t="shared" si="50"/>
        <v>18</v>
      </c>
      <c r="J37" s="63">
        <f t="shared" si="51"/>
        <v>27</v>
      </c>
      <c r="K37" s="63">
        <f t="shared" si="52"/>
        <v>33</v>
      </c>
      <c r="L37" s="63" t="str">
        <f>IFERROR(VLOOKUP(MID(G37,J37,K37-J37),[6]skilldef!$C:$D,2,FALSE),"-") &amp; " / " &amp; IFERROR(VLOOKUP(MID(G37,H37,I37-H37),[6]skilldef!$A:$B,2,FALSE),"-")</f>
        <v>自分自身に / 状態異常耐性</v>
      </c>
      <c r="M37" s="63" t="str">
        <f t="shared" si="53"/>
        <v>none</v>
      </c>
      <c r="N37" s="48" t="str">
        <f t="shared" si="48"/>
        <v>none</v>
      </c>
      <c r="O37" s="63" t="e">
        <f t="shared" si="6"/>
        <v>#VALUE!</v>
      </c>
      <c r="P37" s="63">
        <f t="shared" si="54"/>
        <v>4</v>
      </c>
      <c r="Q37" s="63" t="e">
        <f t="shared" si="55"/>
        <v>#VALUE!</v>
      </c>
      <c r="R37" s="63" t="e">
        <f t="shared" si="56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57"/>
        <v>none</v>
      </c>
      <c r="U37" s="63" t="e">
        <f t="shared" si="11"/>
        <v>#VALUE!</v>
      </c>
      <c r="V37" s="63">
        <f t="shared" si="58"/>
        <v>4</v>
      </c>
      <c r="W37" s="63" t="e">
        <f t="shared" si="59"/>
        <v>#VALUE!</v>
      </c>
      <c r="X37" s="63" t="e">
        <f t="shared" si="60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40017037</v>
      </c>
      <c r="B38" s="47" t="s">
        <v>431</v>
      </c>
      <c r="C38" s="50">
        <v>3</v>
      </c>
      <c r="D38" s="107" t="s">
        <v>127</v>
      </c>
      <c r="E38" s="51" t="s">
        <v>243</v>
      </c>
      <c r="F38" s="51" t="s">
        <v>459</v>
      </c>
      <c r="G38" s="63" t="str">
        <f t="shared" si="49"/>
        <v>[effect:spread, val:0.15]</v>
      </c>
      <c r="H38" s="63">
        <f t="shared" si="1"/>
        <v>9</v>
      </c>
      <c r="I38" s="63">
        <f t="shared" si="50"/>
        <v>15</v>
      </c>
      <c r="J38" s="63" t="e">
        <f t="shared" si="51"/>
        <v>#VALUE!</v>
      </c>
      <c r="K38" s="63" t="e">
        <f t="shared" si="52"/>
        <v>#VALUE!</v>
      </c>
      <c r="L38" s="63" t="str">
        <f>IFERROR(VLOOKUP(MID(G38,J38,K38-J38),[6]skilldef!$C:$D,2,FALSE),"-") &amp; " / " &amp; IFERROR(VLOOKUP(MID(G38,H38,I38-H38),[6]skilldef!$A:$B,2,FALSE),"-")</f>
        <v>- / 全体攻撃</v>
      </c>
      <c r="M38" s="63" t="str">
        <f t="shared" si="53"/>
        <v>[effect:panel_freeze, target:block_green, count:50]</v>
      </c>
      <c r="N38" s="48" t="str">
        <f>IFERROR(LEFT(M38,FIND("],",M38)+S54),M38)</f>
        <v>[effect:panel_freeze, target:block_green, count:50]</v>
      </c>
      <c r="O38" s="63">
        <f t="shared" si="6"/>
        <v>9</v>
      </c>
      <c r="P38" s="63">
        <f t="shared" si="54"/>
        <v>21</v>
      </c>
      <c r="Q38" s="63">
        <f t="shared" si="55"/>
        <v>30</v>
      </c>
      <c r="R38" s="63">
        <f t="shared" si="56"/>
        <v>41</v>
      </c>
      <c r="S38" s="63" t="str">
        <f>IFERROR(VLOOKUP(MID(N38,Q38,R38-Q38),[6]skilldef!$C:$D,2,FALSE),"-") &amp; " / " &amp; IFERROR(VLOOKUP(MID(N38,O38,P38-O38),[6]skilldef!$A:$B,2,FALSE),"-")</f>
        <v>緑パネルを / -</v>
      </c>
      <c r="T38" s="48" t="str">
        <f t="shared" si="57"/>
        <v>none</v>
      </c>
      <c r="U38" s="63" t="e">
        <f t="shared" si="11"/>
        <v>#VALUE!</v>
      </c>
      <c r="V38" s="63">
        <f t="shared" si="58"/>
        <v>4</v>
      </c>
      <c r="W38" s="63" t="e">
        <f t="shared" si="59"/>
        <v>#VALUE!</v>
      </c>
      <c r="X38" s="63" t="e">
        <f t="shared" si="60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40017038</v>
      </c>
      <c r="B39" s="47" t="s">
        <v>435</v>
      </c>
      <c r="C39" s="50">
        <v>3</v>
      </c>
      <c r="D39" s="50" t="s">
        <v>127</v>
      </c>
      <c r="E39" s="51" t="s">
        <v>244</v>
      </c>
      <c r="F39" s="51" t="s">
        <v>458</v>
      </c>
      <c r="G39" s="63" t="str">
        <f t="shared" si="49"/>
        <v>[effect:break_attack, val:0.02, lowest_val:1000, count:10, block:block_green, target:unit_all]</v>
      </c>
      <c r="H39" s="63">
        <f t="shared" si="1"/>
        <v>9</v>
      </c>
      <c r="I39" s="63">
        <f t="shared" si="50"/>
        <v>21</v>
      </c>
      <c r="J39" s="63">
        <f t="shared" si="51"/>
        <v>86</v>
      </c>
      <c r="K39" s="63">
        <f t="shared" si="52"/>
        <v>31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53"/>
        <v>none</v>
      </c>
      <c r="N39" s="48" t="str">
        <f t="shared" ref="N39:N46" si="61">IFERROR(LEFT(M39,FIND("],",M39)+S56),M39)</f>
        <v>none</v>
      </c>
      <c r="O39" s="63" t="e">
        <f t="shared" si="6"/>
        <v>#VALUE!</v>
      </c>
      <c r="P39" s="63">
        <f t="shared" si="54"/>
        <v>4</v>
      </c>
      <c r="Q39" s="63" t="e">
        <f t="shared" si="55"/>
        <v>#VALUE!</v>
      </c>
      <c r="R39" s="63" t="e">
        <f t="shared" si="56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57"/>
        <v>none</v>
      </c>
      <c r="U39" s="63" t="e">
        <f t="shared" si="11"/>
        <v>#VALUE!</v>
      </c>
      <c r="V39" s="63">
        <f t="shared" si="58"/>
        <v>4</v>
      </c>
      <c r="W39" s="63" t="e">
        <f t="shared" si="59"/>
        <v>#VALUE!</v>
      </c>
      <c r="X39" s="63" t="e">
        <f t="shared" si="60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40017039</v>
      </c>
      <c r="B40" s="47" t="s">
        <v>432</v>
      </c>
      <c r="C40" s="50">
        <v>3</v>
      </c>
      <c r="D40" s="50" t="s">
        <v>127</v>
      </c>
      <c r="E40" s="51" t="s">
        <v>243</v>
      </c>
      <c r="F40" s="51" t="s">
        <v>460</v>
      </c>
      <c r="G40" s="63" t="str">
        <f t="shared" si="49"/>
        <v>[effect:spread, val:0.15]</v>
      </c>
      <c r="H40" s="63">
        <f t="shared" si="1"/>
        <v>9</v>
      </c>
      <c r="I40" s="63">
        <f t="shared" si="50"/>
        <v>15</v>
      </c>
      <c r="J40" s="63" t="e">
        <f t="shared" si="51"/>
        <v>#VALUE!</v>
      </c>
      <c r="K40" s="63" t="e">
        <f t="shared" si="52"/>
        <v>#VALUE!</v>
      </c>
      <c r="L40" s="63" t="str">
        <f>IFERROR(VLOOKUP(MID(G40,J40,K40-J40),[6]skilldef!$C:$D,2,FALSE),"-") &amp; " / " &amp; IFERROR(VLOOKUP(MID(G40,H40,I40-H40),[6]skilldef!$A:$B,2,FALSE),"-")</f>
        <v>- / 全体攻撃</v>
      </c>
      <c r="M40" s="63" t="str">
        <f t="shared" si="53"/>
        <v>[effect:panel_freeze, target:block_yellow, count:50]</v>
      </c>
      <c r="N40" s="48" t="str">
        <f t="shared" si="61"/>
        <v>[effect:panel_freeze, target:block_yellow, count:50]</v>
      </c>
      <c r="O40" s="63">
        <f t="shared" si="6"/>
        <v>9</v>
      </c>
      <c r="P40" s="63">
        <f t="shared" si="54"/>
        <v>21</v>
      </c>
      <c r="Q40" s="63">
        <f t="shared" si="55"/>
        <v>30</v>
      </c>
      <c r="R40" s="63">
        <f t="shared" si="56"/>
        <v>42</v>
      </c>
      <c r="S40" s="63" t="str">
        <f>IFERROR(VLOOKUP(MID(N40,Q40,R40-Q40),[6]skilldef!$C:$D,2,FALSE),"-") &amp; " / " &amp; IFERROR(VLOOKUP(MID(N40,O40,P40-O40),[6]skilldef!$A:$B,2,FALSE),"-")</f>
        <v>黄色パネルを / -</v>
      </c>
      <c r="T40" s="48" t="str">
        <f t="shared" si="57"/>
        <v>none</v>
      </c>
      <c r="U40" s="63" t="e">
        <f t="shared" si="11"/>
        <v>#VALUE!</v>
      </c>
      <c r="V40" s="63">
        <f t="shared" si="58"/>
        <v>4</v>
      </c>
      <c r="W40" s="63" t="e">
        <f t="shared" si="59"/>
        <v>#VALUE!</v>
      </c>
      <c r="X40" s="63" t="e">
        <f t="shared" si="60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40017040</v>
      </c>
      <c r="B41" s="47" t="s">
        <v>436</v>
      </c>
      <c r="C41" s="50">
        <v>3</v>
      </c>
      <c r="D41" s="50" t="s">
        <v>127</v>
      </c>
      <c r="E41" s="51" t="s">
        <v>245</v>
      </c>
      <c r="F41" s="51" t="s">
        <v>461</v>
      </c>
      <c r="G41" s="63" t="str">
        <f t="shared" si="49"/>
        <v>[effect:break_attack, val:0.02, lowest_val:1000, count:10, block:block_yellow, target:unit_all]</v>
      </c>
      <c r="H41" s="63">
        <f t="shared" si="1"/>
        <v>9</v>
      </c>
      <c r="I41" s="63">
        <f t="shared" si="50"/>
        <v>21</v>
      </c>
      <c r="J41" s="63">
        <f t="shared" si="51"/>
        <v>87</v>
      </c>
      <c r="K41" s="63">
        <f t="shared" si="52"/>
        <v>31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53"/>
        <v>none</v>
      </c>
      <c r="N41" s="48" t="str">
        <f t="shared" si="61"/>
        <v>none</v>
      </c>
      <c r="O41" s="63" t="e">
        <f t="shared" si="6"/>
        <v>#VALUE!</v>
      </c>
      <c r="P41" s="63">
        <f t="shared" si="54"/>
        <v>4</v>
      </c>
      <c r="Q41" s="63" t="e">
        <f t="shared" si="55"/>
        <v>#VALUE!</v>
      </c>
      <c r="R41" s="63" t="e">
        <f t="shared" si="56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57"/>
        <v>none</v>
      </c>
      <c r="U41" s="63" t="e">
        <f t="shared" si="11"/>
        <v>#VALUE!</v>
      </c>
      <c r="V41" s="63">
        <f t="shared" si="58"/>
        <v>4</v>
      </c>
      <c r="W41" s="63" t="e">
        <f t="shared" si="59"/>
        <v>#VALUE!</v>
      </c>
      <c r="X41" s="63" t="e">
        <f t="shared" si="60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40017041</v>
      </c>
      <c r="B42" s="47" t="s">
        <v>433</v>
      </c>
      <c r="C42" s="50">
        <v>3</v>
      </c>
      <c r="D42" s="50" t="s">
        <v>127</v>
      </c>
      <c r="E42" s="51" t="s">
        <v>243</v>
      </c>
      <c r="F42" s="51" t="s">
        <v>462</v>
      </c>
      <c r="G42" s="63" t="str">
        <f t="shared" ref="G42:G46" si="62">IFERROR(LEFT(B42,FIND("],",B42)),B42)</f>
        <v>[effect:spread, val:0.15]</v>
      </c>
      <c r="H42" s="63">
        <f t="shared" si="1"/>
        <v>9</v>
      </c>
      <c r="I42" s="63">
        <f t="shared" ref="I42:I46" si="63">IFERROR(FIND(",",G42),LEN(G42))</f>
        <v>15</v>
      </c>
      <c r="J42" s="63" t="e">
        <f t="shared" ref="J42:J46" si="64">FIND("target:",G42)+7</f>
        <v>#VALUE!</v>
      </c>
      <c r="K42" s="63" t="e">
        <f t="shared" ref="K42:K46" si="65">FIND(",",G42,I42+1)</f>
        <v>#VALUE!</v>
      </c>
      <c r="L42" s="63" t="str">
        <f>IFERROR(VLOOKUP(MID(G42,J42,K42-J42),[6]skilldef!$C:$D,2,FALSE),"-") &amp; " / " &amp; IFERROR(VLOOKUP(MID(G42,H42,I42-H42),[6]skilldef!$A:$B,2,FALSE),"-")</f>
        <v>- / 全体攻撃</v>
      </c>
      <c r="M42" s="63" t="str">
        <f t="shared" ref="M42:M46" si="66">IFERROR(RIGHT(B42,LEN(B42)-FIND("],",B42)-1),"none")</f>
        <v>[effect:panel_freeze, target:block_red, count:50]</v>
      </c>
      <c r="N42" s="48" t="str">
        <f t="shared" si="61"/>
        <v>[effect:panel_freeze, target:block_red, count:50]</v>
      </c>
      <c r="O42" s="63">
        <f t="shared" si="6"/>
        <v>9</v>
      </c>
      <c r="P42" s="63">
        <f t="shared" ref="P42:P46" si="67">IFERROR(FIND(",",N42),LEN(N42))</f>
        <v>21</v>
      </c>
      <c r="Q42" s="63">
        <f t="shared" ref="Q42:Q46" si="68">FIND("target:",N42)+7</f>
        <v>30</v>
      </c>
      <c r="R42" s="63">
        <f t="shared" ref="R42:R46" si="69">FIND(",",N42,P42+1)</f>
        <v>39</v>
      </c>
      <c r="S42" s="63" t="str">
        <f>IFERROR(VLOOKUP(MID(N42,Q42,R42-Q42),[6]skilldef!$C:$D,2,FALSE),"-") &amp; " / " &amp; IFERROR(VLOOKUP(MID(N42,O42,P42-O42),[6]skilldef!$A:$B,2,FALSE),"-")</f>
        <v>赤パネルを / -</v>
      </c>
      <c r="T42" s="48" t="str">
        <f t="shared" ref="T42:T46" si="70">IFERROR(RIGHT(M42,LEN(M42)-FIND("],",M42)-1),"none")</f>
        <v>none</v>
      </c>
      <c r="U42" s="63" t="e">
        <f t="shared" si="11"/>
        <v>#VALUE!</v>
      </c>
      <c r="V42" s="63">
        <f t="shared" ref="V42:V46" si="71">IFERROR(FIND(",",T42),LEN(T42))</f>
        <v>4</v>
      </c>
      <c r="W42" s="63" t="e">
        <f t="shared" ref="W42:W46" si="72">FIND("target:",T42)+7</f>
        <v>#VALUE!</v>
      </c>
      <c r="X42" s="63" t="e">
        <f t="shared" ref="X42:X46" si="73">FIND(",",T42,V42+1)</f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40017042</v>
      </c>
      <c r="B43" s="47" t="s">
        <v>437</v>
      </c>
      <c r="C43" s="50">
        <v>3</v>
      </c>
      <c r="D43" s="50" t="s">
        <v>127</v>
      </c>
      <c r="E43" s="51" t="s">
        <v>246</v>
      </c>
      <c r="F43" s="51" t="s">
        <v>463</v>
      </c>
      <c r="G43" s="63" t="str">
        <f t="shared" si="62"/>
        <v>[effect:break_attack, val:0.02, lowest_val:1000, count:-1, block:block_red, target:unit_all]</v>
      </c>
      <c r="H43" s="63">
        <f t="shared" si="1"/>
        <v>9</v>
      </c>
      <c r="I43" s="63">
        <f t="shared" si="63"/>
        <v>21</v>
      </c>
      <c r="J43" s="63">
        <f t="shared" si="64"/>
        <v>84</v>
      </c>
      <c r="K43" s="63">
        <f t="shared" si="65"/>
        <v>31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66"/>
        <v>none</v>
      </c>
      <c r="N43" s="48" t="str">
        <f t="shared" si="61"/>
        <v>none</v>
      </c>
      <c r="O43" s="63" t="e">
        <f t="shared" si="6"/>
        <v>#VALUE!</v>
      </c>
      <c r="P43" s="63">
        <f t="shared" si="67"/>
        <v>4</v>
      </c>
      <c r="Q43" s="63" t="e">
        <f t="shared" si="68"/>
        <v>#VALUE!</v>
      </c>
      <c r="R43" s="63" t="e">
        <f t="shared" si="69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70"/>
        <v>none</v>
      </c>
      <c r="U43" s="63" t="e">
        <f t="shared" si="11"/>
        <v>#VALUE!</v>
      </c>
      <c r="V43" s="63">
        <f t="shared" si="71"/>
        <v>4</v>
      </c>
      <c r="W43" s="63" t="e">
        <f t="shared" si="72"/>
        <v>#VALUE!</v>
      </c>
      <c r="X43" s="63" t="e">
        <f t="shared" si="73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40017043</v>
      </c>
      <c r="B44" s="47" t="s">
        <v>434</v>
      </c>
      <c r="C44" s="50">
        <v>3</v>
      </c>
      <c r="D44" s="50" t="s">
        <v>127</v>
      </c>
      <c r="E44" s="51" t="s">
        <v>243</v>
      </c>
      <c r="F44" s="51" t="s">
        <v>464</v>
      </c>
      <c r="G44" s="63" t="str">
        <f t="shared" si="62"/>
        <v>[effect:spread, val:0.15]</v>
      </c>
      <c r="H44" s="63">
        <f t="shared" si="1"/>
        <v>9</v>
      </c>
      <c r="I44" s="63">
        <f t="shared" si="63"/>
        <v>15</v>
      </c>
      <c r="J44" s="63" t="e">
        <f t="shared" si="64"/>
        <v>#VALUE!</v>
      </c>
      <c r="K44" s="63" t="e">
        <f t="shared" si="65"/>
        <v>#VALUE!</v>
      </c>
      <c r="L44" s="63" t="str">
        <f>IFERROR(VLOOKUP(MID(G44,J44,K44-J44),[6]skilldef!$C:$D,2,FALSE),"-") &amp; " / " &amp; IFERROR(VLOOKUP(MID(G44,H44,I44-H44),[6]skilldef!$A:$B,2,FALSE),"-")</f>
        <v>- / 全体攻撃</v>
      </c>
      <c r="M44" s="63" t="str">
        <f t="shared" si="66"/>
        <v>[effect:panel_freeze, target:block_blue, count:50]</v>
      </c>
      <c r="N44" s="48" t="str">
        <f t="shared" si="61"/>
        <v>[effect:panel_freeze, target:block_blue, count:50]</v>
      </c>
      <c r="O44" s="63">
        <f t="shared" si="6"/>
        <v>9</v>
      </c>
      <c r="P44" s="63">
        <f t="shared" si="67"/>
        <v>21</v>
      </c>
      <c r="Q44" s="63">
        <f t="shared" si="68"/>
        <v>30</v>
      </c>
      <c r="R44" s="63">
        <f t="shared" si="69"/>
        <v>40</v>
      </c>
      <c r="S44" s="63" t="str">
        <f>IFERROR(VLOOKUP(MID(N44,Q44,R44-Q44),[6]skilldef!$C:$D,2,FALSE),"-") &amp; " / " &amp; IFERROR(VLOOKUP(MID(N44,O44,P44-O44),[6]skilldef!$A:$B,2,FALSE),"-")</f>
        <v>青パネルを / -</v>
      </c>
      <c r="T44" s="48" t="str">
        <f t="shared" si="70"/>
        <v>none</v>
      </c>
      <c r="U44" s="63" t="e">
        <f t="shared" si="11"/>
        <v>#VALUE!</v>
      </c>
      <c r="V44" s="63">
        <f t="shared" si="71"/>
        <v>4</v>
      </c>
      <c r="W44" s="63" t="e">
        <f t="shared" si="72"/>
        <v>#VALUE!</v>
      </c>
      <c r="X44" s="63" t="e">
        <f t="shared" si="73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40017044</v>
      </c>
      <c r="B45" s="47" t="s">
        <v>438</v>
      </c>
      <c r="C45" s="50">
        <v>3</v>
      </c>
      <c r="D45" s="50" t="s">
        <v>127</v>
      </c>
      <c r="E45" s="51" t="s">
        <v>247</v>
      </c>
      <c r="F45" s="51" t="s">
        <v>465</v>
      </c>
      <c r="G45" s="63" t="str">
        <f t="shared" si="62"/>
        <v>[effect:break_attack, val:0.02, lowest_val:1000, count:-1, block:block_blue, target:unit_all]</v>
      </c>
      <c r="H45" s="63">
        <f t="shared" si="1"/>
        <v>9</v>
      </c>
      <c r="I45" s="63">
        <f t="shared" si="63"/>
        <v>21</v>
      </c>
      <c r="J45" s="63">
        <f t="shared" si="64"/>
        <v>85</v>
      </c>
      <c r="K45" s="63">
        <f t="shared" si="65"/>
        <v>31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66"/>
        <v>none</v>
      </c>
      <c r="N45" s="48" t="str">
        <f t="shared" si="61"/>
        <v>none</v>
      </c>
      <c r="O45" s="63" t="e">
        <f t="shared" si="6"/>
        <v>#VALUE!</v>
      </c>
      <c r="P45" s="63">
        <f t="shared" si="67"/>
        <v>4</v>
      </c>
      <c r="Q45" s="63" t="e">
        <f t="shared" si="68"/>
        <v>#VALUE!</v>
      </c>
      <c r="R45" s="63" t="e">
        <f t="shared" si="69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70"/>
        <v>none</v>
      </c>
      <c r="U45" s="63" t="e">
        <f t="shared" si="11"/>
        <v>#VALUE!</v>
      </c>
      <c r="V45" s="63">
        <f t="shared" si="71"/>
        <v>4</v>
      </c>
      <c r="W45" s="63" t="e">
        <f t="shared" si="72"/>
        <v>#VALUE!</v>
      </c>
      <c r="X45" s="63" t="e">
        <f t="shared" si="73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40017045</v>
      </c>
      <c r="B46" s="47" t="s">
        <v>440</v>
      </c>
      <c r="C46" s="50">
        <v>3</v>
      </c>
      <c r="D46" s="50" t="s">
        <v>127</v>
      </c>
      <c r="E46" s="51" t="s">
        <v>242</v>
      </c>
      <c r="F46" s="51" t="s">
        <v>466</v>
      </c>
      <c r="G46" s="63" t="str">
        <f t="shared" si="62"/>
        <v>[effect:critical, val:0.75]</v>
      </c>
      <c r="H46" s="63">
        <f t="shared" si="1"/>
        <v>9</v>
      </c>
      <c r="I46" s="63">
        <f t="shared" si="63"/>
        <v>17</v>
      </c>
      <c r="J46" s="63" t="e">
        <f t="shared" si="64"/>
        <v>#VALUE!</v>
      </c>
      <c r="K46" s="63" t="e">
        <f t="shared" si="65"/>
        <v>#VALUE!</v>
      </c>
      <c r="L46" s="63" t="str">
        <f>IFERROR(VLOOKUP(MID(G46,J46,K46-J46),[6]skilldef!$C:$D,2,FALSE),"-") &amp; " / " &amp; IFERROR(VLOOKUP(MID(G46,H46,I46-H46),[6]skilldef!$A:$B,2,FALSE),"-")</f>
        <v>- / 大攻撃</v>
      </c>
      <c r="M46" s="63" t="str">
        <f t="shared" si="66"/>
        <v>[effect:hungup, target:unit_one, turn:1, rate:1, animation:hungup01]</v>
      </c>
      <c r="N46" s="48" t="str">
        <f t="shared" si="61"/>
        <v>[effect:hungup, target:unit_one, turn:1, rate:1, animation:hungup01]</v>
      </c>
      <c r="O46" s="63">
        <f t="shared" si="6"/>
        <v>9</v>
      </c>
      <c r="P46" s="63">
        <f t="shared" si="67"/>
        <v>15</v>
      </c>
      <c r="Q46" s="63">
        <f t="shared" si="68"/>
        <v>24</v>
      </c>
      <c r="R46" s="63">
        <f t="shared" si="69"/>
        <v>32</v>
      </c>
      <c r="S46" s="63" t="str">
        <f>IFERROR(VLOOKUP(MID(N46,Q46,R46-Q46),[6]skilldef!$C:$D,2,FALSE),"-") &amp; " / " &amp; IFERROR(VLOOKUP(MID(N46,O46,P46-O46),[6]skilldef!$A:$B,2,FALSE),"-")</f>
        <v>味方単体に / ハングアップ</v>
      </c>
      <c r="T46" s="48" t="str">
        <f t="shared" si="70"/>
        <v>none</v>
      </c>
      <c r="U46" s="63" t="e">
        <f t="shared" si="11"/>
        <v>#VALUE!</v>
      </c>
      <c r="V46" s="63">
        <f t="shared" si="71"/>
        <v>4</v>
      </c>
      <c r="W46" s="63" t="e">
        <f t="shared" si="72"/>
        <v>#VALUE!</v>
      </c>
      <c r="X46" s="63" t="e">
        <f t="shared" si="73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40017046</v>
      </c>
      <c r="B47" s="47" t="s">
        <v>439</v>
      </c>
      <c r="C47" s="50">
        <v>3</v>
      </c>
      <c r="D47" s="50" t="s">
        <v>127</v>
      </c>
      <c r="E47" s="51" t="s">
        <v>285</v>
      </c>
      <c r="F47" s="51" t="s">
        <v>466</v>
      </c>
      <c r="G47" s="63" t="str">
        <f t="shared" si="49"/>
        <v>[effect:critical, val:0.75]</v>
      </c>
      <c r="H47" s="63">
        <f t="shared" si="1"/>
        <v>9</v>
      </c>
      <c r="I47" s="63">
        <f t="shared" si="50"/>
        <v>17</v>
      </c>
      <c r="J47" s="63" t="e">
        <f t="shared" si="51"/>
        <v>#VALUE!</v>
      </c>
      <c r="K47" s="63" t="e">
        <f t="shared" si="52"/>
        <v>#VALUE!</v>
      </c>
      <c r="L47" s="63" t="str">
        <f>IFERROR(VLOOKUP(MID(G47,J47,K47-J47),[6]skilldef!$C:$D,2,FALSE),"-") &amp; " / " &amp; IFERROR(VLOOKUP(MID(G47,H47,I47-H47),[6]skilldef!$A:$B,2,FALSE),"-")</f>
        <v>- / 大攻撃</v>
      </c>
      <c r="M47" s="63" t="str">
        <f t="shared" si="53"/>
        <v>[effect:hungup, target:unit_one, turn:1, rate:1, animation:hungup01]</v>
      </c>
      <c r="N47" s="48" t="str">
        <f t="shared" ref="N47:N65" si="74">IFERROR(LEFT(M47,FIND("],",M47)+S59),M47)</f>
        <v>[effect:hungup, target:unit_one, turn:1, rate:1, animation:hungup01]</v>
      </c>
      <c r="O47" s="63">
        <f t="shared" si="6"/>
        <v>9</v>
      </c>
      <c r="P47" s="63">
        <f t="shared" si="54"/>
        <v>15</v>
      </c>
      <c r="Q47" s="63">
        <f t="shared" si="55"/>
        <v>24</v>
      </c>
      <c r="R47" s="63">
        <f t="shared" si="56"/>
        <v>32</v>
      </c>
      <c r="S47" s="63" t="str">
        <f>IFERROR(VLOOKUP(MID(N47,Q47,R47-Q47),[6]skilldef!$C:$D,2,FALSE),"-") &amp; " / " &amp; IFERROR(VLOOKUP(MID(N47,O47,P47-O47),[6]skilldef!$A:$B,2,FALSE),"-")</f>
        <v>味方単体に / ハングアップ</v>
      </c>
      <c r="T47" s="48" t="str">
        <f t="shared" si="57"/>
        <v>none</v>
      </c>
      <c r="U47" s="63" t="e">
        <f t="shared" si="11"/>
        <v>#VALUE!</v>
      </c>
      <c r="V47" s="63">
        <f t="shared" si="58"/>
        <v>4</v>
      </c>
      <c r="W47" s="63" t="e">
        <f t="shared" si="59"/>
        <v>#VALUE!</v>
      </c>
      <c r="X47" s="63" t="e">
        <f t="shared" si="60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40017047</v>
      </c>
      <c r="B48" s="47" t="s">
        <v>509</v>
      </c>
      <c r="C48" s="50">
        <v>3</v>
      </c>
      <c r="D48" s="107" t="s">
        <v>127</v>
      </c>
      <c r="E48" s="51" t="s">
        <v>467</v>
      </c>
      <c r="F48" s="51" t="s">
        <v>468</v>
      </c>
      <c r="G48" s="63" t="str">
        <f t="shared" si="49"/>
        <v>[effect:enemy_message, val1:2, val2:2, dead_type:suicide]</v>
      </c>
      <c r="H48" s="63">
        <f t="shared" si="1"/>
        <v>9</v>
      </c>
      <c r="I48" s="63">
        <f t="shared" si="50"/>
        <v>22</v>
      </c>
      <c r="J48" s="63" t="e">
        <f t="shared" si="51"/>
        <v>#VALUE!</v>
      </c>
      <c r="K48" s="63">
        <f t="shared" si="52"/>
        <v>30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53"/>
        <v>none</v>
      </c>
      <c r="N48" s="48" t="str">
        <f t="shared" si="74"/>
        <v>none</v>
      </c>
      <c r="O48" s="63" t="e">
        <f t="shared" si="6"/>
        <v>#VALUE!</v>
      </c>
      <c r="P48" s="63">
        <f t="shared" si="54"/>
        <v>4</v>
      </c>
      <c r="Q48" s="63" t="e">
        <f t="shared" si="55"/>
        <v>#VALUE!</v>
      </c>
      <c r="R48" s="63" t="e">
        <f t="shared" si="56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57"/>
        <v>none</v>
      </c>
      <c r="U48" s="63" t="e">
        <f t="shared" si="11"/>
        <v>#VALUE!</v>
      </c>
      <c r="V48" s="63">
        <f t="shared" si="58"/>
        <v>4</v>
      </c>
      <c r="W48" s="63" t="e">
        <f t="shared" si="59"/>
        <v>#VALUE!</v>
      </c>
      <c r="X48" s="63" t="e">
        <f t="shared" si="60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40017048</v>
      </c>
      <c r="B49" s="47" t="s">
        <v>214</v>
      </c>
      <c r="C49" s="50">
        <v>3</v>
      </c>
      <c r="D49" s="50" t="s">
        <v>127</v>
      </c>
      <c r="E49" s="51" t="s">
        <v>219</v>
      </c>
      <c r="F49" s="51" t="s">
        <v>215</v>
      </c>
      <c r="G49" s="63" t="str">
        <f t="shared" si="49"/>
        <v>[effect:nothing]</v>
      </c>
      <c r="H49" s="63">
        <f t="shared" si="1"/>
        <v>9</v>
      </c>
      <c r="I49" s="63">
        <f t="shared" si="50"/>
        <v>16</v>
      </c>
      <c r="J49" s="63" t="e">
        <f t="shared" si="51"/>
        <v>#VALUE!</v>
      </c>
      <c r="K49" s="63" t="e">
        <f t="shared" si="52"/>
        <v>#VALUE!</v>
      </c>
      <c r="L49" s="63" t="str">
        <f>IFERROR(VLOOKUP(MID(G49,J49,K49-J49),[6]skilldef!$C:$D,2,FALSE),"-") &amp; " / " &amp; IFERROR(VLOOKUP(MID(G49,H49,I49-H49),[6]skilldef!$A:$B,2,FALSE),"-")</f>
        <v>- / 何もしない</v>
      </c>
      <c r="M49" s="63" t="str">
        <f t="shared" si="53"/>
        <v>none</v>
      </c>
      <c r="N49" s="48" t="str">
        <f t="shared" si="74"/>
        <v>none</v>
      </c>
      <c r="O49" s="63" t="e">
        <f t="shared" si="6"/>
        <v>#VALUE!</v>
      </c>
      <c r="P49" s="63">
        <f t="shared" si="54"/>
        <v>4</v>
      </c>
      <c r="Q49" s="63" t="e">
        <f t="shared" si="55"/>
        <v>#VALUE!</v>
      </c>
      <c r="R49" s="63" t="e">
        <f t="shared" si="56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57"/>
        <v>none</v>
      </c>
      <c r="U49" s="63" t="e">
        <f t="shared" si="11"/>
        <v>#VALUE!</v>
      </c>
      <c r="V49" s="63">
        <f t="shared" si="58"/>
        <v>4</v>
      </c>
      <c r="W49" s="63" t="e">
        <f t="shared" si="59"/>
        <v>#VALUE!</v>
      </c>
      <c r="X49" s="63" t="e">
        <f t="shared" si="60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40017049</v>
      </c>
      <c r="B50" s="47" t="s">
        <v>214</v>
      </c>
      <c r="C50" s="50">
        <v>3</v>
      </c>
      <c r="D50" s="50" t="s">
        <v>127</v>
      </c>
      <c r="E50" s="51" t="s">
        <v>219</v>
      </c>
      <c r="F50" s="51" t="s">
        <v>215</v>
      </c>
      <c r="G50" s="63" t="str">
        <f t="shared" si="49"/>
        <v>[effect:nothing]</v>
      </c>
      <c r="H50" s="63">
        <f t="shared" si="1"/>
        <v>9</v>
      </c>
      <c r="I50" s="63">
        <f t="shared" si="50"/>
        <v>16</v>
      </c>
      <c r="J50" s="63" t="e">
        <f t="shared" si="51"/>
        <v>#VALUE!</v>
      </c>
      <c r="K50" s="63" t="e">
        <f t="shared" si="52"/>
        <v>#VALUE!</v>
      </c>
      <c r="L50" s="63" t="str">
        <f>IFERROR(VLOOKUP(MID(G50,J50,K50-J50),[6]skilldef!$C:$D,2,FALSE),"-") &amp; " / " &amp; IFERROR(VLOOKUP(MID(G50,H50,I50-H50),[6]skilldef!$A:$B,2,FALSE),"-")</f>
        <v>- / 何もしない</v>
      </c>
      <c r="M50" s="63" t="str">
        <f t="shared" si="53"/>
        <v>none</v>
      </c>
      <c r="N50" s="48" t="str">
        <f t="shared" si="74"/>
        <v>none</v>
      </c>
      <c r="O50" s="63" t="e">
        <f t="shared" si="6"/>
        <v>#VALUE!</v>
      </c>
      <c r="P50" s="63">
        <f t="shared" si="54"/>
        <v>4</v>
      </c>
      <c r="Q50" s="63" t="e">
        <f t="shared" si="55"/>
        <v>#VALUE!</v>
      </c>
      <c r="R50" s="63" t="e">
        <f t="shared" si="56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57"/>
        <v>none</v>
      </c>
      <c r="U50" s="63" t="e">
        <f t="shared" si="11"/>
        <v>#VALUE!</v>
      </c>
      <c r="V50" s="63">
        <f t="shared" si="58"/>
        <v>4</v>
      </c>
      <c r="W50" s="63" t="e">
        <f t="shared" si="59"/>
        <v>#VALUE!</v>
      </c>
      <c r="X50" s="63" t="e">
        <f t="shared" si="60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40017050</v>
      </c>
      <c r="B51" s="47" t="s">
        <v>214</v>
      </c>
      <c r="C51" s="50">
        <v>3</v>
      </c>
      <c r="D51" s="50" t="s">
        <v>127</v>
      </c>
      <c r="E51" s="51" t="s">
        <v>219</v>
      </c>
      <c r="F51" s="51" t="s">
        <v>215</v>
      </c>
      <c r="G51" s="63" t="str">
        <f t="shared" si="49"/>
        <v>[effect:nothing]</v>
      </c>
      <c r="H51" s="63">
        <f t="shared" si="1"/>
        <v>9</v>
      </c>
      <c r="I51" s="63">
        <f t="shared" si="50"/>
        <v>16</v>
      </c>
      <c r="J51" s="63" t="e">
        <f t="shared" si="51"/>
        <v>#VALUE!</v>
      </c>
      <c r="K51" s="63" t="e">
        <f t="shared" si="52"/>
        <v>#VALUE!</v>
      </c>
      <c r="L51" s="63" t="str">
        <f>IFERROR(VLOOKUP(MID(G51,J51,K51-J51),[6]skilldef!$C:$D,2,FALSE),"-") &amp; " / " &amp; IFERROR(VLOOKUP(MID(G51,H51,I51-H51),[6]skilldef!$A:$B,2,FALSE),"-")</f>
        <v>- / 何もしない</v>
      </c>
      <c r="M51" s="63" t="str">
        <f t="shared" si="53"/>
        <v>none</v>
      </c>
      <c r="N51" s="48" t="str">
        <f t="shared" si="74"/>
        <v>none</v>
      </c>
      <c r="O51" s="63" t="e">
        <f t="shared" si="6"/>
        <v>#VALUE!</v>
      </c>
      <c r="P51" s="63">
        <f t="shared" si="54"/>
        <v>4</v>
      </c>
      <c r="Q51" s="63" t="e">
        <f t="shared" si="55"/>
        <v>#VALUE!</v>
      </c>
      <c r="R51" s="63" t="e">
        <f t="shared" si="56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57"/>
        <v>none</v>
      </c>
      <c r="U51" s="63" t="e">
        <f t="shared" si="11"/>
        <v>#VALUE!</v>
      </c>
      <c r="V51" s="63">
        <f t="shared" si="58"/>
        <v>4</v>
      </c>
      <c r="W51" s="63" t="e">
        <f t="shared" si="59"/>
        <v>#VALUE!</v>
      </c>
      <c r="X51" s="63" t="e">
        <f t="shared" si="60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40017051</v>
      </c>
      <c r="B52" s="47" t="s">
        <v>426</v>
      </c>
      <c r="C52" s="50">
        <v>3</v>
      </c>
      <c r="D52" s="50" t="s">
        <v>127</v>
      </c>
      <c r="E52" s="110" t="s">
        <v>469</v>
      </c>
      <c r="F52" s="51" t="s">
        <v>481</v>
      </c>
      <c r="G52" s="63" t="str">
        <f t="shared" si="49"/>
        <v>[effect:tolerance, target:myself, turn:-1, tolerance_effect:hungup, count:-1]</v>
      </c>
      <c r="H52" s="63">
        <f t="shared" si="1"/>
        <v>9</v>
      </c>
      <c r="I52" s="63">
        <f t="shared" si="50"/>
        <v>18</v>
      </c>
      <c r="J52" s="63">
        <f t="shared" si="51"/>
        <v>27</v>
      </c>
      <c r="K52" s="63">
        <f t="shared" si="52"/>
        <v>33</v>
      </c>
      <c r="L52" s="63" t="str">
        <f>IFERROR(VLOOKUP(MID(G52,J52,K52-J52),[6]skilldef!$C:$D,2,FALSE),"-") &amp; " / " &amp; IFERROR(VLOOKUP(MID(G52,H52,I52-H52),[6]skilldef!$A:$B,2,FALSE),"-")</f>
        <v>自分自身に / 状態異常耐性</v>
      </c>
      <c r="M52" s="63" t="str">
        <f t="shared" si="53"/>
        <v>[effect:tolerance, target:myself, turn:-1, tolerance_effect:virus, count:-1],[effect:tolerance, target:myself, turn:-1, tolerance_effect:sleep, count:-1, animation:enemy_tolerance]</v>
      </c>
      <c r="N52" s="48" t="str">
        <f t="shared" si="74"/>
        <v>[effect:tolerance, target:myself, turn:-1, tolerance_effect:virus, count:-1],[effect:tolerance, target:myself, turn:-1, tolerance_effect:sleep, count:-1, animation:enemy_tolerance]</v>
      </c>
      <c r="O52" s="63">
        <f t="shared" si="6"/>
        <v>9</v>
      </c>
      <c r="P52" s="63">
        <f t="shared" si="54"/>
        <v>18</v>
      </c>
      <c r="Q52" s="63">
        <f t="shared" si="55"/>
        <v>27</v>
      </c>
      <c r="R52" s="63">
        <f t="shared" si="56"/>
        <v>33</v>
      </c>
      <c r="S52" s="63" t="str">
        <f>IFERROR(VLOOKUP(MID(N52,Q52,R52-Q52),[6]skilldef!$C:$D,2,FALSE),"-") &amp; " / " &amp; IFERROR(VLOOKUP(MID(N52,O52,P52-O52),[6]skilldef!$A:$B,2,FALSE),"-")</f>
        <v>自分自身に / 状態異常耐性</v>
      </c>
      <c r="T52" s="48" t="str">
        <f t="shared" si="57"/>
        <v>[effect:tolerance, target:myself, turn:-1, tolerance_effect:sleep, count:-1, animation:enemy_tolerance]</v>
      </c>
      <c r="U52" s="63">
        <f t="shared" si="11"/>
        <v>9</v>
      </c>
      <c r="V52" s="63">
        <f t="shared" si="58"/>
        <v>18</v>
      </c>
      <c r="W52" s="63">
        <f t="shared" si="59"/>
        <v>27</v>
      </c>
      <c r="X52" s="63">
        <f t="shared" si="60"/>
        <v>33</v>
      </c>
      <c r="Y52" s="63" t="str">
        <f>IFERROR(VLOOKUP(MID(T52,W52,X52-W52),[6]skilldef!$C:$D,2,FALSE),"-") &amp; " / " &amp; IFERROR(VLOOKUP(MID(T52,U52,V52-U52),[6]skilldef!$A:$B,2,FALSE),"-")</f>
        <v>自分自身に / 状態異常耐性</v>
      </c>
      <c r="Z52" s="50"/>
      <c r="AA52" s="52"/>
      <c r="AB52" s="50"/>
    </row>
    <row r="53" spans="1:28" ht="21" customHeight="1" x14ac:dyDescent="0.15">
      <c r="A53" s="47">
        <v>40017052</v>
      </c>
      <c r="B53" s="47" t="s">
        <v>295</v>
      </c>
      <c r="C53" s="50">
        <v>3</v>
      </c>
      <c r="D53" s="50" t="s">
        <v>127</v>
      </c>
      <c r="E53" s="110" t="s">
        <v>470</v>
      </c>
      <c r="F53" s="51" t="s">
        <v>481</v>
      </c>
      <c r="G53" s="63" t="str">
        <f t="shared" ref="G53" si="75">IFERROR(LEFT(B53,FIND("],",B53)),B53)</f>
        <v>[effect:tolerance, target:myself, turn:-1, tolerance_effect:hungup, count:-1]</v>
      </c>
      <c r="H53" s="63">
        <f t="shared" ref="H53" si="76">FIND("effect:",G53)+7</f>
        <v>9</v>
      </c>
      <c r="I53" s="63">
        <f t="shared" ref="I53" si="77">IFERROR(FIND(",",G53),LEN(G53))</f>
        <v>18</v>
      </c>
      <c r="J53" s="63">
        <f t="shared" ref="J53" si="78">FIND("target:",G53)+7</f>
        <v>27</v>
      </c>
      <c r="K53" s="63">
        <f t="shared" ref="K53" si="79">FIND(",",G53,I53+1)</f>
        <v>33</v>
      </c>
      <c r="L53" s="63" t="str">
        <f>IFERROR(VLOOKUP(MID(G53,J53,K53-J53),[6]skilldef!$C:$D,2,FALSE),"-") &amp; " / " &amp; IFERROR(VLOOKUP(MID(G53,H53,I53-H53),[6]skilldef!$A:$B,2,FALSE),"-")</f>
        <v>自分自身に / 状態異常耐性</v>
      </c>
      <c r="M53" s="63" t="str">
        <f t="shared" ref="M53" si="80">IFERROR(RIGHT(B53,LEN(B53)-FIND("],",B53)-1),"none")</f>
        <v>[effect:tolerance, target:myself, turn:-1, tolerance_effect:virus, count:-1],[effect:tolerance, target:myself, turn:-1, tolerance_effect:sleep, count:-1, animation:enemy_tolerance]</v>
      </c>
      <c r="N53" s="48" t="str">
        <f t="shared" si="74"/>
        <v>[effect:tolerance, target:myself, turn:-1, tolerance_effect:virus, count:-1],[effect:tolerance, target:myself, turn:-1, tolerance_effect:sleep, count:-1, animation:enemy_tolerance]</v>
      </c>
      <c r="O53" s="63">
        <f t="shared" ref="O53" si="81">FIND("effect:",N53)+7</f>
        <v>9</v>
      </c>
      <c r="P53" s="63">
        <f t="shared" ref="P53" si="82">IFERROR(FIND(",",N53),LEN(N53))</f>
        <v>18</v>
      </c>
      <c r="Q53" s="63">
        <f t="shared" ref="Q53" si="83">FIND("target:",N53)+7</f>
        <v>27</v>
      </c>
      <c r="R53" s="63">
        <f t="shared" ref="R53" si="84">FIND(",",N53,P53+1)</f>
        <v>33</v>
      </c>
      <c r="S53" s="63" t="str">
        <f>IFERROR(VLOOKUP(MID(N53,Q53,R53-Q53),[6]skilldef!$C:$D,2,FALSE),"-") &amp; " / " &amp; IFERROR(VLOOKUP(MID(N53,O53,P53-O53),[6]skilldef!$A:$B,2,FALSE),"-")</f>
        <v>自分自身に / 状態異常耐性</v>
      </c>
      <c r="T53" s="48" t="str">
        <f t="shared" ref="T53" si="85">IFERROR(RIGHT(M53,LEN(M53)-FIND("],",M53)-1),"none")</f>
        <v>[effect:tolerance, target:myself, turn:-1, tolerance_effect:sleep, count:-1, animation:enemy_tolerance]</v>
      </c>
      <c r="U53" s="63">
        <f t="shared" ref="U53" si="86">FIND("effect:",T53)+7</f>
        <v>9</v>
      </c>
      <c r="V53" s="63">
        <f t="shared" ref="V53" si="87">IFERROR(FIND(",",T53),LEN(T53))</f>
        <v>18</v>
      </c>
      <c r="W53" s="63">
        <f t="shared" ref="W53" si="88">FIND("target:",T53)+7</f>
        <v>27</v>
      </c>
      <c r="X53" s="63">
        <f t="shared" ref="X53" si="89">FIND(",",T53,V53+1)</f>
        <v>33</v>
      </c>
      <c r="Y53" s="63" t="str">
        <f>IFERROR(VLOOKUP(MID(T53,W53,X53-W53),[6]skilldef!$C:$D,2,FALSE),"-") &amp; " / " &amp; IFERROR(VLOOKUP(MID(T53,U53,V53-U53),[6]skilldef!$A:$B,2,FALSE),"-")</f>
        <v>自分自身に / 状態異常耐性</v>
      </c>
      <c r="Z53" s="50"/>
      <c r="AA53" s="52"/>
      <c r="AB53" s="50"/>
    </row>
    <row r="54" spans="1:28" ht="21" customHeight="1" x14ac:dyDescent="0.15">
      <c r="A54" s="47">
        <v>40017053</v>
      </c>
      <c r="B54" s="47" t="s">
        <v>295</v>
      </c>
      <c r="C54" s="50">
        <v>3</v>
      </c>
      <c r="D54" s="50" t="s">
        <v>127</v>
      </c>
      <c r="E54" s="110" t="s">
        <v>471</v>
      </c>
      <c r="F54" s="51" t="s">
        <v>482</v>
      </c>
      <c r="G54" s="63" t="str">
        <f t="shared" si="49"/>
        <v>[effect:tolerance, target:myself, turn:-1, tolerance_effect:hungup, count:-1]</v>
      </c>
      <c r="H54" s="63">
        <f t="shared" si="1"/>
        <v>9</v>
      </c>
      <c r="I54" s="63">
        <f t="shared" si="50"/>
        <v>18</v>
      </c>
      <c r="J54" s="63">
        <f t="shared" si="51"/>
        <v>27</v>
      </c>
      <c r="K54" s="63">
        <f t="shared" si="52"/>
        <v>33</v>
      </c>
      <c r="L54" s="63" t="str">
        <f>IFERROR(VLOOKUP(MID(G54,J54,K54-J54),[6]skilldef!$C:$D,2,FALSE),"-") &amp; " / " &amp; IFERROR(VLOOKUP(MID(G54,H54,I54-H54),[6]skilldef!$A:$B,2,FALSE),"-")</f>
        <v>自分自身に / 状態異常耐性</v>
      </c>
      <c r="M54" s="63" t="str">
        <f t="shared" si="53"/>
        <v>[effect:tolerance, target:myself, turn:-1, tolerance_effect:virus, count:-1],[effect:tolerance, target:myself, turn:-1, tolerance_effect:sleep, count:-1, animation:enemy_tolerance]</v>
      </c>
      <c r="N54" s="48" t="str">
        <f t="shared" si="74"/>
        <v>[effect:tolerance, target:myself, turn:-1, tolerance_effect:virus, count:-1],[effect:tolerance, target:myself, turn:-1, tolerance_effect:sleep, count:-1, animation:enemy_tolerance]</v>
      </c>
      <c r="O54" s="63">
        <f t="shared" si="6"/>
        <v>9</v>
      </c>
      <c r="P54" s="63">
        <f t="shared" si="54"/>
        <v>18</v>
      </c>
      <c r="Q54" s="63">
        <f t="shared" si="55"/>
        <v>27</v>
      </c>
      <c r="R54" s="63">
        <f t="shared" si="56"/>
        <v>33</v>
      </c>
      <c r="S54" s="63" t="str">
        <f>IFERROR(VLOOKUP(MID(N54,Q54,R54-Q54),[6]skilldef!$C:$D,2,FALSE),"-") &amp; " / " &amp; IFERROR(VLOOKUP(MID(N54,O54,P54-O54),[6]skilldef!$A:$B,2,FALSE),"-")</f>
        <v>自分自身に / 状態異常耐性</v>
      </c>
      <c r="T54" s="48" t="str">
        <f t="shared" si="57"/>
        <v>[effect:tolerance, target:myself, turn:-1, tolerance_effect:sleep, count:-1, animation:enemy_tolerance]</v>
      </c>
      <c r="U54" s="63">
        <f t="shared" si="11"/>
        <v>9</v>
      </c>
      <c r="V54" s="63">
        <f t="shared" si="58"/>
        <v>18</v>
      </c>
      <c r="W54" s="63">
        <f t="shared" si="59"/>
        <v>27</v>
      </c>
      <c r="X54" s="63">
        <f t="shared" si="60"/>
        <v>33</v>
      </c>
      <c r="Y54" s="63" t="str">
        <f>IFERROR(VLOOKUP(MID(T54,W54,X54-W54),[6]skilldef!$C:$D,2,FALSE),"-") &amp; " / " &amp; IFERROR(VLOOKUP(MID(T54,U54,V54-U54),[6]skilldef!$A:$B,2,FALSE),"-")</f>
        <v>自分自身に / 状態異常耐性</v>
      </c>
      <c r="Z54" s="50"/>
      <c r="AA54" s="52"/>
      <c r="AB54" s="50"/>
    </row>
    <row r="55" spans="1:28" ht="21" customHeight="1" x14ac:dyDescent="0.15">
      <c r="A55" s="47">
        <v>40017054</v>
      </c>
      <c r="B55" s="47" t="s">
        <v>295</v>
      </c>
      <c r="C55" s="50">
        <v>3</v>
      </c>
      <c r="D55" s="50" t="s">
        <v>127</v>
      </c>
      <c r="E55" s="110" t="s">
        <v>471</v>
      </c>
      <c r="F55" s="51" t="s">
        <v>482</v>
      </c>
      <c r="G55" s="63" t="str">
        <f t="shared" ref="G55" si="90">IFERROR(LEFT(B55,FIND("],",B55)),B55)</f>
        <v>[effect:tolerance, target:myself, turn:-1, tolerance_effect:hungup, count:-1]</v>
      </c>
      <c r="H55" s="63">
        <f t="shared" ref="H55" si="91">FIND("effect:",G55)+7</f>
        <v>9</v>
      </c>
      <c r="I55" s="63">
        <f t="shared" ref="I55" si="92">IFERROR(FIND(",",G55),LEN(G55))</f>
        <v>18</v>
      </c>
      <c r="J55" s="63">
        <f t="shared" ref="J55" si="93">FIND("target:",G55)+7</f>
        <v>27</v>
      </c>
      <c r="K55" s="63">
        <f t="shared" ref="K55" si="94">FIND(",",G55,I55+1)</f>
        <v>33</v>
      </c>
      <c r="L55" s="63" t="str">
        <f>IFERROR(VLOOKUP(MID(G55,J55,K55-J55),[6]skilldef!$C:$D,2,FALSE),"-") &amp; " / " &amp; IFERROR(VLOOKUP(MID(G55,H55,I55-H55),[6]skilldef!$A:$B,2,FALSE),"-")</f>
        <v>自分自身に / 状態異常耐性</v>
      </c>
      <c r="M55" s="63" t="str">
        <f t="shared" ref="M55" si="95">IFERROR(RIGHT(B55,LEN(B55)-FIND("],",B55)-1),"none")</f>
        <v>[effect:tolerance, target:myself, turn:-1, tolerance_effect:virus, count:-1],[effect:tolerance, target:myself, turn:-1, tolerance_effect:sleep, count:-1, animation:enemy_tolerance]</v>
      </c>
      <c r="N55" s="48" t="str">
        <f t="shared" si="74"/>
        <v>[effect:tolerance, target:myself, turn:-1, tolerance_effect:virus, count:-1],[effect:tolerance, target:myself, turn:-1, tolerance_effect:sleep, count:-1, animation:enemy_tolerance]</v>
      </c>
      <c r="O55" s="63">
        <f t="shared" ref="O55" si="96">FIND("effect:",N55)+7</f>
        <v>9</v>
      </c>
      <c r="P55" s="63">
        <f t="shared" ref="P55" si="97">IFERROR(FIND(",",N55),LEN(N55))</f>
        <v>18</v>
      </c>
      <c r="Q55" s="63">
        <f t="shared" ref="Q55" si="98">FIND("target:",N55)+7</f>
        <v>27</v>
      </c>
      <c r="R55" s="63">
        <f t="shared" ref="R55" si="99">FIND(",",N55,P55+1)</f>
        <v>33</v>
      </c>
      <c r="S55" s="63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ref="T55" si="100">IFERROR(RIGHT(M55,LEN(M55)-FIND("],",M55)-1),"none")</f>
        <v>[effect:tolerance, target:myself, turn:-1, tolerance_effect:sleep, count:-1, animation:enemy_tolerance]</v>
      </c>
      <c r="U55" s="63">
        <f t="shared" ref="U55" si="101">FIND("effect:",T55)+7</f>
        <v>9</v>
      </c>
      <c r="V55" s="63">
        <f t="shared" ref="V55" si="102">IFERROR(FIND(",",T55),LEN(T55))</f>
        <v>18</v>
      </c>
      <c r="W55" s="63">
        <f t="shared" ref="W55" si="103">FIND("target:",T55)+7</f>
        <v>27</v>
      </c>
      <c r="X55" s="63">
        <f t="shared" ref="X55" si="104">FIND(",",T55,V55+1)</f>
        <v>33</v>
      </c>
      <c r="Y55" s="63" t="str">
        <f>IFERROR(VLOOKUP(MID(T55,W55,X55-W55),[6]skilldef!$C:$D,2,FALSE),"-") &amp; " / " &amp; IFERROR(VLOOKUP(MID(T55,U55,V55-U55),[6]skilldef!$A:$B,2,FALSE),"-")</f>
        <v>自分自身に / 状態異常耐性</v>
      </c>
      <c r="Z55" s="50"/>
      <c r="AA55" s="52"/>
      <c r="AB55" s="50"/>
    </row>
    <row r="56" spans="1:28" ht="21" customHeight="1" x14ac:dyDescent="0.15">
      <c r="A56" s="47">
        <v>40017055</v>
      </c>
      <c r="B56" s="47" t="s">
        <v>295</v>
      </c>
      <c r="C56" s="50">
        <v>3</v>
      </c>
      <c r="D56" s="50" t="s">
        <v>127</v>
      </c>
      <c r="E56" s="111" t="s">
        <v>472</v>
      </c>
      <c r="F56" s="51" t="s">
        <v>483</v>
      </c>
      <c r="G56" s="63" t="str">
        <f t="shared" si="49"/>
        <v>[effect:tolerance, target:myself, turn:-1, tolerance_effect:hungup, count:-1]</v>
      </c>
      <c r="H56" s="63">
        <f t="shared" si="1"/>
        <v>9</v>
      </c>
      <c r="I56" s="63">
        <f t="shared" si="50"/>
        <v>18</v>
      </c>
      <c r="J56" s="63">
        <f t="shared" si="51"/>
        <v>27</v>
      </c>
      <c r="K56" s="63">
        <f t="shared" si="52"/>
        <v>33</v>
      </c>
      <c r="L56" s="63" t="str">
        <f>IFERROR(VLOOKUP(MID(G56,J56,K56-J56),[6]skilldef!$C:$D,2,FALSE),"-") &amp; " / " &amp; IFERROR(VLOOKUP(MID(G56,H56,I56-H56),[6]skilldef!$A:$B,2,FALSE),"-")</f>
        <v>自分自身に / 状態異常耐性</v>
      </c>
      <c r="M56" s="63" t="str">
        <f t="shared" si="53"/>
        <v>[effect:tolerance, target:myself, turn:-1, tolerance_effect:virus, count:-1],[effect:tolerance, target:myself, turn:-1, tolerance_effect:sleep, count:-1, animation:enemy_tolerance]</v>
      </c>
      <c r="N56" s="48" t="str">
        <f t="shared" si="74"/>
        <v>[effect:tolerance, target:myself, turn:-1, tolerance_effect:virus, count:-1],[effect:tolerance, target:myself, turn:-1, tolerance_effect:sleep, count:-1, animation:enemy_tolerance]</v>
      </c>
      <c r="O56" s="63">
        <f t="shared" si="6"/>
        <v>9</v>
      </c>
      <c r="P56" s="63">
        <f t="shared" si="54"/>
        <v>18</v>
      </c>
      <c r="Q56" s="63">
        <f t="shared" si="55"/>
        <v>27</v>
      </c>
      <c r="R56" s="63">
        <f t="shared" si="56"/>
        <v>33</v>
      </c>
      <c r="S56" s="63" t="str">
        <f>IFERROR(VLOOKUP(MID(N56,Q56,R56-Q56),[6]skilldef!$C:$D,2,FALSE),"-") &amp; " / " &amp; IFERROR(VLOOKUP(MID(N56,O56,P56-O56),[6]skilldef!$A:$B,2,FALSE),"-")</f>
        <v>自分自身に / 状態異常耐性</v>
      </c>
      <c r="T56" s="48" t="str">
        <f t="shared" si="57"/>
        <v>[effect:tolerance, target:myself, turn:-1, tolerance_effect:sleep, count:-1, animation:enemy_tolerance]</v>
      </c>
      <c r="U56" s="63">
        <f t="shared" si="11"/>
        <v>9</v>
      </c>
      <c r="V56" s="63">
        <f t="shared" si="58"/>
        <v>18</v>
      </c>
      <c r="W56" s="63">
        <f t="shared" si="59"/>
        <v>27</v>
      </c>
      <c r="X56" s="63">
        <f t="shared" si="60"/>
        <v>33</v>
      </c>
      <c r="Y56" s="63" t="str">
        <f>IFERROR(VLOOKUP(MID(T56,W56,X56-W56),[6]skilldef!$C:$D,2,FALSE),"-") &amp; " / " &amp; IFERROR(VLOOKUP(MID(T56,U56,V56-U56),[6]skilldef!$A:$B,2,FALSE),"-")</f>
        <v>自分自身に / 状態異常耐性</v>
      </c>
      <c r="Z56" s="50"/>
      <c r="AA56" s="52"/>
      <c r="AB56" s="50"/>
    </row>
    <row r="57" spans="1:28" ht="21" customHeight="1" x14ac:dyDescent="0.15">
      <c r="A57" s="47">
        <v>40017056</v>
      </c>
      <c r="B57" s="47" t="s">
        <v>421</v>
      </c>
      <c r="C57" s="50">
        <v>3</v>
      </c>
      <c r="D57" s="50" t="s">
        <v>127</v>
      </c>
      <c r="E57" s="111" t="s">
        <v>473</v>
      </c>
      <c r="F57" s="51" t="s">
        <v>480</v>
      </c>
      <c r="G57" s="63" t="str">
        <f t="shared" si="49"/>
        <v>[effect:critical, val:1.6]</v>
      </c>
      <c r="H57" s="63">
        <f t="shared" si="1"/>
        <v>9</v>
      </c>
      <c r="I57" s="63">
        <f t="shared" si="50"/>
        <v>17</v>
      </c>
      <c r="J57" s="63" t="e">
        <f t="shared" si="51"/>
        <v>#VALUE!</v>
      </c>
      <c r="K57" s="63" t="e">
        <f t="shared" si="52"/>
        <v>#VALUE!</v>
      </c>
      <c r="L57" s="63" t="str">
        <f>IFERROR(VLOOKUP(MID(G57,J57,K57-J57),[6]skilldef!$C:$D,2,FALSE),"-") &amp; " / " &amp; IFERROR(VLOOKUP(MID(G57,H57,I57-H57),[6]skilldef!$A:$B,2,FALSE),"-")</f>
        <v>- / 大攻撃</v>
      </c>
      <c r="M57" s="63" t="str">
        <f t="shared" si="53"/>
        <v>none</v>
      </c>
      <c r="N57" s="48" t="str">
        <f t="shared" si="74"/>
        <v>none</v>
      </c>
      <c r="O57" s="63" t="e">
        <f t="shared" si="6"/>
        <v>#VALUE!</v>
      </c>
      <c r="P57" s="63">
        <f t="shared" si="54"/>
        <v>4</v>
      </c>
      <c r="Q57" s="63" t="e">
        <f t="shared" si="55"/>
        <v>#VALUE!</v>
      </c>
      <c r="R57" s="63" t="e">
        <f t="shared" si="56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57"/>
        <v>none</v>
      </c>
      <c r="U57" s="63" t="e">
        <f t="shared" si="11"/>
        <v>#VALUE!</v>
      </c>
      <c r="V57" s="63">
        <f t="shared" si="58"/>
        <v>4</v>
      </c>
      <c r="W57" s="63" t="e">
        <f t="shared" si="59"/>
        <v>#VALUE!</v>
      </c>
      <c r="X57" s="63" t="e">
        <f t="shared" si="60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40017057</v>
      </c>
      <c r="B58" s="47" t="s">
        <v>538</v>
      </c>
      <c r="C58" s="50">
        <v>3</v>
      </c>
      <c r="D58" s="50" t="s">
        <v>127</v>
      </c>
      <c r="E58" s="110" t="s">
        <v>474</v>
      </c>
      <c r="F58" s="51" t="s">
        <v>479</v>
      </c>
      <c r="G58" s="63" t="str">
        <f t="shared" ref="G58:G80" si="105">IFERROR(LEFT(B58,FIND("],",B58)),B58)</f>
        <v>[effect:rush, count:2, val:0.6]</v>
      </c>
      <c r="H58" s="63">
        <f t="shared" si="1"/>
        <v>9</v>
      </c>
      <c r="I58" s="63">
        <f t="shared" ref="I58:I80" si="106">IFERROR(FIND(",",G58),LEN(G58))</f>
        <v>13</v>
      </c>
      <c r="J58" s="63" t="e">
        <f t="shared" ref="J58:J80" si="107">FIND("target:",G58)+7</f>
        <v>#VALUE!</v>
      </c>
      <c r="K58" s="63">
        <f t="shared" ref="K58:K80" si="108">FIND(",",G58,I58+1)</f>
        <v>22</v>
      </c>
      <c r="L58" s="63" t="str">
        <f>IFERROR(VLOOKUP(MID(G58,J58,K58-J58),[6]skilldef!$C:$D,2,FALSE),"-") &amp; " / " &amp; IFERROR(VLOOKUP(MID(G58,H58,I58-H58),[6]skilldef!$A:$B,2,FALSE),"-")</f>
        <v>- / 連続攻撃</v>
      </c>
      <c r="M58" s="63" t="str">
        <f t="shared" ref="M58:M80" si="109">IFERROR(RIGHT(B58,LEN(B58)-FIND("],",B58)-1),"none")</f>
        <v>[effect:force_change_block, new_block:time_bomb, target:block_all, ignore01:block_positive, ignore02:block_negative, count:15, val:0.1, min_time_count:3, max_time_count:5]</v>
      </c>
      <c r="N58" s="48" t="str">
        <f t="shared" si="74"/>
        <v>[effect:force_change_block, new_block:time_bomb, target:block_all, ignore01:block_positive, ignore02:block_negative, count:15, val:0.1, min_time_count:3, max_time_count:5]</v>
      </c>
      <c r="O58" s="63">
        <f t="shared" si="6"/>
        <v>9</v>
      </c>
      <c r="P58" s="63">
        <f t="shared" ref="P58:P80" si="110">IFERROR(FIND(",",N58),LEN(N58))</f>
        <v>27</v>
      </c>
      <c r="Q58" s="63">
        <f t="shared" ref="Q58:Q80" si="111">FIND("target:",N58)+7</f>
        <v>57</v>
      </c>
      <c r="R58" s="63">
        <f t="shared" ref="R58:R80" si="112">FIND(",",N58,P58+1)</f>
        <v>48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ref="T58:T80" si="113">IFERROR(RIGHT(M58,LEN(M58)-FIND("],",M58)-1),"none")</f>
        <v>none</v>
      </c>
      <c r="U58" s="63" t="e">
        <f t="shared" si="11"/>
        <v>#VALUE!</v>
      </c>
      <c r="V58" s="63">
        <f t="shared" ref="V58:V80" si="114">IFERROR(FIND(",",T58),LEN(T58))</f>
        <v>4</v>
      </c>
      <c r="W58" s="63" t="e">
        <f t="shared" ref="W58:W80" si="115">FIND("target:",T58)+7</f>
        <v>#VALUE!</v>
      </c>
      <c r="X58" s="63" t="e">
        <f t="shared" ref="X58:X80" si="116">FIND(",",T58,V58+1)</f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40017058</v>
      </c>
      <c r="B59" s="47" t="s">
        <v>539</v>
      </c>
      <c r="C59" s="50">
        <v>3</v>
      </c>
      <c r="D59" s="50" t="s">
        <v>127</v>
      </c>
      <c r="E59" s="110" t="s">
        <v>250</v>
      </c>
      <c r="F59" s="51" t="s">
        <v>479</v>
      </c>
      <c r="G59" s="63" t="str">
        <f t="shared" si="105"/>
        <v>[effect:rush, count:2, val:0.6]</v>
      </c>
      <c r="H59" s="63">
        <f t="shared" si="1"/>
        <v>9</v>
      </c>
      <c r="I59" s="63">
        <f t="shared" si="106"/>
        <v>13</v>
      </c>
      <c r="J59" s="63" t="e">
        <f t="shared" si="107"/>
        <v>#VALUE!</v>
      </c>
      <c r="K59" s="63">
        <f t="shared" si="108"/>
        <v>22</v>
      </c>
      <c r="L59" s="63" t="str">
        <f>IFERROR(VLOOKUP(MID(G59,J59,K59-J59),[6]skilldef!$C:$D,2,FALSE),"-") &amp; " / " &amp; IFERROR(VLOOKUP(MID(G59,H59,I59-H59),[6]skilldef!$A:$B,2,FALSE),"-")</f>
        <v>- / 連続攻撃</v>
      </c>
      <c r="M59" s="63" t="str">
        <f t="shared" si="109"/>
        <v>[effect:force_change_block, new_block:time_bomb, target:block_all, ignore01:block_positive, ignore02:block_negative, count:15, val:0.1, min_time_count:3, max_time_count:5]</v>
      </c>
      <c r="N59" s="48" t="str">
        <f t="shared" si="74"/>
        <v>[effect:force_change_block, new_block:time_bomb, target:block_all, ignore01:block_positive, ignore02:block_negative, count:15, val:0.1, min_time_count:3, max_time_count:5]</v>
      </c>
      <c r="O59" s="63">
        <f t="shared" si="6"/>
        <v>9</v>
      </c>
      <c r="P59" s="63">
        <f t="shared" si="110"/>
        <v>27</v>
      </c>
      <c r="Q59" s="63">
        <f t="shared" si="111"/>
        <v>57</v>
      </c>
      <c r="R59" s="63">
        <f t="shared" si="112"/>
        <v>48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113"/>
        <v>none</v>
      </c>
      <c r="U59" s="63" t="e">
        <f t="shared" si="11"/>
        <v>#VALUE!</v>
      </c>
      <c r="V59" s="63">
        <f t="shared" si="114"/>
        <v>4</v>
      </c>
      <c r="W59" s="63" t="e">
        <f t="shared" si="115"/>
        <v>#VALUE!</v>
      </c>
      <c r="X59" s="63" t="e">
        <f t="shared" si="116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47">
        <v>40017059</v>
      </c>
      <c r="B60" s="47" t="s">
        <v>478</v>
      </c>
      <c r="C60" s="50">
        <v>3</v>
      </c>
      <c r="D60" s="50" t="s">
        <v>127</v>
      </c>
      <c r="E60" s="110" t="s">
        <v>475</v>
      </c>
      <c r="F60" s="51" t="s">
        <v>510</v>
      </c>
      <c r="G60" s="63" t="str">
        <f t="shared" si="105"/>
        <v>[effect:crash_condition, target:unit_all, val:4, turn:6, animation:enemy_crash_extend]</v>
      </c>
      <c r="H60" s="63">
        <f t="shared" si="1"/>
        <v>9</v>
      </c>
      <c r="I60" s="63">
        <f t="shared" si="106"/>
        <v>24</v>
      </c>
      <c r="J60" s="63">
        <f t="shared" si="107"/>
        <v>33</v>
      </c>
      <c r="K60" s="63">
        <f t="shared" si="108"/>
        <v>41</v>
      </c>
      <c r="L60" s="63" t="str">
        <f>IFERROR(VLOOKUP(MID(G60,J60,K60-J60),[6]skilldef!$C:$D,2,FALSE),"-") &amp; " / " &amp; IFERROR(VLOOKUP(MID(G60,H60,I60-H60),[6]skilldef!$A:$B,2,FALSE),"-")</f>
        <v>味方全体に / -</v>
      </c>
      <c r="M60" s="63" t="str">
        <f t="shared" si="109"/>
        <v>none</v>
      </c>
      <c r="N60" s="48" t="str">
        <f t="shared" si="74"/>
        <v>none</v>
      </c>
      <c r="O60" s="63" t="e">
        <f t="shared" si="6"/>
        <v>#VALUE!</v>
      </c>
      <c r="P60" s="63">
        <f t="shared" si="110"/>
        <v>4</v>
      </c>
      <c r="Q60" s="63" t="e">
        <f t="shared" si="111"/>
        <v>#VALUE!</v>
      </c>
      <c r="R60" s="63" t="e">
        <f t="shared" si="112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113"/>
        <v>none</v>
      </c>
      <c r="U60" s="63" t="e">
        <f t="shared" si="11"/>
        <v>#VALUE!</v>
      </c>
      <c r="V60" s="63">
        <f t="shared" si="114"/>
        <v>4</v>
      </c>
      <c r="W60" s="63" t="e">
        <f t="shared" si="115"/>
        <v>#VALUE!</v>
      </c>
      <c r="X60" s="63" t="e">
        <f t="shared" si="116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47">
        <v>40017060</v>
      </c>
      <c r="B61" s="47" t="s">
        <v>248</v>
      </c>
      <c r="C61" s="50">
        <v>3</v>
      </c>
      <c r="D61" s="50" t="s">
        <v>127</v>
      </c>
      <c r="E61" s="110" t="s">
        <v>476</v>
      </c>
      <c r="F61" s="51" t="s">
        <v>477</v>
      </c>
      <c r="G61" s="63" t="str">
        <f t="shared" si="105"/>
        <v>[effect:degrade_unit, target:unit_all, turn:-1, status:action, val:1, calc:mul, animation:enemy_tap_down]</v>
      </c>
      <c r="H61" s="63">
        <f t="shared" si="1"/>
        <v>9</v>
      </c>
      <c r="I61" s="63">
        <f t="shared" si="106"/>
        <v>21</v>
      </c>
      <c r="J61" s="63">
        <f t="shared" si="107"/>
        <v>30</v>
      </c>
      <c r="K61" s="63">
        <f t="shared" si="108"/>
        <v>38</v>
      </c>
      <c r="L61" s="63" t="str">
        <f>IFERROR(VLOOKUP(MID(G61,J61,K61-J61),[6]skilldef!$C:$D,2,FALSE),"-") &amp; " / " &amp; IFERROR(VLOOKUP(MID(G61,H61,I61-H61),[6]skilldef!$A:$B,2,FALSE),"-")</f>
        <v>味方全体に / ステータスDOWN</v>
      </c>
      <c r="M61" s="63" t="str">
        <f t="shared" si="109"/>
        <v>none</v>
      </c>
      <c r="N61" s="48" t="str">
        <f t="shared" si="74"/>
        <v>none</v>
      </c>
      <c r="O61" s="63" t="e">
        <f t="shared" si="6"/>
        <v>#VALUE!</v>
      </c>
      <c r="P61" s="63">
        <f t="shared" si="110"/>
        <v>4</v>
      </c>
      <c r="Q61" s="63" t="e">
        <f t="shared" si="111"/>
        <v>#VALUE!</v>
      </c>
      <c r="R61" s="63" t="e">
        <f t="shared" si="112"/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si="113"/>
        <v>none</v>
      </c>
      <c r="U61" s="63" t="e">
        <f t="shared" si="11"/>
        <v>#VALUE!</v>
      </c>
      <c r="V61" s="63">
        <f t="shared" si="114"/>
        <v>4</v>
      </c>
      <c r="W61" s="63" t="e">
        <f t="shared" si="115"/>
        <v>#VALUE!</v>
      </c>
      <c r="X61" s="63" t="e">
        <f t="shared" si="116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47">
        <v>40017061</v>
      </c>
      <c r="B62" s="47" t="s">
        <v>214</v>
      </c>
      <c r="C62" s="50">
        <v>3</v>
      </c>
      <c r="D62" s="50" t="s">
        <v>127</v>
      </c>
      <c r="E62" s="110" t="s">
        <v>220</v>
      </c>
      <c r="F62" s="51" t="s">
        <v>215</v>
      </c>
      <c r="G62" s="63" t="str">
        <f t="shared" si="105"/>
        <v>[effect:nothing]</v>
      </c>
      <c r="H62" s="63">
        <f t="shared" si="1"/>
        <v>9</v>
      </c>
      <c r="I62" s="63">
        <f t="shared" si="106"/>
        <v>16</v>
      </c>
      <c r="J62" s="63" t="e">
        <f t="shared" si="107"/>
        <v>#VALUE!</v>
      </c>
      <c r="K62" s="63" t="e">
        <f t="shared" si="108"/>
        <v>#VALUE!</v>
      </c>
      <c r="L62" s="63" t="str">
        <f>IFERROR(VLOOKUP(MID(G62,J62,K62-J62),[6]skilldef!$C:$D,2,FALSE),"-") &amp; " / " &amp; IFERROR(VLOOKUP(MID(G62,H62,I62-H62),[6]skilldef!$A:$B,2,FALSE),"-")</f>
        <v>- / 何もしない</v>
      </c>
      <c r="M62" s="63" t="str">
        <f t="shared" si="109"/>
        <v>none</v>
      </c>
      <c r="N62" s="48" t="str">
        <f t="shared" si="74"/>
        <v>none</v>
      </c>
      <c r="O62" s="63" t="e">
        <f t="shared" si="6"/>
        <v>#VALUE!</v>
      </c>
      <c r="P62" s="63">
        <f t="shared" si="110"/>
        <v>4</v>
      </c>
      <c r="Q62" s="63" t="e">
        <f t="shared" si="111"/>
        <v>#VALUE!</v>
      </c>
      <c r="R62" s="63" t="e">
        <f t="shared" si="112"/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si="113"/>
        <v>none</v>
      </c>
      <c r="U62" s="63" t="e">
        <f t="shared" si="11"/>
        <v>#VALUE!</v>
      </c>
      <c r="V62" s="63">
        <f t="shared" si="114"/>
        <v>4</v>
      </c>
      <c r="W62" s="63" t="e">
        <f t="shared" si="115"/>
        <v>#VALUE!</v>
      </c>
      <c r="X62" s="63" t="e">
        <f t="shared" si="116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47">
        <v>40017062</v>
      </c>
      <c r="B63" s="47" t="s">
        <v>214</v>
      </c>
      <c r="C63" s="50">
        <v>3</v>
      </c>
      <c r="D63" s="50" t="s">
        <v>127</v>
      </c>
      <c r="E63" s="110" t="s">
        <v>221</v>
      </c>
      <c r="F63" s="51" t="s">
        <v>215</v>
      </c>
      <c r="G63" s="63" t="str">
        <f t="shared" si="105"/>
        <v>[effect:nothing]</v>
      </c>
      <c r="H63" s="63">
        <f t="shared" si="1"/>
        <v>9</v>
      </c>
      <c r="I63" s="63">
        <f t="shared" si="106"/>
        <v>16</v>
      </c>
      <c r="J63" s="63" t="e">
        <f t="shared" si="107"/>
        <v>#VALUE!</v>
      </c>
      <c r="K63" s="63" t="e">
        <f t="shared" si="108"/>
        <v>#VALUE!</v>
      </c>
      <c r="L63" s="63" t="str">
        <f>IFERROR(VLOOKUP(MID(G63,J63,K63-J63),[6]skilldef!$C:$D,2,FALSE),"-") &amp; " / " &amp; IFERROR(VLOOKUP(MID(G63,H63,I63-H63),[6]skilldef!$A:$B,2,FALSE),"-")</f>
        <v>- / 何もしない</v>
      </c>
      <c r="M63" s="63" t="str">
        <f t="shared" si="109"/>
        <v>none</v>
      </c>
      <c r="N63" s="48" t="str">
        <f t="shared" si="74"/>
        <v>none</v>
      </c>
      <c r="O63" s="63" t="e">
        <f t="shared" si="6"/>
        <v>#VALUE!</v>
      </c>
      <c r="P63" s="63">
        <f t="shared" si="110"/>
        <v>4</v>
      </c>
      <c r="Q63" s="63" t="e">
        <f t="shared" si="111"/>
        <v>#VALUE!</v>
      </c>
      <c r="R63" s="63" t="e">
        <f t="shared" si="112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113"/>
        <v>none</v>
      </c>
      <c r="U63" s="63" t="e">
        <f t="shared" si="11"/>
        <v>#VALUE!</v>
      </c>
      <c r="V63" s="63">
        <f t="shared" si="114"/>
        <v>4</v>
      </c>
      <c r="W63" s="63" t="e">
        <f t="shared" si="115"/>
        <v>#VALUE!</v>
      </c>
      <c r="X63" s="63" t="e">
        <f t="shared" si="116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47">
        <v>40017063</v>
      </c>
      <c r="B64" s="47" t="s">
        <v>324</v>
      </c>
      <c r="C64" s="50">
        <v>3</v>
      </c>
      <c r="D64" s="50" t="s">
        <v>127</v>
      </c>
      <c r="E64" s="109" t="s">
        <v>486</v>
      </c>
      <c r="F64" s="51" t="s">
        <v>296</v>
      </c>
      <c r="G64" s="63" t="str">
        <f t="shared" si="105"/>
        <v>[effect:virus, turn:7, target:unit_all, rate:1, val:0.2, animation:enemy_virus]</v>
      </c>
      <c r="H64" s="63">
        <f t="shared" si="1"/>
        <v>9</v>
      </c>
      <c r="I64" s="63">
        <f t="shared" si="106"/>
        <v>14</v>
      </c>
      <c r="J64" s="63">
        <f t="shared" si="107"/>
        <v>31</v>
      </c>
      <c r="K64" s="63">
        <f t="shared" si="108"/>
        <v>22</v>
      </c>
      <c r="L64" s="63" t="str">
        <f>IFERROR(VLOOKUP(MID(G64,J64,K64-J64),[6]skilldef!$C:$D,2,FALSE),"-") &amp; " / " &amp; IFERROR(VLOOKUP(MID(G64,H64,I64-H64),[6]skilldef!$A:$B,2,FALSE),"-")</f>
        <v>- / ウィルス</v>
      </c>
      <c r="M64" s="63" t="str">
        <f t="shared" si="109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64" s="48" t="str">
        <f t="shared" si="74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64" s="63">
        <f t="shared" si="6"/>
        <v>9</v>
      </c>
      <c r="P64" s="63">
        <f t="shared" si="110"/>
        <v>18</v>
      </c>
      <c r="Q64" s="63">
        <f t="shared" si="111"/>
        <v>27</v>
      </c>
      <c r="R64" s="63">
        <f t="shared" si="112"/>
        <v>33</v>
      </c>
      <c r="S64" s="63" t="str">
        <f>IFERROR(VLOOKUP(MID(N64,Q64,R64-Q64),[6]skilldef!$C:$D,2,FALSE),"-") &amp; " / " &amp; IFERROR(VLOOKUP(MID(N64,O64,P64-O64),[6]skilldef!$A:$B,2,FALSE),"-")</f>
        <v>自分自身に / 状態異常耐性</v>
      </c>
      <c r="T64" s="48" t="str">
        <f t="shared" si="113"/>
        <v>[effect:tolerance, target:myself, turn:-1, tolerance_effect:virus, count:-1],[effect:tolerance, target:myself, turn:-1, tolerance_effect:sleep, count:-1, animation:enemy_tolerance]</v>
      </c>
      <c r="U64" s="63">
        <f t="shared" si="11"/>
        <v>9</v>
      </c>
      <c r="V64" s="63">
        <f t="shared" si="114"/>
        <v>18</v>
      </c>
      <c r="W64" s="63">
        <f t="shared" si="115"/>
        <v>27</v>
      </c>
      <c r="X64" s="63">
        <f t="shared" si="116"/>
        <v>33</v>
      </c>
      <c r="Y64" s="63" t="str">
        <f>IFERROR(VLOOKUP(MID(T64,W64,X64-W64),[6]skilldef!$C:$D,2,FALSE),"-") &amp; " / " &amp; IFERROR(VLOOKUP(MID(T64,U64,V64-U64),[6]skilldef!$A:$B,2,FALSE),"-")</f>
        <v>自分自身に / 状態異常耐性</v>
      </c>
      <c r="Z64" s="50"/>
      <c r="AA64" s="52"/>
      <c r="AB64" s="50"/>
    </row>
    <row r="65" spans="1:28" ht="21" customHeight="1" x14ac:dyDescent="0.15">
      <c r="A65" s="47">
        <v>40017064</v>
      </c>
      <c r="B65" s="47" t="s">
        <v>325</v>
      </c>
      <c r="C65" s="50">
        <v>3</v>
      </c>
      <c r="D65" s="50" t="s">
        <v>127</v>
      </c>
      <c r="E65" s="109" t="s">
        <v>486</v>
      </c>
      <c r="F65" s="51" t="s">
        <v>296</v>
      </c>
      <c r="G65" s="63" t="str">
        <f t="shared" ref="G65" si="117">IFERROR(LEFT(B65,FIND("],",B65)),B65)</f>
        <v>[effect:virus, turn:7, target:unit_all, rate:1, val:0.2, animation:enemy_virus]</v>
      </c>
      <c r="H65" s="63">
        <f t="shared" ref="H65" si="118">FIND("effect:",G65)+7</f>
        <v>9</v>
      </c>
      <c r="I65" s="63">
        <f t="shared" ref="I65" si="119">IFERROR(FIND(",",G65),LEN(G65))</f>
        <v>14</v>
      </c>
      <c r="J65" s="63">
        <f t="shared" ref="J65" si="120">FIND("target:",G65)+7</f>
        <v>31</v>
      </c>
      <c r="K65" s="63">
        <f t="shared" ref="K65" si="121">FIND(",",G65,I65+1)</f>
        <v>22</v>
      </c>
      <c r="L65" s="63" t="str">
        <f>IFERROR(VLOOKUP(MID(G65,J65,K65-J65),[6]skilldef!$C:$D,2,FALSE),"-") &amp; " / " &amp; IFERROR(VLOOKUP(MID(G65,H65,I65-H65),[6]skilldef!$A:$B,2,FALSE),"-")</f>
        <v>- / ウィルス</v>
      </c>
      <c r="M65" s="63" t="str">
        <f t="shared" ref="M65" si="122">IFERROR(RIGHT(B65,LEN(B65)-FIND("],",B65)-1),"none")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65" s="48" t="str">
        <f t="shared" si="74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65" s="63">
        <f t="shared" ref="O65" si="123">FIND("effect:",N65)+7</f>
        <v>9</v>
      </c>
      <c r="P65" s="63">
        <f t="shared" ref="P65" si="124">IFERROR(FIND(",",N65),LEN(N65))</f>
        <v>18</v>
      </c>
      <c r="Q65" s="63">
        <f t="shared" ref="Q65" si="125">FIND("target:",N65)+7</f>
        <v>27</v>
      </c>
      <c r="R65" s="63">
        <f t="shared" ref="R65" si="126">FIND(",",N65,P65+1)</f>
        <v>33</v>
      </c>
      <c r="S65" s="63" t="str">
        <f>IFERROR(VLOOKUP(MID(N65,Q65,R65-Q65),[6]skilldef!$C:$D,2,FALSE),"-") &amp; " / " &amp; IFERROR(VLOOKUP(MID(N65,O65,P65-O65),[6]skilldef!$A:$B,2,FALSE),"-")</f>
        <v>自分自身に / 状態異常耐性</v>
      </c>
      <c r="T65" s="48" t="str">
        <f t="shared" ref="T65" si="127">IFERROR(RIGHT(M65,LEN(M65)-FIND("],",M65)-1),"none")</f>
        <v>[effect:tolerance, target:myself, turn:-1, tolerance_effect:virus, count:-1],[effect:tolerance, target:myself, turn:-1, tolerance_effect:sleep, count:-1, animation:enemy_tolerance]</v>
      </c>
      <c r="U65" s="63">
        <f t="shared" ref="U65" si="128">FIND("effect:",T65)+7</f>
        <v>9</v>
      </c>
      <c r="V65" s="63">
        <f t="shared" ref="V65" si="129">IFERROR(FIND(",",T65),LEN(T65))</f>
        <v>18</v>
      </c>
      <c r="W65" s="63">
        <f t="shared" ref="W65" si="130">FIND("target:",T65)+7</f>
        <v>27</v>
      </c>
      <c r="X65" s="63">
        <f t="shared" ref="X65" si="131">FIND(",",T65,V65+1)</f>
        <v>33</v>
      </c>
      <c r="Y65" s="63" t="str">
        <f>IFERROR(VLOOKUP(MID(T65,W65,X65-W65),[6]skilldef!$C:$D,2,FALSE),"-") &amp; " / " &amp; IFERROR(VLOOKUP(MID(T65,U65,V65-U65),[6]skilldef!$A:$B,2,FALSE),"-")</f>
        <v>自分自身に / 状態異常耐性</v>
      </c>
      <c r="Z65" s="50"/>
      <c r="AA65" s="52"/>
      <c r="AB65" s="50"/>
    </row>
    <row r="66" spans="1:28" ht="21" customHeight="1" x14ac:dyDescent="0.15">
      <c r="A66" s="47">
        <v>40017065</v>
      </c>
      <c r="B66" s="47" t="s">
        <v>325</v>
      </c>
      <c r="C66" s="50">
        <v>3</v>
      </c>
      <c r="D66" s="50" t="s">
        <v>127</v>
      </c>
      <c r="E66" s="109" t="s">
        <v>487</v>
      </c>
      <c r="F66" s="51" t="s">
        <v>296</v>
      </c>
      <c r="G66" s="63" t="str">
        <f t="shared" si="105"/>
        <v>[effect:virus, turn:7, target:unit_all, rate:1, val:0.2, animation:enemy_virus]</v>
      </c>
      <c r="H66" s="63">
        <f t="shared" si="1"/>
        <v>9</v>
      </c>
      <c r="I66" s="63">
        <f t="shared" si="106"/>
        <v>14</v>
      </c>
      <c r="J66" s="63">
        <f t="shared" si="107"/>
        <v>31</v>
      </c>
      <c r="K66" s="63">
        <f t="shared" si="108"/>
        <v>22</v>
      </c>
      <c r="L66" s="63" t="str">
        <f>IFERROR(VLOOKUP(MID(G66,J66,K66-J66),[6]skilldef!$C:$D,2,FALSE),"-") &amp; " / " &amp; IFERROR(VLOOKUP(MID(G66,H66,I66-H66),[6]skilldef!$A:$B,2,FALSE),"-")</f>
        <v>- / ウィルス</v>
      </c>
      <c r="M66" s="63" t="str">
        <f t="shared" si="109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66" s="48" t="str">
        <f>IFERROR(LEFT(M66,FIND("],",M66)+S77),M66)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66" s="63">
        <f t="shared" si="6"/>
        <v>9</v>
      </c>
      <c r="P66" s="63">
        <f t="shared" si="110"/>
        <v>18</v>
      </c>
      <c r="Q66" s="63">
        <f t="shared" si="111"/>
        <v>27</v>
      </c>
      <c r="R66" s="63">
        <f t="shared" si="112"/>
        <v>33</v>
      </c>
      <c r="S66" s="63" t="str">
        <f>IFERROR(VLOOKUP(MID(N66,Q66,R66-Q66),[6]skilldef!$C:$D,2,FALSE),"-") &amp; " / " &amp; IFERROR(VLOOKUP(MID(N66,O66,P66-O66),[6]skilldef!$A:$B,2,FALSE),"-")</f>
        <v>自分自身に / 状態異常耐性</v>
      </c>
      <c r="T66" s="48" t="str">
        <f t="shared" si="113"/>
        <v>[effect:tolerance, target:myself, turn:-1, tolerance_effect:virus, count:-1],[effect:tolerance, target:myself, turn:-1, tolerance_effect:sleep, count:-1, animation:enemy_tolerance]</v>
      </c>
      <c r="U66" s="63">
        <f t="shared" si="11"/>
        <v>9</v>
      </c>
      <c r="V66" s="63">
        <f t="shared" si="114"/>
        <v>18</v>
      </c>
      <c r="W66" s="63">
        <f t="shared" si="115"/>
        <v>27</v>
      </c>
      <c r="X66" s="63">
        <f t="shared" si="116"/>
        <v>33</v>
      </c>
      <c r="Y66" s="63" t="str">
        <f>IFERROR(VLOOKUP(MID(T66,W66,X66-W66),[6]skilldef!$C:$D,2,FALSE),"-") &amp; " / " &amp; IFERROR(VLOOKUP(MID(T66,U66,V66-U66),[6]skilldef!$A:$B,2,FALSE),"-")</f>
        <v>自分自身に / 状態異常耐性</v>
      </c>
      <c r="Z66" s="50"/>
      <c r="AA66" s="52"/>
      <c r="AB66" s="50"/>
    </row>
    <row r="67" spans="1:28" ht="21" customHeight="1" x14ac:dyDescent="0.15">
      <c r="A67" s="47">
        <v>40017066</v>
      </c>
      <c r="B67" s="47" t="s">
        <v>324</v>
      </c>
      <c r="C67" s="50">
        <v>3</v>
      </c>
      <c r="D67" s="50" t="s">
        <v>127</v>
      </c>
      <c r="E67" s="109" t="s">
        <v>487</v>
      </c>
      <c r="F67" s="51" t="s">
        <v>296</v>
      </c>
      <c r="G67" s="63" t="str">
        <f t="shared" ref="G67" si="132">IFERROR(LEFT(B67,FIND("],",B67)),B67)</f>
        <v>[effect:virus, turn:7, target:unit_all, rate:1, val:0.2, animation:enemy_virus]</v>
      </c>
      <c r="H67" s="63">
        <f t="shared" ref="H67" si="133">FIND("effect:",G67)+7</f>
        <v>9</v>
      </c>
      <c r="I67" s="63">
        <f t="shared" ref="I67" si="134">IFERROR(FIND(",",G67),LEN(G67))</f>
        <v>14</v>
      </c>
      <c r="J67" s="63">
        <f t="shared" ref="J67" si="135">FIND("target:",G67)+7</f>
        <v>31</v>
      </c>
      <c r="K67" s="63">
        <f t="shared" ref="K67" si="136">FIND(",",G67,I67+1)</f>
        <v>22</v>
      </c>
      <c r="L67" s="63" t="str">
        <f>IFERROR(VLOOKUP(MID(G67,J67,K67-J67),[6]skilldef!$C:$D,2,FALSE),"-") &amp; " / " &amp; IFERROR(VLOOKUP(MID(G67,H67,I67-H67),[6]skilldef!$A:$B,2,FALSE),"-")</f>
        <v>- / ウィルス</v>
      </c>
      <c r="M67" s="63" t="str">
        <f t="shared" ref="M67" si="137">IFERROR(RIGHT(B67,LEN(B67)-FIND("],",B67)-1),"none")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67" s="48" t="str">
        <f>IFERROR(LEFT(M67,FIND("],",M67)+S78),M67)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67" s="63">
        <f t="shared" ref="O67" si="138">FIND("effect:",N67)+7</f>
        <v>9</v>
      </c>
      <c r="P67" s="63">
        <f t="shared" ref="P67" si="139">IFERROR(FIND(",",N67),LEN(N67))</f>
        <v>18</v>
      </c>
      <c r="Q67" s="63">
        <f t="shared" ref="Q67" si="140">FIND("target:",N67)+7</f>
        <v>27</v>
      </c>
      <c r="R67" s="63">
        <f t="shared" ref="R67" si="141">FIND(",",N67,P67+1)</f>
        <v>33</v>
      </c>
      <c r="S67" s="63" t="str">
        <f>IFERROR(VLOOKUP(MID(N67,Q67,R67-Q67),[6]skilldef!$C:$D,2,FALSE),"-") &amp; " / " &amp; IFERROR(VLOOKUP(MID(N67,O67,P67-O67),[6]skilldef!$A:$B,2,FALSE),"-")</f>
        <v>自分自身に / 状態異常耐性</v>
      </c>
      <c r="T67" s="48" t="str">
        <f t="shared" ref="T67" si="142">IFERROR(RIGHT(M67,LEN(M67)-FIND("],",M67)-1),"none")</f>
        <v>[effect:tolerance, target:myself, turn:-1, tolerance_effect:virus, count:-1],[effect:tolerance, target:myself, turn:-1, tolerance_effect:sleep, count:-1, animation:enemy_tolerance]</v>
      </c>
      <c r="U67" s="63">
        <f t="shared" ref="U67" si="143">FIND("effect:",T67)+7</f>
        <v>9</v>
      </c>
      <c r="V67" s="63">
        <f t="shared" ref="V67" si="144">IFERROR(FIND(",",T67),LEN(T67))</f>
        <v>18</v>
      </c>
      <c r="W67" s="63">
        <f t="shared" ref="W67" si="145">FIND("target:",T67)+7</f>
        <v>27</v>
      </c>
      <c r="X67" s="63">
        <f t="shared" ref="X67" si="146">FIND(",",T67,V67+1)</f>
        <v>33</v>
      </c>
      <c r="Y67" s="63" t="str">
        <f>IFERROR(VLOOKUP(MID(T67,W67,X67-W67),[6]skilldef!$C:$D,2,FALSE),"-") &amp; " / " &amp; IFERROR(VLOOKUP(MID(T67,U67,V67-U67),[6]skilldef!$A:$B,2,FALSE),"-")</f>
        <v>自分自身に / 状態異常耐性</v>
      </c>
      <c r="Z67" s="50"/>
      <c r="AA67" s="52"/>
      <c r="AB67" s="50"/>
    </row>
    <row r="68" spans="1:28" ht="21" customHeight="1" x14ac:dyDescent="0.15">
      <c r="A68" s="47">
        <v>40017067</v>
      </c>
      <c r="B68" s="47" t="s">
        <v>325</v>
      </c>
      <c r="C68" s="50">
        <v>3</v>
      </c>
      <c r="D68" s="50" t="s">
        <v>127</v>
      </c>
      <c r="E68" s="109" t="s">
        <v>488</v>
      </c>
      <c r="F68" s="51" t="s">
        <v>296</v>
      </c>
      <c r="G68" s="63" t="str">
        <f t="shared" si="105"/>
        <v>[effect:virus, turn:7, target:unit_all, rate:1, val:0.2, animation:enemy_virus]</v>
      </c>
      <c r="H68" s="63">
        <f t="shared" si="1"/>
        <v>9</v>
      </c>
      <c r="I68" s="63">
        <f t="shared" si="106"/>
        <v>14</v>
      </c>
      <c r="J68" s="63">
        <f t="shared" si="107"/>
        <v>31</v>
      </c>
      <c r="K68" s="63">
        <f t="shared" si="108"/>
        <v>22</v>
      </c>
      <c r="L68" s="63" t="str">
        <f>IFERROR(VLOOKUP(MID(G68,J68,K68-J68),[6]skilldef!$C:$D,2,FALSE),"-") &amp; " / " &amp; IFERROR(VLOOKUP(MID(G68,H68,I68-H68),[6]skilldef!$A:$B,2,FALSE),"-")</f>
        <v>- / ウィルス</v>
      </c>
      <c r="M68" s="63" t="str">
        <f t="shared" si="109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68" s="48" t="str">
        <f t="shared" ref="N68" si="147">IFERROR(LEFT(M68,FIND("],",M68)+S78),M68)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68" s="63">
        <f t="shared" si="6"/>
        <v>9</v>
      </c>
      <c r="P68" s="63">
        <f t="shared" si="110"/>
        <v>18</v>
      </c>
      <c r="Q68" s="63">
        <f t="shared" si="111"/>
        <v>27</v>
      </c>
      <c r="R68" s="63">
        <f t="shared" si="112"/>
        <v>33</v>
      </c>
      <c r="S68" s="63" t="str">
        <f>IFERROR(VLOOKUP(MID(N68,Q68,R68-Q68),[6]skilldef!$C:$D,2,FALSE),"-") &amp; " / " &amp; IFERROR(VLOOKUP(MID(N68,O68,P68-O68),[6]skilldef!$A:$B,2,FALSE),"-")</f>
        <v>自分自身に / 状態異常耐性</v>
      </c>
      <c r="T68" s="48" t="str">
        <f t="shared" si="113"/>
        <v>[effect:tolerance, target:myself, turn:-1, tolerance_effect:virus, count:-1],[effect:tolerance, target:myself, turn:-1, tolerance_effect:sleep, count:-1, animation:enemy_tolerance]</v>
      </c>
      <c r="U68" s="63">
        <f t="shared" si="11"/>
        <v>9</v>
      </c>
      <c r="V68" s="63">
        <f t="shared" si="114"/>
        <v>18</v>
      </c>
      <c r="W68" s="63">
        <f t="shared" si="115"/>
        <v>27</v>
      </c>
      <c r="X68" s="63">
        <f t="shared" si="116"/>
        <v>33</v>
      </c>
      <c r="Y68" s="63" t="str">
        <f>IFERROR(VLOOKUP(MID(T68,W68,X68-W68),[6]skilldef!$C:$D,2,FALSE),"-") &amp; " / " &amp; IFERROR(VLOOKUP(MID(T68,U68,V68-U68),[6]skilldef!$A:$B,2,FALSE),"-")</f>
        <v>自分自身に / 状態異常耐性</v>
      </c>
      <c r="Z68" s="50"/>
      <c r="AA68" s="52"/>
      <c r="AB68" s="50"/>
    </row>
    <row r="69" spans="1:28" ht="21" customHeight="1" x14ac:dyDescent="0.15">
      <c r="A69" s="47">
        <v>40017068</v>
      </c>
      <c r="B69" s="47" t="s">
        <v>305</v>
      </c>
      <c r="C69" s="50">
        <v>3</v>
      </c>
      <c r="D69" s="50" t="s">
        <v>127</v>
      </c>
      <c r="E69" s="109" t="s">
        <v>313</v>
      </c>
      <c r="F69" s="51" t="s">
        <v>236</v>
      </c>
      <c r="G69" s="63" t="str">
        <f t="shared" si="105"/>
        <v>[effect:critical, val:1.2]</v>
      </c>
      <c r="H69" s="63">
        <f t="shared" si="1"/>
        <v>9</v>
      </c>
      <c r="I69" s="63">
        <f t="shared" si="106"/>
        <v>17</v>
      </c>
      <c r="J69" s="63" t="e">
        <f t="shared" si="107"/>
        <v>#VALUE!</v>
      </c>
      <c r="K69" s="63" t="e">
        <f t="shared" si="108"/>
        <v>#VALUE!</v>
      </c>
      <c r="L69" s="63" t="str">
        <f>IFERROR(VLOOKUP(MID(G69,J69,K69-J69),[6]skilldef!$C:$D,2,FALSE),"-") &amp; " / " &amp; IFERROR(VLOOKUP(MID(G69,H69,I69-H69),[6]skilldef!$A:$B,2,FALSE),"-")</f>
        <v>- / 大攻撃</v>
      </c>
      <c r="M69" s="63" t="str">
        <f t="shared" si="109"/>
        <v>none</v>
      </c>
      <c r="N69" s="48" t="str">
        <f>IFERROR(LEFT(M69,FIND("],",M69)+S80),M69)</f>
        <v>none</v>
      </c>
      <c r="O69" s="63" t="e">
        <f t="shared" si="6"/>
        <v>#VALUE!</v>
      </c>
      <c r="P69" s="63">
        <f t="shared" si="110"/>
        <v>4</v>
      </c>
      <c r="Q69" s="63" t="e">
        <f t="shared" si="111"/>
        <v>#VALUE!</v>
      </c>
      <c r="R69" s="63" t="e">
        <f t="shared" si="112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113"/>
        <v>none</v>
      </c>
      <c r="U69" s="63" t="e">
        <f t="shared" si="11"/>
        <v>#VALUE!</v>
      </c>
      <c r="V69" s="63">
        <f t="shared" si="114"/>
        <v>4</v>
      </c>
      <c r="W69" s="63" t="e">
        <f t="shared" si="115"/>
        <v>#VALUE!</v>
      </c>
      <c r="X69" s="63" t="e">
        <f t="shared" si="116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A70" s="47">
        <v>40017069</v>
      </c>
      <c r="B70" s="47" t="s">
        <v>422</v>
      </c>
      <c r="C70" s="50">
        <v>3</v>
      </c>
      <c r="D70" s="50" t="s">
        <v>127</v>
      </c>
      <c r="E70" s="109" t="s">
        <v>314</v>
      </c>
      <c r="F70" s="51" t="s">
        <v>252</v>
      </c>
      <c r="G70" s="63" t="str">
        <f t="shared" si="105"/>
        <v>[effect:virus, turn:7, target:unit_all, rate:1, val:0.2, animation:enemy_virus]</v>
      </c>
      <c r="H70" s="63">
        <f t="shared" si="1"/>
        <v>9</v>
      </c>
      <c r="I70" s="63">
        <f t="shared" si="106"/>
        <v>14</v>
      </c>
      <c r="J70" s="63">
        <f t="shared" si="107"/>
        <v>31</v>
      </c>
      <c r="K70" s="63">
        <f t="shared" si="108"/>
        <v>22</v>
      </c>
      <c r="L70" s="63" t="str">
        <f>IFERROR(VLOOKUP(MID(G70,J70,K70-J70),[6]skilldef!$C:$D,2,FALSE),"-") &amp; " / " &amp; IFERROR(VLOOKUP(MID(G70,H70,I70-H70),[6]skilldef!$A:$B,2,FALSE),"-")</f>
        <v>- / ウィルス</v>
      </c>
      <c r="M70" s="63" t="str">
        <f t="shared" si="109"/>
        <v>none</v>
      </c>
      <c r="N70" s="48" t="str">
        <f t="shared" ref="N70:N75" si="148">IFERROR(LEFT(M70,FIND("],",M70)+S82),M70)</f>
        <v>none</v>
      </c>
      <c r="O70" s="63" t="e">
        <f t="shared" si="6"/>
        <v>#VALUE!</v>
      </c>
      <c r="P70" s="63">
        <f t="shared" si="110"/>
        <v>4</v>
      </c>
      <c r="Q70" s="63" t="e">
        <f t="shared" si="111"/>
        <v>#VALUE!</v>
      </c>
      <c r="R70" s="63" t="e">
        <f t="shared" si="112"/>
        <v>#VALUE!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113"/>
        <v>none</v>
      </c>
      <c r="U70" s="63" t="e">
        <f t="shared" si="11"/>
        <v>#VALUE!</v>
      </c>
      <c r="V70" s="63">
        <f t="shared" si="114"/>
        <v>4</v>
      </c>
      <c r="W70" s="63" t="e">
        <f t="shared" si="115"/>
        <v>#VALUE!</v>
      </c>
      <c r="X70" s="63" t="e">
        <f t="shared" si="116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 x14ac:dyDescent="0.15">
      <c r="A71" s="47">
        <v>40017070</v>
      </c>
      <c r="B71" s="47" t="s">
        <v>304</v>
      </c>
      <c r="C71" s="50">
        <v>3</v>
      </c>
      <c r="D71" s="50" t="s">
        <v>127</v>
      </c>
      <c r="E71" s="109" t="s">
        <v>315</v>
      </c>
      <c r="F71" s="51" t="s">
        <v>253</v>
      </c>
      <c r="G71" s="63" t="str">
        <f t="shared" si="105"/>
        <v>[effect:break_heal_ratio, val:0.02, lowest_val:3000, count:-1, block:block_blue, target:myself, animation:enemy_heal]</v>
      </c>
      <c r="H71" s="63">
        <f t="shared" si="1"/>
        <v>9</v>
      </c>
      <c r="I71" s="63">
        <f t="shared" si="106"/>
        <v>25</v>
      </c>
      <c r="J71" s="63">
        <f t="shared" si="107"/>
        <v>89</v>
      </c>
      <c r="K71" s="63">
        <f t="shared" si="108"/>
        <v>35</v>
      </c>
      <c r="L71" s="63" t="str">
        <f>IFERROR(VLOOKUP(MID(G71,J71,K71-J71),[6]skilldef!$C:$D,2,FALSE),"-") &amp; " / " &amp; IFERROR(VLOOKUP(MID(G71,H71,I71-H71),[6]skilldef!$A:$B,2,FALSE),"-")</f>
        <v>- / -</v>
      </c>
      <c r="M71" s="63" t="str">
        <f t="shared" si="109"/>
        <v>none</v>
      </c>
      <c r="N71" s="48" t="str">
        <f t="shared" si="148"/>
        <v>none</v>
      </c>
      <c r="O71" s="63" t="e">
        <f t="shared" si="6"/>
        <v>#VALUE!</v>
      </c>
      <c r="P71" s="63">
        <f t="shared" si="110"/>
        <v>4</v>
      </c>
      <c r="Q71" s="63" t="e">
        <f t="shared" si="111"/>
        <v>#VALUE!</v>
      </c>
      <c r="R71" s="63" t="e">
        <f t="shared" si="112"/>
        <v>#VALUE!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113"/>
        <v>none</v>
      </c>
      <c r="U71" s="63" t="e">
        <f t="shared" si="11"/>
        <v>#VALUE!</v>
      </c>
      <c r="V71" s="63">
        <f t="shared" si="114"/>
        <v>4</v>
      </c>
      <c r="W71" s="63" t="e">
        <f t="shared" si="115"/>
        <v>#VALUE!</v>
      </c>
      <c r="X71" s="63" t="e">
        <f t="shared" si="116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 x14ac:dyDescent="0.15">
      <c r="A72" s="47">
        <v>40017071</v>
      </c>
      <c r="B72" s="47" t="s">
        <v>311</v>
      </c>
      <c r="C72" s="50">
        <v>3</v>
      </c>
      <c r="D72" s="50" t="s">
        <v>127</v>
      </c>
      <c r="E72" s="109" t="s">
        <v>316</v>
      </c>
      <c r="F72" s="51" t="s">
        <v>254</v>
      </c>
      <c r="G72" s="63" t="str">
        <f t="shared" si="105"/>
        <v>[effect:break_heal_ratio, val:0.02, lowest_val:3000, count:-1, block:block_red, target:myself, animation:enemy_heal]</v>
      </c>
      <c r="H72" s="63">
        <f t="shared" si="1"/>
        <v>9</v>
      </c>
      <c r="I72" s="63">
        <f t="shared" si="106"/>
        <v>25</v>
      </c>
      <c r="J72" s="63">
        <f t="shared" si="107"/>
        <v>88</v>
      </c>
      <c r="K72" s="63">
        <f t="shared" si="108"/>
        <v>35</v>
      </c>
      <c r="L72" s="63" t="str">
        <f>IFERROR(VLOOKUP(MID(G72,J72,K72-J72),[6]skilldef!$C:$D,2,FALSE),"-") &amp; " / " &amp; IFERROR(VLOOKUP(MID(G72,H72,I72-H72),[6]skilldef!$A:$B,2,FALSE),"-")</f>
        <v>- / -</v>
      </c>
      <c r="M72" s="63" t="str">
        <f t="shared" si="109"/>
        <v>none</v>
      </c>
      <c r="N72" s="48" t="str">
        <f t="shared" si="148"/>
        <v>none</v>
      </c>
      <c r="O72" s="63" t="e">
        <f t="shared" si="6"/>
        <v>#VALUE!</v>
      </c>
      <c r="P72" s="63">
        <f t="shared" si="110"/>
        <v>4</v>
      </c>
      <c r="Q72" s="63" t="e">
        <f t="shared" si="111"/>
        <v>#VALUE!</v>
      </c>
      <c r="R72" s="63" t="e">
        <f t="shared" si="112"/>
        <v>#VALUE!</v>
      </c>
      <c r="S72" s="63" t="str">
        <f>IFERROR(VLOOKUP(MID(N72,Q72,R72-Q72),[6]skilldef!$C:$D,2,FALSE),"-") &amp; " / " &amp; IFERROR(VLOOKUP(MID(N72,O72,P72-O72),[6]skilldef!$A:$B,2,FALSE),"-")</f>
        <v>- / -</v>
      </c>
      <c r="T72" s="48" t="str">
        <f t="shared" si="113"/>
        <v>none</v>
      </c>
      <c r="U72" s="63" t="e">
        <f t="shared" si="11"/>
        <v>#VALUE!</v>
      </c>
      <c r="V72" s="63">
        <f t="shared" si="114"/>
        <v>4</v>
      </c>
      <c r="W72" s="63" t="e">
        <f t="shared" si="115"/>
        <v>#VALUE!</v>
      </c>
      <c r="X72" s="63" t="e">
        <f t="shared" si="116"/>
        <v>#VALUE!</v>
      </c>
      <c r="Y72" s="63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8" ht="21" customHeight="1" x14ac:dyDescent="0.15">
      <c r="A73" s="47">
        <v>40017072</v>
      </c>
      <c r="B73" s="47" t="s">
        <v>312</v>
      </c>
      <c r="C73" s="50">
        <v>3</v>
      </c>
      <c r="D73" s="50" t="s">
        <v>127</v>
      </c>
      <c r="E73" s="109" t="s">
        <v>489</v>
      </c>
      <c r="F73" s="51" t="s">
        <v>255</v>
      </c>
      <c r="G73" s="63" t="str">
        <f t="shared" si="105"/>
        <v>[effect:break_heal_ratio, val:0.02, lowest_val:3000, count:-1, block:block_yellow, target:myself, animation:enemy_heal]</v>
      </c>
      <c r="H73" s="63">
        <f t="shared" si="1"/>
        <v>9</v>
      </c>
      <c r="I73" s="63">
        <f t="shared" si="106"/>
        <v>25</v>
      </c>
      <c r="J73" s="63">
        <f t="shared" si="107"/>
        <v>91</v>
      </c>
      <c r="K73" s="63">
        <f t="shared" si="108"/>
        <v>35</v>
      </c>
      <c r="L73" s="63" t="str">
        <f>IFERROR(VLOOKUP(MID(G73,J73,K73-J73),[6]skilldef!$C:$D,2,FALSE),"-") &amp; " / " &amp; IFERROR(VLOOKUP(MID(G73,H73,I73-H73),[6]skilldef!$A:$B,2,FALSE),"-")</f>
        <v>- / -</v>
      </c>
      <c r="M73" s="63" t="str">
        <f t="shared" si="109"/>
        <v>none</v>
      </c>
      <c r="N73" s="48" t="str">
        <f t="shared" si="148"/>
        <v>none</v>
      </c>
      <c r="O73" s="63" t="e">
        <f t="shared" si="6"/>
        <v>#VALUE!</v>
      </c>
      <c r="P73" s="63">
        <f t="shared" si="110"/>
        <v>4</v>
      </c>
      <c r="Q73" s="63" t="e">
        <f t="shared" si="111"/>
        <v>#VALUE!</v>
      </c>
      <c r="R73" s="63" t="e">
        <f t="shared" si="112"/>
        <v>#VALUE!</v>
      </c>
      <c r="S73" s="63" t="str">
        <f>IFERROR(VLOOKUP(MID(N73,Q73,R73-Q73),[6]skilldef!$C:$D,2,FALSE),"-") &amp; " / " &amp; IFERROR(VLOOKUP(MID(N73,O73,P73-O73),[6]skilldef!$A:$B,2,FALSE),"-")</f>
        <v>- / -</v>
      </c>
      <c r="T73" s="48" t="str">
        <f t="shared" si="113"/>
        <v>none</v>
      </c>
      <c r="U73" s="63" t="e">
        <f t="shared" si="11"/>
        <v>#VALUE!</v>
      </c>
      <c r="V73" s="63">
        <f t="shared" si="114"/>
        <v>4</v>
      </c>
      <c r="W73" s="63" t="e">
        <f t="shared" si="115"/>
        <v>#VALUE!</v>
      </c>
      <c r="X73" s="63" t="e">
        <f t="shared" si="116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8" ht="21" customHeight="1" x14ac:dyDescent="0.15">
      <c r="A74" s="47">
        <v>40017073</v>
      </c>
      <c r="B74" s="47" t="s">
        <v>303</v>
      </c>
      <c r="C74" s="50">
        <v>3</v>
      </c>
      <c r="D74" s="50" t="s">
        <v>127</v>
      </c>
      <c r="E74" s="109" t="s">
        <v>490</v>
      </c>
      <c r="F74" s="51" t="s">
        <v>256</v>
      </c>
      <c r="G74" s="63" t="str">
        <f t="shared" si="105"/>
        <v>[effect:break_heal_ratio, val:0.02, lowest_val:3000, count:-1, block:block_green, target:myself, animation:enemy_heal]</v>
      </c>
      <c r="H74" s="63">
        <f t="shared" si="1"/>
        <v>9</v>
      </c>
      <c r="I74" s="63">
        <f t="shared" si="106"/>
        <v>25</v>
      </c>
      <c r="J74" s="63">
        <f t="shared" si="107"/>
        <v>90</v>
      </c>
      <c r="K74" s="63">
        <f t="shared" si="108"/>
        <v>35</v>
      </c>
      <c r="L74" s="63" t="str">
        <f>IFERROR(VLOOKUP(MID(G74,J74,K74-J74),[6]skilldef!$C:$D,2,FALSE),"-") &amp; " / " &amp; IFERROR(VLOOKUP(MID(G74,H74,I74-H74),[6]skilldef!$A:$B,2,FALSE),"-")</f>
        <v>- / -</v>
      </c>
      <c r="M74" s="63" t="str">
        <f t="shared" si="109"/>
        <v>none</v>
      </c>
      <c r="N74" s="48" t="str">
        <f t="shared" si="148"/>
        <v>none</v>
      </c>
      <c r="O74" s="63" t="e">
        <f t="shared" si="6"/>
        <v>#VALUE!</v>
      </c>
      <c r="P74" s="63">
        <f t="shared" si="110"/>
        <v>4</v>
      </c>
      <c r="Q74" s="63" t="e">
        <f t="shared" si="111"/>
        <v>#VALUE!</v>
      </c>
      <c r="R74" s="63" t="e">
        <f t="shared" si="112"/>
        <v>#VALUE!</v>
      </c>
      <c r="S74" s="63" t="str">
        <f>IFERROR(VLOOKUP(MID(N74,Q74,R74-Q74),[6]skilldef!$C:$D,2,FALSE),"-") &amp; " / " &amp; IFERROR(VLOOKUP(MID(N74,O74,P74-O74),[6]skilldef!$A:$B,2,FALSE),"-")</f>
        <v>- / -</v>
      </c>
      <c r="T74" s="48" t="str">
        <f t="shared" si="113"/>
        <v>none</v>
      </c>
      <c r="U74" s="63" t="e">
        <f t="shared" si="11"/>
        <v>#VALUE!</v>
      </c>
      <c r="V74" s="63">
        <f t="shared" si="114"/>
        <v>4</v>
      </c>
      <c r="W74" s="63" t="e">
        <f t="shared" si="115"/>
        <v>#VALUE!</v>
      </c>
      <c r="X74" s="63" t="e">
        <f t="shared" si="116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21" customHeight="1" x14ac:dyDescent="0.15">
      <c r="A75" s="47">
        <v>40017074</v>
      </c>
      <c r="B75" s="47" t="s">
        <v>251</v>
      </c>
      <c r="C75" s="50">
        <v>3</v>
      </c>
      <c r="D75" s="50" t="s">
        <v>127</v>
      </c>
      <c r="E75" s="109" t="s">
        <v>491</v>
      </c>
      <c r="F75" s="51" t="s">
        <v>519</v>
      </c>
      <c r="G75" s="63" t="str">
        <f t="shared" si="105"/>
        <v>[effect:freq_turn, target:myself, turn:-1, val:1, animation:enemy_freq_turn]</v>
      </c>
      <c r="H75" s="63">
        <f t="shared" si="1"/>
        <v>9</v>
      </c>
      <c r="I75" s="63">
        <f t="shared" si="106"/>
        <v>18</v>
      </c>
      <c r="J75" s="63">
        <f t="shared" si="107"/>
        <v>27</v>
      </c>
      <c r="K75" s="63">
        <f t="shared" si="108"/>
        <v>33</v>
      </c>
      <c r="L75" s="63" t="str">
        <f>IFERROR(VLOOKUP(MID(G75,J75,K75-J75),[6]skilldef!$C:$D,2,FALSE),"-") &amp; " / " &amp; IFERROR(VLOOKUP(MID(G75,H75,I75-H75),[6]skilldef!$A:$B,2,FALSE),"-")</f>
        <v>自分自身に / 攻撃頻度がUP</v>
      </c>
      <c r="M75" s="63" t="str">
        <f t="shared" si="109"/>
        <v>none</v>
      </c>
      <c r="N75" s="48" t="str">
        <f t="shared" si="148"/>
        <v>none</v>
      </c>
      <c r="O75" s="63" t="e">
        <f t="shared" si="6"/>
        <v>#VALUE!</v>
      </c>
      <c r="P75" s="63">
        <f t="shared" si="110"/>
        <v>4</v>
      </c>
      <c r="Q75" s="63" t="e">
        <f t="shared" si="111"/>
        <v>#VALUE!</v>
      </c>
      <c r="R75" s="63" t="e">
        <f t="shared" si="112"/>
        <v>#VALUE!</v>
      </c>
      <c r="S75" s="63" t="str">
        <f>IFERROR(VLOOKUP(MID(N75,Q75,R75-Q75),[6]skilldef!$C:$D,2,FALSE),"-") &amp; " / " &amp; IFERROR(VLOOKUP(MID(N75,O75,P75-O75),[6]skilldef!$A:$B,2,FALSE),"-")</f>
        <v>- / -</v>
      </c>
      <c r="T75" s="48" t="str">
        <f t="shared" si="113"/>
        <v>none</v>
      </c>
      <c r="U75" s="63" t="e">
        <f t="shared" si="11"/>
        <v>#VALUE!</v>
      </c>
      <c r="V75" s="63">
        <f t="shared" si="114"/>
        <v>4</v>
      </c>
      <c r="W75" s="63" t="e">
        <f t="shared" si="115"/>
        <v>#VALUE!</v>
      </c>
      <c r="X75" s="63" t="e">
        <f t="shared" si="116"/>
        <v>#VALUE!</v>
      </c>
      <c r="Y75" s="63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8" ht="21" customHeight="1" x14ac:dyDescent="0.15">
      <c r="A76" s="47">
        <v>40017075</v>
      </c>
      <c r="B76" s="47" t="s">
        <v>226</v>
      </c>
      <c r="C76" s="50">
        <v>3</v>
      </c>
      <c r="D76" s="50" t="s">
        <v>127</v>
      </c>
      <c r="E76" s="109" t="s">
        <v>257</v>
      </c>
      <c r="F76" s="51" t="s">
        <v>215</v>
      </c>
      <c r="G76" s="63" t="str">
        <f t="shared" si="105"/>
        <v>[effect:nothing]</v>
      </c>
      <c r="H76" s="63">
        <f t="shared" ref="H76:H91" si="149">FIND("effect:",G76)+7</f>
        <v>9</v>
      </c>
      <c r="I76" s="63">
        <f t="shared" si="106"/>
        <v>16</v>
      </c>
      <c r="J76" s="63" t="e">
        <f t="shared" si="107"/>
        <v>#VALUE!</v>
      </c>
      <c r="K76" s="63" t="e">
        <f t="shared" si="108"/>
        <v>#VALUE!</v>
      </c>
      <c r="L76" s="63" t="str">
        <f>IFERROR(VLOOKUP(MID(G76,J76,K76-J76),[6]skilldef!$C:$D,2,FALSE),"-") &amp; " / " &amp; IFERROR(VLOOKUP(MID(G76,H76,I76-H76),[6]skilldef!$A:$B,2,FALSE),"-")</f>
        <v>- / 何もしない</v>
      </c>
      <c r="M76" s="63" t="str">
        <f t="shared" si="109"/>
        <v>none</v>
      </c>
      <c r="N76" s="48" t="str">
        <f>IFERROR(LEFT(M76,FIND("],",M76)+#REF!),M76)</f>
        <v>none</v>
      </c>
      <c r="O76" s="63" t="e">
        <f t="shared" ref="O76:O91" si="150">FIND("effect:",N76)+7</f>
        <v>#VALUE!</v>
      </c>
      <c r="P76" s="63">
        <f t="shared" si="110"/>
        <v>4</v>
      </c>
      <c r="Q76" s="63" t="e">
        <f t="shared" si="111"/>
        <v>#VALUE!</v>
      </c>
      <c r="R76" s="63" t="e">
        <f t="shared" si="112"/>
        <v>#VALUE!</v>
      </c>
      <c r="S76" s="63" t="str">
        <f>IFERROR(VLOOKUP(MID(N76,Q76,R76-Q76),[6]skilldef!$C:$D,2,FALSE),"-") &amp; " / " &amp; IFERROR(VLOOKUP(MID(N76,O76,P76-O76),[6]skilldef!$A:$B,2,FALSE),"-")</f>
        <v>- / -</v>
      </c>
      <c r="T76" s="48" t="str">
        <f t="shared" si="113"/>
        <v>none</v>
      </c>
      <c r="U76" s="63" t="e">
        <f t="shared" ref="U76:U91" si="151">FIND("effect:",T76)+7</f>
        <v>#VALUE!</v>
      </c>
      <c r="V76" s="63">
        <f t="shared" si="114"/>
        <v>4</v>
      </c>
      <c r="W76" s="63" t="e">
        <f t="shared" si="115"/>
        <v>#VALUE!</v>
      </c>
      <c r="X76" s="63" t="e">
        <f t="shared" si="116"/>
        <v>#VALUE!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21" customHeight="1" x14ac:dyDescent="0.15">
      <c r="A77" s="47">
        <v>40017076</v>
      </c>
      <c r="B77" s="47" t="s">
        <v>226</v>
      </c>
      <c r="C77" s="50">
        <v>3</v>
      </c>
      <c r="D77" s="50" t="s">
        <v>127</v>
      </c>
      <c r="E77" s="109" t="s">
        <v>257</v>
      </c>
      <c r="F77" s="51" t="s">
        <v>215</v>
      </c>
      <c r="G77" s="63" t="str">
        <f t="shared" si="105"/>
        <v>[effect:nothing]</v>
      </c>
      <c r="H77" s="63">
        <f t="shared" si="149"/>
        <v>9</v>
      </c>
      <c r="I77" s="63">
        <f t="shared" si="106"/>
        <v>16</v>
      </c>
      <c r="J77" s="63" t="e">
        <f t="shared" si="107"/>
        <v>#VALUE!</v>
      </c>
      <c r="K77" s="63" t="e">
        <f t="shared" si="108"/>
        <v>#VALUE!</v>
      </c>
      <c r="L77" s="63" t="str">
        <f>IFERROR(VLOOKUP(MID(G77,J77,K77-J77),[6]skilldef!$C:$D,2,FALSE),"-") &amp; " / " &amp; IFERROR(VLOOKUP(MID(G77,H77,I77-H77),[6]skilldef!$A:$B,2,FALSE),"-")</f>
        <v>- / 何もしない</v>
      </c>
      <c r="M77" s="63" t="str">
        <f t="shared" si="109"/>
        <v>none</v>
      </c>
      <c r="N77" s="48" t="str">
        <f>IFERROR(LEFT(M77,FIND("],",M77)+#REF!),M77)</f>
        <v>none</v>
      </c>
      <c r="O77" s="63" t="e">
        <f t="shared" si="150"/>
        <v>#VALUE!</v>
      </c>
      <c r="P77" s="63">
        <f t="shared" si="110"/>
        <v>4</v>
      </c>
      <c r="Q77" s="63" t="e">
        <f t="shared" si="111"/>
        <v>#VALUE!</v>
      </c>
      <c r="R77" s="63" t="e">
        <f t="shared" si="112"/>
        <v>#VALUE!</v>
      </c>
      <c r="S77" s="63" t="str">
        <f>IFERROR(VLOOKUP(MID(N77,Q77,R77-Q77),[6]skilldef!$C:$D,2,FALSE),"-") &amp; " / " &amp; IFERROR(VLOOKUP(MID(N77,O77,P77-O77),[6]skilldef!$A:$B,2,FALSE),"-")</f>
        <v>- / -</v>
      </c>
      <c r="T77" s="48" t="str">
        <f t="shared" si="113"/>
        <v>none</v>
      </c>
      <c r="U77" s="63" t="e">
        <f t="shared" si="151"/>
        <v>#VALUE!</v>
      </c>
      <c r="V77" s="63">
        <f t="shared" si="114"/>
        <v>4</v>
      </c>
      <c r="W77" s="63" t="e">
        <f t="shared" si="115"/>
        <v>#VALUE!</v>
      </c>
      <c r="X77" s="63" t="e">
        <f t="shared" si="116"/>
        <v>#VALUE!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 x14ac:dyDescent="0.15">
      <c r="A78" s="47">
        <v>40017077</v>
      </c>
      <c r="B78" s="47" t="s">
        <v>326</v>
      </c>
      <c r="C78" s="50">
        <v>3</v>
      </c>
      <c r="D78" s="50" t="s">
        <v>127</v>
      </c>
      <c r="E78" s="108" t="s">
        <v>493</v>
      </c>
      <c r="F78" s="51" t="s">
        <v>498</v>
      </c>
      <c r="G78" s="63" t="str">
        <f t="shared" si="105"/>
        <v>[effect:tolerance, target:myself, turn:-1, tolerance_effect:hungup, count:-1]</v>
      </c>
      <c r="H78" s="63">
        <f t="shared" si="149"/>
        <v>9</v>
      </c>
      <c r="I78" s="63">
        <f t="shared" si="106"/>
        <v>18</v>
      </c>
      <c r="J78" s="63">
        <f t="shared" si="107"/>
        <v>27</v>
      </c>
      <c r="K78" s="63">
        <f t="shared" si="108"/>
        <v>33</v>
      </c>
      <c r="L78" s="63" t="str">
        <f>IFERROR(VLOOKUP(MID(G78,J78,K78-J78),[6]skilldef!$C:$D,2,FALSE),"-") &amp; " / " &amp; IFERROR(VLOOKUP(MID(G78,H78,I78-H78),[6]skilldef!$A:$B,2,FALSE),"-")</f>
        <v>自分自身に / 状態異常耐性</v>
      </c>
      <c r="M78" s="63" t="str">
        <f t="shared" si="109"/>
        <v>[effect:tolerance, target:myself, turn:-1, tolerance_effect:virus, count:-1],[effect:tolerance, target:myself, turn:-1, tolerance_effect:sleep, count:-1, animation:enemy_tolerance],[effect:fix_speed, target:myself, turn:1]</v>
      </c>
      <c r="N78" s="48" t="str">
        <f>IFERROR(LEFT(M78,FIND("],",M78)+#REF!),M78)</f>
        <v>[effect:tolerance, target:myself, turn:-1, tolerance_effect:virus, count:-1],[effect:tolerance, target:myself, turn:-1, tolerance_effect:sleep, count:-1, animation:enemy_tolerance],[effect:fix_speed, target:myself, turn:1]</v>
      </c>
      <c r="O78" s="63">
        <f t="shared" si="150"/>
        <v>9</v>
      </c>
      <c r="P78" s="63">
        <f t="shared" si="110"/>
        <v>18</v>
      </c>
      <c r="Q78" s="63">
        <f t="shared" si="111"/>
        <v>27</v>
      </c>
      <c r="R78" s="63">
        <f t="shared" si="112"/>
        <v>33</v>
      </c>
      <c r="S78" s="63" t="str">
        <f>IFERROR(VLOOKUP(MID(N78,Q78,R78-Q78),[6]skilldef!$C:$D,2,FALSE),"-") &amp; " / " &amp; IFERROR(VLOOKUP(MID(N78,O78,P78-O78),[6]skilldef!$A:$B,2,FALSE),"-")</f>
        <v>自分自身に / 状態異常耐性</v>
      </c>
      <c r="T78" s="48" t="str">
        <f t="shared" si="113"/>
        <v>[effect:tolerance, target:myself, turn:-1, tolerance_effect:sleep, count:-1, animation:enemy_tolerance],[effect:fix_speed, target:myself, turn:1]</v>
      </c>
      <c r="U78" s="63">
        <f t="shared" si="151"/>
        <v>9</v>
      </c>
      <c r="V78" s="63">
        <f t="shared" si="114"/>
        <v>18</v>
      </c>
      <c r="W78" s="63">
        <f t="shared" si="115"/>
        <v>27</v>
      </c>
      <c r="X78" s="63">
        <f t="shared" si="116"/>
        <v>33</v>
      </c>
      <c r="Y78" s="63" t="str">
        <f>IFERROR(VLOOKUP(MID(T78,W78,X78-W78),[6]skilldef!$C:$D,2,FALSE),"-") &amp; " / " &amp; IFERROR(VLOOKUP(MID(T78,U78,V78-U78),[6]skilldef!$A:$B,2,FALSE),"-")</f>
        <v>自分自身に / 状態異常耐性</v>
      </c>
      <c r="Z78" s="50"/>
      <c r="AA78" s="52"/>
      <c r="AB78" s="50"/>
    </row>
    <row r="79" spans="1:28" ht="21" customHeight="1" x14ac:dyDescent="0.15">
      <c r="A79" s="47">
        <v>40017078</v>
      </c>
      <c r="B79" s="47" t="s">
        <v>326</v>
      </c>
      <c r="C79" s="50">
        <v>3</v>
      </c>
      <c r="D79" s="50" t="s">
        <v>127</v>
      </c>
      <c r="E79" s="108" t="s">
        <v>493</v>
      </c>
      <c r="F79" s="51" t="s">
        <v>498</v>
      </c>
      <c r="G79" s="63" t="str">
        <f t="shared" ref="G79" si="152">IFERROR(LEFT(B79,FIND("],",B79)),B79)</f>
        <v>[effect:tolerance, target:myself, turn:-1, tolerance_effect:hungup, count:-1]</v>
      </c>
      <c r="H79" s="63">
        <f t="shared" ref="H79" si="153">FIND("effect:",G79)+7</f>
        <v>9</v>
      </c>
      <c r="I79" s="63">
        <f t="shared" ref="I79" si="154">IFERROR(FIND(",",G79),LEN(G79))</f>
        <v>18</v>
      </c>
      <c r="J79" s="63">
        <f t="shared" ref="J79" si="155">FIND("target:",G79)+7</f>
        <v>27</v>
      </c>
      <c r="K79" s="63">
        <f t="shared" ref="K79" si="156">FIND(",",G79,I79+1)</f>
        <v>33</v>
      </c>
      <c r="L79" s="63" t="str">
        <f>IFERROR(VLOOKUP(MID(G79,J79,K79-J79),[6]skilldef!$C:$D,2,FALSE),"-") &amp; " / " &amp; IFERROR(VLOOKUP(MID(G79,H79,I79-H79),[6]skilldef!$A:$B,2,FALSE),"-")</f>
        <v>自分自身に / 状態異常耐性</v>
      </c>
      <c r="M79" s="63" t="str">
        <f t="shared" ref="M79" si="157">IFERROR(RIGHT(B79,LEN(B79)-FIND("],",B79)-1),"none")</f>
        <v>[effect:tolerance, target:myself, turn:-1, tolerance_effect:virus, count:-1],[effect:tolerance, target:myself, turn:-1, tolerance_effect:sleep, count:-1, animation:enemy_tolerance],[effect:fix_speed, target:myself, turn:1]</v>
      </c>
      <c r="N79" s="48" t="str">
        <f>IFERROR(LEFT(M79,FIND("],",M79)+#REF!),M79)</f>
        <v>[effect:tolerance, target:myself, turn:-1, tolerance_effect:virus, count:-1],[effect:tolerance, target:myself, turn:-1, tolerance_effect:sleep, count:-1, animation:enemy_tolerance],[effect:fix_speed, target:myself, turn:1]</v>
      </c>
      <c r="O79" s="63">
        <f t="shared" ref="O79" si="158">FIND("effect:",N79)+7</f>
        <v>9</v>
      </c>
      <c r="P79" s="63">
        <f t="shared" ref="P79" si="159">IFERROR(FIND(",",N79),LEN(N79))</f>
        <v>18</v>
      </c>
      <c r="Q79" s="63">
        <f t="shared" ref="Q79" si="160">FIND("target:",N79)+7</f>
        <v>27</v>
      </c>
      <c r="R79" s="63">
        <f t="shared" ref="R79" si="161">FIND(",",N79,P79+1)</f>
        <v>33</v>
      </c>
      <c r="S79" s="63" t="str">
        <f>IFERROR(VLOOKUP(MID(N79,Q79,R79-Q79),[6]skilldef!$C:$D,2,FALSE),"-") &amp; " / " &amp; IFERROR(VLOOKUP(MID(N79,O79,P79-O79),[6]skilldef!$A:$B,2,FALSE),"-")</f>
        <v>自分自身に / 状態異常耐性</v>
      </c>
      <c r="T79" s="48" t="str">
        <f t="shared" ref="T79" si="162">IFERROR(RIGHT(M79,LEN(M79)-FIND("],",M79)-1),"none")</f>
        <v>[effect:tolerance, target:myself, turn:-1, tolerance_effect:sleep, count:-1, animation:enemy_tolerance],[effect:fix_speed, target:myself, turn:1]</v>
      </c>
      <c r="U79" s="63">
        <f t="shared" ref="U79" si="163">FIND("effect:",T79)+7</f>
        <v>9</v>
      </c>
      <c r="V79" s="63">
        <f t="shared" ref="V79" si="164">IFERROR(FIND(",",T79),LEN(T79))</f>
        <v>18</v>
      </c>
      <c r="W79" s="63">
        <f t="shared" ref="W79" si="165">FIND("target:",T79)+7</f>
        <v>27</v>
      </c>
      <c r="X79" s="63">
        <f t="shared" ref="X79" si="166">FIND(",",T79,V79+1)</f>
        <v>33</v>
      </c>
      <c r="Y79" s="63" t="str">
        <f>IFERROR(VLOOKUP(MID(T79,W79,X79-W79),[6]skilldef!$C:$D,2,FALSE),"-") &amp; " / " &amp; IFERROR(VLOOKUP(MID(T79,U79,V79-U79),[6]skilldef!$A:$B,2,FALSE),"-")</f>
        <v>自分自身に / 状態異常耐性</v>
      </c>
      <c r="Z79" s="50"/>
      <c r="AA79" s="52"/>
      <c r="AB79" s="50"/>
    </row>
    <row r="80" spans="1:28" ht="21" customHeight="1" x14ac:dyDescent="0.15">
      <c r="A80" s="47">
        <v>40017079</v>
      </c>
      <c r="B80" s="47" t="s">
        <v>326</v>
      </c>
      <c r="C80" s="50">
        <v>3</v>
      </c>
      <c r="D80" s="50" t="s">
        <v>127</v>
      </c>
      <c r="E80" s="108" t="s">
        <v>492</v>
      </c>
      <c r="F80" s="51" t="s">
        <v>500</v>
      </c>
      <c r="G80" s="63" t="str">
        <f t="shared" si="105"/>
        <v>[effect:tolerance, target:myself, turn:-1, tolerance_effect:hungup, count:-1]</v>
      </c>
      <c r="H80" s="63">
        <f t="shared" si="149"/>
        <v>9</v>
      </c>
      <c r="I80" s="63">
        <f t="shared" si="106"/>
        <v>18</v>
      </c>
      <c r="J80" s="63">
        <f t="shared" si="107"/>
        <v>27</v>
      </c>
      <c r="K80" s="63">
        <f t="shared" si="108"/>
        <v>33</v>
      </c>
      <c r="L80" s="63" t="str">
        <f>IFERROR(VLOOKUP(MID(G80,J80,K80-J80),[6]skilldef!$C:$D,2,FALSE),"-") &amp; " / " &amp; IFERROR(VLOOKUP(MID(G80,H80,I80-H80),[6]skilldef!$A:$B,2,FALSE),"-")</f>
        <v>自分自身に / 状態異常耐性</v>
      </c>
      <c r="M80" s="63" t="str">
        <f t="shared" si="109"/>
        <v>[effect:tolerance, target:myself, turn:-1, tolerance_effect:virus, count:-1],[effect:tolerance, target:myself, turn:-1, tolerance_effect:sleep, count:-1, animation:enemy_tolerance],[effect:fix_speed, target:myself, turn:1]</v>
      </c>
      <c r="N80" s="48" t="str">
        <f>IFERROR(LEFT(M80,FIND("],",M80)+#REF!),M80)</f>
        <v>[effect:tolerance, target:myself, turn:-1, tolerance_effect:virus, count:-1],[effect:tolerance, target:myself, turn:-1, tolerance_effect:sleep, count:-1, animation:enemy_tolerance],[effect:fix_speed, target:myself, turn:1]</v>
      </c>
      <c r="O80" s="63">
        <f t="shared" si="150"/>
        <v>9</v>
      </c>
      <c r="P80" s="63">
        <f t="shared" si="110"/>
        <v>18</v>
      </c>
      <c r="Q80" s="63">
        <f t="shared" si="111"/>
        <v>27</v>
      </c>
      <c r="R80" s="63">
        <f t="shared" si="112"/>
        <v>33</v>
      </c>
      <c r="S80" s="63" t="str">
        <f>IFERROR(VLOOKUP(MID(N80,Q80,R80-Q80),[6]skilldef!$C:$D,2,FALSE),"-") &amp; " / " &amp; IFERROR(VLOOKUP(MID(N80,O80,P80-O80),[6]skilldef!$A:$B,2,FALSE),"-")</f>
        <v>自分自身に / 状態異常耐性</v>
      </c>
      <c r="T80" s="48" t="str">
        <f t="shared" si="113"/>
        <v>[effect:tolerance, target:myself, turn:-1, tolerance_effect:sleep, count:-1, animation:enemy_tolerance],[effect:fix_speed, target:myself, turn:1]</v>
      </c>
      <c r="U80" s="63">
        <f t="shared" si="151"/>
        <v>9</v>
      </c>
      <c r="V80" s="63">
        <f t="shared" si="114"/>
        <v>18</v>
      </c>
      <c r="W80" s="63">
        <f t="shared" si="115"/>
        <v>27</v>
      </c>
      <c r="X80" s="63">
        <f t="shared" si="116"/>
        <v>33</v>
      </c>
      <c r="Y80" s="63" t="str">
        <f>IFERROR(VLOOKUP(MID(T80,W80,X80-W80),[6]skilldef!$C:$D,2,FALSE),"-") &amp; " / " &amp; IFERROR(VLOOKUP(MID(T80,U80,V80-U80),[6]skilldef!$A:$B,2,FALSE),"-")</f>
        <v>自分自身に / 状態異常耐性</v>
      </c>
      <c r="Z80" s="50"/>
      <c r="AA80" s="52"/>
      <c r="AB80" s="50"/>
    </row>
    <row r="81" spans="1:28" ht="21" customHeight="1" x14ac:dyDescent="0.15">
      <c r="A81" s="47">
        <v>40017080</v>
      </c>
      <c r="B81" s="47" t="s">
        <v>326</v>
      </c>
      <c r="C81" s="50">
        <v>3</v>
      </c>
      <c r="D81" s="50" t="s">
        <v>127</v>
      </c>
      <c r="E81" s="108" t="s">
        <v>492</v>
      </c>
      <c r="F81" s="51" t="s">
        <v>500</v>
      </c>
      <c r="G81" s="63" t="str">
        <f t="shared" ref="G81" si="167">IFERROR(LEFT(B81,FIND("],",B81)),B81)</f>
        <v>[effect:tolerance, target:myself, turn:-1, tolerance_effect:hungup, count:-1]</v>
      </c>
      <c r="H81" s="63">
        <f t="shared" ref="H81" si="168">FIND("effect:",G81)+7</f>
        <v>9</v>
      </c>
      <c r="I81" s="63">
        <f t="shared" ref="I81" si="169">IFERROR(FIND(",",G81),LEN(G81))</f>
        <v>18</v>
      </c>
      <c r="J81" s="63">
        <f t="shared" ref="J81" si="170">FIND("target:",G81)+7</f>
        <v>27</v>
      </c>
      <c r="K81" s="63">
        <f t="shared" ref="K81" si="171">FIND(",",G81,I81+1)</f>
        <v>33</v>
      </c>
      <c r="L81" s="63" t="str">
        <f>IFERROR(VLOOKUP(MID(G81,J81,K81-J81),[6]skilldef!$C:$D,2,FALSE),"-") &amp; " / " &amp; IFERROR(VLOOKUP(MID(G81,H81,I81-H81),[6]skilldef!$A:$B,2,FALSE),"-")</f>
        <v>自分自身に / 状態異常耐性</v>
      </c>
      <c r="M81" s="63" t="str">
        <f t="shared" ref="M81" si="172">IFERROR(RIGHT(B81,LEN(B81)-FIND("],",B81)-1),"none")</f>
        <v>[effect:tolerance, target:myself, turn:-1, tolerance_effect:virus, count:-1],[effect:tolerance, target:myself, turn:-1, tolerance_effect:sleep, count:-1, animation:enemy_tolerance],[effect:fix_speed, target:myself, turn:1]</v>
      </c>
      <c r="N81" s="48" t="str">
        <f>IFERROR(LEFT(M81,FIND("],",M81)+#REF!),M81)</f>
        <v>[effect:tolerance, target:myself, turn:-1, tolerance_effect:virus, count:-1],[effect:tolerance, target:myself, turn:-1, tolerance_effect:sleep, count:-1, animation:enemy_tolerance],[effect:fix_speed, target:myself, turn:1]</v>
      </c>
      <c r="O81" s="63">
        <f t="shared" ref="O81" si="173">FIND("effect:",N81)+7</f>
        <v>9</v>
      </c>
      <c r="P81" s="63">
        <f t="shared" ref="P81" si="174">IFERROR(FIND(",",N81),LEN(N81))</f>
        <v>18</v>
      </c>
      <c r="Q81" s="63">
        <f t="shared" ref="Q81" si="175">FIND("target:",N81)+7</f>
        <v>27</v>
      </c>
      <c r="R81" s="63">
        <f t="shared" ref="R81" si="176">FIND(",",N81,P81+1)</f>
        <v>33</v>
      </c>
      <c r="S81" s="63" t="str">
        <f>IFERROR(VLOOKUP(MID(N81,Q81,R81-Q81),[6]skilldef!$C:$D,2,FALSE),"-") &amp; " / " &amp; IFERROR(VLOOKUP(MID(N81,O81,P81-O81),[6]skilldef!$A:$B,2,FALSE),"-")</f>
        <v>自分自身に / 状態異常耐性</v>
      </c>
      <c r="T81" s="48" t="str">
        <f t="shared" ref="T81" si="177">IFERROR(RIGHT(M81,LEN(M81)-FIND("],",M81)-1),"none")</f>
        <v>[effect:tolerance, target:myself, turn:-1, tolerance_effect:sleep, count:-1, animation:enemy_tolerance],[effect:fix_speed, target:myself, turn:1]</v>
      </c>
      <c r="U81" s="63">
        <f t="shared" ref="U81" si="178">FIND("effect:",T81)+7</f>
        <v>9</v>
      </c>
      <c r="V81" s="63">
        <f t="shared" ref="V81" si="179">IFERROR(FIND(",",T81),LEN(T81))</f>
        <v>18</v>
      </c>
      <c r="W81" s="63">
        <f t="shared" ref="W81" si="180">FIND("target:",T81)+7</f>
        <v>27</v>
      </c>
      <c r="X81" s="63">
        <f t="shared" ref="X81" si="181">FIND(",",T81,V81+1)</f>
        <v>33</v>
      </c>
      <c r="Y81" s="63" t="str">
        <f>IFERROR(VLOOKUP(MID(T81,W81,X81-W81),[6]skilldef!$C:$D,2,FALSE),"-") &amp; " / " &amp; IFERROR(VLOOKUP(MID(T81,U81,V81-U81),[6]skilldef!$A:$B,2,FALSE),"-")</f>
        <v>自分自身に / 状態異常耐性</v>
      </c>
      <c r="Z81" s="50"/>
      <c r="AA81" s="52"/>
      <c r="AB81" s="50"/>
    </row>
    <row r="82" spans="1:28" ht="21" customHeight="1" x14ac:dyDescent="0.15">
      <c r="A82" s="47">
        <v>40017081</v>
      </c>
      <c r="B82" s="47" t="s">
        <v>326</v>
      </c>
      <c r="C82" s="50">
        <v>3</v>
      </c>
      <c r="D82" s="50" t="s">
        <v>127</v>
      </c>
      <c r="E82" s="108" t="s">
        <v>494</v>
      </c>
      <c r="F82" s="51" t="s">
        <v>495</v>
      </c>
      <c r="G82" s="63" t="str">
        <f t="shared" ref="G82:G87" si="182">IFERROR(LEFT(B82,FIND("],",B82)),B82)</f>
        <v>[effect:tolerance, target:myself, turn:-1, tolerance_effect:hungup, count:-1]</v>
      </c>
      <c r="H82" s="63">
        <f t="shared" si="149"/>
        <v>9</v>
      </c>
      <c r="I82" s="63">
        <f t="shared" ref="I82:I87" si="183">IFERROR(FIND(",",G82),LEN(G82))</f>
        <v>18</v>
      </c>
      <c r="J82" s="63">
        <f t="shared" ref="J82:J87" si="184">FIND("target:",G82)+7</f>
        <v>27</v>
      </c>
      <c r="K82" s="63">
        <f t="shared" ref="K82:K87" si="185">FIND(",",G82,I82+1)</f>
        <v>33</v>
      </c>
      <c r="L82" s="63" t="str">
        <f>IFERROR(VLOOKUP(MID(G82,J82,K82-J82),[6]skilldef!$C:$D,2,FALSE),"-") &amp; " / " &amp; IFERROR(VLOOKUP(MID(G82,H82,I82-H82),[6]skilldef!$A:$B,2,FALSE),"-")</f>
        <v>自分自身に / 状態異常耐性</v>
      </c>
      <c r="M82" s="63" t="str">
        <f t="shared" ref="M82:M87" si="186">IFERROR(RIGHT(B82,LEN(B82)-FIND("],",B82)-1),"none")</f>
        <v>[effect:tolerance, target:myself, turn:-1, tolerance_effect:virus, count:-1],[effect:tolerance, target:myself, turn:-1, tolerance_effect:sleep, count:-1, animation:enemy_tolerance],[effect:fix_speed, target:myself, turn:1]</v>
      </c>
      <c r="N82" s="48" t="str">
        <f>IFERROR(LEFT(M82,FIND("],",M82)+#REF!),M82)</f>
        <v>[effect:tolerance, target:myself, turn:-1, tolerance_effect:virus, count:-1],[effect:tolerance, target:myself, turn:-1, tolerance_effect:sleep, count:-1, animation:enemy_tolerance],[effect:fix_speed, target:myself, turn:1]</v>
      </c>
      <c r="O82" s="63">
        <f t="shared" si="150"/>
        <v>9</v>
      </c>
      <c r="P82" s="63">
        <f t="shared" ref="P82:P87" si="187">IFERROR(FIND(",",N82),LEN(N82))</f>
        <v>18</v>
      </c>
      <c r="Q82" s="63">
        <f t="shared" ref="Q82:Q87" si="188">FIND("target:",N82)+7</f>
        <v>27</v>
      </c>
      <c r="R82" s="63">
        <f t="shared" ref="R82:R87" si="189">FIND(",",N82,P82+1)</f>
        <v>33</v>
      </c>
      <c r="S82" s="63" t="str">
        <f>IFERROR(VLOOKUP(MID(N82,Q82,R82-Q82),[6]skilldef!$C:$D,2,FALSE),"-") &amp; " / " &amp; IFERROR(VLOOKUP(MID(N82,O82,P82-O82),[6]skilldef!$A:$B,2,FALSE),"-")</f>
        <v>自分自身に / 状態異常耐性</v>
      </c>
      <c r="T82" s="48" t="str">
        <f t="shared" ref="T82:T87" si="190">IFERROR(RIGHT(M82,LEN(M82)-FIND("],",M82)-1),"none")</f>
        <v>[effect:tolerance, target:myself, turn:-1, tolerance_effect:sleep, count:-1, animation:enemy_tolerance],[effect:fix_speed, target:myself, turn:1]</v>
      </c>
      <c r="U82" s="63">
        <f t="shared" si="151"/>
        <v>9</v>
      </c>
      <c r="V82" s="63">
        <f t="shared" ref="V82:V87" si="191">IFERROR(FIND(",",T82),LEN(T82))</f>
        <v>18</v>
      </c>
      <c r="W82" s="63">
        <f t="shared" ref="W82:W87" si="192">FIND("target:",T82)+7</f>
        <v>27</v>
      </c>
      <c r="X82" s="63">
        <f t="shared" ref="X82:X87" si="193">FIND(",",T82,V82+1)</f>
        <v>33</v>
      </c>
      <c r="Y82" s="63" t="str">
        <f>IFERROR(VLOOKUP(MID(T82,W82,X82-W82),[6]skilldef!$C:$D,2,FALSE),"-") &amp; " / " &amp; IFERROR(VLOOKUP(MID(T82,U82,V82-U82),[6]skilldef!$A:$B,2,FALSE),"-")</f>
        <v>自分自身に / 状態異常耐性</v>
      </c>
      <c r="Z82" s="50"/>
      <c r="AA82" s="52"/>
      <c r="AB82" s="50"/>
    </row>
    <row r="83" spans="1:28" ht="21" customHeight="1" x14ac:dyDescent="0.15">
      <c r="A83" s="47">
        <v>40017082</v>
      </c>
      <c r="B83" s="47" t="s">
        <v>214</v>
      </c>
      <c r="C83" s="50">
        <v>3</v>
      </c>
      <c r="D83" s="50" t="s">
        <v>127</v>
      </c>
      <c r="E83" s="108" t="s">
        <v>501</v>
      </c>
      <c r="F83" s="51" t="s">
        <v>499</v>
      </c>
      <c r="G83" s="63" t="str">
        <f t="shared" si="182"/>
        <v>[effect:nothing]</v>
      </c>
      <c r="H83" s="63">
        <f t="shared" si="149"/>
        <v>9</v>
      </c>
      <c r="I83" s="63">
        <f t="shared" si="183"/>
        <v>16</v>
      </c>
      <c r="J83" s="63" t="e">
        <f t="shared" si="184"/>
        <v>#VALUE!</v>
      </c>
      <c r="K83" s="63" t="e">
        <f t="shared" si="185"/>
        <v>#VALUE!</v>
      </c>
      <c r="L83" s="63" t="str">
        <f>IFERROR(VLOOKUP(MID(G83,J83,K83-J83),[6]skilldef!$C:$D,2,FALSE),"-") &amp; " / " &amp; IFERROR(VLOOKUP(MID(G83,H83,I83-H83),[6]skilldef!$A:$B,2,FALSE),"-")</f>
        <v>- / 何もしない</v>
      </c>
      <c r="M83" s="63" t="str">
        <f t="shared" si="186"/>
        <v>none</v>
      </c>
      <c r="N83" s="48" t="str">
        <f>IFERROR(LEFT(M83,FIND("],",M83)+S88),M83)</f>
        <v>none</v>
      </c>
      <c r="O83" s="63" t="e">
        <f t="shared" si="150"/>
        <v>#VALUE!</v>
      </c>
      <c r="P83" s="63">
        <f t="shared" si="187"/>
        <v>4</v>
      </c>
      <c r="Q83" s="63" t="e">
        <f t="shared" si="188"/>
        <v>#VALUE!</v>
      </c>
      <c r="R83" s="63" t="e">
        <f t="shared" si="189"/>
        <v>#VALUE!</v>
      </c>
      <c r="S83" s="63" t="str">
        <f>IFERROR(VLOOKUP(MID(N83,Q83,R83-Q83),[6]skilldef!$C:$D,2,FALSE),"-") &amp; " / " &amp; IFERROR(VLOOKUP(MID(N83,O83,P83-O83),[6]skilldef!$A:$B,2,FALSE),"-")</f>
        <v>- / -</v>
      </c>
      <c r="T83" s="48" t="str">
        <f t="shared" si="190"/>
        <v>none</v>
      </c>
      <c r="U83" s="63" t="e">
        <f t="shared" si="151"/>
        <v>#VALUE!</v>
      </c>
      <c r="V83" s="63">
        <f t="shared" si="191"/>
        <v>4</v>
      </c>
      <c r="W83" s="63" t="e">
        <f t="shared" si="192"/>
        <v>#VALUE!</v>
      </c>
      <c r="X83" s="63" t="e">
        <f t="shared" si="193"/>
        <v>#VALUE!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 x14ac:dyDescent="0.15">
      <c r="A84" s="47">
        <v>40017083</v>
      </c>
      <c r="B84" s="47" t="s">
        <v>306</v>
      </c>
      <c r="C84" s="50">
        <v>3</v>
      </c>
      <c r="D84" s="50" t="s">
        <v>127</v>
      </c>
      <c r="E84" s="108" t="s">
        <v>317</v>
      </c>
      <c r="F84" s="51" t="s">
        <v>258</v>
      </c>
      <c r="G84" s="63" t="str">
        <f t="shared" si="182"/>
        <v>[effect:critical, val:1]</v>
      </c>
      <c r="H84" s="63">
        <f t="shared" si="149"/>
        <v>9</v>
      </c>
      <c r="I84" s="63">
        <f t="shared" si="183"/>
        <v>17</v>
      </c>
      <c r="J84" s="63" t="e">
        <f t="shared" si="184"/>
        <v>#VALUE!</v>
      </c>
      <c r="K84" s="63" t="e">
        <f t="shared" si="185"/>
        <v>#VALUE!</v>
      </c>
      <c r="L84" s="63" t="str">
        <f>IFERROR(VLOOKUP(MID(G84,J84,K84-J84),[6]skilldef!$C:$D,2,FALSE),"-") &amp; " / " &amp; IFERROR(VLOOKUP(MID(G84,H84,I84-H84),[6]skilldef!$A:$B,2,FALSE),"-")</f>
        <v>- / 大攻撃</v>
      </c>
      <c r="M84" s="63" t="str">
        <f t="shared" si="186"/>
        <v>none</v>
      </c>
      <c r="N84" s="48" t="str">
        <f>IFERROR(LEFT(M84,FIND("],",M84)+S89),M84)</f>
        <v>none</v>
      </c>
      <c r="O84" s="63" t="e">
        <f t="shared" si="150"/>
        <v>#VALUE!</v>
      </c>
      <c r="P84" s="63">
        <f t="shared" si="187"/>
        <v>4</v>
      </c>
      <c r="Q84" s="63" t="e">
        <f t="shared" si="188"/>
        <v>#VALUE!</v>
      </c>
      <c r="R84" s="63" t="e">
        <f t="shared" si="189"/>
        <v>#VALUE!</v>
      </c>
      <c r="S84" s="63" t="str">
        <f>IFERROR(VLOOKUP(MID(N84,Q84,R84-Q84),[6]skilldef!$C:$D,2,FALSE),"-") &amp; " / " &amp; IFERROR(VLOOKUP(MID(N84,O84,P84-O84),[6]skilldef!$A:$B,2,FALSE),"-")</f>
        <v>- / -</v>
      </c>
      <c r="T84" s="48" t="str">
        <f t="shared" si="190"/>
        <v>none</v>
      </c>
      <c r="U84" s="63" t="e">
        <f t="shared" si="151"/>
        <v>#VALUE!</v>
      </c>
      <c r="V84" s="63">
        <f t="shared" si="191"/>
        <v>4</v>
      </c>
      <c r="W84" s="63" t="e">
        <f t="shared" si="192"/>
        <v>#VALUE!</v>
      </c>
      <c r="X84" s="63" t="e">
        <f t="shared" si="193"/>
        <v>#VALUE!</v>
      </c>
      <c r="Y84" s="63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5" spans="1:28" ht="21" customHeight="1" x14ac:dyDescent="0.15">
      <c r="A85" s="47">
        <v>40017084</v>
      </c>
      <c r="B85" s="47" t="s">
        <v>307</v>
      </c>
      <c r="C85" s="50">
        <v>3</v>
      </c>
      <c r="D85" s="50" t="s">
        <v>127</v>
      </c>
      <c r="E85" s="108" t="s">
        <v>318</v>
      </c>
      <c r="F85" s="51" t="s">
        <v>259</v>
      </c>
      <c r="G85" s="63" t="str">
        <f t="shared" si="182"/>
        <v>[effect:critical, val:1]</v>
      </c>
      <c r="H85" s="63">
        <f t="shared" si="149"/>
        <v>9</v>
      </c>
      <c r="I85" s="63">
        <f t="shared" si="183"/>
        <v>17</v>
      </c>
      <c r="J85" s="63" t="e">
        <f t="shared" si="184"/>
        <v>#VALUE!</v>
      </c>
      <c r="K85" s="63" t="e">
        <f t="shared" si="185"/>
        <v>#VALUE!</v>
      </c>
      <c r="L85" s="63" t="str">
        <f>IFERROR(VLOOKUP(MID(G85,J85,K85-J85),[6]skilldef!$C:$D,2,FALSE),"-") &amp; " / " &amp; IFERROR(VLOOKUP(MID(G85,H85,I85-H85),[6]skilldef!$A:$B,2,FALSE),"-")</f>
        <v>- / 大攻撃</v>
      </c>
      <c r="M85" s="63" t="str">
        <f t="shared" si="186"/>
        <v>none</v>
      </c>
      <c r="N85" s="48" t="str">
        <f>IFERROR(LEFT(M85,FIND("],",M85)+S90),M85)</f>
        <v>none</v>
      </c>
      <c r="O85" s="63" t="e">
        <f t="shared" si="150"/>
        <v>#VALUE!</v>
      </c>
      <c r="P85" s="63">
        <f t="shared" si="187"/>
        <v>4</v>
      </c>
      <c r="Q85" s="63" t="e">
        <f t="shared" si="188"/>
        <v>#VALUE!</v>
      </c>
      <c r="R85" s="63" t="e">
        <f t="shared" si="189"/>
        <v>#VALUE!</v>
      </c>
      <c r="S85" s="63" t="str">
        <f>IFERROR(VLOOKUP(MID(N85,Q85,R85-Q85),[6]skilldef!$C:$D,2,FALSE),"-") &amp; " / " &amp; IFERROR(VLOOKUP(MID(N85,O85,P85-O85),[6]skilldef!$A:$B,2,FALSE),"-")</f>
        <v>- / -</v>
      </c>
      <c r="T85" s="48" t="str">
        <f t="shared" si="190"/>
        <v>none</v>
      </c>
      <c r="U85" s="63" t="e">
        <f t="shared" si="151"/>
        <v>#VALUE!</v>
      </c>
      <c r="V85" s="63">
        <f t="shared" si="191"/>
        <v>4</v>
      </c>
      <c r="W85" s="63" t="e">
        <f t="shared" si="192"/>
        <v>#VALUE!</v>
      </c>
      <c r="X85" s="63" t="e">
        <f t="shared" si="193"/>
        <v>#VALUE!</v>
      </c>
      <c r="Y85" s="63" t="str">
        <f>IFERROR(VLOOKUP(MID(T85,W85,X85-W85),[6]skilldef!$C:$D,2,FALSE),"-") &amp; " / " &amp; IFERROR(VLOOKUP(MID(T85,U85,V85-U85),[6]skilldef!$A:$B,2,FALSE),"-")</f>
        <v>- / -</v>
      </c>
      <c r="Z85" s="50"/>
      <c r="AA85" s="52"/>
      <c r="AB85" s="50"/>
    </row>
    <row r="86" spans="1:28" ht="21" customHeight="1" x14ac:dyDescent="0.15">
      <c r="A86" s="47">
        <v>40017085</v>
      </c>
      <c r="B86" s="47" t="s">
        <v>425</v>
      </c>
      <c r="C86" s="50">
        <v>3</v>
      </c>
      <c r="D86" s="50" t="s">
        <v>127</v>
      </c>
      <c r="E86" s="108" t="s">
        <v>319</v>
      </c>
      <c r="F86" s="51" t="s">
        <v>496</v>
      </c>
      <c r="G86" s="63" t="str">
        <f t="shared" si="182"/>
        <v>[effect:rush, count:2, val:0.7]</v>
      </c>
      <c r="H86" s="63">
        <f t="shared" si="149"/>
        <v>9</v>
      </c>
      <c r="I86" s="63">
        <f t="shared" si="183"/>
        <v>13</v>
      </c>
      <c r="J86" s="63" t="e">
        <f t="shared" si="184"/>
        <v>#VALUE!</v>
      </c>
      <c r="K86" s="63">
        <f t="shared" si="185"/>
        <v>22</v>
      </c>
      <c r="L86" s="63" t="str">
        <f>IFERROR(VLOOKUP(MID(G86,J86,K86-J86),[6]skilldef!$C:$D,2,FALSE),"-") &amp; " / " &amp; IFERROR(VLOOKUP(MID(G86,H86,I86-H86),[6]skilldef!$A:$B,2,FALSE),"-")</f>
        <v>- / 連続攻撃</v>
      </c>
      <c r="M86" s="63" t="str">
        <f t="shared" si="186"/>
        <v>none</v>
      </c>
      <c r="N86" s="48" t="str">
        <f>IFERROR(LEFT(M86,FIND("],",M86)+S91),M86)</f>
        <v>none</v>
      </c>
      <c r="O86" s="63" t="e">
        <f t="shared" si="150"/>
        <v>#VALUE!</v>
      </c>
      <c r="P86" s="63">
        <f t="shared" si="187"/>
        <v>4</v>
      </c>
      <c r="Q86" s="63" t="e">
        <f t="shared" si="188"/>
        <v>#VALUE!</v>
      </c>
      <c r="R86" s="63" t="e">
        <f t="shared" si="189"/>
        <v>#VALUE!</v>
      </c>
      <c r="S86" s="63" t="str">
        <f>IFERROR(VLOOKUP(MID(N86,Q86,R86-Q86),[6]skilldef!$C:$D,2,FALSE),"-") &amp; " / " &amp; IFERROR(VLOOKUP(MID(N86,O86,P86-O86),[6]skilldef!$A:$B,2,FALSE),"-")</f>
        <v>- / -</v>
      </c>
      <c r="T86" s="48" t="str">
        <f t="shared" si="190"/>
        <v>none</v>
      </c>
      <c r="U86" s="63" t="e">
        <f t="shared" si="151"/>
        <v>#VALUE!</v>
      </c>
      <c r="V86" s="63">
        <f t="shared" si="191"/>
        <v>4</v>
      </c>
      <c r="W86" s="63" t="e">
        <f t="shared" si="192"/>
        <v>#VALUE!</v>
      </c>
      <c r="X86" s="63" t="e">
        <f t="shared" si="193"/>
        <v>#VALUE!</v>
      </c>
      <c r="Y86" s="63" t="str">
        <f>IFERROR(VLOOKUP(MID(T86,W86,X86-W86),[6]skilldef!$C:$D,2,FALSE),"-") &amp; " / " &amp; IFERROR(VLOOKUP(MID(T86,U86,V86-U86),[6]skilldef!$A:$B,2,FALSE),"-")</f>
        <v>- / -</v>
      </c>
      <c r="Z86" s="50"/>
      <c r="AA86" s="52"/>
      <c r="AB86" s="50"/>
    </row>
    <row r="87" spans="1:28" ht="21" customHeight="1" x14ac:dyDescent="0.15">
      <c r="A87" s="47">
        <v>40017086</v>
      </c>
      <c r="B87" s="47" t="s">
        <v>308</v>
      </c>
      <c r="C87" s="50">
        <v>3</v>
      </c>
      <c r="D87" s="50" t="s">
        <v>127</v>
      </c>
      <c r="E87" s="108" t="s">
        <v>320</v>
      </c>
      <c r="F87" s="51" t="s">
        <v>260</v>
      </c>
      <c r="G87" s="63" t="str">
        <f t="shared" si="182"/>
        <v>[effect:critical, val:1]</v>
      </c>
      <c r="H87" s="63">
        <f t="shared" si="149"/>
        <v>9</v>
      </c>
      <c r="I87" s="63">
        <f t="shared" si="183"/>
        <v>17</v>
      </c>
      <c r="J87" s="63" t="e">
        <f t="shared" si="184"/>
        <v>#VALUE!</v>
      </c>
      <c r="K87" s="63" t="e">
        <f t="shared" si="185"/>
        <v>#VALUE!</v>
      </c>
      <c r="L87" s="63" t="str">
        <f>IFERROR(VLOOKUP(MID(G87,J87,K87-J87),[6]skilldef!$C:$D,2,FALSE),"-") &amp; " / " &amp; IFERROR(VLOOKUP(MID(G87,H87,I87-H87),[6]skilldef!$A:$B,2,FALSE),"-")</f>
        <v>- / 大攻撃</v>
      </c>
      <c r="M87" s="63" t="str">
        <f t="shared" si="186"/>
        <v>none</v>
      </c>
      <c r="N87" s="48" t="str">
        <f>IFERROR(LEFT(M87,FIND("],",M87)+S92),M87)</f>
        <v>none</v>
      </c>
      <c r="O87" s="63" t="e">
        <f t="shared" si="150"/>
        <v>#VALUE!</v>
      </c>
      <c r="P87" s="63">
        <f t="shared" si="187"/>
        <v>4</v>
      </c>
      <c r="Q87" s="63" t="e">
        <f t="shared" si="188"/>
        <v>#VALUE!</v>
      </c>
      <c r="R87" s="63" t="e">
        <f t="shared" si="189"/>
        <v>#VALUE!</v>
      </c>
      <c r="S87" s="63" t="str">
        <f>IFERROR(VLOOKUP(MID(N87,Q87,R87-Q87),[6]skilldef!$C:$D,2,FALSE),"-") &amp; " / " &amp; IFERROR(VLOOKUP(MID(N87,O87,P87-O87),[6]skilldef!$A:$B,2,FALSE),"-")</f>
        <v>- / -</v>
      </c>
      <c r="T87" s="48" t="str">
        <f t="shared" si="190"/>
        <v>none</v>
      </c>
      <c r="U87" s="63" t="e">
        <f t="shared" si="151"/>
        <v>#VALUE!</v>
      </c>
      <c r="V87" s="63">
        <f t="shared" si="191"/>
        <v>4</v>
      </c>
      <c r="W87" s="63" t="e">
        <f t="shared" si="192"/>
        <v>#VALUE!</v>
      </c>
      <c r="X87" s="63" t="e">
        <f t="shared" si="193"/>
        <v>#VALUE!</v>
      </c>
      <c r="Y87" s="63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 x14ac:dyDescent="0.15">
      <c r="A88" s="47">
        <v>40017087</v>
      </c>
      <c r="B88" s="101" t="s">
        <v>511</v>
      </c>
      <c r="C88" s="50">
        <v>3</v>
      </c>
      <c r="D88" s="50" t="s">
        <v>127</v>
      </c>
      <c r="E88" s="108" t="s">
        <v>321</v>
      </c>
      <c r="F88" s="51" t="s">
        <v>512</v>
      </c>
      <c r="G88" s="63" t="str">
        <f t="shared" ref="G88:G90" si="194">IFERROR(LEFT(B88,FIND("],",B88)),B88)</f>
        <v>[effect:damage_hp, target:unit_all, color:green, val:0.7]</v>
      </c>
      <c r="H88" s="63">
        <f t="shared" si="149"/>
        <v>9</v>
      </c>
      <c r="I88" s="63">
        <f t="shared" ref="I88:I90" si="195">IFERROR(FIND(",",G88),LEN(G88))</f>
        <v>18</v>
      </c>
      <c r="J88" s="63">
        <f t="shared" ref="J88:J90" si="196">FIND("target:",G88)+7</f>
        <v>27</v>
      </c>
      <c r="K88" s="63">
        <f t="shared" ref="K88:K90" si="197">FIND(",",G88,I88+1)</f>
        <v>35</v>
      </c>
      <c r="L88" s="63" t="str">
        <f>IFERROR(VLOOKUP(MID(G88,J88,K88-J88),[6]skilldef!$C:$D,2,FALSE),"-") &amp; " / " &amp; IFERROR(VLOOKUP(MID(G88,H88,I88-H88),[6]skilldef!$A:$B,2,FALSE),"-")</f>
        <v>味方全体に / HP準拠ダメージ</v>
      </c>
      <c r="M88" s="63" t="str">
        <f t="shared" ref="M88:M90" si="198">IFERROR(RIGHT(B88,LEN(B88)-FIND("],",B88)-1),"none")</f>
        <v>none</v>
      </c>
      <c r="N88" s="48" t="str">
        <f t="shared" ref="N88:N90" si="199">IFERROR(LEFT(M88,FIND("],",M88)+S93),M88)</f>
        <v>none</v>
      </c>
      <c r="O88" s="63" t="e">
        <f t="shared" si="150"/>
        <v>#VALUE!</v>
      </c>
      <c r="P88" s="63">
        <f t="shared" ref="P88:P90" si="200">IFERROR(FIND(",",N88),LEN(N88))</f>
        <v>4</v>
      </c>
      <c r="Q88" s="63" t="e">
        <f t="shared" ref="Q88:Q90" si="201">FIND("target:",N88)+7</f>
        <v>#VALUE!</v>
      </c>
      <c r="R88" s="63" t="e">
        <f t="shared" ref="R88:R90" si="202">FIND(",",N88,P88+1)</f>
        <v>#VALUE!</v>
      </c>
      <c r="S88" s="63" t="str">
        <f>IFERROR(VLOOKUP(MID(N88,Q88,R88-Q88),[6]skilldef!$C:$D,2,FALSE),"-") &amp; " / " &amp; IFERROR(VLOOKUP(MID(N88,O88,P88-O88),[6]skilldef!$A:$B,2,FALSE),"-")</f>
        <v>- / -</v>
      </c>
      <c r="T88" s="48" t="str">
        <f t="shared" ref="T88:T90" si="203">IFERROR(RIGHT(M88,LEN(M88)-FIND("],",M88)-1),"none")</f>
        <v>none</v>
      </c>
      <c r="U88" s="63" t="e">
        <f t="shared" si="151"/>
        <v>#VALUE!</v>
      </c>
      <c r="V88" s="63">
        <f t="shared" ref="V88:V90" si="204">IFERROR(FIND(",",T88),LEN(T88))</f>
        <v>4</v>
      </c>
      <c r="W88" s="63" t="e">
        <f t="shared" ref="W88:W90" si="205">FIND("target:",T88)+7</f>
        <v>#VALUE!</v>
      </c>
      <c r="X88" s="63" t="e">
        <f t="shared" ref="X88:X90" si="206">FIND(",",T88,V88+1)</f>
        <v>#VALUE!</v>
      </c>
      <c r="Y88" s="63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</row>
    <row r="89" spans="1:28" ht="21" customHeight="1" x14ac:dyDescent="0.15">
      <c r="A89" s="47">
        <v>40017088</v>
      </c>
      <c r="B89" s="47" t="s">
        <v>505</v>
      </c>
      <c r="C89" s="50">
        <v>3</v>
      </c>
      <c r="D89" s="50" t="s">
        <v>127</v>
      </c>
      <c r="E89" s="108" t="s">
        <v>528</v>
      </c>
      <c r="F89" s="51" t="s">
        <v>529</v>
      </c>
      <c r="G89" s="63" t="str">
        <f t="shared" ref="G89" si="207">IFERROR(LEFT(B89,FIND("],",B89)),B89)</f>
        <v>[effect:enemy_message, val1:2.5, val2:2.5, dead_type:suicide]</v>
      </c>
      <c r="H89" s="63">
        <f t="shared" si="149"/>
        <v>9</v>
      </c>
      <c r="I89" s="63">
        <f t="shared" ref="I89" si="208">IFERROR(FIND(",",G89),LEN(G89))</f>
        <v>22</v>
      </c>
      <c r="J89" s="63" t="e">
        <f t="shared" ref="J89" si="209">FIND("target:",G89)+7</f>
        <v>#VALUE!</v>
      </c>
      <c r="K89" s="63">
        <f t="shared" ref="K89" si="210">FIND(",",G89,I89+1)</f>
        <v>32</v>
      </c>
      <c r="L89" s="63" t="str">
        <f>IFERROR(VLOOKUP(MID(G89,J89,K89-J89),[6]skilldef!$C:$D,2,FALSE),"-") &amp; " / " &amp; IFERROR(VLOOKUP(MID(G89,H89,I89-H89),[6]skilldef!$A:$B,2,FALSE),"-")</f>
        <v>- / -</v>
      </c>
      <c r="M89" s="63" t="str">
        <f t="shared" ref="M89" si="211">IFERROR(RIGHT(B89,LEN(B89)-FIND("],",B89)-1),"none")</f>
        <v>none</v>
      </c>
      <c r="N89" s="48" t="str">
        <f t="shared" ref="N89" si="212">IFERROR(LEFT(M89,FIND("],",M89)+S94),M89)</f>
        <v>none</v>
      </c>
      <c r="O89" s="63" t="e">
        <f t="shared" si="150"/>
        <v>#VALUE!</v>
      </c>
      <c r="P89" s="63">
        <f t="shared" ref="P89" si="213">IFERROR(FIND(",",N89),LEN(N89))</f>
        <v>4</v>
      </c>
      <c r="Q89" s="63" t="e">
        <f t="shared" ref="Q89" si="214">FIND("target:",N89)+7</f>
        <v>#VALUE!</v>
      </c>
      <c r="R89" s="63" t="e">
        <f t="shared" ref="R89" si="215">FIND(",",N89,P89+1)</f>
        <v>#VALUE!</v>
      </c>
      <c r="S89" s="63" t="str">
        <f>IFERROR(VLOOKUP(MID(N89,Q89,R89-Q89),[6]skilldef!$C:$D,2,FALSE),"-") &amp; " / " &amp; IFERROR(VLOOKUP(MID(N89,O89,P89-O89),[6]skilldef!$A:$B,2,FALSE),"-")</f>
        <v>- / -</v>
      </c>
      <c r="T89" s="48" t="str">
        <f t="shared" ref="T89" si="216">IFERROR(RIGHT(M89,LEN(M89)-FIND("],",M89)-1),"none")</f>
        <v>none</v>
      </c>
      <c r="U89" s="63" t="e">
        <f t="shared" si="151"/>
        <v>#VALUE!</v>
      </c>
      <c r="V89" s="63">
        <f t="shared" ref="V89" si="217">IFERROR(FIND(",",T89),LEN(T89))</f>
        <v>4</v>
      </c>
      <c r="W89" s="63" t="e">
        <f t="shared" ref="W89" si="218">FIND("target:",T89)+7</f>
        <v>#VALUE!</v>
      </c>
      <c r="X89" s="63" t="e">
        <f t="shared" ref="X89" si="219">FIND(",",T89,V89+1)</f>
        <v>#VALUE!</v>
      </c>
      <c r="Y89" s="63" t="str">
        <f>IFERROR(VLOOKUP(MID(T89,W89,X89-W89),[6]skilldef!$C:$D,2,FALSE),"-") &amp; " / " &amp; IFERROR(VLOOKUP(MID(T89,U89,V89-U89),[6]skilldef!$A:$B,2,FALSE),"-")</f>
        <v>- / -</v>
      </c>
      <c r="Z89" s="50"/>
      <c r="AA89" s="52"/>
      <c r="AB89" s="50"/>
    </row>
    <row r="90" spans="1:28" ht="21" customHeight="1" x14ac:dyDescent="0.15">
      <c r="A90" s="47">
        <v>40017089</v>
      </c>
      <c r="B90" s="101" t="s">
        <v>261</v>
      </c>
      <c r="C90" s="50">
        <v>3</v>
      </c>
      <c r="D90" s="50" t="s">
        <v>127</v>
      </c>
      <c r="E90" s="108" t="s">
        <v>497</v>
      </c>
      <c r="F90" s="51" t="s">
        <v>512</v>
      </c>
      <c r="G90" s="63" t="str">
        <f t="shared" si="194"/>
        <v>[effect:damage_hp, target:unit_all, color:green, val:0.7]</v>
      </c>
      <c r="H90" s="63">
        <f t="shared" si="149"/>
        <v>9</v>
      </c>
      <c r="I90" s="63">
        <f t="shared" si="195"/>
        <v>18</v>
      </c>
      <c r="J90" s="63">
        <f t="shared" si="196"/>
        <v>27</v>
      </c>
      <c r="K90" s="63">
        <f t="shared" si="197"/>
        <v>35</v>
      </c>
      <c r="L90" s="63" t="str">
        <f>IFERROR(VLOOKUP(MID(G90,J90,K90-J90),[6]skilldef!$C:$D,2,FALSE),"-") &amp; " / " &amp; IFERROR(VLOOKUP(MID(G90,H90,I90-H90),[6]skilldef!$A:$B,2,FALSE),"-")</f>
        <v>味方全体に / HP準拠ダメージ</v>
      </c>
      <c r="M90" s="63" t="str">
        <f t="shared" si="198"/>
        <v>none</v>
      </c>
      <c r="N90" s="48" t="str">
        <f t="shared" si="199"/>
        <v>none</v>
      </c>
      <c r="O90" s="63" t="e">
        <f t="shared" si="150"/>
        <v>#VALUE!</v>
      </c>
      <c r="P90" s="63">
        <f t="shared" si="200"/>
        <v>4</v>
      </c>
      <c r="Q90" s="63" t="e">
        <f t="shared" si="201"/>
        <v>#VALUE!</v>
      </c>
      <c r="R90" s="63" t="e">
        <f t="shared" si="202"/>
        <v>#VALUE!</v>
      </c>
      <c r="S90" s="63" t="str">
        <f>IFERROR(VLOOKUP(MID(N90,Q90,R90-Q90),[6]skilldef!$C:$D,2,FALSE),"-") &amp; " / " &amp; IFERROR(VLOOKUP(MID(N90,O90,P90-O90),[6]skilldef!$A:$B,2,FALSE),"-")</f>
        <v>- / -</v>
      </c>
      <c r="T90" s="48" t="str">
        <f t="shared" si="203"/>
        <v>none</v>
      </c>
      <c r="U90" s="63" t="e">
        <f t="shared" si="151"/>
        <v>#VALUE!</v>
      </c>
      <c r="V90" s="63">
        <f t="shared" si="204"/>
        <v>4</v>
      </c>
      <c r="W90" s="63" t="e">
        <f t="shared" si="205"/>
        <v>#VALUE!</v>
      </c>
      <c r="X90" s="63" t="e">
        <f t="shared" si="206"/>
        <v>#VALUE!</v>
      </c>
      <c r="Y90" s="63" t="str">
        <f>IFERROR(VLOOKUP(MID(T90,W90,X90-W90),[6]skilldef!$C:$D,2,FALSE),"-") &amp; " / " &amp; IFERROR(VLOOKUP(MID(T90,U90,V90-U90),[6]skilldef!$A:$B,2,FALSE),"-")</f>
        <v>- / -</v>
      </c>
      <c r="Z90" s="50"/>
      <c r="AA90" s="52"/>
      <c r="AB90" s="50"/>
    </row>
    <row r="91" spans="1:28" ht="21" customHeight="1" x14ac:dyDescent="0.15">
      <c r="A91" s="47">
        <v>40017090</v>
      </c>
      <c r="B91" s="47" t="s">
        <v>214</v>
      </c>
      <c r="C91" s="50">
        <v>3</v>
      </c>
      <c r="D91" s="50" t="s">
        <v>127</v>
      </c>
      <c r="E91" s="108" t="s">
        <v>222</v>
      </c>
      <c r="F91" s="51" t="s">
        <v>215</v>
      </c>
      <c r="G91" s="63" t="str">
        <f t="shared" ref="G91" si="220">IFERROR(LEFT(B91,FIND("],",B91)),B91)</f>
        <v>[effect:nothing]</v>
      </c>
      <c r="H91" s="63">
        <f t="shared" si="149"/>
        <v>9</v>
      </c>
      <c r="I91" s="63">
        <f t="shared" ref="I91" si="221">IFERROR(FIND(",",G91),LEN(G91))</f>
        <v>16</v>
      </c>
      <c r="J91" s="63" t="e">
        <f t="shared" ref="J91" si="222">FIND("target:",G91)+7</f>
        <v>#VALUE!</v>
      </c>
      <c r="K91" s="63" t="e">
        <f t="shared" ref="K91" si="223">FIND(",",G91,I91+1)</f>
        <v>#VALUE!</v>
      </c>
      <c r="L91" s="63" t="str">
        <f>IFERROR(VLOOKUP(MID(G91,J91,K91-J91),[6]skilldef!$C:$D,2,FALSE),"-") &amp; " / " &amp; IFERROR(VLOOKUP(MID(G91,H91,I91-H91),[6]skilldef!$A:$B,2,FALSE),"-")</f>
        <v>- / 何もしない</v>
      </c>
      <c r="M91" s="63" t="str">
        <f t="shared" ref="M91" si="224">IFERROR(RIGHT(B91,LEN(B91)-FIND("],",B91)-1),"none")</f>
        <v>none</v>
      </c>
      <c r="N91" s="48" t="str">
        <f t="shared" ref="N91" si="225">IFERROR(LEFT(M91,FIND("],",M91)+S96),M91)</f>
        <v>none</v>
      </c>
      <c r="O91" s="63" t="e">
        <f t="shared" si="150"/>
        <v>#VALUE!</v>
      </c>
      <c r="P91" s="63">
        <f t="shared" ref="P91" si="226">IFERROR(FIND(",",N91),LEN(N91))</f>
        <v>4</v>
      </c>
      <c r="Q91" s="63" t="e">
        <f t="shared" ref="Q91" si="227">FIND("target:",N91)+7</f>
        <v>#VALUE!</v>
      </c>
      <c r="R91" s="63" t="e">
        <f t="shared" ref="R91" si="228">FIND(",",N91,P91+1)</f>
        <v>#VALUE!</v>
      </c>
      <c r="S91" s="63" t="str">
        <f>IFERROR(VLOOKUP(MID(N91,Q91,R91-Q91),[6]skilldef!$C:$D,2,FALSE),"-") &amp; " / " &amp; IFERROR(VLOOKUP(MID(N91,O91,P91-O91),[6]skilldef!$A:$B,2,FALSE),"-")</f>
        <v>- / -</v>
      </c>
      <c r="T91" s="48" t="str">
        <f t="shared" ref="T91" si="229">IFERROR(RIGHT(M91,LEN(M91)-FIND("],",M91)-1),"none")</f>
        <v>none</v>
      </c>
      <c r="U91" s="63" t="e">
        <f t="shared" si="151"/>
        <v>#VALUE!</v>
      </c>
      <c r="V91" s="63">
        <f t="shared" ref="V91" si="230">IFERROR(FIND(",",T91),LEN(T91))</f>
        <v>4</v>
      </c>
      <c r="W91" s="63" t="e">
        <f t="shared" ref="W91" si="231">FIND("target:",T91)+7</f>
        <v>#VALUE!</v>
      </c>
      <c r="X91" s="63" t="e">
        <f t="shared" ref="X91" si="232">FIND(",",T91,V91+1)</f>
        <v>#VALUE!</v>
      </c>
      <c r="Y91" s="63" t="str">
        <f>IFERROR(VLOOKUP(MID(T91,W91,X91-W91),[6]skilldef!$C:$D,2,FALSE),"-") &amp; " / " &amp; IFERROR(VLOOKUP(MID(T91,U91,V91-U91),[6]skilldef!$A:$B,2,FALSE),"-")</f>
        <v>- / -</v>
      </c>
      <c r="Z91" s="50"/>
      <c r="AA91" s="52"/>
      <c r="AB9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72"/>
  <sheetViews>
    <sheetView showGridLines="0" topLeftCell="C1" zoomScale="115" zoomScaleNormal="115" zoomScalePageLayoutView="115" workbookViewId="0">
      <pane ySplit="1" topLeftCell="A42" activePane="bottomLeft" state="frozenSplit"/>
      <selection pane="bottomLeft" activeCell="M8" sqref="M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21.1640625" style="45" customWidth="1"/>
    <col min="13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40017001</v>
      </c>
      <c r="B2" s="47">
        <v>0</v>
      </c>
      <c r="C2" s="47" t="s">
        <v>88</v>
      </c>
      <c r="D2" s="47">
        <v>100</v>
      </c>
      <c r="E2" s="47">
        <v>100</v>
      </c>
      <c r="F2" s="47" t="s">
        <v>89</v>
      </c>
      <c r="G2" s="47" t="s">
        <v>274</v>
      </c>
      <c r="H2" s="47">
        <v>2</v>
      </c>
      <c r="I2" s="47" t="s">
        <v>89</v>
      </c>
      <c r="J2" s="48">
        <f t="shared" ref="J2" si="0">D2</f>
        <v>100</v>
      </c>
      <c r="L2" s="45" t="s">
        <v>329</v>
      </c>
      <c r="M2" s="45" t="s">
        <v>263</v>
      </c>
    </row>
    <row r="3" spans="1:13" ht="21" customHeight="1" x14ac:dyDescent="0.15">
      <c r="A3" s="47">
        <v>40017002</v>
      </c>
      <c r="B3" s="102">
        <v>0</v>
      </c>
      <c r="C3" s="102" t="s">
        <v>88</v>
      </c>
      <c r="D3" s="102">
        <v>100</v>
      </c>
      <c r="E3" s="102">
        <v>100</v>
      </c>
      <c r="F3" s="102" t="s">
        <v>88</v>
      </c>
      <c r="G3" s="102">
        <v>0</v>
      </c>
      <c r="H3" s="102" t="s">
        <v>88</v>
      </c>
      <c r="I3" s="102">
        <v>0</v>
      </c>
      <c r="J3" s="48">
        <f t="shared" ref="J3:J48" si="1">D3</f>
        <v>100</v>
      </c>
      <c r="L3" s="45" t="s">
        <v>330</v>
      </c>
      <c r="M3" s="45" t="s">
        <v>331</v>
      </c>
    </row>
    <row r="4" spans="1:13" ht="21" customHeight="1" x14ac:dyDescent="0.15">
      <c r="A4" s="47">
        <v>40017006</v>
      </c>
      <c r="B4" s="47">
        <v>1</v>
      </c>
      <c r="C4" s="47" t="s">
        <v>88</v>
      </c>
      <c r="D4" s="47">
        <v>100</v>
      </c>
      <c r="E4" s="47">
        <v>100</v>
      </c>
      <c r="F4" s="47" t="s">
        <v>88</v>
      </c>
      <c r="G4" s="47">
        <v>1</v>
      </c>
      <c r="H4" s="47" t="s">
        <v>286</v>
      </c>
      <c r="I4" s="47" t="s">
        <v>88</v>
      </c>
      <c r="J4" s="48">
        <f t="shared" si="1"/>
        <v>100</v>
      </c>
      <c r="L4" s="45" t="s">
        <v>264</v>
      </c>
      <c r="M4" s="45" t="s">
        <v>332</v>
      </c>
    </row>
    <row r="5" spans="1:13" ht="21" customHeight="1" x14ac:dyDescent="0.15">
      <c r="A5" s="47">
        <v>40017007</v>
      </c>
      <c r="B5" s="47">
        <v>0</v>
      </c>
      <c r="C5" s="47">
        <v>6</v>
      </c>
      <c r="D5" s="47">
        <v>100</v>
      </c>
      <c r="E5" s="47">
        <v>100</v>
      </c>
      <c r="F5" s="47" t="s">
        <v>88</v>
      </c>
      <c r="G5" s="47">
        <v>1</v>
      </c>
      <c r="H5" s="47">
        <v>1</v>
      </c>
      <c r="I5" s="47" t="s">
        <v>88</v>
      </c>
      <c r="J5" s="48">
        <f t="shared" si="1"/>
        <v>100</v>
      </c>
      <c r="L5" s="45" t="s">
        <v>333</v>
      </c>
      <c r="M5" s="45" t="s">
        <v>334</v>
      </c>
    </row>
    <row r="6" spans="1:13" ht="21" customHeight="1" x14ac:dyDescent="0.15">
      <c r="A6" s="47">
        <v>40017008</v>
      </c>
      <c r="B6" s="47">
        <v>0</v>
      </c>
      <c r="C6" s="47">
        <v>5</v>
      </c>
      <c r="D6" s="47">
        <v>100</v>
      </c>
      <c r="E6" s="47">
        <v>100</v>
      </c>
      <c r="F6" s="47" t="s">
        <v>88</v>
      </c>
      <c r="G6" s="47">
        <v>1</v>
      </c>
      <c r="H6" s="47">
        <v>1</v>
      </c>
      <c r="I6" s="47" t="s">
        <v>88</v>
      </c>
      <c r="J6" s="48">
        <f t="shared" si="1"/>
        <v>100</v>
      </c>
      <c r="L6" s="45" t="s">
        <v>265</v>
      </c>
      <c r="M6" s="45" t="s">
        <v>289</v>
      </c>
    </row>
    <row r="7" spans="1:13" ht="21" customHeight="1" x14ac:dyDescent="0.15">
      <c r="A7" s="47">
        <v>40017009</v>
      </c>
      <c r="B7" s="47">
        <v>0</v>
      </c>
      <c r="C7" s="47">
        <v>4</v>
      </c>
      <c r="D7" s="47">
        <v>100</v>
      </c>
      <c r="E7" s="47">
        <v>100</v>
      </c>
      <c r="F7" s="47" t="s">
        <v>88</v>
      </c>
      <c r="G7" s="47">
        <v>1</v>
      </c>
      <c r="H7" s="47">
        <v>1</v>
      </c>
      <c r="I7" s="47" t="s">
        <v>88</v>
      </c>
      <c r="J7" s="48">
        <f t="shared" si="1"/>
        <v>100</v>
      </c>
      <c r="L7" s="45" t="s">
        <v>287</v>
      </c>
      <c r="M7" s="45" t="s">
        <v>289</v>
      </c>
    </row>
    <row r="8" spans="1:13" ht="21" customHeight="1" x14ac:dyDescent="0.15">
      <c r="A8" s="47">
        <v>40017010</v>
      </c>
      <c r="B8" s="47">
        <v>0</v>
      </c>
      <c r="C8" s="47">
        <v>3</v>
      </c>
      <c r="D8" s="47">
        <v>100</v>
      </c>
      <c r="E8" s="47">
        <v>100</v>
      </c>
      <c r="F8" s="47" t="s">
        <v>88</v>
      </c>
      <c r="G8" s="47">
        <v>1</v>
      </c>
      <c r="H8" s="47">
        <v>1</v>
      </c>
      <c r="I8" s="47">
        <v>3</v>
      </c>
      <c r="J8" s="48">
        <f t="shared" si="1"/>
        <v>100</v>
      </c>
      <c r="L8" s="45" t="s">
        <v>335</v>
      </c>
      <c r="M8" s="45" t="s">
        <v>336</v>
      </c>
    </row>
    <row r="9" spans="1:13" ht="21" customHeight="1" x14ac:dyDescent="0.15">
      <c r="A9" s="47">
        <v>40017011</v>
      </c>
      <c r="B9" s="47">
        <v>0</v>
      </c>
      <c r="C9" s="47">
        <v>7</v>
      </c>
      <c r="D9" s="47">
        <v>100</v>
      </c>
      <c r="E9" s="47">
        <v>80</v>
      </c>
      <c r="F9" s="47" t="s">
        <v>88</v>
      </c>
      <c r="G9" s="47" t="s">
        <v>274</v>
      </c>
      <c r="H9" s="47">
        <v>1</v>
      </c>
      <c r="I9" s="47" t="s">
        <v>88</v>
      </c>
      <c r="J9" s="48">
        <f t="shared" si="1"/>
        <v>100</v>
      </c>
      <c r="L9" s="45" t="s">
        <v>337</v>
      </c>
      <c r="M9" s="45" t="s">
        <v>334</v>
      </c>
    </row>
    <row r="10" spans="1:13" ht="21" customHeight="1" x14ac:dyDescent="0.15">
      <c r="A10" s="47">
        <v>40017012</v>
      </c>
      <c r="B10" s="47">
        <v>0</v>
      </c>
      <c r="C10" s="47" t="s">
        <v>88</v>
      </c>
      <c r="D10" s="47">
        <v>100</v>
      </c>
      <c r="E10" s="47">
        <v>100</v>
      </c>
      <c r="F10" s="47" t="s">
        <v>88</v>
      </c>
      <c r="G10" s="47" t="s">
        <v>274</v>
      </c>
      <c r="H10" s="47" t="s">
        <v>88</v>
      </c>
      <c r="I10" s="47" t="s">
        <v>88</v>
      </c>
      <c r="J10" s="48">
        <f t="shared" ref="J10" si="2">D10</f>
        <v>100</v>
      </c>
      <c r="L10" s="45" t="s">
        <v>288</v>
      </c>
      <c r="M10" s="45" t="s">
        <v>289</v>
      </c>
    </row>
    <row r="11" spans="1:13" ht="21" customHeight="1" x14ac:dyDescent="0.15">
      <c r="A11" s="47">
        <v>40017013</v>
      </c>
      <c r="B11" s="47">
        <v>0</v>
      </c>
      <c r="C11" s="47">
        <v>8</v>
      </c>
      <c r="D11" s="47">
        <v>100</v>
      </c>
      <c r="E11" s="47">
        <v>50</v>
      </c>
      <c r="F11" s="47" t="s">
        <v>88</v>
      </c>
      <c r="G11" s="47" t="s">
        <v>274</v>
      </c>
      <c r="H11" s="47">
        <v>1</v>
      </c>
      <c r="I11" s="47" t="s">
        <v>88</v>
      </c>
      <c r="J11" s="48">
        <f t="shared" ref="J11" si="3">D11</f>
        <v>100</v>
      </c>
      <c r="L11" s="45" t="s">
        <v>288</v>
      </c>
      <c r="M11" s="45" t="s">
        <v>289</v>
      </c>
    </row>
    <row r="12" spans="1:13" ht="21" customHeight="1" x14ac:dyDescent="0.15">
      <c r="A12" s="47">
        <v>40017016</v>
      </c>
      <c r="B12" s="47">
        <v>1</v>
      </c>
      <c r="C12" s="47" t="s">
        <v>88</v>
      </c>
      <c r="D12" s="47">
        <v>35</v>
      </c>
      <c r="E12" s="47">
        <v>100</v>
      </c>
      <c r="F12" s="47" t="s">
        <v>88</v>
      </c>
      <c r="G12" s="47">
        <v>1</v>
      </c>
      <c r="H12" s="47" t="s">
        <v>88</v>
      </c>
      <c r="I12" s="47" t="s">
        <v>88</v>
      </c>
      <c r="J12" s="48">
        <f t="shared" si="1"/>
        <v>35</v>
      </c>
      <c r="L12" s="45" t="s">
        <v>338</v>
      </c>
      <c r="M12" s="45" t="s">
        <v>339</v>
      </c>
    </row>
    <row r="13" spans="1:13" ht="21" customHeight="1" x14ac:dyDescent="0.15">
      <c r="A13" s="47">
        <v>40017017</v>
      </c>
      <c r="B13" s="47">
        <v>0</v>
      </c>
      <c r="C13" s="47" t="s">
        <v>88</v>
      </c>
      <c r="D13" s="47">
        <v>35</v>
      </c>
      <c r="E13" s="47">
        <v>100</v>
      </c>
      <c r="F13" s="47" t="s">
        <v>88</v>
      </c>
      <c r="G13" s="47">
        <v>1</v>
      </c>
      <c r="H13" s="47" t="s">
        <v>88</v>
      </c>
      <c r="I13" s="47" t="s">
        <v>88</v>
      </c>
      <c r="J13" s="48">
        <f t="shared" si="1"/>
        <v>35</v>
      </c>
      <c r="L13" s="45" t="s">
        <v>340</v>
      </c>
      <c r="M13" s="45" t="s">
        <v>341</v>
      </c>
    </row>
    <row r="14" spans="1:13" ht="21" customHeight="1" x14ac:dyDescent="0.15">
      <c r="A14" s="47">
        <v>40017018</v>
      </c>
      <c r="B14" s="47">
        <v>0</v>
      </c>
      <c r="C14" s="47" t="s">
        <v>88</v>
      </c>
      <c r="D14" s="47">
        <v>100</v>
      </c>
      <c r="E14" s="47">
        <v>100</v>
      </c>
      <c r="F14" s="47" t="s">
        <v>88</v>
      </c>
      <c r="G14" s="47" t="s">
        <v>88</v>
      </c>
      <c r="H14" s="47">
        <v>3</v>
      </c>
      <c r="I14" s="47" t="s">
        <v>88</v>
      </c>
      <c r="J14" s="48">
        <f t="shared" si="1"/>
        <v>100</v>
      </c>
      <c r="L14" s="45" t="s">
        <v>342</v>
      </c>
      <c r="M14" s="45" t="s">
        <v>343</v>
      </c>
    </row>
    <row r="15" spans="1:13" ht="21" customHeight="1" x14ac:dyDescent="0.15">
      <c r="A15" s="47">
        <v>40017019</v>
      </c>
      <c r="B15" s="47">
        <v>0</v>
      </c>
      <c r="C15" s="47" t="s">
        <v>88</v>
      </c>
      <c r="D15" s="47">
        <v>100</v>
      </c>
      <c r="E15" s="47">
        <v>100</v>
      </c>
      <c r="F15" s="47" t="s">
        <v>275</v>
      </c>
      <c r="G15" s="47" t="s">
        <v>88</v>
      </c>
      <c r="H15" s="47">
        <v>4</v>
      </c>
      <c r="I15" s="47" t="s">
        <v>88</v>
      </c>
      <c r="J15" s="48">
        <f t="shared" si="1"/>
        <v>100</v>
      </c>
      <c r="L15" s="45" t="s">
        <v>344</v>
      </c>
      <c r="M15" s="45" t="s">
        <v>345</v>
      </c>
    </row>
    <row r="16" spans="1:13" ht="21" customHeight="1" x14ac:dyDescent="0.15">
      <c r="A16" s="47">
        <v>40017020</v>
      </c>
      <c r="B16" s="47">
        <v>0</v>
      </c>
      <c r="C16" s="47" t="s">
        <v>88</v>
      </c>
      <c r="D16" s="47">
        <v>100</v>
      </c>
      <c r="E16" s="47">
        <v>100</v>
      </c>
      <c r="F16" s="47" t="s">
        <v>88</v>
      </c>
      <c r="G16" s="47" t="s">
        <v>88</v>
      </c>
      <c r="H16" s="47">
        <v>5</v>
      </c>
      <c r="I16" s="47" t="s">
        <v>88</v>
      </c>
      <c r="J16" s="48">
        <f t="shared" si="1"/>
        <v>100</v>
      </c>
      <c r="L16" s="45" t="s">
        <v>346</v>
      </c>
      <c r="M16" s="45" t="s">
        <v>347</v>
      </c>
    </row>
    <row r="17" spans="1:13" ht="21" customHeight="1" x14ac:dyDescent="0.15">
      <c r="A17" s="47">
        <v>40017021</v>
      </c>
      <c r="B17" s="102">
        <v>1</v>
      </c>
      <c r="C17" s="102" t="s">
        <v>88</v>
      </c>
      <c r="D17" s="102">
        <v>100</v>
      </c>
      <c r="E17" s="102">
        <v>100</v>
      </c>
      <c r="F17" s="102" t="s">
        <v>88</v>
      </c>
      <c r="G17" s="102">
        <v>1</v>
      </c>
      <c r="H17" s="102" t="s">
        <v>88</v>
      </c>
      <c r="I17" s="102">
        <v>0</v>
      </c>
      <c r="J17" s="48">
        <f t="shared" si="1"/>
        <v>100</v>
      </c>
      <c r="L17" s="45" t="s">
        <v>266</v>
      </c>
      <c r="M17" s="45" t="s">
        <v>348</v>
      </c>
    </row>
    <row r="18" spans="1:13" ht="21" customHeight="1" x14ac:dyDescent="0.15">
      <c r="A18" s="47">
        <v>40017026</v>
      </c>
      <c r="B18" s="47">
        <v>1</v>
      </c>
      <c r="C18" s="47" t="s">
        <v>88</v>
      </c>
      <c r="D18" s="47">
        <v>100</v>
      </c>
      <c r="E18" s="47">
        <v>100</v>
      </c>
      <c r="F18" s="47" t="s">
        <v>88</v>
      </c>
      <c r="G18" s="47">
        <v>1</v>
      </c>
      <c r="H18" s="47" t="s">
        <v>88</v>
      </c>
      <c r="I18" s="47" t="s">
        <v>88</v>
      </c>
      <c r="J18" s="48">
        <f t="shared" si="1"/>
        <v>100</v>
      </c>
      <c r="L18" s="45" t="s">
        <v>322</v>
      </c>
      <c r="M18" s="45" t="s">
        <v>249</v>
      </c>
    </row>
    <row r="19" spans="1:13" ht="21" customHeight="1" x14ac:dyDescent="0.15">
      <c r="A19" s="47">
        <v>40017027</v>
      </c>
      <c r="B19" s="47">
        <v>0</v>
      </c>
      <c r="C19" s="47" t="s">
        <v>88</v>
      </c>
      <c r="D19" s="47">
        <v>35</v>
      </c>
      <c r="E19" s="47">
        <v>100</v>
      </c>
      <c r="F19" s="47" t="s">
        <v>88</v>
      </c>
      <c r="G19" s="47">
        <v>1</v>
      </c>
      <c r="H19" s="47" t="s">
        <v>88</v>
      </c>
      <c r="I19" s="47" t="s">
        <v>88</v>
      </c>
      <c r="J19" s="48">
        <f t="shared" si="1"/>
        <v>35</v>
      </c>
      <c r="L19" s="45" t="s">
        <v>327</v>
      </c>
      <c r="M19" s="45" t="s">
        <v>267</v>
      </c>
    </row>
    <row r="20" spans="1:13" ht="21" customHeight="1" x14ac:dyDescent="0.15">
      <c r="A20" s="47">
        <v>40017028</v>
      </c>
      <c r="B20" s="47">
        <v>0</v>
      </c>
      <c r="C20" s="47" t="s">
        <v>88</v>
      </c>
      <c r="D20" s="47">
        <v>100</v>
      </c>
      <c r="E20" s="47">
        <v>100</v>
      </c>
      <c r="F20" s="47" t="s">
        <v>88</v>
      </c>
      <c r="G20" s="47">
        <v>1</v>
      </c>
      <c r="H20" s="47">
        <v>1</v>
      </c>
      <c r="I20" s="47" t="s">
        <v>88</v>
      </c>
      <c r="J20" s="48">
        <f t="shared" si="1"/>
        <v>100</v>
      </c>
      <c r="L20" s="45" t="s">
        <v>349</v>
      </c>
      <c r="M20" s="45" t="s">
        <v>350</v>
      </c>
    </row>
    <row r="21" spans="1:13" ht="21" customHeight="1" x14ac:dyDescent="0.15">
      <c r="A21" s="47">
        <v>40017029</v>
      </c>
      <c r="B21" s="47">
        <v>0</v>
      </c>
      <c r="C21" s="47" t="s">
        <v>88</v>
      </c>
      <c r="D21" s="47">
        <v>100</v>
      </c>
      <c r="E21" s="47">
        <v>100</v>
      </c>
      <c r="F21" s="47" t="s">
        <v>88</v>
      </c>
      <c r="G21" s="47">
        <v>1</v>
      </c>
      <c r="H21" s="47">
        <v>5</v>
      </c>
      <c r="I21" s="47" t="s">
        <v>88</v>
      </c>
      <c r="J21" s="48">
        <f t="shared" si="1"/>
        <v>100</v>
      </c>
      <c r="L21" s="45" t="s">
        <v>351</v>
      </c>
      <c r="M21" s="45" t="s">
        <v>352</v>
      </c>
    </row>
    <row r="22" spans="1:13" ht="21" customHeight="1" x14ac:dyDescent="0.15">
      <c r="A22" s="47">
        <v>40017030</v>
      </c>
      <c r="B22" s="47">
        <v>0</v>
      </c>
      <c r="C22" s="47" t="s">
        <v>88</v>
      </c>
      <c r="D22" s="47">
        <v>100</v>
      </c>
      <c r="E22" s="47">
        <v>100</v>
      </c>
      <c r="F22" s="47" t="s">
        <v>88</v>
      </c>
      <c r="G22" s="47">
        <v>1</v>
      </c>
      <c r="H22" s="47">
        <v>4</v>
      </c>
      <c r="I22" s="47" t="s">
        <v>88</v>
      </c>
      <c r="J22" s="48">
        <f t="shared" si="1"/>
        <v>100</v>
      </c>
      <c r="L22" s="45" t="s">
        <v>353</v>
      </c>
      <c r="M22" s="45" t="s">
        <v>268</v>
      </c>
    </row>
    <row r="23" spans="1:13" ht="21" customHeight="1" x14ac:dyDescent="0.15">
      <c r="A23" s="47">
        <v>40017031</v>
      </c>
      <c r="B23" s="47">
        <v>0</v>
      </c>
      <c r="C23" s="47" t="s">
        <v>88</v>
      </c>
      <c r="D23" s="47">
        <v>100</v>
      </c>
      <c r="E23" s="47">
        <v>100</v>
      </c>
      <c r="F23" s="47" t="s">
        <v>88</v>
      </c>
      <c r="G23" s="47">
        <v>1</v>
      </c>
      <c r="H23" s="47">
        <v>2</v>
      </c>
      <c r="I23" s="47" t="s">
        <v>88</v>
      </c>
      <c r="J23" s="48">
        <f t="shared" si="1"/>
        <v>100</v>
      </c>
      <c r="L23" s="45" t="s">
        <v>328</v>
      </c>
      <c r="M23" s="45" t="s">
        <v>354</v>
      </c>
    </row>
    <row r="24" spans="1:13" ht="21" customHeight="1" x14ac:dyDescent="0.15">
      <c r="A24" s="47">
        <v>40017032</v>
      </c>
      <c r="B24" s="47">
        <v>0</v>
      </c>
      <c r="C24" s="47" t="s">
        <v>88</v>
      </c>
      <c r="D24" s="47">
        <v>100</v>
      </c>
      <c r="E24" s="47">
        <v>100</v>
      </c>
      <c r="F24" s="47" t="s">
        <v>88</v>
      </c>
      <c r="G24" s="47">
        <v>1</v>
      </c>
      <c r="H24" s="47">
        <v>3</v>
      </c>
      <c r="I24" s="47" t="s">
        <v>88</v>
      </c>
      <c r="J24" s="48">
        <f t="shared" si="1"/>
        <v>100</v>
      </c>
      <c r="L24" s="45" t="s">
        <v>355</v>
      </c>
      <c r="M24" s="45" t="s">
        <v>356</v>
      </c>
    </row>
    <row r="25" spans="1:13" ht="21" customHeight="1" x14ac:dyDescent="0.15">
      <c r="A25" s="47">
        <v>40017033</v>
      </c>
      <c r="B25" s="47">
        <v>0</v>
      </c>
      <c r="C25" s="47">
        <v>1</v>
      </c>
      <c r="D25" s="47">
        <v>100</v>
      </c>
      <c r="E25" s="47">
        <v>50</v>
      </c>
      <c r="F25" s="47" t="s">
        <v>88</v>
      </c>
      <c r="G25" s="47">
        <v>1</v>
      </c>
      <c r="H25" s="47" t="s">
        <v>88</v>
      </c>
      <c r="I25" s="47" t="s">
        <v>88</v>
      </c>
      <c r="J25" s="48">
        <f t="shared" si="1"/>
        <v>100</v>
      </c>
      <c r="L25" s="45" t="s">
        <v>357</v>
      </c>
      <c r="M25" s="45" t="s">
        <v>358</v>
      </c>
    </row>
    <row r="26" spans="1:13" ht="21" customHeight="1" x14ac:dyDescent="0.15">
      <c r="A26" s="47">
        <v>40017036</v>
      </c>
      <c r="B26" s="47">
        <v>1</v>
      </c>
      <c r="C26" s="47" t="s">
        <v>276</v>
      </c>
      <c r="D26" s="47">
        <v>100</v>
      </c>
      <c r="E26" s="47">
        <v>100</v>
      </c>
      <c r="F26" s="47" t="s">
        <v>88</v>
      </c>
      <c r="G26" s="47">
        <v>1</v>
      </c>
      <c r="H26" s="47" t="s">
        <v>88</v>
      </c>
      <c r="I26" s="47" t="s">
        <v>88</v>
      </c>
      <c r="J26" s="48">
        <f t="shared" si="1"/>
        <v>100</v>
      </c>
      <c r="L26" s="45" t="s">
        <v>359</v>
      </c>
      <c r="M26" s="45" t="s">
        <v>360</v>
      </c>
    </row>
    <row r="27" spans="1:13" ht="21" customHeight="1" x14ac:dyDescent="0.15">
      <c r="A27" s="47">
        <v>40017037</v>
      </c>
      <c r="B27" s="47">
        <v>0</v>
      </c>
      <c r="C27" s="47" t="s">
        <v>274</v>
      </c>
      <c r="D27" s="47">
        <v>100</v>
      </c>
      <c r="E27" s="47">
        <v>100</v>
      </c>
      <c r="F27" s="47" t="s">
        <v>88</v>
      </c>
      <c r="G27" s="47">
        <v>1</v>
      </c>
      <c r="H27" s="47">
        <v>1</v>
      </c>
      <c r="I27" s="47" t="s">
        <v>88</v>
      </c>
      <c r="J27" s="48">
        <f t="shared" si="1"/>
        <v>100</v>
      </c>
      <c r="L27" s="45" t="s">
        <v>361</v>
      </c>
      <c r="M27" s="45" t="s">
        <v>362</v>
      </c>
    </row>
    <row r="28" spans="1:13" ht="21" customHeight="1" x14ac:dyDescent="0.15">
      <c r="A28" s="47">
        <v>40017038</v>
      </c>
      <c r="B28" s="47">
        <v>0</v>
      </c>
      <c r="C28" s="47" t="s">
        <v>274</v>
      </c>
      <c r="D28" s="47">
        <v>100</v>
      </c>
      <c r="E28" s="47">
        <v>100</v>
      </c>
      <c r="F28" s="47" t="s">
        <v>88</v>
      </c>
      <c r="G28" s="47">
        <v>1</v>
      </c>
      <c r="H28" s="47">
        <v>2</v>
      </c>
      <c r="I28" s="47" t="s">
        <v>88</v>
      </c>
      <c r="J28" s="48">
        <f t="shared" si="1"/>
        <v>100</v>
      </c>
      <c r="L28" s="45" t="s">
        <v>363</v>
      </c>
      <c r="M28" s="45" t="s">
        <v>364</v>
      </c>
    </row>
    <row r="29" spans="1:13" ht="21" customHeight="1" x14ac:dyDescent="0.15">
      <c r="A29" s="47">
        <v>40017039</v>
      </c>
      <c r="B29" s="47">
        <v>0</v>
      </c>
      <c r="C29" s="47" t="s">
        <v>274</v>
      </c>
      <c r="D29" s="47">
        <v>100</v>
      </c>
      <c r="E29" s="47">
        <v>100</v>
      </c>
      <c r="F29" s="47" t="s">
        <v>88</v>
      </c>
      <c r="G29" s="47">
        <v>1</v>
      </c>
      <c r="H29" s="47">
        <v>3</v>
      </c>
      <c r="I29" s="47" t="s">
        <v>88</v>
      </c>
      <c r="J29" s="48">
        <f t="shared" si="1"/>
        <v>100</v>
      </c>
      <c r="L29" s="45" t="s">
        <v>361</v>
      </c>
      <c r="M29" s="45" t="s">
        <v>365</v>
      </c>
    </row>
    <row r="30" spans="1:13" ht="21" customHeight="1" x14ac:dyDescent="0.15">
      <c r="A30" s="47">
        <v>40017040</v>
      </c>
      <c r="B30" s="47">
        <v>0</v>
      </c>
      <c r="C30" s="47" t="s">
        <v>274</v>
      </c>
      <c r="D30" s="47">
        <v>100</v>
      </c>
      <c r="E30" s="47">
        <v>100</v>
      </c>
      <c r="F30" s="47" t="s">
        <v>88</v>
      </c>
      <c r="G30" s="47">
        <v>1</v>
      </c>
      <c r="H30" s="47">
        <v>4</v>
      </c>
      <c r="I30" s="47" t="s">
        <v>88</v>
      </c>
      <c r="J30" s="48">
        <f t="shared" si="1"/>
        <v>100</v>
      </c>
      <c r="L30" s="45" t="s">
        <v>366</v>
      </c>
      <c r="M30" s="45" t="s">
        <v>367</v>
      </c>
    </row>
    <row r="31" spans="1:13" ht="21" customHeight="1" x14ac:dyDescent="0.15">
      <c r="A31" s="47">
        <v>40017041</v>
      </c>
      <c r="B31" s="47">
        <v>0</v>
      </c>
      <c r="C31" s="47" t="s">
        <v>274</v>
      </c>
      <c r="D31" s="47">
        <v>100</v>
      </c>
      <c r="E31" s="47">
        <v>100</v>
      </c>
      <c r="F31" s="47" t="s">
        <v>88</v>
      </c>
      <c r="G31" s="47">
        <v>1</v>
      </c>
      <c r="H31" s="47">
        <v>5</v>
      </c>
      <c r="I31" s="47" t="s">
        <v>88</v>
      </c>
      <c r="J31" s="48">
        <f t="shared" si="1"/>
        <v>100</v>
      </c>
      <c r="L31" s="45" t="s">
        <v>361</v>
      </c>
      <c r="M31" s="45" t="s">
        <v>368</v>
      </c>
    </row>
    <row r="32" spans="1:13" ht="21" customHeight="1" x14ac:dyDescent="0.15">
      <c r="A32" s="47">
        <v>40017042</v>
      </c>
      <c r="B32" s="47">
        <v>0</v>
      </c>
      <c r="C32" s="47" t="s">
        <v>274</v>
      </c>
      <c r="D32" s="47">
        <v>100</v>
      </c>
      <c r="E32" s="47">
        <v>100</v>
      </c>
      <c r="F32" s="47" t="s">
        <v>88</v>
      </c>
      <c r="G32" s="47">
        <v>1</v>
      </c>
      <c r="H32" s="47">
        <v>6</v>
      </c>
      <c r="I32" s="47" t="s">
        <v>88</v>
      </c>
      <c r="J32" s="48">
        <f t="shared" si="1"/>
        <v>100</v>
      </c>
      <c r="L32" s="45" t="s">
        <v>369</v>
      </c>
      <c r="M32" s="45" t="s">
        <v>370</v>
      </c>
    </row>
    <row r="33" spans="1:13" ht="21" customHeight="1" x14ac:dyDescent="0.15">
      <c r="A33" s="47">
        <v>40017043</v>
      </c>
      <c r="B33" s="47">
        <v>0</v>
      </c>
      <c r="C33" s="47" t="s">
        <v>274</v>
      </c>
      <c r="D33" s="47">
        <v>100</v>
      </c>
      <c r="E33" s="47">
        <v>100</v>
      </c>
      <c r="F33" s="47" t="s">
        <v>88</v>
      </c>
      <c r="G33" s="47">
        <v>1</v>
      </c>
      <c r="H33" s="47">
        <v>7</v>
      </c>
      <c r="I33" s="47" t="s">
        <v>88</v>
      </c>
      <c r="J33" s="48">
        <f t="shared" si="1"/>
        <v>100</v>
      </c>
      <c r="L33" s="45" t="s">
        <v>361</v>
      </c>
      <c r="M33" s="45" t="s">
        <v>371</v>
      </c>
    </row>
    <row r="34" spans="1:13" ht="21" customHeight="1" x14ac:dyDescent="0.15">
      <c r="A34" s="47">
        <v>40017044</v>
      </c>
      <c r="B34" s="47">
        <v>0</v>
      </c>
      <c r="C34" s="47" t="s">
        <v>274</v>
      </c>
      <c r="D34" s="47">
        <v>100</v>
      </c>
      <c r="E34" s="47">
        <v>100</v>
      </c>
      <c r="F34" s="47" t="s">
        <v>88</v>
      </c>
      <c r="G34" s="47">
        <v>1</v>
      </c>
      <c r="H34" s="47">
        <v>8</v>
      </c>
      <c r="I34" s="47" t="s">
        <v>88</v>
      </c>
      <c r="J34" s="48">
        <f t="shared" si="1"/>
        <v>100</v>
      </c>
      <c r="L34" s="45" t="s">
        <v>372</v>
      </c>
      <c r="M34" s="45" t="s">
        <v>373</v>
      </c>
    </row>
    <row r="35" spans="1:13" ht="21" customHeight="1" x14ac:dyDescent="0.15">
      <c r="A35" s="47">
        <v>40017045</v>
      </c>
      <c r="B35" s="47">
        <v>0</v>
      </c>
      <c r="C35" s="47" t="s">
        <v>274</v>
      </c>
      <c r="D35" s="47">
        <v>100</v>
      </c>
      <c r="E35" s="47">
        <v>100</v>
      </c>
      <c r="F35" s="47" t="s">
        <v>88</v>
      </c>
      <c r="G35" s="47">
        <v>1</v>
      </c>
      <c r="H35" s="47">
        <v>9</v>
      </c>
      <c r="I35" s="47" t="s">
        <v>88</v>
      </c>
      <c r="J35" s="48">
        <f t="shared" si="1"/>
        <v>100</v>
      </c>
      <c r="L35" s="45" t="s">
        <v>269</v>
      </c>
      <c r="M35" s="45" t="s">
        <v>270</v>
      </c>
    </row>
    <row r="36" spans="1:13" ht="21" customHeight="1" x14ac:dyDescent="0.15">
      <c r="A36" s="47">
        <v>40017046</v>
      </c>
      <c r="B36" s="47">
        <v>0</v>
      </c>
      <c r="C36" s="47" t="s">
        <v>88</v>
      </c>
      <c r="D36" s="47">
        <v>100</v>
      </c>
      <c r="E36" s="47">
        <v>100</v>
      </c>
      <c r="F36" s="47" t="s">
        <v>88</v>
      </c>
      <c r="G36" s="47" t="s">
        <v>274</v>
      </c>
      <c r="H36" s="47" t="s">
        <v>88</v>
      </c>
      <c r="I36" s="47" t="s">
        <v>88</v>
      </c>
      <c r="J36" s="48">
        <f t="shared" si="1"/>
        <v>100</v>
      </c>
      <c r="L36" s="45" t="s">
        <v>374</v>
      </c>
      <c r="M36" s="45" t="s">
        <v>270</v>
      </c>
    </row>
    <row r="37" spans="1:13" ht="21" customHeight="1" x14ac:dyDescent="0.15">
      <c r="A37" s="47">
        <v>40017047</v>
      </c>
      <c r="B37" s="102">
        <v>0</v>
      </c>
      <c r="C37" s="102" t="s">
        <v>88</v>
      </c>
      <c r="D37" s="102">
        <v>100</v>
      </c>
      <c r="E37" s="102">
        <v>100</v>
      </c>
      <c r="F37" s="102" t="s">
        <v>88</v>
      </c>
      <c r="G37" s="102">
        <v>0</v>
      </c>
      <c r="H37" s="102" t="s">
        <v>88</v>
      </c>
      <c r="I37" s="102">
        <v>0</v>
      </c>
      <c r="J37" s="48">
        <f t="shared" si="1"/>
        <v>100</v>
      </c>
      <c r="L37" s="45" t="s">
        <v>375</v>
      </c>
      <c r="M37" s="45" t="s">
        <v>376</v>
      </c>
    </row>
    <row r="38" spans="1:13" ht="21" customHeight="1" x14ac:dyDescent="0.15">
      <c r="A38" s="103">
        <v>40017051</v>
      </c>
      <c r="B38" s="103">
        <v>1</v>
      </c>
      <c r="C38" s="103" t="s">
        <v>88</v>
      </c>
      <c r="D38" s="103">
        <v>100</v>
      </c>
      <c r="E38" s="103">
        <v>100</v>
      </c>
      <c r="F38" s="103" t="s">
        <v>88</v>
      </c>
      <c r="G38" s="103">
        <v>1</v>
      </c>
      <c r="H38" s="103" t="s">
        <v>88</v>
      </c>
      <c r="I38" s="103">
        <v>848</v>
      </c>
      <c r="J38" s="48">
        <f t="shared" si="1"/>
        <v>100</v>
      </c>
      <c r="L38" s="45" t="s">
        <v>377</v>
      </c>
      <c r="M38" s="45" t="s">
        <v>323</v>
      </c>
    </row>
    <row r="39" spans="1:13" ht="21" customHeight="1" x14ac:dyDescent="0.15">
      <c r="A39" s="103">
        <v>40017052</v>
      </c>
      <c r="B39" s="103">
        <v>1</v>
      </c>
      <c r="C39" s="103" t="s">
        <v>88</v>
      </c>
      <c r="D39" s="103">
        <v>100</v>
      </c>
      <c r="E39" s="103">
        <v>100</v>
      </c>
      <c r="F39" s="103" t="s">
        <v>88</v>
      </c>
      <c r="G39" s="103">
        <v>1</v>
      </c>
      <c r="H39" s="103" t="s">
        <v>88</v>
      </c>
      <c r="I39" s="103">
        <v>849</v>
      </c>
      <c r="J39" s="48">
        <f t="shared" si="1"/>
        <v>100</v>
      </c>
      <c r="L39" s="45" t="s">
        <v>377</v>
      </c>
      <c r="M39" s="45" t="s">
        <v>323</v>
      </c>
    </row>
    <row r="40" spans="1:13" ht="21" customHeight="1" x14ac:dyDescent="0.15">
      <c r="A40" s="103">
        <v>40017053</v>
      </c>
      <c r="B40" s="103">
        <v>1</v>
      </c>
      <c r="C40" s="103" t="s">
        <v>88</v>
      </c>
      <c r="D40" s="103">
        <v>100</v>
      </c>
      <c r="E40" s="103">
        <v>100</v>
      </c>
      <c r="F40" s="103" t="s">
        <v>88</v>
      </c>
      <c r="G40" s="103">
        <v>1</v>
      </c>
      <c r="H40" s="103" t="s">
        <v>88</v>
      </c>
      <c r="I40" s="103">
        <v>840</v>
      </c>
      <c r="J40" s="48">
        <f t="shared" si="1"/>
        <v>100</v>
      </c>
      <c r="L40" s="45" t="s">
        <v>378</v>
      </c>
      <c r="M40" s="45" t="s">
        <v>323</v>
      </c>
    </row>
    <row r="41" spans="1:13" ht="21" customHeight="1" x14ac:dyDescent="0.15">
      <c r="A41" s="103">
        <v>40017054</v>
      </c>
      <c r="B41" s="103">
        <v>1</v>
      </c>
      <c r="C41" s="103" t="s">
        <v>88</v>
      </c>
      <c r="D41" s="103">
        <v>100</v>
      </c>
      <c r="E41" s="103">
        <v>100</v>
      </c>
      <c r="F41" s="103" t="s">
        <v>88</v>
      </c>
      <c r="G41" s="103">
        <v>1</v>
      </c>
      <c r="H41" s="103" t="s">
        <v>88</v>
      </c>
      <c r="I41" s="103">
        <v>841</v>
      </c>
      <c r="J41" s="48">
        <f t="shared" si="1"/>
        <v>100</v>
      </c>
      <c r="L41" s="45" t="s">
        <v>378</v>
      </c>
      <c r="M41" s="45" t="s">
        <v>323</v>
      </c>
    </row>
    <row r="42" spans="1:13" ht="21" customHeight="1" x14ac:dyDescent="0.15">
      <c r="A42" s="103">
        <v>40017055</v>
      </c>
      <c r="B42" s="103">
        <v>1</v>
      </c>
      <c r="C42" s="103" t="s">
        <v>88</v>
      </c>
      <c r="D42" s="103">
        <v>100</v>
      </c>
      <c r="E42" s="103">
        <v>100</v>
      </c>
      <c r="F42" s="103" t="s">
        <v>88</v>
      </c>
      <c r="G42" s="103">
        <v>1</v>
      </c>
      <c r="H42" s="103" t="s">
        <v>88</v>
      </c>
      <c r="I42" s="103" t="s">
        <v>88</v>
      </c>
      <c r="J42" s="48">
        <f t="shared" si="1"/>
        <v>100</v>
      </c>
      <c r="L42" s="45" t="s">
        <v>379</v>
      </c>
      <c r="M42" s="45" t="s">
        <v>323</v>
      </c>
    </row>
    <row r="43" spans="1:13" ht="21" customHeight="1" x14ac:dyDescent="0.15">
      <c r="A43" s="103">
        <v>40017056</v>
      </c>
      <c r="B43" s="103">
        <v>0</v>
      </c>
      <c r="C43" s="103" t="s">
        <v>88</v>
      </c>
      <c r="D43" s="103">
        <v>35</v>
      </c>
      <c r="E43" s="103">
        <v>100</v>
      </c>
      <c r="F43" s="103" t="s">
        <v>88</v>
      </c>
      <c r="G43" s="103" t="s">
        <v>276</v>
      </c>
      <c r="H43" s="103" t="s">
        <v>88</v>
      </c>
      <c r="I43" s="103" t="s">
        <v>88</v>
      </c>
      <c r="J43" s="48">
        <f t="shared" si="1"/>
        <v>35</v>
      </c>
      <c r="L43" s="45" t="s">
        <v>380</v>
      </c>
      <c r="M43" s="45" t="s">
        <v>267</v>
      </c>
    </row>
    <row r="44" spans="1:13" ht="21" customHeight="1" x14ac:dyDescent="0.15">
      <c r="A44" s="103">
        <v>40017057</v>
      </c>
      <c r="B44" s="103">
        <v>0</v>
      </c>
      <c r="C44" s="103">
        <v>2</v>
      </c>
      <c r="D44" s="103">
        <v>100</v>
      </c>
      <c r="E44" s="103">
        <v>100</v>
      </c>
      <c r="F44" s="103" t="s">
        <v>88</v>
      </c>
      <c r="G44" s="103">
        <v>1</v>
      </c>
      <c r="H44" s="103">
        <v>2</v>
      </c>
      <c r="I44" s="103" t="s">
        <v>88</v>
      </c>
      <c r="J44" s="48">
        <f t="shared" si="1"/>
        <v>100</v>
      </c>
      <c r="L44" s="45" t="s">
        <v>381</v>
      </c>
      <c r="M44" s="45" t="s">
        <v>382</v>
      </c>
    </row>
    <row r="45" spans="1:13" ht="21" customHeight="1" x14ac:dyDescent="0.15">
      <c r="A45" s="103">
        <v>40017058</v>
      </c>
      <c r="B45" s="103">
        <v>0</v>
      </c>
      <c r="C45" s="103">
        <v>3</v>
      </c>
      <c r="D45" s="103">
        <v>100</v>
      </c>
      <c r="E45" s="103">
        <v>70</v>
      </c>
      <c r="F45" s="103" t="s">
        <v>88</v>
      </c>
      <c r="G45" s="103" t="s">
        <v>274</v>
      </c>
      <c r="H45" s="103">
        <v>2</v>
      </c>
      <c r="I45" s="103" t="s">
        <v>88</v>
      </c>
      <c r="J45" s="48">
        <f t="shared" si="1"/>
        <v>100</v>
      </c>
      <c r="L45" s="45" t="s">
        <v>383</v>
      </c>
      <c r="M45" s="45" t="s">
        <v>382</v>
      </c>
    </row>
    <row r="46" spans="1:13" ht="21" customHeight="1" x14ac:dyDescent="0.15">
      <c r="A46" s="103">
        <v>40017059</v>
      </c>
      <c r="B46" s="103">
        <v>0</v>
      </c>
      <c r="C46" s="103">
        <v>4</v>
      </c>
      <c r="D46" s="103">
        <v>50</v>
      </c>
      <c r="E46" s="103">
        <v>100</v>
      </c>
      <c r="F46" s="103" t="s">
        <v>88</v>
      </c>
      <c r="G46" s="103">
        <v>1</v>
      </c>
      <c r="H46" s="103" t="s">
        <v>88</v>
      </c>
      <c r="I46" s="103" t="s">
        <v>88</v>
      </c>
      <c r="J46" s="48">
        <f t="shared" si="1"/>
        <v>50</v>
      </c>
      <c r="L46" s="45" t="s">
        <v>271</v>
      </c>
      <c r="M46" s="45" t="s">
        <v>384</v>
      </c>
    </row>
    <row r="47" spans="1:13" ht="21" customHeight="1" x14ac:dyDescent="0.15">
      <c r="A47" s="103">
        <v>40017060</v>
      </c>
      <c r="B47" s="103">
        <v>0</v>
      </c>
      <c r="C47" s="103">
        <v>5</v>
      </c>
      <c r="D47" s="103">
        <v>10</v>
      </c>
      <c r="E47" s="103">
        <v>30</v>
      </c>
      <c r="F47" s="103" t="s">
        <v>88</v>
      </c>
      <c r="G47" s="103">
        <v>1</v>
      </c>
      <c r="H47" s="103" t="s">
        <v>88</v>
      </c>
      <c r="I47" s="103" t="s">
        <v>88</v>
      </c>
      <c r="J47" s="48">
        <f t="shared" si="1"/>
        <v>10</v>
      </c>
      <c r="L47" s="45" t="s">
        <v>385</v>
      </c>
      <c r="M47" s="45" t="s">
        <v>386</v>
      </c>
    </row>
    <row r="48" spans="1:13" ht="21" customHeight="1" x14ac:dyDescent="0.15">
      <c r="A48" s="104">
        <v>40017063</v>
      </c>
      <c r="B48" s="104">
        <v>1</v>
      </c>
      <c r="C48" s="104" t="s">
        <v>88</v>
      </c>
      <c r="D48" s="104">
        <v>100</v>
      </c>
      <c r="E48" s="104">
        <v>100</v>
      </c>
      <c r="F48" s="104" t="s">
        <v>88</v>
      </c>
      <c r="G48" s="104">
        <v>1</v>
      </c>
      <c r="H48" s="104" t="s">
        <v>88</v>
      </c>
      <c r="I48" s="104">
        <v>848</v>
      </c>
      <c r="J48" s="48">
        <f t="shared" si="1"/>
        <v>100</v>
      </c>
      <c r="L48" s="45" t="s">
        <v>387</v>
      </c>
      <c r="M48" s="45" t="s">
        <v>388</v>
      </c>
    </row>
    <row r="49" spans="1:13" ht="21" customHeight="1" x14ac:dyDescent="0.15">
      <c r="A49" s="104">
        <v>40017064</v>
      </c>
      <c r="B49" s="104">
        <v>1</v>
      </c>
      <c r="C49" s="104" t="s">
        <v>88</v>
      </c>
      <c r="D49" s="104">
        <v>100</v>
      </c>
      <c r="E49" s="104">
        <v>100</v>
      </c>
      <c r="F49" s="104" t="s">
        <v>88</v>
      </c>
      <c r="G49" s="104">
        <v>1</v>
      </c>
      <c r="H49" s="104" t="s">
        <v>88</v>
      </c>
      <c r="I49" s="104">
        <v>849</v>
      </c>
      <c r="J49" s="48">
        <f t="shared" ref="J49:J52" si="4">D49</f>
        <v>100</v>
      </c>
      <c r="L49" s="45" t="s">
        <v>387</v>
      </c>
      <c r="M49" s="45" t="s">
        <v>388</v>
      </c>
    </row>
    <row r="50" spans="1:13" ht="21" customHeight="1" x14ac:dyDescent="0.15">
      <c r="A50" s="104">
        <v>40017065</v>
      </c>
      <c r="B50" s="104">
        <v>1</v>
      </c>
      <c r="C50" s="104" t="s">
        <v>88</v>
      </c>
      <c r="D50" s="104">
        <v>100</v>
      </c>
      <c r="E50" s="104">
        <v>100</v>
      </c>
      <c r="F50" s="104" t="s">
        <v>88</v>
      </c>
      <c r="G50" s="104">
        <v>1</v>
      </c>
      <c r="H50" s="104" t="s">
        <v>88</v>
      </c>
      <c r="I50" s="104">
        <v>840</v>
      </c>
      <c r="J50" s="48">
        <f t="shared" si="4"/>
        <v>100</v>
      </c>
      <c r="L50" s="45" t="s">
        <v>389</v>
      </c>
      <c r="M50" s="45" t="s">
        <v>388</v>
      </c>
    </row>
    <row r="51" spans="1:13" ht="21" customHeight="1" x14ac:dyDescent="0.15">
      <c r="A51" s="104">
        <v>40017066</v>
      </c>
      <c r="B51" s="104">
        <v>1</v>
      </c>
      <c r="C51" s="104" t="s">
        <v>88</v>
      </c>
      <c r="D51" s="104">
        <v>100</v>
      </c>
      <c r="E51" s="104">
        <v>100</v>
      </c>
      <c r="F51" s="104" t="s">
        <v>88</v>
      </c>
      <c r="G51" s="104">
        <v>1</v>
      </c>
      <c r="H51" s="104" t="s">
        <v>88</v>
      </c>
      <c r="I51" s="104">
        <v>841</v>
      </c>
      <c r="J51" s="48">
        <f t="shared" si="4"/>
        <v>100</v>
      </c>
      <c r="L51" s="45" t="s">
        <v>389</v>
      </c>
      <c r="M51" s="45" t="s">
        <v>388</v>
      </c>
    </row>
    <row r="52" spans="1:13" ht="21" customHeight="1" x14ac:dyDescent="0.15">
      <c r="A52" s="104">
        <v>40017067</v>
      </c>
      <c r="B52" s="104">
        <v>1</v>
      </c>
      <c r="C52" s="104" t="s">
        <v>88</v>
      </c>
      <c r="D52" s="104">
        <v>100</v>
      </c>
      <c r="E52" s="104">
        <v>100</v>
      </c>
      <c r="F52" s="104" t="s">
        <v>88</v>
      </c>
      <c r="G52" s="104">
        <v>1</v>
      </c>
      <c r="H52" s="104" t="s">
        <v>88</v>
      </c>
      <c r="I52" s="104" t="s">
        <v>88</v>
      </c>
      <c r="J52" s="48">
        <f t="shared" si="4"/>
        <v>100</v>
      </c>
      <c r="L52" s="45" t="s">
        <v>390</v>
      </c>
      <c r="M52" s="45" t="s">
        <v>388</v>
      </c>
    </row>
    <row r="53" spans="1:13" ht="21" customHeight="1" x14ac:dyDescent="0.15">
      <c r="A53" s="104">
        <v>40017068</v>
      </c>
      <c r="B53" s="104">
        <v>0</v>
      </c>
      <c r="C53" s="104" t="s">
        <v>88</v>
      </c>
      <c r="D53" s="104">
        <v>100</v>
      </c>
      <c r="E53" s="104">
        <v>40</v>
      </c>
      <c r="F53" s="104" t="s">
        <v>88</v>
      </c>
      <c r="G53" s="104">
        <v>1</v>
      </c>
      <c r="H53" s="104" t="s">
        <v>88</v>
      </c>
      <c r="I53" s="104" t="s">
        <v>88</v>
      </c>
      <c r="J53" s="48">
        <f t="shared" ref="J53:J61" si="5">D53</f>
        <v>100</v>
      </c>
      <c r="L53" s="45" t="s">
        <v>391</v>
      </c>
      <c r="M53" s="45" t="s">
        <v>267</v>
      </c>
    </row>
    <row r="54" spans="1:13" ht="21" customHeight="1" x14ac:dyDescent="0.15">
      <c r="A54" s="104">
        <v>40017069</v>
      </c>
      <c r="B54" s="104">
        <v>0</v>
      </c>
      <c r="C54" s="104">
        <v>1</v>
      </c>
      <c r="D54" s="104">
        <v>100</v>
      </c>
      <c r="E54" s="104">
        <v>100</v>
      </c>
      <c r="F54" s="104" t="s">
        <v>88</v>
      </c>
      <c r="G54" s="104" t="s">
        <v>88</v>
      </c>
      <c r="H54" s="104">
        <v>7</v>
      </c>
      <c r="I54" s="104" t="s">
        <v>88</v>
      </c>
      <c r="J54" s="48">
        <f t="shared" si="5"/>
        <v>100</v>
      </c>
      <c r="L54" s="45" t="s">
        <v>392</v>
      </c>
      <c r="M54" s="45" t="s">
        <v>272</v>
      </c>
    </row>
    <row r="55" spans="1:13" ht="21" customHeight="1" x14ac:dyDescent="0.15">
      <c r="A55" s="104">
        <v>40017070</v>
      </c>
      <c r="B55" s="104">
        <v>0</v>
      </c>
      <c r="C55" s="104">
        <v>2</v>
      </c>
      <c r="D55" s="104">
        <v>100</v>
      </c>
      <c r="E55" s="104">
        <v>80</v>
      </c>
      <c r="F55" s="104" t="s">
        <v>88</v>
      </c>
      <c r="G55" s="104">
        <v>1</v>
      </c>
      <c r="H55" s="104">
        <v>3</v>
      </c>
      <c r="I55" s="104" t="s">
        <v>88</v>
      </c>
      <c r="J55" s="48">
        <f t="shared" si="5"/>
        <v>100</v>
      </c>
      <c r="L55" s="45" t="s">
        <v>393</v>
      </c>
      <c r="M55" s="45" t="s">
        <v>394</v>
      </c>
    </row>
    <row r="56" spans="1:13" ht="21" customHeight="1" x14ac:dyDescent="0.15">
      <c r="A56" s="104">
        <v>40017071</v>
      </c>
      <c r="B56" s="104">
        <v>0</v>
      </c>
      <c r="C56" s="104">
        <v>3</v>
      </c>
      <c r="D56" s="104">
        <v>100</v>
      </c>
      <c r="E56" s="104">
        <v>60</v>
      </c>
      <c r="F56" s="104" t="s">
        <v>88</v>
      </c>
      <c r="G56" s="104">
        <v>1</v>
      </c>
      <c r="H56" s="104">
        <v>3</v>
      </c>
      <c r="I56" s="104" t="s">
        <v>88</v>
      </c>
      <c r="J56" s="48">
        <f t="shared" si="5"/>
        <v>100</v>
      </c>
      <c r="L56" s="45" t="s">
        <v>395</v>
      </c>
      <c r="M56" s="45" t="s">
        <v>396</v>
      </c>
    </row>
    <row r="57" spans="1:13" ht="21" customHeight="1" x14ac:dyDescent="0.15">
      <c r="A57" s="104">
        <v>40017072</v>
      </c>
      <c r="B57" s="104">
        <v>0</v>
      </c>
      <c r="C57" s="104">
        <v>4</v>
      </c>
      <c r="D57" s="104">
        <v>100</v>
      </c>
      <c r="E57" s="104">
        <v>40</v>
      </c>
      <c r="F57" s="104" t="s">
        <v>88</v>
      </c>
      <c r="G57" s="104">
        <v>1</v>
      </c>
      <c r="H57" s="104">
        <v>3</v>
      </c>
      <c r="I57" s="104" t="s">
        <v>88</v>
      </c>
      <c r="J57" s="48">
        <f t="shared" si="5"/>
        <v>100</v>
      </c>
      <c r="L57" s="45" t="s">
        <v>397</v>
      </c>
      <c r="M57" s="45" t="s">
        <v>398</v>
      </c>
    </row>
    <row r="58" spans="1:13" ht="21" customHeight="1" x14ac:dyDescent="0.15">
      <c r="A58" s="104">
        <v>40017073</v>
      </c>
      <c r="B58" s="104">
        <v>0</v>
      </c>
      <c r="C58" s="104">
        <v>5</v>
      </c>
      <c r="D58" s="104">
        <v>100</v>
      </c>
      <c r="E58" s="104">
        <v>20</v>
      </c>
      <c r="F58" s="104" t="s">
        <v>88</v>
      </c>
      <c r="G58" s="104">
        <v>1</v>
      </c>
      <c r="H58" s="104">
        <v>3</v>
      </c>
      <c r="I58" s="104" t="s">
        <v>88</v>
      </c>
      <c r="J58" s="48">
        <f t="shared" si="5"/>
        <v>100</v>
      </c>
      <c r="L58" s="45" t="s">
        <v>399</v>
      </c>
      <c r="M58" s="45" t="s">
        <v>400</v>
      </c>
    </row>
    <row r="59" spans="1:13" ht="21" customHeight="1" x14ac:dyDescent="0.15">
      <c r="A59" s="104">
        <v>40017074</v>
      </c>
      <c r="B59" s="104">
        <v>0</v>
      </c>
      <c r="C59" s="104">
        <v>6</v>
      </c>
      <c r="D59" s="104">
        <v>100</v>
      </c>
      <c r="E59" s="104">
        <v>50</v>
      </c>
      <c r="F59" s="104" t="s">
        <v>88</v>
      </c>
      <c r="G59" s="104">
        <v>1</v>
      </c>
      <c r="H59" s="104" t="s">
        <v>88</v>
      </c>
      <c r="I59" s="104" t="s">
        <v>88</v>
      </c>
      <c r="J59" s="48">
        <f t="shared" si="5"/>
        <v>100</v>
      </c>
      <c r="L59" s="45" t="s">
        <v>401</v>
      </c>
      <c r="M59" s="45" t="s">
        <v>402</v>
      </c>
    </row>
    <row r="60" spans="1:13" ht="21" customHeight="1" x14ac:dyDescent="0.15">
      <c r="A60" s="47">
        <v>40017077</v>
      </c>
      <c r="B60" s="47">
        <v>1</v>
      </c>
      <c r="C60" s="47" t="s">
        <v>88</v>
      </c>
      <c r="D60" s="47">
        <v>100</v>
      </c>
      <c r="E60" s="47">
        <v>100</v>
      </c>
      <c r="F60" s="47" t="s">
        <v>88</v>
      </c>
      <c r="G60" s="47">
        <v>1</v>
      </c>
      <c r="H60" s="47" t="s">
        <v>88</v>
      </c>
      <c r="I60" s="47">
        <v>848</v>
      </c>
      <c r="J60" s="48">
        <f t="shared" si="5"/>
        <v>100</v>
      </c>
      <c r="L60" s="45" t="s">
        <v>403</v>
      </c>
      <c r="M60" s="45" t="s">
        <v>323</v>
      </c>
    </row>
    <row r="61" spans="1:13" ht="21" customHeight="1" x14ac:dyDescent="0.15">
      <c r="A61" s="47">
        <v>40017078</v>
      </c>
      <c r="B61" s="47">
        <v>1</v>
      </c>
      <c r="C61" s="47" t="s">
        <v>88</v>
      </c>
      <c r="D61" s="47">
        <v>100</v>
      </c>
      <c r="E61" s="47">
        <v>100</v>
      </c>
      <c r="F61" s="47" t="s">
        <v>88</v>
      </c>
      <c r="G61" s="47">
        <v>1</v>
      </c>
      <c r="H61" s="47" t="s">
        <v>88</v>
      </c>
      <c r="I61" s="47">
        <v>849</v>
      </c>
      <c r="J61" s="48">
        <f t="shared" si="5"/>
        <v>100</v>
      </c>
      <c r="L61" s="45" t="s">
        <v>403</v>
      </c>
      <c r="M61" s="45" t="s">
        <v>323</v>
      </c>
    </row>
    <row r="62" spans="1:13" ht="21" customHeight="1" x14ac:dyDescent="0.15">
      <c r="A62" s="47">
        <v>40017079</v>
      </c>
      <c r="B62" s="47">
        <v>1</v>
      </c>
      <c r="C62" s="47" t="s">
        <v>88</v>
      </c>
      <c r="D62" s="47">
        <v>100</v>
      </c>
      <c r="E62" s="47">
        <v>100</v>
      </c>
      <c r="F62" s="47" t="s">
        <v>88</v>
      </c>
      <c r="G62" s="47">
        <v>1</v>
      </c>
      <c r="H62" s="47" t="s">
        <v>88</v>
      </c>
      <c r="I62" s="47">
        <v>840</v>
      </c>
      <c r="J62" s="48">
        <f t="shared" ref="J62:J70" si="6">D62</f>
        <v>100</v>
      </c>
      <c r="L62" s="45" t="s">
        <v>404</v>
      </c>
      <c r="M62" s="45" t="s">
        <v>323</v>
      </c>
    </row>
    <row r="63" spans="1:13" ht="21" customHeight="1" x14ac:dyDescent="0.15">
      <c r="A63" s="47">
        <v>40017080</v>
      </c>
      <c r="B63" s="47">
        <v>1</v>
      </c>
      <c r="C63" s="47" t="s">
        <v>88</v>
      </c>
      <c r="D63" s="47">
        <v>100</v>
      </c>
      <c r="E63" s="47">
        <v>100</v>
      </c>
      <c r="F63" s="47" t="s">
        <v>88</v>
      </c>
      <c r="G63" s="47">
        <v>1</v>
      </c>
      <c r="H63" s="47" t="s">
        <v>88</v>
      </c>
      <c r="I63" s="47">
        <v>841</v>
      </c>
      <c r="J63" s="48">
        <f t="shared" si="6"/>
        <v>100</v>
      </c>
      <c r="L63" s="45" t="s">
        <v>404</v>
      </c>
      <c r="M63" s="45" t="s">
        <v>323</v>
      </c>
    </row>
    <row r="64" spans="1:13" ht="21" customHeight="1" x14ac:dyDescent="0.15">
      <c r="A64" s="47">
        <v>40017081</v>
      </c>
      <c r="B64" s="47">
        <v>1</v>
      </c>
      <c r="C64" s="47" t="s">
        <v>88</v>
      </c>
      <c r="D64" s="47">
        <v>100</v>
      </c>
      <c r="E64" s="47">
        <v>100</v>
      </c>
      <c r="F64" s="47" t="s">
        <v>88</v>
      </c>
      <c r="G64" s="47">
        <v>1</v>
      </c>
      <c r="H64" s="47" t="s">
        <v>88</v>
      </c>
      <c r="I64" s="47" t="s">
        <v>88</v>
      </c>
      <c r="J64" s="48">
        <f t="shared" si="6"/>
        <v>100</v>
      </c>
      <c r="L64" s="45" t="s">
        <v>405</v>
      </c>
      <c r="M64" s="45" t="s">
        <v>323</v>
      </c>
    </row>
    <row r="65" spans="1:13" ht="21" customHeight="1" x14ac:dyDescent="0.15">
      <c r="A65" s="47">
        <v>40017082</v>
      </c>
      <c r="B65" s="47">
        <v>0</v>
      </c>
      <c r="C65" s="47">
        <v>1</v>
      </c>
      <c r="D65" s="47">
        <v>100</v>
      </c>
      <c r="E65" s="47">
        <v>100</v>
      </c>
      <c r="F65" s="47" t="s">
        <v>88</v>
      </c>
      <c r="G65" s="47">
        <v>1</v>
      </c>
      <c r="H65" s="47">
        <v>1</v>
      </c>
      <c r="I65" s="47" t="s">
        <v>88</v>
      </c>
      <c r="J65" s="48">
        <f t="shared" si="6"/>
        <v>100</v>
      </c>
      <c r="L65" s="45" t="s">
        <v>406</v>
      </c>
      <c r="M65" s="45" t="s">
        <v>407</v>
      </c>
    </row>
    <row r="66" spans="1:13" ht="21" customHeight="1" x14ac:dyDescent="0.15">
      <c r="A66" s="47">
        <v>40017083</v>
      </c>
      <c r="B66" s="47">
        <v>0</v>
      </c>
      <c r="C66" s="47">
        <v>1</v>
      </c>
      <c r="D66" s="47">
        <v>100</v>
      </c>
      <c r="E66" s="47">
        <v>100</v>
      </c>
      <c r="F66" s="47" t="s">
        <v>88</v>
      </c>
      <c r="G66" s="47">
        <v>1</v>
      </c>
      <c r="H66" s="47">
        <v>1</v>
      </c>
      <c r="I66" s="47" t="s">
        <v>88</v>
      </c>
      <c r="J66" s="48">
        <f t="shared" si="6"/>
        <v>100</v>
      </c>
      <c r="L66" s="45" t="s">
        <v>408</v>
      </c>
      <c r="M66" s="45" t="s">
        <v>409</v>
      </c>
    </row>
    <row r="67" spans="1:13" ht="21" customHeight="1" x14ac:dyDescent="0.15">
      <c r="A67" s="47">
        <v>40017084</v>
      </c>
      <c r="B67" s="47">
        <v>0</v>
      </c>
      <c r="C67" s="47">
        <v>2</v>
      </c>
      <c r="D67" s="47">
        <v>100</v>
      </c>
      <c r="E67" s="47">
        <v>100</v>
      </c>
      <c r="F67" s="47" t="s">
        <v>88</v>
      </c>
      <c r="G67" s="47">
        <v>1</v>
      </c>
      <c r="H67" s="47">
        <v>2</v>
      </c>
      <c r="I67" s="47" t="s">
        <v>88</v>
      </c>
      <c r="J67" s="48">
        <f t="shared" si="6"/>
        <v>100</v>
      </c>
      <c r="L67" s="45" t="s">
        <v>410</v>
      </c>
      <c r="M67" s="45" t="s">
        <v>411</v>
      </c>
    </row>
    <row r="68" spans="1:13" ht="21" customHeight="1" x14ac:dyDescent="0.15">
      <c r="A68" s="47">
        <v>40017085</v>
      </c>
      <c r="B68" s="47">
        <v>0</v>
      </c>
      <c r="C68" s="47">
        <v>3</v>
      </c>
      <c r="D68" s="47">
        <v>100</v>
      </c>
      <c r="E68" s="47">
        <v>100</v>
      </c>
      <c r="F68" s="47" t="s">
        <v>88</v>
      </c>
      <c r="G68" s="47">
        <v>1</v>
      </c>
      <c r="H68" s="47">
        <v>3</v>
      </c>
      <c r="I68" s="47" t="s">
        <v>88</v>
      </c>
      <c r="J68" s="48">
        <f t="shared" si="6"/>
        <v>100</v>
      </c>
      <c r="L68" s="45" t="s">
        <v>412</v>
      </c>
      <c r="M68" s="45" t="s">
        <v>413</v>
      </c>
    </row>
    <row r="69" spans="1:13" ht="21" customHeight="1" x14ac:dyDescent="0.15">
      <c r="A69" s="47">
        <v>40017086</v>
      </c>
      <c r="B69" s="47">
        <v>0</v>
      </c>
      <c r="C69" s="47">
        <v>4</v>
      </c>
      <c r="D69" s="47">
        <v>100</v>
      </c>
      <c r="E69" s="47">
        <v>100</v>
      </c>
      <c r="F69" s="47" t="s">
        <v>88</v>
      </c>
      <c r="G69" s="47">
        <v>1</v>
      </c>
      <c r="H69" s="47">
        <v>4</v>
      </c>
      <c r="I69" s="47" t="s">
        <v>88</v>
      </c>
      <c r="J69" s="48">
        <f t="shared" si="6"/>
        <v>100</v>
      </c>
      <c r="L69" s="45" t="s">
        <v>414</v>
      </c>
      <c r="M69" s="45" t="s">
        <v>415</v>
      </c>
    </row>
    <row r="70" spans="1:13" ht="21" customHeight="1" x14ac:dyDescent="0.15">
      <c r="A70" s="47">
        <v>40017087</v>
      </c>
      <c r="B70" s="47">
        <v>0</v>
      </c>
      <c r="C70" s="47">
        <v>5</v>
      </c>
      <c r="D70" s="47">
        <v>100</v>
      </c>
      <c r="E70" s="47">
        <v>100</v>
      </c>
      <c r="F70" s="47" t="s">
        <v>88</v>
      </c>
      <c r="G70" s="47">
        <v>1</v>
      </c>
      <c r="H70" s="47">
        <v>5</v>
      </c>
      <c r="I70" s="47" t="s">
        <v>88</v>
      </c>
      <c r="J70" s="48">
        <f t="shared" si="6"/>
        <v>100</v>
      </c>
      <c r="L70" s="45" t="s">
        <v>416</v>
      </c>
      <c r="M70" s="45" t="s">
        <v>417</v>
      </c>
    </row>
    <row r="71" spans="1:13" ht="21" customHeight="1" x14ac:dyDescent="0.15">
      <c r="A71" s="47">
        <v>40017088</v>
      </c>
      <c r="B71" s="102">
        <v>0</v>
      </c>
      <c r="C71" s="102" t="s">
        <v>88</v>
      </c>
      <c r="D71" s="102">
        <v>100</v>
      </c>
      <c r="E71" s="102">
        <v>100</v>
      </c>
      <c r="F71" s="102" t="s">
        <v>88</v>
      </c>
      <c r="G71" s="102">
        <v>0</v>
      </c>
      <c r="H71" s="102" t="s">
        <v>88</v>
      </c>
      <c r="I71" s="102">
        <v>0</v>
      </c>
      <c r="J71" s="48">
        <f t="shared" ref="J71" si="7">D71</f>
        <v>100</v>
      </c>
      <c r="L71" s="45" t="s">
        <v>273</v>
      </c>
      <c r="M71" s="45" t="s">
        <v>418</v>
      </c>
    </row>
    <row r="72" spans="1:13" ht="21" customHeight="1" x14ac:dyDescent="0.15">
      <c r="A72" s="47">
        <v>40017089</v>
      </c>
      <c r="B72" s="102">
        <v>0</v>
      </c>
      <c r="C72" s="102" t="s">
        <v>88</v>
      </c>
      <c r="D72" s="102">
        <v>100</v>
      </c>
      <c r="E72" s="102">
        <v>100</v>
      </c>
      <c r="F72" s="102" t="s">
        <v>88</v>
      </c>
      <c r="G72" s="102" t="s">
        <v>430</v>
      </c>
      <c r="H72" s="102">
        <v>1</v>
      </c>
      <c r="I72" s="102" t="s">
        <v>88</v>
      </c>
      <c r="J72" s="48">
        <f t="shared" ref="J72" si="8">D72</f>
        <v>100</v>
      </c>
      <c r="L72" s="45" t="s">
        <v>419</v>
      </c>
      <c r="M72" s="45" t="s">
        <v>420</v>
      </c>
    </row>
  </sheetData>
  <autoFilter ref="A1:G1"/>
  <phoneticPr fontId="5"/>
  <conditionalFormatting sqref="K73:K1048576 K53:K61 K1:K2">
    <cfRule type="duplicateValues" dxfId="7" priority="9"/>
  </conditionalFormatting>
  <conditionalFormatting sqref="K62:K70">
    <cfRule type="duplicateValues" dxfId="6" priority="6"/>
  </conditionalFormatting>
  <conditionalFormatting sqref="K12:K52 K3:K8">
    <cfRule type="duplicateValues" dxfId="5" priority="24"/>
  </conditionalFormatting>
  <conditionalFormatting sqref="K71">
    <cfRule type="duplicateValues" dxfId="4" priority="27"/>
  </conditionalFormatting>
  <conditionalFormatting sqref="K10">
    <cfRule type="duplicateValues" dxfId="3" priority="4"/>
  </conditionalFormatting>
  <conditionalFormatting sqref="K9">
    <cfRule type="duplicateValues" dxfId="2" priority="3"/>
  </conditionalFormatting>
  <conditionalFormatting sqref="K72">
    <cfRule type="duplicateValues" dxfId="1" priority="2"/>
  </conditionalFormatting>
  <conditionalFormatting sqref="K1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1"/>
  <sheetViews>
    <sheetView showGridLines="0" workbookViewId="0">
      <pane xSplit="5" ySplit="1" topLeftCell="F52" activePane="bottomRight" state="frozen"/>
      <selection pane="topRight"/>
      <selection pane="bottomLeft"/>
      <selection pane="bottomRight" activeCell="H74" sqref="H7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40017001_40017001</v>
      </c>
      <c r="B2" s="47">
        <v>40017001</v>
      </c>
      <c r="C2" s="47">
        <v>40017001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エージェントスナイプ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2" s="47">
        <v>40017001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2" si="1">B3&amp;"_"&amp;C3</f>
        <v>40017001_40017002</v>
      </c>
      <c r="B3" s="47">
        <v>40017001</v>
      </c>
      <c r="C3" s="47">
        <v>40017002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本文なし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？？？「この子は役に立たないわね。_x000D_ベルフェゴール！アンタの出番よん！」</v>
      </c>
      <c r="F3" s="47">
        <v>40017002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40017002_40017006</v>
      </c>
      <c r="B4" s="47">
        <v>40017002</v>
      </c>
      <c r="C4" s="47">
        <v>40017006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よいしょっと…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お昼寝のじゅんびできたぁ〜</v>
      </c>
      <c r="F4" s="47">
        <v>40017006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40017002_40017007</v>
      </c>
      <c r="B5" s="47">
        <v>40017002</v>
      </c>
      <c r="C5" s="47">
        <v>40017007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戦うのヤダよぉ〜ねむぃ…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ベルフェゴールは今にも眠りそうだ</v>
      </c>
      <c r="F5" s="47">
        <v>40017007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40017002_40017008</v>
      </c>
      <c r="B6" s="47">
        <v>40017002</v>
      </c>
      <c r="C6" s="47">
        <v>40017008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むにゃむにゃ…いただぃまぁす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ベルフェゴールは寝ぼけている</v>
      </c>
      <c r="F6" s="47">
        <v>40017008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40017002_40017009</v>
      </c>
      <c r="B7" s="47">
        <v>40017002</v>
      </c>
      <c r="C7" s="47">
        <v>40017009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むにゃむにゃ…どいてぇ〜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ベルフェゴールは寝ぼけている</v>
      </c>
      <c r="F7" s="47">
        <v>40017009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40017002_40017010</v>
      </c>
      <c r="B8" s="47">
        <v>40017002</v>
      </c>
      <c r="C8" s="47">
        <v>40017010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むにゃ…あれ…あれれ…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ボクは…ボク…は…</v>
      </c>
      <c r="F8" s="47">
        <v>40017010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3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40017002_40017011</v>
      </c>
      <c r="B9" s="47">
        <v>40017002</v>
      </c>
      <c r="C9" s="47">
        <v>40017011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むにゃむにゃ…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ベルフェゴールは今にも眠りそうだ</v>
      </c>
      <c r="F9" s="47">
        <v>40017011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2">B10&amp;"_"&amp;C10</f>
        <v>40017002_40017012</v>
      </c>
      <c r="B10" s="47">
        <v>40017002</v>
      </c>
      <c r="C10" s="47">
        <v>40017012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むにゃむにゃ…あそぼぅよ〜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ベルフェゴールは寝ぼけている</v>
      </c>
      <c r="F10" s="47">
        <v>40017012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" si="3">B11&amp;"_"&amp;C11</f>
        <v>40017002_40017013</v>
      </c>
      <c r="B11" s="47">
        <v>40017002</v>
      </c>
      <c r="C11" s="47">
        <v>40017013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むにゃむにゃ…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？？？「んもう！どれだけ手間取っているのよん！」</v>
      </c>
      <c r="F11" s="47">
        <v>40017013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40017003_40017016</v>
      </c>
      <c r="B12" s="47">
        <v>40017003</v>
      </c>
      <c r="C12" s="47">
        <v>40017016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敵…やっつけるっ！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？？？「ウフフ、これでバッチリね☆」</v>
      </c>
      <c r="F12" s="47">
        <v>40017016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7"/>
      <c r="Q12" s="47"/>
      <c r="R12" s="47"/>
    </row>
    <row r="13" spans="1:18" ht="21" customHeight="1" x14ac:dyDescent="0.15">
      <c r="A13" s="39" t="str">
        <f t="shared" si="1"/>
        <v>40017003_40017017</v>
      </c>
      <c r="B13" s="47">
        <v>40017003</v>
      </c>
      <c r="C13" s="47">
        <v>40017017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薙ぎはらっちゃうよっ！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7">
        <v>40017017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3" s="47"/>
      <c r="Q13" s="47"/>
      <c r="R13" s="47"/>
    </row>
    <row r="14" spans="1:18" ht="21" customHeight="1" x14ac:dyDescent="0.15">
      <c r="A14" s="39" t="str">
        <f t="shared" si="1"/>
        <v>40017003_40017018</v>
      </c>
      <c r="B14" s="47">
        <v>40017003</v>
      </c>
      <c r="C14" s="47">
        <v>40017018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これならどうだっ！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14" s="47">
        <v>40017018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40017003_40017019</v>
      </c>
      <c r="B15" s="47">
        <v>40017003</v>
      </c>
      <c r="C15" s="47">
        <v>40017019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プレゼントだよっ！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2回連続攻撃＋お邪魔パネル3つ生成</v>
      </c>
      <c r="F15" s="47">
        <v>40017019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40017003_40017020</v>
      </c>
      <c r="B16" s="47">
        <v>40017003</v>
      </c>
      <c r="C16" s="47">
        <v>40017020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やっぱり返してっ！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お邪魔パネル吸収攻撃</v>
      </c>
      <c r="F16" s="47">
        <v>40017020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40017009_40017021</v>
      </c>
      <c r="B17" s="106">
        <v>40017009</v>
      </c>
      <c r="C17" s="47">
        <v>40017021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あれぇ？ボクなにかしてたぁ？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まぁいいや…お昼寝のつづきしよっと…</v>
      </c>
      <c r="F17" s="47">
        <v>40017021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40017004_40017026</v>
      </c>
      <c r="B18" s="47">
        <v>40017004</v>
      </c>
      <c r="C18" s="47">
        <v>40017026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ベルゼブブ様に刃向かう者達か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ここで息の根を止める！</v>
      </c>
      <c r="F18" s="47">
        <v>40017026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40017004_40017027</v>
      </c>
      <c r="B19" s="47">
        <v>40017004</v>
      </c>
      <c r="C19" s="47">
        <v>40017027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もらった！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クリティカルヒット！</v>
      </c>
      <c r="F19" s="47">
        <v>40017027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9" s="47"/>
      <c r="Q19" s="47"/>
      <c r="R19" s="47"/>
    </row>
    <row r="20" spans="1:18" ht="21" customHeight="1" x14ac:dyDescent="0.15">
      <c r="A20" s="39" t="str">
        <f t="shared" si="1"/>
        <v>40017004_40017028</v>
      </c>
      <c r="B20" s="47">
        <v>40017004</v>
      </c>
      <c r="C20" s="47">
        <v>40017028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絶望しろ！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フィーバーゲージ減少＋全体攻撃</v>
      </c>
      <c r="F20" s="47">
        <v>40017028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40017004_40017029</v>
      </c>
      <c r="B21" s="47">
        <v>40017004</v>
      </c>
      <c r="C21" s="47">
        <v>40017029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これでもまだ立ち上がれるか？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全体攻撃＋全てのプラス効果を解除</v>
      </c>
      <c r="F21" s="47">
        <v>40017029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40017004_40017030</v>
      </c>
      <c r="B22" s="47">
        <v>40017004</v>
      </c>
      <c r="C22" s="47">
        <v>40017030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その程度の力など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全体攻撃＋出現しているCパネル激烈縮小</v>
      </c>
      <c r="F22" s="47">
        <v>40017030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40017004_40017031</v>
      </c>
      <c r="B23" s="47">
        <v>40017004</v>
      </c>
      <c r="C23" s="47">
        <v>40017031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ついてこれるかな？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赤パネルを緑パネルに変換＋全体攻撃</v>
      </c>
      <c r="F23" s="47">
        <v>40017031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40017004_40017032</v>
      </c>
      <c r="B24" s="47">
        <v>40017004</v>
      </c>
      <c r="C24" s="47">
        <v>40017032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強烈な一撃をくらわせてやる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24" s="47">
        <v>40017032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40017004_40017033</v>
      </c>
      <c r="B25" s="47">
        <v>40017004</v>
      </c>
      <c r="C25" s="47">
        <v>40017033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じわじわと行くぞ？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5ターンウィルス状態</v>
      </c>
      <c r="F25" s="47">
        <v>40017033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40017005_40017036</v>
      </c>
      <c r="B26" s="47">
        <v>40017005</v>
      </c>
      <c r="C26" s="47">
        <v>40017036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本気で相手をしてやる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そうだな…最初は「緑」にするか</v>
      </c>
      <c r="F26" s="47">
        <v>40017036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40017005_40017037</v>
      </c>
      <c r="B27" s="47">
        <v>40017005</v>
      </c>
      <c r="C27" s="47">
        <v>40017037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その力を封じる！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全体攻撃＋緑パネルプロテクト</v>
      </c>
      <c r="F27" s="47">
        <v>40017037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40017005_40017038</v>
      </c>
      <c r="B28" s="47">
        <v>40017005</v>
      </c>
      <c r="C28" s="47">
        <v>40017038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緑の力を使わせてもらう！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次は…「黄」だ</v>
      </c>
      <c r="F28" s="47">
        <v>40017038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40017005_40017039</v>
      </c>
      <c r="B29" s="47">
        <v>40017005</v>
      </c>
      <c r="C29" s="47">
        <v>40017039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その力を封じる！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全体攻撃＋黄パネルプロテクト</v>
      </c>
      <c r="F29" s="47">
        <v>40017039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40017005_40017040</v>
      </c>
      <c r="B30" s="47">
        <v>40017005</v>
      </c>
      <c r="C30" s="47">
        <v>40017040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黄の力を使わせてもらう！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次は…「赤」だ</v>
      </c>
      <c r="F30" s="47">
        <v>40017040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40017005_40017041</v>
      </c>
      <c r="B31" s="47">
        <v>40017005</v>
      </c>
      <c r="C31" s="47">
        <v>40017041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その力を封じる！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全体攻撃＋赤パネルプロテクト</v>
      </c>
      <c r="F31" s="47">
        <v>40017041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40017005_40017042</v>
      </c>
      <c r="B32" s="47">
        <v>40017005</v>
      </c>
      <c r="C32" s="47">
        <v>40017042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赤の力を使わせてもらう！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次は…「青」だ</v>
      </c>
      <c r="F32" s="47">
        <v>40017042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70" si="4">B33&amp;"_"&amp;C33</f>
        <v>40017005_40017043</v>
      </c>
      <c r="B33" s="47">
        <v>40017005</v>
      </c>
      <c r="C33" s="47">
        <v>40017043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その力を封じる！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全体攻撃＋青パネルプロテクト</v>
      </c>
      <c r="F33" s="47">
        <v>40017043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40017005_40017044</v>
      </c>
      <c r="B34" s="47">
        <v>40017005</v>
      </c>
      <c r="C34" s="47">
        <v>40017044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青の力を使わせてもらう！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34" s="47">
        <v>40017044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40017005_40017045</v>
      </c>
      <c r="B35" s="47">
        <v>40017005</v>
      </c>
      <c r="C35" s="47">
        <v>40017045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やるな！ならばこれで！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1ターンスキルバインド＋クリティカル！</v>
      </c>
      <c r="F35" s="47">
        <v>40017045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4"/>
        <v>40017005_40017046</v>
      </c>
      <c r="B36" s="47">
        <v>40017005</v>
      </c>
      <c r="C36" s="47">
        <v>40017046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いつまで耐えられるかな？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1ターンスキルバインド＋クリティカル！</v>
      </c>
      <c r="F36" s="47">
        <v>40017046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4"/>
        <v>40017005_40017047</v>
      </c>
      <c r="B37" s="47">
        <v>40017005</v>
      </c>
      <c r="C37" s="47">
        <v>40017047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ベルゼブブ様…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申し訳ありません…</v>
      </c>
      <c r="F37" s="47">
        <v>40017047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4"/>
        <v>40017006_40017051</v>
      </c>
      <c r="B38" s="47">
        <v>40017006</v>
      </c>
      <c r="C38" s="103">
        <v>40017051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あら、メタトロンじゃない☆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アンタは話が通じないから大ッキライよ☆</v>
      </c>
      <c r="F38" s="47">
        <v>40017051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848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40017006_40017052</v>
      </c>
      <c r="B39" s="47">
        <v>40017006</v>
      </c>
      <c r="C39" s="103">
        <v>40017052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あら、メタトロンじゃない☆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アンタは話が通じないから大ッキライよ☆</v>
      </c>
      <c r="F39" s="47">
        <v>40017052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849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40017006_40017053</v>
      </c>
      <c r="B40" s="47">
        <v>40017006</v>
      </c>
      <c r="C40" s="103">
        <v>40017053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鳥ちゃん、また来たのね☆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安心しなさい　また灰に戻してアゲル☆</v>
      </c>
      <c r="F40" s="47">
        <v>40017053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840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4"/>
        <v>40017006_40017054</v>
      </c>
      <c r="B41" s="47">
        <v>40017006</v>
      </c>
      <c r="C41" s="103">
        <v>40017054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鳥ちゃん、また来たのね☆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安心しなさい　また灰に戻してアゲル☆</v>
      </c>
      <c r="F41" s="47">
        <v>40017054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841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4"/>
        <v>40017006_40017055</v>
      </c>
      <c r="B42" s="47">
        <v>40017006</v>
      </c>
      <c r="C42" s="103">
        <v>40017055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アンタもあの子を狙ってるのね？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悪い子にはお仕置きしちゃうわよ☆</v>
      </c>
      <c r="F42" s="47">
        <v>40017055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4"/>
        <v>40017006_40017056</v>
      </c>
      <c r="B43" s="47">
        <v>40017006</v>
      </c>
      <c r="C43" s="103">
        <v>40017056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この泥棒猫ッ！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3" s="47">
        <v>40017056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3" s="47"/>
      <c r="Q43" s="47"/>
      <c r="R43" s="47"/>
    </row>
    <row r="44" spans="1:18" ht="21" customHeight="1" x14ac:dyDescent="0.15">
      <c r="A44" s="39" t="str">
        <f t="shared" si="4"/>
        <v>40017006_40017057</v>
      </c>
      <c r="B44" s="47">
        <v>40017006</v>
      </c>
      <c r="C44" s="103">
        <v>40017057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アタシは楽々勝たせてもらうわ☆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2回連続攻撃＋時限式パネル15個生成</v>
      </c>
      <c r="F44" s="47">
        <v>40017057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4"/>
        <v>40017006_40017058</v>
      </c>
      <c r="B45" s="47">
        <v>40017006</v>
      </c>
      <c r="C45" s="103">
        <v>40017058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追加して　ア・ゲ・ル☆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2回連続攻撃＋時限式パネル15個生成</v>
      </c>
      <c r="F45" s="47">
        <v>40017058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4"/>
        <v>40017006_40017059</v>
      </c>
      <c r="B46" s="47">
        <v>40017006</v>
      </c>
      <c r="C46" s="103">
        <v>40017059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これはどうかしらん☆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6ターンCパネル生成特大延長</v>
      </c>
      <c r="F46" s="47">
        <v>40017059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6" s="47"/>
      <c r="Q46" s="47"/>
      <c r="R46" s="47"/>
    </row>
    <row r="47" spans="1:18" ht="21" customHeight="1" x14ac:dyDescent="0.15">
      <c r="A47" s="39" t="str">
        <f t="shared" si="4"/>
        <v>40017006_40017060</v>
      </c>
      <c r="B47" s="47">
        <v>40017006</v>
      </c>
      <c r="C47" s="103">
        <v>40017060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頑張ったご褒美よぉ？チュッ☆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解除するまでタップ数が1減少</v>
      </c>
      <c r="F47" s="47">
        <v>40017060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47" s="47"/>
      <c r="Q47" s="47"/>
      <c r="R47" s="47"/>
    </row>
    <row r="48" spans="1:18" ht="21" customHeight="1" x14ac:dyDescent="0.15">
      <c r="A48" s="39" t="str">
        <f t="shared" si="4"/>
        <v>40017007_40017063</v>
      </c>
      <c r="B48" s="47">
        <v>40017007</v>
      </c>
      <c r="C48" s="47">
        <v>40017063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さすがね…でも、アタシはまだまだ元気よぉ！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7ターンウィルス状態＋状態異常無効</v>
      </c>
      <c r="F48" s="47">
        <v>40017063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848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4"/>
        <v>40017007_40017064</v>
      </c>
      <c r="B49" s="47">
        <v>40017007</v>
      </c>
      <c r="C49" s="47">
        <v>40017064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さすがね…でも、アタシはまだまだ元気よぉ！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7ターンウィルス状態＋状態異常無効</v>
      </c>
      <c r="F49" s="47">
        <v>40017064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849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4"/>
        <v>40017007_40017065</v>
      </c>
      <c r="B50" s="47">
        <v>40017007</v>
      </c>
      <c r="C50" s="47">
        <v>40017065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いつもより頑張ってるじゃない！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7ターンウィルス状態＋状態異常無効</v>
      </c>
      <c r="F50" s="47">
        <v>40017065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840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40017007_40017066</v>
      </c>
      <c r="B51" s="47">
        <v>40017007</v>
      </c>
      <c r="C51" s="47">
        <v>40017066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いつもより頑張ってるじゃない！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7ターンウィルス状態＋状態異常無効</v>
      </c>
      <c r="F51" s="47">
        <v>40017066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841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4"/>
        <v>40017007_40017067</v>
      </c>
      <c r="B52" s="47">
        <v>40017007</v>
      </c>
      <c r="C52" s="47">
        <v>40017067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ナマイキなのよッアンタ達！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7ターンウィルス状態＋状態異常無効</v>
      </c>
      <c r="F52" s="47">
        <v>40017067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4"/>
        <v>40017007_40017068</v>
      </c>
      <c r="B53" s="47">
        <v>40017007</v>
      </c>
      <c r="C53" s="47">
        <v>40017068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いいわっ！いい感じよっ！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クリティカルヒット！</v>
      </c>
      <c r="F53" s="47">
        <v>40017068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4"/>
        <v>40017007_40017069</v>
      </c>
      <c r="B54" s="47">
        <v>40017007</v>
      </c>
      <c r="C54" s="47">
        <v>40017069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アタシの愛をもっと浴びてぇ！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7ターンウィルス状態</v>
      </c>
      <c r="F54" s="47">
        <v>40017069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4"/>
        <v>40017007_40017070</v>
      </c>
      <c r="B55" s="47">
        <v>40017007</v>
      </c>
      <c r="C55" s="47">
        <v>40017070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アナタの愛を感じちゃう！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青パネルを吸収して回復</v>
      </c>
      <c r="F55" s="47">
        <v>40017070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4"/>
        <v>40017007_40017071</v>
      </c>
      <c r="B56" s="47">
        <v>40017007</v>
      </c>
      <c r="C56" s="47">
        <v>40017071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ほらほらモット、ガンバッテ！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赤パネルを吸収して回復</v>
      </c>
      <c r="F56" s="47">
        <v>40017071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4"/>
        <v>40017007_40017072</v>
      </c>
      <c r="B57" s="47">
        <v>40017007</v>
      </c>
      <c r="C57" s="47">
        <v>40017072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手応え、感じてきたかしら！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黄パネルを吸収して回復</v>
      </c>
      <c r="F57" s="47">
        <v>40017072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4"/>
        <v>40017007_40017073</v>
      </c>
      <c r="B58" s="47">
        <v>40017007</v>
      </c>
      <c r="C58" s="47">
        <v>40017073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追い詰められてるのかしら！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緑パネルを吸収して回復</v>
      </c>
      <c r="F58" s="47">
        <v>40017073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4"/>
        <v>40017007_40017074</v>
      </c>
      <c r="B59" s="47">
        <v>40017007</v>
      </c>
      <c r="C59" s="47">
        <v>40017074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逃げられると思わないことね！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攻撃頻度が1ターンにUP</v>
      </c>
      <c r="F59" s="47">
        <v>40017074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4"/>
        <v>40017008_40017077</v>
      </c>
      <c r="B60" s="47">
        <v>40017008</v>
      </c>
      <c r="C60" s="47">
        <v>40017077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アンタに何が分かるっての！？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何も分からないでしょうね…機械のアンタにはッ！</v>
      </c>
      <c r="F60" s="47">
        <v>40017077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848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4"/>
        <v>40017008_40017078</v>
      </c>
      <c r="B61" s="47">
        <v>40017008</v>
      </c>
      <c r="C61" s="47">
        <v>40017078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アンタに何が分かるっての！？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何も分からないでしょうね…機械のアンタにはッ！</v>
      </c>
      <c r="F61" s="47">
        <v>40017078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849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4"/>
        <v>40017008_40017079</v>
      </c>
      <c r="B62" s="47">
        <v>40017008</v>
      </c>
      <c r="C62" s="47">
        <v>40017079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調子乗ってんじゃナイワヨ？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いい加減に諦めなさいよッ！</v>
      </c>
      <c r="F62" s="47">
        <v>40017079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840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4"/>
        <v>40017008_40017080</v>
      </c>
      <c r="B63" s="47">
        <v>40017008</v>
      </c>
      <c r="C63" s="47">
        <v>40017080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調子乗ってんじゃナイワヨ？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いい加減に諦めなさいよッ！</v>
      </c>
      <c r="F63" s="47">
        <v>40017080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841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4"/>
        <v>40017008_40017081</v>
      </c>
      <c r="B64" s="47">
        <v>40017008</v>
      </c>
      <c r="C64" s="47">
        <v>40017081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あの子は…あの子はね…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やっと今　生きているのよ…！！</v>
      </c>
      <c r="F64" s="47">
        <v>40017081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4"/>
        <v>40017008_40017083</v>
      </c>
      <c r="B65" s="47">
        <v>40017008</v>
      </c>
      <c r="C65" s="47">
        <v>40017083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そらッ！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この傷が6つついた時、アナタとは永遠にサヨウナラ！</v>
      </c>
      <c r="F65" s="47">
        <v>40017083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4"/>
        <v>40017008_40017084</v>
      </c>
      <c r="B66" s="47">
        <v>40017008</v>
      </c>
      <c r="C66" s="47">
        <v>40017084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２ッ！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生き延びるにはアタシを倒すしかナイワヨ？</v>
      </c>
      <c r="F66" s="47">
        <v>40017084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4"/>
        <v>40017008_40017085</v>
      </c>
      <c r="B67" s="47">
        <v>40017008</v>
      </c>
      <c r="C67" s="47">
        <v>40017085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３ッ！４ッ！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油断してちゃダメデショ？</v>
      </c>
      <c r="F67" s="47">
        <v>40017085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4"/>
        <v>40017008_40017086</v>
      </c>
      <c r="B68" s="47">
        <v>40017008</v>
      </c>
      <c r="C68" s="47">
        <v>40017086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5ッ！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さぁいよいよ次が最後ねッ！</v>
      </c>
      <c r="F68" s="47">
        <v>40017086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4"/>
        <v>40017008_40017087</v>
      </c>
      <c r="B69" s="47">
        <v>40017008</v>
      </c>
      <c r="C69" s="47">
        <v>40017087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サ・ヨ・ウ・ナ・ラ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自身の最大HPに準拠した威力の全体攻撃</v>
      </c>
      <c r="F69" s="47">
        <v>40017087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4"/>
        <v>40017008_40017088</v>
      </c>
      <c r="B70" s="47">
        <v>40017008</v>
      </c>
      <c r="C70" s="47">
        <v>40017088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…今日は花を持たせてアゲルわ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あの子のため…アタシはまだ…！</v>
      </c>
      <c r="F70" s="47">
        <v>40017088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ref="A71" si="5">B71&amp;"_"&amp;C71</f>
        <v>40017008_40017089</v>
      </c>
      <c r="B71" s="47">
        <v>40017008</v>
      </c>
      <c r="C71" s="47">
        <v>40017089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あら…まだ立ってるの…？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自身の最大HPに準拠した威力の全体攻撃</v>
      </c>
      <c r="F71" s="47">
        <v>40017089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 t="str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topLeftCell="C1" workbookViewId="0">
      <selection activeCell="P19" sqref="P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40017</v>
      </c>
      <c r="B2" s="82">
        <v>1</v>
      </c>
      <c r="C2" s="71" t="str">
        <f>A2&amp; "_"&amp;B2</f>
        <v>40017_1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168</v>
      </c>
      <c r="G2" s="82">
        <v>40000</v>
      </c>
      <c r="H2" s="82" t="s">
        <v>532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150</v>
      </c>
      <c r="Q2" s="82" t="s">
        <v>169</v>
      </c>
      <c r="R2" s="82" t="s">
        <v>170</v>
      </c>
    </row>
    <row r="3" spans="1:18" x14ac:dyDescent="0.15">
      <c r="A3" s="57">
        <v>40017</v>
      </c>
      <c r="B3" s="82">
        <v>1</v>
      </c>
      <c r="C3" s="71" t="str">
        <f t="shared" ref="C3:C11" si="0">A3&amp; "_"&amp;B3</f>
        <v>40017_1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533</v>
      </c>
      <c r="G3" s="82">
        <v>30</v>
      </c>
      <c r="H3" s="82" t="s">
        <v>532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150</v>
      </c>
      <c r="Q3" s="82" t="s">
        <v>169</v>
      </c>
      <c r="R3" s="82" t="s">
        <v>170</v>
      </c>
    </row>
    <row r="4" spans="1:18" x14ac:dyDescent="0.15">
      <c r="A4" s="57">
        <v>40017</v>
      </c>
      <c r="B4" s="82">
        <v>1</v>
      </c>
      <c r="C4" s="71" t="str">
        <f t="shared" si="0"/>
        <v>40017_1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534</v>
      </c>
      <c r="G4" s="120">
        <v>337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28</v>
      </c>
      <c r="Q4" s="82" t="s">
        <v>169</v>
      </c>
      <c r="R4" s="82" t="s">
        <v>170</v>
      </c>
    </row>
    <row r="5" spans="1:18" x14ac:dyDescent="0.15">
      <c r="A5" s="57">
        <v>40017</v>
      </c>
      <c r="B5" s="82">
        <v>1</v>
      </c>
      <c r="C5" s="71" t="str">
        <f t="shared" si="0"/>
        <v>40017_1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534</v>
      </c>
      <c r="G5" s="120">
        <v>338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112</v>
      </c>
      <c r="Q5" s="82" t="s">
        <v>169</v>
      </c>
      <c r="R5" s="82" t="s">
        <v>170</v>
      </c>
    </row>
    <row r="6" spans="1:18" x14ac:dyDescent="0.15">
      <c r="A6" s="57">
        <v>40017</v>
      </c>
      <c r="B6" s="82">
        <v>1</v>
      </c>
      <c r="C6" s="71" t="str">
        <f t="shared" si="0"/>
        <v>40017_1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534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100</v>
      </c>
      <c r="Q6" s="82" t="s">
        <v>169</v>
      </c>
      <c r="R6" s="82" t="s">
        <v>170</v>
      </c>
    </row>
    <row r="7" spans="1:18" x14ac:dyDescent="0.15">
      <c r="A7" s="57">
        <v>40017</v>
      </c>
      <c r="B7" s="82">
        <v>1</v>
      </c>
      <c r="C7" s="71" t="str">
        <f t="shared" si="0"/>
        <v>40017_1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534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100</v>
      </c>
      <c r="Q7" s="82" t="s">
        <v>169</v>
      </c>
      <c r="R7" s="82" t="s">
        <v>170</v>
      </c>
    </row>
    <row r="8" spans="1:18" x14ac:dyDescent="0.15">
      <c r="A8" s="57">
        <v>40017</v>
      </c>
      <c r="B8" s="82">
        <v>1</v>
      </c>
      <c r="C8" s="71" t="str">
        <f t="shared" si="0"/>
        <v>40017_1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534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100</v>
      </c>
      <c r="Q8" s="82" t="s">
        <v>169</v>
      </c>
      <c r="R8" s="82" t="s">
        <v>170</v>
      </c>
    </row>
    <row r="9" spans="1:18" x14ac:dyDescent="0.15">
      <c r="A9" s="57">
        <v>40017</v>
      </c>
      <c r="B9" s="82">
        <v>1</v>
      </c>
      <c r="C9" s="71" t="str">
        <f t="shared" si="0"/>
        <v>40017_1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534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169</v>
      </c>
      <c r="R9" s="82" t="s">
        <v>170</v>
      </c>
    </row>
    <row r="10" spans="1:18" x14ac:dyDescent="0.15">
      <c r="A10" s="57">
        <v>40017</v>
      </c>
      <c r="B10" s="82">
        <v>1</v>
      </c>
      <c r="C10" s="71" t="str">
        <f t="shared" si="0"/>
        <v>40017_1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534</v>
      </c>
      <c r="G10" s="82">
        <v>844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100</v>
      </c>
      <c r="Q10" s="82" t="s">
        <v>169</v>
      </c>
      <c r="R10" s="82" t="s">
        <v>170</v>
      </c>
    </row>
    <row r="11" spans="1:18" ht="16" thickBot="1" x14ac:dyDescent="0.2">
      <c r="A11" s="112">
        <v>40017</v>
      </c>
      <c r="B11" s="113">
        <v>1</v>
      </c>
      <c r="C11" s="114" t="str">
        <f t="shared" si="0"/>
        <v>40017_1</v>
      </c>
      <c r="D11" s="11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3">
        <v>10</v>
      </c>
      <c r="F11" s="113" t="s">
        <v>534</v>
      </c>
      <c r="G11" s="113">
        <v>350</v>
      </c>
      <c r="H11" s="113">
        <v>1</v>
      </c>
      <c r="I11" s="113">
        <v>1</v>
      </c>
      <c r="J11" s="113">
        <v>1</v>
      </c>
      <c r="K11" s="113">
        <v>0</v>
      </c>
      <c r="L11" s="113">
        <v>0</v>
      </c>
      <c r="M11" s="113">
        <v>0</v>
      </c>
      <c r="N11" s="113">
        <v>0</v>
      </c>
      <c r="O11" s="113">
        <v>1</v>
      </c>
      <c r="P11" s="113">
        <v>150</v>
      </c>
      <c r="Q11" s="113" t="s">
        <v>169</v>
      </c>
      <c r="R11" s="113" t="s">
        <v>170</v>
      </c>
    </row>
    <row r="12" spans="1:18" x14ac:dyDescent="0.15">
      <c r="A12" s="57">
        <v>40017</v>
      </c>
      <c r="B12" s="82">
        <v>2</v>
      </c>
      <c r="C12" s="71" t="str">
        <f t="shared" ref="C12:C18" si="1">A12&amp; "_"&amp;B12</f>
        <v>40017_2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2">
        <v>1</v>
      </c>
      <c r="F12" s="82" t="s">
        <v>531</v>
      </c>
      <c r="G12" s="82">
        <v>338</v>
      </c>
      <c r="H12" s="82">
        <v>1</v>
      </c>
      <c r="I12" s="82">
        <v>1</v>
      </c>
      <c r="J12" s="82">
        <v>1</v>
      </c>
      <c r="K12" s="82">
        <v>0</v>
      </c>
      <c r="L12" s="82">
        <v>0</v>
      </c>
      <c r="M12" s="82">
        <v>0</v>
      </c>
      <c r="N12" s="82">
        <v>0</v>
      </c>
      <c r="O12" s="82">
        <v>1</v>
      </c>
      <c r="P12" s="82">
        <v>50</v>
      </c>
      <c r="Q12" s="82" t="s">
        <v>169</v>
      </c>
      <c r="R12" s="82" t="s">
        <v>170</v>
      </c>
    </row>
    <row r="13" spans="1:18" x14ac:dyDescent="0.15">
      <c r="A13" s="57">
        <v>40017</v>
      </c>
      <c r="B13" s="82">
        <v>2</v>
      </c>
      <c r="C13" s="71" t="str">
        <f t="shared" si="1"/>
        <v>40017_2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2</v>
      </c>
      <c r="F13" s="82" t="s">
        <v>531</v>
      </c>
      <c r="G13" s="120">
        <v>350</v>
      </c>
      <c r="H13" s="82">
        <v>1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120</v>
      </c>
      <c r="Q13" s="82" t="s">
        <v>169</v>
      </c>
      <c r="R13" s="82" t="s">
        <v>170</v>
      </c>
    </row>
    <row r="14" spans="1:18" x14ac:dyDescent="0.15">
      <c r="A14" s="57">
        <v>40017</v>
      </c>
      <c r="B14" s="82">
        <v>2</v>
      </c>
      <c r="C14" s="71" t="str">
        <f t="shared" si="1"/>
        <v>40017_2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3</v>
      </c>
      <c r="F14" s="82" t="s">
        <v>531</v>
      </c>
      <c r="G14" s="82">
        <v>607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100</v>
      </c>
      <c r="Q14" s="82" t="s">
        <v>169</v>
      </c>
      <c r="R14" s="82" t="s">
        <v>170</v>
      </c>
    </row>
    <row r="15" spans="1:18" x14ac:dyDescent="0.15">
      <c r="A15" s="57">
        <v>40017</v>
      </c>
      <c r="B15" s="82">
        <v>2</v>
      </c>
      <c r="C15" s="71" t="str">
        <f t="shared" si="1"/>
        <v>40017_2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4</v>
      </c>
      <c r="F15" s="82" t="s">
        <v>531</v>
      </c>
      <c r="G15" s="82">
        <v>608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100</v>
      </c>
      <c r="Q15" s="82" t="s">
        <v>169</v>
      </c>
      <c r="R15" s="82" t="s">
        <v>170</v>
      </c>
    </row>
    <row r="16" spans="1:18" x14ac:dyDescent="0.15">
      <c r="A16" s="57">
        <v>40017</v>
      </c>
      <c r="B16" s="82">
        <v>2</v>
      </c>
      <c r="C16" s="71" t="str">
        <f t="shared" si="1"/>
        <v>40017_2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5</v>
      </c>
      <c r="F16" s="82" t="s">
        <v>531</v>
      </c>
      <c r="G16" s="82">
        <v>609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100</v>
      </c>
      <c r="Q16" s="82" t="s">
        <v>169</v>
      </c>
      <c r="R16" s="82" t="s">
        <v>170</v>
      </c>
    </row>
    <row r="17" spans="1:18" x14ac:dyDescent="0.15">
      <c r="A17" s="57">
        <v>40017</v>
      </c>
      <c r="B17" s="82">
        <v>2</v>
      </c>
      <c r="C17" s="71" t="str">
        <f t="shared" si="1"/>
        <v>40017_2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6</v>
      </c>
      <c r="F17" s="82" t="s">
        <v>531</v>
      </c>
      <c r="G17" s="82">
        <v>125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30</v>
      </c>
      <c r="Q17" s="82" t="s">
        <v>169</v>
      </c>
      <c r="R17" s="82" t="s">
        <v>170</v>
      </c>
    </row>
    <row r="18" spans="1:18" ht="16" thickBot="1" x14ac:dyDescent="0.2">
      <c r="A18" s="57">
        <v>40017</v>
      </c>
      <c r="B18" s="82">
        <v>2</v>
      </c>
      <c r="C18" s="71" t="str">
        <f t="shared" si="1"/>
        <v>40017_2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3">
        <v>7</v>
      </c>
      <c r="F18" s="113" t="s">
        <v>531</v>
      </c>
      <c r="G18" s="121">
        <v>844</v>
      </c>
      <c r="H18" s="113">
        <v>1</v>
      </c>
      <c r="I18" s="113">
        <v>1</v>
      </c>
      <c r="J18" s="113">
        <v>1</v>
      </c>
      <c r="K18" s="113">
        <v>0</v>
      </c>
      <c r="L18" s="113">
        <v>0</v>
      </c>
      <c r="M18" s="113">
        <v>0</v>
      </c>
      <c r="N18" s="113">
        <v>0</v>
      </c>
      <c r="O18" s="113">
        <v>1</v>
      </c>
      <c r="P18" s="113">
        <v>500</v>
      </c>
      <c r="Q18" s="82" t="s">
        <v>169</v>
      </c>
      <c r="R18" s="82" t="s">
        <v>170</v>
      </c>
    </row>
    <row r="19" spans="1:18" x14ac:dyDescent="0.15">
      <c r="A19" s="57">
        <v>40017</v>
      </c>
      <c r="B19" s="82">
        <v>3</v>
      </c>
      <c r="C19" s="71" t="str">
        <f>A19&amp; "_"&amp;B19</f>
        <v>40017_3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1</v>
      </c>
      <c r="F19" s="82" t="s">
        <v>168</v>
      </c>
      <c r="G19" s="82">
        <v>40000</v>
      </c>
      <c r="H19" s="82" t="s">
        <v>224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150</v>
      </c>
      <c r="Q19" s="82" t="s">
        <v>169</v>
      </c>
      <c r="R19" s="82" t="s">
        <v>170</v>
      </c>
    </row>
    <row r="20" spans="1:18" x14ac:dyDescent="0.15">
      <c r="A20" s="57">
        <v>40017</v>
      </c>
      <c r="B20" s="82">
        <v>3</v>
      </c>
      <c r="C20" s="71" t="str">
        <f t="shared" ref="C20:C26" si="2">A20&amp; "_"&amp;B20</f>
        <v>40017_3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2</v>
      </c>
      <c r="F20" s="82" t="s">
        <v>531</v>
      </c>
      <c r="G20" s="82">
        <v>338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150</v>
      </c>
      <c r="Q20" s="82" t="s">
        <v>169</v>
      </c>
      <c r="R20" s="82" t="s">
        <v>170</v>
      </c>
    </row>
    <row r="21" spans="1:18" x14ac:dyDescent="0.15">
      <c r="A21" s="57">
        <v>40017</v>
      </c>
      <c r="B21" s="82">
        <v>3</v>
      </c>
      <c r="C21" s="71" t="str">
        <f t="shared" si="2"/>
        <v>40017_3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3</v>
      </c>
      <c r="F21" s="82" t="s">
        <v>531</v>
      </c>
      <c r="G21" s="120">
        <v>350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120</v>
      </c>
      <c r="Q21" s="82" t="s">
        <v>169</v>
      </c>
      <c r="R21" s="82" t="s">
        <v>170</v>
      </c>
    </row>
    <row r="22" spans="1:18" x14ac:dyDescent="0.15">
      <c r="A22" s="57">
        <v>40017</v>
      </c>
      <c r="B22" s="82">
        <v>3</v>
      </c>
      <c r="C22" s="71" t="str">
        <f t="shared" si="2"/>
        <v>40017_3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2">
        <v>4</v>
      </c>
      <c r="F22" s="82" t="s">
        <v>531</v>
      </c>
      <c r="G22" s="82">
        <v>607</v>
      </c>
      <c r="H22" s="82">
        <v>1</v>
      </c>
      <c r="I22" s="82">
        <v>1</v>
      </c>
      <c r="J22" s="82">
        <v>1</v>
      </c>
      <c r="K22" s="82">
        <v>0</v>
      </c>
      <c r="L22" s="82">
        <v>0</v>
      </c>
      <c r="M22" s="82">
        <v>0</v>
      </c>
      <c r="N22" s="82">
        <v>0</v>
      </c>
      <c r="O22" s="82">
        <v>1</v>
      </c>
      <c r="P22" s="82">
        <v>100</v>
      </c>
      <c r="Q22" s="82" t="s">
        <v>169</v>
      </c>
      <c r="R22" s="82" t="s">
        <v>170</v>
      </c>
    </row>
    <row r="23" spans="1:18" x14ac:dyDescent="0.15">
      <c r="A23" s="57">
        <v>40017</v>
      </c>
      <c r="B23" s="82">
        <v>3</v>
      </c>
      <c r="C23" s="71" t="str">
        <f t="shared" si="2"/>
        <v>40017_3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2">
        <v>5</v>
      </c>
      <c r="F23" s="82" t="s">
        <v>531</v>
      </c>
      <c r="G23" s="82">
        <v>608</v>
      </c>
      <c r="H23" s="82">
        <v>1</v>
      </c>
      <c r="I23" s="82">
        <v>1</v>
      </c>
      <c r="J23" s="82">
        <v>1</v>
      </c>
      <c r="K23" s="82">
        <v>0</v>
      </c>
      <c r="L23" s="82">
        <v>0</v>
      </c>
      <c r="M23" s="82">
        <v>0</v>
      </c>
      <c r="N23" s="82">
        <v>0</v>
      </c>
      <c r="O23" s="82">
        <v>1</v>
      </c>
      <c r="P23" s="82">
        <v>100</v>
      </c>
      <c r="Q23" s="82" t="s">
        <v>169</v>
      </c>
      <c r="R23" s="82" t="s">
        <v>170</v>
      </c>
    </row>
    <row r="24" spans="1:18" x14ac:dyDescent="0.15">
      <c r="A24" s="57">
        <v>40017</v>
      </c>
      <c r="B24" s="82">
        <v>3</v>
      </c>
      <c r="C24" s="71" t="str">
        <f t="shared" si="2"/>
        <v>40017_3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6</v>
      </c>
      <c r="F24" s="82" t="s">
        <v>531</v>
      </c>
      <c r="G24" s="82">
        <v>609</v>
      </c>
      <c r="H24" s="82">
        <v>1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100</v>
      </c>
      <c r="Q24" s="82" t="s">
        <v>169</v>
      </c>
      <c r="R24" s="82" t="s">
        <v>170</v>
      </c>
    </row>
    <row r="25" spans="1:18" x14ac:dyDescent="0.15">
      <c r="A25" s="57">
        <v>40017</v>
      </c>
      <c r="B25" s="82">
        <v>3</v>
      </c>
      <c r="C25" s="71" t="str">
        <f t="shared" si="2"/>
        <v>40017_3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2">
        <v>7</v>
      </c>
      <c r="F25" s="82" t="s">
        <v>531</v>
      </c>
      <c r="G25" s="82">
        <v>125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30</v>
      </c>
      <c r="Q25" s="82" t="s">
        <v>169</v>
      </c>
      <c r="R25" s="82" t="s">
        <v>170</v>
      </c>
    </row>
    <row r="26" spans="1:18" ht="16" thickBot="1" x14ac:dyDescent="0.2">
      <c r="A26" s="57">
        <v>40017</v>
      </c>
      <c r="B26" s="82">
        <v>3</v>
      </c>
      <c r="C26" s="71" t="str">
        <f t="shared" si="2"/>
        <v>40017_3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2">
        <v>8</v>
      </c>
      <c r="F26" s="113" t="s">
        <v>531</v>
      </c>
      <c r="G26" s="121">
        <v>844</v>
      </c>
      <c r="H26" s="113">
        <v>1</v>
      </c>
      <c r="I26" s="113">
        <v>1</v>
      </c>
      <c r="J26" s="113">
        <v>1</v>
      </c>
      <c r="K26" s="113">
        <v>0</v>
      </c>
      <c r="L26" s="113">
        <v>0</v>
      </c>
      <c r="M26" s="113">
        <v>0</v>
      </c>
      <c r="N26" s="113">
        <v>0</v>
      </c>
      <c r="O26" s="113">
        <v>1</v>
      </c>
      <c r="P26" s="113">
        <v>250</v>
      </c>
      <c r="Q26" s="82" t="s">
        <v>169</v>
      </c>
      <c r="R26" s="82" t="s">
        <v>170</v>
      </c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O26" sqref="O2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187</v>
      </c>
      <c r="B1" s="73" t="s">
        <v>188</v>
      </c>
      <c r="C1" s="78" t="s">
        <v>189</v>
      </c>
      <c r="D1" s="78" t="s">
        <v>33</v>
      </c>
      <c r="E1" s="73" t="s">
        <v>190</v>
      </c>
      <c r="F1" s="78" t="s">
        <v>191</v>
      </c>
      <c r="G1" s="78" t="s">
        <v>33</v>
      </c>
      <c r="H1" s="73" t="s">
        <v>192</v>
      </c>
      <c r="I1" s="92" t="s">
        <v>194</v>
      </c>
      <c r="J1" s="80" t="s">
        <v>126</v>
      </c>
      <c r="K1" s="79" t="s">
        <v>186</v>
      </c>
      <c r="L1" s="93" t="s">
        <v>185</v>
      </c>
      <c r="M1" s="81" t="s">
        <v>195</v>
      </c>
    </row>
    <row r="2" spans="1:13" x14ac:dyDescent="0.15">
      <c r="A2" s="82" t="s">
        <v>200</v>
      </c>
      <c r="B2" s="116">
        <f>floors!$C$2</f>
        <v>40017</v>
      </c>
      <c r="C2" s="84" t="str">
        <f ca="1">VLOOKUP($B2,OFFSET([2]quests!$A$1,0,0,COUNTA([2]quests!$A:$A),MATCH(C$1,[2]quests!$1:$1,0)-MATCH($B$1,[2]quests!$1:$1,0)+1),MATCH(C$1,[2]quests!$1:$1,0)-MATCH($B$1,[2]quests!$1:$1,0)+1,FALSE)</f>
        <v>ベルゼブブ襲来！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降臨17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降臨17</v>
      </c>
      <c r="H2" s="86">
        <v>0</v>
      </c>
      <c r="I2">
        <v>12</v>
      </c>
      <c r="J2" s="85" t="s">
        <v>127</v>
      </c>
      <c r="K2" s="117" t="str">
        <f>VLOOKUP(I2,[7]stage_hints!$A:$C,3,FALSE)</f>
        <v>ユニットのお気に入り登録</v>
      </c>
      <c r="L2" s="118" t="str">
        <f>VLOOKUP(I2,[7]stage_hints!$A:$D,4,FALSE)</f>
        <v>大事なユニットを誤って消さないように_x000D_フォルダから「お気に入り登録」しましょう</v>
      </c>
      <c r="M2" s="57" t="s">
        <v>210</v>
      </c>
    </row>
    <row r="3" spans="1:13" x14ac:dyDescent="0.15">
      <c r="A3" s="82" t="s">
        <v>200</v>
      </c>
      <c r="B3" s="116">
        <f>floors!$C$2</f>
        <v>40017</v>
      </c>
      <c r="C3" s="84" t="str">
        <f ca="1">VLOOKUP($B3,OFFSET([2]quests!$A$1,0,0,COUNTA([2]quests!$A:$A),MATCH(C$1,[2]quests!$1:$1,0)-MATCH($B$1,[2]quests!$1:$1,0)+1),MATCH(C$1,[2]quests!$1:$1,0)-MATCH($B$1,[2]quests!$1:$1,0)+1,FALSE)</f>
        <v>ベルゼブブ襲来！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降臨17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降臨17</v>
      </c>
      <c r="H3" s="86">
        <v>0</v>
      </c>
      <c r="I3">
        <v>17</v>
      </c>
      <c r="J3" s="85" t="s">
        <v>127</v>
      </c>
      <c r="K3" s="117" t="str">
        <f>VLOOKUP(I3,[7]stage_hints!$A:$C,3,FALSE)</f>
        <v>リンクガチャ</v>
      </c>
      <c r="L3" s="118" t="str">
        <f>VLOOKUP(I3,[7]stage_hints!$A:$D,4,FALSE)</f>
        <v>無料のリンクガチャを回して_x000D_経験値素材や売却素材を獲得しましょう</v>
      </c>
      <c r="M3" s="57" t="s">
        <v>210</v>
      </c>
    </row>
    <row r="4" spans="1:13" x14ac:dyDescent="0.15">
      <c r="A4" s="82" t="s">
        <v>200</v>
      </c>
      <c r="B4" s="116">
        <f>floors!$C$2</f>
        <v>40017</v>
      </c>
      <c r="C4" s="84" t="str">
        <f ca="1">VLOOKUP($B4,OFFSET([2]quests!$A$1,0,0,COUNTA([2]quests!$A:$A),MATCH(C$1,[2]quests!$1:$1,0)-MATCH($B$1,[2]quests!$1:$1,0)+1),MATCH(C$1,[2]quests!$1:$1,0)-MATCH($B$1,[2]quests!$1:$1,0)+1,FALSE)</f>
        <v>ベルゼブブ襲来！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降臨17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降臨17</v>
      </c>
      <c r="H4" s="86">
        <v>0</v>
      </c>
      <c r="I4">
        <v>19</v>
      </c>
      <c r="J4" s="85" t="s">
        <v>127</v>
      </c>
      <c r="K4" s="117" t="str">
        <f>VLOOKUP(I4,[7]stage_hints!$A:$C,3,FALSE)</f>
        <v>ソロ専用タワーオブザクイーン</v>
      </c>
      <c r="L4" s="118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7" t="s">
        <v>210</v>
      </c>
    </row>
    <row r="5" spans="1:13" x14ac:dyDescent="0.15">
      <c r="A5" s="82" t="s">
        <v>200</v>
      </c>
      <c r="B5" s="116">
        <f>floors!$C$2</f>
        <v>40017</v>
      </c>
      <c r="C5" s="84" t="str">
        <f ca="1">VLOOKUP($B5,OFFSET([2]quests!$A$1,0,0,COUNTA([2]quests!$A:$A),MATCH(C$1,[2]quests!$1:$1,0)-MATCH($B$1,[2]quests!$1:$1,0)+1),MATCH(C$1,[2]quests!$1:$1,0)-MATCH($B$1,[2]quests!$1:$1,0)+1,FALSE)</f>
        <v>ベルゼブブ襲来！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降臨17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降臨17</v>
      </c>
      <c r="H5" s="86">
        <v>0</v>
      </c>
      <c r="I5">
        <v>21</v>
      </c>
      <c r="J5" s="85" t="s">
        <v>127</v>
      </c>
      <c r="K5" s="117" t="str">
        <f>VLOOKUP(I5,[7]stage_hints!$A:$C,3,FALSE)</f>
        <v>スキルを有効に</v>
      </c>
      <c r="L5" s="118" t="str">
        <f>VLOOKUP(I5,[7]stage_hints!$A:$D,4,FALSE)</f>
        <v>ターン経過でユニットのスキルが使えます_x000D_強力スキルでバトルを有利に進めましょう</v>
      </c>
      <c r="M5" s="57" t="s">
        <v>210</v>
      </c>
    </row>
    <row r="6" spans="1:13" x14ac:dyDescent="0.15">
      <c r="A6" s="82" t="s">
        <v>200</v>
      </c>
      <c r="B6" s="116">
        <f>floors!$C$2</f>
        <v>40017</v>
      </c>
      <c r="C6" s="84" t="str">
        <f ca="1">VLOOKUP($B6,OFFSET([2]quests!$A$1,0,0,COUNTA([2]quests!$A:$A),MATCH(C$1,[2]quests!$1:$1,0)-MATCH($B$1,[2]quests!$1:$1,0)+1),MATCH(C$1,[2]quests!$1:$1,0)-MATCH($B$1,[2]quests!$1:$1,0)+1,FALSE)</f>
        <v>ベルゼブブ襲来！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降臨17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降臨17</v>
      </c>
      <c r="H6" s="86">
        <v>0</v>
      </c>
      <c r="I6">
        <v>29</v>
      </c>
      <c r="J6" s="85" t="s">
        <v>127</v>
      </c>
      <c r="K6" s="117" t="str">
        <f>VLOOKUP(I6,[7]stage_hints!$A:$C,3,FALSE)</f>
        <v>「バグ」のメリット</v>
      </c>
      <c r="L6" s="118" t="str">
        <f>VLOOKUP(I6,[7]stage_hints!$A:$D,4,FALSE)</f>
        <v>ユニットの「バグ」を増やすと_x000D_報酬をもらえる確率がアップします</v>
      </c>
      <c r="M6" s="57" t="s">
        <v>210</v>
      </c>
    </row>
    <row r="7" spans="1:13" x14ac:dyDescent="0.15">
      <c r="A7" s="82" t="s">
        <v>200</v>
      </c>
      <c r="B7" s="116">
        <f>floors!$C$2</f>
        <v>40017</v>
      </c>
      <c r="C7" s="84" t="str">
        <f ca="1">VLOOKUP($B7,OFFSET([2]quests!$A$1,0,0,COUNTA([2]quests!$A:$A),MATCH(C$1,[2]quests!$1:$1,0)-MATCH($B$1,[2]quests!$1:$1,0)+1),MATCH(C$1,[2]quests!$1:$1,0)-MATCH($B$1,[2]quests!$1:$1,0)+1,FALSE)</f>
        <v>ベルゼブブ襲来！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降臨17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降臨17</v>
      </c>
      <c r="H7" s="86">
        <v>0</v>
      </c>
      <c r="I7">
        <v>30</v>
      </c>
      <c r="J7" s="85" t="s">
        <v>127</v>
      </c>
      <c r="K7" s="117" t="str">
        <f>VLOOKUP(I7,[7]stage_hints!$A:$C,3,FALSE)</f>
        <v>「バグ」の増やし方</v>
      </c>
      <c r="L7" s="118" t="str">
        <f>VLOOKUP(I7,[7]stage_hints!$A:$D,4,FALSE)</f>
        <v>同じユニット同士を強化で合成すると_x000D_「バグ」を増やすことができます</v>
      </c>
      <c r="M7" s="57" t="s">
        <v>210</v>
      </c>
    </row>
    <row r="8" spans="1:13" x14ac:dyDescent="0.15">
      <c r="A8" s="82" t="s">
        <v>200</v>
      </c>
      <c r="B8" s="116">
        <f>floors!$C$2</f>
        <v>40017</v>
      </c>
      <c r="C8" s="84" t="str">
        <f ca="1">VLOOKUP($B8,OFFSET([2]quests!$A$1,0,0,COUNTA([2]quests!$A:$A),MATCH(C$1,[2]quests!$1:$1,0)-MATCH($B$1,[2]quests!$1:$1,0)+1),MATCH(C$1,[2]quests!$1:$1,0)-MATCH($B$1,[2]quests!$1:$1,0)+1,FALSE)</f>
        <v>ベルゼブブ襲来！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降臨17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降臨17</v>
      </c>
      <c r="H8" s="86">
        <v>0</v>
      </c>
      <c r="I8">
        <v>32</v>
      </c>
      <c r="J8" s="85" t="s">
        <v>127</v>
      </c>
      <c r="K8" s="117" t="str">
        <f>VLOOKUP(I8,[7]stage_hints!$A:$C,3,FALSE)</f>
        <v>敵の連続攻撃には</v>
      </c>
      <c r="L8" s="118" t="str">
        <f>VLOOKUP(I8,[7]stage_hints!$A:$D,4,FALSE)</f>
        <v>カウンタースキルを持つユニットがいれば_x000D_ダメージ回数分の反撃ができます</v>
      </c>
      <c r="M8" s="57" t="s">
        <v>210</v>
      </c>
    </row>
    <row r="9" spans="1:13" x14ac:dyDescent="0.15">
      <c r="A9" s="82" t="s">
        <v>200</v>
      </c>
      <c r="B9" s="116">
        <f>floors!$C$2</f>
        <v>40017</v>
      </c>
      <c r="C9" s="84" t="str">
        <f ca="1">VLOOKUP($B9,OFFSET([2]quests!$A$1,0,0,COUNTA([2]quests!$A:$A),MATCH(C$1,[2]quests!$1:$1,0)-MATCH($B$1,[2]quests!$1:$1,0)+1),MATCH(C$1,[2]quests!$1:$1,0)-MATCH($B$1,[2]quests!$1:$1,0)+1,FALSE)</f>
        <v>ベルゼブブ襲来！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降臨17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降臨17</v>
      </c>
      <c r="H9" s="86">
        <v>0</v>
      </c>
      <c r="I9">
        <v>33</v>
      </c>
      <c r="J9" s="85" t="s">
        <v>127</v>
      </c>
      <c r="K9" s="117" t="str">
        <f>VLOOKUP(I9,[7]stage_hints!$A:$C,3,FALSE)</f>
        <v>敵のカウンター攻撃には</v>
      </c>
      <c r="L9" s="118" t="str">
        <f>VLOOKUP(I9,[7]stage_hints!$A:$D,4,FALSE)</f>
        <v>カウンターブレイクスキルを持っていれば_x000D_敵のカウンターを解除して攻撃ができます</v>
      </c>
      <c r="M9" s="57" t="s">
        <v>210</v>
      </c>
    </row>
    <row r="10" spans="1:13" x14ac:dyDescent="0.15">
      <c r="A10" s="82" t="s">
        <v>200</v>
      </c>
      <c r="B10" s="116">
        <f>floors!$C$2</f>
        <v>40017</v>
      </c>
      <c r="C10" s="84" t="str">
        <f ca="1">VLOOKUP($B10,OFFSET([2]quests!$A$1,0,0,COUNTA([2]quests!$A:$A),MATCH(C$1,[2]quests!$1:$1,0)-MATCH($B$1,[2]quests!$1:$1,0)+1),MATCH(C$1,[2]quests!$1:$1,0)-MATCH($B$1,[2]quests!$1:$1,0)+1,FALSE)</f>
        <v>ベルゼブブ襲来！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降臨17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降臨17</v>
      </c>
      <c r="H10" s="86">
        <v>0</v>
      </c>
      <c r="I10">
        <v>34</v>
      </c>
      <c r="J10" s="85" t="s">
        <v>127</v>
      </c>
      <c r="K10" s="117" t="str">
        <f>VLOOKUP(I10,[7]stage_hints!$A:$C,3,FALSE)</f>
        <v>ステータスをスキルで下げられたら</v>
      </c>
      <c r="L10" s="118" t="str">
        <f>VLOOKUP(I10,[7]stage_hints!$A:$D,4,FALSE)</f>
        <v>ステータスダウンのスキルを受けたら_x000D_ステータスアップスキルで上書きしましょう</v>
      </c>
      <c r="M10" s="57" t="s">
        <v>210</v>
      </c>
    </row>
    <row r="11" spans="1:13" x14ac:dyDescent="0.15">
      <c r="A11" s="82" t="s">
        <v>200</v>
      </c>
      <c r="B11" s="116">
        <f>floors!$C$2</f>
        <v>40017</v>
      </c>
      <c r="C11" s="84" t="str">
        <f ca="1">VLOOKUP($B11,OFFSET([2]quests!$A$1,0,0,COUNTA([2]quests!$A:$A),MATCH(C$1,[2]quests!$1:$1,0)-MATCH($B$1,[2]quests!$1:$1,0)+1),MATCH(C$1,[2]quests!$1:$1,0)-MATCH($B$1,[2]quests!$1:$1,0)+1,FALSE)</f>
        <v>ベルゼブブ襲来！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降臨17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降臨17</v>
      </c>
      <c r="H11" s="86">
        <v>0</v>
      </c>
      <c r="I11">
        <v>35</v>
      </c>
      <c r="J11" s="85" t="s">
        <v>127</v>
      </c>
      <c r="K11" s="117" t="str">
        <f>VLOOKUP(I11,[7]stage_hints!$A:$C,3,FALSE)</f>
        <v>敵のステータスがスキルで上がったら</v>
      </c>
      <c r="L11" s="118" t="str">
        <f>VLOOKUP(I11,[7]stage_hints!$A:$D,4,FALSE)</f>
        <v>敵のステータスがスキルでアップしたときは_x000D_ステータスダウンスキルで上書きしましょう</v>
      </c>
      <c r="M11" s="57" t="s">
        <v>210</v>
      </c>
    </row>
    <row r="12" spans="1:13" x14ac:dyDescent="0.15">
      <c r="A12" s="82" t="s">
        <v>200</v>
      </c>
      <c r="B12" s="116">
        <f>floors!$C$2</f>
        <v>40017</v>
      </c>
      <c r="C12" s="84" t="str">
        <f ca="1">VLOOKUP($B12,OFFSET([2]quests!$A$1,0,0,COUNTA([2]quests!$A:$A),MATCH(C$1,[2]quests!$1:$1,0)-MATCH($B$1,[2]quests!$1:$1,0)+1),MATCH(C$1,[2]quests!$1:$1,0)-MATCH($B$1,[2]quests!$1:$1,0)+1,FALSE)</f>
        <v>ベルゼブブ襲来！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降臨17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降臨17</v>
      </c>
      <c r="H12" s="86">
        <v>0</v>
      </c>
      <c r="I12">
        <v>36</v>
      </c>
      <c r="J12" s="85" t="s">
        <v>127</v>
      </c>
      <c r="K12" s="117" t="str">
        <f>VLOOKUP(I12,[7]stage_hints!$A:$C,3,FALSE)</f>
        <v>タワーオブザクイーンのボス</v>
      </c>
      <c r="L12" s="118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57" t="s">
        <v>210</v>
      </c>
    </row>
    <row r="13" spans="1:13" x14ac:dyDescent="0.15">
      <c r="A13" s="82" t="s">
        <v>200</v>
      </c>
      <c r="B13" s="116">
        <f>floors!$C$2</f>
        <v>40017</v>
      </c>
      <c r="C13" s="84" t="str">
        <f ca="1">VLOOKUP($B13,OFFSET([2]quests!$A$1,0,0,COUNTA([2]quests!$A:$A),MATCH(C$1,[2]quests!$1:$1,0)-MATCH($B$1,[2]quests!$1:$1,0)+1),MATCH(C$1,[2]quests!$1:$1,0)-MATCH($B$1,[2]quests!$1:$1,0)+1,FALSE)</f>
        <v>ベルゼブブ襲来！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降臨17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降臨17</v>
      </c>
      <c r="H13" s="86">
        <v>0</v>
      </c>
      <c r="I13">
        <v>37</v>
      </c>
      <c r="J13" s="85" t="s">
        <v>127</v>
      </c>
      <c r="K13" s="117" t="str">
        <f>VLOOKUP(I13,[7]stage_hints!$A:$C,3,FALSE)</f>
        <v>限界突破値の引き継ぎ</v>
      </c>
      <c r="L13" s="118" t="str">
        <f>VLOOKUP(I13,[7]stage_hints!$A:$D,4,FALSE)</f>
        <v>同じユニットを強化で合成すると_x000D_限界突破値を引き継げます（覚醒前後も可）</v>
      </c>
      <c r="M13" s="57" t="s">
        <v>210</v>
      </c>
    </row>
    <row r="14" spans="1:13" x14ac:dyDescent="0.15">
      <c r="A14" s="82" t="s">
        <v>200</v>
      </c>
      <c r="B14" s="116">
        <f>floors!$C$2</f>
        <v>40017</v>
      </c>
      <c r="C14" s="84" t="str">
        <f ca="1">VLOOKUP($B14,OFFSET([2]quests!$A$1,0,0,COUNTA([2]quests!$A:$A),MATCH(C$1,[2]quests!$1:$1,0)-MATCH($B$1,[2]quests!$1:$1,0)+1),MATCH(C$1,[2]quests!$1:$1,0)-MATCH($B$1,[2]quests!$1:$1,0)+1,FALSE)</f>
        <v>ベルゼブブ襲来！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降臨17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降臨17</v>
      </c>
      <c r="H14" s="86">
        <v>0</v>
      </c>
      <c r="I14">
        <v>39</v>
      </c>
      <c r="J14" s="85" t="s">
        <v>127</v>
      </c>
      <c r="K14" s="117" t="str">
        <f>VLOOKUP(I14,[7]stage_hints!$A:$C,3,FALSE)</f>
        <v>システム適合者を確認</v>
      </c>
      <c r="L14" s="118" t="str">
        <f>VLOOKUP(I14,[7]stage_hints!$A:$D,4,FALSE)</f>
        <v>ALICEが 「アナタ」を呼んでいます</v>
      </c>
      <c r="M14" s="57" t="s">
        <v>210</v>
      </c>
    </row>
    <row r="15" spans="1:13" x14ac:dyDescent="0.15">
      <c r="A15" s="82" t="s">
        <v>200</v>
      </c>
      <c r="B15" s="116">
        <f>floors!$C$2</f>
        <v>40017</v>
      </c>
      <c r="C15" s="84" t="str">
        <f ca="1">VLOOKUP($B15,OFFSET([2]quests!$A$1,0,0,COUNTA([2]quests!$A:$A),MATCH(C$1,[2]quests!$1:$1,0)-MATCH($B$1,[2]quests!$1:$1,0)+1),MATCH(C$1,[2]quests!$1:$1,0)-MATCH($B$1,[2]quests!$1:$1,0)+1,FALSE)</f>
        <v>ベルゼブブ襲来！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降臨17</v>
      </c>
      <c r="E15" s="88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降臨17</v>
      </c>
      <c r="H15" s="86">
        <v>0</v>
      </c>
      <c r="I15">
        <v>12</v>
      </c>
      <c r="J15" s="85" t="s">
        <v>127</v>
      </c>
      <c r="K15" s="117" t="str">
        <f>VLOOKUP(I15,[7]stage_hints!$A:$C,3,FALSE)</f>
        <v>ユニットのお気に入り登録</v>
      </c>
      <c r="L15" s="118" t="str">
        <f>VLOOKUP(I15,[7]stage_hints!$A:$D,4,FALSE)</f>
        <v>大事なユニットを誤って消さないように_x000D_フォルダから「お気に入り登録」しましょう</v>
      </c>
      <c r="M15" s="57" t="s">
        <v>210</v>
      </c>
    </row>
    <row r="16" spans="1:13" x14ac:dyDescent="0.15">
      <c r="A16" s="82" t="s">
        <v>200</v>
      </c>
      <c r="B16" s="116">
        <f>floors!$C$2</f>
        <v>40017</v>
      </c>
      <c r="C16" s="84" t="str">
        <f ca="1">VLOOKUP($B16,OFFSET([2]quests!$A$1,0,0,COUNTA([2]quests!$A:$A),MATCH(C$1,[2]quests!$1:$1,0)-MATCH($B$1,[2]quests!$1:$1,0)+1),MATCH(C$1,[2]quests!$1:$1,0)-MATCH($B$1,[2]quests!$1:$1,0)+1,FALSE)</f>
        <v>ベルゼブブ襲来！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降臨17</v>
      </c>
      <c r="E16" s="88">
        <v>2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降臨17</v>
      </c>
      <c r="H16" s="86">
        <v>0</v>
      </c>
      <c r="I16">
        <v>17</v>
      </c>
      <c r="J16" s="85" t="s">
        <v>127</v>
      </c>
      <c r="K16" s="117" t="str">
        <f>VLOOKUP(I16,[7]stage_hints!$A:$C,3,FALSE)</f>
        <v>リンクガチャ</v>
      </c>
      <c r="L16" s="118" t="str">
        <f>VLOOKUP(I16,[7]stage_hints!$A:$D,4,FALSE)</f>
        <v>無料のリンクガチャを回して_x000D_経験値素材や売却素材を獲得しましょう</v>
      </c>
      <c r="M16" s="57" t="s">
        <v>210</v>
      </c>
    </row>
    <row r="17" spans="1:13" x14ac:dyDescent="0.15">
      <c r="A17" s="82" t="s">
        <v>200</v>
      </c>
      <c r="B17" s="116">
        <f>floors!$C$2</f>
        <v>40017</v>
      </c>
      <c r="C17" s="84" t="str">
        <f ca="1">VLOOKUP($B17,OFFSET([2]quests!$A$1,0,0,COUNTA([2]quests!$A:$A),MATCH(C$1,[2]quests!$1:$1,0)-MATCH($B$1,[2]quests!$1:$1,0)+1),MATCH(C$1,[2]quests!$1:$1,0)-MATCH($B$1,[2]quests!$1:$1,0)+1,FALSE)</f>
        <v>ベルゼブブ襲来！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降臨17</v>
      </c>
      <c r="E17" s="88">
        <v>2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降臨17</v>
      </c>
      <c r="H17" s="86">
        <v>0</v>
      </c>
      <c r="I17">
        <v>19</v>
      </c>
      <c r="J17" s="85" t="s">
        <v>127</v>
      </c>
      <c r="K17" s="117" t="str">
        <f>VLOOKUP(I17,[7]stage_hints!$A:$C,3,FALSE)</f>
        <v>ソロ専用タワーオブザクイーン</v>
      </c>
      <c r="L17" s="118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57" t="s">
        <v>210</v>
      </c>
    </row>
    <row r="18" spans="1:13" x14ac:dyDescent="0.15">
      <c r="A18" s="82" t="s">
        <v>200</v>
      </c>
      <c r="B18" s="116">
        <f>floors!$C$2</f>
        <v>40017</v>
      </c>
      <c r="C18" s="84" t="str">
        <f ca="1">VLOOKUP($B18,OFFSET([2]quests!$A$1,0,0,COUNTA([2]quests!$A:$A),MATCH(C$1,[2]quests!$1:$1,0)-MATCH($B$1,[2]quests!$1:$1,0)+1),MATCH(C$1,[2]quests!$1:$1,0)-MATCH($B$1,[2]quests!$1:$1,0)+1,FALSE)</f>
        <v>ベルゼブブ襲来！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降臨17</v>
      </c>
      <c r="E18" s="88">
        <v>2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降臨17</v>
      </c>
      <c r="H18" s="86">
        <v>0</v>
      </c>
      <c r="I18">
        <v>21</v>
      </c>
      <c r="J18" s="85" t="s">
        <v>127</v>
      </c>
      <c r="K18" s="117" t="str">
        <f>VLOOKUP(I18,[7]stage_hints!$A:$C,3,FALSE)</f>
        <v>スキルを有効に</v>
      </c>
      <c r="L18" s="118" t="str">
        <f>VLOOKUP(I18,[7]stage_hints!$A:$D,4,FALSE)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82" t="s">
        <v>200</v>
      </c>
      <c r="B19" s="116">
        <f>floors!$C$2</f>
        <v>40017</v>
      </c>
      <c r="C19" s="84" t="str">
        <f ca="1">VLOOKUP($B19,OFFSET([2]quests!$A$1,0,0,COUNTA([2]quests!$A:$A),MATCH(C$1,[2]quests!$1:$1,0)-MATCH($B$1,[2]quests!$1:$1,0)+1),MATCH(C$1,[2]quests!$1:$1,0)-MATCH($B$1,[2]quests!$1:$1,0)+1,FALSE)</f>
        <v>ベルゼブブ襲来！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降臨17</v>
      </c>
      <c r="E19" s="88">
        <v>2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降臨17</v>
      </c>
      <c r="H19" s="86">
        <v>0</v>
      </c>
      <c r="I19">
        <v>29</v>
      </c>
      <c r="J19" s="85" t="s">
        <v>127</v>
      </c>
      <c r="K19" s="117" t="str">
        <f>VLOOKUP(I19,[7]stage_hints!$A:$C,3,FALSE)</f>
        <v>「バグ」のメリット</v>
      </c>
      <c r="L19" s="118" t="str">
        <f>VLOOKUP(I19,[7]stage_hints!$A:$D,4,FALSE)</f>
        <v>ユニットの「バグ」を増やすと_x000D_報酬をもらえる確率がアップします</v>
      </c>
      <c r="M19" s="57" t="s">
        <v>210</v>
      </c>
    </row>
    <row r="20" spans="1:13" x14ac:dyDescent="0.15">
      <c r="A20" s="82" t="s">
        <v>200</v>
      </c>
      <c r="B20" s="116">
        <f>floors!$C$2</f>
        <v>40017</v>
      </c>
      <c r="C20" s="84" t="str">
        <f ca="1">VLOOKUP($B20,OFFSET([2]quests!$A$1,0,0,COUNTA([2]quests!$A:$A),MATCH(C$1,[2]quests!$1:$1,0)-MATCH($B$1,[2]quests!$1:$1,0)+1),MATCH(C$1,[2]quests!$1:$1,0)-MATCH($B$1,[2]quests!$1:$1,0)+1,FALSE)</f>
        <v>ベルゼブブ襲来！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降臨17</v>
      </c>
      <c r="E20" s="88">
        <v>2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降臨17</v>
      </c>
      <c r="H20" s="86">
        <v>0</v>
      </c>
      <c r="I20">
        <v>30</v>
      </c>
      <c r="J20" s="85" t="s">
        <v>127</v>
      </c>
      <c r="K20" s="117" t="str">
        <f>VLOOKUP(I20,[7]stage_hints!$A:$C,3,FALSE)</f>
        <v>「バグ」の増やし方</v>
      </c>
      <c r="L20" s="118" t="str">
        <f>VLOOKUP(I20,[7]stage_hints!$A:$D,4,FALSE)</f>
        <v>同じユニット同士を強化で合成すると_x000D_「バグ」を増やすことができます</v>
      </c>
      <c r="M20" s="57" t="s">
        <v>210</v>
      </c>
    </row>
    <row r="21" spans="1:13" x14ac:dyDescent="0.15">
      <c r="A21" s="82" t="s">
        <v>200</v>
      </c>
      <c r="B21" s="116">
        <f>floors!$C$2</f>
        <v>40017</v>
      </c>
      <c r="C21" s="84" t="str">
        <f ca="1">VLOOKUP($B21,OFFSET([2]quests!$A$1,0,0,COUNTA([2]quests!$A:$A),MATCH(C$1,[2]quests!$1:$1,0)-MATCH($B$1,[2]quests!$1:$1,0)+1),MATCH(C$1,[2]quests!$1:$1,0)-MATCH($B$1,[2]quests!$1:$1,0)+1,FALSE)</f>
        <v>ベルゼブブ襲来！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降臨17</v>
      </c>
      <c r="E21" s="88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降臨17</v>
      </c>
      <c r="H21" s="86">
        <v>0</v>
      </c>
      <c r="I21">
        <v>32</v>
      </c>
      <c r="J21" s="85" t="s">
        <v>127</v>
      </c>
      <c r="K21" s="117" t="str">
        <f>VLOOKUP(I21,[7]stage_hints!$A:$C,3,FALSE)</f>
        <v>敵の連続攻撃には</v>
      </c>
      <c r="L21" s="118" t="str">
        <f>VLOOKUP(I21,[7]stage_hints!$A:$D,4,FALSE)</f>
        <v>カウンタースキルを持つユニットがいれば_x000D_ダメージ回数分の反撃ができます</v>
      </c>
      <c r="M21" s="57" t="s">
        <v>210</v>
      </c>
    </row>
    <row r="22" spans="1:13" x14ac:dyDescent="0.15">
      <c r="A22" s="82" t="s">
        <v>200</v>
      </c>
      <c r="B22" s="116">
        <f>floors!$C$2</f>
        <v>40017</v>
      </c>
      <c r="C22" s="84" t="str">
        <f ca="1">VLOOKUP($B22,OFFSET([2]quests!$A$1,0,0,COUNTA([2]quests!$A:$A),MATCH(C$1,[2]quests!$1:$1,0)-MATCH($B$1,[2]quests!$1:$1,0)+1),MATCH(C$1,[2]quests!$1:$1,0)-MATCH($B$1,[2]quests!$1:$1,0)+1,FALSE)</f>
        <v>ベルゼブブ襲来！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降臨17</v>
      </c>
      <c r="E22" s="88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降臨17</v>
      </c>
      <c r="H22" s="86">
        <v>0</v>
      </c>
      <c r="I22">
        <v>33</v>
      </c>
      <c r="J22" s="85" t="s">
        <v>127</v>
      </c>
      <c r="K22" s="117" t="str">
        <f>VLOOKUP(I22,[7]stage_hints!$A:$C,3,FALSE)</f>
        <v>敵のカウンター攻撃には</v>
      </c>
      <c r="L22" s="118" t="str">
        <f>VLOOKUP(I22,[7]stage_hints!$A:$D,4,FALSE)</f>
        <v>カウンターブレイクスキルを持っていれば_x000D_敵のカウンターを解除して攻撃ができます</v>
      </c>
      <c r="M22" s="57" t="s">
        <v>210</v>
      </c>
    </row>
    <row r="23" spans="1:13" x14ac:dyDescent="0.15">
      <c r="A23" s="82" t="s">
        <v>200</v>
      </c>
      <c r="B23" s="116">
        <f>floors!$C$2</f>
        <v>40017</v>
      </c>
      <c r="C23" s="84" t="str">
        <f ca="1">VLOOKUP($B23,OFFSET([2]quests!$A$1,0,0,COUNTA([2]quests!$A:$A),MATCH(C$1,[2]quests!$1:$1,0)-MATCH($B$1,[2]quests!$1:$1,0)+1),MATCH(C$1,[2]quests!$1:$1,0)-MATCH($B$1,[2]quests!$1:$1,0)+1,FALSE)</f>
        <v>ベルゼブブ襲来！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降臨17</v>
      </c>
      <c r="E23" s="88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降臨17</v>
      </c>
      <c r="H23" s="86">
        <v>0</v>
      </c>
      <c r="I23">
        <v>34</v>
      </c>
      <c r="J23" s="85" t="s">
        <v>127</v>
      </c>
      <c r="K23" s="117" t="str">
        <f>VLOOKUP(I23,[7]stage_hints!$A:$C,3,FALSE)</f>
        <v>ステータスをスキルで下げられたら</v>
      </c>
      <c r="L23" s="118" t="str">
        <f>VLOOKUP(I23,[7]stage_hints!$A:$D,4,FALSE)</f>
        <v>ステータスダウンのスキルを受けたら_x000D_ステータスアップスキルで上書きしましょう</v>
      </c>
      <c r="M23" s="57" t="s">
        <v>210</v>
      </c>
    </row>
    <row r="24" spans="1:13" x14ac:dyDescent="0.15">
      <c r="A24" s="82" t="s">
        <v>200</v>
      </c>
      <c r="B24" s="116">
        <f>floors!$C$2</f>
        <v>40017</v>
      </c>
      <c r="C24" s="84" t="str">
        <f ca="1">VLOOKUP($B24,OFFSET([2]quests!$A$1,0,0,COUNTA([2]quests!$A:$A),MATCH(C$1,[2]quests!$1:$1,0)-MATCH($B$1,[2]quests!$1:$1,0)+1),MATCH(C$1,[2]quests!$1:$1,0)-MATCH($B$1,[2]quests!$1:$1,0)+1,FALSE)</f>
        <v>ベルゼブブ襲来！</v>
      </c>
      <c r="D24" s="84" t="str">
        <f ca="1">VLOOKUP($B24,OFFSET([2]quests!$A$1,0,0,COUNTA([2]quests!$A:$A),MATCH(D$1,[2]quests!$1:$1,0)-MATCH($B$1,[2]quests!$1:$1,0)+1),MATCH(D$1,[2]quests!$1:$1,0)-MATCH($B$1,[2]quests!$1:$1,0)+1,FALSE)</f>
        <v>降臨17</v>
      </c>
      <c r="E24" s="88">
        <v>2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降臨17</v>
      </c>
      <c r="H24" s="86">
        <v>0</v>
      </c>
      <c r="I24">
        <v>35</v>
      </c>
      <c r="J24" s="85" t="s">
        <v>127</v>
      </c>
      <c r="K24" s="117" t="str">
        <f>VLOOKUP(I24,[7]stage_hints!$A:$C,3,FALSE)</f>
        <v>敵のステータスがスキルで上がったら</v>
      </c>
      <c r="L24" s="118" t="str">
        <f>VLOOKUP(I24,[7]stage_hints!$A:$D,4,FALSE)</f>
        <v>敵のステータスがスキルでアップしたときは_x000D_ステータスダウンスキルで上書きしましょう</v>
      </c>
      <c r="M24" s="57" t="s">
        <v>210</v>
      </c>
    </row>
    <row r="25" spans="1:13" x14ac:dyDescent="0.15">
      <c r="A25" s="82" t="s">
        <v>200</v>
      </c>
      <c r="B25" s="116">
        <f>floors!$C$2</f>
        <v>40017</v>
      </c>
      <c r="C25" s="84" t="str">
        <f ca="1">VLOOKUP($B25,OFFSET([2]quests!$A$1,0,0,COUNTA([2]quests!$A:$A),MATCH(C$1,[2]quests!$1:$1,0)-MATCH($B$1,[2]quests!$1:$1,0)+1),MATCH(C$1,[2]quests!$1:$1,0)-MATCH($B$1,[2]quests!$1:$1,0)+1,FALSE)</f>
        <v>ベルゼブブ襲来！</v>
      </c>
      <c r="D25" s="84" t="str">
        <f ca="1">VLOOKUP($B25,OFFSET([2]quests!$A$1,0,0,COUNTA([2]quests!$A:$A),MATCH(D$1,[2]quests!$1:$1,0)-MATCH($B$1,[2]quests!$1:$1,0)+1),MATCH(D$1,[2]quests!$1:$1,0)-MATCH($B$1,[2]quests!$1:$1,0)+1,FALSE)</f>
        <v>降臨17</v>
      </c>
      <c r="E25" s="88">
        <v>2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降臨17</v>
      </c>
      <c r="H25" s="86">
        <v>0</v>
      </c>
      <c r="I25">
        <v>36</v>
      </c>
      <c r="J25" s="85" t="s">
        <v>127</v>
      </c>
      <c r="K25" s="117" t="str">
        <f>VLOOKUP(I25,[7]stage_hints!$A:$C,3,FALSE)</f>
        <v>タワーオブザクイーンのボス</v>
      </c>
      <c r="L25" s="118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57" t="s">
        <v>210</v>
      </c>
    </row>
    <row r="26" spans="1:13" x14ac:dyDescent="0.15">
      <c r="A26" s="82" t="s">
        <v>200</v>
      </c>
      <c r="B26" s="116">
        <f>floors!$C$2</f>
        <v>40017</v>
      </c>
      <c r="C26" s="84" t="str">
        <f ca="1">VLOOKUP($B26,OFFSET([2]quests!$A$1,0,0,COUNTA([2]quests!$A:$A),MATCH(C$1,[2]quests!$1:$1,0)-MATCH($B$1,[2]quests!$1:$1,0)+1),MATCH(C$1,[2]quests!$1:$1,0)-MATCH($B$1,[2]quests!$1:$1,0)+1,FALSE)</f>
        <v>ベルゼブブ襲来！</v>
      </c>
      <c r="D26" s="84" t="str">
        <f ca="1">VLOOKUP($B26,OFFSET([2]quests!$A$1,0,0,COUNTA([2]quests!$A:$A),MATCH(D$1,[2]quests!$1:$1,0)-MATCH($B$1,[2]quests!$1:$1,0)+1),MATCH(D$1,[2]quests!$1:$1,0)-MATCH($B$1,[2]quests!$1:$1,0)+1,FALSE)</f>
        <v>降臨17</v>
      </c>
      <c r="E26" s="88">
        <v>2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降臨17</v>
      </c>
      <c r="H26" s="86">
        <v>0</v>
      </c>
      <c r="I26">
        <v>37</v>
      </c>
      <c r="J26" s="85" t="s">
        <v>127</v>
      </c>
      <c r="K26" s="117" t="str">
        <f>VLOOKUP(I26,[7]stage_hints!$A:$C,3,FALSE)</f>
        <v>限界突破値の引き継ぎ</v>
      </c>
      <c r="L26" s="118" t="str">
        <f>VLOOKUP(I26,[7]stage_hints!$A:$D,4,FALSE)</f>
        <v>同じユニットを強化で合成すると_x000D_限界突破値を引き継げます（覚醒前後も可）</v>
      </c>
      <c r="M26" s="57" t="s">
        <v>210</v>
      </c>
    </row>
    <row r="27" spans="1:13" x14ac:dyDescent="0.15">
      <c r="A27" s="82" t="s">
        <v>200</v>
      </c>
      <c r="B27" s="116">
        <f>floors!$C$2</f>
        <v>40017</v>
      </c>
      <c r="C27" s="84" t="str">
        <f ca="1">VLOOKUP($B27,OFFSET([2]quests!$A$1,0,0,COUNTA([2]quests!$A:$A),MATCH(C$1,[2]quests!$1:$1,0)-MATCH($B$1,[2]quests!$1:$1,0)+1),MATCH(C$1,[2]quests!$1:$1,0)-MATCH($B$1,[2]quests!$1:$1,0)+1,FALSE)</f>
        <v>ベルゼブブ襲来！</v>
      </c>
      <c r="D27" s="84" t="str">
        <f ca="1">VLOOKUP($B27,OFFSET([2]quests!$A$1,0,0,COUNTA([2]quests!$A:$A),MATCH(D$1,[2]quests!$1:$1,0)-MATCH($B$1,[2]quests!$1:$1,0)+1),MATCH(D$1,[2]quests!$1:$1,0)-MATCH($B$1,[2]quests!$1:$1,0)+1,FALSE)</f>
        <v>降臨17</v>
      </c>
      <c r="E27" s="88">
        <v>2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降臨17</v>
      </c>
      <c r="H27" s="86">
        <v>0</v>
      </c>
      <c r="I27">
        <v>39</v>
      </c>
      <c r="J27" s="85" t="s">
        <v>127</v>
      </c>
      <c r="K27" s="117" t="str">
        <f>VLOOKUP(I27,[7]stage_hints!$A:$C,3,FALSE)</f>
        <v>システム適合者を確認</v>
      </c>
      <c r="L27" s="118" t="str">
        <f>VLOOKUP(I27,[7]stage_hints!$A:$D,4,FALSE)</f>
        <v>ALICEが 「アナタ」を呼んでいます</v>
      </c>
      <c r="M27" s="57" t="s">
        <v>210</v>
      </c>
    </row>
    <row r="28" spans="1:13" x14ac:dyDescent="0.15">
      <c r="A28" s="82" t="s">
        <v>200</v>
      </c>
      <c r="B28" s="116">
        <f>floors!$C$2</f>
        <v>40017</v>
      </c>
      <c r="C28" s="84" t="str">
        <f ca="1">VLOOKUP($B28,OFFSET([2]quests!$A$1,0,0,COUNTA([2]quests!$A:$A),MATCH(C$1,[2]quests!$1:$1,0)-MATCH($B$1,[2]quests!$1:$1,0)+1),MATCH(C$1,[2]quests!$1:$1,0)-MATCH($B$1,[2]quests!$1:$1,0)+1,FALSE)</f>
        <v>ベルゼブブ襲来！</v>
      </c>
      <c r="D28" s="84" t="str">
        <f ca="1">VLOOKUP($B28,OFFSET([2]quests!$A$1,0,0,COUNTA([2]quests!$A:$A),MATCH(D$1,[2]quests!$1:$1,0)-MATCH($B$1,[2]quests!$1:$1,0)+1),MATCH(D$1,[2]quests!$1:$1,0)-MATCH($B$1,[2]quests!$1:$1,0)+1,FALSE)</f>
        <v>降臨17</v>
      </c>
      <c r="E28" s="88">
        <v>3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降臨17</v>
      </c>
      <c r="H28" s="86">
        <v>0</v>
      </c>
      <c r="I28">
        <v>12</v>
      </c>
      <c r="J28" s="85" t="s">
        <v>127</v>
      </c>
      <c r="K28" s="117" t="str">
        <f>VLOOKUP(I28,[7]stage_hints!$A:$C,3,FALSE)</f>
        <v>ユニットのお気に入り登録</v>
      </c>
      <c r="L28" s="118" t="str">
        <f>VLOOKUP(I28,[7]stage_hints!$A:$D,4,FALSE)</f>
        <v>大事なユニットを誤って消さないように_x000D_フォルダから「お気に入り登録」しましょう</v>
      </c>
      <c r="M28" s="57" t="s">
        <v>210</v>
      </c>
    </row>
    <row r="29" spans="1:13" x14ac:dyDescent="0.15">
      <c r="A29" s="82" t="s">
        <v>200</v>
      </c>
      <c r="B29" s="116">
        <f>floors!$C$2</f>
        <v>40017</v>
      </c>
      <c r="C29" s="84" t="str">
        <f ca="1">VLOOKUP($B29,OFFSET([2]quests!$A$1,0,0,COUNTA([2]quests!$A:$A),MATCH(C$1,[2]quests!$1:$1,0)-MATCH($B$1,[2]quests!$1:$1,0)+1),MATCH(C$1,[2]quests!$1:$1,0)-MATCH($B$1,[2]quests!$1:$1,0)+1,FALSE)</f>
        <v>ベルゼブブ襲来！</v>
      </c>
      <c r="D29" s="84" t="str">
        <f ca="1">VLOOKUP($B29,OFFSET([2]quests!$A$1,0,0,COUNTA([2]quests!$A:$A),MATCH(D$1,[2]quests!$1:$1,0)-MATCH($B$1,[2]quests!$1:$1,0)+1),MATCH(D$1,[2]quests!$1:$1,0)-MATCH($B$1,[2]quests!$1:$1,0)+1,FALSE)</f>
        <v>降臨17</v>
      </c>
      <c r="E29" s="88">
        <v>3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降臨17</v>
      </c>
      <c r="H29" s="86">
        <v>0</v>
      </c>
      <c r="I29">
        <v>17</v>
      </c>
      <c r="J29" s="85" t="s">
        <v>127</v>
      </c>
      <c r="K29" s="117" t="str">
        <f>VLOOKUP(I29,[7]stage_hints!$A:$C,3,FALSE)</f>
        <v>リンクガチャ</v>
      </c>
      <c r="L29" s="118" t="str">
        <f>VLOOKUP(I29,[7]stage_hints!$A:$D,4,FALSE)</f>
        <v>無料のリンクガチャを回して_x000D_経験値素材や売却素材を獲得しましょう</v>
      </c>
      <c r="M29" s="57" t="s">
        <v>210</v>
      </c>
    </row>
    <row r="30" spans="1:13" x14ac:dyDescent="0.15">
      <c r="A30" s="82" t="s">
        <v>200</v>
      </c>
      <c r="B30" s="116">
        <f>floors!$C$2</f>
        <v>40017</v>
      </c>
      <c r="C30" s="84" t="str">
        <f ca="1">VLOOKUP($B30,OFFSET([2]quests!$A$1,0,0,COUNTA([2]quests!$A:$A),MATCH(C$1,[2]quests!$1:$1,0)-MATCH($B$1,[2]quests!$1:$1,0)+1),MATCH(C$1,[2]quests!$1:$1,0)-MATCH($B$1,[2]quests!$1:$1,0)+1,FALSE)</f>
        <v>ベルゼブブ襲来！</v>
      </c>
      <c r="D30" s="84" t="str">
        <f ca="1">VLOOKUP($B30,OFFSET([2]quests!$A$1,0,0,COUNTA([2]quests!$A:$A),MATCH(D$1,[2]quests!$1:$1,0)-MATCH($B$1,[2]quests!$1:$1,0)+1),MATCH(D$1,[2]quests!$1:$1,0)-MATCH($B$1,[2]quests!$1:$1,0)+1,FALSE)</f>
        <v>降臨17</v>
      </c>
      <c r="E30" s="88">
        <v>3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降臨17</v>
      </c>
      <c r="H30" s="86">
        <v>0</v>
      </c>
      <c r="I30">
        <v>19</v>
      </c>
      <c r="J30" s="85" t="s">
        <v>127</v>
      </c>
      <c r="K30" s="117" t="str">
        <f>VLOOKUP(I30,[7]stage_hints!$A:$C,3,FALSE)</f>
        <v>ソロ専用タワーオブザクイーン</v>
      </c>
      <c r="L30" s="118" t="str">
        <f>VLOOKUP(I30,[7]stage_hints!$A:$D,4,FALSE)</f>
        <v>ソロ専用の「タワーオブザクイーン」は_x000D_期間限定で定期的に開催されます_x000D_ここでしか獲得できない報酬もあるようです</v>
      </c>
      <c r="M30" s="57" t="s">
        <v>210</v>
      </c>
    </row>
    <row r="31" spans="1:13" x14ac:dyDescent="0.15">
      <c r="A31" s="82" t="s">
        <v>200</v>
      </c>
      <c r="B31" s="116">
        <f>floors!$C$2</f>
        <v>40017</v>
      </c>
      <c r="C31" s="84" t="str">
        <f ca="1">VLOOKUP($B31,OFFSET([2]quests!$A$1,0,0,COUNTA([2]quests!$A:$A),MATCH(C$1,[2]quests!$1:$1,0)-MATCH($B$1,[2]quests!$1:$1,0)+1),MATCH(C$1,[2]quests!$1:$1,0)-MATCH($B$1,[2]quests!$1:$1,0)+1,FALSE)</f>
        <v>ベルゼブブ襲来！</v>
      </c>
      <c r="D31" s="84" t="str">
        <f ca="1">VLOOKUP($B31,OFFSET([2]quests!$A$1,0,0,COUNTA([2]quests!$A:$A),MATCH(D$1,[2]quests!$1:$1,0)-MATCH($B$1,[2]quests!$1:$1,0)+1),MATCH(D$1,[2]quests!$1:$1,0)-MATCH($B$1,[2]quests!$1:$1,0)+1,FALSE)</f>
        <v>降臨17</v>
      </c>
      <c r="E31" s="88">
        <v>3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降臨17</v>
      </c>
      <c r="H31" s="86">
        <v>0</v>
      </c>
      <c r="I31">
        <v>21</v>
      </c>
      <c r="J31" s="85" t="s">
        <v>127</v>
      </c>
      <c r="K31" s="117" t="str">
        <f>VLOOKUP(I31,[7]stage_hints!$A:$C,3,FALSE)</f>
        <v>スキルを有効に</v>
      </c>
      <c r="L31" s="118" t="str">
        <f>VLOOKUP(I31,[7]stage_hints!$A:$D,4,FALSE)</f>
        <v>ターン経過でユニットのスキルが使えます_x000D_強力スキルでバトルを有利に進めましょう</v>
      </c>
      <c r="M31" s="57" t="s">
        <v>210</v>
      </c>
    </row>
    <row r="32" spans="1:13" x14ac:dyDescent="0.15">
      <c r="A32" s="82" t="s">
        <v>200</v>
      </c>
      <c r="B32" s="116">
        <f>floors!$C$2</f>
        <v>40017</v>
      </c>
      <c r="C32" s="84" t="str">
        <f ca="1">VLOOKUP($B32,OFFSET([2]quests!$A$1,0,0,COUNTA([2]quests!$A:$A),MATCH(C$1,[2]quests!$1:$1,0)-MATCH($B$1,[2]quests!$1:$1,0)+1),MATCH(C$1,[2]quests!$1:$1,0)-MATCH($B$1,[2]quests!$1:$1,0)+1,FALSE)</f>
        <v>ベルゼブブ襲来！</v>
      </c>
      <c r="D32" s="84" t="str">
        <f ca="1">VLOOKUP($B32,OFFSET([2]quests!$A$1,0,0,COUNTA([2]quests!$A:$A),MATCH(D$1,[2]quests!$1:$1,0)-MATCH($B$1,[2]quests!$1:$1,0)+1),MATCH(D$1,[2]quests!$1:$1,0)-MATCH($B$1,[2]quests!$1:$1,0)+1,FALSE)</f>
        <v>降臨17</v>
      </c>
      <c r="E32" s="88">
        <v>3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降臨17</v>
      </c>
      <c r="H32" s="86">
        <v>0</v>
      </c>
      <c r="I32">
        <v>29</v>
      </c>
      <c r="J32" s="85" t="s">
        <v>127</v>
      </c>
      <c r="K32" s="117" t="str">
        <f>VLOOKUP(I32,[7]stage_hints!$A:$C,3,FALSE)</f>
        <v>「バグ」のメリット</v>
      </c>
      <c r="L32" s="118" t="str">
        <f>VLOOKUP(I32,[7]stage_hints!$A:$D,4,FALSE)</f>
        <v>ユニットの「バグ」を増やすと_x000D_報酬をもらえる確率がアップします</v>
      </c>
      <c r="M32" s="57" t="s">
        <v>210</v>
      </c>
    </row>
    <row r="33" spans="1:13" x14ac:dyDescent="0.15">
      <c r="A33" s="82" t="s">
        <v>200</v>
      </c>
      <c r="B33" s="116">
        <f>floors!$C$2</f>
        <v>40017</v>
      </c>
      <c r="C33" s="84" t="str">
        <f ca="1">VLOOKUP($B33,OFFSET([2]quests!$A$1,0,0,COUNTA([2]quests!$A:$A),MATCH(C$1,[2]quests!$1:$1,0)-MATCH($B$1,[2]quests!$1:$1,0)+1),MATCH(C$1,[2]quests!$1:$1,0)-MATCH($B$1,[2]quests!$1:$1,0)+1,FALSE)</f>
        <v>ベルゼブブ襲来！</v>
      </c>
      <c r="D33" s="84" t="str">
        <f ca="1">VLOOKUP($B33,OFFSET([2]quests!$A$1,0,0,COUNTA([2]quests!$A:$A),MATCH(D$1,[2]quests!$1:$1,0)-MATCH($B$1,[2]quests!$1:$1,0)+1),MATCH(D$1,[2]quests!$1:$1,0)-MATCH($B$1,[2]quests!$1:$1,0)+1,FALSE)</f>
        <v>降臨17</v>
      </c>
      <c r="E33" s="88">
        <v>3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降臨17</v>
      </c>
      <c r="H33" s="86">
        <v>0</v>
      </c>
      <c r="I33">
        <v>30</v>
      </c>
      <c r="J33" s="85" t="s">
        <v>127</v>
      </c>
      <c r="K33" s="117" t="str">
        <f>VLOOKUP(I33,[7]stage_hints!$A:$C,3,FALSE)</f>
        <v>「バグ」の増やし方</v>
      </c>
      <c r="L33" s="118" t="str">
        <f>VLOOKUP(I33,[7]stage_hints!$A:$D,4,FALSE)</f>
        <v>同じユニット同士を強化で合成すると_x000D_「バグ」を増やすことができます</v>
      </c>
      <c r="M33" s="57" t="s">
        <v>210</v>
      </c>
    </row>
    <row r="34" spans="1:13" x14ac:dyDescent="0.15">
      <c r="A34" s="82" t="s">
        <v>200</v>
      </c>
      <c r="B34" s="116">
        <f>floors!$C$2</f>
        <v>40017</v>
      </c>
      <c r="C34" s="84" t="str">
        <f ca="1">VLOOKUP($B34,OFFSET([2]quests!$A$1,0,0,COUNTA([2]quests!$A:$A),MATCH(C$1,[2]quests!$1:$1,0)-MATCH($B$1,[2]quests!$1:$1,0)+1),MATCH(C$1,[2]quests!$1:$1,0)-MATCH($B$1,[2]quests!$1:$1,0)+1,FALSE)</f>
        <v>ベルゼブブ襲来！</v>
      </c>
      <c r="D34" s="84" t="str">
        <f ca="1">VLOOKUP($B34,OFFSET([2]quests!$A$1,0,0,COUNTA([2]quests!$A:$A),MATCH(D$1,[2]quests!$1:$1,0)-MATCH($B$1,[2]quests!$1:$1,0)+1),MATCH(D$1,[2]quests!$1:$1,0)-MATCH($B$1,[2]quests!$1:$1,0)+1,FALSE)</f>
        <v>降臨17</v>
      </c>
      <c r="E34" s="88">
        <v>3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降臨17</v>
      </c>
      <c r="H34" s="86">
        <v>0</v>
      </c>
      <c r="I34">
        <v>32</v>
      </c>
      <c r="J34" s="85" t="s">
        <v>127</v>
      </c>
      <c r="K34" s="117" t="str">
        <f>VLOOKUP(I34,[7]stage_hints!$A:$C,3,FALSE)</f>
        <v>敵の連続攻撃には</v>
      </c>
      <c r="L34" s="118" t="str">
        <f>VLOOKUP(I34,[7]stage_hints!$A:$D,4,FALSE)</f>
        <v>カウンタースキルを持つユニットがいれば_x000D_ダメージ回数分の反撃ができます</v>
      </c>
      <c r="M34" s="57" t="s">
        <v>210</v>
      </c>
    </row>
    <row r="35" spans="1:13" x14ac:dyDescent="0.15">
      <c r="A35" s="82" t="s">
        <v>200</v>
      </c>
      <c r="B35" s="116">
        <f>floors!$C$2</f>
        <v>40017</v>
      </c>
      <c r="C35" s="84" t="str">
        <f ca="1">VLOOKUP($B35,OFFSET([2]quests!$A$1,0,0,COUNTA([2]quests!$A:$A),MATCH(C$1,[2]quests!$1:$1,0)-MATCH($B$1,[2]quests!$1:$1,0)+1),MATCH(C$1,[2]quests!$1:$1,0)-MATCH($B$1,[2]quests!$1:$1,0)+1,FALSE)</f>
        <v>ベルゼブブ襲来！</v>
      </c>
      <c r="D35" s="84" t="str">
        <f ca="1">VLOOKUP($B35,OFFSET([2]quests!$A$1,0,0,COUNTA([2]quests!$A:$A),MATCH(D$1,[2]quests!$1:$1,0)-MATCH($B$1,[2]quests!$1:$1,0)+1),MATCH(D$1,[2]quests!$1:$1,0)-MATCH($B$1,[2]quests!$1:$1,0)+1,FALSE)</f>
        <v>降臨17</v>
      </c>
      <c r="E35" s="88">
        <v>3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降臨17</v>
      </c>
      <c r="H35" s="86">
        <v>0</v>
      </c>
      <c r="I35">
        <v>33</v>
      </c>
      <c r="J35" s="85" t="s">
        <v>127</v>
      </c>
      <c r="K35" s="117" t="str">
        <f>VLOOKUP(I35,[7]stage_hints!$A:$C,3,FALSE)</f>
        <v>敵のカウンター攻撃には</v>
      </c>
      <c r="L35" s="118" t="str">
        <f>VLOOKUP(I35,[7]stage_hints!$A:$D,4,FALSE)</f>
        <v>カウンターブレイクスキルを持っていれば_x000D_敵のカウンターを解除して攻撃ができます</v>
      </c>
      <c r="M35" s="57" t="s">
        <v>210</v>
      </c>
    </row>
    <row r="36" spans="1:13" x14ac:dyDescent="0.15">
      <c r="A36" s="82" t="s">
        <v>200</v>
      </c>
      <c r="B36" s="116">
        <f>floors!$C$2</f>
        <v>40017</v>
      </c>
      <c r="C36" s="84" t="str">
        <f ca="1">VLOOKUP($B36,OFFSET([2]quests!$A$1,0,0,COUNTA([2]quests!$A:$A),MATCH(C$1,[2]quests!$1:$1,0)-MATCH($B$1,[2]quests!$1:$1,0)+1),MATCH(C$1,[2]quests!$1:$1,0)-MATCH($B$1,[2]quests!$1:$1,0)+1,FALSE)</f>
        <v>ベルゼブブ襲来！</v>
      </c>
      <c r="D36" s="84" t="str">
        <f ca="1">VLOOKUP($B36,OFFSET([2]quests!$A$1,0,0,COUNTA([2]quests!$A:$A),MATCH(D$1,[2]quests!$1:$1,0)-MATCH($B$1,[2]quests!$1:$1,0)+1),MATCH(D$1,[2]quests!$1:$1,0)-MATCH($B$1,[2]quests!$1:$1,0)+1,FALSE)</f>
        <v>降臨17</v>
      </c>
      <c r="E36" s="88">
        <v>3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降臨17</v>
      </c>
      <c r="H36" s="86">
        <v>0</v>
      </c>
      <c r="I36">
        <v>34</v>
      </c>
      <c r="J36" s="85" t="s">
        <v>127</v>
      </c>
      <c r="K36" s="117" t="str">
        <f>VLOOKUP(I36,[7]stage_hints!$A:$C,3,FALSE)</f>
        <v>ステータスをスキルで下げられたら</v>
      </c>
      <c r="L36" s="118" t="str">
        <f>VLOOKUP(I36,[7]stage_hints!$A:$D,4,FALSE)</f>
        <v>ステータスダウンのスキルを受けたら_x000D_ステータスアップスキルで上書きしましょう</v>
      </c>
      <c r="M36" s="57" t="s">
        <v>210</v>
      </c>
    </row>
    <row r="37" spans="1:13" x14ac:dyDescent="0.15">
      <c r="A37" s="82" t="s">
        <v>200</v>
      </c>
      <c r="B37" s="116">
        <f>floors!$C$2</f>
        <v>40017</v>
      </c>
      <c r="C37" s="84" t="str">
        <f ca="1">VLOOKUP($B37,OFFSET([2]quests!$A$1,0,0,COUNTA([2]quests!$A:$A),MATCH(C$1,[2]quests!$1:$1,0)-MATCH($B$1,[2]quests!$1:$1,0)+1),MATCH(C$1,[2]quests!$1:$1,0)-MATCH($B$1,[2]quests!$1:$1,0)+1,FALSE)</f>
        <v>ベルゼブブ襲来！</v>
      </c>
      <c r="D37" s="84" t="str">
        <f ca="1">VLOOKUP($B37,OFFSET([2]quests!$A$1,0,0,COUNTA([2]quests!$A:$A),MATCH(D$1,[2]quests!$1:$1,0)-MATCH($B$1,[2]quests!$1:$1,0)+1),MATCH(D$1,[2]quests!$1:$1,0)-MATCH($B$1,[2]quests!$1:$1,0)+1,FALSE)</f>
        <v>降臨17</v>
      </c>
      <c r="E37" s="88">
        <v>3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降臨17</v>
      </c>
      <c r="H37" s="86">
        <v>0</v>
      </c>
      <c r="I37">
        <v>35</v>
      </c>
      <c r="J37" s="85" t="s">
        <v>127</v>
      </c>
      <c r="K37" s="117" t="str">
        <f>VLOOKUP(I37,[7]stage_hints!$A:$C,3,FALSE)</f>
        <v>敵のステータスがスキルで上がったら</v>
      </c>
      <c r="L37" s="118" t="str">
        <f>VLOOKUP(I37,[7]stage_hints!$A:$D,4,FALSE)</f>
        <v>敵のステータスがスキルでアップしたときは_x000D_ステータスダウンスキルで上書きしましょう</v>
      </c>
      <c r="M37" s="57" t="s">
        <v>210</v>
      </c>
    </row>
    <row r="38" spans="1:13" x14ac:dyDescent="0.15">
      <c r="A38" s="82" t="s">
        <v>200</v>
      </c>
      <c r="B38" s="116">
        <f>floors!$C$2</f>
        <v>40017</v>
      </c>
      <c r="C38" s="84" t="str">
        <f ca="1">VLOOKUP($B38,OFFSET([2]quests!$A$1,0,0,COUNTA([2]quests!$A:$A),MATCH(C$1,[2]quests!$1:$1,0)-MATCH($B$1,[2]quests!$1:$1,0)+1),MATCH(C$1,[2]quests!$1:$1,0)-MATCH($B$1,[2]quests!$1:$1,0)+1,FALSE)</f>
        <v>ベルゼブブ襲来！</v>
      </c>
      <c r="D38" s="84" t="str">
        <f ca="1">VLOOKUP($B38,OFFSET([2]quests!$A$1,0,0,COUNTA([2]quests!$A:$A),MATCH(D$1,[2]quests!$1:$1,0)-MATCH($B$1,[2]quests!$1:$1,0)+1),MATCH(D$1,[2]quests!$1:$1,0)-MATCH($B$1,[2]quests!$1:$1,0)+1,FALSE)</f>
        <v>降臨17</v>
      </c>
      <c r="E38" s="88">
        <v>3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降臨17</v>
      </c>
      <c r="H38" s="86">
        <v>0</v>
      </c>
      <c r="I38">
        <v>36</v>
      </c>
      <c r="J38" s="85" t="s">
        <v>127</v>
      </c>
      <c r="K38" s="117" t="str">
        <f>VLOOKUP(I38,[7]stage_hints!$A:$C,3,FALSE)</f>
        <v>タワーオブザクイーンのボス</v>
      </c>
      <c r="L38" s="118" t="str">
        <f>VLOOKUP(I38,[7]stage_hints!$A:$D,4,FALSE)</f>
        <v>「タワーオブザクイーン」最上階のボスは_x000D_15階の初回クリア報酬で獲得できるほか_x000D_その階にて低確率でドロップもします</v>
      </c>
      <c r="M38" s="57" t="s">
        <v>210</v>
      </c>
    </row>
    <row r="39" spans="1:13" x14ac:dyDescent="0.15">
      <c r="A39" s="82" t="s">
        <v>200</v>
      </c>
      <c r="B39" s="116">
        <f>floors!$C$2</f>
        <v>40017</v>
      </c>
      <c r="C39" s="84" t="str">
        <f ca="1">VLOOKUP($B39,OFFSET([2]quests!$A$1,0,0,COUNTA([2]quests!$A:$A),MATCH(C$1,[2]quests!$1:$1,0)-MATCH($B$1,[2]quests!$1:$1,0)+1),MATCH(C$1,[2]quests!$1:$1,0)-MATCH($B$1,[2]quests!$1:$1,0)+1,FALSE)</f>
        <v>ベルゼブブ襲来！</v>
      </c>
      <c r="D39" s="84" t="str">
        <f ca="1">VLOOKUP($B39,OFFSET([2]quests!$A$1,0,0,COUNTA([2]quests!$A:$A),MATCH(D$1,[2]quests!$1:$1,0)-MATCH($B$1,[2]quests!$1:$1,0)+1),MATCH(D$1,[2]quests!$1:$1,0)-MATCH($B$1,[2]quests!$1:$1,0)+1,FALSE)</f>
        <v>降臨17</v>
      </c>
      <c r="E39" s="88">
        <v>3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降臨17</v>
      </c>
      <c r="H39" s="86">
        <v>0</v>
      </c>
      <c r="I39">
        <v>37</v>
      </c>
      <c r="J39" s="85" t="s">
        <v>517</v>
      </c>
      <c r="K39" s="117" t="str">
        <f>VLOOKUP(I39,[7]stage_hints!$A:$C,3,FALSE)</f>
        <v>限界突破値の引き継ぎ</v>
      </c>
      <c r="L39" s="118" t="str">
        <f>VLOOKUP(I39,[7]stage_hints!$A:$D,4,FALSE)</f>
        <v>同じユニットを強化で合成すると_x000D_限界突破値を引き継げます（覚醒前後も可）</v>
      </c>
      <c r="M39" s="57" t="s">
        <v>518</v>
      </c>
    </row>
    <row r="40" spans="1:13" x14ac:dyDescent="0.15">
      <c r="A40" s="82" t="s">
        <v>200</v>
      </c>
      <c r="B40" s="116">
        <f>floors!$C$2</f>
        <v>40017</v>
      </c>
      <c r="C40" s="84" t="str">
        <f ca="1">VLOOKUP($B40,OFFSET([2]quests!$A$1,0,0,COUNTA([2]quests!$A:$A),MATCH(C$1,[2]quests!$1:$1,0)-MATCH($B$1,[2]quests!$1:$1,0)+1),MATCH(C$1,[2]quests!$1:$1,0)-MATCH($B$1,[2]quests!$1:$1,0)+1,FALSE)</f>
        <v>ベルゼブブ襲来！</v>
      </c>
      <c r="D40" s="84" t="str">
        <f ca="1">VLOOKUP($B40,OFFSET([2]quests!$A$1,0,0,COUNTA([2]quests!$A:$A),MATCH(D$1,[2]quests!$1:$1,0)-MATCH($B$1,[2]quests!$1:$1,0)+1),MATCH(D$1,[2]quests!$1:$1,0)-MATCH($B$1,[2]quests!$1:$1,0)+1,FALSE)</f>
        <v>降臨17</v>
      </c>
      <c r="E40" s="88">
        <v>3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降臨17</v>
      </c>
      <c r="H40" s="86">
        <v>0</v>
      </c>
      <c r="I40">
        <v>39</v>
      </c>
      <c r="J40" s="85" t="s">
        <v>127</v>
      </c>
      <c r="K40" s="117" t="str">
        <f>VLOOKUP(I40,[7]stage_hints!$A:$C,3,FALSE)</f>
        <v>システム適合者を確認</v>
      </c>
      <c r="L40" s="118" t="str">
        <f>VLOOKUP(I40,[7]stage_hints!$A:$D,4,FALSE)</f>
        <v>ALICEが 「アナタ」を呼んでいます</v>
      </c>
      <c r="M40" s="57" t="s">
        <v>210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2" activePane="bottomLeft" state="frozen"/>
      <selection pane="bottomLeft" activeCell="O17" sqref="O1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187</v>
      </c>
      <c r="B1" s="73" t="s">
        <v>150</v>
      </c>
      <c r="C1" s="78" t="s">
        <v>189</v>
      </c>
      <c r="D1" s="78" t="s">
        <v>33</v>
      </c>
      <c r="E1" s="73" t="s">
        <v>190</v>
      </c>
      <c r="F1" s="78" t="s">
        <v>18</v>
      </c>
      <c r="G1" s="78" t="s">
        <v>33</v>
      </c>
      <c r="H1" s="73" t="s">
        <v>192</v>
      </c>
      <c r="I1" s="90" t="s">
        <v>193</v>
      </c>
      <c r="J1" s="92" t="s">
        <v>194</v>
      </c>
      <c r="K1" s="80" t="s">
        <v>126</v>
      </c>
      <c r="L1" s="79" t="s">
        <v>186</v>
      </c>
      <c r="M1" s="93" t="s">
        <v>185</v>
      </c>
      <c r="N1" s="81" t="s">
        <v>195</v>
      </c>
    </row>
    <row r="2" spans="1:14" ht="42" x14ac:dyDescent="0.15">
      <c r="A2" s="82" t="s">
        <v>196</v>
      </c>
      <c r="B2" s="83">
        <f>floors!$C$2</f>
        <v>40017</v>
      </c>
      <c r="C2" s="84" t="str">
        <f ca="1">VLOOKUP($B2,OFFSET([2]quests!$A$1,0,0,COUNTA([2]quests!$A:$A),MATCH(C$1,[2]quests!$1:$1,0)-MATCH($B$1,[2]quests!$1:$1,0)+1),MATCH(C$1,[2]quests!$1:$1,0)-MATCH($B$1,[2]quests!$1:$1,0)+1,FALSE)</f>
        <v>ベルゼブブ襲来！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降臨17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降臨17</v>
      </c>
      <c r="H2" s="85">
        <v>1</v>
      </c>
      <c r="I2" s="91">
        <f>ROW()-1</f>
        <v>1</v>
      </c>
      <c r="J2" s="87" t="str">
        <f>B2&amp;TEXT(I2,"00")</f>
        <v>4001701</v>
      </c>
      <c r="K2" s="85" t="s">
        <v>197</v>
      </c>
      <c r="L2" s="88" t="s">
        <v>198</v>
      </c>
      <c r="M2" s="119" t="s">
        <v>521</v>
      </c>
      <c r="N2" s="57" t="s">
        <v>199</v>
      </c>
    </row>
    <row r="3" spans="1:14" ht="42" x14ac:dyDescent="0.15">
      <c r="A3" s="82" t="s">
        <v>196</v>
      </c>
      <c r="B3" s="83">
        <f>floors!$C$2</f>
        <v>40017</v>
      </c>
      <c r="C3" s="84" t="str">
        <f ca="1">VLOOKUP($B3,OFFSET([2]quests!$A$1,0,0,COUNTA([2]quests!$A:$A),MATCH(C$1,[2]quests!$1:$1,0)-MATCH($B$1,[2]quests!$1:$1,0)+1),MATCH(C$1,[2]quests!$1:$1,0)-MATCH($B$1,[2]quests!$1:$1,0)+1,FALSE)</f>
        <v>ベルゼブブ襲来！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降臨17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降臨17</v>
      </c>
      <c r="H3" s="85">
        <v>2</v>
      </c>
      <c r="I3" s="91">
        <f t="shared" ref="I3:I19" si="0">ROW()-1</f>
        <v>2</v>
      </c>
      <c r="J3" s="87" t="str">
        <f t="shared" ref="J3:J7" si="1">B3&amp;TEXT(I3,"00")</f>
        <v>4001702</v>
      </c>
      <c r="K3" s="85" t="s">
        <v>127</v>
      </c>
      <c r="L3" s="88" t="s">
        <v>198</v>
      </c>
      <c r="M3" s="119" t="s">
        <v>522</v>
      </c>
      <c r="N3" s="57" t="s">
        <v>199</v>
      </c>
    </row>
    <row r="4" spans="1:14" ht="42" x14ac:dyDescent="0.15">
      <c r="A4" s="82" t="s">
        <v>196</v>
      </c>
      <c r="B4" s="83">
        <f>floors!$C$2</f>
        <v>40017</v>
      </c>
      <c r="C4" s="84" t="str">
        <f ca="1">VLOOKUP($B4,OFFSET([2]quests!$A$1,0,0,COUNTA([2]quests!$A:$A),MATCH(C$1,[2]quests!$1:$1,0)-MATCH($B$1,[2]quests!$1:$1,0)+1),MATCH(C$1,[2]quests!$1:$1,0)-MATCH($B$1,[2]quests!$1:$1,0)+1,FALSE)</f>
        <v>ベルゼブブ襲来！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降臨17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降臨17</v>
      </c>
      <c r="H4" s="85">
        <v>2</v>
      </c>
      <c r="I4" s="91">
        <f t="shared" si="0"/>
        <v>3</v>
      </c>
      <c r="J4" s="87" t="str">
        <f t="shared" si="1"/>
        <v>4001703</v>
      </c>
      <c r="K4" s="85" t="s">
        <v>127</v>
      </c>
      <c r="L4" s="88" t="s">
        <v>198</v>
      </c>
      <c r="M4" s="119" t="s">
        <v>523</v>
      </c>
      <c r="N4" s="57" t="s">
        <v>199</v>
      </c>
    </row>
    <row r="5" spans="1:14" ht="42" x14ac:dyDescent="0.15">
      <c r="A5" s="82" t="s">
        <v>196</v>
      </c>
      <c r="B5" s="83">
        <f>floors!$C$2</f>
        <v>40017</v>
      </c>
      <c r="C5" s="84" t="str">
        <f ca="1">VLOOKUP($B5,OFFSET([2]quests!$A$1,0,0,COUNTA([2]quests!$A:$A),MATCH(C$1,[2]quests!$1:$1,0)-MATCH($B$1,[2]quests!$1:$1,0)+1),MATCH(C$1,[2]quests!$1:$1,0)-MATCH($B$1,[2]quests!$1:$1,0)+1,FALSE)</f>
        <v>ベルゼブブ襲来！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降臨17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降臨17</v>
      </c>
      <c r="H5" s="85">
        <v>3</v>
      </c>
      <c r="I5" s="91">
        <f t="shared" si="0"/>
        <v>4</v>
      </c>
      <c r="J5" s="87" t="str">
        <f t="shared" si="1"/>
        <v>4001704</v>
      </c>
      <c r="K5" s="85" t="s">
        <v>127</v>
      </c>
      <c r="L5" s="88" t="s">
        <v>198</v>
      </c>
      <c r="M5" s="119" t="s">
        <v>524</v>
      </c>
      <c r="N5" s="57" t="s">
        <v>199</v>
      </c>
    </row>
    <row r="6" spans="1:14" ht="42" x14ac:dyDescent="0.15">
      <c r="A6" s="82" t="s">
        <v>196</v>
      </c>
      <c r="B6" s="83">
        <f>floors!$C$2</f>
        <v>40017</v>
      </c>
      <c r="C6" s="84" t="str">
        <f ca="1">VLOOKUP($B6,OFFSET([2]quests!$A$1,0,0,COUNTA([2]quests!$A:$A),MATCH(C$1,[2]quests!$1:$1,0)-MATCH($B$1,[2]quests!$1:$1,0)+1),MATCH(C$1,[2]quests!$1:$1,0)-MATCH($B$1,[2]quests!$1:$1,0)+1,FALSE)</f>
        <v>ベルゼブブ襲来！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降臨17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降臨17</v>
      </c>
      <c r="H6" s="85">
        <v>3</v>
      </c>
      <c r="I6" s="91">
        <f t="shared" si="0"/>
        <v>5</v>
      </c>
      <c r="J6" s="87" t="str">
        <f t="shared" si="1"/>
        <v>4001705</v>
      </c>
      <c r="K6" s="85" t="s">
        <v>127</v>
      </c>
      <c r="L6" s="88" t="s">
        <v>198</v>
      </c>
      <c r="M6" s="119" t="s">
        <v>525</v>
      </c>
      <c r="N6" s="57" t="s">
        <v>199</v>
      </c>
    </row>
    <row r="7" spans="1:14" ht="42" x14ac:dyDescent="0.15">
      <c r="A7" s="82" t="s">
        <v>196</v>
      </c>
      <c r="B7" s="83">
        <f>floors!$C$2</f>
        <v>40017</v>
      </c>
      <c r="C7" s="84" t="str">
        <f ca="1">VLOOKUP($B7,OFFSET([2]quests!$A$1,0,0,COUNTA([2]quests!$A:$A),MATCH(C$1,[2]quests!$1:$1,0)-MATCH($B$1,[2]quests!$1:$1,0)+1),MATCH(C$1,[2]quests!$1:$1,0)-MATCH($B$1,[2]quests!$1:$1,0)+1,FALSE)</f>
        <v>ベルゼブブ襲来！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降臨17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【超絶級】ベルゼブブ襲来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降臨17</v>
      </c>
      <c r="H7" s="85">
        <v>3</v>
      </c>
      <c r="I7" s="91">
        <f t="shared" si="0"/>
        <v>6</v>
      </c>
      <c r="J7" s="87" t="str">
        <f t="shared" si="1"/>
        <v>4001706</v>
      </c>
      <c r="K7" s="85" t="s">
        <v>127</v>
      </c>
      <c r="L7" s="88" t="s">
        <v>198</v>
      </c>
      <c r="M7" s="119" t="s">
        <v>526</v>
      </c>
      <c r="N7" s="57" t="s">
        <v>199</v>
      </c>
    </row>
    <row r="8" spans="1:14" ht="42" x14ac:dyDescent="0.15">
      <c r="A8" s="82" t="s">
        <v>196</v>
      </c>
      <c r="B8" s="83">
        <f>floors!$C$2</f>
        <v>40017</v>
      </c>
      <c r="C8" s="84" t="str">
        <f ca="1">VLOOKUP($B8,OFFSET([2]quests!$A$1,0,0,COUNTA([2]quests!$A:$A),MATCH(C$1,[2]quests!$1:$1,0)-MATCH($B$1,[2]quests!$1:$1,0)+1),MATCH(C$1,[2]quests!$1:$1,0)-MATCH($B$1,[2]quests!$1:$1,0)+1,FALSE)</f>
        <v>ベルゼブブ襲来！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降臨17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降臨17</v>
      </c>
      <c r="H8" s="85">
        <v>1</v>
      </c>
      <c r="I8" s="91">
        <f>ROW()-1</f>
        <v>7</v>
      </c>
      <c r="J8" s="87" t="str">
        <f>B8&amp;TEXT(I8,"00")</f>
        <v>4001707</v>
      </c>
      <c r="K8" s="85" t="s">
        <v>197</v>
      </c>
      <c r="L8" s="88" t="s">
        <v>198</v>
      </c>
      <c r="M8" s="119" t="s">
        <v>521</v>
      </c>
      <c r="N8" s="57" t="s">
        <v>199</v>
      </c>
    </row>
    <row r="9" spans="1:14" ht="42" x14ac:dyDescent="0.15">
      <c r="A9" s="82" t="s">
        <v>196</v>
      </c>
      <c r="B9" s="83">
        <f>floors!$C$2</f>
        <v>40017</v>
      </c>
      <c r="C9" s="84" t="str">
        <f ca="1">VLOOKUP($B9,OFFSET([2]quests!$A$1,0,0,COUNTA([2]quests!$A:$A),MATCH(C$1,[2]quests!$1:$1,0)-MATCH($B$1,[2]quests!$1:$1,0)+1),MATCH(C$1,[2]quests!$1:$1,0)-MATCH($B$1,[2]quests!$1:$1,0)+1,FALSE)</f>
        <v>ベルゼブブ襲来！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降臨17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降臨17</v>
      </c>
      <c r="H9" s="85">
        <v>2</v>
      </c>
      <c r="I9" s="91">
        <f t="shared" si="0"/>
        <v>8</v>
      </c>
      <c r="J9" s="87" t="str">
        <f t="shared" ref="J9:J13" si="2">B9&amp;TEXT(I9,"00")</f>
        <v>4001708</v>
      </c>
      <c r="K9" s="85" t="s">
        <v>127</v>
      </c>
      <c r="L9" s="88" t="s">
        <v>198</v>
      </c>
      <c r="M9" s="119" t="s">
        <v>522</v>
      </c>
      <c r="N9" s="57" t="s">
        <v>199</v>
      </c>
    </row>
    <row r="10" spans="1:14" ht="42" x14ac:dyDescent="0.15">
      <c r="A10" s="82" t="s">
        <v>196</v>
      </c>
      <c r="B10" s="83">
        <f>floors!$C$2</f>
        <v>40017</v>
      </c>
      <c r="C10" s="84" t="str">
        <f ca="1">VLOOKUP($B10,OFFSET([2]quests!$A$1,0,0,COUNTA([2]quests!$A:$A),MATCH(C$1,[2]quests!$1:$1,0)-MATCH($B$1,[2]quests!$1:$1,0)+1),MATCH(C$1,[2]quests!$1:$1,0)-MATCH($B$1,[2]quests!$1:$1,0)+1,FALSE)</f>
        <v>ベルゼブブ襲来！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降臨17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降臨17</v>
      </c>
      <c r="H10" s="85">
        <v>2</v>
      </c>
      <c r="I10" s="91">
        <f t="shared" si="0"/>
        <v>9</v>
      </c>
      <c r="J10" s="87" t="str">
        <f t="shared" si="2"/>
        <v>4001709</v>
      </c>
      <c r="K10" s="85" t="s">
        <v>127</v>
      </c>
      <c r="L10" s="88" t="s">
        <v>198</v>
      </c>
      <c r="M10" s="119" t="s">
        <v>523</v>
      </c>
      <c r="N10" s="57" t="s">
        <v>199</v>
      </c>
    </row>
    <row r="11" spans="1:14" ht="42" x14ac:dyDescent="0.15">
      <c r="A11" s="82" t="s">
        <v>196</v>
      </c>
      <c r="B11" s="83">
        <f>floors!$C$2</f>
        <v>40017</v>
      </c>
      <c r="C11" s="84" t="str">
        <f ca="1">VLOOKUP($B11,OFFSET([2]quests!$A$1,0,0,COUNTA([2]quests!$A:$A),MATCH(C$1,[2]quests!$1:$1,0)-MATCH($B$1,[2]quests!$1:$1,0)+1),MATCH(C$1,[2]quests!$1:$1,0)-MATCH($B$1,[2]quests!$1:$1,0)+1,FALSE)</f>
        <v>ベルゼブブ襲来！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降臨17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降臨17</v>
      </c>
      <c r="H11" s="85">
        <v>3</v>
      </c>
      <c r="I11" s="91">
        <f t="shared" si="0"/>
        <v>10</v>
      </c>
      <c r="J11" s="87" t="str">
        <f t="shared" si="2"/>
        <v>4001710</v>
      </c>
      <c r="K11" s="85" t="s">
        <v>127</v>
      </c>
      <c r="L11" s="88" t="s">
        <v>198</v>
      </c>
      <c r="M11" s="119" t="s">
        <v>524</v>
      </c>
      <c r="N11" s="57" t="s">
        <v>199</v>
      </c>
    </row>
    <row r="12" spans="1:14" ht="42" x14ac:dyDescent="0.15">
      <c r="A12" s="82" t="s">
        <v>196</v>
      </c>
      <c r="B12" s="83">
        <f>floors!$C$2</f>
        <v>40017</v>
      </c>
      <c r="C12" s="84" t="str">
        <f ca="1">VLOOKUP($B12,OFFSET([2]quests!$A$1,0,0,COUNTA([2]quests!$A:$A),MATCH(C$1,[2]quests!$1:$1,0)-MATCH($B$1,[2]quests!$1:$1,0)+1),MATCH(C$1,[2]quests!$1:$1,0)-MATCH($B$1,[2]quests!$1:$1,0)+1,FALSE)</f>
        <v>ベルゼブブ襲来！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降臨17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降臨17</v>
      </c>
      <c r="H12" s="85">
        <v>3</v>
      </c>
      <c r="I12" s="91">
        <f t="shared" si="0"/>
        <v>11</v>
      </c>
      <c r="J12" s="87" t="str">
        <f t="shared" si="2"/>
        <v>4001711</v>
      </c>
      <c r="K12" s="85" t="s">
        <v>127</v>
      </c>
      <c r="L12" s="88" t="s">
        <v>198</v>
      </c>
      <c r="M12" s="119" t="s">
        <v>525</v>
      </c>
      <c r="N12" s="57" t="s">
        <v>199</v>
      </c>
    </row>
    <row r="13" spans="1:14" ht="42" x14ac:dyDescent="0.15">
      <c r="A13" s="82" t="s">
        <v>196</v>
      </c>
      <c r="B13" s="83">
        <f>floors!$C$2</f>
        <v>40017</v>
      </c>
      <c r="C13" s="84" t="str">
        <f ca="1">VLOOKUP($B13,OFFSET([2]quests!$A$1,0,0,COUNTA([2]quests!$A:$A),MATCH(C$1,[2]quests!$1:$1,0)-MATCH($B$1,[2]quests!$1:$1,0)+1),MATCH(C$1,[2]quests!$1:$1,0)-MATCH($B$1,[2]quests!$1:$1,0)+1,FALSE)</f>
        <v>ベルゼブブ襲来！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降臨17</v>
      </c>
      <c r="E13" s="85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【ウィザード級】ベルゼブブ襲来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降臨17</v>
      </c>
      <c r="H13" s="85">
        <v>3</v>
      </c>
      <c r="I13" s="91">
        <f t="shared" si="0"/>
        <v>12</v>
      </c>
      <c r="J13" s="87" t="str">
        <f t="shared" si="2"/>
        <v>4001712</v>
      </c>
      <c r="K13" s="85" t="s">
        <v>127</v>
      </c>
      <c r="L13" s="88" t="s">
        <v>198</v>
      </c>
      <c r="M13" s="119" t="s">
        <v>526</v>
      </c>
      <c r="N13" s="57" t="s">
        <v>199</v>
      </c>
    </row>
    <row r="14" spans="1:14" ht="42" x14ac:dyDescent="0.15">
      <c r="A14" s="82" t="s">
        <v>196</v>
      </c>
      <c r="B14" s="83">
        <f>floors!$C$2</f>
        <v>40017</v>
      </c>
      <c r="C14" s="84" t="str">
        <f ca="1">VLOOKUP($B14,OFFSET([2]quests!$A$1,0,0,COUNTA([2]quests!$A:$A),MATCH(C$1,[2]quests!$1:$1,0)-MATCH($B$1,[2]quests!$1:$1,0)+1),MATCH(C$1,[2]quests!$1:$1,0)-MATCH($B$1,[2]quests!$1:$1,0)+1,FALSE)</f>
        <v>ベルゼブブ襲来！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降臨17</v>
      </c>
      <c r="E14" s="85">
        <v>3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降臨17</v>
      </c>
      <c r="H14" s="85">
        <v>1</v>
      </c>
      <c r="I14" s="91">
        <f>ROW()-1</f>
        <v>13</v>
      </c>
      <c r="J14" s="87" t="str">
        <f>B14&amp;TEXT(I14,"00")</f>
        <v>4001713</v>
      </c>
      <c r="K14" s="85" t="s">
        <v>197</v>
      </c>
      <c r="L14" s="88" t="s">
        <v>198</v>
      </c>
      <c r="M14" s="119" t="s">
        <v>521</v>
      </c>
      <c r="N14" s="57" t="s">
        <v>199</v>
      </c>
    </row>
    <row r="15" spans="1:14" ht="42" x14ac:dyDescent="0.15">
      <c r="A15" s="82" t="s">
        <v>196</v>
      </c>
      <c r="B15" s="83">
        <f>floors!$C$2</f>
        <v>40017</v>
      </c>
      <c r="C15" s="84" t="str">
        <f ca="1">VLOOKUP($B15,OFFSET([2]quests!$A$1,0,0,COUNTA([2]quests!$A:$A),MATCH(C$1,[2]quests!$1:$1,0)-MATCH($B$1,[2]quests!$1:$1,0)+1),MATCH(C$1,[2]quests!$1:$1,0)-MATCH($B$1,[2]quests!$1:$1,0)+1,FALSE)</f>
        <v>ベルゼブブ襲来！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降臨17</v>
      </c>
      <c r="E15" s="85">
        <v>3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降臨17</v>
      </c>
      <c r="H15" s="85">
        <v>2</v>
      </c>
      <c r="I15" s="91">
        <f t="shared" si="0"/>
        <v>14</v>
      </c>
      <c r="J15" s="87" t="str">
        <f t="shared" ref="J15:J19" si="3">B15&amp;TEXT(I15,"00")</f>
        <v>4001714</v>
      </c>
      <c r="K15" s="85" t="s">
        <v>127</v>
      </c>
      <c r="L15" s="88" t="s">
        <v>198</v>
      </c>
      <c r="M15" s="119" t="s">
        <v>522</v>
      </c>
      <c r="N15" s="57" t="s">
        <v>199</v>
      </c>
    </row>
    <row r="16" spans="1:14" ht="42" x14ac:dyDescent="0.15">
      <c r="A16" s="82" t="s">
        <v>196</v>
      </c>
      <c r="B16" s="83">
        <f>floors!$C$2</f>
        <v>40017</v>
      </c>
      <c r="C16" s="84" t="str">
        <f ca="1">VLOOKUP($B16,OFFSET([2]quests!$A$1,0,0,COUNTA([2]quests!$A:$A),MATCH(C$1,[2]quests!$1:$1,0)-MATCH($B$1,[2]quests!$1:$1,0)+1),MATCH(C$1,[2]quests!$1:$1,0)-MATCH($B$1,[2]quests!$1:$1,0)+1,FALSE)</f>
        <v>ベルゼブブ襲来！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降臨17</v>
      </c>
      <c r="E16" s="85">
        <v>3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降臨17</v>
      </c>
      <c r="H16" s="85">
        <v>2</v>
      </c>
      <c r="I16" s="91">
        <f t="shared" si="0"/>
        <v>15</v>
      </c>
      <c r="J16" s="87" t="str">
        <f t="shared" si="3"/>
        <v>4001715</v>
      </c>
      <c r="K16" s="85" t="s">
        <v>127</v>
      </c>
      <c r="L16" s="88" t="s">
        <v>198</v>
      </c>
      <c r="M16" s="119" t="s">
        <v>523</v>
      </c>
      <c r="N16" s="57" t="s">
        <v>199</v>
      </c>
    </row>
    <row r="17" spans="1:14" ht="42" x14ac:dyDescent="0.15">
      <c r="A17" s="82" t="s">
        <v>196</v>
      </c>
      <c r="B17" s="83">
        <f>floors!$C$2</f>
        <v>40017</v>
      </c>
      <c r="C17" s="84" t="str">
        <f ca="1">VLOOKUP($B17,OFFSET([2]quests!$A$1,0,0,COUNTA([2]quests!$A:$A),MATCH(C$1,[2]quests!$1:$1,0)-MATCH($B$1,[2]quests!$1:$1,0)+1),MATCH(C$1,[2]quests!$1:$1,0)-MATCH($B$1,[2]quests!$1:$1,0)+1,FALSE)</f>
        <v>ベルゼブブ襲来！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降臨17</v>
      </c>
      <c r="E17" s="85">
        <v>3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降臨17</v>
      </c>
      <c r="H17" s="85">
        <v>3</v>
      </c>
      <c r="I17" s="91">
        <f t="shared" si="0"/>
        <v>16</v>
      </c>
      <c r="J17" s="87" t="str">
        <f t="shared" si="3"/>
        <v>4001716</v>
      </c>
      <c r="K17" s="85" t="s">
        <v>127</v>
      </c>
      <c r="L17" s="88" t="s">
        <v>198</v>
      </c>
      <c r="M17" s="119" t="s">
        <v>524</v>
      </c>
      <c r="N17" s="57" t="s">
        <v>199</v>
      </c>
    </row>
    <row r="18" spans="1:14" ht="42" x14ac:dyDescent="0.15">
      <c r="A18" s="82" t="s">
        <v>196</v>
      </c>
      <c r="B18" s="83">
        <f>floors!$C$2</f>
        <v>40017</v>
      </c>
      <c r="C18" s="84" t="str">
        <f ca="1">VLOOKUP($B18,OFFSET([2]quests!$A$1,0,0,COUNTA([2]quests!$A:$A),MATCH(C$1,[2]quests!$1:$1,0)-MATCH($B$1,[2]quests!$1:$1,0)+1),MATCH(C$1,[2]quests!$1:$1,0)-MATCH($B$1,[2]quests!$1:$1,0)+1,FALSE)</f>
        <v>ベルゼブブ襲来！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降臨17</v>
      </c>
      <c r="E18" s="85">
        <v>3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降臨17</v>
      </c>
      <c r="H18" s="85">
        <v>3</v>
      </c>
      <c r="I18" s="91">
        <f t="shared" si="0"/>
        <v>17</v>
      </c>
      <c r="J18" s="87" t="str">
        <f t="shared" si="3"/>
        <v>4001717</v>
      </c>
      <c r="K18" s="85" t="s">
        <v>127</v>
      </c>
      <c r="L18" s="88" t="s">
        <v>198</v>
      </c>
      <c r="M18" s="119" t="s">
        <v>525</v>
      </c>
      <c r="N18" s="57" t="s">
        <v>199</v>
      </c>
    </row>
    <row r="19" spans="1:14" ht="42" x14ac:dyDescent="0.15">
      <c r="A19" s="82" t="s">
        <v>196</v>
      </c>
      <c r="B19" s="83">
        <f>floors!$C$2</f>
        <v>40017</v>
      </c>
      <c r="C19" s="84" t="str">
        <f ca="1">VLOOKUP($B19,OFFSET([2]quests!$A$1,0,0,COUNTA([2]quests!$A:$A),MATCH(C$1,[2]quests!$1:$1,0)-MATCH($B$1,[2]quests!$1:$1,0)+1),MATCH(C$1,[2]quests!$1:$1,0)-MATCH($B$1,[2]quests!$1:$1,0)+1,FALSE)</f>
        <v>ベルゼブブ襲来！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降臨17</v>
      </c>
      <c r="E19" s="85">
        <v>3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【ノーコンテニュー】ベルゼブブ襲来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降臨17</v>
      </c>
      <c r="H19" s="85">
        <v>3</v>
      </c>
      <c r="I19" s="91">
        <f t="shared" si="0"/>
        <v>18</v>
      </c>
      <c r="J19" s="87" t="str">
        <f t="shared" si="3"/>
        <v>4001718</v>
      </c>
      <c r="K19" s="85" t="s">
        <v>127</v>
      </c>
      <c r="L19" s="88" t="s">
        <v>198</v>
      </c>
      <c r="M19" s="119" t="s">
        <v>526</v>
      </c>
      <c r="N19" s="57" t="s">
        <v>199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2017-03-15T06:48:42Z</dcterms:modified>
</cp:coreProperties>
</file>