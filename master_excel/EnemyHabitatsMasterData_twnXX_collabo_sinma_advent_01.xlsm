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1300" yWindow="1960" windowWidth="29620" windowHeight="171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22" l="1"/>
  <c r="G4" i="22"/>
  <c r="F4" i="22"/>
  <c r="D4" i="22"/>
  <c r="C4" i="22"/>
  <c r="A4" i="22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W9" i="7"/>
  <c r="U9" i="7"/>
  <c r="W8" i="7"/>
  <c r="U8" i="7"/>
  <c r="W7" i="7"/>
  <c r="U7" i="7"/>
  <c r="W6" i="7"/>
  <c r="U6" i="7"/>
  <c r="V11" i="1"/>
  <c r="T11" i="1"/>
  <c r="V10" i="1"/>
  <c r="T10" i="1"/>
  <c r="V9" i="1"/>
  <c r="T9" i="1"/>
  <c r="T8" i="1"/>
  <c r="V8" i="1"/>
  <c r="V7" i="1"/>
  <c r="T7" i="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G37" i="10"/>
  <c r="Y9" i="7"/>
  <c r="R9" i="7"/>
  <c r="Q9" i="7"/>
  <c r="P9" i="7"/>
  <c r="O9" i="7"/>
  <c r="N9" i="7"/>
  <c r="H9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9" i="7"/>
  <c r="I9" i="7"/>
  <c r="D9" i="7"/>
  <c r="F9" i="7"/>
  <c r="E9" i="7"/>
  <c r="A9" i="7"/>
  <c r="Y8" i="7"/>
  <c r="R8" i="7"/>
  <c r="Q8" i="7"/>
  <c r="P8" i="7"/>
  <c r="O8" i="7"/>
  <c r="N8" i="7"/>
  <c r="H8" i="7"/>
  <c r="J8" i="7"/>
  <c r="I8" i="7"/>
  <c r="D8" i="7"/>
  <c r="F8" i="7"/>
  <c r="E8" i="7"/>
  <c r="A8" i="7"/>
  <c r="Y7" i="7"/>
  <c r="R7" i="7"/>
  <c r="Q7" i="7"/>
  <c r="P7" i="7"/>
  <c r="O7" i="7"/>
  <c r="N7" i="7"/>
  <c r="H7" i="7"/>
  <c r="J7" i="7"/>
  <c r="I7" i="7"/>
  <c r="D7" i="7"/>
  <c r="F7" i="7"/>
  <c r="E7" i="7"/>
  <c r="A7" i="7"/>
  <c r="Y6" i="7"/>
  <c r="R6" i="7"/>
  <c r="Q6" i="7"/>
  <c r="P6" i="7"/>
  <c r="O6" i="7"/>
  <c r="N6" i="7"/>
  <c r="H6" i="7"/>
  <c r="J6" i="7"/>
  <c r="I6" i="7"/>
  <c r="D6" i="7"/>
  <c r="F6" i="7"/>
  <c r="E6" i="7"/>
  <c r="A6" i="7"/>
  <c r="AD11" i="1"/>
  <c r="AF11" i="1"/>
  <c r="AI11" i="1"/>
  <c r="AG11" i="1"/>
  <c r="AE11" i="1"/>
  <c r="E117" i="9"/>
  <c r="X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E97" i="9"/>
  <c r="X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E84" i="9"/>
  <c r="X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E76" i="9"/>
  <c r="X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E72" i="9"/>
  <c r="X7" i="1"/>
  <c r="Q7" i="1"/>
  <c r="P7" i="1"/>
  <c r="O7" i="1"/>
  <c r="N7" i="1"/>
  <c r="M7" i="1"/>
  <c r="H7" i="1"/>
  <c r="J7" i="1"/>
  <c r="I7" i="1"/>
  <c r="D7" i="1"/>
  <c r="F7" i="1"/>
  <c r="E7" i="1"/>
  <c r="A7" i="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D72" i="9"/>
  <c r="A72" i="9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20" i="10"/>
  <c r="T120" i="10"/>
  <c r="W120" i="10"/>
  <c r="V120" i="10"/>
  <c r="X120" i="10"/>
  <c r="U120" i="10"/>
  <c r="Y12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W5" i="7"/>
  <c r="V6" i="1"/>
  <c r="U5" i="7"/>
  <c r="T6" i="1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44" i="10"/>
  <c r="T44" i="10"/>
  <c r="W44" i="10"/>
  <c r="V44" i="10"/>
  <c r="X44" i="10"/>
  <c r="U44" i="10"/>
  <c r="Y44" i="10"/>
  <c r="M55" i="10"/>
  <c r="N55" i="10"/>
  <c r="Q55" i="10"/>
  <c r="P55" i="10"/>
  <c r="R55" i="10"/>
  <c r="O55" i="10"/>
  <c r="S55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13" i="10"/>
  <c r="T13" i="10"/>
  <c r="W13" i="10"/>
  <c r="V13" i="10"/>
  <c r="X13" i="10"/>
  <c r="U13" i="10"/>
  <c r="Y13" i="10"/>
  <c r="M26" i="10"/>
  <c r="M57" i="10"/>
  <c r="N57" i="10"/>
  <c r="Q57" i="10"/>
  <c r="P57" i="10"/>
  <c r="R57" i="10"/>
  <c r="O57" i="10"/>
  <c r="S57" i="10"/>
  <c r="M47" i="10"/>
  <c r="N47" i="10"/>
  <c r="Q47" i="10"/>
  <c r="P47" i="10"/>
  <c r="R47" i="10"/>
  <c r="O47" i="10"/>
  <c r="S47" i="10"/>
  <c r="M36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24" i="10"/>
  <c r="T24" i="10"/>
  <c r="W24" i="10"/>
  <c r="V24" i="10"/>
  <c r="X24" i="10"/>
  <c r="U24" i="10"/>
  <c r="Y24" i="10"/>
  <c r="M56" i="10"/>
  <c r="N56" i="10"/>
  <c r="Q56" i="10"/>
  <c r="P56" i="10"/>
  <c r="R56" i="10"/>
  <c r="O56" i="10"/>
  <c r="S56" i="10"/>
  <c r="M46" i="10"/>
  <c r="N46" i="10"/>
  <c r="Q46" i="10"/>
  <c r="P46" i="10"/>
  <c r="R46" i="10"/>
  <c r="O46" i="10"/>
  <c r="S46" i="10"/>
  <c r="M35" i="10"/>
  <c r="N35" i="10"/>
  <c r="Q35" i="10"/>
  <c r="P35" i="10"/>
  <c r="R35" i="10"/>
  <c r="O35" i="10"/>
  <c r="S35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W4" i="7"/>
  <c r="W3" i="7"/>
  <c r="W2" i="7"/>
  <c r="U4" i="7"/>
  <c r="U3" i="7"/>
  <c r="U2" i="7"/>
  <c r="V5" i="1"/>
  <c r="V3" i="1"/>
  <c r="V4" i="1"/>
  <c r="V2" i="1"/>
  <c r="T5" i="1"/>
  <c r="T4" i="1"/>
  <c r="T3" i="1"/>
  <c r="T2" i="1"/>
  <c r="H9" i="2"/>
  <c r="E9" i="2"/>
  <c r="D9" i="2"/>
  <c r="H2" i="1"/>
  <c r="H3" i="1"/>
  <c r="H4" i="1"/>
  <c r="H5" i="1"/>
  <c r="H6" i="1"/>
  <c r="B9" i="2"/>
  <c r="H8" i="2"/>
  <c r="E8" i="2"/>
  <c r="D8" i="2"/>
  <c r="B8" i="2"/>
  <c r="H7" i="2"/>
  <c r="E7" i="2"/>
  <c r="D7" i="2"/>
  <c r="B7" i="2"/>
  <c r="H6" i="2"/>
  <c r="E6" i="2"/>
  <c r="D6" i="2"/>
  <c r="B6" i="2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J68" i="11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20" i="10"/>
  <c r="T20" i="10"/>
  <c r="W20" i="10"/>
  <c r="V20" i="10"/>
  <c r="X20" i="10"/>
  <c r="U20" i="10"/>
  <c r="Y20" i="10"/>
  <c r="M31" i="10"/>
  <c r="M41" i="10"/>
  <c r="M52" i="10"/>
  <c r="N52" i="10"/>
  <c r="Q52" i="10"/>
  <c r="P52" i="10"/>
  <c r="R52" i="10"/>
  <c r="O52" i="10"/>
  <c r="S52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T57" i="10"/>
  <c r="W57" i="10"/>
  <c r="V57" i="10"/>
  <c r="X57" i="10"/>
  <c r="U57" i="10"/>
  <c r="Y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5" i="7"/>
  <c r="R5" i="7"/>
  <c r="Q5" i="7"/>
  <c r="P5" i="7"/>
  <c r="O5" i="7"/>
  <c r="N5" i="7"/>
  <c r="H5" i="7"/>
  <c r="J5" i="7"/>
  <c r="I5" i="7"/>
  <c r="D5" i="7"/>
  <c r="F5" i="7"/>
  <c r="E5" i="7"/>
  <c r="A5" i="7"/>
  <c r="Y4" i="7"/>
  <c r="R4" i="7"/>
  <c r="Q4" i="7"/>
  <c r="P4" i="7"/>
  <c r="O4" i="7"/>
  <c r="N4" i="7"/>
  <c r="H4" i="7"/>
  <c r="J4" i="7"/>
  <c r="I4" i="7"/>
  <c r="D4" i="7"/>
  <c r="F4" i="7"/>
  <c r="E4" i="7"/>
  <c r="A4" i="7"/>
  <c r="Y3" i="7"/>
  <c r="R3" i="7"/>
  <c r="Q3" i="7"/>
  <c r="P3" i="7"/>
  <c r="O3" i="7"/>
  <c r="N3" i="7"/>
  <c r="H3" i="7"/>
  <c r="J3" i="7"/>
  <c r="I3" i="7"/>
  <c r="D3" i="7"/>
  <c r="F3" i="7"/>
  <c r="E3" i="7"/>
  <c r="A3" i="7"/>
  <c r="AD6" i="1"/>
  <c r="AF6" i="1"/>
  <c r="AI6" i="1"/>
  <c r="AG6" i="1"/>
  <c r="AE6" i="1"/>
  <c r="E2" i="9"/>
  <c r="X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Q3" i="1"/>
  <c r="P3" i="1"/>
  <c r="O3" i="1"/>
  <c r="N3" i="1"/>
  <c r="M3" i="1"/>
  <c r="J3" i="1"/>
  <c r="I3" i="1"/>
  <c r="D3" i="1"/>
  <c r="F3" i="1"/>
  <c r="E3" i="1"/>
  <c r="A3" i="1"/>
  <c r="H5" i="2"/>
  <c r="E5" i="2"/>
  <c r="D5" i="2"/>
  <c r="B5" i="2"/>
  <c r="H4" i="2"/>
  <c r="E4" i="2"/>
  <c r="D4" i="2"/>
  <c r="B4" i="2"/>
  <c r="H3" i="2"/>
  <c r="E3" i="2"/>
  <c r="D3" i="2"/>
  <c r="B3" i="2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<sst xmlns="http://schemas.openxmlformats.org/spreadsheetml/2006/main" count="1532" uniqueCount="451">
  <si>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</si>
  <si>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</si>
  <si>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</si>
  <si>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</si>
  <si>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</si>
  <si>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</si>
  <si>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</si>
  <si>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</si>
  <si>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</si>
  <si>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</si>
  <si>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</si>
  <si>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</si>
  <si>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</si>
  <si>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</si>
  <si>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</si>
  <si>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</si>
  <si>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</si>
  <si>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</si>
  <si>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</si>
  <si>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</si>
  <si>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</si>
  <si>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</si>
  <si>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</si>
  <si>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</si>
  <si>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</si>
  <si>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</si>
  <si>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</si>
  <si>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</si>
  <si>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</si>
  <si>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</si>
  <si>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</si>
  <si>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</si>
  <si>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</si>
  <si>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</si>
  <si>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</si>
  <si>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</si>
  <si>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</si>
  <si>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</si>
  <si>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</si>
  <si>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</si>
  <si>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</si>
  <si>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</si>
  <si>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</si>
  <si>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</si>
  <si>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</si>
  <si>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</si>
  <si>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</si>
  <si>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</si>
  <si>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</si>
  <si>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</si>
  <si>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</si>
  <si>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</si>
  <si>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</si>
  <si>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</si>
  <si>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</si>
  <si>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</si>
  <si>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</si>
  <si>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</si>
  <si>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</si>
  <si>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</si>
  <si>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</si>
  <si>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</si>
  <si>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</si>
  <si>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</si>
  <si>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</si>
  <si>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</si>
  <si>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</si>
  <si>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</si>
  <si>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</si>
  <si>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</si>
  <si>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</si>
  <si>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</si>
  <si>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</si>
  <si>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</si>
  <si>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</si>
  <si>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</si>
  <si>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</si>
  <si>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</si>
  <si>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</si>
  <si>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</si>
  <si>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</si>
  <si>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</si>
  <si>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</si>
  <si>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</si>
  <si>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</si>
  <si>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</si>
  <si>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</si>
  <si>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</si>
  <si>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</si>
  <si>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</si>
  <si>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</si>
  <si>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</si>
  <si>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</si>
  <si>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</si>
  <si>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</si>
  <si>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</si>
  <si>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</si>
  <si>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</si>
  <si>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</si>
  <si>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</si>
  <si>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</si>
  <si>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</si>
  <si>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</si>
  <si>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</si>
  <si>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</si>
  <si>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</si>
  <si>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</si>
  <si>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</si>
  <si>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</si>
  <si>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</si>
  <si>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</si>
  <si>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</si>
  <si>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</si>
  <si>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</si>
  <si>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</si>
  <si>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</si>
  <si>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</si>
  <si>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</si>
  <si>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</si>
  <si>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</si>
  <si>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</si>
  <si>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</si>
  <si>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</si>
  <si>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</si>
  <si>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</si>
  <si>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</si>
  <si>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</si>
  <si>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</si>
  <si>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</si>
  <si>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</si>
  <si>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</si>
  <si>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</si>
  <si>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</si>
  <si>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</si>
  <si>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</si>
  <si>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</si>
  <si>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</si>
  <si>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</si>
  <si>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</si>
  <si>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</si>
  <si>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</si>
  <si>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</si>
  <si>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</si>
  <si>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</si>
  <si>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</si>
  <si>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</si>
  <si>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</si>
  <si>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</si>
  <si>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</si>
  <si>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</si>
  <si>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</si>
  <si>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</si>
  <si>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</si>
  <si>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</si>
  <si>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</si>
  <si>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</si>
  <si>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</si>
  <si>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</si>
  <si>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</si>
  <si>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</si>
  <si>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</si>
  <si>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</si>
  <si>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</si>
  <si>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</si>
  <si>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</si>
  <si>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</si>
  <si>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</si>
  <si>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</si>
  <si>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</si>
  <si>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</si>
  <si>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</si>
  <si>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</si>
  <si>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</si>
  <si>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</si>
  <si>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</si>
  <si>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</si>
  <si>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</si>
  <si>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</si>
  <si>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</si>
  <si>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</si>
  <si>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</si>
  <si>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</si>
  <si>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</si>
  <si>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</si>
  <si>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</si>
  <si>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</si>
  <si>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</si>
  <si>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</si>
  <si>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</si>
  <si>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</si>
  <si>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</si>
  <si>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</si>
  <si>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</si>
  <si>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</si>
  <si>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</si>
  <si>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</si>
  <si>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</si>
  <si>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</si>
  <si>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</si>
  <si>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</si>
  <si>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</si>
  <si>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</si>
  <si>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</si>
  <si>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</si>
  <si>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</si>
  <si>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</si>
  <si>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</si>
  <si>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</si>
  <si>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</si>
  <si>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</si>
  <si>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</si>
  <si>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</si>
  <si>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</si>
  <si>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</si>
  <si>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</si>
  <si>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</si>
  <si>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</si>
  <si>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</si>
  <si>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</si>
  <si>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</si>
  <si>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</si>
  <si>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</si>
  <si>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</si>
  <si>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</si>
  <si>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</si>
  <si>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</si>
  <si>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</si>
  <si>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</si>
  <si>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</si>
  <si>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</si>
  <si>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</si>
  <si>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</si>
  <si>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</si>
  <si>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</si>
  <si>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</si>
  <si>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</si>
  <si>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</si>
  <si>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</si>
  <si>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</si>
  <si>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</si>
  <si>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</si>
  <si>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</si>
  <si>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</si>
  <si>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</si>
  <si>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</si>
  <si>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</si>
  <si>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</si>
  <si>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</si>
  <si>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</si>
  <si>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</si>
  <si>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</si>
  <si>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</si>
  <si>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</si>
  <si>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</si>
  <si>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</si>
  <si>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[effect:enemy_message, val1:1.2, val2:1.2]</t>
    <phoneticPr fontId="5"/>
  </si>
  <si>
    <t>なんだあの魔女は…</t>
    <phoneticPr fontId="5"/>
  </si>
  <si>
    <t>クリティカル！</t>
    <phoneticPr fontId="5"/>
  </si>
  <si>
    <t>あっちに行け！</t>
    <phoneticPr fontId="5"/>
  </si>
  <si>
    <t>すまない、誤解をしていたようだ…</t>
    <rPh sb="5" eb="7">
      <t>ゴカイヲ</t>
    </rPh>
    <phoneticPr fontId="5"/>
  </si>
  <si>
    <t>！　あの魔女の仲間か！？</t>
    <rPh sb="7" eb="9">
      <t>ナカマカ</t>
    </rPh>
    <phoneticPr fontId="5"/>
  </si>
  <si>
    <t>何かを言いたそうにしている</t>
    <rPh sb="0" eb="1">
      <t>ナニカヲ</t>
    </rPh>
    <rPh sb="3" eb="4">
      <t>イイタソウニ</t>
    </rPh>
    <phoneticPr fontId="5"/>
  </si>
  <si>
    <t>(表示しない)</t>
    <rPh sb="1" eb="3">
      <t>ヒョウジシナイ</t>
    </rPh>
    <phoneticPr fontId="5"/>
  </si>
  <si>
    <t>青パネルを吸収して攻撃(最大5個)</t>
    <rPh sb="0" eb="1">
      <t>アオパネルヲ</t>
    </rPh>
    <rPh sb="5" eb="7">
      <t>キュウ</t>
    </rPh>
    <rPh sb="9" eb="11">
      <t>コウゲキ</t>
    </rPh>
    <rPh sb="12" eb="14">
      <t>サイダイ</t>
    </rPh>
    <rPh sb="15" eb="16">
      <t>コ</t>
    </rPh>
    <phoneticPr fontId="5"/>
  </si>
  <si>
    <t>2ターン青パネルを吸収して防御力UP(最大5個)</t>
    <rPh sb="4" eb="5">
      <t>アオパネルヲ</t>
    </rPh>
    <rPh sb="9" eb="11">
      <t>キュウシュウシテ</t>
    </rPh>
    <rPh sb="13" eb="16">
      <t>ボウギョ</t>
    </rPh>
    <phoneticPr fontId="5"/>
  </si>
  <si>
    <t>次のターンお邪魔パネルを吸収して全体攻撃</t>
    <rPh sb="0" eb="1">
      <t>ツギノターn</t>
    </rPh>
    <rPh sb="12" eb="14">
      <t>キュウシュウシテ</t>
    </rPh>
    <rPh sb="16" eb="20">
      <t>ゼンタイコウゲキ</t>
    </rPh>
    <phoneticPr fontId="5"/>
  </si>
  <si>
    <t>狙いを定めている</t>
    <rPh sb="0" eb="1">
      <t>ネライヲ</t>
    </rPh>
    <rPh sb="3" eb="4">
      <t>サダメテイル</t>
    </rPh>
    <phoneticPr fontId="5"/>
  </si>
  <si>
    <t>トルネードホーン</t>
    <phoneticPr fontId="5"/>
  </si>
  <si>
    <t>スタンプジャマー</t>
    <phoneticPr fontId="5"/>
  </si>
  <si>
    <t>お邪魔パネルを吸収して全体攻撃</t>
    <rPh sb="7" eb="9">
      <t>キュウシュウシテ</t>
    </rPh>
    <rPh sb="11" eb="15">
      <t>ゼンタイコウゲキ</t>
    </rPh>
    <phoneticPr fontId="5"/>
  </si>
  <si>
    <t>助かったヨー！</t>
    <rPh sb="0" eb="1">
      <t>tasukattayo-</t>
    </rPh>
    <phoneticPr fontId="5"/>
  </si>
  <si>
    <t>全体攻撃</t>
    <rPh sb="0" eb="4">
      <t>ゼンタイコウゲキ</t>
    </rPh>
    <phoneticPr fontId="5"/>
  </si>
  <si>
    <t>ターゲット・ワン</t>
    <phoneticPr fontId="5"/>
  </si>
  <si>
    <t>お邪魔パネルを吸収して攻撃</t>
    <rPh sb="11" eb="13">
      <t>コウゲキ</t>
    </rPh>
    <phoneticPr fontId="5"/>
  </si>
  <si>
    <t>お邪魔パネルを吸収して攻撃力UP</t>
    <rPh sb="7" eb="9">
      <t>キュウシュウシテ</t>
    </rPh>
    <rPh sb="11" eb="14">
      <t>コウゲキリョク</t>
    </rPh>
    <phoneticPr fontId="5"/>
  </si>
  <si>
    <t>装填急がないと…</t>
    <rPh sb="0" eb="2">
      <t>ソウテn</t>
    </rPh>
    <rPh sb="2" eb="3">
      <t>イソゲー</t>
    </rPh>
    <phoneticPr fontId="5"/>
  </si>
  <si>
    <t>攻めるぜ！攻めるぜ〜！！</t>
    <rPh sb="0" eb="1">
      <t>セメルゼ</t>
    </rPh>
    <rPh sb="5" eb="6">
      <t>セメルゼ</t>
    </rPh>
    <phoneticPr fontId="5"/>
  </si>
  <si>
    <t>[effect:enemy_message, val1:1.2, val2:1.2],[effect:fix_speed, target:myself, turn:2]</t>
    <phoneticPr fontId="5"/>
  </si>
  <si>
    <t>砲撃の雨だぜ！</t>
    <rPh sb="0" eb="2">
      <t>ホウゲキノ</t>
    </rPh>
    <rPh sb="3" eb="4">
      <t>アメダ</t>
    </rPh>
    <phoneticPr fontId="5"/>
  </si>
  <si>
    <t>いっぱい装填するよ…</t>
    <rPh sb="4" eb="6">
      <t>ソウテンスルヨ</t>
    </rPh>
    <phoneticPr fontId="5"/>
  </si>
  <si>
    <t>お邪魔パネルを青パネルに変換</t>
    <rPh sb="7" eb="8">
      <t>アオパネルニ</t>
    </rPh>
    <rPh sb="12" eb="14">
      <t>ヘンカn</t>
    </rPh>
    <phoneticPr fontId="5"/>
  </si>
  <si>
    <t>ハートパネルを吸収して回復(最大5個)</t>
    <rPh sb="7" eb="9">
      <t>キュウシュウシテ</t>
    </rPh>
    <rPh sb="11" eb="13">
      <t>カイフク</t>
    </rPh>
    <rPh sb="14" eb="16">
      <t>サイダイ</t>
    </rPh>
    <rPh sb="17" eb="18">
      <t>コ</t>
    </rPh>
    <phoneticPr fontId="5"/>
  </si>
  <si>
    <t>相手の回復力を奪うぜ！</t>
    <rPh sb="0" eb="2">
      <t>アイテノ</t>
    </rPh>
    <rPh sb="3" eb="6">
      <t>カイフクリョク</t>
    </rPh>
    <rPh sb="7" eb="8">
      <t>ウバウゼ</t>
    </rPh>
    <phoneticPr fontId="5"/>
  </si>
  <si>
    <t>3回連続攻撃</t>
    <rPh sb="1" eb="6">
      <t>カイレn</t>
    </rPh>
    <phoneticPr fontId="5"/>
  </si>
  <si>
    <t>え、あいつら仲間じゃないの？</t>
    <rPh sb="6" eb="8">
      <t>ナカマジャ</t>
    </rPh>
    <phoneticPr fontId="5"/>
  </si>
  <si>
    <t>6回連続攻撃</t>
    <phoneticPr fontId="5"/>
  </si>
  <si>
    <t>ほら、変えてあげるわ</t>
    <rPh sb="3" eb="4">
      <t>カエテアゲル</t>
    </rPh>
    <phoneticPr fontId="5"/>
  </si>
  <si>
    <t>全体攻撃+
お邪魔パネルを吸収して攻撃力UP</t>
    <rPh sb="0" eb="4">
      <t>ゼンタイコウゲキ</t>
    </rPh>
    <rPh sb="13" eb="15">
      <t>キュウシュウ</t>
    </rPh>
    <rPh sb="17" eb="20">
      <t>コウゲキ</t>
    </rPh>
    <phoneticPr fontId="5"/>
  </si>
  <si>
    <t>私を本気にさせたわね！</t>
    <rPh sb="0" eb="1">
      <t>ワタシヲ</t>
    </rPh>
    <rPh sb="2" eb="4">
      <t>ホンキニ</t>
    </rPh>
    <phoneticPr fontId="5"/>
  </si>
  <si>
    <t>もう来ないで！</t>
    <rPh sb="2" eb="3">
      <t>コナイデ</t>
    </rPh>
    <phoneticPr fontId="5"/>
  </si>
  <si>
    <t>2ゲージ目</t>
    <phoneticPr fontId="5"/>
  </si>
  <si>
    <t>俺たちの結束を見せる時！</t>
    <rPh sb="0" eb="1">
      <t>オレ</t>
    </rPh>
    <rPh sb="4" eb="6">
      <t>ケッソクヲ</t>
    </rPh>
    <rPh sb="7" eb="8">
      <t>ミセルトキ</t>
    </rPh>
    <phoneticPr fontId="5"/>
  </si>
  <si>
    <t>回復はおいらに任せろ</t>
    <rPh sb="0" eb="2">
      <t>カイフクハ</t>
    </rPh>
    <phoneticPr fontId="5"/>
  </si>
  <si>
    <t>痛いのをお見舞いだ</t>
    <rPh sb="0" eb="1">
      <t>イタイノヲ</t>
    </rPh>
    <phoneticPr fontId="5"/>
  </si>
  <si>
    <t>「「「て、撤退なりー」」」</t>
    <rPh sb="5" eb="7">
      <t>テッタイナリー</t>
    </rPh>
    <phoneticPr fontId="5"/>
  </si>
  <si>
    <t>囚われた仲間を助けるため、砲撃を敢行する</t>
    <rPh sb="0" eb="1">
      <t>トラワレタ</t>
    </rPh>
    <rPh sb="4" eb="6">
      <t>ナカマヲ</t>
    </rPh>
    <rPh sb="7" eb="8">
      <t>タスケル</t>
    </rPh>
    <rPh sb="13" eb="15">
      <t>ホウゲキスル</t>
    </rPh>
    <rPh sb="16" eb="18">
      <t>kankou</t>
    </rPh>
    <phoneticPr fontId="5"/>
  </si>
  <si>
    <t>全砲門開けー</t>
    <rPh sb="0" eb="4">
      <t>ゼンホウモンヒラケ</t>
    </rPh>
    <phoneticPr fontId="5"/>
  </si>
  <si>
    <t>「「「ひどい目にあっているかもしれないんだ！」」」</t>
    <phoneticPr fontId="5"/>
  </si>
  <si>
    <t>old</t>
  </si>
  <si>
    <t>old</t>
    <phoneticPr fontId="5"/>
  </si>
  <si>
    <t>吸い取ってあげる！</t>
    <rPh sb="0" eb="1">
      <t>スイトッテアゲルワ</t>
    </rPh>
    <phoneticPr fontId="5"/>
  </si>
  <si>
    <t>そこは私の領域よ！</t>
    <rPh sb="3" eb="4">
      <t>ワタシノ</t>
    </rPh>
    <rPh sb="5" eb="7">
      <t>リョウイキダヨ</t>
    </rPh>
    <phoneticPr fontId="5"/>
  </si>
  <si>
    <t>なによ…オデッセイ…その眼は…</t>
    <rPh sb="12" eb="13">
      <t>meha</t>
    </rPh>
    <phoneticPr fontId="5"/>
  </si>
  <si>
    <t>そう、わかったわ…あなたの言うとおりね…</t>
    <phoneticPr fontId="5"/>
  </si>
  <si>
    <t xml:space="preserve">[effect:enemy_message, val1:2.0, val2:2.5, dead_type:suicide]    </t>
    <phoneticPr fontId="5"/>
  </si>
  <si>
    <t>[effect:enemy_message, val1:1.2, val2:1.2],[effect:critical, val:1.1, animation:enemy_critical]</t>
    <phoneticPr fontId="5"/>
  </si>
  <si>
    <t>確率でお邪魔パネルがドロップ</t>
    <rPh sb="0" eb="2">
      <t>カクリツデ</t>
    </rPh>
    <phoneticPr fontId="5"/>
  </si>
  <si>
    <t xml:space="preserve">[effect:enemy_message, val1:1.2, val2:1.2],[effect:rush, count:3, val:0.35]    </t>
    <phoneticPr fontId="5"/>
  </si>
  <si>
    <t>オーズは頭を抱えている</t>
    <rPh sb="4" eb="5">
      <t>アタマヲ</t>
    </rPh>
    <rPh sb="6" eb="7">
      <t>カカエテイル</t>
    </rPh>
    <phoneticPr fontId="5"/>
  </si>
  <si>
    <t>スナイプショット</t>
    <phoneticPr fontId="5"/>
  </si>
  <si>
    <t>あなたも動物になりに来たのかしら？</t>
    <rPh sb="4" eb="6">
      <t>ドウブツニ</t>
    </rPh>
    <rPh sb="10" eb="11">
      <t>キタ</t>
    </rPh>
    <phoneticPr fontId="5"/>
  </si>
  <si>
    <t>不愉快ね！</t>
    <rPh sb="0" eb="3">
      <t>フユカイ</t>
    </rPh>
    <phoneticPr fontId="5"/>
  </si>
  <si>
    <t>邪魔をしないで！</t>
    <rPh sb="0" eb="2">
      <t>ジャマヲ</t>
    </rPh>
    <phoneticPr fontId="5"/>
  </si>
  <si>
    <t>あなたもどうせ私を…</t>
    <rPh sb="7" eb="8">
      <t>ワタシヲ</t>
    </rPh>
    <phoneticPr fontId="5"/>
  </si>
  <si>
    <t>ジェネラリィブレイク</t>
    <phoneticPr fontId="5"/>
  </si>
  <si>
    <t>メディア…！　なんでここにいる？！</t>
    <phoneticPr fontId="5"/>
  </si>
  <si>
    <t>ユニコーンは疲れている！</t>
    <rPh sb="6" eb="7">
      <t>ツカレテイキテイル</t>
    </rPh>
    <phoneticPr fontId="5"/>
  </si>
  <si>
    <t>ああ、間違えた…</t>
    <rPh sb="3" eb="5">
      <t>マチガエタ</t>
    </rPh>
    <phoneticPr fontId="5"/>
  </si>
  <si>
    <t>お願い、私を動物にした魔女を倒して！
【4ターン全ユニットの攻撃力UP】</t>
    <rPh sb="4" eb="5">
      <t>ワタシヲ</t>
    </rPh>
    <rPh sb="6" eb="8">
      <t>ドウブツニ</t>
    </rPh>
    <rPh sb="11" eb="13">
      <t>マジョヲ</t>
    </rPh>
    <rPh sb="14" eb="15">
      <t>タオシテネ</t>
    </rPh>
    <rPh sb="24" eb="25">
      <t>ゼンユニットノ</t>
    </rPh>
    <rPh sb="30" eb="33">
      <t>コウゲキリョク</t>
    </rPh>
    <phoneticPr fontId="5"/>
  </si>
  <si>
    <t>フォースラッシュ</t>
    <phoneticPr fontId="5"/>
  </si>
  <si>
    <t xml:space="preserve">[effect:enemy_message, val1:1.2, val2:1.2],[effect:critical, val:1.6, animation:enemy_critical]    </t>
    <phoneticPr fontId="5"/>
  </si>
  <si>
    <t>[effect:enemy_message, val1:1.2, val2:1.2],[effect:critical, val:1.4, animation:enemy_critical]</t>
    <phoneticPr fontId="5"/>
  </si>
  <si>
    <t>[effect:enemy_message, val1:1.2, val2:1.2],[effect:critical, val:1.5, animation:enemy_critical]</t>
    <phoneticPr fontId="5"/>
  </si>
  <si>
    <t>[effect:enemy_message, val1:1.2, val2:1.2],[effect:spread, val:0.23]</t>
    <phoneticPr fontId="5"/>
  </si>
  <si>
    <t>[effect:enemy_message, val1:1.2, val2:1.2],[effect:rush, count:4, val:0.3]</t>
    <phoneticPr fontId="5"/>
  </si>
  <si>
    <t>特定エリアをお邪魔パネルに変換+
2ターン全ユニットの攻撃力20%DOWN</t>
    <rPh sb="13" eb="15">
      <t>ヘンカn</t>
    </rPh>
    <rPh sb="21" eb="22">
      <t>ゼンユニットノ</t>
    </rPh>
    <rPh sb="27" eb="30">
      <t>コウゲキリョク</t>
    </rPh>
    <phoneticPr fontId="5"/>
  </si>
  <si>
    <t>状態異常耐性+
特定エリアをお邪魔パネルに変換</t>
    <rPh sb="0" eb="6">
      <t>ジョウタイイジョウタイセイ</t>
    </rPh>
    <rPh sb="21" eb="23">
      <t>ヘンカn</t>
    </rPh>
    <phoneticPr fontId="5"/>
  </si>
  <si>
    <t>状態異常耐性+
特定エリアをお邪魔パネルに変換+
特定エリアを緑パネルに変換</t>
    <rPh sb="0" eb="6">
      <t>ジョウタイイジョ</t>
    </rPh>
    <rPh sb="21" eb="23">
      <t>ヘンカn</t>
    </rPh>
    <rPh sb="31" eb="32">
      <t>ミドリp</t>
    </rPh>
    <rPh sb="36" eb="38">
      <t>ヘンカn</t>
    </rPh>
    <phoneticPr fontId="5"/>
  </si>
  <si>
    <t>特定エリアを青と赤の時限式ダメージパネルに変換</t>
    <rPh sb="6" eb="7">
      <t>アオ</t>
    </rPh>
    <rPh sb="8" eb="9">
      <t>アカ</t>
    </rPh>
    <rPh sb="10" eb="13">
      <t>ジゲンシキダメージパネルニ</t>
    </rPh>
    <rPh sb="21" eb="23">
      <t>ヘンカn</t>
    </rPh>
    <phoneticPr fontId="5"/>
  </si>
  <si>
    <t>クリティカル！+
特定エリアをお邪魔パネルに変換</t>
    <rPh sb="22" eb="24">
      <t>ヘンカn</t>
    </rPh>
    <phoneticPr fontId="5"/>
  </si>
  <si>
    <t>娘の手で散ったか…これも運命ですね…</t>
    <phoneticPr fontId="5"/>
  </si>
  <si>
    <t xml:space="preserve">[effect:enemy_message, val1:2.3, val2:0, dead_type:suicide]    </t>
    <phoneticPr fontId="5"/>
  </si>
  <si>
    <t>予言の力は素晴らしい...私も欲しくなってきたわ</t>
    <phoneticPr fontId="5"/>
  </si>
  <si>
    <t>魔女はこれほどの力があるとは....</t>
    <phoneticPr fontId="5"/>
  </si>
  <si>
    <t>[effect:enemy_message, val1:2.9, val2:0, dead_type:suicide]</t>
    <phoneticPr fontId="5"/>
  </si>
  <si>
    <t>偽りの魔女め、まさか犯人は君じゃないだろうね？</t>
    <phoneticPr fontId="5"/>
  </si>
  <si>
    <t>ユニコーンは混乱している！</t>
    <rPh sb="6" eb="8">
      <t>コンラn</t>
    </rPh>
    <phoneticPr fontId="5"/>
  </si>
  <si>
    <t>青パネルをお邪魔パネルに10個変換+
赤パネルを青パネルに変換</t>
    <rPh sb="0" eb="1">
      <t>アオパネルヲ</t>
    </rPh>
    <rPh sb="14" eb="15">
      <t>コ</t>
    </rPh>
    <rPh sb="15" eb="17">
      <t>ヘンカn</t>
    </rPh>
    <rPh sb="19" eb="20">
      <t>アカパネルヲ</t>
    </rPh>
    <rPh sb="24" eb="25">
      <t>アオ</t>
    </rPh>
    <rPh sb="29" eb="31">
      <t>ヘンカn</t>
    </rPh>
    <phoneticPr fontId="5"/>
  </si>
  <si>
    <t>ブルーシールド</t>
    <phoneticPr fontId="5"/>
  </si>
  <si>
    <t>なんだってこんなことに…</t>
    <phoneticPr fontId="5"/>
  </si>
  <si>
    <t>[effect:enemy_message, val1:1.3, val2:0],[effect:fix_speed, target:myself, turn:2]</t>
    <phoneticPr fontId="5"/>
  </si>
  <si>
    <t>ブルー・リバーサル</t>
    <phoneticPr fontId="5"/>
  </si>
  <si>
    <t>[effect:enemy_message, val1:1.2, val2:3.0],[effect:force_change_block, new_block:jammer, target:block_blue, count:10, val:0, animation:change_block],[effect:force_change_block, new_block:block_blue, target:block_red, count:0, val:0, animation:change_block]</t>
    <phoneticPr fontId="5"/>
  </si>
  <si>
    <t>スプラッシュスライサー</t>
    <phoneticPr fontId="5"/>
  </si>
  <si>
    <t>[effect:enemy_message, val1:1.2, val2:1.7],[effect:break_attack_fix, target:unit_one, val:350, lowest_val:2000, count:5, color:blue, block_color:block_blue, block01:normal]</t>
    <phoneticPr fontId="5"/>
  </si>
  <si>
    <t>[effect:enemy_message, val1:1.2, val2:2.4],[effect:break_enchance_enemy, target:myself, val:500, lowest_val:500, count:5, status:defense, turn:2, block01:block_blue, calc:add, animation:enemy_enhance_defense]</t>
    <phoneticPr fontId="5"/>
  </si>
  <si>
    <t>お願い、私を動物にした魔女を倒して！
【確率で赤パネルがボムパネルとしてドロップ】</t>
    <phoneticPr fontId="5"/>
  </si>
  <si>
    <t>お願い、私を動物にした魔女を倒して！
【確率で青パネルがボムパネルとしてドロップ】</t>
    <rPh sb="20" eb="22">
      <t>テイカクリツデ</t>
    </rPh>
    <rPh sb="23" eb="24">
      <t>アオ</t>
    </rPh>
    <phoneticPr fontId="5"/>
  </si>
  <si>
    <t>お願い、私を動物にした魔女を倒して！
【8ターン全ユニットの防御力UP】</t>
    <phoneticPr fontId="5"/>
  </si>
  <si>
    <t>[effect:enemy_message, val1:1.3, val2:0],[effect:fix_speed, target:myself, turn:1]</t>
    <phoneticPr fontId="5"/>
  </si>
  <si>
    <t>クリティカル！</t>
    <phoneticPr fontId="5"/>
  </si>
  <si>
    <t>[effect:enemy_message, val1:1.2, val2:2.0]</t>
    <phoneticPr fontId="5"/>
  </si>
  <si>
    <t>ブレイキングジャマー</t>
    <phoneticPr fontId="5"/>
  </si>
  <si>
    <t>[effect:enemy_message, val1:1.2, val2:1.5],[effect:break_attack_fix, target:unit_all, val:100, lowest_val:2000, count:-1, block01:jammer]</t>
    <phoneticPr fontId="5"/>
  </si>
  <si>
    <t>3ターンユニコーンの行動頻度DOWN</t>
    <rPh sb="10" eb="14">
      <t>コウドウヒンドガ</t>
    </rPh>
    <phoneticPr fontId="5"/>
  </si>
  <si>
    <t>助かったヨー！</t>
    <phoneticPr fontId="5"/>
  </si>
  <si>
    <t>[effect:enemy_message, val1:1.2, val2:1.8],[effect:freq_turn, target:myself, turn:3, val:2, animation:enemy_freq_turn]</t>
    <phoneticPr fontId="5"/>
  </si>
  <si>
    <t>[effect:enemy_message, val1:2.0, val2:1.4],[effect:fix_speed, target:myself, turn:2],[effect:drop_block, block_type:jammer, color:block_all, val:0, rate:0.12, turn:-1, animation:jammer_influence04]</t>
    <phoneticPr fontId="5"/>
  </si>
  <si>
    <t xml:space="preserve">[effect:enemy_message, val1:1.2, val2:1.3],[effect:break_attack_fix, target:unit_one, val:400, lowest_val:2500, count:-1, block01:jammer]    </t>
    <phoneticPr fontId="5"/>
  </si>
  <si>
    <t xml:space="preserve">[effect:enemy_message, val1:1.2, val2:1.6],[effect:break_enchance_enemy, target:myself, val:0.03, lowest_val:0.02, count:-1, status:attack, turn:-1, block01:jammer, calc:mul, animation:enemy_enhance_attack]    </t>
    <phoneticPr fontId="5"/>
  </si>
  <si>
    <t>[effect:enemy_message, val1:1.2, val2:2.1],[effect:break_heal_fix, target:myself, val:0, lowest_val:0, count:-1, block01:jammer],[effect:freq_turn, target:myself, turn:1, val:1, animation:enemy_freq_turn]</t>
    <phoneticPr fontId="5"/>
  </si>
  <si>
    <t>邪魔をされている間にも…仲間たちは…</t>
    <rPh sb="0" eb="2">
      <t>ジャマヲ</t>
    </rPh>
    <rPh sb="8" eb="9">
      <t>アイダニモ</t>
    </rPh>
    <phoneticPr fontId="5"/>
  </si>
  <si>
    <t>[effect:enemy_message, val1:1.8, val2:2.5],[effect:fix_speed, target:myself, turn:1]</t>
    <phoneticPr fontId="5"/>
  </si>
  <si>
    <t>[effect:enemy_message, val1:1.2, val2:1.5],[effect:break_attack_fix, target:unit_all, val:100, lowest_val:1000, count:-1, block01:jammer]</t>
    <phoneticPr fontId="5"/>
  </si>
  <si>
    <t>[effect:enemy_message, val1:1.2, val2:1.9],[effect:break_heal_ratio, target:myself, val:0.01, lowest_val:0, count:5, block01:block_heart, animation:enemy_heal]</t>
    <phoneticPr fontId="5"/>
  </si>
  <si>
    <t>[effect:enemy_message, val1:1.2, val2:3.2],[effect:break_heal_ratio, target:myself, val:0, lowest_val:0, count:-1, block01:block_heart],[effect:degrade_unit, target:unit_all, turn:1, status:heal, val:0.9, calc:mul, animation:degrade_unit_all_heal]</t>
    <phoneticPr fontId="5"/>
  </si>
  <si>
    <t>1ターンハートパネルを吸収して
全ユニットの回復力を90%DOWN</t>
    <rPh sb="11" eb="13">
      <t>キュウシュウシテ</t>
    </rPh>
    <rPh sb="16" eb="17">
      <t>ゼンユ</t>
    </rPh>
    <rPh sb="22" eb="25">
      <t>カイフクリョク</t>
    </rPh>
    <phoneticPr fontId="5"/>
  </si>
  <si>
    <t>[effect:enemy_message, val1:1.2, val2:1.4],[effect:force_change_block, new_block:block_blue, target:jammer, count:0, val:0, animation:change_block]</t>
    <phoneticPr fontId="5"/>
  </si>
  <si>
    <t>「「「燃え上がれコンビネーション！！！」」」</t>
    <rPh sb="3" eb="4">
      <t>モエアガレ</t>
    </rPh>
    <phoneticPr fontId="5"/>
  </si>
  <si>
    <t>[effect:enemy_message, val1:2.2, val2:1.2],[effect:rush, count:1, val:0.15],[effect:rush, count:1, val:0.2],[effect:rush, count:1, val:0.25],[effect:rush, count:1, val:0.3],[effect:rush, count:1, val:0.35],[effect:rush, count:1, val:0.4]</t>
    <phoneticPr fontId="5"/>
  </si>
  <si>
    <t xml:space="preserve">[effect:enemy_message, val1:1.4, val2:1.3, dead_type:escape]    </t>
    <phoneticPr fontId="5"/>
  </si>
  <si>
    <t>[effect:enemy_message, val1:1.7, val2:2.2],[effect:fix_speed,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t>
    <phoneticPr fontId="5"/>
  </si>
  <si>
    <t>預言者か…私を倒せると思うの？</t>
    <phoneticPr fontId="5"/>
  </si>
  <si>
    <t>[effect:enemy_message, val1:1.5, val2:2.2],[effect:fix_speed,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t>
    <phoneticPr fontId="5"/>
  </si>
  <si>
    <t>[effect:enemy_message, val1:2.3, val2:2.2],[effect:fix_speed,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t>
    <phoneticPr fontId="5"/>
  </si>
  <si>
    <t>[effect:enemy_message, val1:1.2, val2:1.5],[effect:break_attack_fix, target:unit_all, val:100, lowest_val:800, count:-1, block01:jammer]</t>
    <phoneticPr fontId="5"/>
  </si>
  <si>
    <t>そんなところにあるのがダメなのよ！</t>
    <phoneticPr fontId="5"/>
  </si>
  <si>
    <t>2ターンお邪魔パネルを吸収して
全ユニットの攻撃力40%DOWN</t>
    <rPh sb="11" eb="13">
      <t>キュウシュウシテ</t>
    </rPh>
    <rPh sb="16" eb="17">
      <t>ゼンユニットノ</t>
    </rPh>
    <rPh sb="22" eb="25">
      <t>コウゲキリョク</t>
    </rPh>
    <phoneticPr fontId="5"/>
  </si>
  <si>
    <t>[effect:enemy_message, val1:1.7, val2:3.1],[effect:break_heal_fix, target:myself, val:0, lowest_val:0, count:-1, block01:jammer],[effect:attack_break, target:unit_all, turn:2, val:0.4, calc:mul, animation:attack_break01]</t>
    <phoneticPr fontId="5"/>
  </si>
  <si>
    <t>ジェネラリィ・リィンフォース</t>
    <phoneticPr fontId="5"/>
  </si>
  <si>
    <t>[effect:enemy_message, val1:1.4, val2:2.1],[effect:break_enchance_enemy, target:myself, val:0.02, lowest_val:0.12, count:-1, status:attack, turn:-1, block01:jammer, calc:mul, animation:enemy_enhance_attack],[effect:spread, val:0.45]</t>
    <phoneticPr fontId="5"/>
  </si>
  <si>
    <t>[effect:enemy_message, val1:1.2, val2:3.6],[effect:fix_speed, target:myself, turn:1],[effect:tolerance, target:myself, turn:-1, count:-1, tolerance_effect:all, animation:enemy_tolerance],[effect:change_range_block, block_change:1, base_type:1, square_count:3, position01:4, value_rad01:6.0, value_h01:1, value_w01:1, new_block:jammer, target:block_all, ignore01:block_positive, ignore02:jammer, count:0, val:0, animation:change_range_block],[effect:change_range_block, block_change:1, base_type:1, square_count:3, position01:4, value_rad01:3.0, value_h01:1, value_w01:1, new_block:block_green, target:block_all, ignore01:block_positive, ignore02:block_green, count:0, val:0,  animation:change_range_block]</t>
    <phoneticPr fontId="5"/>
  </si>
  <si>
    <t>4回連続攻撃</t>
    <phoneticPr fontId="5"/>
  </si>
  <si>
    <t>[effect:enemy_message, val1:1.2, val2:2.3],[effect:change_range_block, block_change:1, base_type:0, square_count:3, position01:0, value_h01:1, value_w01:3, new_block:time_bomb, target:block_all, ignore01:block_positive, ignore02:time_bomb, color:block_blue, count:0, val:0.01, min_time_count:3, max_time_count:3, animation:change_range_block],[effect:change_range_block, block_change:1, base_type:0, square_count:3, position01:6, value_h01:1, value_w01:3, new_block:time_bomb, target:block_all, ignore01:block_positive, ignore02:time_bomb, color:block_red, count:0, val:0.01, min_time_count:4, max_time_count:4, animation:change_range_block]</t>
    <phoneticPr fontId="5"/>
  </si>
  <si>
    <t>お邪魔パネルを吸収して全体攻撃</t>
    <phoneticPr fontId="5"/>
  </si>
  <si>
    <t>[effect:enemy_message, val1:1.2, val2:1.5],[effect:break_attack_fix, target:unit_all, val:100, lowest_val:1200, count:-1, block01:jammer]</t>
    <phoneticPr fontId="5"/>
  </si>
  <si>
    <t>ダックスは青パネルを狙った攻撃を行います
青パネルを残さないように気をつけましょう</t>
    <phoneticPr fontId="5"/>
  </si>
  <si>
    <t>スリー・ピギーズの1ゲージ目は
お邪魔パネルを利用した攻撃を多用します
お邪魔パネルを少なくして
攻撃に備えましょう</t>
    <phoneticPr fontId="5"/>
  </si>
  <si>
    <t>complete</t>
  </si>
  <si>
    <t>ケルゲーの2ゲージ目は
一定ターンになるとお邪魔パネルを
吸収して全体攻撃を使用します
一定ターンになる前に倒しましょう</t>
    <phoneticPr fontId="5"/>
  </si>
  <si>
    <t>ケルゲーの1ゲージ目は
3ターン目に攻撃力が大幅にUPします
攻撃力がUPされる前に突破しましょう</t>
    <phoneticPr fontId="5"/>
  </si>
  <si>
    <t>ケルゲーの悲劇</t>
    <phoneticPr fontId="5"/>
  </si>
  <si>
    <t>ケルゲーは優しい人でしたが
ある悲劇により自身の子供と夫を亡くし
性格が豹変し女暴君として君臨したようです</t>
    <phoneticPr fontId="5"/>
  </si>
  <si>
    <t>メディアはケルゲーの娘であり
実の兄弟を殺した犯人でもあります
ケルゲーの悲劇はメディアによって
引き起こされました</t>
    <phoneticPr fontId="5"/>
  </si>
  <si>
    <t>これは侘びの品だ！気をつけて魔女に挑んでくれ！
【ボムの爆風を20%UP】</t>
    <rPh sb="3" eb="4">
      <t>ワビノシルシ</t>
    </rPh>
    <rPh sb="6" eb="7">
      <t>シナ</t>
    </rPh>
    <rPh sb="9" eb="10">
      <t>キヲツケテ</t>
    </rPh>
    <rPh sb="14" eb="16">
      <t>マジョニ</t>
    </rPh>
    <rPh sb="17" eb="18">
      <t>イドンデクレ</t>
    </rPh>
    <rPh sb="28" eb="30">
      <t>バクフウヲ</t>
    </rPh>
    <phoneticPr fontId="5"/>
  </si>
  <si>
    <t>これは侘びの品だ！気をつけて魔女に挑んでくれ！
【ボムの爆風を20%UP】</t>
    <rPh sb="28" eb="30">
      <t>バクフウヲ</t>
    </rPh>
    <phoneticPr fontId="5"/>
  </si>
  <si>
    <t>[effect:enemy_message, val1:1.6, val2:3.6],[effect:change_bomb_range, target:unit_all, val:1.2, rate:1, turn:-1, animation:bomb_big],[effect:suicide, target:myself, val:1, dead_type:escape, animation:enemy_suicide]</t>
    <phoneticPr fontId="5"/>
  </si>
  <si>
    <t>娘の手で散ったか…これも運命ですね…</t>
    <phoneticPr fontId="5"/>
  </si>
  <si>
    <t>魔女は豚を引き連れてあっちにいったネ！
【4ターン全ユニットの防御力UP】</t>
    <rPh sb="3" eb="4">
      <t>ブタヲ</t>
    </rPh>
    <rPh sb="5" eb="6">
      <t>ヒキツレタ</t>
    </rPh>
    <phoneticPr fontId="5"/>
  </si>
  <si>
    <t>[effect:enemy_message, val1:1.2, val2:3.6],[effect:enhance_unit, target:unit_all, turn:4, status:defense, val:500, calc:add],[effect:suicide, target:myself, val:1, dead_type:escape, animation:enemy_suicide]</t>
    <phoneticPr fontId="5"/>
  </si>
  <si>
    <t>[effect:enemy_message, val1:1.2, val2:3.5],[effect:crash_condition, target:unit_all, turn:8, val:-4, animation:crash_panel_reduce03],[effect:suicide, target:myself, val:1, dead_type:escape, animation:enemy_suicide]</t>
    <phoneticPr fontId="5"/>
  </si>
  <si>
    <t>[effect:enemy_message, val1:1.2, val2:3.6],[effect:enhance_unit, target:unit_all, turn:8, status:defense, val:500, calc:add],[effect:suicide, target:myself, val:1, dead_type:escape, animation:enemy_suicide]</t>
    <phoneticPr fontId="5"/>
  </si>
  <si>
    <t>[effect:enemy_message, val1:1.2, val2:3.6],[effect:enhance_unit, target:unit_all, turn:8, status:attack, val:0.3, calc:mul],[effect:suicide, target:myself, val:1, dead_type:escape, animation:enemy_suicide]</t>
    <phoneticPr fontId="5"/>
  </si>
  <si>
    <t>魔女は豚を引き連れてあっちにいったネ！
【8ターン全ユニットの防御力UP】</t>
    <rPh sb="25" eb="26">
      <t>ゼンユニットノ</t>
    </rPh>
    <phoneticPr fontId="5"/>
  </si>
  <si>
    <t>魔女は豚を引き連れてあっちにいったネ！
【8ターン全ユニットの攻撃力UP】</t>
    <rPh sb="25" eb="26">
      <t>ゼンユニットノ</t>
    </rPh>
    <rPh sb="31" eb="34">
      <t>コウゲキリョク</t>
    </rPh>
    <phoneticPr fontId="5"/>
  </si>
  <si>
    <t>ユニコーンは思案している…</t>
    <rPh sb="6" eb="8">
      <t>シアn</t>
    </rPh>
    <phoneticPr fontId="5"/>
  </si>
  <si>
    <t>[effect:enemy_message, val1:1.3, val2:0]</t>
    <phoneticPr fontId="5"/>
  </si>
  <si>
    <t>ユニコーンは思案している…</t>
    <phoneticPr fontId="5"/>
  </si>
  <si>
    <t>ケルゲーはオデッセイの説得もあり
今回の事件で変えられた
アバターを元に戻しました
少し優しい自分を取り戻したようです</t>
    <phoneticPr fontId="5"/>
  </si>
  <si>
    <t>魔女の仲間じゃないのね…！</t>
    <rPh sb="0" eb="2">
      <t>マジョノ</t>
    </rPh>
    <rPh sb="3" eb="5">
      <t>ナカマジャナイノネ</t>
    </rPh>
    <phoneticPr fontId="5"/>
  </si>
  <si>
    <t>[effect:enemy_message, val1:1.3, val2:3.5],[effect:enhance_unit, target:unit_all, turn:4, status:attack, val:0.3, calc:mul],[effect:suicide, target:myself, val:1, dead_type:escape, animation:enemy_suicide]</t>
    <phoneticPr fontId="5"/>
  </si>
  <si>
    <t>[effect:enemy_message, val1:1.3, val2:4.0],[effect:drop_block, block_type:crack_bomb, block_color:block_red, color:block_red, val:12, rate:0.1, turn:-1, animation:bomb_influence04],[effect:suicide, target:myself, val:1, dead_type:escape, animation:enemy_suicide]</t>
    <phoneticPr fontId="5"/>
  </si>
  <si>
    <t>[effect:enemy_message, val1:1.3, val2:4.0],[effect:drop_block, block_type:crack_bomb, block_color:block_blue, color:block_blue, val:12, rate:0.1, turn:-1, animation:bomb_influence04],[effect:suicide, target:myself, val:1, dead_type:escape, animation:enemy_suicide]</t>
    <phoneticPr fontId="5"/>
  </si>
  <si>
    <t>[effect:enemy_message, val1:1.3, val2:3.5],[effect:enhance_unit, target:unit_all, turn:8, status:defense, val:500, calc:add],[effect:suicide, target:myself, val:1, dead_type:escape, animation:enemy_suicide]</t>
    <phoneticPr fontId="5"/>
  </si>
  <si>
    <t>青パネルをお邪魔パネルに7個変換+
赤パネルを青パネルに変換</t>
    <rPh sb="0" eb="1">
      <t>アオパネルヲ</t>
    </rPh>
    <rPh sb="13" eb="14">
      <t>コ</t>
    </rPh>
    <rPh sb="14" eb="16">
      <t>ヘンカn</t>
    </rPh>
    <rPh sb="18" eb="19">
      <t>アカパネルヲ</t>
    </rPh>
    <rPh sb="23" eb="24">
      <t>アオ</t>
    </rPh>
    <rPh sb="28" eb="30">
      <t>ヘンカn</t>
    </rPh>
    <phoneticPr fontId="5"/>
  </si>
  <si>
    <t>[effect:enemy_message, val1:1.2, val2:3.0],[effect:force_change_block, new_block:jammer, target:block_blue, count:7, val:0, animation:change_block],[effect:force_change_block, new_block:block_blue, target:block_red, count:0, val:0, animation:change_block]</t>
    <phoneticPr fontId="5"/>
  </si>
  <si>
    <t>[effect:enemy_message, val1:1.2, val2:3.6],[effect:fix_speed, target:myself, turn:1],[effect:tolerance, target:myself, turn:-1, count:-1, tolerance_effect:all, animation:enemy_tolerance],[effect:change_range_block, block_change:1, base_type:1, square_count:3, position01:4, value_rad01:5.0, value_h01:1, value_w01:1, new_block:jammer, target:block_all, ignore01:block_positive, ignore02:jammer, count:0, val:0, animation:change_range_block],[effect:change_range_block, block_change:1, base_type:1, square_count:3, position01:4, value_rad01:3.0, value_h01:1, value_w01:1, new_block:block_green, target:block_all, ignore01:block_positive, ignore02:block_green, count:0, val:0,  animation:change_range_block]</t>
    <phoneticPr fontId="5"/>
  </si>
  <si>
    <t>[effect:enemy_message, val1:1.7, val2:2.2],[effect:fix_speed,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t>
    <phoneticPr fontId="5"/>
  </si>
  <si>
    <t>[effect:enemy_message, val1:1.2, val2:2.3],[effect:change_range_block, block_change:1, base_type:0, square_count:3, position01:0, value_h01:1, value_w01:3, new_block:time_bomb, target:block_all, ignore01:block_positive, ignore02:time_bomb, color:block_blue, count:0, val:0.01, min_time_count:3, max_time_count:3, animation:change_range_block],[effect:change_range_block, block_change:1, base_type:0, square_count:3, position01:6, value_h01:1, value_w01:3, new_block:time_bomb, target:block_all, ignore01:block_positive, ignore02:time_bomb, color:block_red, count:0, val:0.01, min_time_count:4, max_time_count:4, animation:change_range_block]</t>
    <phoneticPr fontId="5"/>
  </si>
  <si>
    <t>特定エリアをお邪魔パネルに変換+
1ターン全ユニットの攻撃力20%DOWN</t>
    <rPh sb="13" eb="15">
      <t>ヘンカn</t>
    </rPh>
    <rPh sb="21" eb="22">
      <t>ゼンユニットノ</t>
    </rPh>
    <rPh sb="27" eb="30">
      <t>コウゲキリョク</t>
    </rPh>
    <phoneticPr fontId="5"/>
  </si>
  <si>
    <t>[effect:enemy_message, val1:1.2, val2:3.6],[effect:change_range_block, block_change:1, base_type:0, square_count:3, position01:0, position02:5, value_h01:2, value_h02:2, value_w01:1, value_w02:1, new_block:jammer, target:block_all, ignore01:block_positive, ignore02:jammer, count:0, val:0, animation:change_range_block],[effect:attack_break, target:unit_all, turn:2, val:0.2, calc:mul, animation:attack_break01]</t>
    <phoneticPr fontId="5"/>
  </si>
  <si>
    <t>[effect:enemy_message, val1:1.2, val2:3.6],[effect:change_range_block, block_change:1, base_type:0, square_count:3, position01:0, position02:8, value_h01:1, value_h02:1, value_w01:1, value_w02:1, new_block:jammer, target:block_all, ignore01:block_positive, ignore02:jammer, count:0, val:0, animation:change_range_block],[effect:attack_break, target:unit_all, turn:1, val:0.2, calc:mul, animation:attack_break01]</t>
    <phoneticPr fontId="5"/>
  </si>
  <si>
    <t>真相</t>
    <rPh sb="0" eb="2">
      <t>sinsou</t>
    </rPh>
    <phoneticPr fontId="5"/>
  </si>
  <si>
    <t>ケルゲーの悲劇</t>
    <phoneticPr fontId="5"/>
  </si>
  <si>
    <t>真相</t>
    <rPh sb="0" eb="2">
      <t>シンソウ</t>
    </rPh>
    <phoneticPr fontId="5"/>
  </si>
  <si>
    <t>動物変身事件後</t>
    <rPh sb="0" eb="2">
      <t>ドウブツ</t>
    </rPh>
    <rPh sb="2" eb="4">
      <t>ヘンシン</t>
    </rPh>
    <rPh sb="4" eb="7">
      <t>ジケンゴ</t>
    </rPh>
    <phoneticPr fontId="5"/>
  </si>
  <si>
    <t>動物変身事件後</t>
    <rPh sb="4" eb="6">
      <t>ドウブツジケn</t>
    </rPh>
    <rPh sb="6" eb="7">
      <t>5</t>
    </rPh>
    <phoneticPr fontId="5"/>
  </si>
  <si>
    <t>低確率でお邪魔パネルがドロップ</t>
    <rPh sb="0" eb="1">
      <t>テイ</t>
    </rPh>
    <rPh sb="1" eb="3">
      <t>カクリツデ</t>
    </rPh>
    <phoneticPr fontId="5"/>
  </si>
  <si>
    <t>[effect:enemy_message, val1:1.2, val2:1.2],[effect:rush, count:4, val:0.24]</t>
    <phoneticPr fontId="5"/>
  </si>
  <si>
    <t>ユニコーンはお邪魔パネル変換を行います
お邪魔パネルを吸収する攻撃も
使用しますので気をつけましょう</t>
    <rPh sb="36" eb="38">
      <t>シヨウスル</t>
    </rPh>
    <phoneticPr fontId="5"/>
  </si>
  <si>
    <t>単体攻撃+
特定エリアをお邪魔パネルに変換</t>
    <rPh sb="19" eb="21">
      <t>ヘンカn</t>
    </rPh>
    <phoneticPr fontId="5"/>
  </si>
  <si>
    <t>単体攻撃+
ランダムでお邪魔パネルに最大3個変換</t>
    <rPh sb="18" eb="20">
      <t>サイダイ</t>
    </rPh>
    <rPh sb="21" eb="24">
      <t>コヘンカn</t>
    </rPh>
    <phoneticPr fontId="5"/>
  </si>
  <si>
    <t>単体攻撃+
ランダムでお邪魔パネルに最大4個変換</t>
    <rPh sb="18" eb="20">
      <t>サイダイ</t>
    </rPh>
    <rPh sb="21" eb="24">
      <t>コヘンカn</t>
    </rPh>
    <phoneticPr fontId="5"/>
  </si>
  <si>
    <t>[effect:enemy_message, val1:1.2, val2:2.0],[effect:rush, count:1, val:0.8],[effect:change_range_block, block_change:1, base_type:1, square_count:3, position01:4, value_rad01:3.0, value_h01:1, value_w01:1, new_block:jammer, target:block_all, ignore01:block_positive, ignore02:jammer, count:0, val:0, animation:change_range_block]</t>
    <phoneticPr fontId="5"/>
  </si>
  <si>
    <t>[effect:enemy_message, val1:1.2, val2:2.3],[effect:critical, val:1.3, animation:enemy_critical],[effect:change_range_block, block_change:1, base_type:0, square_count:5, position01:4, position02:15, value_h01:2, value_h02:2, value_w01:1, value_w02:1, new_block:jammer, target:block_all, ignore01:block_positive, ignore02:jammer, count:0, val:0, animation:change_range_block]</t>
    <phoneticPr fontId="5"/>
  </si>
  <si>
    <t>[effect:enemy_message, val1:1.2, val2:2.3],[effect:critical, val:1.3, animation:enemy_critical],[effect:change_range_block, block_change:1, base_type:0, square_count:5, position01:0, position02:23, value_h01:1, value_h02:1, value_w01:2, value_w02:2, new_block:jammer, target:block_all, ignore01:block_positive, ignore02:jammer, count:0, val:0, animation:change_range_block]</t>
    <phoneticPr fontId="5"/>
  </si>
  <si>
    <t>[effect:enemy_message, val1:1.2, val2:2.0],[effect:rush, count:1, val:0.8],[effect:change_range_block, block_change:1, base_type:1, square_count:3, position01:4, value_rad01:3.0, value_h01:1, value_w01:1, new_block:jammer, target:block_all, ignore01:block_positive, ignore02:jammer, count:6, val:0, animation:change_range_block]</t>
    <phoneticPr fontId="5"/>
  </si>
  <si>
    <t>[effect:enemy_message, val1:1.2, val2:2.3],[effect:critical, val:1.1, animation:enemy_critical],[effect:change_range_block, block_change:1, base_type:0, square_count:5, position01:4, position02:15, value_h01:2, value_h02:2, value_w01:1, value_w02:1, new_block:jammer, target:block_all, ignore01:block_positive, ignore02:jammer, count:0, val:0, animation:change_range_block]</t>
    <phoneticPr fontId="5"/>
  </si>
  <si>
    <t>[effect:enemy_message, val1:1.2, val2:2.3],[effect:critical, val:1.1, animation:enemy_critical],[effect:change_range_block, block_change:1, base_type:0, square_count:5, position01:0, position02:23, value_h01:1, value_h02:1, value_w01:2, value_w02:2, new_block:jammer, target:block_all, ignore01:block_positive, ignore02:jammer, count:0, val:0, animation:change_range_block]</t>
    <phoneticPr fontId="5"/>
  </si>
  <si>
    <t>オーズは2ターン毎に
クリティカル攻撃を行います
クリティカル攻撃に耐えられるように
ハートパネルを残しましょう</t>
    <rPh sb="17" eb="19">
      <t>コウゲキ</t>
    </rPh>
    <rPh sb="32" eb="34">
      <t>コウゲキ</t>
    </rPh>
    <phoneticPr fontId="5"/>
  </si>
  <si>
    <t>スリー・ピギーズの2ゲージ目はHPが
一定以下になると攻撃パターンが変更します
連続攻撃等を使用しますので注意しましょう</t>
    <phoneticPr fontId="5"/>
  </si>
  <si>
    <t>[effect:enemy_message, val1:1.2, val2:2.3],[effect:rush, count:1, val:0.8],[effect:force_change_block, new_block:jammer, target:block_all, ignore01:block_positive, ignore02:jammer, count:4, val:0, animation:change_block]</t>
    <phoneticPr fontId="5"/>
  </si>
  <si>
    <t>[effect:enemy_message, val1:1.2, val2:2.3],[effect:rush, count:1, val:0.8],[effect:force_change_block, new_block:jammer, target:block_all, ignore01:block_positive, ignore02:jammer, count:3, val:0, animation:change_block]</t>
    <phoneticPr fontId="5"/>
  </si>
  <si>
    <t>[effect:enemy_message, val1:2.0, val2:1.5],[effect:fix_speed, target:myself, turn:2],[effect:drop_block, block_type:jammer, color:block_all, val:0, rate:0.09, turn:-1, animation:jammer_influence04]</t>
    <phoneticPr fontId="5"/>
  </si>
  <si>
    <t>魔女は豚を引き連れてあっちにいったネ！
【8ターンCパネル生成短縮(効果特大)】</t>
    <rPh sb="29" eb="31">
      <t>セイセイ</t>
    </rPh>
    <rPh sb="31" eb="33">
      <t>タンシュク</t>
    </rPh>
    <rPh sb="34" eb="36">
      <t>コウカ</t>
    </rPh>
    <rPh sb="36" eb="38">
      <t>トクダイ</t>
    </rPh>
    <phoneticPr fontId="5"/>
  </si>
  <si>
    <t>[effect:enemy_message, val1:1.2, val2:3.9],[effect:crash_condition, target:unit_all, turn:8, val:-4, animation:crash_panel_reduce03],[effect:suicide, target:myself, val:1, dead_type:escape, animation:enemy_suicide]</t>
    <phoneticPr fontId="5"/>
  </si>
  <si>
    <t>魔女は豚を引き連れてあっちにいったネ！
【8ターンCパネル生成短縮(効果特大)】</t>
    <phoneticPr fontId="5"/>
  </si>
  <si>
    <t>1ターンお邪魔パネルを吸収して行動頻度UP</t>
    <rPh sb="11" eb="13">
      <t>キュウシュウシテ</t>
    </rPh>
    <rPh sb="15" eb="19">
      <t>コウドウヒンド</t>
    </rPh>
    <phoneticPr fontId="5"/>
  </si>
  <si>
    <t>unit</t>
  </si>
  <si>
    <t>link</t>
  </si>
  <si>
    <t>full_member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</si>
</sst>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9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70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1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23" xfId="0" applyFont="1" applyFill="1" applyBorder="1" applyAlignment="1">
      <alignment vertical="center"/>
    </xf>
    <xf numFmtId="0" fontId="16" fillId="33" borderId="12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23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4" borderId="12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23" xfId="0" applyFont="1" applyFill="1" applyBorder="1" applyAlignment="1">
      <alignment vertical="center"/>
    </xf>
    <xf numFmtId="0" fontId="16" fillId="34" borderId="2" xfId="0" applyFont="1" applyFill="1" applyBorder="1" applyAlignment="1">
      <alignment vertical="center"/>
    </xf>
    <xf numFmtId="0" fontId="16" fillId="6" borderId="12" xfId="0" applyFont="1" applyFill="1" applyBorder="1" applyAlignment="1">
      <alignment vertical="center"/>
    </xf>
    <xf numFmtId="0" fontId="16" fillId="6" borderId="23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33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horizontal="left" vertical="center" wrapText="1"/>
    </xf>
    <xf numFmtId="14" fontId="16" fillId="0" borderId="23" xfId="0" applyNumberFormat="1" applyFont="1" applyFill="1" applyBorder="1" applyAlignment="1">
      <alignment horizontal="left" vertical="center"/>
    </xf>
    <xf numFmtId="0" fontId="16" fillId="33" borderId="26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0" borderId="26" xfId="0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 wrapText="1"/>
    </xf>
    <xf numFmtId="0" fontId="16" fillId="3" borderId="26" xfId="0" applyFont="1" applyFill="1" applyBorder="1" applyAlignment="1">
      <alignment horizontal="left" vertical="center" wrapText="1"/>
    </xf>
    <xf numFmtId="0" fontId="16" fillId="3" borderId="26" xfId="0" applyFont="1" applyFill="1" applyBorder="1" applyAlignment="1">
      <alignment vertical="center"/>
    </xf>
    <xf numFmtId="14" fontId="16" fillId="0" borderId="26" xfId="0" applyNumberFormat="1" applyFont="1" applyFill="1" applyBorder="1" applyAlignment="1">
      <alignment horizontal="left" vertical="center"/>
    </xf>
    <xf numFmtId="0" fontId="14" fillId="7" borderId="27" xfId="0" applyFont="1" applyFill="1" applyBorder="1" applyAlignment="1">
      <alignment vertical="center"/>
    </xf>
    <xf numFmtId="0" fontId="16" fillId="3" borderId="26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8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6" fillId="5" borderId="29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8" fillId="0" borderId="32" xfId="0" applyFont="1" applyBorder="1" applyAlignment="1">
      <alignment vertical="center"/>
    </xf>
    <xf numFmtId="177" fontId="8" fillId="0" borderId="32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0" fillId="0" borderId="12" xfId="0" applyBorder="1"/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wrapText="1"/>
    </xf>
    <xf numFmtId="0" fontId="0" fillId="0" borderId="23" xfId="0" applyBorder="1"/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6" fillId="3" borderId="23" xfId="0" applyFont="1" applyFill="1" applyBorder="1" applyAlignment="1">
      <alignment vertical="center"/>
    </xf>
    <xf numFmtId="0" fontId="0" fillId="3" borderId="12" xfId="0" applyFill="1" applyBorder="1"/>
    <xf numFmtId="0" fontId="0" fillId="3" borderId="23" xfId="0" applyFill="1" applyBorder="1"/>
    <xf numFmtId="0" fontId="13" fillId="7" borderId="24" xfId="0" applyFont="1" applyFill="1" applyBorder="1" applyAlignment="1">
      <alignment horizontal="left" indent="1"/>
    </xf>
    <xf numFmtId="0" fontId="29" fillId="3" borderId="26" xfId="0" applyFont="1" applyFill="1" applyBorder="1" applyAlignment="1">
      <alignment vertical="center"/>
    </xf>
    <xf numFmtId="0" fontId="29" fillId="0" borderId="26" xfId="0" applyFont="1" applyFill="1" applyBorder="1" applyAlignment="1">
      <alignment vertical="center"/>
    </xf>
    <xf numFmtId="0" fontId="30" fillId="3" borderId="23" xfId="0" applyFont="1" applyFill="1" applyBorder="1"/>
    <xf numFmtId="22" fontId="30" fillId="0" borderId="23" xfId="0" quotePrefix="1" applyNumberFormat="1" applyFont="1" applyFill="1" applyBorder="1"/>
    <xf numFmtId="0" fontId="30" fillId="0" borderId="23" xfId="0" quotePrefix="1" applyFont="1" applyFill="1" applyBorder="1"/>
    <xf numFmtId="0" fontId="30" fillId="0" borderId="37" xfId="0" applyFont="1" applyFill="1" applyBorder="1"/>
  </cellXfs>
  <cellStyles count="70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赤字強調" xfId="431"/>
    <cellStyle name="青字強調" xfId="430"/>
  </cellStyles>
  <dxfs count="1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47015</v>
          </cell>
        </row>
        <row r="293">
          <cell r="A293">
            <v>47016</v>
          </cell>
        </row>
        <row r="294">
          <cell r="A294">
            <v>49001</v>
          </cell>
        </row>
        <row r="295">
          <cell r="A295">
            <v>49002</v>
          </cell>
        </row>
        <row r="296">
          <cell r="A296">
            <v>49003</v>
          </cell>
        </row>
        <row r="297">
          <cell r="A297">
            <v>49004</v>
          </cell>
        </row>
        <row r="298">
          <cell r="A298">
            <v>49005</v>
          </cell>
        </row>
        <row r="299">
          <cell r="A299">
            <v>49006</v>
          </cell>
        </row>
        <row r="300">
          <cell r="A300">
            <v>49007</v>
          </cell>
        </row>
        <row r="301">
          <cell r="A301">
            <v>49008</v>
          </cell>
        </row>
        <row r="302">
          <cell r="A302">
            <v>49009</v>
          </cell>
        </row>
        <row r="303">
          <cell r="A303">
            <v>49010</v>
          </cell>
        </row>
        <row r="304">
          <cell r="A304">
            <v>49011</v>
          </cell>
        </row>
        <row r="305">
          <cell r="A305">
            <v>49012</v>
          </cell>
        </row>
        <row r="306">
          <cell r="A306">
            <v>49013</v>
          </cell>
        </row>
        <row r="307">
          <cell r="A307">
            <v>49014</v>
          </cell>
        </row>
        <row r="308">
          <cell r="A308">
            <v>49015</v>
          </cell>
        </row>
        <row r="309">
          <cell r="A309">
            <v>49016</v>
          </cell>
        </row>
        <row r="310">
          <cell r="A310">
            <v>50001</v>
          </cell>
        </row>
        <row r="311">
          <cell r="A311">
            <v>50002</v>
          </cell>
        </row>
        <row r="312">
          <cell r="A312">
            <v>50003</v>
          </cell>
        </row>
        <row r="313">
          <cell r="A313">
            <v>50004</v>
          </cell>
        </row>
        <row r="314">
          <cell r="A314">
            <v>50005</v>
          </cell>
        </row>
        <row r="315">
          <cell r="A315">
            <v>50006</v>
          </cell>
        </row>
        <row r="316">
          <cell r="A316">
            <v>50007</v>
          </cell>
        </row>
        <row r="317">
          <cell r="A317">
            <v>50008</v>
          </cell>
        </row>
        <row r="318">
          <cell r="A318">
            <v>50009</v>
          </cell>
        </row>
        <row r="319">
          <cell r="A319">
            <v>50010</v>
          </cell>
        </row>
        <row r="320">
          <cell r="A320">
            <v>50011</v>
          </cell>
        </row>
        <row r="321">
          <cell r="A321">
            <v>50012</v>
          </cell>
        </row>
        <row r="322">
          <cell r="A322">
            <v>50013</v>
          </cell>
        </row>
        <row r="323">
          <cell r="A323">
            <v>50014</v>
          </cell>
        </row>
        <row r="324">
          <cell r="A324">
            <v>50015</v>
          </cell>
        </row>
        <row r="325">
          <cell r="A325">
            <v>50016</v>
          </cell>
        </row>
        <row r="326">
          <cell r="A326">
            <v>51001</v>
          </cell>
        </row>
        <row r="327">
          <cell r="A327">
            <v>51002</v>
          </cell>
        </row>
        <row r="328">
          <cell r="A328">
            <v>58001</v>
          </cell>
        </row>
        <row r="329">
          <cell r="A329">
            <v>58002</v>
          </cell>
        </row>
        <row r="330">
          <cell r="A330">
            <v>58003</v>
          </cell>
        </row>
        <row r="331">
          <cell r="A331">
            <v>58101</v>
          </cell>
        </row>
        <row r="332">
          <cell r="A332">
            <v>59001</v>
          </cell>
        </row>
        <row r="333">
          <cell r="A333">
            <v>59002</v>
          </cell>
        </row>
        <row r="334">
          <cell r="A334">
            <v>59003</v>
          </cell>
        </row>
        <row r="335">
          <cell r="A335">
            <v>60001</v>
          </cell>
        </row>
        <row r="336">
          <cell r="A336">
            <v>60002</v>
          </cell>
        </row>
        <row r="337">
          <cell r="A337">
            <v>60003</v>
          </cell>
        </row>
        <row r="338">
          <cell r="A338">
            <v>60004</v>
          </cell>
        </row>
        <row r="339">
          <cell r="A339">
            <v>60005</v>
          </cell>
        </row>
        <row r="340">
          <cell r="A340">
            <v>60006</v>
          </cell>
        </row>
        <row r="341">
          <cell r="A341">
            <v>60007</v>
          </cell>
        </row>
        <row r="342">
          <cell r="A342">
            <v>60010</v>
          </cell>
        </row>
        <row r="343">
          <cell r="A343">
            <v>60011</v>
          </cell>
        </row>
        <row r="344">
          <cell r="A344">
            <v>61011</v>
          </cell>
        </row>
        <row r="345">
          <cell r="A345">
            <v>60012</v>
          </cell>
        </row>
        <row r="346">
          <cell r="A346">
            <v>60013</v>
          </cell>
        </row>
        <row r="347">
          <cell r="A347">
            <v>60014</v>
          </cell>
        </row>
        <row r="348">
          <cell r="A348">
            <v>60015</v>
          </cell>
        </row>
        <row r="349">
          <cell r="A349">
            <v>60016</v>
          </cell>
        </row>
        <row r="350">
          <cell r="A350">
            <v>60017</v>
          </cell>
        </row>
        <row r="351">
          <cell r="A351">
            <v>60018</v>
          </cell>
        </row>
        <row r="352">
          <cell r="A352">
            <v>60019</v>
          </cell>
        </row>
        <row r="353">
          <cell r="A353">
            <v>60020</v>
          </cell>
        </row>
        <row r="354">
          <cell r="A354">
            <v>60025</v>
          </cell>
        </row>
        <row r="355">
          <cell r="A355">
            <v>60026</v>
          </cell>
        </row>
        <row r="356">
          <cell r="A356">
            <v>60027</v>
          </cell>
        </row>
        <row r="357">
          <cell r="A357">
            <v>60028</v>
          </cell>
        </row>
        <row r="358">
          <cell r="A358">
            <v>60029</v>
          </cell>
        </row>
        <row r="359">
          <cell r="A359">
            <v>60030</v>
          </cell>
        </row>
        <row r="360">
          <cell r="A360">
            <v>60031</v>
          </cell>
        </row>
        <row r="361">
          <cell r="A361">
            <v>65523</v>
          </cell>
        </row>
        <row r="362">
          <cell r="A362">
            <v>65524</v>
          </cell>
        </row>
        <row r="363">
          <cell r="A363">
            <v>65525</v>
          </cell>
        </row>
        <row r="364">
          <cell r="A364">
            <v>65526</v>
          </cell>
        </row>
        <row r="365">
          <cell r="A365">
            <v>65527</v>
          </cell>
        </row>
        <row r="366">
          <cell r="A366">
            <v>65528</v>
          </cell>
        </row>
        <row r="367">
          <cell r="A367">
            <v>65529</v>
          </cell>
        </row>
        <row r="368">
          <cell r="A368">
            <v>65530</v>
          </cell>
        </row>
        <row r="369">
          <cell r="A369">
            <v>65531</v>
          </cell>
        </row>
        <row r="370">
          <cell r="A370">
            <v>65532</v>
          </cell>
        </row>
        <row r="371">
          <cell r="A371">
            <v>65533</v>
          </cell>
        </row>
        <row r="372">
          <cell r="A372">
            <v>65534</v>
          </cell>
        </row>
        <row r="373">
          <cell r="A373">
            <v>65535</v>
          </cell>
        </row>
        <row r="374">
          <cell r="A374">
            <v>60021</v>
          </cell>
        </row>
        <row r="375">
          <cell r="A375">
            <v>60022</v>
          </cell>
        </row>
        <row r="376">
          <cell r="A376">
            <v>60023</v>
          </cell>
        </row>
        <row r="377">
          <cell r="A37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48101_1</v>
          </cell>
        </row>
        <row r="916">
          <cell r="A916" t="str">
            <v>48101_2</v>
          </cell>
        </row>
        <row r="917">
          <cell r="A917" t="str">
            <v>48501_1</v>
          </cell>
        </row>
        <row r="918">
          <cell r="A918" t="str">
            <v>48501_2</v>
          </cell>
        </row>
        <row r="919">
          <cell r="A919" t="str">
            <v>48502_1</v>
          </cell>
        </row>
        <row r="920">
          <cell r="A920" t="str">
            <v>48502_2</v>
          </cell>
        </row>
        <row r="921">
          <cell r="A921" t="str">
            <v>48503_1</v>
          </cell>
        </row>
        <row r="922">
          <cell r="A922" t="str">
            <v>48503_2</v>
          </cell>
        </row>
        <row r="923">
          <cell r="A923" t="str">
            <v>48701_1</v>
          </cell>
        </row>
        <row r="924">
          <cell r="A924" t="str">
            <v>48701_2</v>
          </cell>
        </row>
        <row r="925">
          <cell r="A925" t="str">
            <v>48702_1</v>
          </cell>
        </row>
        <row r="926">
          <cell r="A926" t="str">
            <v>48702_2</v>
          </cell>
        </row>
        <row r="927">
          <cell r="A927" t="str">
            <v>49001_1</v>
          </cell>
        </row>
        <row r="928">
          <cell r="A928" t="str">
            <v>49002_1</v>
          </cell>
        </row>
        <row r="929">
          <cell r="A929" t="str">
            <v>49002_2</v>
          </cell>
        </row>
        <row r="930">
          <cell r="A930" t="str">
            <v>49003_1</v>
          </cell>
        </row>
        <row r="931">
          <cell r="A931" t="str">
            <v>49003_2</v>
          </cell>
        </row>
        <row r="932">
          <cell r="A932" t="str">
            <v>49004_1</v>
          </cell>
        </row>
        <row r="933">
          <cell r="A933" t="str">
            <v>49004_2</v>
          </cell>
        </row>
        <row r="934">
          <cell r="A934" t="str">
            <v>49004_3</v>
          </cell>
        </row>
        <row r="935">
          <cell r="A935" t="str">
            <v>49005_1</v>
          </cell>
        </row>
        <row r="936">
          <cell r="A936" t="str">
            <v>49006_1</v>
          </cell>
        </row>
        <row r="937">
          <cell r="A937" t="str">
            <v>49006_2</v>
          </cell>
        </row>
        <row r="938">
          <cell r="A938" t="str">
            <v>49007_1</v>
          </cell>
        </row>
        <row r="939">
          <cell r="A939" t="str">
            <v>49007_2</v>
          </cell>
        </row>
        <row r="940">
          <cell r="A940" t="str">
            <v>49007_3</v>
          </cell>
        </row>
        <row r="941">
          <cell r="A941" t="str">
            <v>49008_1</v>
          </cell>
        </row>
        <row r="942">
          <cell r="A942" t="str">
            <v>49009_1</v>
          </cell>
        </row>
        <row r="943">
          <cell r="A943" t="str">
            <v>49010_1</v>
          </cell>
        </row>
        <row r="944">
          <cell r="A944" t="str">
            <v>49011_1</v>
          </cell>
        </row>
        <row r="945">
          <cell r="A945" t="str">
            <v>49012_1</v>
          </cell>
        </row>
        <row r="946">
          <cell r="A946" t="str">
            <v>49013_1</v>
          </cell>
        </row>
        <row r="947">
          <cell r="A947" t="str">
            <v>49014_1</v>
          </cell>
        </row>
        <row r="948">
          <cell r="A948" t="str">
            <v>49014_2</v>
          </cell>
        </row>
        <row r="949">
          <cell r="A949" t="str">
            <v>49015_1</v>
          </cell>
        </row>
        <row r="950">
          <cell r="A950" t="str">
            <v>49015_2</v>
          </cell>
        </row>
        <row r="951">
          <cell r="A951" t="str">
            <v>49015_3</v>
          </cell>
        </row>
        <row r="952">
          <cell r="A952" t="str">
            <v>49016_1</v>
          </cell>
        </row>
        <row r="953">
          <cell r="A953" t="str">
            <v>49016_2</v>
          </cell>
        </row>
        <row r="954">
          <cell r="A954" t="str">
            <v>50001_1</v>
          </cell>
        </row>
        <row r="955">
          <cell r="A955" t="str">
            <v>50002_1</v>
          </cell>
        </row>
        <row r="956">
          <cell r="A956" t="str">
            <v>50003_1</v>
          </cell>
        </row>
        <row r="957">
          <cell r="A957" t="str">
            <v>50004_1</v>
          </cell>
        </row>
        <row r="958">
          <cell r="A958" t="str">
            <v>50005_1</v>
          </cell>
        </row>
        <row r="959">
          <cell r="A959" t="str">
            <v>50006_1</v>
          </cell>
        </row>
        <row r="960">
          <cell r="A960" t="str">
            <v>50007_1</v>
          </cell>
        </row>
        <row r="961">
          <cell r="A961" t="str">
            <v>50008_1</v>
          </cell>
        </row>
        <row r="962">
          <cell r="A962" t="str">
            <v>50009_1</v>
          </cell>
        </row>
        <row r="963">
          <cell r="A963" t="str">
            <v>50010_1</v>
          </cell>
        </row>
        <row r="964">
          <cell r="A964" t="str">
            <v>50011_1</v>
          </cell>
        </row>
        <row r="965">
          <cell r="A965" t="str">
            <v>50012_1</v>
          </cell>
        </row>
        <row r="966">
          <cell r="A966" t="str">
            <v>50013_1</v>
          </cell>
        </row>
        <row r="967">
          <cell r="A967" t="str">
            <v>50014_1</v>
          </cell>
        </row>
        <row r="968">
          <cell r="A968" t="str">
            <v>50015_1</v>
          </cell>
        </row>
        <row r="969">
          <cell r="A969" t="str">
            <v>50016_1</v>
          </cell>
        </row>
        <row r="970">
          <cell r="A970" t="str">
            <v>51001_1</v>
          </cell>
        </row>
        <row r="971">
          <cell r="A971" t="str">
            <v>51002_1</v>
          </cell>
        </row>
        <row r="972">
          <cell r="A972" t="str">
            <v>58001_1</v>
          </cell>
        </row>
        <row r="973">
          <cell r="A973" t="str">
            <v>58002_1</v>
          </cell>
        </row>
        <row r="974">
          <cell r="A974" t="str">
            <v>58003_1</v>
          </cell>
        </row>
        <row r="975">
          <cell r="A975" t="str">
            <v>58101_1</v>
          </cell>
        </row>
        <row r="976">
          <cell r="A976" t="str">
            <v>59001_1</v>
          </cell>
        </row>
        <row r="977">
          <cell r="A977" t="str">
            <v>59002_1</v>
          </cell>
        </row>
        <row r="978">
          <cell r="A978" t="str">
            <v>59003_1</v>
          </cell>
        </row>
        <row r="979">
          <cell r="A979" t="str">
            <v>59003_2</v>
          </cell>
        </row>
        <row r="980">
          <cell r="A980" t="str">
            <v>60001_1</v>
          </cell>
        </row>
        <row r="981">
          <cell r="A981" t="str">
            <v>60002_1</v>
          </cell>
        </row>
        <row r="982">
          <cell r="A982" t="str">
            <v>60002_2</v>
          </cell>
        </row>
        <row r="983">
          <cell r="A983" t="str">
            <v>60003_1</v>
          </cell>
        </row>
        <row r="984">
          <cell r="A984" t="str">
            <v>60003_2</v>
          </cell>
        </row>
        <row r="985">
          <cell r="A985" t="str">
            <v>60003_3</v>
          </cell>
        </row>
        <row r="986">
          <cell r="A986" t="str">
            <v>60004_1</v>
          </cell>
        </row>
        <row r="987">
          <cell r="A987" t="str">
            <v>60005_1</v>
          </cell>
        </row>
        <row r="988">
          <cell r="A988" t="str">
            <v>60006_1</v>
          </cell>
        </row>
        <row r="989">
          <cell r="A989" t="str">
            <v>60006_2</v>
          </cell>
        </row>
        <row r="990">
          <cell r="A990" t="str">
            <v>60006_3</v>
          </cell>
        </row>
        <row r="991">
          <cell r="A991" t="str">
            <v>60007_1</v>
          </cell>
        </row>
        <row r="992">
          <cell r="A992" t="str">
            <v>60007_2</v>
          </cell>
        </row>
        <row r="993">
          <cell r="A993" t="str">
            <v>60007_3</v>
          </cell>
        </row>
        <row r="994">
          <cell r="A994" t="str">
            <v>60010_1</v>
          </cell>
        </row>
        <row r="995">
          <cell r="A995" t="str">
            <v>60011_1</v>
          </cell>
        </row>
        <row r="996">
          <cell r="A996" t="str">
            <v>60011_2</v>
          </cell>
        </row>
        <row r="997">
          <cell r="A997" t="str">
            <v>60012_1</v>
          </cell>
        </row>
        <row r="998">
          <cell r="A998" t="str">
            <v>60013_1</v>
          </cell>
        </row>
        <row r="999">
          <cell r="A999" t="str">
            <v>60013_2</v>
          </cell>
        </row>
        <row r="1000">
          <cell r="A1000" t="str">
            <v>60013_3</v>
          </cell>
        </row>
        <row r="1001">
          <cell r="A1001" t="str">
            <v>60014_1</v>
          </cell>
        </row>
        <row r="1002">
          <cell r="A1002" t="str">
            <v>60015_1</v>
          </cell>
        </row>
        <row r="1003">
          <cell r="A1003" t="str">
            <v>60016_1</v>
          </cell>
        </row>
        <row r="1004">
          <cell r="A1004" t="str">
            <v>60017_1</v>
          </cell>
        </row>
        <row r="1005">
          <cell r="A1005" t="str">
            <v>60018_1</v>
          </cell>
        </row>
        <row r="1006">
          <cell r="A1006" t="str">
            <v>60019_1</v>
          </cell>
        </row>
        <row r="1007">
          <cell r="A1007" t="str">
            <v>60020_1</v>
          </cell>
        </row>
        <row r="1008">
          <cell r="A1008" t="str">
            <v>60021_3</v>
          </cell>
        </row>
        <row r="1009">
          <cell r="A1009" t="str">
            <v>60022_3</v>
          </cell>
        </row>
        <row r="1010">
          <cell r="A1010" t="str">
            <v>60023_3</v>
          </cell>
        </row>
        <row r="1011">
          <cell r="A1011" t="str">
            <v>60024_3</v>
          </cell>
        </row>
        <row r="1012">
          <cell r="A1012" t="str">
            <v>60025_1</v>
          </cell>
        </row>
        <row r="1013">
          <cell r="A1013" t="str">
            <v>60026_1</v>
          </cell>
        </row>
        <row r="1014">
          <cell r="A1014" t="str">
            <v>61011_1</v>
          </cell>
        </row>
        <row r="1015">
          <cell r="A1015" t="str">
            <v>60027_1</v>
          </cell>
        </row>
        <row r="1016">
          <cell r="A1016" t="str">
            <v>60028_1</v>
          </cell>
        </row>
        <row r="1017">
          <cell r="A1017" t="str">
            <v>60029_1</v>
          </cell>
        </row>
        <row r="1018">
          <cell r="A1018" t="str">
            <v>60030_1</v>
          </cell>
        </row>
        <row r="1019">
          <cell r="A1019" t="str">
            <v>60031_1</v>
          </cell>
        </row>
        <row r="1020">
          <cell r="A1020" t="str">
            <v>65523_1</v>
          </cell>
        </row>
        <row r="1021">
          <cell r="A1021" t="str">
            <v>65523_2</v>
          </cell>
        </row>
        <row r="1022">
          <cell r="A1022" t="str">
            <v>65523_3</v>
          </cell>
        </row>
        <row r="1023">
          <cell r="A1023" t="str">
            <v>65524_1</v>
          </cell>
        </row>
        <row r="1024">
          <cell r="A1024" t="str">
            <v>65524_2</v>
          </cell>
        </row>
        <row r="1025">
          <cell r="A1025" t="str">
            <v>65525_1</v>
          </cell>
        </row>
        <row r="1026">
          <cell r="A1026" t="str">
            <v>65526_1</v>
          </cell>
        </row>
        <row r="1027">
          <cell r="A1027" t="str">
            <v>65526_2</v>
          </cell>
        </row>
        <row r="1028">
          <cell r="A1028" t="str">
            <v>65527_1</v>
          </cell>
        </row>
        <row r="1029">
          <cell r="A1029" t="str">
            <v>65528_1</v>
          </cell>
        </row>
        <row r="1030">
          <cell r="A1030" t="str">
            <v>65529_1</v>
          </cell>
        </row>
        <row r="1031">
          <cell r="A1031" t="str">
            <v>65530_1</v>
          </cell>
        </row>
        <row r="1032">
          <cell r="A1032" t="str">
            <v>65531_1</v>
          </cell>
        </row>
        <row r="1033">
          <cell r="A1033" t="str">
            <v>65531_2</v>
          </cell>
        </row>
        <row r="1034">
          <cell r="A1034" t="str">
            <v>65532_1</v>
          </cell>
        </row>
        <row r="1035">
          <cell r="A1035" t="str">
            <v>65532_2</v>
          </cell>
        </row>
        <row r="1036">
          <cell r="A1036" t="str">
            <v>65533_1</v>
          </cell>
        </row>
        <row r="1037">
          <cell r="A1037" t="str">
            <v>65533_2</v>
          </cell>
        </row>
        <row r="1038">
          <cell r="A1038" t="str">
            <v>65534_1</v>
          </cell>
        </row>
        <row r="1039">
          <cell r="A1039" t="str">
            <v>65535_1</v>
          </cell>
        </row>
        <row r="1040">
          <cell r="A1040" t="str">
            <v>65535_2</v>
          </cell>
        </row>
        <row r="1041">
          <cell r="A1041" t="str">
            <v>65535_3</v>
          </cell>
        </row>
        <row r="1042">
          <cell r="A1042" t="str">
            <v>65535_4</v>
          </cell>
        </row>
        <row r="1043">
          <cell r="A1043" t="str">
            <v>65535_5</v>
          </cell>
        </row>
        <row r="1044">
          <cell r="A1044" t="str">
            <v>65535_6</v>
          </cell>
        </row>
        <row r="1045">
          <cell r="A1045" t="str">
            <v>65535_7</v>
          </cell>
        </row>
        <row r="1046">
          <cell r="A1046" t="str">
            <v>65535_8</v>
          </cell>
        </row>
        <row r="1047">
          <cell r="A1047" t="str">
            <v>65535_9</v>
          </cell>
        </row>
        <row r="1048">
          <cell r="A104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5001</v>
          </cell>
        </row>
        <row r="1587">
          <cell r="A1587">
            <v>5002</v>
          </cell>
        </row>
        <row r="1588">
          <cell r="A1588">
            <v>5003</v>
          </cell>
        </row>
        <row r="1589">
          <cell r="A1589">
            <v>5004</v>
          </cell>
        </row>
        <row r="1590">
          <cell r="A1590">
            <v>5005</v>
          </cell>
        </row>
        <row r="1591">
          <cell r="A1591">
            <v>5006</v>
          </cell>
        </row>
        <row r="1592">
          <cell r="A1592">
            <v>5007</v>
          </cell>
        </row>
        <row r="1593">
          <cell r="A1593">
            <v>5008</v>
          </cell>
        </row>
        <row r="1594">
          <cell r="A1594">
            <v>5009</v>
          </cell>
        </row>
        <row r="1595">
          <cell r="A1595">
            <v>5010</v>
          </cell>
        </row>
        <row r="1596">
          <cell r="A1596">
            <v>6001</v>
          </cell>
        </row>
        <row r="1597">
          <cell r="A1597">
            <v>6002</v>
          </cell>
        </row>
        <row r="1598">
          <cell r="A1598">
            <v>6003</v>
          </cell>
        </row>
        <row r="1599">
          <cell r="A1599">
            <v>6004</v>
          </cell>
        </row>
        <row r="1600">
          <cell r="A1600">
            <v>6005</v>
          </cell>
        </row>
        <row r="1601">
          <cell r="A1601">
            <v>6006</v>
          </cell>
        </row>
        <row r="1602">
          <cell r="A1602">
            <v>6007</v>
          </cell>
        </row>
        <row r="1603">
          <cell r="A1603">
            <v>6008</v>
          </cell>
        </row>
        <row r="1604">
          <cell r="A1604">
            <v>6009</v>
          </cell>
        </row>
        <row r="1605">
          <cell r="A1605">
            <v>6010</v>
          </cell>
        </row>
        <row r="1606">
          <cell r="A1606">
            <v>6011</v>
          </cell>
        </row>
        <row r="1607">
          <cell r="A1607">
            <v>6012</v>
          </cell>
        </row>
        <row r="1608">
          <cell r="A1608">
            <v>6013</v>
          </cell>
        </row>
        <row r="1609">
          <cell r="A1609">
            <v>6014</v>
          </cell>
        </row>
        <row r="1610">
          <cell r="A1610">
            <v>6015</v>
          </cell>
        </row>
        <row r="1611">
          <cell r="A1611">
            <v>6016</v>
          </cell>
        </row>
        <row r="1612">
          <cell r="A1612">
            <v>6017</v>
          </cell>
        </row>
        <row r="1613">
          <cell r="A1613">
            <v>6018</v>
          </cell>
        </row>
        <row r="1614">
          <cell r="A1614">
            <v>6019</v>
          </cell>
        </row>
        <row r="1615">
          <cell r="A1615">
            <v>6020</v>
          </cell>
        </row>
        <row r="1616">
          <cell r="A1616">
            <v>8001</v>
          </cell>
        </row>
        <row r="1617">
          <cell r="A1617">
            <v>8002</v>
          </cell>
        </row>
        <row r="1618">
          <cell r="A1618">
            <v>8003</v>
          </cell>
        </row>
        <row r="1619">
          <cell r="A1619">
            <v>8004</v>
          </cell>
        </row>
        <row r="1620">
          <cell r="A1620">
            <v>8005</v>
          </cell>
        </row>
        <row r="1621">
          <cell r="A1621">
            <v>8006</v>
          </cell>
        </row>
        <row r="1622">
          <cell r="A1622">
            <v>8007</v>
          </cell>
        </row>
        <row r="1623">
          <cell r="A1623">
            <v>8008</v>
          </cell>
        </row>
        <row r="1624">
          <cell r="A1624">
            <v>8009</v>
          </cell>
        </row>
        <row r="1625">
          <cell r="A1625">
            <v>8010</v>
          </cell>
        </row>
        <row r="1626">
          <cell r="A1626">
            <v>8011</v>
          </cell>
        </row>
        <row r="1627">
          <cell r="A1627">
            <v>8012</v>
          </cell>
        </row>
        <row r="1628">
          <cell r="A1628">
            <v>8013</v>
          </cell>
        </row>
        <row r="1629">
          <cell r="A1629">
            <v>8014</v>
          </cell>
        </row>
        <row r="1630">
          <cell r="A1630">
            <v>8015</v>
          </cell>
        </row>
        <row r="1631">
          <cell r="A1631">
            <v>8016</v>
          </cell>
        </row>
        <row r="1632">
          <cell r="A1632">
            <v>8017</v>
          </cell>
        </row>
        <row r="1633">
          <cell r="A1633">
            <v>8018</v>
          </cell>
        </row>
        <row r="1634">
          <cell r="A1634">
            <v>8019</v>
          </cell>
        </row>
        <row r="1635">
          <cell r="A1635">
            <v>8020</v>
          </cell>
        </row>
        <row r="1636">
          <cell r="A1636">
            <v>8021</v>
          </cell>
        </row>
        <row r="1637">
          <cell r="A1637">
            <v>8022</v>
          </cell>
        </row>
        <row r="1638">
          <cell r="A1638">
            <v>8023</v>
          </cell>
        </row>
        <row r="1639">
          <cell r="A1639">
            <v>8024</v>
          </cell>
        </row>
        <row r="1640">
          <cell r="A1640">
            <v>8025</v>
          </cell>
        </row>
        <row r="1641">
          <cell r="A1641">
            <v>8026</v>
          </cell>
        </row>
        <row r="1642">
          <cell r="A1642">
            <v>8027</v>
          </cell>
        </row>
        <row r="1643">
          <cell r="A1643">
            <v>8028</v>
          </cell>
        </row>
        <row r="1644">
          <cell r="A1644">
            <v>8029</v>
          </cell>
        </row>
        <row r="1645">
          <cell r="A1645">
            <v>8030</v>
          </cell>
        </row>
        <row r="1646">
          <cell r="A1646">
            <v>8031</v>
          </cell>
        </row>
        <row r="1647">
          <cell r="A1647">
            <v>8032</v>
          </cell>
        </row>
        <row r="1648">
          <cell r="A1648">
            <v>8033</v>
          </cell>
        </row>
        <row r="1649">
          <cell r="A1649">
            <v>8034</v>
          </cell>
        </row>
        <row r="1650">
          <cell r="A1650">
            <v>8035</v>
          </cell>
        </row>
        <row r="1651">
          <cell r="A1651">
            <v>8036</v>
          </cell>
        </row>
        <row r="1652">
          <cell r="A1652">
            <v>8037</v>
          </cell>
        </row>
        <row r="1653">
          <cell r="A1653">
            <v>8038</v>
          </cell>
        </row>
        <row r="1654">
          <cell r="A1654">
            <v>8039</v>
          </cell>
        </row>
        <row r="1655">
          <cell r="A1655">
            <v>8040</v>
          </cell>
        </row>
        <row r="1656">
          <cell r="A1656">
            <v>8041</v>
          </cell>
        </row>
        <row r="1657">
          <cell r="A1657">
            <v>8042</v>
          </cell>
        </row>
        <row r="1658">
          <cell r="A1658">
            <v>8043</v>
          </cell>
        </row>
        <row r="1659">
          <cell r="A1659">
            <v>8044</v>
          </cell>
        </row>
        <row r="1660">
          <cell r="A1660">
            <v>8045</v>
          </cell>
        </row>
        <row r="1661">
          <cell r="A1661">
            <v>8046</v>
          </cell>
        </row>
        <row r="1662">
          <cell r="A1662">
            <v>8047</v>
          </cell>
        </row>
        <row r="1663">
          <cell r="A1663">
            <v>8048</v>
          </cell>
        </row>
        <row r="1664">
          <cell r="A1664">
            <v>8049</v>
          </cell>
        </row>
        <row r="1665">
          <cell r="A1665">
            <v>8050</v>
          </cell>
        </row>
        <row r="1666">
          <cell r="A1666">
            <v>8051</v>
          </cell>
        </row>
        <row r="1667">
          <cell r="A1667">
            <v>8052</v>
          </cell>
        </row>
        <row r="1668">
          <cell r="A1668">
            <v>8053</v>
          </cell>
        </row>
        <row r="1669">
          <cell r="A1669">
            <v>8054</v>
          </cell>
        </row>
        <row r="1670">
          <cell r="A1670">
            <v>8055</v>
          </cell>
        </row>
        <row r="1671">
          <cell r="A1671">
            <v>8056</v>
          </cell>
        </row>
        <row r="1672">
          <cell r="A1672">
            <v>8057</v>
          </cell>
        </row>
        <row r="1673">
          <cell r="A1673">
            <v>8058</v>
          </cell>
        </row>
        <row r="1674">
          <cell r="A1674">
            <v>8059</v>
          </cell>
        </row>
        <row r="1675">
          <cell r="A1675">
            <v>8060</v>
          </cell>
        </row>
        <row r="1676">
          <cell r="A1676">
            <v>8061</v>
          </cell>
        </row>
        <row r="1677">
          <cell r="A1677">
            <v>8062</v>
          </cell>
        </row>
        <row r="1678">
          <cell r="A1678">
            <v>8063</v>
          </cell>
        </row>
        <row r="1679">
          <cell r="A1679">
            <v>8064</v>
          </cell>
        </row>
        <row r="1680">
          <cell r="A1680">
            <v>8065</v>
          </cell>
        </row>
        <row r="1681">
          <cell r="A1681">
            <v>8066</v>
          </cell>
        </row>
        <row r="1682">
          <cell r="A1682">
            <v>8067</v>
          </cell>
        </row>
        <row r="1683">
          <cell r="A1683">
            <v>8068</v>
          </cell>
        </row>
        <row r="1684">
          <cell r="A1684">
            <v>8069</v>
          </cell>
        </row>
        <row r="1685">
          <cell r="A1685">
            <v>8070</v>
          </cell>
        </row>
        <row r="1686">
          <cell r="A1686">
            <v>8071</v>
          </cell>
        </row>
        <row r="1687">
          <cell r="A1687">
            <v>8072</v>
          </cell>
        </row>
        <row r="1688">
          <cell r="A1688">
            <v>8073</v>
          </cell>
        </row>
        <row r="1689">
          <cell r="A1689">
            <v>8074</v>
          </cell>
        </row>
        <row r="1690">
          <cell r="A1690">
            <v>8075</v>
          </cell>
        </row>
        <row r="1691">
          <cell r="A1691">
            <v>8076</v>
          </cell>
        </row>
        <row r="1692">
          <cell r="A1692">
            <v>8077</v>
          </cell>
        </row>
        <row r="1693">
          <cell r="A1693">
            <v>8078</v>
          </cell>
        </row>
        <row r="1694">
          <cell r="A1694">
            <v>8079</v>
          </cell>
        </row>
        <row r="1695">
          <cell r="A1695">
            <v>8080</v>
          </cell>
        </row>
        <row r="1696">
          <cell r="A1696">
            <v>8081</v>
          </cell>
        </row>
        <row r="1697">
          <cell r="A1697">
            <v>8082</v>
          </cell>
        </row>
        <row r="1698">
          <cell r="A1698">
            <v>8083</v>
          </cell>
        </row>
        <row r="1699">
          <cell r="A1699">
            <v>8084</v>
          </cell>
        </row>
        <row r="1700">
          <cell r="A1700">
            <v>8085</v>
          </cell>
        </row>
        <row r="1701">
          <cell r="A1701">
            <v>8086</v>
          </cell>
        </row>
        <row r="1702">
          <cell r="A1702">
            <v>8087</v>
          </cell>
        </row>
        <row r="1703">
          <cell r="A1703">
            <v>8088</v>
          </cell>
        </row>
        <row r="1704">
          <cell r="A1704">
            <v>8089</v>
          </cell>
        </row>
        <row r="1705">
          <cell r="A1705">
            <v>8090</v>
          </cell>
        </row>
        <row r="1706">
          <cell r="A1706">
            <v>8095</v>
          </cell>
        </row>
        <row r="1707">
          <cell r="A1707">
            <v>8096</v>
          </cell>
        </row>
        <row r="1708">
          <cell r="A1708">
            <v>8097</v>
          </cell>
        </row>
        <row r="1709">
          <cell r="A1709">
            <v>8098</v>
          </cell>
        </row>
        <row r="1710">
          <cell r="A1710">
            <v>8099</v>
          </cell>
        </row>
        <row r="1711">
          <cell r="A1711">
            <v>8100</v>
          </cell>
        </row>
        <row r="1712">
          <cell r="A1712">
            <v>8101</v>
          </cell>
        </row>
        <row r="1713">
          <cell r="A1713">
            <v>8102</v>
          </cell>
        </row>
        <row r="1714">
          <cell r="A1714">
            <v>8103</v>
          </cell>
        </row>
        <row r="1715">
          <cell r="A1715">
            <v>8104</v>
          </cell>
        </row>
        <row r="1716">
          <cell r="A1716">
            <v>8105</v>
          </cell>
        </row>
        <row r="1717">
          <cell r="A1717">
            <v>8106</v>
          </cell>
        </row>
        <row r="1718">
          <cell r="A1718">
            <v>8111</v>
          </cell>
        </row>
        <row r="1719">
          <cell r="A1719">
            <v>8112</v>
          </cell>
        </row>
        <row r="1720">
          <cell r="A1720">
            <v>8113</v>
          </cell>
        </row>
        <row r="1721">
          <cell r="A1721">
            <v>8114</v>
          </cell>
        </row>
        <row r="1722">
          <cell r="A1722">
            <v>8115</v>
          </cell>
        </row>
        <row r="1723">
          <cell r="A1723">
            <v>8116</v>
          </cell>
        </row>
        <row r="1724">
          <cell r="A1724">
            <v>8117</v>
          </cell>
        </row>
        <row r="1725">
          <cell r="A1725">
            <v>8118</v>
          </cell>
        </row>
        <row r="1726">
          <cell r="A1726">
            <v>8119</v>
          </cell>
        </row>
        <row r="1727">
          <cell r="A1727">
            <v>8120</v>
          </cell>
        </row>
        <row r="1728">
          <cell r="A1728">
            <v>8121</v>
          </cell>
        </row>
        <row r="1729">
          <cell r="A1729">
            <v>8122</v>
          </cell>
        </row>
        <row r="1730">
          <cell r="A1730">
            <v>8123</v>
          </cell>
        </row>
        <row r="1731">
          <cell r="A1731">
            <v>8124</v>
          </cell>
        </row>
        <row r="1732">
          <cell r="A1732">
            <v>8125</v>
          </cell>
        </row>
        <row r="1733">
          <cell r="A1733">
            <v>8126</v>
          </cell>
        </row>
        <row r="1734">
          <cell r="A1734">
            <v>8127</v>
          </cell>
        </row>
        <row r="1735">
          <cell r="A1735">
            <v>8128</v>
          </cell>
        </row>
        <row r="1736">
          <cell r="A1736">
            <v>8129</v>
          </cell>
        </row>
        <row r="1737">
          <cell r="A1737">
            <v>8130</v>
          </cell>
        </row>
        <row r="1738">
          <cell r="A1738">
            <v>8131</v>
          </cell>
        </row>
        <row r="1739">
          <cell r="A1739">
            <v>8132</v>
          </cell>
        </row>
        <row r="1740">
          <cell r="A1740">
            <v>8133</v>
          </cell>
        </row>
        <row r="1741">
          <cell r="A1741">
            <v>8134</v>
          </cell>
        </row>
        <row r="1742">
          <cell r="A1742">
            <v>8135</v>
          </cell>
        </row>
        <row r="1743">
          <cell r="A1743">
            <v>8136</v>
          </cell>
        </row>
        <row r="1744">
          <cell r="A1744">
            <v>8137</v>
          </cell>
        </row>
        <row r="1745">
          <cell r="A1745">
            <v>8138</v>
          </cell>
        </row>
        <row r="1746">
          <cell r="A1746">
            <v>9001</v>
          </cell>
        </row>
        <row r="1747">
          <cell r="A1747">
            <v>9002</v>
          </cell>
        </row>
        <row r="1748">
          <cell r="A1748">
            <v>9003</v>
          </cell>
        </row>
        <row r="1749">
          <cell r="A1749">
            <v>9004</v>
          </cell>
        </row>
        <row r="1750">
          <cell r="A1750">
            <v>9005</v>
          </cell>
        </row>
        <row r="1751">
          <cell r="A1751">
            <v>9006</v>
          </cell>
        </row>
        <row r="1752">
          <cell r="A1752">
            <v>9007</v>
          </cell>
        </row>
        <row r="1753">
          <cell r="A1753">
            <v>9008</v>
          </cell>
        </row>
        <row r="1754">
          <cell r="A1754">
            <v>9009</v>
          </cell>
        </row>
        <row r="1755">
          <cell r="A1755">
            <v>9010</v>
          </cell>
        </row>
        <row r="1756">
          <cell r="A1756">
            <v>10001</v>
          </cell>
        </row>
        <row r="1757">
          <cell r="A1757">
            <v>10002</v>
          </cell>
        </row>
        <row r="1758">
          <cell r="A1758">
            <v>10003</v>
          </cell>
        </row>
        <row r="1759">
          <cell r="A1759">
            <v>10004</v>
          </cell>
        </row>
        <row r="1760">
          <cell r="A1760">
            <v>10005</v>
          </cell>
        </row>
        <row r="1761">
          <cell r="A1761">
            <v>10006</v>
          </cell>
        </row>
        <row r="1762">
          <cell r="A1762">
            <v>10007</v>
          </cell>
        </row>
        <row r="1763">
          <cell r="A1763">
            <v>10008</v>
          </cell>
        </row>
        <row r="1764">
          <cell r="A1764">
            <v>10009</v>
          </cell>
        </row>
        <row r="1765">
          <cell r="A1765">
            <v>10010</v>
          </cell>
        </row>
        <row r="1766">
          <cell r="A1766">
            <v>10011</v>
          </cell>
        </row>
        <row r="1767">
          <cell r="A1767">
            <v>10012</v>
          </cell>
        </row>
        <row r="1768">
          <cell r="A1768">
            <v>10013</v>
          </cell>
        </row>
        <row r="1769">
          <cell r="A1769">
            <v>10014</v>
          </cell>
        </row>
        <row r="1770">
          <cell r="A1770">
            <v>10015</v>
          </cell>
        </row>
        <row r="1771">
          <cell r="A1771">
            <v>10016</v>
          </cell>
        </row>
        <row r="1772">
          <cell r="A1772">
            <v>10017</v>
          </cell>
        </row>
        <row r="1773">
          <cell r="A1773">
            <v>10018</v>
          </cell>
        </row>
        <row r="1774">
          <cell r="A1774">
            <v>10019</v>
          </cell>
        </row>
        <row r="1775">
          <cell r="A1775">
            <v>10020</v>
          </cell>
        </row>
        <row r="1776">
          <cell r="A1776">
            <v>10021</v>
          </cell>
        </row>
        <row r="1777">
          <cell r="A1777">
            <v>10022</v>
          </cell>
        </row>
        <row r="1778">
          <cell r="A1778">
            <v>10023</v>
          </cell>
        </row>
        <row r="1779">
          <cell r="A1779">
            <v>10024</v>
          </cell>
        </row>
        <row r="1780">
          <cell r="A1780">
            <v>10025</v>
          </cell>
        </row>
        <row r="1781">
          <cell r="A1781">
            <v>10026</v>
          </cell>
        </row>
        <row r="1782">
          <cell r="A1782">
            <v>10027</v>
          </cell>
        </row>
        <row r="1783">
          <cell r="A1783">
            <v>10028</v>
          </cell>
        </row>
        <row r="1784">
          <cell r="A1784">
            <v>10029</v>
          </cell>
        </row>
        <row r="1785">
          <cell r="A1785">
            <v>10030</v>
          </cell>
        </row>
        <row r="1786">
          <cell r="A1786">
            <v>10031</v>
          </cell>
        </row>
        <row r="1787">
          <cell r="A1787">
            <v>10032</v>
          </cell>
        </row>
        <row r="1788">
          <cell r="A1788">
            <v>10033</v>
          </cell>
        </row>
        <row r="1789">
          <cell r="A1789">
            <v>10034</v>
          </cell>
        </row>
        <row r="1790">
          <cell r="A1790">
            <v>10035</v>
          </cell>
        </row>
        <row r="1791">
          <cell r="A1791">
            <v>10036</v>
          </cell>
        </row>
        <row r="1792">
          <cell r="A1792">
            <v>10037</v>
          </cell>
        </row>
        <row r="1793">
          <cell r="A1793">
            <v>10038</v>
          </cell>
        </row>
        <row r="1794">
          <cell r="A1794">
            <v>10039</v>
          </cell>
        </row>
        <row r="1795">
          <cell r="A1795">
            <v>10040</v>
          </cell>
        </row>
        <row r="1796">
          <cell r="A1796">
            <v>10041</v>
          </cell>
        </row>
        <row r="1797">
          <cell r="A1797">
            <v>10042</v>
          </cell>
        </row>
        <row r="1798">
          <cell r="A1798">
            <v>10043</v>
          </cell>
        </row>
        <row r="1799">
          <cell r="A1799">
            <v>10044</v>
          </cell>
        </row>
        <row r="1800">
          <cell r="A1800">
            <v>10045</v>
          </cell>
        </row>
        <row r="1801">
          <cell r="A1801">
            <v>10046</v>
          </cell>
        </row>
        <row r="1802">
          <cell r="A1802">
            <v>10047</v>
          </cell>
        </row>
        <row r="1803">
          <cell r="A1803">
            <v>10048</v>
          </cell>
        </row>
        <row r="1804">
          <cell r="A1804">
            <v>10049</v>
          </cell>
        </row>
        <row r="1805">
          <cell r="A1805">
            <v>10050</v>
          </cell>
        </row>
        <row r="1806">
          <cell r="A1806">
            <v>10051</v>
          </cell>
        </row>
        <row r="1807">
          <cell r="A1807">
            <v>10052</v>
          </cell>
        </row>
        <row r="1808">
          <cell r="A1808">
            <v>10053</v>
          </cell>
        </row>
        <row r="1809">
          <cell r="A1809">
            <v>10054</v>
          </cell>
        </row>
        <row r="1810">
          <cell r="A1810">
            <v>10055</v>
          </cell>
        </row>
        <row r="1811">
          <cell r="A1811">
            <v>10056</v>
          </cell>
        </row>
        <row r="1812">
          <cell r="A1812">
            <v>10057</v>
          </cell>
        </row>
        <row r="1813">
          <cell r="A1813">
            <v>10058</v>
          </cell>
        </row>
        <row r="1814">
          <cell r="A1814">
            <v>10059</v>
          </cell>
        </row>
        <row r="1815">
          <cell r="A1815">
            <v>10060</v>
          </cell>
        </row>
        <row r="1816">
          <cell r="A1816">
            <v>10061</v>
          </cell>
        </row>
        <row r="1817">
          <cell r="A1817">
            <v>10062</v>
          </cell>
        </row>
        <row r="1818">
          <cell r="A1818">
            <v>10063</v>
          </cell>
        </row>
        <row r="1819">
          <cell r="A1819">
            <v>10064</v>
          </cell>
        </row>
        <row r="1820">
          <cell r="A1820">
            <v>10065</v>
          </cell>
        </row>
        <row r="1821">
          <cell r="A1821">
            <v>10066</v>
          </cell>
        </row>
        <row r="1822">
          <cell r="A1822">
            <v>10067</v>
          </cell>
        </row>
        <row r="1823">
          <cell r="A1823">
            <v>10068</v>
          </cell>
        </row>
        <row r="1824">
          <cell r="A1824">
            <v>10069</v>
          </cell>
        </row>
        <row r="1825">
          <cell r="A1825">
            <v>10070</v>
          </cell>
        </row>
        <row r="1826">
          <cell r="A1826">
            <v>10071</v>
          </cell>
        </row>
        <row r="1827">
          <cell r="A1827">
            <v>10072</v>
          </cell>
        </row>
        <row r="1828">
          <cell r="A1828">
            <v>10073</v>
          </cell>
        </row>
        <row r="1829">
          <cell r="A1829">
            <v>10074</v>
          </cell>
        </row>
        <row r="1830">
          <cell r="A1830">
            <v>10075</v>
          </cell>
        </row>
        <row r="1831">
          <cell r="A1831">
            <v>10076</v>
          </cell>
        </row>
        <row r="1832">
          <cell r="A1832">
            <v>10077</v>
          </cell>
        </row>
        <row r="1833">
          <cell r="A1833">
            <v>10078</v>
          </cell>
        </row>
        <row r="1834">
          <cell r="A1834">
            <v>10079</v>
          </cell>
        </row>
        <row r="1835">
          <cell r="A1835">
            <v>10080</v>
          </cell>
        </row>
        <row r="1836">
          <cell r="A1836">
            <v>10081</v>
          </cell>
        </row>
        <row r="1837">
          <cell r="A1837">
            <v>10082</v>
          </cell>
        </row>
        <row r="1838">
          <cell r="A1838">
            <v>10083</v>
          </cell>
        </row>
        <row r="1839">
          <cell r="A1839">
            <v>10084</v>
          </cell>
        </row>
        <row r="1840">
          <cell r="A1840">
            <v>10085</v>
          </cell>
        </row>
        <row r="1841">
          <cell r="A1841">
            <v>10086</v>
          </cell>
        </row>
        <row r="1842">
          <cell r="A1842">
            <v>10087</v>
          </cell>
        </row>
        <row r="1843">
          <cell r="A1843">
            <v>10088</v>
          </cell>
        </row>
        <row r="1844">
          <cell r="A1844">
            <v>10089</v>
          </cell>
        </row>
        <row r="1845">
          <cell r="A1845">
            <v>10090</v>
          </cell>
        </row>
        <row r="1846">
          <cell r="A1846">
            <v>10101</v>
          </cell>
        </row>
        <row r="1847">
          <cell r="A1847">
            <v>10102</v>
          </cell>
        </row>
        <row r="1848">
          <cell r="A1848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1" sqref="A1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298</v>
      </c>
      <c r="B2" s="57" t="s">
        <v>107</v>
      </c>
      <c r="C2" s="63">
        <v>48101</v>
      </c>
      <c r="D2" s="57" t="s">
        <v>108</v>
      </c>
      <c r="E2" s="56" t="str">
        <f>B2&amp;C2&amp;D2</f>
        <v>floors_48101.tmp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298</v>
      </c>
      <c r="B3" s="57" t="s">
        <v>110</v>
      </c>
      <c r="C3" s="63">
        <v>48101</v>
      </c>
      <c r="D3" s="57" t="s">
        <v>108</v>
      </c>
      <c r="E3" s="56" t="str">
        <f>B3&amp;C3&amp;D3</f>
        <v>enemy_habitats_48101.tmp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298</v>
      </c>
      <c r="B4" s="57" t="s">
        <v>112</v>
      </c>
      <c r="C4" s="63">
        <v>48101</v>
      </c>
      <c r="D4" s="57" t="s">
        <v>108</v>
      </c>
      <c r="E4" s="56" t="str">
        <f>B4&amp;C4&amp;D4</f>
        <v>enemy_habitat_S_48101.tmp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298</v>
      </c>
      <c r="B5" s="57" t="s">
        <v>114</v>
      </c>
      <c r="C5" s="63">
        <v>48101</v>
      </c>
      <c r="D5" s="57" t="s">
        <v>108</v>
      </c>
      <c r="E5" s="56" t="str">
        <f>B5&amp;C5&amp;D5</f>
        <v>enemy_skill_sets_48101.tmp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298</v>
      </c>
      <c r="B6" s="57" t="s">
        <v>116</v>
      </c>
      <c r="C6" s="63">
        <v>48101</v>
      </c>
      <c r="D6" s="57" t="s">
        <v>117</v>
      </c>
      <c r="E6" s="56" t="str">
        <f t="shared" ref="E6:E10" si="0">B6&amp;C6&amp;D6</f>
        <v>enemy_skills_tmp_48101.tmp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299</v>
      </c>
      <c r="B7" s="57" t="s">
        <v>118</v>
      </c>
      <c r="C7" s="63">
        <v>48101</v>
      </c>
      <c r="D7" s="57" t="s">
        <v>108</v>
      </c>
      <c r="E7" s="56" t="str">
        <f>B7&amp;C7&amp;D7</f>
        <v>enemy_skills_i18n_48101.tmp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298</v>
      </c>
      <c r="B8" s="57" t="s">
        <v>120</v>
      </c>
      <c r="C8" s="63">
        <v>48101</v>
      </c>
      <c r="D8" s="57" t="s">
        <v>121</v>
      </c>
      <c r="E8" s="56" t="str">
        <f t="shared" si="0"/>
        <v>enemy_skill_triggers_48101.tmp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298</v>
      </c>
      <c r="B9" s="68" t="s">
        <v>178</v>
      </c>
      <c r="C9" s="63">
        <v>48101</v>
      </c>
      <c r="D9" s="68" t="s">
        <v>172</v>
      </c>
      <c r="E9" s="69" t="str">
        <f t="shared" si="0"/>
        <v>stage_bug_bonuses_48101.tmp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298</v>
      </c>
      <c r="B10" s="68" t="s">
        <v>200</v>
      </c>
      <c r="C10" s="63">
        <v>48101</v>
      </c>
      <c r="D10" s="68" t="s">
        <v>181</v>
      </c>
      <c r="E10" s="69" t="str">
        <f t="shared" si="0"/>
        <v>stage_hints_data_c_48101.tmp</v>
      </c>
      <c r="F10" s="68" t="s">
        <v>208</v>
      </c>
      <c r="G10" s="74" t="s">
        <v>182</v>
      </c>
      <c r="H10" s="74" t="s">
        <v>174</v>
      </c>
      <c r="I10" s="75" t="s">
        <v>183</v>
      </c>
      <c r="J10" s="67" t="s">
        <v>184</v>
      </c>
      <c r="K10" s="67" t="s">
        <v>185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298</v>
      </c>
      <c r="B11" s="68" t="s">
        <v>201</v>
      </c>
      <c r="C11" s="63">
        <v>48101</v>
      </c>
      <c r="D11" s="68" t="s">
        <v>172</v>
      </c>
      <c r="E11" s="69" t="str">
        <f t="shared" ref="E11:E13" si="1">B11&amp;C11&amp;D11</f>
        <v>stage_hints_data_f_48101.tmp</v>
      </c>
      <c r="F11" s="68" t="s">
        <v>209</v>
      </c>
      <c r="G11" s="74" t="s">
        <v>182</v>
      </c>
      <c r="H11" s="74" t="s">
        <v>174</v>
      </c>
      <c r="I11" s="75" t="s">
        <v>183</v>
      </c>
      <c r="J11" s="67" t="s">
        <v>184</v>
      </c>
      <c r="K11" s="67" t="s">
        <v>185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298</v>
      </c>
      <c r="B12" s="68" t="s">
        <v>202</v>
      </c>
      <c r="C12" s="63">
        <v>48101</v>
      </c>
      <c r="D12" s="68" t="s">
        <v>172</v>
      </c>
      <c r="E12" s="69" t="str">
        <f t="shared" si="1"/>
        <v>stage_hints_i18n_48101.tmp</v>
      </c>
      <c r="F12" s="68" t="s">
        <v>210</v>
      </c>
      <c r="G12" s="75" t="s">
        <v>203</v>
      </c>
      <c r="H12" s="94" t="s">
        <v>204</v>
      </c>
      <c r="I12" s="74" t="s">
        <v>205</v>
      </c>
      <c r="J12" s="102" t="s">
        <v>206</v>
      </c>
      <c r="K12" s="67" t="s">
        <v>207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298</v>
      </c>
      <c r="B13" s="68" t="s">
        <v>250</v>
      </c>
      <c r="C13" s="63">
        <v>48101</v>
      </c>
      <c r="D13" s="68" t="s">
        <v>231</v>
      </c>
      <c r="E13" s="69" t="str">
        <f t="shared" si="1"/>
        <v>stage_bonuses_48101.tmp</v>
      </c>
      <c r="F13" s="68" t="s">
        <v>230</v>
      </c>
      <c r="G13" s="74" t="s">
        <v>232</v>
      </c>
      <c r="H13" s="74" t="s">
        <v>233</v>
      </c>
      <c r="I13" s="74" t="s">
        <v>234</v>
      </c>
      <c r="J13" s="74" t="s">
        <v>235</v>
      </c>
      <c r="K13" s="74" t="s">
        <v>236</v>
      </c>
      <c r="L13" s="74" t="s">
        <v>237</v>
      </c>
      <c r="M13" s="74" t="s">
        <v>238</v>
      </c>
      <c r="N13" s="74" t="s">
        <v>239</v>
      </c>
      <c r="O13" s="74" t="s">
        <v>240</v>
      </c>
      <c r="P13" s="74" t="s">
        <v>241</v>
      </c>
      <c r="Q13" s="74" t="s">
        <v>242</v>
      </c>
      <c r="R13" s="74" t="s">
        <v>243</v>
      </c>
      <c r="S13" s="74" t="s">
        <v>244</v>
      </c>
      <c r="T13" s="74" t="s">
        <v>245</v>
      </c>
      <c r="U13" s="74" t="s">
        <v>246</v>
      </c>
      <c r="V13" s="74" t="s">
        <v>247</v>
      </c>
      <c r="W13" s="74" t="s">
        <v>248</v>
      </c>
      <c r="X13" s="74" t="s">
        <v>249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F12" sqref="F1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48101_2-1</v>
      </c>
      <c r="B2" s="16" t="str">
        <f>IF(COUNTIF(enemy_habitats!$H:$H,A2),"OK","NG")</f>
        <v>OK</v>
      </c>
      <c r="C2" s="7">
        <v>48101</v>
      </c>
      <c r="D2" s="11" t="str">
        <f ca="1">VLOOKUP($C2,OFFSET([2]quests!$A$1,0,0,COUNTA([2]quests!$A:$A),MATCH(D$1,[2]quests!$1:$1,0)-MATCH($C$1,[2]quests!$1:$1,0)+1),MATCH(D$1,[2]quests!$1:$1,0)-MATCH($C$1,[2]quests!$1:$1,0)+1,FALSE)</f>
        <v>喀耳刻襲来！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台湾版コラボ降臨1</v>
      </c>
      <c r="F2" s="21">
        <v>2</v>
      </c>
      <c r="G2" s="23" t="str">
        <f t="shared" ref="G2:G9" si="1">C2&amp;"_"&amp;F2</f>
        <v>48101_2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【ウィザード級】喀耳刻襲来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48101_2-2</v>
      </c>
      <c r="B3" s="16" t="str">
        <f>IF(COUNTIF(enemy_habitats!$H:$H,A3),"OK","NG")</f>
        <v>OK</v>
      </c>
      <c r="C3" s="7">
        <v>48101</v>
      </c>
      <c r="D3" s="11" t="str">
        <f ca="1">VLOOKUP($C3,OFFSET([2]quests!$A$1,0,0,COUNTA([2]quests!$A:$A),MATCH(D$1,[2]quests!$1:$1,0)-MATCH($C$1,[2]quests!$1:$1,0)+1),MATCH(D$1,[2]quests!$1:$1,0)-MATCH($C$1,[2]quests!$1:$1,0)+1,FALSE)</f>
        <v>喀耳刻襲来！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台湾版コラボ降臨1</v>
      </c>
      <c r="F3" s="21">
        <v>2</v>
      </c>
      <c r="G3" s="23" t="str">
        <f t="shared" si="1"/>
        <v>48101_2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【ウィザード級】喀耳刻襲来</v>
      </c>
      <c r="I3" s="21">
        <v>2</v>
      </c>
      <c r="J3" s="12">
        <v>40</v>
      </c>
      <c r="K3" s="12">
        <v>40</v>
      </c>
    </row>
    <row r="4" spans="1:11" ht="21" customHeight="1" x14ac:dyDescent="0.15">
      <c r="A4" s="16" t="str">
        <f t="shared" si="0"/>
        <v>48101_2-3</v>
      </c>
      <c r="B4" s="16" t="str">
        <f>IF(COUNTIF(enemy_habitats!$H:$H,A4),"OK","NG")</f>
        <v>OK</v>
      </c>
      <c r="C4" s="197">
        <v>48101</v>
      </c>
      <c r="D4" s="18" t="str">
        <f ca="1">VLOOKUP($C4,OFFSET([2]quests!$A$1,0,0,COUNTA([2]quests!$A:$A),MATCH(D$1,[2]quests!$1:$1,0)-MATCH($C$1,[2]quests!$1:$1,0)+1),MATCH(D$1,[2]quests!$1:$1,0)-MATCH($C$1,[2]quests!$1:$1,0)+1,FALSE)</f>
        <v>喀耳刻襲来！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台湾版コラボ降臨1</v>
      </c>
      <c r="F4" s="198">
        <v>2</v>
      </c>
      <c r="G4" s="23" t="str">
        <f t="shared" si="1"/>
        <v>48101_2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【ウィザード級】喀耳刻襲来</v>
      </c>
      <c r="I4" s="198">
        <v>3</v>
      </c>
      <c r="J4" s="38">
        <v>60</v>
      </c>
      <c r="K4" s="38">
        <v>60</v>
      </c>
    </row>
    <row r="5" spans="1:11" ht="21" customHeight="1" thickBot="1" x14ac:dyDescent="0.2">
      <c r="A5" s="16" t="str">
        <f t="shared" si="0"/>
        <v>48101_2-4</v>
      </c>
      <c r="B5" s="16" t="str">
        <f>IF(COUNTIF(enemy_habitats!$H:$H,A5),"OK","NG")</f>
        <v>OK</v>
      </c>
      <c r="C5" s="176">
        <v>48101</v>
      </c>
      <c r="D5" s="201" t="str">
        <f ca="1">VLOOKUP($C5,OFFSET([2]quests!$A$1,0,0,COUNTA([2]quests!$A:$A),MATCH(D$1,[2]quests!$1:$1,0)-MATCH($C$1,[2]quests!$1:$1,0)+1),MATCH(D$1,[2]quests!$1:$1,0)-MATCH($C$1,[2]quests!$1:$1,0)+1,FALSE)</f>
        <v>喀耳刻襲来！</v>
      </c>
      <c r="E5" s="201" t="str">
        <f ca="1">VLOOKUP($C5,OFFSET([2]quests!$A$1,0,0,COUNTA([2]quests!$A:$A),MATCH(E$1,[2]quests!$1:$1,0)-MATCH($C$1,[2]quests!$1:$1,0)+1),MATCH(E$1,[2]quests!$1:$1,0)-MATCH($C$1,[2]quests!$1:$1,0)+1,FALSE)</f>
        <v>台湾版コラボ降臨1</v>
      </c>
      <c r="F5" s="159">
        <v>2</v>
      </c>
      <c r="G5" s="202" t="str">
        <f t="shared" si="1"/>
        <v>48101_2</v>
      </c>
      <c r="H5" s="160" t="str">
        <f ca="1">VLOOKUP($G5,OFFSET([2]stages!$A$1,0,0,COUNTA([2]stages!$A:$A),MATCH(H$1,[2]stages!$2:$2,0)-MATCH($G$1,[2]stages!$2:$2,0)+1),MATCH(H$1,[2]stages!$2:$2,0)-MATCH($G$1,[2]stages!$2:$2,0)+1,FALSE)</f>
        <v>【ウィザード級】喀耳刻襲来</v>
      </c>
      <c r="I5" s="159">
        <v>4</v>
      </c>
      <c r="J5" s="162">
        <v>60</v>
      </c>
      <c r="K5" s="162">
        <v>60</v>
      </c>
    </row>
    <row r="6" spans="1:11" ht="21" customHeight="1" x14ac:dyDescent="0.15">
      <c r="A6" s="16" t="str">
        <f t="shared" si="0"/>
        <v>48101_1-1</v>
      </c>
      <c r="B6" s="16" t="str">
        <f>IF(COUNTIF(enemy_habitats!$H:$H,A6),"OK","NG")</f>
        <v>OK</v>
      </c>
      <c r="C6" s="171">
        <v>48101</v>
      </c>
      <c r="D6" s="199" t="str">
        <f ca="1">VLOOKUP($C6,OFFSET([2]quests!$A$1,0,0,COUNTA([2]quests!$A:$A),MATCH(D$1,[2]quests!$1:$1,0)-MATCH($C$1,[2]quests!$1:$1,0)+1),MATCH(D$1,[2]quests!$1:$1,0)-MATCH($C$1,[2]quests!$1:$1,0)+1,FALSE)</f>
        <v>喀耳刻襲来！</v>
      </c>
      <c r="E6" s="199" t="str">
        <f ca="1">VLOOKUP($C6,OFFSET([2]quests!$A$1,0,0,COUNTA([2]quests!$A:$A),MATCH(E$1,[2]quests!$1:$1,0)-MATCH($C$1,[2]quests!$1:$1,0)+1),MATCH(E$1,[2]quests!$1:$1,0)-MATCH($C$1,[2]quests!$1:$1,0)+1,FALSE)</f>
        <v>台湾版コラボ降臨1</v>
      </c>
      <c r="F6" s="149">
        <v>1</v>
      </c>
      <c r="G6" s="200" t="str">
        <f t="shared" si="1"/>
        <v>48101_1</v>
      </c>
      <c r="H6" s="150" t="str">
        <f ca="1">VLOOKUP($G6,OFFSET([2]stages!$A$1,0,0,COUNTA([2]stages!$A:$A),MATCH(H$1,[2]stages!$2:$2,0)-MATCH($G$1,[2]stages!$2:$2,0)+1),MATCH(H$1,[2]stages!$2:$2,0)-MATCH($G$1,[2]stages!$2:$2,0)+1,FALSE)</f>
        <v>【超絶級】喀耳刻襲来</v>
      </c>
      <c r="I6" s="149">
        <v>1</v>
      </c>
      <c r="J6" s="151">
        <v>60</v>
      </c>
      <c r="K6" s="151">
        <v>60</v>
      </c>
    </row>
    <row r="7" spans="1:11" ht="21" customHeight="1" x14ac:dyDescent="0.15">
      <c r="A7" s="16" t="str">
        <f t="shared" si="0"/>
        <v>48101_1-2</v>
      </c>
      <c r="B7" s="16" t="str">
        <f>IF(COUNTIF(enemy_habitats!$H:$H,A7),"OK","NG")</f>
        <v>OK</v>
      </c>
      <c r="C7" s="7">
        <v>48101</v>
      </c>
      <c r="D7" s="11" t="str">
        <f ca="1">VLOOKUP($C7,OFFSET([2]quests!$A$1,0,0,COUNTA([2]quests!$A:$A),MATCH(D$1,[2]quests!$1:$1,0)-MATCH($C$1,[2]quests!$1:$1,0)+1),MATCH(D$1,[2]quests!$1:$1,0)-MATCH($C$1,[2]quests!$1:$1,0)+1,FALSE)</f>
        <v>喀耳刻襲来！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台湾版コラボ降臨1</v>
      </c>
      <c r="F7" s="21">
        <v>1</v>
      </c>
      <c r="G7" s="23" t="str">
        <f t="shared" si="1"/>
        <v>48101_1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【超絶級】喀耳刻襲来</v>
      </c>
      <c r="I7" s="21">
        <v>2</v>
      </c>
      <c r="J7" s="12">
        <v>40</v>
      </c>
      <c r="K7" s="12">
        <v>40</v>
      </c>
    </row>
    <row r="8" spans="1:11" ht="21" customHeight="1" x14ac:dyDescent="0.15">
      <c r="A8" s="16" t="str">
        <f t="shared" si="0"/>
        <v>48101_1-3</v>
      </c>
      <c r="B8" s="16" t="str">
        <f>IF(COUNTIF(enemy_habitats!$H:$H,A8),"OK","NG")</f>
        <v>OK</v>
      </c>
      <c r="C8" s="7">
        <v>48101</v>
      </c>
      <c r="D8" s="11" t="str">
        <f ca="1">VLOOKUP($C8,OFFSET([2]quests!$A$1,0,0,COUNTA([2]quests!$A:$A),MATCH(D$1,[2]quests!$1:$1,0)-MATCH($C$1,[2]quests!$1:$1,0)+1),MATCH(D$1,[2]quests!$1:$1,0)-MATCH($C$1,[2]quests!$1:$1,0)+1,FALSE)</f>
        <v>喀耳刻襲来！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台湾版コラボ降臨1</v>
      </c>
      <c r="F8" s="21">
        <v>1</v>
      </c>
      <c r="G8" s="23" t="str">
        <f t="shared" si="1"/>
        <v>48101_1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【超絶級】喀耳刻襲来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48101_1-4</v>
      </c>
      <c r="B9" s="16" t="str">
        <f>IF(COUNTIF(enemy_habitats!$H:$H,A9),"OK","NG")</f>
        <v>OK</v>
      </c>
      <c r="C9" s="7">
        <v>48101</v>
      </c>
      <c r="D9" s="11" t="str">
        <f ca="1">VLOOKUP($C9,OFFSET([2]quests!$A$1,0,0,COUNTA([2]quests!$A:$A),MATCH(D$1,[2]quests!$1:$1,0)-MATCH($C$1,[2]quests!$1:$1,0)+1),MATCH(D$1,[2]quests!$1:$1,0)-MATCH($C$1,[2]quests!$1:$1,0)+1,FALSE)</f>
        <v>喀耳刻襲来！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台湾版コラボ降臨1</v>
      </c>
      <c r="F9" s="21">
        <v>1</v>
      </c>
      <c r="G9" s="23" t="str">
        <f t="shared" si="1"/>
        <v>48101_1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【超絶級】喀耳刻襲来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J12" sqref="AJ1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251</v>
      </c>
      <c r="U1" s="26" t="s">
        <v>50</v>
      </c>
      <c r="V1" s="103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11" si="0">B2&amp;"_"&amp;C2&amp;"-"&amp;G2&amp;"/"&amp;L2&amp;"&lt;lv"&amp;R2&amp;"&gt;s"&amp;AC2</f>
        <v>48101_2-1/580&lt;lv80&gt;s2</v>
      </c>
      <c r="B2" s="22">
        <v>48101</v>
      </c>
      <c r="C2" s="21">
        <v>2</v>
      </c>
      <c r="D2" s="2" t="str">
        <f t="shared" ref="D2:D11" si="1">B2&amp;"_"&amp;C2</f>
        <v>48101_2</v>
      </c>
      <c r="E2" s="4" t="str">
        <f ca="1">VLOOKUP($B2,OFFSET([2]quests!$A$1,0,0,COUNTA([2]quests!$A:$A),MATCH(E$1,[2]quests!$1:$1,0)-MATCH($B$1,[2]quests!$1:$1,0)+1),MATCH(E$1,[2]quests!$1:$1,0)-MATCH($B$1,[2]quests!$1:$1,0)+1,FALSE)</f>
        <v>喀耳刻襲来！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【ウィザード級】喀耳刻襲来</v>
      </c>
      <c r="G2" s="21">
        <v>1</v>
      </c>
      <c r="H2" s="15" t="str">
        <f t="shared" ref="H2:H11" si="2">B2&amp;"_"&amp;C2&amp;"-"&amp;G2</f>
        <v>48101_2-1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580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愛憐の旅神 オーズ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1.2</v>
      </c>
      <c r="T2" s="104">
        <f>S2*122102</f>
        <v>146522.4</v>
      </c>
      <c r="U2" s="25">
        <v>0.6</v>
      </c>
      <c r="V2" s="104">
        <f>U2*8007</f>
        <v>4804.2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！　あの魔女の仲間か！？</v>
      </c>
      <c r="Y2" s="62">
        <v>48101001</v>
      </c>
      <c r="Z2" s="6">
        <v>1</v>
      </c>
      <c r="AA2" s="6">
        <v>100</v>
      </c>
      <c r="AB2" s="6">
        <v>0</v>
      </c>
      <c r="AC2" s="17">
        <v>2</v>
      </c>
      <c r="AD2" s="24">
        <f t="shared" ref="AD2:AD11" si="3">L2</f>
        <v>580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愛憐の旅神 オーズ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11" ca="1" si="4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48101_2-2/72&lt;lv80&gt;s2</v>
      </c>
      <c r="B3" s="22">
        <v>48101</v>
      </c>
      <c r="C3" s="21">
        <v>2</v>
      </c>
      <c r="D3" s="2" t="str">
        <f t="shared" si="1"/>
        <v>48101_2</v>
      </c>
      <c r="E3" s="4" t="str">
        <f ca="1">VLOOKUP($B3,OFFSET([2]quests!$A$1,0,0,COUNTA([2]quests!$A:$A),MATCH(E$1,[2]quests!$1:$1,0)-MATCH($B$1,[2]quests!$1:$1,0)+1),MATCH(E$1,[2]quests!$1:$1,0)-MATCH($B$1,[2]quests!$1:$1,0)+1,FALSE)</f>
        <v>喀耳刻襲来！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【ウィザード級】喀耳刻襲来</v>
      </c>
      <c r="G3" s="21">
        <v>2</v>
      </c>
      <c r="H3" s="15" t="str">
        <f t="shared" si="2"/>
        <v>48101_2-2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>
        <v>1</v>
      </c>
      <c r="L3" s="20">
        <v>72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探求者 ダックス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1.2</v>
      </c>
      <c r="T3" s="104">
        <f>S3*53790</f>
        <v>64548</v>
      </c>
      <c r="U3" s="25">
        <v>0.3</v>
      </c>
      <c r="V3" s="104">
        <f>U3*10628</f>
        <v>3188.4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3" s="62">
        <v>48101002</v>
      </c>
      <c r="Z3" s="6">
        <v>1</v>
      </c>
      <c r="AA3" s="6">
        <v>100</v>
      </c>
      <c r="AB3" s="6">
        <v>0</v>
      </c>
      <c r="AC3" s="17">
        <v>2</v>
      </c>
      <c r="AD3" s="24">
        <f t="shared" si="3"/>
        <v>72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探求者 ダックス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48101_2-2/264&lt;lv80&gt;s1</v>
      </c>
      <c r="B4" s="22">
        <v>48101</v>
      </c>
      <c r="C4" s="21">
        <v>2</v>
      </c>
      <c r="D4" s="2" t="str">
        <f t="shared" si="1"/>
        <v>48101_2</v>
      </c>
      <c r="E4" s="4" t="str">
        <f ca="1">VLOOKUP($B4,OFFSET([2]quests!$A$1,0,0,COUNTA([2]quests!$A:$A),MATCH(E$1,[2]quests!$1:$1,0)-MATCH($B$1,[2]quests!$1:$1,0)+1),MATCH(E$1,[2]quests!$1:$1,0)-MATCH($B$1,[2]quests!$1:$1,0)+1,FALSE)</f>
        <v>喀耳刻襲来！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【ウィザード級】喀耳刻襲来</v>
      </c>
      <c r="G4" s="21">
        <v>2</v>
      </c>
      <c r="H4" s="15" t="str">
        <f t="shared" si="2"/>
        <v>48101_2-2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>
        <v>2</v>
      </c>
      <c r="L4" s="20">
        <v>264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ユニコーン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25">
        <v>0.8</v>
      </c>
      <c r="T4" s="104">
        <f>S4*132593</f>
        <v>106074.40000000001</v>
      </c>
      <c r="U4" s="25">
        <v>1.4</v>
      </c>
      <c r="V4" s="104">
        <f>U4*5243</f>
        <v>7340.2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4" s="47">
        <v>48101004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264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ユニコーン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Drop2W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48101_2-3/1373&lt;lv80&gt;s2</v>
      </c>
      <c r="B5" s="22">
        <v>48101</v>
      </c>
      <c r="C5" s="21">
        <v>2</v>
      </c>
      <c r="D5" s="2" t="str">
        <f t="shared" si="1"/>
        <v>48101_2</v>
      </c>
      <c r="E5" s="4" t="str">
        <f ca="1">VLOOKUP($B5,OFFSET([2]quests!$A$1,0,0,COUNTA([2]quests!$A:$A),MATCH(E$1,[2]quests!$1:$1,0)-MATCH($B$1,[2]quests!$1:$1,0)+1),MATCH(E$1,[2]quests!$1:$1,0)-MATCH($B$1,[2]quests!$1:$1,0)+1,FALSE)</f>
        <v>喀耳刻襲来！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【ウィザード級】喀耳刻襲来</v>
      </c>
      <c r="G5" s="21">
        <v>3</v>
      </c>
      <c r="H5" s="15" t="str">
        <f t="shared" si="2"/>
        <v>48101_2-3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1373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スリー・ピギーズ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2</v>
      </c>
      <c r="T5" s="104">
        <f>S5*93449</f>
        <v>186898</v>
      </c>
      <c r="U5" s="25">
        <v>0.8</v>
      </c>
      <c r="V5" s="104">
        <f>U5*8264</f>
        <v>6611.2000000000007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確率でお邪魔パネルがドロップ</v>
      </c>
      <c r="Y5" s="47">
        <v>48101006</v>
      </c>
      <c r="Z5" s="6">
        <v>1</v>
      </c>
      <c r="AA5" s="6">
        <v>100</v>
      </c>
      <c r="AB5" s="6">
        <v>0</v>
      </c>
      <c r="AC5" s="17">
        <v>2</v>
      </c>
      <c r="AD5" s="24">
        <f t="shared" si="3"/>
        <v>1373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thickBot="1" x14ac:dyDescent="0.2">
      <c r="A6" s="157" t="str">
        <f t="shared" si="0"/>
        <v>48101_2-4/8137&lt;lv80&gt;s2</v>
      </c>
      <c r="B6" s="158">
        <v>48101</v>
      </c>
      <c r="C6" s="159">
        <v>2</v>
      </c>
      <c r="D6" s="160" t="str">
        <f t="shared" si="1"/>
        <v>48101_2</v>
      </c>
      <c r="E6" s="161" t="str">
        <f ca="1">VLOOKUP($B6,OFFSET([2]quests!$A$1,0,0,COUNTA([2]quests!$A:$A),MATCH(E$1,[2]quests!$1:$1,0)-MATCH($B$1,[2]quests!$1:$1,0)+1),MATCH(E$1,[2]quests!$1:$1,0)-MATCH($B$1,[2]quests!$1:$1,0)+1,FALSE)</f>
        <v>喀耳刻襲来！</v>
      </c>
      <c r="F6" s="161" t="str">
        <f ca="1">VLOOKUP($D6,OFFSET([2]stages!$A$1,0,0,COUNTA([2]stages!$A:$A),MATCH(F$1,[2]stages!$2:$2,0)-MATCH($D$1,[2]stages!$2:$2,0)+1),MATCH(F$1,[2]stages!$2:$2,0)-MATCH($D$1,[2]stages!$2:$2,0)+1,FALSE)</f>
        <v>【ウィザード級】喀耳刻襲来</v>
      </c>
      <c r="G6" s="159">
        <v>4</v>
      </c>
      <c r="H6" s="160" t="str">
        <f t="shared" si="2"/>
        <v>48101_2-4</v>
      </c>
      <c r="I6" s="161">
        <f ca="1">VLOOKUP($H6,OFFSET(floors!$A$1,0,0,COUNTA(floors!$A:$A),MATCH(I$1,floors!$1:$1,0)-MATCH($H$1,floors!$1:$1,0)+1),MATCH(I$1,floors!$1:$1,0)-MATCH($H$1,floors!$1:$1,0)+1,FALSE)</f>
        <v>60</v>
      </c>
      <c r="J6" s="161">
        <f ca="1">VLOOKUP($H6,OFFSET(floors!$A$1,0,0,COUNTA(floors!$A:$A),MATCH(J$1,floors!$1:$1,0)-MATCH($H$1,floors!$1:$1,0)+1),MATCH(J$1,floors!$1:$1,0)-MATCH($H$1,floors!$1:$1,0)+1,FALSE)</f>
        <v>60</v>
      </c>
      <c r="K6" s="162">
        <v>1</v>
      </c>
      <c r="L6" s="163">
        <v>8137</v>
      </c>
      <c r="M6" s="164" t="str">
        <f ca="1">VLOOKUP($L6,OFFSET([3]enemies!$A$1,0,0,COUNTA([3]enemies!$A:$A),MATCH(M$1,[3]enemies!$1:$1,0)-MATCH($L$1,[3]enemies!$1:$1,0)+1),MATCH(M$1,[3]enemies!$1:$1,0)-MATCH($L$1,[3]enemies!$1:$1,0)+1,FALSE)</f>
        <v>黑巫術之疚惡 ‧ 喀耳刻</v>
      </c>
      <c r="N6" s="164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4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64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64">
        <f ca="1">VLOOKUP($L6,OFFSET([3]enemies!$A$1,0,0,COUNTA([3]enemies!$A:$A),MATCH(Q$1,[3]enemies!$1:$1,0)-MATCH($L$1,[3]enemies!$1:$1,0)+1),MATCH(Q$1,[3]enemies!$1:$1,0)-MATCH($L$1,[3]enemies!$1:$1,0)+1,FALSE)</f>
        <v>60</v>
      </c>
      <c r="R6" s="165">
        <v>80</v>
      </c>
      <c r="S6" s="166">
        <v>3.4</v>
      </c>
      <c r="T6" s="167">
        <f>S6*132842</f>
        <v>451662.8</v>
      </c>
      <c r="U6" s="166">
        <v>0.8</v>
      </c>
      <c r="V6" s="167">
        <f>U6*8636</f>
        <v>6908.8</v>
      </c>
      <c r="W6" s="165">
        <v>0</v>
      </c>
      <c r="X6" s="161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状態異常耐性+_x000D_特定エリアをお邪魔パネルに変換</v>
      </c>
      <c r="Y6" s="107">
        <v>48101008</v>
      </c>
      <c r="Z6" s="174">
        <v>1</v>
      </c>
      <c r="AA6" s="174">
        <v>100</v>
      </c>
      <c r="AB6" s="174">
        <v>0</v>
      </c>
      <c r="AC6" s="164">
        <v>2</v>
      </c>
      <c r="AD6" s="175">
        <f t="shared" si="3"/>
        <v>8137</v>
      </c>
      <c r="AE6" s="161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黑巫術之疚惡 ‧ 喀耳刻</v>
      </c>
      <c r="AF6" s="161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161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176">
        <v>1</v>
      </c>
      <c r="AI6" s="175">
        <f t="shared" ca="1" si="4"/>
        <v>6</v>
      </c>
      <c r="AJ6" s="177">
        <v>100</v>
      </c>
      <c r="AK6" s="176">
        <v>0</v>
      </c>
      <c r="AL6" s="176">
        <v>0</v>
      </c>
      <c r="AM6" s="176">
        <v>0</v>
      </c>
      <c r="AN6" s="176">
        <v>0</v>
      </c>
      <c r="AO6" s="176">
        <v>1</v>
      </c>
      <c r="AP6" s="178">
        <v>1</v>
      </c>
    </row>
    <row r="7" spans="1:42" ht="21" customHeight="1" x14ac:dyDescent="0.15">
      <c r="A7" s="16" t="str">
        <f t="shared" si="0"/>
        <v>48101_1-1/580&lt;lv60&gt;s2</v>
      </c>
      <c r="B7" s="22">
        <v>48101</v>
      </c>
      <c r="C7" s="149">
        <v>1</v>
      </c>
      <c r="D7" s="150" t="str">
        <f t="shared" si="1"/>
        <v>48101_1</v>
      </c>
      <c r="E7" s="4" t="str">
        <f ca="1">VLOOKUP($B7,OFFSET([2]quests!$A$1,0,0,COUNTA([2]quests!$A:$A),MATCH(E$1,[2]quests!$1:$1,0)-MATCH($B$1,[2]quests!$1:$1,0)+1),MATCH(E$1,[2]quests!$1:$1,0)-MATCH($B$1,[2]quests!$1:$1,0)+1,FALSE)</f>
        <v>喀耳刻襲来！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【超絶級】喀耳刻襲来</v>
      </c>
      <c r="G7" s="149">
        <v>1</v>
      </c>
      <c r="H7" s="150" t="str">
        <f t="shared" si="2"/>
        <v>48101_1-1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51" t="s">
        <v>53</v>
      </c>
      <c r="L7" s="152">
        <v>580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愛憐の旅神 オーズ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153">
        <v>60</v>
      </c>
      <c r="S7" s="154">
        <v>1.2</v>
      </c>
      <c r="T7" s="155">
        <f>S7* 92138</f>
        <v>110565.59999999999</v>
      </c>
      <c r="U7" s="154">
        <v>0.6</v>
      </c>
      <c r="V7" s="155">
        <f>U7*6042</f>
        <v>3625.2</v>
      </c>
      <c r="W7" s="153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！　あの魔女の仲間か！？</v>
      </c>
      <c r="Y7" s="62">
        <v>48101010</v>
      </c>
      <c r="Z7" s="169">
        <v>1</v>
      </c>
      <c r="AA7" s="169">
        <v>100</v>
      </c>
      <c r="AB7" s="169">
        <v>0</v>
      </c>
      <c r="AC7" s="17">
        <v>2</v>
      </c>
      <c r="AD7" s="170">
        <f t="shared" si="3"/>
        <v>580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愛憐の旅神 オーズ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171">
        <v>1</v>
      </c>
      <c r="AI7" s="170">
        <f t="shared" ca="1" si="4"/>
        <v>5</v>
      </c>
      <c r="AJ7" s="172">
        <v>0</v>
      </c>
      <c r="AK7" s="171">
        <v>0</v>
      </c>
      <c r="AL7" s="171">
        <v>0</v>
      </c>
      <c r="AM7" s="171">
        <v>0</v>
      </c>
      <c r="AN7" s="171">
        <v>0</v>
      </c>
      <c r="AO7" s="171">
        <v>1</v>
      </c>
      <c r="AP7" s="173">
        <v>1</v>
      </c>
    </row>
    <row r="8" spans="1:42" ht="21" customHeight="1" x14ac:dyDescent="0.15">
      <c r="A8" s="16" t="str">
        <f t="shared" si="0"/>
        <v>48101_1-2/72&lt;lv60&gt;s2</v>
      </c>
      <c r="B8" s="22">
        <v>48101</v>
      </c>
      <c r="C8" s="21">
        <v>1</v>
      </c>
      <c r="D8" s="2" t="str">
        <f t="shared" si="1"/>
        <v>48101_1</v>
      </c>
      <c r="E8" s="4" t="str">
        <f ca="1">VLOOKUP($B8,OFFSET([2]quests!$A$1,0,0,COUNTA([2]quests!$A:$A),MATCH(E$1,[2]quests!$1:$1,0)-MATCH($B$1,[2]quests!$1:$1,0)+1),MATCH(E$1,[2]quests!$1:$1,0)-MATCH($B$1,[2]quests!$1:$1,0)+1,FALSE)</f>
        <v>喀耳刻襲来！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【超絶級】喀耳刻襲来</v>
      </c>
      <c r="G8" s="21">
        <v>2</v>
      </c>
      <c r="H8" s="15" t="str">
        <f t="shared" si="2"/>
        <v>48101_1-2</v>
      </c>
      <c r="I8" s="4">
        <f ca="1">VLOOKUP($H8,OFFSET(floors!$A$1,0,0,COUNTA(floors!$A:$A),MATCH(I$1,floors!$1:$1,0)-MATCH($H$1,floors!$1:$1,0)+1),MATCH(I$1,floors!$1:$1,0)-MATCH($H$1,floors!$1:$1,0)+1,FALSE)</f>
        <v>40</v>
      </c>
      <c r="J8" s="4">
        <f ca="1">VLOOKUP($H8,OFFSET(floors!$A$1,0,0,COUNTA(floors!$A:$A),MATCH(J$1,floors!$1:$1,0)-MATCH($H$1,floors!$1:$1,0)+1),MATCH(J$1,floors!$1:$1,0)-MATCH($H$1,floors!$1:$1,0)+1,FALSE)</f>
        <v>40</v>
      </c>
      <c r="K8" s="38">
        <v>1</v>
      </c>
      <c r="L8" s="20">
        <v>72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探求者 ダックス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60</v>
      </c>
      <c r="S8" s="25">
        <v>1.2</v>
      </c>
      <c r="T8" s="104">
        <f>S8*40590</f>
        <v>48708</v>
      </c>
      <c r="U8" s="25">
        <v>0.3</v>
      </c>
      <c r="V8" s="104">
        <f>U8*8020</f>
        <v>2406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8" s="62">
        <v>48101011</v>
      </c>
      <c r="Z8" s="6">
        <v>1</v>
      </c>
      <c r="AA8" s="6">
        <v>100</v>
      </c>
      <c r="AB8" s="6">
        <v>0</v>
      </c>
      <c r="AC8" s="17">
        <v>2</v>
      </c>
      <c r="AD8" s="24">
        <f t="shared" si="3"/>
        <v>72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探求者 ダックス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4"/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48101_1-2/264&lt;lv60&gt;s1</v>
      </c>
      <c r="B9" s="22">
        <v>48101</v>
      </c>
      <c r="C9" s="21">
        <v>1</v>
      </c>
      <c r="D9" s="2" t="str">
        <f t="shared" si="1"/>
        <v>48101_1</v>
      </c>
      <c r="E9" s="4" t="str">
        <f ca="1">VLOOKUP($B9,OFFSET([2]quests!$A$1,0,0,COUNTA([2]quests!$A:$A),MATCH(E$1,[2]quests!$1:$1,0)-MATCH($B$1,[2]quests!$1:$1,0)+1),MATCH(E$1,[2]quests!$1:$1,0)-MATCH($B$1,[2]quests!$1:$1,0)+1,FALSE)</f>
        <v>喀耳刻襲来！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【超絶級】喀耳刻襲来</v>
      </c>
      <c r="G9" s="21">
        <v>2</v>
      </c>
      <c r="H9" s="15" t="str">
        <f t="shared" si="2"/>
        <v>48101_1-2</v>
      </c>
      <c r="I9" s="4">
        <f ca="1">VLOOKUP($H9,OFFSET(floors!$A$1,0,0,COUNTA(floors!$A:$A),MATCH(I$1,floors!$1:$1,0)-MATCH($H$1,floors!$1:$1,0)+1),MATCH(I$1,floors!$1:$1,0)-MATCH($H$1,floors!$1:$1,0)+1,FALSE)</f>
        <v>40</v>
      </c>
      <c r="J9" s="4">
        <f ca="1">VLOOKUP($H9,OFFSET(floors!$A$1,0,0,COUNTA(floors!$A:$A),MATCH(J$1,floors!$1:$1,0)-MATCH($H$1,floors!$1:$1,0)+1),MATCH(J$1,floors!$1:$1,0)-MATCH($H$1,floors!$1:$1,0)+1,FALSE)</f>
        <v>40</v>
      </c>
      <c r="K9" s="38">
        <v>2</v>
      </c>
      <c r="L9" s="20">
        <v>264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ユニコーン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60</v>
      </c>
      <c r="S9" s="25">
        <v>0.8</v>
      </c>
      <c r="T9" s="104">
        <f>S9*100055</f>
        <v>80044</v>
      </c>
      <c r="U9" s="25">
        <v>1.4</v>
      </c>
      <c r="V9" s="104">
        <f>U9*3957</f>
        <v>5539.7999999999993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9" s="47">
        <v>48101013</v>
      </c>
      <c r="Z9" s="6">
        <v>1</v>
      </c>
      <c r="AA9" s="6">
        <v>100</v>
      </c>
      <c r="AB9" s="6">
        <v>0</v>
      </c>
      <c r="AC9" s="17">
        <v>1</v>
      </c>
      <c r="AD9" s="24">
        <f t="shared" si="3"/>
        <v>264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ユニコーン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Drop2W</v>
      </c>
      <c r="AH9" s="7">
        <v>1</v>
      </c>
      <c r="AI9" s="24">
        <f t="shared" ca="1" si="4"/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48101_1-3/1373&lt;lv60&gt;s2</v>
      </c>
      <c r="B10" s="22">
        <v>48101</v>
      </c>
      <c r="C10" s="21">
        <v>1</v>
      </c>
      <c r="D10" s="2" t="str">
        <f t="shared" si="1"/>
        <v>48101_1</v>
      </c>
      <c r="E10" s="4" t="str">
        <f ca="1">VLOOKUP($B10,OFFSET([2]quests!$A$1,0,0,COUNTA([2]quests!$A:$A),MATCH(E$1,[2]quests!$1:$1,0)-MATCH($B$1,[2]quests!$1:$1,0)+1),MATCH(E$1,[2]quests!$1:$1,0)-MATCH($B$1,[2]quests!$1:$1,0)+1,FALSE)</f>
        <v>喀耳刻襲来！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【超絶級】喀耳刻襲来</v>
      </c>
      <c r="G10" s="21">
        <v>3</v>
      </c>
      <c r="H10" s="15" t="str">
        <f t="shared" si="2"/>
        <v>48101_1-3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1373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スリー・ピギーズ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25">
        <v>2</v>
      </c>
      <c r="T10" s="104">
        <f>S10*70517</f>
        <v>141034</v>
      </c>
      <c r="U10" s="25">
        <v>0.8</v>
      </c>
      <c r="V10" s="104">
        <f>U10* 6236</f>
        <v>4988.8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低確率でお邪魔パネルがドロップ</v>
      </c>
      <c r="Y10" s="47">
        <v>48101015</v>
      </c>
      <c r="Z10" s="6">
        <v>1</v>
      </c>
      <c r="AA10" s="6">
        <v>100</v>
      </c>
      <c r="AB10" s="6">
        <v>0</v>
      </c>
      <c r="AC10" s="17">
        <v>2</v>
      </c>
      <c r="AD10" s="24">
        <f t="shared" si="3"/>
        <v>1373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48101_1-4/8137&lt;lv60&gt;s2</v>
      </c>
      <c r="B11" s="22">
        <v>48101</v>
      </c>
      <c r="C11" s="21">
        <v>1</v>
      </c>
      <c r="D11" s="2" t="str">
        <f t="shared" si="1"/>
        <v>48101_1</v>
      </c>
      <c r="E11" s="4" t="str">
        <f ca="1">VLOOKUP($B11,OFFSET([2]quests!$A$1,0,0,COUNTA([2]quests!$A:$A),MATCH(E$1,[2]quests!$1:$1,0)-MATCH($B$1,[2]quests!$1:$1,0)+1),MATCH(E$1,[2]quests!$1:$1,0)-MATCH($B$1,[2]quests!$1:$1,0)+1,FALSE)</f>
        <v>喀耳刻襲来！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【超絶級】喀耳刻襲来</v>
      </c>
      <c r="G11" s="21">
        <v>4</v>
      </c>
      <c r="H11" s="15" t="str">
        <f t="shared" si="2"/>
        <v>48101_1-4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20">
        <v>8137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黑巫術之疚惡 ‧ 喀耳刻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60</v>
      </c>
      <c r="S11" s="25">
        <v>3.4</v>
      </c>
      <c r="T11" s="104">
        <f>S11*100243</f>
        <v>340826.2</v>
      </c>
      <c r="U11" s="25">
        <v>0.8</v>
      </c>
      <c r="V11" s="104">
        <f>U11*6517</f>
        <v>5213.6000000000004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状態異常耐性+_x000D_特定エリアをお邪魔パネルに変換</v>
      </c>
      <c r="Y11" s="47">
        <v>48101017</v>
      </c>
      <c r="Z11" s="6">
        <v>1</v>
      </c>
      <c r="AA11" s="6">
        <v>100</v>
      </c>
      <c r="AB11" s="6">
        <v>0</v>
      </c>
      <c r="AC11" s="17">
        <v>2</v>
      </c>
      <c r="AD11" s="24">
        <f t="shared" si="3"/>
        <v>8137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黑巫術之疚惡 ‧ 喀耳刻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6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4"/>
        <v>6</v>
      </c>
      <c r="AJ11" s="8">
        <v>50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9" sqref="T9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251</v>
      </c>
      <c r="V1" s="26" t="s">
        <v>50</v>
      </c>
      <c r="W1" s="103" t="s">
        <v>252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9" si="0">B2&amp;"_"&amp;C2&amp;"-"&amp;G2&amp;"/"&amp;M2&amp;"&lt;lv"&amp;S2&amp;"&gt;sq"&amp;K2&amp;"st"&amp;L2</f>
        <v>48101_2-2/138&lt;lv80&gt;sq1st2</v>
      </c>
      <c r="B2" s="22">
        <v>48101</v>
      </c>
      <c r="C2" s="21">
        <v>2</v>
      </c>
      <c r="D2" s="2" t="str">
        <f t="shared" ref="D2:D9" si="1">B2&amp;"_"&amp;C2</f>
        <v>48101_2</v>
      </c>
      <c r="E2" s="4" t="str">
        <f ca="1">VLOOKUP($B2,OFFSET([2]quests!$A$1,0,0,COUNTA([2]quests!$A:$A),MATCH(E$1,[2]quests!$1:$1,0)-MATCH($B$1,[2]quests!$1:$1,0)+1),MATCH(E$1,[2]quests!$1:$1,0)-MATCH($B$1,[2]quests!$1:$1,0)+1,FALSE)</f>
        <v>喀耳刻襲来！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【ウィザード級】喀耳刻襲来</v>
      </c>
      <c r="G2" s="21">
        <v>2</v>
      </c>
      <c r="H2" s="15" t="str">
        <f t="shared" ref="H2:H9" si="2">B2&amp;"_"&amp;C2&amp;"-"&amp;G2</f>
        <v>48101_2-2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>
        <v>1</v>
      </c>
      <c r="L2" s="38">
        <v>2</v>
      </c>
      <c r="M2" s="20">
        <v>138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蒼薙のトモエ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PremiumW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80</v>
      </c>
      <c r="T2" s="25">
        <v>1</v>
      </c>
      <c r="U2" s="104">
        <f>T2*99593</f>
        <v>99593</v>
      </c>
      <c r="V2" s="25">
        <v>1</v>
      </c>
      <c r="W2" s="104">
        <f>V2*6014</f>
        <v>6014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48101003</v>
      </c>
      <c r="AA2" s="71">
        <v>1</v>
      </c>
    </row>
    <row r="3" spans="1:27" ht="21" customHeight="1" x14ac:dyDescent="0.15">
      <c r="A3" s="16" t="str">
        <f t="shared" si="0"/>
        <v>48101_2-2/152&lt;lv80&gt;sq2st2</v>
      </c>
      <c r="B3" s="22">
        <v>48101</v>
      </c>
      <c r="C3" s="21">
        <v>2</v>
      </c>
      <c r="D3" s="2" t="str">
        <f t="shared" si="1"/>
        <v>48101_2</v>
      </c>
      <c r="E3" s="4" t="str">
        <f ca="1">VLOOKUP($B3,OFFSET([2]quests!$A$1,0,0,COUNTA([2]quests!$A:$A),MATCH(E$1,[2]quests!$1:$1,0)-MATCH($B$1,[2]quests!$1:$1,0)+1),MATCH(E$1,[2]quests!$1:$1,0)-MATCH($B$1,[2]quests!$1:$1,0)+1,FALSE)</f>
        <v>喀耳刻襲来！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【ウィザード級】喀耳刻襲来</v>
      </c>
      <c r="G3" s="21">
        <v>2</v>
      </c>
      <c r="H3" s="15" t="str">
        <f t="shared" si="2"/>
        <v>48101_2-2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>
        <v>2</v>
      </c>
      <c r="L3" s="38">
        <v>2</v>
      </c>
      <c r="M3" s="20">
        <v>152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功夫少女ランラン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PremiumW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80</v>
      </c>
      <c r="T3" s="25">
        <v>1</v>
      </c>
      <c r="U3" s="104">
        <f>T3*81268</f>
        <v>81268</v>
      </c>
      <c r="V3" s="25">
        <v>1</v>
      </c>
      <c r="W3" s="104">
        <f>V3*3440</f>
        <v>3440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7">
        <v>48101005</v>
      </c>
      <c r="AA3" s="71">
        <v>1</v>
      </c>
    </row>
    <row r="4" spans="1:27" ht="21" customHeight="1" x14ac:dyDescent="0.15">
      <c r="A4" s="16" t="str">
        <f t="shared" si="0"/>
        <v>48101_2-3/1374&lt;lv80&gt;sq1st2</v>
      </c>
      <c r="B4" s="22">
        <v>48101</v>
      </c>
      <c r="C4" s="21">
        <v>2</v>
      </c>
      <c r="D4" s="2" t="str">
        <f t="shared" si="1"/>
        <v>48101_2</v>
      </c>
      <c r="E4" s="4" t="str">
        <f ca="1">VLOOKUP($B4,OFFSET([2]quests!$A$1,0,0,COUNTA([2]quests!$A:$A),MATCH(E$1,[2]quests!$1:$1,0)-MATCH($B$1,[2]quests!$1:$1,0)+1),MATCH(E$1,[2]quests!$1:$1,0)-MATCH($B$1,[2]quests!$1:$1,0)+1,FALSE)</f>
        <v>喀耳刻襲来！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【ウィザード級】喀耳刻襲来</v>
      </c>
      <c r="G4" s="21">
        <v>3</v>
      </c>
      <c r="H4" s="15" t="str">
        <f t="shared" si="2"/>
        <v>48101_2-3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1374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一級建築兄弟 スリー・ピギーズ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2</v>
      </c>
      <c r="U4" s="104">
        <f>T4*122202</f>
        <v>244404</v>
      </c>
      <c r="V4" s="25">
        <v>0.5</v>
      </c>
      <c r="W4" s="104">
        <f>V4*8900</f>
        <v>4450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7">
        <v>48101007</v>
      </c>
      <c r="AA4" s="71">
        <v>1</v>
      </c>
    </row>
    <row r="5" spans="1:27" ht="21" customHeight="1" thickBot="1" x14ac:dyDescent="0.2">
      <c r="A5" s="157" t="str">
        <f t="shared" si="0"/>
        <v>48101_2-4/8137&lt;lv80&gt;sq1st2</v>
      </c>
      <c r="B5" s="158">
        <v>48101</v>
      </c>
      <c r="C5" s="159">
        <v>2</v>
      </c>
      <c r="D5" s="160" t="str">
        <f t="shared" si="1"/>
        <v>48101_2</v>
      </c>
      <c r="E5" s="161" t="str">
        <f ca="1">VLOOKUP($B5,OFFSET([2]quests!$A$1,0,0,COUNTA([2]quests!$A:$A),MATCH(E$1,[2]quests!$1:$1,0)-MATCH($B$1,[2]quests!$1:$1,0)+1),MATCH(E$1,[2]quests!$1:$1,0)-MATCH($B$1,[2]quests!$1:$1,0)+1,FALSE)</f>
        <v>喀耳刻襲来！</v>
      </c>
      <c r="F5" s="161" t="str">
        <f ca="1">VLOOKUP($D5,OFFSET([2]stages!$A$1,0,0,COUNTA([2]stages!$A:$A),MATCH(F$1,[2]stages!$2:$2,0)-MATCH($D$1,[2]stages!$2:$2,0)+1),MATCH(F$1,[2]stages!$2:$2,0)-MATCH($D$1,[2]stages!$2:$2,0)+1,FALSE)</f>
        <v>【ウィザード級】喀耳刻襲来</v>
      </c>
      <c r="G5" s="159">
        <v>4</v>
      </c>
      <c r="H5" s="160" t="str">
        <f t="shared" si="2"/>
        <v>48101_2-4</v>
      </c>
      <c r="I5" s="161">
        <f ca="1">VLOOKUP($H5,OFFSET(floors!$A$1,0,0,COUNTA(floors!$A:$A),MATCH(I$1,floors!$1:$1,0)-MATCH($H$1,floors!$1:$1,0)+1),MATCH(I$1,floors!$1:$1,0)-MATCH($H$1,floors!$1:$1,0)+1,FALSE)</f>
        <v>60</v>
      </c>
      <c r="J5" s="161">
        <f ca="1">VLOOKUP($H5,OFFSET(floors!$A$1,0,0,COUNTA(floors!$A:$A),MATCH(J$1,floors!$1:$1,0)-MATCH($H$1,floors!$1:$1,0)+1),MATCH(J$1,floors!$1:$1,0)-MATCH($H$1,floors!$1:$1,0)+1,FALSE)</f>
        <v>60</v>
      </c>
      <c r="K5" s="162">
        <v>1</v>
      </c>
      <c r="L5" s="162">
        <v>2</v>
      </c>
      <c r="M5" s="163">
        <v>8137</v>
      </c>
      <c r="N5" s="164" t="str">
        <f ca="1">VLOOKUP($M5,OFFSET([3]enemies!$A$1,0,0,COUNTA([3]enemies!$A:$A),MATCH(N$1,[3]enemies!$1:$1,0)-MATCH($M$1,[3]enemies!$1:$1,0)+1),MATCH(N$1,[3]enemies!$1:$1,0)-MATCH($M$1,[3]enemies!$1:$1,0)+1,FALSE)</f>
        <v>黑巫術之疚惡 ‧ 喀耳刻</v>
      </c>
      <c r="O5" s="164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64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64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64">
        <f ca="1">VLOOKUP($M5,OFFSET([3]enemies!$A$1,0,0,COUNTA([3]enemies!$A:$A),MATCH(R$1,[3]enemies!$1:$1,0)-MATCH($M$1,[3]enemies!$1:$1,0)+1),MATCH(R$1,[3]enemies!$1:$1,0)-MATCH($M$1,[3]enemies!$1:$1,0)+1,FALSE)</f>
        <v>60</v>
      </c>
      <c r="S5" s="165">
        <v>80</v>
      </c>
      <c r="T5" s="166">
        <v>3.8</v>
      </c>
      <c r="U5" s="167">
        <f>T5*132842</f>
        <v>504799.6</v>
      </c>
      <c r="V5" s="166">
        <v>0.9</v>
      </c>
      <c r="W5" s="167">
        <f>V5*8636</f>
        <v>7772.4000000000005</v>
      </c>
      <c r="X5" s="165">
        <v>0</v>
      </c>
      <c r="Y5" s="161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07">
        <v>48101009</v>
      </c>
      <c r="AA5" s="168">
        <v>1</v>
      </c>
    </row>
    <row r="6" spans="1:27" ht="21" customHeight="1" x14ac:dyDescent="0.15">
      <c r="A6" s="16" t="str">
        <f t="shared" si="0"/>
        <v>48101_1-2/138&lt;lv60&gt;sq1st2</v>
      </c>
      <c r="B6" s="22">
        <v>48101</v>
      </c>
      <c r="C6" s="149">
        <v>1</v>
      </c>
      <c r="D6" s="150" t="str">
        <f t="shared" si="1"/>
        <v>48101_1</v>
      </c>
      <c r="E6" s="4" t="str">
        <f ca="1">VLOOKUP($B6,OFFSET([2]quests!$A$1,0,0,COUNTA([2]quests!$A:$A),MATCH(E$1,[2]quests!$1:$1,0)-MATCH($B$1,[2]quests!$1:$1,0)+1),MATCH(E$1,[2]quests!$1:$1,0)-MATCH($B$1,[2]quests!$1:$1,0)+1,FALSE)</f>
        <v>喀耳刻襲来！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【超絶級】喀耳刻襲来</v>
      </c>
      <c r="G6" s="149">
        <v>2</v>
      </c>
      <c r="H6" s="150" t="str">
        <f t="shared" si="2"/>
        <v>48101_1-2</v>
      </c>
      <c r="I6" s="4">
        <f ca="1">VLOOKUP($H6,OFFSET(floors!$A$1,0,0,COUNTA(floors!$A:$A),MATCH(I$1,floors!$1:$1,0)-MATCH($H$1,floors!$1:$1,0)+1),MATCH(I$1,floors!$1:$1,0)-MATCH($H$1,floors!$1:$1,0)+1,FALSE)</f>
        <v>40</v>
      </c>
      <c r="J6" s="4">
        <f ca="1">VLOOKUP($H6,OFFSET(floors!$A$1,0,0,COUNTA(floors!$A:$A),MATCH(J$1,floors!$1:$1,0)-MATCH($H$1,floors!$1:$1,0)+1),MATCH(J$1,floors!$1:$1,0)-MATCH($H$1,floors!$1:$1,0)+1,FALSE)</f>
        <v>40</v>
      </c>
      <c r="K6" s="151">
        <v>1</v>
      </c>
      <c r="L6" s="151">
        <v>2</v>
      </c>
      <c r="M6" s="152">
        <v>138</v>
      </c>
      <c r="N6" s="17" t="str">
        <f ca="1">VLOOKUP($M6,OFFSET([3]enemies!$A$1,0,0,COUNTA([3]enemies!$A:$A),MATCH(N$1,[3]enemies!$1:$1,0)-MATCH($M$1,[3]enemies!$1:$1,0)+1),MATCH(N$1,[3]enemies!$1:$1,0)-MATCH($M$1,[3]enemies!$1:$1,0)+1,FALSE)</f>
        <v>蒼薙のトモエ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PremiumW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20</v>
      </c>
      <c r="S6" s="153">
        <v>60</v>
      </c>
      <c r="T6" s="154">
        <v>1</v>
      </c>
      <c r="U6" s="155">
        <f>T6*63591</f>
        <v>63591</v>
      </c>
      <c r="V6" s="154">
        <v>1</v>
      </c>
      <c r="W6" s="155">
        <f>V6*4189</f>
        <v>4189</v>
      </c>
      <c r="X6" s="153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106">
        <v>48101012</v>
      </c>
      <c r="AA6" s="156">
        <v>1</v>
      </c>
    </row>
    <row r="7" spans="1:27" ht="21" customHeight="1" x14ac:dyDescent="0.15">
      <c r="A7" s="16" t="str">
        <f t="shared" si="0"/>
        <v>48101_1-2/152&lt;lv60&gt;sq2st2</v>
      </c>
      <c r="B7" s="22">
        <v>48101</v>
      </c>
      <c r="C7" s="21">
        <v>1</v>
      </c>
      <c r="D7" s="2" t="str">
        <f t="shared" si="1"/>
        <v>48101_1</v>
      </c>
      <c r="E7" s="4" t="str">
        <f ca="1">VLOOKUP($B7,OFFSET([2]quests!$A$1,0,0,COUNTA([2]quests!$A:$A),MATCH(E$1,[2]quests!$1:$1,0)-MATCH($B$1,[2]quests!$1:$1,0)+1),MATCH(E$1,[2]quests!$1:$1,0)-MATCH($B$1,[2]quests!$1:$1,0)+1,FALSE)</f>
        <v>喀耳刻襲来！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【超絶級】喀耳刻襲来</v>
      </c>
      <c r="G7" s="21">
        <v>2</v>
      </c>
      <c r="H7" s="15" t="str">
        <f t="shared" si="2"/>
        <v>48101_1-2</v>
      </c>
      <c r="I7" s="4">
        <f ca="1">VLOOKUP($H7,OFFSET(floors!$A$1,0,0,COUNTA(floors!$A:$A),MATCH(I$1,floors!$1:$1,0)-MATCH($H$1,floors!$1:$1,0)+1),MATCH(I$1,floors!$1:$1,0)-MATCH($H$1,floors!$1:$1,0)+1,FALSE)</f>
        <v>40</v>
      </c>
      <c r="J7" s="4">
        <f ca="1">VLOOKUP($H7,OFFSET(floors!$A$1,0,0,COUNTA(floors!$A:$A),MATCH(J$1,floors!$1:$1,0)-MATCH($H$1,floors!$1:$1,0)+1),MATCH(J$1,floors!$1:$1,0)-MATCH($H$1,floors!$1:$1,0)+1,FALSE)</f>
        <v>40</v>
      </c>
      <c r="K7" s="38">
        <v>2</v>
      </c>
      <c r="L7" s="38">
        <v>2</v>
      </c>
      <c r="M7" s="20">
        <v>152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功夫少女ランラン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PremiumW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20</v>
      </c>
      <c r="S7" s="5">
        <v>60</v>
      </c>
      <c r="T7" s="25">
        <v>1</v>
      </c>
      <c r="U7" s="104">
        <f>T7*51891</f>
        <v>51891</v>
      </c>
      <c r="V7" s="25">
        <v>1</v>
      </c>
      <c r="W7" s="104">
        <f>V7*2396</f>
        <v>2396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7">
        <v>48101014</v>
      </c>
      <c r="AA7" s="71">
        <v>1</v>
      </c>
    </row>
    <row r="8" spans="1:27" ht="21" customHeight="1" x14ac:dyDescent="0.15">
      <c r="A8" s="16" t="str">
        <f t="shared" si="0"/>
        <v>48101_1-3/1374&lt;lv60&gt;sq1st2</v>
      </c>
      <c r="B8" s="22">
        <v>48101</v>
      </c>
      <c r="C8" s="21">
        <v>1</v>
      </c>
      <c r="D8" s="2" t="str">
        <f t="shared" si="1"/>
        <v>48101_1</v>
      </c>
      <c r="E8" s="4" t="str">
        <f ca="1">VLOOKUP($B8,OFFSET([2]quests!$A$1,0,0,COUNTA([2]quests!$A:$A),MATCH(E$1,[2]quests!$1:$1,0)-MATCH($B$1,[2]quests!$1:$1,0)+1),MATCH(E$1,[2]quests!$1:$1,0)-MATCH($B$1,[2]quests!$1:$1,0)+1,FALSE)</f>
        <v>喀耳刻襲来！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【超絶級】喀耳刻襲来</v>
      </c>
      <c r="G8" s="21">
        <v>3</v>
      </c>
      <c r="H8" s="15" t="str">
        <f t="shared" si="2"/>
        <v>48101_1-3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38">
        <v>2</v>
      </c>
      <c r="M8" s="20">
        <v>1374</v>
      </c>
      <c r="N8" s="17" t="str">
        <f ca="1">VLOOKUP($M8,OFFSET([3]enemies!$A$1,0,0,COUNTA([3]enemies!$A:$A),MATCH(N$1,[3]enemies!$1:$1,0)-MATCH($M$1,[3]enemies!$1:$1,0)+1),MATCH(N$1,[3]enemies!$1:$1,0)-MATCH($M$1,[3]enemies!$1:$1,0)+1,FALSE)</f>
        <v>一級建築兄弟 スリー・ピギーズ</v>
      </c>
      <c r="O8" s="17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Drop2N</v>
      </c>
      <c r="Q8" s="17" t="str">
        <f ca="1">VLOOKUP($M8,OFFSET([3]enemies!$A$1,0,0,COUNTA([3]enemies!$A:$A),MATCH(Q$1,[3]enemies!$1:$1,0)-MATCH($M$1,[3]enemies!$1:$1,0)+1),MATCH(Q$1,[3]enemies!$1:$1,0)-MATCH($M$1,[3]enemies!$1:$1,0)+1,FALSE)</f>
        <v>animal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60</v>
      </c>
      <c r="T8" s="25">
        <v>2</v>
      </c>
      <c r="U8" s="104">
        <f>T8*92214</f>
        <v>184428</v>
      </c>
      <c r="V8" s="25">
        <v>0.5</v>
      </c>
      <c r="W8" s="104">
        <f>V8*6716</f>
        <v>3358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47">
        <v>48101016</v>
      </c>
      <c r="AA8" s="71">
        <v>1</v>
      </c>
    </row>
    <row r="9" spans="1:27" ht="21" customHeight="1" x14ac:dyDescent="0.15">
      <c r="A9" s="16" t="str">
        <f t="shared" si="0"/>
        <v>48101_1-4/8137&lt;lv60&gt;sq1st2</v>
      </c>
      <c r="B9" s="22">
        <v>48101</v>
      </c>
      <c r="C9" s="21">
        <v>1</v>
      </c>
      <c r="D9" s="2" t="str">
        <f t="shared" si="1"/>
        <v>48101_1</v>
      </c>
      <c r="E9" s="4" t="str">
        <f ca="1">VLOOKUP($B9,OFFSET([2]quests!$A$1,0,0,COUNTA([2]quests!$A:$A),MATCH(E$1,[2]quests!$1:$1,0)-MATCH($B$1,[2]quests!$1:$1,0)+1),MATCH(E$1,[2]quests!$1:$1,0)-MATCH($B$1,[2]quests!$1:$1,0)+1,FALSE)</f>
        <v>喀耳刻襲来！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【超絶級】喀耳刻襲来</v>
      </c>
      <c r="G9" s="21">
        <v>4</v>
      </c>
      <c r="H9" s="15" t="str">
        <f t="shared" si="2"/>
        <v>48101_1-4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38">
        <v>2</v>
      </c>
      <c r="M9" s="20">
        <v>8137</v>
      </c>
      <c r="N9" s="17" t="str">
        <f ca="1">VLOOKUP($M9,OFFSET([3]enemies!$A$1,0,0,COUNTA([3]enemies!$A:$A),MATCH(N$1,[3]enemies!$1:$1,0)-MATCH($M$1,[3]enemies!$1:$1,0)+1),MATCH(N$1,[3]enemies!$1:$1,0)-MATCH($M$1,[3]enemies!$1:$1,0)+1,FALSE)</f>
        <v>黑巫術之疚惡 ‧ 喀耳刻</v>
      </c>
      <c r="O9" s="17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5">
        <v>4</v>
      </c>
      <c r="U9" s="104">
        <f>T9*100243</f>
        <v>400972</v>
      </c>
      <c r="V9" s="25">
        <v>0.9</v>
      </c>
      <c r="W9" s="104">
        <f>V9*6517</f>
        <v>5865.3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47">
        <v>48101018</v>
      </c>
      <c r="AA9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21"/>
  <sheetViews>
    <sheetView showGridLines="0" topLeftCell="A76" workbookViewId="0">
      <pane xSplit="1" topLeftCell="B1" activePane="topRight" state="frozen"/>
      <selection pane="topRight" activeCell="F89" sqref="F8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08">
        <v>48101001</v>
      </c>
      <c r="B2" s="47" t="s">
        <v>277</v>
      </c>
      <c r="C2" s="50">
        <v>1</v>
      </c>
      <c r="D2" s="50" t="s">
        <v>128</v>
      </c>
      <c r="E2" s="51" t="s">
        <v>256</v>
      </c>
      <c r="F2" s="51" t="s">
        <v>260</v>
      </c>
      <c r="G2" s="64" t="str">
        <f t="shared" ref="G2:G34" si="0">IFERROR(LEFT(B2,FIND("],",B2)),B2)</f>
        <v>[effect:enemy_message, val1:1.2, val2:1.2]</v>
      </c>
      <c r="H2" s="64">
        <f t="shared" ref="H2:H35" si="1">FIND("effect:",G2)+7</f>
        <v>9</v>
      </c>
      <c r="I2" s="64">
        <f t="shared" ref="I2:I35" si="2">IFERROR(FIND(",",G2),LEN(G2))</f>
        <v>22</v>
      </c>
      <c r="J2" s="64" t="e">
        <f t="shared" ref="J2:J35" si="3">FIND("target:",G2)+7</f>
        <v>#VALUE!</v>
      </c>
      <c r="K2" s="64">
        <f t="shared" ref="K2:K35" si="4"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34" si="5">IFERROR(RIGHT(B2,LEN(B2)-FIND("],",B2)-1),"none")</f>
        <v>[effect:fix_speed, target:myself, turn:2]</v>
      </c>
      <c r="N2" s="48" t="str">
        <f t="shared" ref="N2" si="6">IFERROR(LEFT(M2,FIND("],",M2)+S12),M2)</f>
        <v>[effect:fix_speed, target:myself, turn:2]</v>
      </c>
      <c r="O2" s="64">
        <f t="shared" ref="O2:O35" si="7">FIND("effect:",N2)+7</f>
        <v>9</v>
      </c>
      <c r="P2" s="64">
        <f t="shared" ref="P2:P35" si="8">IFERROR(FIND(",",N2),LEN(N2))</f>
        <v>18</v>
      </c>
      <c r="Q2" s="64">
        <f t="shared" ref="Q2:Q35" si="9">FIND("target:",N2)+7</f>
        <v>27</v>
      </c>
      <c r="R2" s="64">
        <f t="shared" ref="R2:R35" si="10">FIND(",",N2,P2+1)</f>
        <v>33</v>
      </c>
      <c r="S2" s="64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35" si="11">IFERROR(RIGHT(M2,LEN(M2)-FIND("],",M2)-1),"none")</f>
        <v>none</v>
      </c>
      <c r="U2" s="64" t="e">
        <f t="shared" ref="U2:U35" si="12">FIND("effect:",T2)+7</f>
        <v>#VALUE!</v>
      </c>
      <c r="V2" s="64">
        <f t="shared" ref="V2:V35" si="13">IFERROR(FIND(",",T2),LEN(T2))</f>
        <v>4</v>
      </c>
      <c r="W2" s="64" t="e">
        <f t="shared" ref="W2:W35" si="14">FIND("target:",T2)+7</f>
        <v>#VALUE!</v>
      </c>
      <c r="X2" s="64" t="e">
        <f t="shared" ref="X2:X35" si="15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108">
        <v>48101002</v>
      </c>
      <c r="B3" s="47" t="s">
        <v>255</v>
      </c>
      <c r="C3" s="50">
        <v>1</v>
      </c>
      <c r="D3" s="50" t="s">
        <v>128</v>
      </c>
      <c r="E3" s="51" t="s">
        <v>339</v>
      </c>
      <c r="F3" s="51" t="s">
        <v>308</v>
      </c>
      <c r="G3" s="64" t="str">
        <f t="shared" si="0"/>
        <v>[effect:enemy_message, val1:1.2, val2:1.2]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32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si="5"/>
        <v>none</v>
      </c>
      <c r="N3" s="48" t="str">
        <f t="shared" ref="N3:N8" si="16">IFERROR(LEFT(M3,FIND("],",M3)+S14),M3)</f>
        <v>none</v>
      </c>
      <c r="O3" s="64" t="e">
        <f t="shared" si="7"/>
        <v>#VALUE!</v>
      </c>
      <c r="P3" s="64">
        <f t="shared" si="8"/>
        <v>4</v>
      </c>
      <c r="Q3" s="64" t="e">
        <f t="shared" si="9"/>
        <v>#VALUE!</v>
      </c>
      <c r="R3" s="64" t="e">
        <f t="shared" si="10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1"/>
        <v>none</v>
      </c>
      <c r="U3" s="64" t="e">
        <f t="shared" si="12"/>
        <v>#VALUE!</v>
      </c>
      <c r="V3" s="64">
        <f t="shared" si="13"/>
        <v>4</v>
      </c>
      <c r="W3" s="64" t="e">
        <f t="shared" si="14"/>
        <v>#VALUE!</v>
      </c>
      <c r="X3" s="64" t="e">
        <f t="shared" si="15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108">
        <v>48101003</v>
      </c>
      <c r="B4" s="47" t="s">
        <v>320</v>
      </c>
      <c r="C4" s="50">
        <v>1</v>
      </c>
      <c r="D4" s="50" t="s">
        <v>128</v>
      </c>
      <c r="E4" s="51" t="s">
        <v>258</v>
      </c>
      <c r="F4" s="51" t="s">
        <v>257</v>
      </c>
      <c r="G4" s="64" t="str">
        <f t="shared" si="0"/>
        <v>[effect:enemy_message, val1:1.2, val2:1.2]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32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5"/>
        <v xml:space="preserve">[effect:critical, val:1.6, animation:enemy_critical]    </v>
      </c>
      <c r="N4" s="48" t="str">
        <f t="shared" si="16"/>
        <v xml:space="preserve">[effect:critical, val:1.6, animation:enemy_critical]    </v>
      </c>
      <c r="O4" s="64">
        <f t="shared" si="7"/>
        <v>9</v>
      </c>
      <c r="P4" s="64">
        <f t="shared" si="8"/>
        <v>17</v>
      </c>
      <c r="Q4" s="64" t="e">
        <f t="shared" si="9"/>
        <v>#VALUE!</v>
      </c>
      <c r="R4" s="64">
        <f t="shared" si="10"/>
        <v>26</v>
      </c>
      <c r="S4" s="64" t="str">
        <f>IFERROR(VLOOKUP(MID(N4,Q4,R4-Q4),[6]skilldef!$C:$D,2,FALSE),"-") &amp; " / " &amp; IFERROR(VLOOKUP(MID(N4,O4,P4-O4),[6]skilldef!$A:$B,2,FALSE),"-")</f>
        <v>- / 大攻撃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thickBot="1" x14ac:dyDescent="0.2">
      <c r="A5" s="109">
        <v>48101004</v>
      </c>
      <c r="B5" s="107" t="s">
        <v>396</v>
      </c>
      <c r="C5" s="136">
        <v>1</v>
      </c>
      <c r="D5" s="136" t="s">
        <v>128</v>
      </c>
      <c r="E5" s="137" t="s">
        <v>259</v>
      </c>
      <c r="F5" s="137" t="s">
        <v>394</v>
      </c>
      <c r="G5" s="138" t="str">
        <f t="shared" si="0"/>
        <v>[effect:enemy_message, val1:1.6, val2:3.6]</v>
      </c>
      <c r="H5" s="138">
        <f t="shared" si="1"/>
        <v>9</v>
      </c>
      <c r="I5" s="138">
        <f t="shared" si="2"/>
        <v>22</v>
      </c>
      <c r="J5" s="138" t="e">
        <f t="shared" si="3"/>
        <v>#VALUE!</v>
      </c>
      <c r="K5" s="138">
        <f t="shared" si="4"/>
        <v>32</v>
      </c>
      <c r="L5" s="138" t="str">
        <f>IFERROR(VLOOKUP(MID(G5,J5,K5-J5),[6]skilldef!$C:$D,2,FALSE),"-") &amp; " / " &amp; IFERROR(VLOOKUP(MID(G5,H5,I5-H5),[6]skilldef!$A:$B,2,FALSE),"-")</f>
        <v>- / -</v>
      </c>
      <c r="M5" s="138" t="str">
        <f t="shared" si="5"/>
        <v>[effect:change_bomb_range, target:unit_all, val:1.2, rate:1, turn:-1, animation:bomb_big],[effect:suicide, target:myself, val:1, dead_type:escape, animation:enemy_suicide]</v>
      </c>
      <c r="N5" s="121" t="str">
        <f t="shared" si="16"/>
        <v>[effect:change_bomb_range, target:unit_all, val:1.2, rate:1, turn:-1, animation:bomb_big],[effect:suicide, target:myself, val:1, dead_type:escape, animation:enemy_suicide]</v>
      </c>
      <c r="O5" s="138">
        <f t="shared" si="7"/>
        <v>9</v>
      </c>
      <c r="P5" s="138">
        <f t="shared" si="8"/>
        <v>26</v>
      </c>
      <c r="Q5" s="138">
        <f t="shared" si="9"/>
        <v>35</v>
      </c>
      <c r="R5" s="138">
        <f t="shared" si="10"/>
        <v>43</v>
      </c>
      <c r="S5" s="138" t="str">
        <f>IFERROR(VLOOKUP(MID(N5,Q5,R5-Q5),[6]skilldef!$C:$D,2,FALSE),"-") &amp; " / " &amp; IFERROR(VLOOKUP(MID(N5,O5,P5-O5),[6]skilldef!$A:$B,2,FALSE),"-")</f>
        <v>味方全体に / -</v>
      </c>
      <c r="T5" s="121" t="str">
        <f t="shared" si="11"/>
        <v>[effect:suicide, target:myself, val:1, dead_type:escape, animation:enemy_suicide]</v>
      </c>
      <c r="U5" s="138">
        <f t="shared" si="12"/>
        <v>9</v>
      </c>
      <c r="V5" s="138">
        <f t="shared" si="13"/>
        <v>16</v>
      </c>
      <c r="W5" s="138">
        <f t="shared" si="14"/>
        <v>25</v>
      </c>
      <c r="X5" s="138">
        <f t="shared" si="15"/>
        <v>31</v>
      </c>
      <c r="Y5" s="138" t="str">
        <f>IFERROR(VLOOKUP(MID(T5,W5,X5-W5),[6]skilldef!$C:$D,2,FALSE),"-") &amp; " / " &amp; IFERROR(VLOOKUP(MID(T5,U5,V5-U5),[6]skilldef!$A:$B,2,FALSE),"-")</f>
        <v>自分自身に / -</v>
      </c>
      <c r="Z5" s="136"/>
      <c r="AA5" s="139"/>
      <c r="AB5" s="136"/>
    </row>
    <row r="6" spans="1:28" ht="21" customHeight="1" x14ac:dyDescent="0.15">
      <c r="A6" s="110">
        <v>48101005</v>
      </c>
      <c r="B6" s="106" t="s">
        <v>340</v>
      </c>
      <c r="C6" s="132">
        <v>1</v>
      </c>
      <c r="D6" s="132" t="s">
        <v>128</v>
      </c>
      <c r="E6" s="133" t="s">
        <v>261</v>
      </c>
      <c r="F6" s="133" t="s">
        <v>262</v>
      </c>
      <c r="G6" s="134" t="str">
        <f t="shared" si="0"/>
        <v>[effect:enemy_message, val1:1.3, val2:0]</v>
      </c>
      <c r="H6" s="134">
        <f t="shared" si="1"/>
        <v>9</v>
      </c>
      <c r="I6" s="134">
        <f t="shared" si="2"/>
        <v>22</v>
      </c>
      <c r="J6" s="134" t="e">
        <f t="shared" si="3"/>
        <v>#VALUE!</v>
      </c>
      <c r="K6" s="134">
        <f t="shared" si="4"/>
        <v>32</v>
      </c>
      <c r="L6" s="134" t="str">
        <f>IFERROR(VLOOKUP(MID(G6,J6,K6-J6),[6]skilldef!$C:$D,2,FALSE),"-") &amp; " / " &amp; IFERROR(VLOOKUP(MID(G6,H6,I6-H6),[6]skilldef!$A:$B,2,FALSE),"-")</f>
        <v>- / -</v>
      </c>
      <c r="M6" s="134" t="str">
        <f t="shared" si="5"/>
        <v>[effect:fix_speed, target:myself, turn:2]</v>
      </c>
      <c r="N6" s="120" t="str">
        <f t="shared" si="16"/>
        <v>[effect:fix_speed, target:myself, turn:2]</v>
      </c>
      <c r="O6" s="134">
        <f t="shared" si="7"/>
        <v>9</v>
      </c>
      <c r="P6" s="134">
        <f t="shared" si="8"/>
        <v>18</v>
      </c>
      <c r="Q6" s="134">
        <f t="shared" si="9"/>
        <v>27</v>
      </c>
      <c r="R6" s="134">
        <f t="shared" si="10"/>
        <v>33</v>
      </c>
      <c r="S6" s="134" t="str">
        <f>IFERROR(VLOOKUP(MID(N6,Q6,R6-Q6),[6]skilldef!$C:$D,2,FALSE),"-") &amp; " / " &amp; IFERROR(VLOOKUP(MID(N6,O6,P6-O6),[6]skilldef!$A:$B,2,FALSE),"-")</f>
        <v>自分自身に / 行動値設定</v>
      </c>
      <c r="T6" s="120" t="str">
        <f t="shared" si="11"/>
        <v>none</v>
      </c>
      <c r="U6" s="134" t="e">
        <f t="shared" si="12"/>
        <v>#VALUE!</v>
      </c>
      <c r="V6" s="134">
        <f t="shared" si="13"/>
        <v>4</v>
      </c>
      <c r="W6" s="134" t="e">
        <f t="shared" si="14"/>
        <v>#VALUE!</v>
      </c>
      <c r="X6" s="134" t="e">
        <f t="shared" si="15"/>
        <v>#VALUE!</v>
      </c>
      <c r="Y6" s="134" t="str">
        <f>IFERROR(VLOOKUP(MID(T6,W6,X6-W6),[6]skilldef!$C:$D,2,FALSE),"-") &amp; " / " &amp; IFERROR(VLOOKUP(MID(T6,U6,V6-U6),[6]skilldef!$A:$B,2,FALSE),"-")</f>
        <v>- / -</v>
      </c>
      <c r="Z6" s="132"/>
      <c r="AA6" s="135"/>
      <c r="AB6" s="132"/>
    </row>
    <row r="7" spans="1:28" ht="21" customHeight="1" x14ac:dyDescent="0.15">
      <c r="A7" s="111">
        <v>48101006</v>
      </c>
      <c r="B7" s="47" t="s">
        <v>342</v>
      </c>
      <c r="C7" s="50">
        <v>1</v>
      </c>
      <c r="D7" s="50" t="s">
        <v>128</v>
      </c>
      <c r="E7" s="51" t="s">
        <v>341</v>
      </c>
      <c r="F7" s="51" t="s">
        <v>337</v>
      </c>
      <c r="G7" s="64" t="str">
        <f t="shared" si="0"/>
        <v>[effect:enemy_message, val1:1.2, val2:3.0]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32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[effect:force_change_block, new_block:jammer, target:block_blue, count:10, val:0, animation:change_block],[effect:force_change_block, new_block:block_blue, target:block_red, count:0, val:0, animation:change_block]</v>
      </c>
      <c r="N7" s="48" t="str">
        <f t="shared" si="16"/>
        <v>[effect:force_change_block, new_block:jammer, target:block_blue, count:10, val:0, animation:change_block],[effect:force_change_block, new_block:block_blue, target:block_red, count:0, val:0, animation:change_block]</v>
      </c>
      <c r="O7" s="64">
        <f t="shared" si="7"/>
        <v>9</v>
      </c>
      <c r="P7" s="64">
        <f t="shared" si="8"/>
        <v>27</v>
      </c>
      <c r="Q7" s="64">
        <f t="shared" si="9"/>
        <v>54</v>
      </c>
      <c r="R7" s="64">
        <f t="shared" si="10"/>
        <v>45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[effect:force_change_block, new_block:block_blue, target:block_red, count:0, val:0, animation:change_block]</v>
      </c>
      <c r="U7" s="64">
        <f t="shared" si="12"/>
        <v>9</v>
      </c>
      <c r="V7" s="64">
        <f t="shared" si="13"/>
        <v>27</v>
      </c>
      <c r="W7" s="64">
        <f t="shared" si="14"/>
        <v>58</v>
      </c>
      <c r="X7" s="64">
        <f t="shared" si="15"/>
        <v>49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11">
        <v>48101007</v>
      </c>
      <c r="B8" s="47" t="s">
        <v>344</v>
      </c>
      <c r="C8" s="50">
        <v>1</v>
      </c>
      <c r="D8" s="50" t="s">
        <v>128</v>
      </c>
      <c r="E8" s="51" t="s">
        <v>343</v>
      </c>
      <c r="F8" s="51" t="s">
        <v>263</v>
      </c>
      <c r="G8" s="64" t="str">
        <f t="shared" si="0"/>
        <v>[effect:enemy_message, val1:1.2, val2:1.7]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32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5"/>
        <v>[effect:break_attack_fix, target:unit_one, val:350, lowest_val:2000, count:5, color:blue, block_color:block_blue, block01:normal]</v>
      </c>
      <c r="N8" s="48" t="str">
        <f t="shared" si="16"/>
        <v>[effect:break_attack_fix, target:unit_one, val:350, lowest_val:2000, count:5, color:blue, block_color:block_blue, block01:normal]</v>
      </c>
      <c r="O8" s="64">
        <f t="shared" si="7"/>
        <v>9</v>
      </c>
      <c r="P8" s="64">
        <f t="shared" si="8"/>
        <v>25</v>
      </c>
      <c r="Q8" s="64">
        <f t="shared" si="9"/>
        <v>34</v>
      </c>
      <c r="R8" s="64">
        <f t="shared" si="10"/>
        <v>42</v>
      </c>
      <c r="S8" s="64" t="str">
        <f>IFERROR(VLOOKUP(MID(N8,Q8,R8-Q8),[6]skilldef!$C:$D,2,FALSE),"-") &amp; " / " &amp; IFERROR(VLOOKUP(MID(N8,O8,P8-O8),[6]skilldef!$A:$B,2,FALSE),"-")</f>
        <v>味方単体に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thickBot="1" x14ac:dyDescent="0.2">
      <c r="A9" s="112">
        <v>48101008</v>
      </c>
      <c r="B9" s="107" t="s">
        <v>345</v>
      </c>
      <c r="C9" s="136">
        <v>1</v>
      </c>
      <c r="D9" s="136" t="s">
        <v>128</v>
      </c>
      <c r="E9" s="137" t="s">
        <v>338</v>
      </c>
      <c r="F9" s="137" t="s">
        <v>264</v>
      </c>
      <c r="G9" s="138" t="str">
        <f t="shared" si="0"/>
        <v>[effect:enemy_message, val1:1.2, val2:2.4]</v>
      </c>
      <c r="H9" s="138">
        <f t="shared" si="1"/>
        <v>9</v>
      </c>
      <c r="I9" s="138">
        <f t="shared" si="2"/>
        <v>22</v>
      </c>
      <c r="J9" s="138" t="e">
        <f t="shared" si="3"/>
        <v>#VALUE!</v>
      </c>
      <c r="K9" s="138">
        <f t="shared" si="4"/>
        <v>32</v>
      </c>
      <c r="L9" s="138" t="str">
        <f>IFERROR(VLOOKUP(MID(G9,J9,K9-J9),[6]skilldef!$C:$D,2,FALSE),"-") &amp; " / " &amp; IFERROR(VLOOKUP(MID(G9,H9,I9-H9),[6]skilldef!$A:$B,2,FALSE),"-")</f>
        <v>- / -</v>
      </c>
      <c r="M9" s="138" t="str">
        <f t="shared" si="5"/>
        <v>[effect:break_enchance_enemy, target:myself, val:500, lowest_val:500, count:5, status:defense, turn:2, block01:block_blue, calc:add, animation:enemy_enhance_defense]</v>
      </c>
      <c r="N9" s="121" t="str">
        <f>IFERROR(LEFT(M9,FIND("],",M9)+S21),M9)</f>
        <v>[effect:break_enchance_enemy, target:myself, val:500, lowest_val:500, count:5, status:defense, turn:2, block01:block_blue, calc:add, animation:enemy_enhance_defense]</v>
      </c>
      <c r="O9" s="138">
        <f t="shared" si="7"/>
        <v>9</v>
      </c>
      <c r="P9" s="138">
        <f t="shared" si="8"/>
        <v>29</v>
      </c>
      <c r="Q9" s="138">
        <f t="shared" si="9"/>
        <v>38</v>
      </c>
      <c r="R9" s="138">
        <f t="shared" si="10"/>
        <v>44</v>
      </c>
      <c r="S9" s="138" t="str">
        <f>IFERROR(VLOOKUP(MID(N9,Q9,R9-Q9),[6]skilldef!$C:$D,2,FALSE),"-") &amp; " / " &amp; IFERROR(VLOOKUP(MID(N9,O9,P9-O9),[6]skilldef!$A:$B,2,FALSE),"-")</f>
        <v>自分自身に / -</v>
      </c>
      <c r="T9" s="121" t="str">
        <f t="shared" si="11"/>
        <v>none</v>
      </c>
      <c r="U9" s="138" t="e">
        <f t="shared" si="12"/>
        <v>#VALUE!</v>
      </c>
      <c r="V9" s="138">
        <f t="shared" si="13"/>
        <v>4</v>
      </c>
      <c r="W9" s="138" t="e">
        <f t="shared" si="14"/>
        <v>#VALUE!</v>
      </c>
      <c r="X9" s="138" t="e">
        <f t="shared" si="15"/>
        <v>#VALUE!</v>
      </c>
      <c r="Y9" s="138" t="str">
        <f>IFERROR(VLOOKUP(MID(T9,W9,X9-W9),[6]skilldef!$C:$D,2,FALSE),"-") &amp; " / " &amp; IFERROR(VLOOKUP(MID(T9,U9,V9-U9),[6]skilldef!$A:$B,2,FALSE),"-")</f>
        <v>- / -</v>
      </c>
      <c r="Z9" s="136"/>
      <c r="AA9" s="139"/>
      <c r="AB9" s="136"/>
    </row>
    <row r="10" spans="1:28" ht="21" customHeight="1" x14ac:dyDescent="0.15">
      <c r="A10" s="110">
        <v>48101009</v>
      </c>
      <c r="B10" s="106" t="s">
        <v>410</v>
      </c>
      <c r="C10" s="132">
        <v>1</v>
      </c>
      <c r="D10" s="132" t="s">
        <v>128</v>
      </c>
      <c r="E10" s="133" t="s">
        <v>409</v>
      </c>
      <c r="F10" s="133" t="s">
        <v>318</v>
      </c>
      <c r="G10" s="134" t="str">
        <f t="shared" si="0"/>
        <v>[effect:enemy_message, val1:1.3, val2:3.5]</v>
      </c>
      <c r="H10" s="134">
        <f t="shared" si="1"/>
        <v>9</v>
      </c>
      <c r="I10" s="134">
        <f t="shared" si="2"/>
        <v>22</v>
      </c>
      <c r="J10" s="134" t="e">
        <f t="shared" si="3"/>
        <v>#VALUE!</v>
      </c>
      <c r="K10" s="134">
        <f t="shared" si="4"/>
        <v>32</v>
      </c>
      <c r="L10" s="134" t="str">
        <f>IFERROR(VLOOKUP(MID(G10,J10,K10-J10),[6]skilldef!$C:$D,2,FALSE),"-") &amp; " / " &amp; IFERROR(VLOOKUP(MID(G10,H10,I10-H10),[6]skilldef!$A:$B,2,FALSE),"-")</f>
        <v>- / -</v>
      </c>
      <c r="M10" s="134" t="str">
        <f t="shared" si="5"/>
        <v>[effect:enhance_unit, target:unit_all, turn:4, status:attack, val:0.3, calc:mul],[effect:suicide, target:myself, val:1, dead_type:escape, animation:enemy_suicide]</v>
      </c>
      <c r="N10" s="120" t="str">
        <f>IFERROR(LEFT(M10,FIND("],",M10)+S22),M10)</f>
        <v>[effect:enhance_unit, target:unit_all, turn:4, status:attack, val:0.3, calc:mul],[effect:suicide, target:myself, val:1, dead_type:escape, animation:enemy_suicide]</v>
      </c>
      <c r="O10" s="134">
        <f t="shared" si="7"/>
        <v>9</v>
      </c>
      <c r="P10" s="134">
        <f t="shared" si="8"/>
        <v>21</v>
      </c>
      <c r="Q10" s="134">
        <f t="shared" si="9"/>
        <v>30</v>
      </c>
      <c r="R10" s="134">
        <f t="shared" si="10"/>
        <v>38</v>
      </c>
      <c r="S10" s="134" t="str">
        <f>IFERROR(VLOOKUP(MID(N10,Q10,R10-Q10),[6]skilldef!$C:$D,2,FALSE),"-") &amp; " / " &amp; IFERROR(VLOOKUP(MID(N10,O10,P10-O10),[6]skilldef!$A:$B,2,FALSE),"-")</f>
        <v>味方全体に / -</v>
      </c>
      <c r="T10" s="120" t="str">
        <f t="shared" si="11"/>
        <v>[effect:suicide, target:myself, val:1, dead_type:escape, animation:enemy_suicide]</v>
      </c>
      <c r="U10" s="134">
        <f t="shared" si="12"/>
        <v>9</v>
      </c>
      <c r="V10" s="134">
        <f t="shared" si="13"/>
        <v>16</v>
      </c>
      <c r="W10" s="134">
        <f t="shared" si="14"/>
        <v>25</v>
      </c>
      <c r="X10" s="134">
        <f t="shared" si="15"/>
        <v>31</v>
      </c>
      <c r="Y10" s="134" t="str">
        <f>IFERROR(VLOOKUP(MID(T10,W10,X10-W10),[6]skilldef!$C:$D,2,FALSE),"-") &amp; " / " &amp; IFERROR(VLOOKUP(MID(T10,U10,V10-U10),[6]skilldef!$A:$B,2,FALSE),"-")</f>
        <v>自分自身に / -</v>
      </c>
      <c r="Z10" s="132"/>
      <c r="AA10" s="135"/>
      <c r="AB10" s="132"/>
    </row>
    <row r="11" spans="1:28" ht="21" customHeight="1" x14ac:dyDescent="0.15">
      <c r="A11" s="111">
        <v>48101010</v>
      </c>
      <c r="B11" s="47" t="s">
        <v>411</v>
      </c>
      <c r="C11" s="50">
        <v>1</v>
      </c>
      <c r="D11" s="50" t="s">
        <v>128</v>
      </c>
      <c r="E11" s="133" t="s">
        <v>409</v>
      </c>
      <c r="F11" s="51" t="s">
        <v>346</v>
      </c>
      <c r="G11" s="64" t="str">
        <f t="shared" si="0"/>
        <v>[effect:enemy_message, val1:1.3, val2:4.0]</v>
      </c>
      <c r="H11" s="64">
        <f t="shared" si="1"/>
        <v>9</v>
      </c>
      <c r="I11" s="64">
        <f t="shared" si="2"/>
        <v>22</v>
      </c>
      <c r="J11" s="64" t="e">
        <f t="shared" si="3"/>
        <v>#VALUE!</v>
      </c>
      <c r="K11" s="64">
        <f t="shared" si="4"/>
        <v>32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si="5"/>
        <v>[effect:drop_block, block_type:crack_bomb, block_color:block_red, color:block_red, val:12, rate:0.1, turn:-1, animation:bomb_influence04],[effect:suicide, target:myself, val:1, dead_type:escape, animation:enemy_suicide]</v>
      </c>
      <c r="N11" s="48" t="str">
        <f>IFERROR(LEFT(M11,FIND("],",M11)+S23),M11)</f>
        <v>[effect:drop_block, block_type:crack_bomb, block_color:block_red, color:block_red, val:12, rate:0.1, turn:-1, animation:bomb_influence04],[effect:suicide, target:myself, val:1, dead_type:escape, animation:enemy_suicide]</v>
      </c>
      <c r="O11" s="64">
        <f t="shared" si="7"/>
        <v>9</v>
      </c>
      <c r="P11" s="64">
        <f t="shared" si="8"/>
        <v>19</v>
      </c>
      <c r="Q11" s="64">
        <f t="shared" si="9"/>
        <v>163</v>
      </c>
      <c r="R11" s="64">
        <f t="shared" si="10"/>
        <v>42</v>
      </c>
      <c r="S11" s="64" t="str">
        <f>IFERROR(VLOOKUP(MID(N11,Q11,R11-Q11),[6]skilldef!$C:$D,2,FALSE),"-") &amp; " / " &amp; IFERROR(VLOOKUP(MID(N11,O11,P11-O11),[6]skilldef!$A:$B,2,FALSE),"-")</f>
        <v>- / 特定ブロックの割合ドロップ</v>
      </c>
      <c r="T11" s="48" t="str">
        <f t="shared" si="11"/>
        <v>[effect:suicide, target:myself, val:1, dead_type:escape, animation:enemy_suicide]</v>
      </c>
      <c r="U11" s="64">
        <f t="shared" si="12"/>
        <v>9</v>
      </c>
      <c r="V11" s="64">
        <f t="shared" si="13"/>
        <v>16</v>
      </c>
      <c r="W11" s="64">
        <f t="shared" si="14"/>
        <v>25</v>
      </c>
      <c r="X11" s="64">
        <f t="shared" si="15"/>
        <v>31</v>
      </c>
      <c r="Y11" s="64" t="str">
        <f>IFERROR(VLOOKUP(MID(T11,W11,X11-W11),[6]skilldef!$C:$D,2,FALSE),"-") &amp; " / " &amp; IFERROR(VLOOKUP(MID(T11,U11,V11-U11),[6]skilldef!$A:$B,2,FALSE),"-")</f>
        <v>自分自身に / -</v>
      </c>
      <c r="Z11" s="50"/>
      <c r="AA11" s="52"/>
      <c r="AB11" s="50"/>
    </row>
    <row r="12" spans="1:28" ht="21" customHeight="1" x14ac:dyDescent="0.15">
      <c r="A12" s="111">
        <v>48101011</v>
      </c>
      <c r="B12" s="47" t="s">
        <v>412</v>
      </c>
      <c r="C12" s="50">
        <v>1</v>
      </c>
      <c r="D12" s="50" t="s">
        <v>128</v>
      </c>
      <c r="E12" s="133" t="s">
        <v>409</v>
      </c>
      <c r="F12" s="51" t="s">
        <v>347</v>
      </c>
      <c r="G12" s="64" t="str">
        <f t="shared" si="0"/>
        <v>[effect:enemy_message, val1:1.3, val2:4.0]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>[effect:drop_block, block_type:crack_bomb, block_color:block_blue, color:block_blue, val:12, rate:0.1, turn:-1, animation:bomb_influence04],[effect:suicide, target:myself, val:1, dead_type:escape, animation:enemy_suicide]</v>
      </c>
      <c r="N12" s="48" t="str">
        <f>IFERROR(LEFT(M12,FIND("],",M12)+S25),M12)</f>
        <v>[effect:drop_block, block_type:crack_bomb, block_color:block_blue, color:block_blue, val:12, rate:0.1, turn:-1, animation:bomb_influence04],[effect:suicide, target:myself, val:1, dead_type:escape, animation:enemy_suicide]</v>
      </c>
      <c r="O12" s="64">
        <f t="shared" si="7"/>
        <v>9</v>
      </c>
      <c r="P12" s="64">
        <f t="shared" si="8"/>
        <v>19</v>
      </c>
      <c r="Q12" s="64">
        <f t="shared" si="9"/>
        <v>165</v>
      </c>
      <c r="R12" s="64">
        <f t="shared" si="10"/>
        <v>42</v>
      </c>
      <c r="S12" s="64" t="str">
        <f>IFERROR(VLOOKUP(MID(N12,Q12,R12-Q12),[6]skilldef!$C:$D,2,FALSE),"-") &amp; " / " &amp; IFERROR(VLOOKUP(MID(N12,O12,P12-O12),[6]skilldef!$A:$B,2,FALSE),"-")</f>
        <v>- / 特定ブロックの割合ドロップ</v>
      </c>
      <c r="T12" s="48" t="str">
        <f t="shared" si="11"/>
        <v>[effect:suicide, target:myself, val:1, dead_type:escape, animation:enemy_suicide]</v>
      </c>
      <c r="U12" s="64">
        <f t="shared" si="12"/>
        <v>9</v>
      </c>
      <c r="V12" s="64">
        <f t="shared" si="13"/>
        <v>16</v>
      </c>
      <c r="W12" s="64">
        <f t="shared" si="14"/>
        <v>25</v>
      </c>
      <c r="X12" s="64">
        <f t="shared" si="15"/>
        <v>31</v>
      </c>
      <c r="Y12" s="64" t="str">
        <f>IFERROR(VLOOKUP(MID(T12,W12,X12-W12),[6]skilldef!$C:$D,2,FALSE),"-") &amp; " / " &amp; IFERROR(VLOOKUP(MID(T12,U12,V12-U12),[6]skilldef!$A:$B,2,FALSE),"-")</f>
        <v>自分自身に / -</v>
      </c>
      <c r="Z12" s="50"/>
      <c r="AA12" s="52"/>
      <c r="AB12" s="50"/>
    </row>
    <row r="13" spans="1:28" ht="21" customHeight="1" thickBot="1" x14ac:dyDescent="0.2">
      <c r="A13" s="112">
        <v>48101012</v>
      </c>
      <c r="B13" s="141" t="s">
        <v>413</v>
      </c>
      <c r="C13" s="142">
        <v>1</v>
      </c>
      <c r="D13" s="142" t="s">
        <v>128</v>
      </c>
      <c r="E13" s="137" t="s">
        <v>409</v>
      </c>
      <c r="F13" s="143" t="s">
        <v>348</v>
      </c>
      <c r="G13" s="144" t="str">
        <f t="shared" ref="G13" si="17">IFERROR(LEFT(B13,FIND("],",B13)),B13)</f>
        <v>[effect:enemy_message, val1:1.3, val2:3.5]</v>
      </c>
      <c r="H13" s="144">
        <f t="shared" ref="H13" si="18">FIND("effect:",G13)+7</f>
        <v>9</v>
      </c>
      <c r="I13" s="144">
        <f t="shared" ref="I13" si="19">IFERROR(FIND(",",G13),LEN(G13))</f>
        <v>22</v>
      </c>
      <c r="J13" s="144" t="e">
        <f t="shared" ref="J13" si="20">FIND("target:",G13)+7</f>
        <v>#VALUE!</v>
      </c>
      <c r="K13" s="144">
        <f t="shared" ref="K13" si="21">FIND(",",G13,I13+1)</f>
        <v>32</v>
      </c>
      <c r="L13" s="144" t="str">
        <f>IFERROR(VLOOKUP(MID(G13,J13,K13-J13),[6]skilldef!$C:$D,2,FALSE),"-") &amp; " / " &amp; IFERROR(VLOOKUP(MID(G13,H13,I13-H13),[6]skilldef!$A:$B,2,FALSE),"-")</f>
        <v>- / -</v>
      </c>
      <c r="M13" s="144" t="str">
        <f t="shared" ref="M13" si="22">IFERROR(RIGHT(B13,LEN(B13)-FIND("],",B13)-1),"none")</f>
        <v>[effect:enhance_unit, target:unit_all, turn:8, status:defense, val:500, calc:add],[effect:suicide, target:myself, val:1, dead_type:escape, animation:enemy_suicide]</v>
      </c>
      <c r="N13" s="145" t="str">
        <f>IFERROR(LEFT(M13,FIND("],",M13)+S26),M13)</f>
        <v>[effect:enhance_unit, target:unit_all, turn:8, status:defense, val:500, calc:add],[effect:suicide, target:myself, val:1, dead_type:escape, animation:enemy_suicide]</v>
      </c>
      <c r="O13" s="144">
        <f t="shared" ref="O13" si="23">FIND("effect:",N13)+7</f>
        <v>9</v>
      </c>
      <c r="P13" s="144">
        <f t="shared" ref="P13" si="24">IFERROR(FIND(",",N13),LEN(N13))</f>
        <v>21</v>
      </c>
      <c r="Q13" s="144">
        <f t="shared" ref="Q13" si="25">FIND("target:",N13)+7</f>
        <v>30</v>
      </c>
      <c r="R13" s="144">
        <f t="shared" ref="R13" si="26">FIND(",",N13,P13+1)</f>
        <v>38</v>
      </c>
      <c r="S13" s="144" t="str">
        <f>IFERROR(VLOOKUP(MID(N13,Q13,R13-Q13),[6]skilldef!$C:$D,2,FALSE),"-") &amp; " / " &amp; IFERROR(VLOOKUP(MID(N13,O13,P13-O13),[6]skilldef!$A:$B,2,FALSE),"-")</f>
        <v>味方全体に / -</v>
      </c>
      <c r="T13" s="145" t="str">
        <f t="shared" ref="T13" si="27">IFERROR(RIGHT(M13,LEN(M13)-FIND("],",M13)-1),"none")</f>
        <v>[effect:suicide, target:myself, val:1, dead_type:escape, animation:enemy_suicide]</v>
      </c>
      <c r="U13" s="144">
        <f t="shared" ref="U13" si="28">FIND("effect:",T13)+7</f>
        <v>9</v>
      </c>
      <c r="V13" s="144">
        <f t="shared" ref="V13" si="29">IFERROR(FIND(",",T13),LEN(T13))</f>
        <v>16</v>
      </c>
      <c r="W13" s="144">
        <f t="shared" ref="W13" si="30">FIND("target:",T13)+7</f>
        <v>25</v>
      </c>
      <c r="X13" s="144">
        <f t="shared" ref="X13" si="31">FIND(",",T13,V13+1)</f>
        <v>31</v>
      </c>
      <c r="Y13" s="144" t="str">
        <f>IFERROR(VLOOKUP(MID(T13,W13,X13-W13),[6]skilldef!$C:$D,2,FALSE),"-") &amp; " / " &amp; IFERROR(VLOOKUP(MID(T13,U13,V13-U13),[6]skilldef!$A:$B,2,FALSE),"-")</f>
        <v>自分自身に / -</v>
      </c>
      <c r="Z13" s="142"/>
      <c r="AA13" s="146"/>
      <c r="AB13" s="142"/>
    </row>
    <row r="14" spans="1:28" ht="21" customHeight="1" x14ac:dyDescent="0.15">
      <c r="A14" s="110">
        <v>48101013</v>
      </c>
      <c r="B14" s="106" t="s">
        <v>349</v>
      </c>
      <c r="C14" s="132">
        <v>1</v>
      </c>
      <c r="D14" s="132" t="s">
        <v>128</v>
      </c>
      <c r="E14" s="133" t="s">
        <v>336</v>
      </c>
      <c r="F14" s="133" t="s">
        <v>262</v>
      </c>
      <c r="G14" s="134" t="str">
        <f t="shared" si="0"/>
        <v>[effect:enemy_message, val1:1.3, val2:0]</v>
      </c>
      <c r="H14" s="134">
        <f t="shared" si="1"/>
        <v>9</v>
      </c>
      <c r="I14" s="134">
        <f t="shared" si="2"/>
        <v>22</v>
      </c>
      <c r="J14" s="134" t="e">
        <f t="shared" si="3"/>
        <v>#VALUE!</v>
      </c>
      <c r="K14" s="134">
        <f t="shared" si="4"/>
        <v>32</v>
      </c>
      <c r="L14" s="134" t="str">
        <f>IFERROR(VLOOKUP(MID(G14,J14,K14-J14),[6]skilldef!$C:$D,2,FALSE),"-") &amp; " / " &amp; IFERROR(VLOOKUP(MID(G14,H14,I14-H14),[6]skilldef!$A:$B,2,FALSE),"-")</f>
        <v>- / -</v>
      </c>
      <c r="M14" s="134" t="str">
        <f t="shared" si="5"/>
        <v>[effect:fix_speed, target:myself, turn:1]</v>
      </c>
      <c r="N14" s="120" t="str">
        <f t="shared" ref="N14:N19" si="32">IFERROR(LEFT(M14,FIND("],",M14)+S26),M14)</f>
        <v>[effect:fix_speed, target:myself, turn:1]</v>
      </c>
      <c r="O14" s="134">
        <f t="shared" si="7"/>
        <v>9</v>
      </c>
      <c r="P14" s="134">
        <f t="shared" si="8"/>
        <v>18</v>
      </c>
      <c r="Q14" s="134">
        <f t="shared" si="9"/>
        <v>27</v>
      </c>
      <c r="R14" s="134">
        <f t="shared" si="10"/>
        <v>33</v>
      </c>
      <c r="S14" s="134" t="str">
        <f>IFERROR(VLOOKUP(MID(N14,Q14,R14-Q14),[6]skilldef!$C:$D,2,FALSE),"-") &amp; " / " &amp; IFERROR(VLOOKUP(MID(N14,O14,P14-O14),[6]skilldef!$A:$B,2,FALSE),"-")</f>
        <v>自分自身に / 行動値設定</v>
      </c>
      <c r="T14" s="120" t="str">
        <f t="shared" si="11"/>
        <v>none</v>
      </c>
      <c r="U14" s="134" t="e">
        <f t="shared" si="12"/>
        <v>#VALUE!</v>
      </c>
      <c r="V14" s="134">
        <f t="shared" si="13"/>
        <v>4</v>
      </c>
      <c r="W14" s="134" t="e">
        <f t="shared" si="14"/>
        <v>#VALUE!</v>
      </c>
      <c r="X14" s="134" t="e">
        <f t="shared" si="15"/>
        <v>#VALUE!</v>
      </c>
      <c r="Y14" s="134" t="str">
        <f>IFERROR(VLOOKUP(MID(T14,W14,X14-W14),[6]skilldef!$C:$D,2,FALSE),"-") &amp; " / " &amp; IFERROR(VLOOKUP(MID(T14,U14,V14-U14),[6]skilldef!$A:$B,2,FALSE),"-")</f>
        <v>- / -</v>
      </c>
      <c r="Z14" s="132"/>
      <c r="AA14" s="135"/>
      <c r="AB14" s="132"/>
    </row>
    <row r="15" spans="1:28" ht="21" customHeight="1" x14ac:dyDescent="0.15">
      <c r="A15" s="111">
        <v>48101014</v>
      </c>
      <c r="B15" s="47" t="s">
        <v>406</v>
      </c>
      <c r="C15" s="50">
        <v>1</v>
      </c>
      <c r="D15" s="50" t="s">
        <v>128</v>
      </c>
      <c r="E15" s="51" t="s">
        <v>407</v>
      </c>
      <c r="F15" s="133" t="s">
        <v>262</v>
      </c>
      <c r="G15" s="64" t="str">
        <f t="shared" si="0"/>
        <v>[effect:enemy_message, val1:1.3, val2:0]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5"/>
        <v>none</v>
      </c>
      <c r="N15" s="48" t="str">
        <f t="shared" si="32"/>
        <v>none</v>
      </c>
      <c r="O15" s="64" t="e">
        <f t="shared" si="7"/>
        <v>#VALUE!</v>
      </c>
      <c r="P15" s="64">
        <f t="shared" si="8"/>
        <v>4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11">
        <v>48101015</v>
      </c>
      <c r="B16" s="47" t="s">
        <v>441</v>
      </c>
      <c r="C16" s="50">
        <v>1</v>
      </c>
      <c r="D16" s="50" t="s">
        <v>128</v>
      </c>
      <c r="E16" s="51" t="s">
        <v>268</v>
      </c>
      <c r="F16" s="51" t="s">
        <v>432</v>
      </c>
      <c r="G16" s="64" t="str">
        <f t="shared" si="0"/>
        <v>[effect:enemy_message, val1:1.2, val2:2.3]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5"/>
        <v>[effect:rush, count:1, val:0.8],[effect:force_change_block, new_block:jammer, target:block_all, ignore01:block_positive, ignore02:jammer, count:4, val:0, animation:change_block]</v>
      </c>
      <c r="N16" s="48" t="str">
        <f t="shared" si="32"/>
        <v>[effect:rush, count:1, val:0.8],[effect:force_change_block, new_block:jammer, target:block_all, ignore01:block_positive, ignore02:jammer, count:4, val:0, animation:change_block]</v>
      </c>
      <c r="O16" s="64">
        <f t="shared" si="7"/>
        <v>9</v>
      </c>
      <c r="P16" s="64">
        <f t="shared" si="8"/>
        <v>13</v>
      </c>
      <c r="Q16" s="64">
        <f t="shared" si="9"/>
        <v>86</v>
      </c>
      <c r="R16" s="64">
        <f t="shared" si="10"/>
        <v>22</v>
      </c>
      <c r="S16" s="64" t="str">
        <f>IFERROR(VLOOKUP(MID(N16,Q16,R16-Q16),[6]skilldef!$C:$D,2,FALSE),"-") &amp; " / " &amp; IFERROR(VLOOKUP(MID(N16,O16,P16-O16),[6]skilldef!$A:$B,2,FALSE),"-")</f>
        <v>- / 連続攻撃</v>
      </c>
      <c r="T16" s="48" t="str">
        <f t="shared" si="11"/>
        <v>[effect:force_change_block, new_block:jammer, target:block_all, ignore01:block_positive, ignore02:jammer, count:4, val:0, animation:change_block]</v>
      </c>
      <c r="U16" s="64">
        <f t="shared" si="12"/>
        <v>9</v>
      </c>
      <c r="V16" s="64">
        <f t="shared" si="13"/>
        <v>27</v>
      </c>
      <c r="W16" s="64">
        <f t="shared" si="14"/>
        <v>54</v>
      </c>
      <c r="X16" s="64">
        <f t="shared" si="15"/>
        <v>45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111">
        <v>48101016</v>
      </c>
      <c r="B17" s="47" t="s">
        <v>305</v>
      </c>
      <c r="C17" s="50">
        <v>1</v>
      </c>
      <c r="D17" s="50" t="s">
        <v>128</v>
      </c>
      <c r="E17" s="51" t="s">
        <v>267</v>
      </c>
      <c r="F17" s="51" t="s">
        <v>350</v>
      </c>
      <c r="G17" s="64" t="str">
        <f t="shared" si="0"/>
        <v>[effect:enemy_message, val1:1.2, val2:1.2]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32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>[effect:critical, val:1.1, animation:enemy_critical]</v>
      </c>
      <c r="N17" s="48" t="str">
        <f t="shared" si="32"/>
        <v>[effect:critical, val:1.1, animation:enemy_critical]</v>
      </c>
      <c r="O17" s="64">
        <f t="shared" si="7"/>
        <v>9</v>
      </c>
      <c r="P17" s="64">
        <f t="shared" si="8"/>
        <v>17</v>
      </c>
      <c r="Q17" s="64" t="e">
        <f t="shared" si="9"/>
        <v>#VALUE!</v>
      </c>
      <c r="R17" s="64">
        <f t="shared" si="10"/>
        <v>26</v>
      </c>
      <c r="S17" s="64" t="str">
        <f>IFERROR(VLOOKUP(MID(N17,Q17,R17-Q17),[6]skilldef!$C:$D,2,FALSE),"-") &amp; " / " &amp; IFERROR(VLOOKUP(MID(N17,O17,P17-O17),[6]skilldef!$A:$B,2,FALSE),"-")</f>
        <v>- / 大攻撃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111">
        <v>48101017</v>
      </c>
      <c r="B18" s="47" t="s">
        <v>351</v>
      </c>
      <c r="C18" s="50">
        <v>1</v>
      </c>
      <c r="D18" s="50" t="s">
        <v>128</v>
      </c>
      <c r="E18" s="51" t="s">
        <v>266</v>
      </c>
      <c r="F18" s="51" t="s">
        <v>265</v>
      </c>
      <c r="G18" s="64" t="str">
        <f t="shared" si="0"/>
        <v>[effect:enemy_message, val1:1.2, val2:2.0]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"/>
        <v>none</v>
      </c>
      <c r="N18" s="48" t="str">
        <f t="shared" si="32"/>
        <v>none</v>
      </c>
      <c r="O18" s="64" t="e">
        <f t="shared" si="7"/>
        <v>#VALUE!</v>
      </c>
      <c r="P18" s="64">
        <f t="shared" si="8"/>
        <v>4</v>
      </c>
      <c r="Q18" s="64" t="e">
        <f t="shared" si="9"/>
        <v>#VALUE!</v>
      </c>
      <c r="R18" s="64" t="e">
        <f t="shared" si="10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111">
        <v>48101018</v>
      </c>
      <c r="B19" s="113" t="s">
        <v>353</v>
      </c>
      <c r="C19" s="50">
        <v>1</v>
      </c>
      <c r="D19" s="50" t="s">
        <v>128</v>
      </c>
      <c r="E19" s="51" t="s">
        <v>352</v>
      </c>
      <c r="F19" s="51" t="s">
        <v>269</v>
      </c>
      <c r="G19" s="64" t="str">
        <f t="shared" si="0"/>
        <v>[effect:enemy_message, val1:1.2, val2:1.5]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>
        <f t="shared" si="4"/>
        <v>32</v>
      </c>
      <c r="L19" s="64" t="str">
        <f>IFERROR(VLOOKUP(MID(G19,J19,K19-J19),[6]skilldef!$C:$D,2,FALSE),"-") &amp; " / " &amp; IFERROR(VLOOKUP(MID(G19,H19,I19-H19),[6]skilldef!$A:$B,2,FALSE),"-")</f>
        <v>- / -</v>
      </c>
      <c r="M19" s="64" t="str">
        <f t="shared" si="5"/>
        <v>[effect:break_attack_fix, target:unit_all, val:100, lowest_val:2000, count:-1, block01:jammer]</v>
      </c>
      <c r="N19" s="48" t="str">
        <f t="shared" si="32"/>
        <v>[effect:break_attack_fix, target:unit_all, val:100, lowest_val:2000, count:-1, block01:jammer]</v>
      </c>
      <c r="O19" s="64">
        <f t="shared" si="7"/>
        <v>9</v>
      </c>
      <c r="P19" s="64">
        <f t="shared" si="8"/>
        <v>25</v>
      </c>
      <c r="Q19" s="64">
        <f t="shared" si="9"/>
        <v>34</v>
      </c>
      <c r="R19" s="64">
        <f t="shared" si="10"/>
        <v>42</v>
      </c>
      <c r="S19" s="64" t="str">
        <f>IFERROR(VLOOKUP(MID(N19,Q19,R19-Q19),[6]skilldef!$C:$D,2,FALSE),"-") &amp; " / " &amp; IFERROR(VLOOKUP(MID(N19,O19,P19-O19),[6]skilldef!$A:$B,2,FALSE),"-")</f>
        <v>味方全体に / -</v>
      </c>
      <c r="T19" s="48" t="str">
        <f t="shared" si="11"/>
        <v>none</v>
      </c>
      <c r="U19" s="64" t="e">
        <f t="shared" si="12"/>
        <v>#VALUE!</v>
      </c>
      <c r="V19" s="64">
        <f t="shared" si="13"/>
        <v>4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thickBot="1" x14ac:dyDescent="0.2">
      <c r="A20" s="112">
        <v>48101019</v>
      </c>
      <c r="B20" s="107" t="s">
        <v>356</v>
      </c>
      <c r="C20" s="136">
        <v>1</v>
      </c>
      <c r="D20" s="136" t="s">
        <v>128</v>
      </c>
      <c r="E20" s="137" t="s">
        <v>316</v>
      </c>
      <c r="F20" s="137" t="s">
        <v>354</v>
      </c>
      <c r="G20" s="138" t="str">
        <f t="shared" si="0"/>
        <v>[effect:enemy_message, val1:1.2, val2:1.8]</v>
      </c>
      <c r="H20" s="138">
        <f t="shared" si="1"/>
        <v>9</v>
      </c>
      <c r="I20" s="138">
        <f t="shared" si="2"/>
        <v>22</v>
      </c>
      <c r="J20" s="138" t="e">
        <f t="shared" si="3"/>
        <v>#VALUE!</v>
      </c>
      <c r="K20" s="138">
        <f t="shared" si="4"/>
        <v>32</v>
      </c>
      <c r="L20" s="138" t="str">
        <f>IFERROR(VLOOKUP(MID(G20,J20,K20-J20),[6]skilldef!$C:$D,2,FALSE),"-") &amp; " / " &amp; IFERROR(VLOOKUP(MID(G20,H20,I20-H20),[6]skilldef!$A:$B,2,FALSE),"-")</f>
        <v>- / -</v>
      </c>
      <c r="M20" s="138" t="str">
        <f t="shared" si="5"/>
        <v>[effect:freq_turn, target:myself, turn:3, val:2, animation:enemy_freq_turn]</v>
      </c>
      <c r="N20" s="121" t="str">
        <f>IFERROR(LEFT(M20,FIND("],",M20)+S31),M20)</f>
        <v>[effect:freq_turn, target:myself, turn:3, val:2, animation:enemy_freq_turn]</v>
      </c>
      <c r="O20" s="138">
        <f t="shared" si="7"/>
        <v>9</v>
      </c>
      <c r="P20" s="138">
        <f t="shared" si="8"/>
        <v>18</v>
      </c>
      <c r="Q20" s="138">
        <f t="shared" si="9"/>
        <v>27</v>
      </c>
      <c r="R20" s="138">
        <f t="shared" si="10"/>
        <v>33</v>
      </c>
      <c r="S20" s="138" t="str">
        <f>IFERROR(VLOOKUP(MID(N20,Q20,R20-Q20),[6]skilldef!$C:$D,2,FALSE),"-") &amp; " / " &amp; IFERROR(VLOOKUP(MID(N20,O20,P20-O20),[6]skilldef!$A:$B,2,FALSE),"-")</f>
        <v>自分自身に / 攻撃頻度がUP</v>
      </c>
      <c r="T20" s="121" t="str">
        <f t="shared" si="11"/>
        <v>none</v>
      </c>
      <c r="U20" s="138" t="e">
        <f t="shared" si="12"/>
        <v>#VALUE!</v>
      </c>
      <c r="V20" s="138">
        <f t="shared" si="13"/>
        <v>4</v>
      </c>
      <c r="W20" s="138" t="e">
        <f t="shared" si="14"/>
        <v>#VALUE!</v>
      </c>
      <c r="X20" s="138" t="e">
        <f t="shared" si="15"/>
        <v>#VALUE!</v>
      </c>
      <c r="Y20" s="138" t="str">
        <f>IFERROR(VLOOKUP(MID(T20,W20,X20-W20),[6]skilldef!$C:$D,2,FALSE),"-") &amp; " / " &amp; IFERROR(VLOOKUP(MID(T20,U20,V20-U20),[6]skilldef!$A:$B,2,FALSE),"-")</f>
        <v>- / -</v>
      </c>
      <c r="Z20" s="136"/>
      <c r="AA20" s="139"/>
      <c r="AB20" s="136"/>
    </row>
    <row r="21" spans="1:28" ht="21" customHeight="1" x14ac:dyDescent="0.15">
      <c r="A21" s="110">
        <v>48101020</v>
      </c>
      <c r="B21" s="106" t="s">
        <v>399</v>
      </c>
      <c r="C21" s="132">
        <v>1</v>
      </c>
      <c r="D21" s="132" t="s">
        <v>128</v>
      </c>
      <c r="E21" s="133" t="s">
        <v>270</v>
      </c>
      <c r="F21" s="133" t="s">
        <v>398</v>
      </c>
      <c r="G21" s="134" t="str">
        <f t="shared" si="0"/>
        <v>[effect:enemy_message, val1:1.2, val2:3.6]</v>
      </c>
      <c r="H21" s="134">
        <f t="shared" si="1"/>
        <v>9</v>
      </c>
      <c r="I21" s="134">
        <f t="shared" si="2"/>
        <v>22</v>
      </c>
      <c r="J21" s="134" t="e">
        <f t="shared" si="3"/>
        <v>#VALUE!</v>
      </c>
      <c r="K21" s="134">
        <f t="shared" si="4"/>
        <v>32</v>
      </c>
      <c r="L21" s="134" t="str">
        <f>IFERROR(VLOOKUP(MID(G21,J21,K21-J21),[6]skilldef!$C:$D,2,FALSE),"-") &amp; " / " &amp; IFERROR(VLOOKUP(MID(G21,H21,I21-H21),[6]skilldef!$A:$B,2,FALSE),"-")</f>
        <v>- / -</v>
      </c>
      <c r="M21" s="134" t="str">
        <f t="shared" si="5"/>
        <v>[effect:enhance_unit, target:unit_all, turn:4, status:defense, val:500, calc:add],[effect:suicide, target:myself, val:1, dead_type:escape, animation:enemy_suicide]</v>
      </c>
      <c r="N21" s="120" t="str">
        <f>IFERROR(LEFT(M21,FIND("],",M21)+S32),M21)</f>
        <v>[effect:enhance_unit, target:unit_all, turn:4, status:defense, val:500, calc:add],[effect:suicide, target:myself, val:1, dead_type:escape, animation:enemy_suicide]</v>
      </c>
      <c r="O21" s="134">
        <f t="shared" si="7"/>
        <v>9</v>
      </c>
      <c r="P21" s="134">
        <f t="shared" si="8"/>
        <v>21</v>
      </c>
      <c r="Q21" s="134">
        <f t="shared" si="9"/>
        <v>30</v>
      </c>
      <c r="R21" s="134">
        <f t="shared" si="10"/>
        <v>38</v>
      </c>
      <c r="S21" s="134" t="str">
        <f>IFERROR(VLOOKUP(MID(N21,Q21,R21-Q21),[6]skilldef!$C:$D,2,FALSE),"-") &amp; " / " &amp; IFERROR(VLOOKUP(MID(N21,O21,P21-O21),[6]skilldef!$A:$B,2,FALSE),"-")</f>
        <v>味方全体に / -</v>
      </c>
      <c r="T21" s="120" t="str">
        <f t="shared" si="11"/>
        <v>[effect:suicide, target:myself, val:1, dead_type:escape, animation:enemy_suicide]</v>
      </c>
      <c r="U21" s="134">
        <f t="shared" si="12"/>
        <v>9</v>
      </c>
      <c r="V21" s="134">
        <f t="shared" si="13"/>
        <v>16</v>
      </c>
      <c r="W21" s="134">
        <f t="shared" si="14"/>
        <v>25</v>
      </c>
      <c r="X21" s="134">
        <f t="shared" si="15"/>
        <v>31</v>
      </c>
      <c r="Y21" s="134" t="str">
        <f>IFERROR(VLOOKUP(MID(T21,W21,X21-W21),[6]skilldef!$C:$D,2,FALSE),"-") &amp; " / " &amp; IFERROR(VLOOKUP(MID(T21,U21,V21-U21),[6]skilldef!$A:$B,2,FALSE),"-")</f>
        <v>自分自身に / -</v>
      </c>
      <c r="Z21" s="132"/>
      <c r="AA21" s="135"/>
      <c r="AB21" s="132"/>
    </row>
    <row r="22" spans="1:28" ht="21" customHeight="1" x14ac:dyDescent="0.15">
      <c r="A22" s="111">
        <v>48101021</v>
      </c>
      <c r="B22" s="47" t="s">
        <v>445</v>
      </c>
      <c r="C22" s="50">
        <v>1</v>
      </c>
      <c r="D22" s="50" t="s">
        <v>128</v>
      </c>
      <c r="E22" s="51" t="s">
        <v>355</v>
      </c>
      <c r="F22" s="51" t="s">
        <v>444</v>
      </c>
      <c r="G22" s="64" t="str">
        <f t="shared" si="0"/>
        <v>[effect:enemy_message, val1:1.2, val2:3.9]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>
        <f t="shared" si="4"/>
        <v>32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5"/>
        <v>[effect:crash_condition, target:unit_all, turn:8, val:-4, animation:crash_panel_reduce03],[effect:suicide, target:myself, val:1, dead_type:escape, animation:enemy_suicide]</v>
      </c>
      <c r="N22" s="48" t="str">
        <f>IFERROR(LEFT(M22,FIND("],",M22)+S33),M22)</f>
        <v>[effect:crash_condition, target:unit_all, turn:8, val:-4, animation:crash_panel_reduce03],[effect:suicide, target:myself, val:1, dead_type:escape, animation:enemy_suicide]</v>
      </c>
      <c r="O22" s="64">
        <f t="shared" si="7"/>
        <v>9</v>
      </c>
      <c r="P22" s="64">
        <f t="shared" si="8"/>
        <v>24</v>
      </c>
      <c r="Q22" s="64">
        <f t="shared" si="9"/>
        <v>33</v>
      </c>
      <c r="R22" s="64">
        <f t="shared" si="10"/>
        <v>41</v>
      </c>
      <c r="S22" s="64" t="str">
        <f>IFERROR(VLOOKUP(MID(N22,Q22,R22-Q22),[6]skilldef!$C:$D,2,FALSE),"-") &amp; " / " &amp; IFERROR(VLOOKUP(MID(N22,O22,P22-O22),[6]skilldef!$A:$B,2,FALSE),"-")</f>
        <v>味方全体に / -</v>
      </c>
      <c r="T22" s="48" t="str">
        <f t="shared" si="11"/>
        <v>[effect:suicide, target:myself, val:1, dead_type:escape, animation:enemy_suicide]</v>
      </c>
      <c r="U22" s="64">
        <f t="shared" si="12"/>
        <v>9</v>
      </c>
      <c r="V22" s="64">
        <f t="shared" si="13"/>
        <v>16</v>
      </c>
      <c r="W22" s="64">
        <f t="shared" si="14"/>
        <v>25</v>
      </c>
      <c r="X22" s="64">
        <f t="shared" si="15"/>
        <v>31</v>
      </c>
      <c r="Y22" s="64" t="str">
        <f>IFERROR(VLOOKUP(MID(T22,W22,X22-W22),[6]skilldef!$C:$D,2,FALSE),"-") &amp; " / " &amp; IFERROR(VLOOKUP(MID(T22,U22,V22-U22),[6]skilldef!$A:$B,2,FALSE),"-")</f>
        <v>自分自身に / -</v>
      </c>
      <c r="Z22" s="50"/>
      <c r="AA22" s="52"/>
      <c r="AB22" s="50"/>
    </row>
    <row r="23" spans="1:28" ht="21" customHeight="1" x14ac:dyDescent="0.15">
      <c r="A23" s="111">
        <v>48101022</v>
      </c>
      <c r="B23" s="47" t="s">
        <v>401</v>
      </c>
      <c r="C23" s="50">
        <v>1</v>
      </c>
      <c r="D23" s="50" t="s">
        <v>128</v>
      </c>
      <c r="E23" s="51" t="s">
        <v>355</v>
      </c>
      <c r="F23" s="51" t="s">
        <v>403</v>
      </c>
      <c r="G23" s="64" t="str">
        <f t="shared" si="0"/>
        <v>[effect:enemy_message, val1:1.2, val2:3.6]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32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5"/>
        <v>[effect:enhance_unit, target:unit_all, turn:8, status:defense, val:500, calc:add],[effect:suicide, target:myself, val:1, dead_type:escape, animation:enemy_suicide]</v>
      </c>
      <c r="N23" s="48" t="str">
        <f>IFERROR(LEFT(M23,FIND("],",M23)+S34),M23)</f>
        <v>[effect:enhance_unit, target:unit_all, turn:8, status:defense, val:500, calc:add],[effect:suicide, target:myself, val:1, dead_type:escape, animation:enemy_suicide]</v>
      </c>
      <c r="O23" s="64">
        <f t="shared" si="7"/>
        <v>9</v>
      </c>
      <c r="P23" s="64">
        <f t="shared" si="8"/>
        <v>21</v>
      </c>
      <c r="Q23" s="64">
        <f t="shared" si="9"/>
        <v>30</v>
      </c>
      <c r="R23" s="64">
        <f t="shared" si="10"/>
        <v>38</v>
      </c>
      <c r="S23" s="64" t="str">
        <f>IFERROR(VLOOKUP(MID(N23,Q23,R23-Q23),[6]skilldef!$C:$D,2,FALSE),"-") &amp; " / " &amp; IFERROR(VLOOKUP(MID(N23,O23,P23-O23),[6]skilldef!$A:$B,2,FALSE),"-")</f>
        <v>味方全体に / -</v>
      </c>
      <c r="T23" s="48" t="str">
        <f t="shared" si="11"/>
        <v>[effect:suicide, target:myself, val:1, dead_type:escape, animation:enemy_suicide]</v>
      </c>
      <c r="U23" s="64">
        <f t="shared" si="12"/>
        <v>9</v>
      </c>
      <c r="V23" s="64">
        <f t="shared" si="13"/>
        <v>16</v>
      </c>
      <c r="W23" s="64">
        <f t="shared" si="14"/>
        <v>25</v>
      </c>
      <c r="X23" s="64">
        <f t="shared" si="15"/>
        <v>31</v>
      </c>
      <c r="Y23" s="64" t="str">
        <f>IFERROR(VLOOKUP(MID(T23,W23,X23-W23),[6]skilldef!$C:$D,2,FALSE),"-") &amp; " / " &amp; IFERROR(VLOOKUP(MID(T23,U23,V23-U23),[6]skilldef!$A:$B,2,FALSE),"-")</f>
        <v>自分自身に / -</v>
      </c>
      <c r="Z23" s="50"/>
      <c r="AA23" s="52"/>
      <c r="AB23" s="50"/>
    </row>
    <row r="24" spans="1:28" ht="21" customHeight="1" thickBot="1" x14ac:dyDescent="0.2">
      <c r="A24" s="112">
        <v>48101023</v>
      </c>
      <c r="B24" s="141" t="s">
        <v>402</v>
      </c>
      <c r="C24" s="142">
        <v>1</v>
      </c>
      <c r="D24" s="142" t="s">
        <v>128</v>
      </c>
      <c r="E24" s="137" t="s">
        <v>355</v>
      </c>
      <c r="F24" s="143" t="s">
        <v>404</v>
      </c>
      <c r="G24" s="144" t="str">
        <f t="shared" ref="G24" si="33">IFERROR(LEFT(B24,FIND("],",B24)),B24)</f>
        <v>[effect:enemy_message, val1:1.2, val2:3.6]</v>
      </c>
      <c r="H24" s="144">
        <f t="shared" ref="H24" si="34">FIND("effect:",G24)+7</f>
        <v>9</v>
      </c>
      <c r="I24" s="144">
        <f t="shared" ref="I24" si="35">IFERROR(FIND(",",G24),LEN(G24))</f>
        <v>22</v>
      </c>
      <c r="J24" s="144" t="e">
        <f t="shared" ref="J24" si="36">FIND("target:",G24)+7</f>
        <v>#VALUE!</v>
      </c>
      <c r="K24" s="144">
        <f t="shared" ref="K24" si="37">FIND(",",G24,I24+1)</f>
        <v>32</v>
      </c>
      <c r="L24" s="144" t="str">
        <f>IFERROR(VLOOKUP(MID(G24,J24,K24-J24),[6]skilldef!$C:$D,2,FALSE),"-") &amp; " / " &amp; IFERROR(VLOOKUP(MID(G24,H24,I24-H24),[6]skilldef!$A:$B,2,FALSE),"-")</f>
        <v>- / -</v>
      </c>
      <c r="M24" s="144" t="str">
        <f t="shared" ref="M24" si="38">IFERROR(RIGHT(B24,LEN(B24)-FIND("],",B24)-1),"none")</f>
        <v>[effect:enhance_unit, target:unit_all, turn:8, status:attack, val:0.3, calc:mul],[effect:suicide, target:myself, val:1, dead_type:escape, animation:enemy_suicide]</v>
      </c>
      <c r="N24" s="145" t="str">
        <f>IFERROR(LEFT(M24,FIND("],",M24)+S35),M24)</f>
        <v>[effect:enhance_unit, target:unit_all, turn:8, status:attack, val:0.3, calc:mul],[effect:suicide, target:myself, val:1, dead_type:escape, animation:enemy_suicide]</v>
      </c>
      <c r="O24" s="144">
        <f t="shared" ref="O24" si="39">FIND("effect:",N24)+7</f>
        <v>9</v>
      </c>
      <c r="P24" s="144">
        <f t="shared" ref="P24" si="40">IFERROR(FIND(",",N24),LEN(N24))</f>
        <v>21</v>
      </c>
      <c r="Q24" s="144">
        <f t="shared" ref="Q24" si="41">FIND("target:",N24)+7</f>
        <v>30</v>
      </c>
      <c r="R24" s="144">
        <f t="shared" ref="R24" si="42">FIND(",",N24,P24+1)</f>
        <v>38</v>
      </c>
      <c r="S24" s="144" t="str">
        <f>IFERROR(VLOOKUP(MID(N24,Q24,R24-Q24),[6]skilldef!$C:$D,2,FALSE),"-") &amp; " / " &amp; IFERROR(VLOOKUP(MID(N24,O24,P24-O24),[6]skilldef!$A:$B,2,FALSE),"-")</f>
        <v>味方全体に / -</v>
      </c>
      <c r="T24" s="145" t="str">
        <f t="shared" ref="T24" si="43">IFERROR(RIGHT(M24,LEN(M24)-FIND("],",M24)-1),"none")</f>
        <v>[effect:suicide, target:myself, val:1, dead_type:escape, animation:enemy_suicide]</v>
      </c>
      <c r="U24" s="144">
        <f t="shared" ref="U24" si="44">FIND("effect:",T24)+7</f>
        <v>9</v>
      </c>
      <c r="V24" s="144">
        <f t="shared" ref="V24" si="45">IFERROR(FIND(",",T24),LEN(T24))</f>
        <v>16</v>
      </c>
      <c r="W24" s="144">
        <f t="shared" ref="W24" si="46">FIND("target:",T24)+7</f>
        <v>25</v>
      </c>
      <c r="X24" s="144">
        <f t="shared" ref="X24" si="47">FIND(",",T24,V24+1)</f>
        <v>31</v>
      </c>
      <c r="Y24" s="144" t="str">
        <f>IFERROR(VLOOKUP(MID(T24,W24,X24-W24),[6]skilldef!$C:$D,2,FALSE),"-") &amp; " / " &amp; IFERROR(VLOOKUP(MID(T24,U24,V24-U24),[6]skilldef!$A:$B,2,FALSE),"-")</f>
        <v>自分自身に / -</v>
      </c>
      <c r="Z24" s="142"/>
      <c r="AA24" s="146"/>
      <c r="AB24" s="142"/>
    </row>
    <row r="25" spans="1:28" ht="21" customHeight="1" x14ac:dyDescent="0.15">
      <c r="A25" s="114">
        <v>48101024</v>
      </c>
      <c r="B25" s="106" t="s">
        <v>357</v>
      </c>
      <c r="C25" s="132">
        <v>1</v>
      </c>
      <c r="D25" s="132" t="s">
        <v>128</v>
      </c>
      <c r="E25" s="133" t="s">
        <v>295</v>
      </c>
      <c r="F25" s="133" t="s">
        <v>306</v>
      </c>
      <c r="G25" s="134" t="str">
        <f t="shared" si="0"/>
        <v>[effect:enemy_message, val1:2.0, val2:1.4]</v>
      </c>
      <c r="H25" s="134">
        <f t="shared" si="1"/>
        <v>9</v>
      </c>
      <c r="I25" s="134">
        <f t="shared" si="2"/>
        <v>22</v>
      </c>
      <c r="J25" s="134" t="e">
        <f t="shared" si="3"/>
        <v>#VALUE!</v>
      </c>
      <c r="K25" s="134">
        <f t="shared" si="4"/>
        <v>32</v>
      </c>
      <c r="L25" s="134" t="str">
        <f>IFERROR(VLOOKUP(MID(G25,J25,K25-J25),[6]skilldef!$C:$D,2,FALSE),"-") &amp; " / " &amp; IFERROR(VLOOKUP(MID(G25,H25,I25-H25),[6]skilldef!$A:$B,2,FALSE),"-")</f>
        <v>- / -</v>
      </c>
      <c r="M25" s="134" t="str">
        <f t="shared" si="5"/>
        <v>[effect:fix_speed, target:myself, turn:2],[effect:drop_block, block_type:jammer, color:block_all, val:0, rate:0.12, turn:-1, animation:jammer_influence04]</v>
      </c>
      <c r="N25" s="120" t="str">
        <f t="shared" ref="N25:N60" si="48">IFERROR(LEFT(M25,FIND("],",M25)+S35),M25)</f>
        <v>[effect:fix_speed, target:myself, turn:2],[effect:drop_block, block_type:jammer, color:block_all, val:0, rate:0.12, turn:-1, animation:jammer_influence04]</v>
      </c>
      <c r="O25" s="134">
        <f t="shared" si="7"/>
        <v>9</v>
      </c>
      <c r="P25" s="134">
        <f t="shared" si="8"/>
        <v>18</v>
      </c>
      <c r="Q25" s="134">
        <f t="shared" si="9"/>
        <v>27</v>
      </c>
      <c r="R25" s="134">
        <f t="shared" si="10"/>
        <v>33</v>
      </c>
      <c r="S25" s="134" t="str">
        <f>IFERROR(VLOOKUP(MID(N25,Q25,R25-Q25),[6]skilldef!$C:$D,2,FALSE),"-") &amp; " / " &amp; IFERROR(VLOOKUP(MID(N25,O25,P25-O25),[6]skilldef!$A:$B,2,FALSE),"-")</f>
        <v>自分自身に / 行動値設定</v>
      </c>
      <c r="T25" s="120" t="str">
        <f t="shared" si="11"/>
        <v>[effect:drop_block, block_type:jammer, color:block_all, val:0, rate:0.12, turn:-1, animation:jammer_influence04]</v>
      </c>
      <c r="U25" s="134">
        <f t="shared" si="12"/>
        <v>9</v>
      </c>
      <c r="V25" s="134">
        <f t="shared" si="13"/>
        <v>19</v>
      </c>
      <c r="W25" s="134" t="e">
        <f t="shared" si="14"/>
        <v>#VALUE!</v>
      </c>
      <c r="X25" s="134">
        <f t="shared" si="15"/>
        <v>38</v>
      </c>
      <c r="Y25" s="134" t="str">
        <f>IFERROR(VLOOKUP(MID(T25,W25,X25-W25),[6]skilldef!$C:$D,2,FALSE),"-") &amp; " / " &amp; IFERROR(VLOOKUP(MID(T25,U25,V25-U25),[6]skilldef!$A:$B,2,FALSE),"-")</f>
        <v>- / 特定ブロックの割合ドロップ</v>
      </c>
      <c r="Z25" s="132"/>
      <c r="AA25" s="135"/>
      <c r="AB25" s="132"/>
    </row>
    <row r="26" spans="1:28" ht="21" customHeight="1" x14ac:dyDescent="0.15">
      <c r="A26" s="114">
        <v>48101025</v>
      </c>
      <c r="B26" s="47" t="s">
        <v>323</v>
      </c>
      <c r="C26" s="50">
        <v>1</v>
      </c>
      <c r="D26" s="50" t="s">
        <v>128</v>
      </c>
      <c r="E26" s="51" t="s">
        <v>296</v>
      </c>
      <c r="F26" s="51" t="s">
        <v>271</v>
      </c>
      <c r="G26" s="64" t="str">
        <f t="shared" si="0"/>
        <v>[effect:enemy_message, val1:1.2, val2:1.2]</v>
      </c>
      <c r="H26" s="64">
        <f t="shared" si="1"/>
        <v>9</v>
      </c>
      <c r="I26" s="64">
        <f t="shared" si="2"/>
        <v>22</v>
      </c>
      <c r="J26" s="64" t="e">
        <f t="shared" si="3"/>
        <v>#VALUE!</v>
      </c>
      <c r="K26" s="64">
        <f t="shared" si="4"/>
        <v>32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si="5"/>
        <v>[effect:spread, val:0.23]</v>
      </c>
      <c r="N26" s="48" t="str">
        <f t="shared" si="48"/>
        <v>[effect:spread, val:0.23]</v>
      </c>
      <c r="O26" s="64">
        <f t="shared" si="7"/>
        <v>9</v>
      </c>
      <c r="P26" s="64">
        <f t="shared" si="8"/>
        <v>15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IFERROR(VLOOKUP(MID(N26,Q26,R26-Q26),[6]skilldef!$C:$D,2,FALSE),"-") &amp; " / " &amp; IFERROR(VLOOKUP(MID(N26,O26,P26-O26),[6]skilldef!$A:$B,2,FALSE),"-")</f>
        <v>- / 全体攻撃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14">
        <v>48101026</v>
      </c>
      <c r="B27" s="47" t="s">
        <v>358</v>
      </c>
      <c r="C27" s="50">
        <v>1</v>
      </c>
      <c r="D27" s="50" t="s">
        <v>128</v>
      </c>
      <c r="E27" s="51" t="s">
        <v>272</v>
      </c>
      <c r="F27" s="51" t="s">
        <v>273</v>
      </c>
      <c r="G27" s="64" t="str">
        <f t="shared" si="0"/>
        <v>[effect:enemy_message, val1:1.2, val2:1.3]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 xml:space="preserve">[effect:break_attack_fix, target:unit_one, val:400, lowest_val:2500, count:-1, block01:jammer]    </v>
      </c>
      <c r="N27" s="48" t="str">
        <f t="shared" si="48"/>
        <v xml:space="preserve">[effect:break_attack_fix, target:unit_one, val:400, lowest_val:2500, count:-1, block01:jammer]    </v>
      </c>
      <c r="O27" s="64">
        <f t="shared" si="7"/>
        <v>9</v>
      </c>
      <c r="P27" s="64">
        <f t="shared" si="8"/>
        <v>25</v>
      </c>
      <c r="Q27" s="64">
        <f t="shared" si="9"/>
        <v>34</v>
      </c>
      <c r="R27" s="64">
        <f t="shared" si="10"/>
        <v>42</v>
      </c>
      <c r="S27" s="64" t="str">
        <f>IFERROR(VLOOKUP(MID(N27,Q27,R27-Q27),[6]skilldef!$C:$D,2,FALSE),"-") &amp; " / " &amp; IFERROR(VLOOKUP(MID(N27,O27,P27-O27),[6]skilldef!$A:$B,2,FALSE),"-")</f>
        <v>味方単体に / -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14">
        <v>48101027</v>
      </c>
      <c r="B28" s="47" t="s">
        <v>359</v>
      </c>
      <c r="C28" s="50">
        <v>1</v>
      </c>
      <c r="D28" s="50" t="s">
        <v>128</v>
      </c>
      <c r="E28" s="51" t="s">
        <v>275</v>
      </c>
      <c r="F28" s="51" t="s">
        <v>274</v>
      </c>
      <c r="G28" s="64" t="str">
        <f t="shared" si="0"/>
        <v>[effect:enemy_message, val1:1.2, val2:1.6]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32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5"/>
        <v xml:space="preserve">[effect:break_enchance_enemy, target:myself, val:0.03, lowest_val:0.02, count:-1, status:attack, turn:-1, block01:jammer, calc:mul, animation:enemy_enhance_attack]    </v>
      </c>
      <c r="N28" s="48" t="str">
        <f t="shared" si="48"/>
        <v xml:space="preserve">[effect:break_enchance_enemy, target:myself, val:0.03, lowest_val:0.02, count:-1, status:attack, turn:-1, block01:jammer, calc:mul, animation:enemy_enhance_attack]    </v>
      </c>
      <c r="O28" s="64">
        <f t="shared" si="7"/>
        <v>9</v>
      </c>
      <c r="P28" s="64">
        <f t="shared" si="8"/>
        <v>29</v>
      </c>
      <c r="Q28" s="64">
        <f t="shared" si="9"/>
        <v>38</v>
      </c>
      <c r="R28" s="64">
        <f t="shared" si="10"/>
        <v>44</v>
      </c>
      <c r="S28" s="64" t="str">
        <f>IFERROR(VLOOKUP(MID(N28,Q28,R28-Q28),[6]skilldef!$C:$D,2,FALSE),"-") &amp; " / " &amp; IFERROR(VLOOKUP(MID(N28,O28,P28-O28),[6]skilldef!$A:$B,2,FALSE),"-")</f>
        <v>自分自身に / -</v>
      </c>
      <c r="T28" s="48" t="str">
        <f t="shared" si="11"/>
        <v>none</v>
      </c>
      <c r="U28" s="64" t="e">
        <f t="shared" si="12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thickBot="1" x14ac:dyDescent="0.2">
      <c r="A29" s="116">
        <v>48101028</v>
      </c>
      <c r="B29" s="107" t="s">
        <v>360</v>
      </c>
      <c r="C29" s="136">
        <v>1</v>
      </c>
      <c r="D29" s="136" t="s">
        <v>128</v>
      </c>
      <c r="E29" s="137" t="s">
        <v>276</v>
      </c>
      <c r="F29" s="137" t="s">
        <v>447</v>
      </c>
      <c r="G29" s="138" t="str">
        <f t="shared" si="0"/>
        <v>[effect:enemy_message, val1:1.2, val2:2.1]</v>
      </c>
      <c r="H29" s="138">
        <f t="shared" si="1"/>
        <v>9</v>
      </c>
      <c r="I29" s="138">
        <f t="shared" si="2"/>
        <v>22</v>
      </c>
      <c r="J29" s="138" t="e">
        <f t="shared" si="3"/>
        <v>#VALUE!</v>
      </c>
      <c r="K29" s="138">
        <f t="shared" si="4"/>
        <v>32</v>
      </c>
      <c r="L29" s="138" t="str">
        <f>IFERROR(VLOOKUP(MID(G29,J29,K29-J29),[6]skilldef!$C:$D,2,FALSE),"-") &amp; " / " &amp; IFERROR(VLOOKUP(MID(G29,H29,I29-H29),[6]skilldef!$A:$B,2,FALSE),"-")</f>
        <v>- / -</v>
      </c>
      <c r="M29" s="138" t="str">
        <f t="shared" si="5"/>
        <v>[effect:break_heal_fix, target:myself, val:0, lowest_val:0, count:-1, block01:jammer],[effect:freq_turn, target:myself, turn:1, val:1, animation:enemy_freq_turn]</v>
      </c>
      <c r="N29" s="121" t="str">
        <f t="shared" si="48"/>
        <v>[effect:break_heal_fix, target:myself, val:0, lowest_val:0, count:-1, block01:jammer],[effect:freq_turn, target:myself, turn:1, val:1, animation:enemy_freq_turn]</v>
      </c>
      <c r="O29" s="138">
        <f t="shared" si="7"/>
        <v>9</v>
      </c>
      <c r="P29" s="138">
        <f t="shared" si="8"/>
        <v>23</v>
      </c>
      <c r="Q29" s="138">
        <f t="shared" si="9"/>
        <v>32</v>
      </c>
      <c r="R29" s="138">
        <f t="shared" si="10"/>
        <v>38</v>
      </c>
      <c r="S29" s="138" t="str">
        <f>IFERROR(VLOOKUP(MID(N29,Q29,R29-Q29),[6]skilldef!$C:$D,2,FALSE),"-") &amp; " / " &amp; IFERROR(VLOOKUP(MID(N29,O29,P29-O29),[6]skilldef!$A:$B,2,FALSE),"-")</f>
        <v>自分自身に / -</v>
      </c>
      <c r="T29" s="121" t="str">
        <f t="shared" si="11"/>
        <v>[effect:freq_turn, target:myself, turn:1, val:1, animation:enemy_freq_turn]</v>
      </c>
      <c r="U29" s="138">
        <f t="shared" si="12"/>
        <v>9</v>
      </c>
      <c r="V29" s="138">
        <f t="shared" si="13"/>
        <v>18</v>
      </c>
      <c r="W29" s="138">
        <f t="shared" si="14"/>
        <v>27</v>
      </c>
      <c r="X29" s="138">
        <f t="shared" si="15"/>
        <v>33</v>
      </c>
      <c r="Y29" s="138" t="str">
        <f>IFERROR(VLOOKUP(MID(T29,W29,X29-W29),[6]skilldef!$C:$D,2,FALSE),"-") &amp; " / " &amp; IFERROR(VLOOKUP(MID(T29,U29,V29-U29),[6]skilldef!$A:$B,2,FALSE),"-")</f>
        <v>自分自身に / 攻撃頻度がUP</v>
      </c>
      <c r="Z29" s="136"/>
      <c r="AA29" s="139"/>
      <c r="AB29" s="136"/>
    </row>
    <row r="30" spans="1:28" ht="21" customHeight="1" x14ac:dyDescent="0.15">
      <c r="A30" s="114">
        <v>48101029</v>
      </c>
      <c r="B30" s="106" t="s">
        <v>362</v>
      </c>
      <c r="C30" s="132">
        <v>1</v>
      </c>
      <c r="D30" s="132" t="s">
        <v>128</v>
      </c>
      <c r="E30" s="133" t="s">
        <v>361</v>
      </c>
      <c r="F30" s="133" t="s">
        <v>297</v>
      </c>
      <c r="G30" s="134" t="str">
        <f t="shared" si="0"/>
        <v>[effect:enemy_message, val1:1.8, val2:2.5]</v>
      </c>
      <c r="H30" s="134">
        <f t="shared" si="1"/>
        <v>9</v>
      </c>
      <c r="I30" s="134">
        <f t="shared" si="2"/>
        <v>22</v>
      </c>
      <c r="J30" s="134" t="e">
        <f t="shared" si="3"/>
        <v>#VALUE!</v>
      </c>
      <c r="K30" s="134">
        <f t="shared" si="4"/>
        <v>32</v>
      </c>
      <c r="L30" s="134" t="str">
        <f>IFERROR(VLOOKUP(MID(G30,J30,K30-J30),[6]skilldef!$C:$D,2,FALSE),"-") &amp; " / " &amp; IFERROR(VLOOKUP(MID(G30,H30,I30-H30),[6]skilldef!$A:$B,2,FALSE),"-")</f>
        <v>- / -</v>
      </c>
      <c r="M30" s="134" t="str">
        <f t="shared" si="5"/>
        <v>[effect:fix_speed, target:myself, turn:1]</v>
      </c>
      <c r="N30" s="120" t="str">
        <f t="shared" si="48"/>
        <v>[effect:fix_speed, target:myself, turn:1]</v>
      </c>
      <c r="O30" s="134">
        <f t="shared" si="7"/>
        <v>9</v>
      </c>
      <c r="P30" s="134">
        <f t="shared" si="8"/>
        <v>18</v>
      </c>
      <c r="Q30" s="134">
        <f t="shared" si="9"/>
        <v>27</v>
      </c>
      <c r="R30" s="134">
        <f t="shared" si="10"/>
        <v>33</v>
      </c>
      <c r="S30" s="134" t="str">
        <f>IFERROR(VLOOKUP(MID(N30,Q30,R30-Q30),[6]skilldef!$C:$D,2,FALSE),"-") &amp; " / " &amp; IFERROR(VLOOKUP(MID(N30,O30,P30-O30),[6]skilldef!$A:$B,2,FALSE),"-")</f>
        <v>自分自身に / 行動値設定</v>
      </c>
      <c r="T30" s="120" t="str">
        <f t="shared" si="11"/>
        <v>none</v>
      </c>
      <c r="U30" s="134" t="e">
        <f t="shared" si="12"/>
        <v>#VALUE!</v>
      </c>
      <c r="V30" s="134">
        <f t="shared" si="13"/>
        <v>4</v>
      </c>
      <c r="W30" s="134" t="e">
        <f t="shared" si="14"/>
        <v>#VALUE!</v>
      </c>
      <c r="X30" s="134" t="e">
        <f t="shared" si="15"/>
        <v>#VALUE!</v>
      </c>
      <c r="Y30" s="134" t="str">
        <f>IFERROR(VLOOKUP(MID(T30,W30,X30-W30),[6]skilldef!$C:$D,2,FALSE),"-") &amp; " / " &amp; IFERROR(VLOOKUP(MID(T30,U30,V30-U30),[6]skilldef!$A:$B,2,FALSE),"-")</f>
        <v>- / -</v>
      </c>
      <c r="Z30" s="132"/>
      <c r="AA30" s="135"/>
      <c r="AB30" s="132"/>
    </row>
    <row r="31" spans="1:28" ht="21" customHeight="1" x14ac:dyDescent="0.15">
      <c r="A31" s="114">
        <v>48101030</v>
      </c>
      <c r="B31" s="47" t="s">
        <v>321</v>
      </c>
      <c r="C31" s="50">
        <v>1</v>
      </c>
      <c r="D31" s="50" t="s">
        <v>128</v>
      </c>
      <c r="E31" s="51" t="s">
        <v>293</v>
      </c>
      <c r="F31" s="51" t="s">
        <v>257</v>
      </c>
      <c r="G31" s="64" t="str">
        <f t="shared" si="0"/>
        <v>[effect:enemy_message, val1:1.2, val2:1.2]</v>
      </c>
      <c r="H31" s="64">
        <f t="shared" si="1"/>
        <v>9</v>
      </c>
      <c r="I31" s="64">
        <f t="shared" si="2"/>
        <v>22</v>
      </c>
      <c r="J31" s="64" t="e">
        <f t="shared" si="3"/>
        <v>#VALUE!</v>
      </c>
      <c r="K31" s="64">
        <f t="shared" si="4"/>
        <v>32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5"/>
        <v>[effect:critical, val:1.4, animation:enemy_critical]</v>
      </c>
      <c r="N31" s="48" t="str">
        <f t="shared" si="48"/>
        <v>[effect:critical, val:1.4, animation:enemy_critical]</v>
      </c>
      <c r="O31" s="64">
        <f t="shared" si="7"/>
        <v>9</v>
      </c>
      <c r="P31" s="64">
        <f t="shared" si="8"/>
        <v>17</v>
      </c>
      <c r="Q31" s="64" t="e">
        <f t="shared" si="9"/>
        <v>#VALUE!</v>
      </c>
      <c r="R31" s="64">
        <f t="shared" si="10"/>
        <v>26</v>
      </c>
      <c r="S31" s="64" t="str">
        <f>IFERROR(VLOOKUP(MID(N31,Q31,R31-Q31),[6]skilldef!$C:$D,2,FALSE),"-") &amp; " / " &amp; IFERROR(VLOOKUP(MID(N31,O31,P31-O31),[6]skilldef!$A:$B,2,FALSE),"-")</f>
        <v>- / 大攻撃</v>
      </c>
      <c r="T31" s="48" t="str">
        <f t="shared" si="11"/>
        <v>none</v>
      </c>
      <c r="U31" s="64" t="e">
        <f t="shared" si="12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14">
        <v>48101031</v>
      </c>
      <c r="B32" s="47" t="s">
        <v>351</v>
      </c>
      <c r="C32" s="50">
        <v>1</v>
      </c>
      <c r="D32" s="50" t="s">
        <v>128</v>
      </c>
      <c r="E32" s="51" t="s">
        <v>279</v>
      </c>
      <c r="F32" s="51" t="s">
        <v>265</v>
      </c>
      <c r="G32" s="64" t="str">
        <f t="shared" si="0"/>
        <v>[effect:enemy_message, val1:1.2, val2:2.0]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5"/>
        <v>none</v>
      </c>
      <c r="N32" s="48" t="str">
        <f t="shared" si="48"/>
        <v>none</v>
      </c>
      <c r="O32" s="64" t="e">
        <f t="shared" si="7"/>
        <v>#VALUE!</v>
      </c>
      <c r="P32" s="64">
        <f t="shared" si="8"/>
        <v>4</v>
      </c>
      <c r="Q32" s="64" t="e">
        <f t="shared" si="9"/>
        <v>#VALUE!</v>
      </c>
      <c r="R32" s="64" t="e">
        <f t="shared" si="10"/>
        <v>#VALUE!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4" t="e">
        <f t="shared" si="12"/>
        <v>#VALUE!</v>
      </c>
      <c r="V32" s="64">
        <f t="shared" si="13"/>
        <v>4</v>
      </c>
      <c r="W32" s="64" t="e">
        <f t="shared" si="14"/>
        <v>#VALUE!</v>
      </c>
      <c r="X32" s="64" t="e">
        <f t="shared" si="15"/>
        <v>#VALUE!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114">
        <v>48101032</v>
      </c>
      <c r="B33" s="47" t="s">
        <v>363</v>
      </c>
      <c r="C33" s="50">
        <v>1</v>
      </c>
      <c r="D33" s="50" t="s">
        <v>128</v>
      </c>
      <c r="E33" s="51" t="s">
        <v>278</v>
      </c>
      <c r="F33" s="51" t="s">
        <v>269</v>
      </c>
      <c r="G33" s="64" t="str">
        <f t="shared" si="0"/>
        <v>[effect:enemy_message, val1:1.2, val2:1.5]</v>
      </c>
      <c r="H33" s="64">
        <f t="shared" si="1"/>
        <v>9</v>
      </c>
      <c r="I33" s="64">
        <f t="shared" si="2"/>
        <v>22</v>
      </c>
      <c r="J33" s="64" t="e">
        <f t="shared" si="3"/>
        <v>#VALUE!</v>
      </c>
      <c r="K33" s="64">
        <f t="shared" si="4"/>
        <v>32</v>
      </c>
      <c r="L33" s="64" t="str">
        <f>IFERROR(VLOOKUP(MID(G33,J33,K33-J33),[6]skilldef!$C:$D,2,FALSE),"-") &amp; " / " &amp; IFERROR(VLOOKUP(MID(G33,H33,I33-H33),[6]skilldef!$A:$B,2,FALSE),"-")</f>
        <v>- / -</v>
      </c>
      <c r="M33" s="64" t="str">
        <f t="shared" si="5"/>
        <v>[effect:break_attack_fix, target:unit_all, val:100, lowest_val:1000, count:-1, block01:jammer]</v>
      </c>
      <c r="N33" s="48" t="str">
        <f t="shared" si="48"/>
        <v>[effect:break_attack_fix, target:unit_all, val:100, lowest_val:1000, count:-1, block01:jammer]</v>
      </c>
      <c r="O33" s="64">
        <f t="shared" si="7"/>
        <v>9</v>
      </c>
      <c r="P33" s="64">
        <f t="shared" si="8"/>
        <v>25</v>
      </c>
      <c r="Q33" s="64">
        <f t="shared" si="9"/>
        <v>34</v>
      </c>
      <c r="R33" s="64">
        <f t="shared" si="10"/>
        <v>42</v>
      </c>
      <c r="S33" s="64" t="str">
        <f>IFERROR(VLOOKUP(MID(N33,Q33,R33-Q33),[6]skilldef!$C:$D,2,FALSE),"-") &amp; " / " &amp; IFERROR(VLOOKUP(MID(N33,O33,P33-O33),[6]skilldef!$A:$B,2,FALSE),"-")</f>
        <v>味方全体に / -</v>
      </c>
      <c r="T33" s="48" t="str">
        <f t="shared" si="11"/>
        <v>none</v>
      </c>
      <c r="U33" s="64" t="e">
        <f t="shared" si="12"/>
        <v>#VALUE!</v>
      </c>
      <c r="V33" s="64">
        <f t="shared" si="13"/>
        <v>4</v>
      </c>
      <c r="W33" s="64" t="e">
        <f t="shared" si="14"/>
        <v>#VALUE!</v>
      </c>
      <c r="X33" s="64" t="e">
        <f t="shared" si="15"/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thickBot="1" x14ac:dyDescent="0.2">
      <c r="A34" s="116">
        <v>48101033</v>
      </c>
      <c r="B34" s="107" t="s">
        <v>420</v>
      </c>
      <c r="C34" s="50">
        <v>1</v>
      </c>
      <c r="D34" s="50" t="s">
        <v>128</v>
      </c>
      <c r="E34" s="51" t="s">
        <v>309</v>
      </c>
      <c r="F34" s="51" t="s">
        <v>325</v>
      </c>
      <c r="G34" s="64" t="str">
        <f t="shared" si="0"/>
        <v>[effect:enemy_message, val1:1.2, val2:3.6]</v>
      </c>
      <c r="H34" s="64">
        <f t="shared" si="1"/>
        <v>9</v>
      </c>
      <c r="I34" s="64">
        <f t="shared" si="2"/>
        <v>22</v>
      </c>
      <c r="J34" s="64" t="e">
        <f t="shared" si="3"/>
        <v>#VALUE!</v>
      </c>
      <c r="K34" s="64">
        <f t="shared" si="4"/>
        <v>32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si="5"/>
        <v>[effect:change_range_block, block_change:1, base_type:0, square_count:3, position01:0, position02:5, value_h01:2, value_h02:2, value_w01:1, value_w02:1, new_block:jammer, target:block_all, ignore01:block_positive, ignore02:jammer, count:0, val:0, animation:change_range_block],[effect:attack_break, target:unit_all, turn:2, val:0.2, calc:mul, animation:attack_break01]</v>
      </c>
      <c r="N34" s="48" t="str">
        <f t="shared" ref="N34:N44" si="49">IFERROR(LEFT(M34,FIND("],",M34)+S45),M34)</f>
        <v>[effect:change_range_block, block_change:1, base_type:0, square_count:3, position01:0, position02:5, value_h01:2, value_h02:2, value_w01:1, value_w02:1, new_block:jammer, target:block_all, ignore01:block_positive, ignore02:jammer, count:0, val:0, animation:change_range_block],[effect:attack_break, target:unit_all, turn:2, val:0.2, calc:mul, animation:attack_break01]</v>
      </c>
      <c r="O34" s="64">
        <f t="shared" si="7"/>
        <v>9</v>
      </c>
      <c r="P34" s="64">
        <f t="shared" si="8"/>
        <v>27</v>
      </c>
      <c r="Q34" s="64">
        <f t="shared" si="9"/>
        <v>179</v>
      </c>
      <c r="R34" s="64">
        <f t="shared" si="10"/>
        <v>43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[effect:attack_break, target:unit_all, turn:2, val:0.2, calc:mul, animation:attack_break01]</v>
      </c>
      <c r="U34" s="64">
        <f t="shared" si="12"/>
        <v>9</v>
      </c>
      <c r="V34" s="64">
        <f t="shared" si="13"/>
        <v>21</v>
      </c>
      <c r="W34" s="64">
        <f t="shared" si="14"/>
        <v>30</v>
      </c>
      <c r="X34" s="64">
        <f t="shared" si="15"/>
        <v>38</v>
      </c>
      <c r="Y34" s="64" t="str">
        <f>IFERROR(VLOOKUP(MID(T34,W34,X34-W34),[6]skilldef!$C:$D,2,FALSE),"-") &amp; " / " &amp; IFERROR(VLOOKUP(MID(T34,U34,V34-U34),[6]skilldef!$A:$B,2,FALSE),"-")</f>
        <v>味方全体に / -</v>
      </c>
      <c r="Z34" s="50"/>
      <c r="AA34" s="52"/>
      <c r="AB34" s="50"/>
    </row>
    <row r="35" spans="1:28" ht="21" customHeight="1" x14ac:dyDescent="0.15">
      <c r="A35" s="114">
        <v>48101034</v>
      </c>
      <c r="B35" s="47" t="s">
        <v>364</v>
      </c>
      <c r="C35" s="50">
        <v>1</v>
      </c>
      <c r="D35" s="50" t="s">
        <v>128</v>
      </c>
      <c r="E35" s="51" t="s">
        <v>292</v>
      </c>
      <c r="F35" s="49" t="s">
        <v>281</v>
      </c>
      <c r="G35" s="64" t="str">
        <f>IFERROR(LEFT(B37,FIND("],",B37)),B37)</f>
        <v>[effect:enemy_message, val1:1.2, val2:1.2]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IFERROR(VLOOKUP(MID(G35,J35,K35-J35),[6]skilldef!$C:$D,2,FALSE),"-") &amp; " / " &amp; IFERROR(VLOOKUP(MID(G35,H35,I35-H35),[6]skilldef!$A:$B,2,FALSE),"-")</f>
        <v>- / -</v>
      </c>
      <c r="M35" s="64" t="str">
        <f>IFERROR(RIGHT(B37,LEN(B37)-FIND("],",B37)-1),"none")</f>
        <v xml:space="preserve">[effect:rush, count:3, val:0.35]    </v>
      </c>
      <c r="N35" s="48" t="str">
        <f t="shared" si="49"/>
        <v xml:space="preserve">[effect:rush, count:3, val:0.35]    </v>
      </c>
      <c r="O35" s="64">
        <f t="shared" si="7"/>
        <v>9</v>
      </c>
      <c r="P35" s="64">
        <f t="shared" si="8"/>
        <v>13</v>
      </c>
      <c r="Q35" s="64" t="e">
        <f t="shared" si="9"/>
        <v>#VALUE!</v>
      </c>
      <c r="R35" s="64">
        <f t="shared" si="10"/>
        <v>22</v>
      </c>
      <c r="S35" s="64" t="str">
        <f>IFERROR(VLOOKUP(MID(N35,Q35,R35-Q35),[6]skilldef!$C:$D,2,FALSE),"-") &amp; " / " &amp; IFERROR(VLOOKUP(MID(N35,O35,P35-O35),[6]skilldef!$A:$B,2,FALSE),"-")</f>
        <v>- / 連続攻撃</v>
      </c>
      <c r="T35" s="48" t="str">
        <f t="shared" si="11"/>
        <v>none</v>
      </c>
      <c r="U35" s="64" t="e">
        <f t="shared" si="12"/>
        <v>#VALUE!</v>
      </c>
      <c r="V35" s="64">
        <f t="shared" si="13"/>
        <v>4</v>
      </c>
      <c r="W35" s="64" t="e">
        <f t="shared" si="14"/>
        <v>#VALUE!</v>
      </c>
      <c r="X35" s="64" t="e">
        <f t="shared" si="15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114">
        <v>48101035</v>
      </c>
      <c r="B36" s="47" t="s">
        <v>365</v>
      </c>
      <c r="C36" s="50">
        <v>1</v>
      </c>
      <c r="D36" s="50" t="s">
        <v>128</v>
      </c>
      <c r="E36" s="51" t="s">
        <v>282</v>
      </c>
      <c r="F36" s="51" t="s">
        <v>366</v>
      </c>
      <c r="G36" s="64" t="str">
        <f>IFERROR(LEFT(B36,FIND("],",B36)),B36)</f>
        <v>[effect:enemy_message, val1:1.2, val2:3.2]</v>
      </c>
      <c r="H36" s="64">
        <f t="shared" ref="H36:H60" si="50">FIND("effect:",G36)+7</f>
        <v>9</v>
      </c>
      <c r="I36" s="64">
        <f t="shared" ref="I36:I60" si="51">IFERROR(FIND(",",G36),LEN(G36))</f>
        <v>22</v>
      </c>
      <c r="J36" s="64" t="e">
        <f t="shared" ref="J36:J60" si="52">FIND("target:",G36)+7</f>
        <v>#VALUE!</v>
      </c>
      <c r="K36" s="64">
        <f t="shared" ref="K36:K60" si="53">FIND(",",G36,I36+1)</f>
        <v>32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>IFERROR(RIGHT(B36,LEN(B36)-FIND("],",B36)-1),"none")</f>
        <v>[effect:break_heal_ratio, target:myself, val:0, lowest_val:0, count:-1, block01:block_heart],[effect:degrade_unit, target:unit_all, turn:1, status:heal, val:0.9, calc:mul, animation:degrade_unit_all_heal]</v>
      </c>
      <c r="N36" s="48" t="str">
        <f t="shared" si="49"/>
        <v>[effect:break_heal_ratio, target:myself, val:0, lowest_val:0, count:-1, block01:block_heart],[effect:degrade_unit, target:unit_all, turn:1, status:heal, val:0.9, calc:mul, animation:degrade_unit_all_heal]</v>
      </c>
      <c r="O36" s="64">
        <f t="shared" ref="O36:O60" si="54">FIND("effect:",N36)+7</f>
        <v>9</v>
      </c>
      <c r="P36" s="64">
        <f t="shared" ref="P36:P60" si="55">IFERROR(FIND(",",N36),LEN(N36))</f>
        <v>25</v>
      </c>
      <c r="Q36" s="64">
        <f t="shared" ref="Q36:Q60" si="56">FIND("target:",N36)+7</f>
        <v>34</v>
      </c>
      <c r="R36" s="64">
        <f t="shared" ref="R36:R60" si="57">FIND(",",N36,P36+1)</f>
        <v>40</v>
      </c>
      <c r="S36" s="64" t="str">
        <f>IFERROR(VLOOKUP(MID(N36,Q36,R36-Q36),[6]skilldef!$C:$D,2,FALSE),"-") &amp; " / " &amp; IFERROR(VLOOKUP(MID(N36,O36,P36-O36),[6]skilldef!$A:$B,2,FALSE),"-")</f>
        <v>自分自身に / -</v>
      </c>
      <c r="T36" s="48" t="str">
        <f t="shared" ref="T36:T60" si="58">IFERROR(RIGHT(M36,LEN(M36)-FIND("],",M36)-1),"none")</f>
        <v>[effect:degrade_unit, target:unit_all, turn:1, status:heal, val:0.9, calc:mul, animation:degrade_unit_all_heal]</v>
      </c>
      <c r="U36" s="64">
        <f t="shared" ref="U36:U60" si="59">FIND("effect:",T36)+7</f>
        <v>9</v>
      </c>
      <c r="V36" s="64">
        <f t="shared" ref="V36:V60" si="60">IFERROR(FIND(",",T36),LEN(T36))</f>
        <v>21</v>
      </c>
      <c r="W36" s="64">
        <f t="shared" ref="W36:W60" si="61">FIND("target:",T36)+7</f>
        <v>30</v>
      </c>
      <c r="X36" s="64">
        <f t="shared" ref="X36:X60" si="62">FIND(",",T36,V36+1)</f>
        <v>38</v>
      </c>
      <c r="Y36" s="64" t="str">
        <f>IFERROR(VLOOKUP(MID(T36,W36,X36-W36),[6]skilldef!$C:$D,2,FALSE),"-") &amp; " / " &amp; IFERROR(VLOOKUP(MID(T36,U36,V36-U36),[6]skilldef!$A:$B,2,FALSE),"-")</f>
        <v>味方全体に / ステータスDOWN</v>
      </c>
      <c r="Z36" s="50"/>
      <c r="AA36" s="52"/>
      <c r="AB36" s="50"/>
    </row>
    <row r="37" spans="1:28" ht="21" customHeight="1" x14ac:dyDescent="0.15">
      <c r="A37" s="114">
        <v>48101036</v>
      </c>
      <c r="B37" s="106" t="s">
        <v>307</v>
      </c>
      <c r="C37" s="50">
        <v>1</v>
      </c>
      <c r="D37" s="50" t="s">
        <v>128</v>
      </c>
      <c r="E37" s="51" t="s">
        <v>291</v>
      </c>
      <c r="F37" s="51" t="s">
        <v>283</v>
      </c>
      <c r="G37" s="64" t="e">
        <f>IFERROR(LEFT(#REF!,FIND("],",#REF!)),#REF!)</f>
        <v>#REF!</v>
      </c>
      <c r="H37" s="64" t="e">
        <f t="shared" si="50"/>
        <v>#REF!</v>
      </c>
      <c r="I37" s="64" t="e">
        <f t="shared" si="51"/>
        <v>#REF!</v>
      </c>
      <c r="J37" s="64" t="e">
        <f t="shared" si="52"/>
        <v>#REF!</v>
      </c>
      <c r="K37" s="64" t="e">
        <f t="shared" si="53"/>
        <v>#REF!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>IFERROR(RIGHT(#REF!,LEN(#REF!)-FIND("],",#REF!)-1),"none")</f>
        <v>none</v>
      </c>
      <c r="N37" s="48" t="str">
        <f t="shared" si="49"/>
        <v>none</v>
      </c>
      <c r="O37" s="64" t="e">
        <f t="shared" si="54"/>
        <v>#VALUE!</v>
      </c>
      <c r="P37" s="64">
        <f t="shared" si="55"/>
        <v>4</v>
      </c>
      <c r="Q37" s="64" t="e">
        <f t="shared" si="56"/>
        <v>#VALUE!</v>
      </c>
      <c r="R37" s="64" t="e">
        <f t="shared" si="57"/>
        <v>#VALUE!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si="58"/>
        <v>none</v>
      </c>
      <c r="U37" s="64" t="e">
        <f t="shared" si="59"/>
        <v>#VALUE!</v>
      </c>
      <c r="V37" s="64">
        <f t="shared" si="60"/>
        <v>4</v>
      </c>
      <c r="W37" s="64" t="e">
        <f t="shared" si="61"/>
        <v>#VALUE!</v>
      </c>
      <c r="X37" s="64" t="e">
        <f t="shared" si="62"/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14">
        <v>48101037</v>
      </c>
      <c r="B38" s="106" t="s">
        <v>367</v>
      </c>
      <c r="C38" s="50">
        <v>1</v>
      </c>
      <c r="D38" s="50" t="s">
        <v>128</v>
      </c>
      <c r="E38" s="51" t="s">
        <v>317</v>
      </c>
      <c r="F38" s="51" t="s">
        <v>280</v>
      </c>
      <c r="G38" s="64" t="str">
        <f t="shared" ref="G38:G60" si="63">IFERROR(LEFT(B38,FIND("],",B38)),B38)</f>
        <v>[effect:enemy_message, val1:1.2, val2:1.4]</v>
      </c>
      <c r="H38" s="64">
        <f t="shared" si="50"/>
        <v>9</v>
      </c>
      <c r="I38" s="64">
        <f t="shared" si="51"/>
        <v>22</v>
      </c>
      <c r="J38" s="64" t="e">
        <f t="shared" si="52"/>
        <v>#VALUE!</v>
      </c>
      <c r="K38" s="64">
        <f t="shared" si="53"/>
        <v>32</v>
      </c>
      <c r="L38" s="64" t="str">
        <f>IFERROR(VLOOKUP(MID(G38,J38,K38-J38),[6]skilldef!$C:$D,2,FALSE),"-") &amp; " / " &amp; IFERROR(VLOOKUP(MID(G38,H38,I38-H38),[6]skilldef!$A:$B,2,FALSE),"-")</f>
        <v>- / -</v>
      </c>
      <c r="M38" s="64" t="str">
        <f t="shared" ref="M38:M60" si="64">IFERROR(RIGHT(B38,LEN(B38)-FIND("],",B38)-1),"none")</f>
        <v>[effect:force_change_block, new_block:block_blue, target:jammer, count:0, val:0, animation:change_block]</v>
      </c>
      <c r="N38" s="48" t="str">
        <f t="shared" si="49"/>
        <v>[effect:force_change_block, new_block:block_blue, target:jammer, count:0, val:0, animation:change_block]</v>
      </c>
      <c r="O38" s="64">
        <f t="shared" si="54"/>
        <v>9</v>
      </c>
      <c r="P38" s="64">
        <f t="shared" si="55"/>
        <v>27</v>
      </c>
      <c r="Q38" s="64">
        <f t="shared" si="56"/>
        <v>58</v>
      </c>
      <c r="R38" s="64">
        <f t="shared" si="57"/>
        <v>49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si="58"/>
        <v>none</v>
      </c>
      <c r="U38" s="64" t="e">
        <f t="shared" si="59"/>
        <v>#VALUE!</v>
      </c>
      <c r="V38" s="64">
        <f t="shared" si="60"/>
        <v>4</v>
      </c>
      <c r="W38" s="64" t="e">
        <f t="shared" si="61"/>
        <v>#VALUE!</v>
      </c>
      <c r="X38" s="64" t="e">
        <f t="shared" si="62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14">
        <v>48101038</v>
      </c>
      <c r="B39" s="113" t="s">
        <v>369</v>
      </c>
      <c r="C39" s="50">
        <v>1</v>
      </c>
      <c r="D39" s="50" t="s">
        <v>128</v>
      </c>
      <c r="E39" s="51" t="s">
        <v>368</v>
      </c>
      <c r="F39" s="51" t="s">
        <v>285</v>
      </c>
      <c r="G39" s="64" t="str">
        <f t="shared" si="63"/>
        <v>[effect:enemy_message, val1:2.2, val2:1.2]</v>
      </c>
      <c r="H39" s="64">
        <f t="shared" si="50"/>
        <v>9</v>
      </c>
      <c r="I39" s="64">
        <f t="shared" si="51"/>
        <v>22</v>
      </c>
      <c r="J39" s="64" t="e">
        <f t="shared" si="52"/>
        <v>#VALUE!</v>
      </c>
      <c r="K39" s="64">
        <f t="shared" si="53"/>
        <v>32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si="64"/>
        <v>[effect:rush, count:1, val:0.15],[effect:rush, count:1, val:0.2],[effect:rush, count:1, val:0.25],[effect:rush, count:1, val:0.3],[effect:rush, count:1, val:0.35],[effect:rush, count:1, val:0.4]</v>
      </c>
      <c r="N39" s="48" t="str">
        <f t="shared" si="49"/>
        <v>[effect:rush, count:1, val:0.15],[effect:rush, count:1, val:0.2],[effect:rush, count:1, val:0.25],[effect:rush, count:1, val:0.3],[effect:rush, count:1, val:0.35],[effect:rush, count:1, val:0.4]</v>
      </c>
      <c r="O39" s="64">
        <f t="shared" si="54"/>
        <v>9</v>
      </c>
      <c r="P39" s="64">
        <f t="shared" si="55"/>
        <v>13</v>
      </c>
      <c r="Q39" s="64" t="e">
        <f t="shared" si="56"/>
        <v>#VALUE!</v>
      </c>
      <c r="R39" s="64">
        <f t="shared" si="57"/>
        <v>22</v>
      </c>
      <c r="S39" s="64" t="str">
        <f>IFERROR(VLOOKUP(MID(N39,Q39,R39-Q39),[6]skilldef!$C:$D,2,FALSE),"-") &amp; " / " &amp; IFERROR(VLOOKUP(MID(N39,O39,P39-O39),[6]skilldef!$A:$B,2,FALSE),"-")</f>
        <v>- / 連続攻撃</v>
      </c>
      <c r="T39" s="48" t="str">
        <f t="shared" si="58"/>
        <v>[effect:rush, count:1, val:0.2],[effect:rush, count:1, val:0.25],[effect:rush, count:1, val:0.3],[effect:rush, count:1, val:0.35],[effect:rush, count:1, val:0.4]</v>
      </c>
      <c r="U39" s="64">
        <f t="shared" si="59"/>
        <v>9</v>
      </c>
      <c r="V39" s="64">
        <f t="shared" si="60"/>
        <v>13</v>
      </c>
      <c r="W39" s="64" t="e">
        <f t="shared" si="61"/>
        <v>#VALUE!</v>
      </c>
      <c r="X39" s="64">
        <f t="shared" si="62"/>
        <v>22</v>
      </c>
      <c r="Y39" s="64" t="str">
        <f>IFERROR(VLOOKUP(MID(T39,W39,X39-W39),[6]skilldef!$C:$D,2,FALSE),"-") &amp; " / " &amp; IFERROR(VLOOKUP(MID(T39,U39,V39-U39),[6]skilldef!$A:$B,2,FALSE),"-")</f>
        <v>- / 連続攻撃</v>
      </c>
      <c r="Z39" s="50"/>
      <c r="AA39" s="52"/>
      <c r="AB39" s="50"/>
    </row>
    <row r="40" spans="1:28" ht="21" customHeight="1" thickBot="1" x14ac:dyDescent="0.2">
      <c r="A40" s="116">
        <v>48101039</v>
      </c>
      <c r="B40" s="107" t="s">
        <v>370</v>
      </c>
      <c r="C40" s="136">
        <v>1</v>
      </c>
      <c r="D40" s="136" t="s">
        <v>128</v>
      </c>
      <c r="E40" s="137" t="s">
        <v>284</v>
      </c>
      <c r="F40" s="137" t="s">
        <v>294</v>
      </c>
      <c r="G40" s="138" t="str">
        <f t="shared" si="63"/>
        <v xml:space="preserve">[effect:enemy_message, val1:1.4, val2:1.3, dead_type:escape]    </v>
      </c>
      <c r="H40" s="138">
        <f t="shared" si="50"/>
        <v>9</v>
      </c>
      <c r="I40" s="138">
        <f t="shared" si="51"/>
        <v>22</v>
      </c>
      <c r="J40" s="138" t="e">
        <f t="shared" si="52"/>
        <v>#VALUE!</v>
      </c>
      <c r="K40" s="138">
        <f t="shared" si="53"/>
        <v>32</v>
      </c>
      <c r="L40" s="138" t="str">
        <f>IFERROR(VLOOKUP(MID(G40,J40,K40-J40),[6]skilldef!$C:$D,2,FALSE),"-") &amp; " / " &amp; IFERROR(VLOOKUP(MID(G40,H40,I40-H40),[6]skilldef!$A:$B,2,FALSE),"-")</f>
        <v>- / -</v>
      </c>
      <c r="M40" s="138" t="str">
        <f t="shared" si="64"/>
        <v>none</v>
      </c>
      <c r="N40" s="121" t="str">
        <f t="shared" si="49"/>
        <v>none</v>
      </c>
      <c r="O40" s="138" t="e">
        <f t="shared" si="54"/>
        <v>#VALUE!</v>
      </c>
      <c r="P40" s="138">
        <f t="shared" si="55"/>
        <v>4</v>
      </c>
      <c r="Q40" s="138" t="e">
        <f t="shared" si="56"/>
        <v>#VALUE!</v>
      </c>
      <c r="R40" s="138" t="e">
        <f t="shared" si="57"/>
        <v>#VALUE!</v>
      </c>
      <c r="S40" s="138" t="str">
        <f>IFERROR(VLOOKUP(MID(N40,Q40,R40-Q40),[6]skilldef!$C:$D,2,FALSE),"-") &amp; " / " &amp; IFERROR(VLOOKUP(MID(N40,O40,P40-O40),[6]skilldef!$A:$B,2,FALSE),"-")</f>
        <v>- / -</v>
      </c>
      <c r="T40" s="121" t="str">
        <f t="shared" si="58"/>
        <v>none</v>
      </c>
      <c r="U40" s="138" t="e">
        <f t="shared" si="59"/>
        <v>#VALUE!</v>
      </c>
      <c r="V40" s="138">
        <f t="shared" si="60"/>
        <v>4</v>
      </c>
      <c r="W40" s="138" t="e">
        <f t="shared" si="61"/>
        <v>#VALUE!</v>
      </c>
      <c r="X40" s="138" t="e">
        <f t="shared" si="62"/>
        <v>#VALUE!</v>
      </c>
      <c r="Y40" s="138" t="str">
        <f>IFERROR(VLOOKUP(MID(T40,W40,X40-W40),[6]skilldef!$C:$D,2,FALSE),"-") &amp; " / " &amp; IFERROR(VLOOKUP(MID(T40,U40,V40-U40),[6]skilldef!$A:$B,2,FALSE),"-")</f>
        <v>- / -</v>
      </c>
      <c r="Z40" s="136"/>
      <c r="AA40" s="139"/>
      <c r="AB40" s="136"/>
    </row>
    <row r="41" spans="1:28" ht="21" customHeight="1" x14ac:dyDescent="0.15">
      <c r="A41" s="118">
        <v>48101040</v>
      </c>
      <c r="B41" s="106" t="s">
        <v>371</v>
      </c>
      <c r="C41" s="132">
        <v>1</v>
      </c>
      <c r="D41" s="132" t="s">
        <v>128</v>
      </c>
      <c r="E41" s="133" t="s">
        <v>310</v>
      </c>
      <c r="F41" s="133" t="s">
        <v>326</v>
      </c>
      <c r="G41" s="134" t="str">
        <f t="shared" si="63"/>
        <v>[effect:enemy_message, val1:1.7, val2:2.2]</v>
      </c>
      <c r="H41" s="134">
        <f t="shared" si="50"/>
        <v>9</v>
      </c>
      <c r="I41" s="134">
        <f t="shared" si="51"/>
        <v>22</v>
      </c>
      <c r="J41" s="134" t="e">
        <f t="shared" si="52"/>
        <v>#VALUE!</v>
      </c>
      <c r="K41" s="134">
        <f t="shared" si="53"/>
        <v>32</v>
      </c>
      <c r="L41" s="134" t="str">
        <f>IFERROR(VLOOKUP(MID(G41,J41,K41-J41),[6]skilldef!$C:$D,2,FALSE),"-") &amp; " / " &amp; IFERROR(VLOOKUP(MID(G41,H41,I41-H41),[6]skilldef!$A:$B,2,FALSE),"-")</f>
        <v>- / -</v>
      </c>
      <c r="M41" s="134" t="str">
        <f t="shared" si="64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N41" s="120" t="str">
        <f t="shared" si="49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O41" s="134">
        <f t="shared" si="54"/>
        <v>9</v>
      </c>
      <c r="P41" s="134">
        <f t="shared" si="55"/>
        <v>18</v>
      </c>
      <c r="Q41" s="134">
        <f t="shared" si="56"/>
        <v>27</v>
      </c>
      <c r="R41" s="134">
        <f t="shared" si="57"/>
        <v>33</v>
      </c>
      <c r="S41" s="134" t="str">
        <f>IFERROR(VLOOKUP(MID(N41,Q41,R41-Q41),[6]skilldef!$C:$D,2,FALSE),"-") &amp; " / " &amp; IFERROR(VLOOKUP(MID(N41,O41,P41-O41),[6]skilldef!$A:$B,2,FALSE),"-")</f>
        <v>自分自身に / 行動値設定</v>
      </c>
      <c r="T41" s="120" t="str">
        <f t="shared" si="58"/>
        <v>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U41" s="134">
        <f t="shared" si="59"/>
        <v>9</v>
      </c>
      <c r="V41" s="134">
        <f t="shared" si="60"/>
        <v>18</v>
      </c>
      <c r="W41" s="134">
        <f t="shared" si="61"/>
        <v>27</v>
      </c>
      <c r="X41" s="134">
        <f t="shared" si="62"/>
        <v>33</v>
      </c>
      <c r="Y41" s="134" t="str">
        <f>IFERROR(VLOOKUP(MID(T41,W41,X41-W41),[6]skilldef!$C:$D,2,FALSE),"-") &amp; " / " &amp; IFERROR(VLOOKUP(MID(T41,U41,V41-U41),[6]skilldef!$A:$B,2,FALSE),"-")</f>
        <v>自分自身に / 状態異常耐性</v>
      </c>
      <c r="Z41" s="132"/>
      <c r="AA41" s="135"/>
      <c r="AB41" s="132"/>
    </row>
    <row r="42" spans="1:28" ht="21" customHeight="1" x14ac:dyDescent="0.15">
      <c r="A42" s="118">
        <v>48101041</v>
      </c>
      <c r="B42" s="106" t="s">
        <v>371</v>
      </c>
      <c r="C42" s="50">
        <v>1</v>
      </c>
      <c r="D42" s="50" t="s">
        <v>128</v>
      </c>
      <c r="E42" s="51" t="s">
        <v>315</v>
      </c>
      <c r="F42" s="51" t="s">
        <v>326</v>
      </c>
      <c r="G42" s="64" t="str">
        <f t="shared" si="63"/>
        <v>[effect:enemy_message, val1:1.7, val2:2.2]</v>
      </c>
      <c r="H42" s="64">
        <f t="shared" si="50"/>
        <v>9</v>
      </c>
      <c r="I42" s="64">
        <f t="shared" si="51"/>
        <v>22</v>
      </c>
      <c r="J42" s="64" t="e">
        <f t="shared" si="52"/>
        <v>#VALUE!</v>
      </c>
      <c r="K42" s="64">
        <f t="shared" si="53"/>
        <v>32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si="64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N42" s="48" t="str">
        <f t="shared" si="49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O42" s="64">
        <f t="shared" si="54"/>
        <v>9</v>
      </c>
      <c r="P42" s="64">
        <f t="shared" si="55"/>
        <v>18</v>
      </c>
      <c r="Q42" s="64">
        <f t="shared" si="56"/>
        <v>27</v>
      </c>
      <c r="R42" s="64">
        <f t="shared" si="57"/>
        <v>33</v>
      </c>
      <c r="S42" s="64" t="str">
        <f>IFERROR(VLOOKUP(MID(N42,Q42,R42-Q42),[6]skilldef!$C:$D,2,FALSE),"-") &amp; " / " &amp; IFERROR(VLOOKUP(MID(N42,O42,P42-O42),[6]skilldef!$A:$B,2,FALSE),"-")</f>
        <v>自分自身に / 行動値設定</v>
      </c>
      <c r="T42" s="48" t="str">
        <f t="shared" si="58"/>
        <v>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U42" s="64">
        <f t="shared" si="59"/>
        <v>9</v>
      </c>
      <c r="V42" s="64">
        <f t="shared" si="60"/>
        <v>18</v>
      </c>
      <c r="W42" s="64">
        <f t="shared" si="61"/>
        <v>27</v>
      </c>
      <c r="X42" s="64">
        <f t="shared" si="62"/>
        <v>33</v>
      </c>
      <c r="Y42" s="64" t="str">
        <f>IFERROR(VLOOKUP(MID(T42,W42,X42-W42),[6]skilldef!$C:$D,2,FALSE),"-") &amp; " / " &amp; IFERROR(VLOOKUP(MID(T42,U42,V42-U42),[6]skilldef!$A:$B,2,FALSE),"-")</f>
        <v>自分自身に / 状態異常耐性</v>
      </c>
      <c r="Z42" s="50"/>
      <c r="AA42" s="52"/>
      <c r="AB42" s="50"/>
    </row>
    <row r="43" spans="1:28" ht="21" customHeight="1" x14ac:dyDescent="0.15">
      <c r="A43" s="118">
        <v>48101042</v>
      </c>
      <c r="B43" s="106" t="s">
        <v>373</v>
      </c>
      <c r="C43" s="50">
        <v>1</v>
      </c>
      <c r="D43" s="50" t="s">
        <v>128</v>
      </c>
      <c r="E43" s="51" t="s">
        <v>372</v>
      </c>
      <c r="F43" s="51" t="s">
        <v>326</v>
      </c>
      <c r="G43" s="64" t="str">
        <f t="shared" si="63"/>
        <v>[effect:enemy_message, val1:1.5, val2:2.2]</v>
      </c>
      <c r="H43" s="64">
        <f t="shared" si="50"/>
        <v>9</v>
      </c>
      <c r="I43" s="64">
        <f t="shared" si="51"/>
        <v>22</v>
      </c>
      <c r="J43" s="64" t="e">
        <f t="shared" si="52"/>
        <v>#VALUE!</v>
      </c>
      <c r="K43" s="64">
        <f t="shared" si="53"/>
        <v>32</v>
      </c>
      <c r="L43" s="64" t="str">
        <f>IFERROR(VLOOKUP(MID(G43,J43,K43-J43),[6]skilldef!$C:$D,2,FALSE),"-") &amp; " / " &amp; IFERROR(VLOOKUP(MID(G43,H43,I43-H43),[6]skilldef!$A:$B,2,FALSE),"-")</f>
        <v>- / -</v>
      </c>
      <c r="M43" s="64" t="str">
        <f t="shared" si="64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N43" s="48" t="str">
        <f t="shared" si="49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O43" s="64">
        <f t="shared" si="54"/>
        <v>9</v>
      </c>
      <c r="P43" s="64">
        <f t="shared" si="55"/>
        <v>18</v>
      </c>
      <c r="Q43" s="64">
        <f t="shared" si="56"/>
        <v>27</v>
      </c>
      <c r="R43" s="64">
        <f t="shared" si="57"/>
        <v>33</v>
      </c>
      <c r="S43" s="64" t="str">
        <f>IFERROR(VLOOKUP(MID(N43,Q43,R43-Q43),[6]skilldef!$C:$D,2,FALSE),"-") &amp; " / " &amp; IFERROR(VLOOKUP(MID(N43,O43,P43-O43),[6]skilldef!$A:$B,2,FALSE),"-")</f>
        <v>自分自身に / 行動値設定</v>
      </c>
      <c r="T43" s="48" t="str">
        <f t="shared" si="58"/>
        <v>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U43" s="64">
        <f t="shared" si="59"/>
        <v>9</v>
      </c>
      <c r="V43" s="64">
        <f t="shared" si="60"/>
        <v>18</v>
      </c>
      <c r="W43" s="64">
        <f t="shared" si="61"/>
        <v>27</v>
      </c>
      <c r="X43" s="64">
        <f t="shared" si="62"/>
        <v>33</v>
      </c>
      <c r="Y43" s="64" t="str">
        <f>IFERROR(VLOOKUP(MID(T43,W43,X43-W43),[6]skilldef!$C:$D,2,FALSE),"-") &amp; " / " &amp; IFERROR(VLOOKUP(MID(T43,U43,V43-U43),[6]skilldef!$A:$B,2,FALSE),"-")</f>
        <v>自分自身に / 状態異常耐性</v>
      </c>
      <c r="Z43" s="50"/>
      <c r="AA43" s="52"/>
      <c r="AB43" s="50"/>
    </row>
    <row r="44" spans="1:28" ht="21" customHeight="1" x14ac:dyDescent="0.15">
      <c r="A44" s="118">
        <v>48101043</v>
      </c>
      <c r="B44" s="106" t="s">
        <v>374</v>
      </c>
      <c r="C44" s="50">
        <v>1</v>
      </c>
      <c r="D44" s="50" t="s">
        <v>128</v>
      </c>
      <c r="E44" s="51" t="s">
        <v>335</v>
      </c>
      <c r="F44" s="51" t="s">
        <v>326</v>
      </c>
      <c r="G44" s="64" t="str">
        <f t="shared" ref="G44" si="65">IFERROR(LEFT(B44,FIND("],",B44)),B44)</f>
        <v>[effect:enemy_message, val1:2.3, val2:2.2]</v>
      </c>
      <c r="H44" s="64">
        <f t="shared" ref="H44" si="66">FIND("effect:",G44)+7</f>
        <v>9</v>
      </c>
      <c r="I44" s="64">
        <f t="shared" ref="I44" si="67">IFERROR(FIND(",",G44),LEN(G44))</f>
        <v>22</v>
      </c>
      <c r="J44" s="64" t="e">
        <f t="shared" ref="J44" si="68">FIND("target:",G44)+7</f>
        <v>#VALUE!</v>
      </c>
      <c r="K44" s="64">
        <f t="shared" ref="K44" si="69">FIND(",",G44,I44+1)</f>
        <v>32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ref="M44" si="70">IFERROR(RIGHT(B44,LEN(B44)-FIND("],",B44)-1),"none")</f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N44" s="48" t="str">
        <f t="shared" si="49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O44" s="64">
        <f t="shared" ref="O44" si="71">FIND("effect:",N44)+7</f>
        <v>9</v>
      </c>
      <c r="P44" s="64">
        <f t="shared" ref="P44" si="72">IFERROR(FIND(",",N44),LEN(N44))</f>
        <v>18</v>
      </c>
      <c r="Q44" s="64">
        <f t="shared" ref="Q44" si="73">FIND("target:",N44)+7</f>
        <v>27</v>
      </c>
      <c r="R44" s="64">
        <f t="shared" ref="R44" si="74">FIND(",",N44,P44+1)</f>
        <v>33</v>
      </c>
      <c r="S44" s="64" t="str">
        <f>IFERROR(VLOOKUP(MID(N44,Q44,R44-Q44),[6]skilldef!$C:$D,2,FALSE),"-") &amp; " / " &amp; IFERROR(VLOOKUP(MID(N44,O44,P44-O44),[6]skilldef!$A:$B,2,FALSE),"-")</f>
        <v>自分自身に / 行動値設定</v>
      </c>
      <c r="T44" s="48" t="str">
        <f t="shared" ref="T44" si="75">IFERROR(RIGHT(M44,LEN(M44)-FIND("],",M44)-1),"none")</f>
        <v>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U44" s="64">
        <f t="shared" ref="U44" si="76">FIND("effect:",T44)+7</f>
        <v>9</v>
      </c>
      <c r="V44" s="64">
        <f t="shared" ref="V44" si="77">IFERROR(FIND(",",T44),LEN(T44))</f>
        <v>18</v>
      </c>
      <c r="W44" s="64">
        <f t="shared" ref="W44" si="78">FIND("target:",T44)+7</f>
        <v>27</v>
      </c>
      <c r="X44" s="64">
        <f t="shared" ref="X44" si="79">FIND(",",T44,V44+1)</f>
        <v>33</v>
      </c>
      <c r="Y44" s="64" t="str">
        <f>IFERROR(VLOOKUP(MID(T44,W44,X44-W44),[6]skilldef!$C:$D,2,FALSE),"-") &amp; " / " &amp; IFERROR(VLOOKUP(MID(T44,U44,V44-U44),[6]skilldef!$A:$B,2,FALSE),"-")</f>
        <v>自分自身に / 状態異常耐性</v>
      </c>
      <c r="Z44" s="50"/>
      <c r="AA44" s="52"/>
      <c r="AB44" s="50"/>
    </row>
    <row r="45" spans="1:28" ht="21" customHeight="1" x14ac:dyDescent="0.15">
      <c r="A45" s="118">
        <v>48101044</v>
      </c>
      <c r="B45" s="47" t="s">
        <v>322</v>
      </c>
      <c r="C45" s="50">
        <v>1</v>
      </c>
      <c r="D45" s="50" t="s">
        <v>128</v>
      </c>
      <c r="E45" s="51" t="s">
        <v>311</v>
      </c>
      <c r="F45" s="51" t="s">
        <v>257</v>
      </c>
      <c r="G45" s="64" t="str">
        <f t="shared" si="63"/>
        <v>[effect:enemy_message, val1:1.2, val2:1.2]</v>
      </c>
      <c r="H45" s="64">
        <f t="shared" si="50"/>
        <v>9</v>
      </c>
      <c r="I45" s="64">
        <f t="shared" si="51"/>
        <v>22</v>
      </c>
      <c r="J45" s="64" t="e">
        <f t="shared" si="52"/>
        <v>#VALUE!</v>
      </c>
      <c r="K45" s="64">
        <f t="shared" si="53"/>
        <v>32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64"/>
        <v>[effect:critical, val:1.5, animation:enemy_critical]</v>
      </c>
      <c r="N45" s="48" t="str">
        <f t="shared" si="48"/>
        <v>[effect:critical, val:1.5, animation:enemy_critical]</v>
      </c>
      <c r="O45" s="64">
        <f t="shared" si="54"/>
        <v>9</v>
      </c>
      <c r="P45" s="64">
        <f t="shared" si="55"/>
        <v>17</v>
      </c>
      <c r="Q45" s="64" t="e">
        <f t="shared" si="56"/>
        <v>#VALUE!</v>
      </c>
      <c r="R45" s="64">
        <f t="shared" si="57"/>
        <v>26</v>
      </c>
      <c r="S45" s="64" t="str">
        <f>IFERROR(VLOOKUP(MID(N45,Q45,R45-Q45),[6]skilldef!$C:$D,2,FALSE),"-") &amp; " / " &amp; IFERROR(VLOOKUP(MID(N45,O45,P45-O45),[6]skilldef!$A:$B,2,FALSE),"-")</f>
        <v>- / 大攻撃</v>
      </c>
      <c r="T45" s="48" t="str">
        <f t="shared" si="58"/>
        <v>none</v>
      </c>
      <c r="U45" s="64" t="e">
        <f t="shared" si="59"/>
        <v>#VALUE!</v>
      </c>
      <c r="V45" s="64">
        <f t="shared" si="60"/>
        <v>4</v>
      </c>
      <c r="W45" s="64" t="e">
        <f t="shared" si="61"/>
        <v>#VALUE!</v>
      </c>
      <c r="X45" s="64" t="e">
        <f t="shared" si="62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118">
        <v>48101045</v>
      </c>
      <c r="B46" s="113" t="s">
        <v>375</v>
      </c>
      <c r="C46" s="50">
        <v>1</v>
      </c>
      <c r="D46" s="50" t="s">
        <v>128</v>
      </c>
      <c r="E46" s="51" t="s">
        <v>300</v>
      </c>
      <c r="F46" s="51" t="s">
        <v>269</v>
      </c>
      <c r="G46" s="64" t="str">
        <f t="shared" si="63"/>
        <v>[effect:enemy_message, val1:1.2, val2:1.5]</v>
      </c>
      <c r="H46" s="64">
        <f t="shared" si="50"/>
        <v>9</v>
      </c>
      <c r="I46" s="64">
        <f t="shared" si="51"/>
        <v>22</v>
      </c>
      <c r="J46" s="64" t="e">
        <f t="shared" si="52"/>
        <v>#VALUE!</v>
      </c>
      <c r="K46" s="64">
        <f t="shared" si="53"/>
        <v>32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si="64"/>
        <v>[effect:break_attack_fix, target:unit_all, val:100, lowest_val:800, count:-1, block01:jammer]</v>
      </c>
      <c r="N46" s="48" t="str">
        <f t="shared" si="48"/>
        <v>[effect:break_attack_fix, target:unit_all, val:100, lowest_val:800, count:-1, block01:jammer]</v>
      </c>
      <c r="O46" s="64">
        <f t="shared" si="54"/>
        <v>9</v>
      </c>
      <c r="P46" s="64">
        <f t="shared" si="55"/>
        <v>25</v>
      </c>
      <c r="Q46" s="64">
        <f t="shared" si="56"/>
        <v>34</v>
      </c>
      <c r="R46" s="64">
        <f t="shared" si="57"/>
        <v>42</v>
      </c>
      <c r="S46" s="64" t="str">
        <f>IFERROR(VLOOKUP(MID(N46,Q46,R46-Q46),[6]skilldef!$C:$D,2,FALSE),"-") &amp; " / " &amp; IFERROR(VLOOKUP(MID(N46,O46,P46-O46),[6]skilldef!$A:$B,2,FALSE),"-")</f>
        <v>味方全体に / -</v>
      </c>
      <c r="T46" s="48" t="str">
        <f t="shared" si="58"/>
        <v>none</v>
      </c>
      <c r="U46" s="64" t="e">
        <f t="shared" si="59"/>
        <v>#VALUE!</v>
      </c>
      <c r="V46" s="64">
        <f t="shared" si="60"/>
        <v>4</v>
      </c>
      <c r="W46" s="64" t="e">
        <f t="shared" si="61"/>
        <v>#VALUE!</v>
      </c>
      <c r="X46" s="64" t="e">
        <f t="shared" si="62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118">
        <v>48101046</v>
      </c>
      <c r="B47" s="47" t="s">
        <v>433</v>
      </c>
      <c r="C47" s="50">
        <v>1</v>
      </c>
      <c r="D47" s="50" t="s">
        <v>128</v>
      </c>
      <c r="E47" s="51" t="s">
        <v>286</v>
      </c>
      <c r="F47" s="51" t="s">
        <v>430</v>
      </c>
      <c r="G47" s="64" t="str">
        <f t="shared" si="63"/>
        <v>[effect:enemy_message, val1:1.2, val2:2.0]</v>
      </c>
      <c r="H47" s="64">
        <f t="shared" si="50"/>
        <v>9</v>
      </c>
      <c r="I47" s="64">
        <f t="shared" si="51"/>
        <v>22</v>
      </c>
      <c r="J47" s="64" t="e">
        <f t="shared" si="52"/>
        <v>#VALUE!</v>
      </c>
      <c r="K47" s="64">
        <f t="shared" si="53"/>
        <v>32</v>
      </c>
      <c r="L47" s="64" t="str">
        <f>IFERROR(VLOOKUP(MID(G47,J47,K47-J47),[6]skilldef!$C:$D,2,FALSE),"-") &amp; " / " &amp; IFERROR(VLOOKUP(MID(G47,H47,I47-H47),[6]skilldef!$A:$B,2,FALSE),"-")</f>
        <v>- / -</v>
      </c>
      <c r="M47" s="64" t="str">
        <f t="shared" si="64"/>
        <v>[effect:rush, count:1, val:0.8],[effect:change_range_block, block_change:1, base_type:1, square_count:3, position01:4, value_rad01:3.0, value_h01:1, value_w01:1, new_block:jammer, target:block_all, ignore01:block_positive, ignore02:jammer, count:0, val:0, animation:change_range_block]</v>
      </c>
      <c r="N47" s="48" t="str">
        <f t="shared" si="48"/>
        <v>[effect:rush, count:1, val:0.8],[effect:change_range_block, block_change:1, base_type:1, square_count:3, position01:4, value_rad01:3.0, value_h01:1, value_w01:1, new_block:jammer, target:block_all, ignore01:block_positive, ignore02:jammer, count:0, val:0, animation:change_range_block]</v>
      </c>
      <c r="O47" s="64">
        <f t="shared" si="54"/>
        <v>9</v>
      </c>
      <c r="P47" s="64">
        <f t="shared" si="55"/>
        <v>13</v>
      </c>
      <c r="Q47" s="64">
        <f t="shared" si="56"/>
        <v>188</v>
      </c>
      <c r="R47" s="64">
        <f t="shared" si="57"/>
        <v>22</v>
      </c>
      <c r="S47" s="64" t="str">
        <f>IFERROR(VLOOKUP(MID(N47,Q47,R47-Q47),[6]skilldef!$C:$D,2,FALSE),"-") &amp; " / " &amp; IFERROR(VLOOKUP(MID(N47,O47,P47-O47),[6]skilldef!$A:$B,2,FALSE),"-")</f>
        <v>- / 連続攻撃</v>
      </c>
      <c r="T47" s="48" t="str">
        <f t="shared" si="58"/>
        <v>[effect:change_range_block, block_change:1, base_type:1, square_count:3, position01:4, value_rad01:3.0, value_h01:1, value_w01:1, new_block:jammer, target:block_all, ignore01:block_positive, ignore02:jammer, count:0, val:0, animation:change_range_block]</v>
      </c>
      <c r="U47" s="64">
        <f t="shared" si="59"/>
        <v>9</v>
      </c>
      <c r="V47" s="64">
        <f t="shared" si="60"/>
        <v>27</v>
      </c>
      <c r="W47" s="64">
        <f t="shared" si="61"/>
        <v>156</v>
      </c>
      <c r="X47" s="64">
        <f t="shared" si="62"/>
        <v>43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118">
        <v>48101047</v>
      </c>
      <c r="B48" s="47" t="s">
        <v>378</v>
      </c>
      <c r="C48" s="50">
        <v>1</v>
      </c>
      <c r="D48" s="50" t="s">
        <v>128</v>
      </c>
      <c r="E48" s="51" t="s">
        <v>376</v>
      </c>
      <c r="F48" s="51" t="s">
        <v>377</v>
      </c>
      <c r="G48" s="64" t="str">
        <f t="shared" si="63"/>
        <v>[effect:enemy_message, val1:1.7, val2:3.1]</v>
      </c>
      <c r="H48" s="64">
        <f t="shared" si="50"/>
        <v>9</v>
      </c>
      <c r="I48" s="64">
        <f t="shared" si="51"/>
        <v>22</v>
      </c>
      <c r="J48" s="64" t="e">
        <f t="shared" si="52"/>
        <v>#VALUE!</v>
      </c>
      <c r="K48" s="64">
        <f t="shared" si="53"/>
        <v>32</v>
      </c>
      <c r="L48" s="64" t="str">
        <f>IFERROR(VLOOKUP(MID(G48,J48,K48-J48),[6]skilldef!$C:$D,2,FALSE),"-") &amp; " / " &amp; IFERROR(VLOOKUP(MID(G48,H48,I48-H48),[6]skilldef!$A:$B,2,FALSE),"-")</f>
        <v>- / -</v>
      </c>
      <c r="M48" s="64" t="str">
        <f t="shared" si="64"/>
        <v>[effect:break_heal_fix, target:myself, val:0, lowest_val:0, count:-1, block01:jammer],[effect:attack_break, target:unit_all, turn:2, val:0.4, calc:mul, animation:attack_break01]</v>
      </c>
      <c r="N48" s="48" t="str">
        <f t="shared" si="48"/>
        <v>[effect:break_heal_fix, target:myself, val:0, lowest_val:0, count:-1, block01:jammer],[effect:attack_break, target:unit_all, turn:2, val:0.4, calc:mul, animation:attack_break01]</v>
      </c>
      <c r="O48" s="64">
        <f t="shared" si="54"/>
        <v>9</v>
      </c>
      <c r="P48" s="64">
        <f t="shared" si="55"/>
        <v>23</v>
      </c>
      <c r="Q48" s="64">
        <f t="shared" si="56"/>
        <v>32</v>
      </c>
      <c r="R48" s="64">
        <f t="shared" si="57"/>
        <v>38</v>
      </c>
      <c r="S48" s="64" t="str">
        <f>IFERROR(VLOOKUP(MID(N48,Q48,R48-Q48),[6]skilldef!$C:$D,2,FALSE),"-") &amp; " / " &amp; IFERROR(VLOOKUP(MID(N48,O48,P48-O48),[6]skilldef!$A:$B,2,FALSE),"-")</f>
        <v>自分自身に / -</v>
      </c>
      <c r="T48" s="48" t="str">
        <f t="shared" si="58"/>
        <v>[effect:attack_break, target:unit_all, turn:2, val:0.4, calc:mul, animation:attack_break01]</v>
      </c>
      <c r="U48" s="64">
        <f t="shared" si="59"/>
        <v>9</v>
      </c>
      <c r="V48" s="64">
        <f t="shared" si="60"/>
        <v>21</v>
      </c>
      <c r="W48" s="64">
        <f t="shared" si="61"/>
        <v>30</v>
      </c>
      <c r="X48" s="64">
        <f t="shared" si="62"/>
        <v>38</v>
      </c>
      <c r="Y48" s="64" t="str">
        <f>IFERROR(VLOOKUP(MID(T48,W48,X48-W48),[6]skilldef!$C:$D,2,FALSE),"-") &amp; " / " &amp; IFERROR(VLOOKUP(MID(T48,U48,V48-U48),[6]skilldef!$A:$B,2,FALSE),"-")</f>
        <v>味方全体に / -</v>
      </c>
      <c r="Z48" s="50"/>
      <c r="AA48" s="52"/>
      <c r="AB48" s="50"/>
    </row>
    <row r="49" spans="1:28" ht="26" customHeight="1" thickBot="1" x14ac:dyDescent="0.2">
      <c r="A49" s="119">
        <v>48101048</v>
      </c>
      <c r="B49" s="107" t="s">
        <v>380</v>
      </c>
      <c r="C49" s="136">
        <v>1</v>
      </c>
      <c r="D49" s="136" t="s">
        <v>128</v>
      </c>
      <c r="E49" s="137" t="s">
        <v>379</v>
      </c>
      <c r="F49" s="137" t="s">
        <v>287</v>
      </c>
      <c r="G49" s="138" t="str">
        <f t="shared" si="63"/>
        <v>[effect:enemy_message, val1:1.4, val2:2.1]</v>
      </c>
      <c r="H49" s="138">
        <f t="shared" si="50"/>
        <v>9</v>
      </c>
      <c r="I49" s="138">
        <f t="shared" si="51"/>
        <v>22</v>
      </c>
      <c r="J49" s="138" t="e">
        <f t="shared" si="52"/>
        <v>#VALUE!</v>
      </c>
      <c r="K49" s="138">
        <f t="shared" si="53"/>
        <v>32</v>
      </c>
      <c r="L49" s="138" t="str">
        <f>IFERROR(VLOOKUP(MID(G49,J49,K49-J49),[6]skilldef!$C:$D,2,FALSE),"-") &amp; " / " &amp; IFERROR(VLOOKUP(MID(G49,H49,I49-H49),[6]skilldef!$A:$B,2,FALSE),"-")</f>
        <v>- / -</v>
      </c>
      <c r="M49" s="138" t="str">
        <f t="shared" si="64"/>
        <v>[effect:break_enchance_enemy, target:myself, val:0.02, lowest_val:0.12, count:-1, status:attack, turn:-1, block01:jammer, calc:mul, animation:enemy_enhance_attack],[effect:spread, val:0.45]</v>
      </c>
      <c r="N49" s="121" t="str">
        <f t="shared" si="48"/>
        <v>[effect:break_enchance_enemy, target:myself, val:0.02, lowest_val:0.12, count:-1, status:attack, turn:-1, block01:jammer, calc:mul, animation:enemy_enhance_attack],[effect:spread, val:0.45]</v>
      </c>
      <c r="O49" s="138">
        <f t="shared" si="54"/>
        <v>9</v>
      </c>
      <c r="P49" s="138">
        <f t="shared" si="55"/>
        <v>29</v>
      </c>
      <c r="Q49" s="138">
        <f t="shared" si="56"/>
        <v>38</v>
      </c>
      <c r="R49" s="138">
        <f t="shared" si="57"/>
        <v>44</v>
      </c>
      <c r="S49" s="138" t="str">
        <f>IFERROR(VLOOKUP(MID(N49,Q49,R49-Q49),[6]skilldef!$C:$D,2,FALSE),"-") &amp; " / " &amp; IFERROR(VLOOKUP(MID(N49,O49,P49-O49),[6]skilldef!$A:$B,2,FALSE),"-")</f>
        <v>自分自身に / -</v>
      </c>
      <c r="T49" s="121" t="str">
        <f t="shared" si="58"/>
        <v>[effect:spread, val:0.45]</v>
      </c>
      <c r="U49" s="138">
        <f t="shared" si="59"/>
        <v>9</v>
      </c>
      <c r="V49" s="138">
        <f t="shared" si="60"/>
        <v>15</v>
      </c>
      <c r="W49" s="138" t="e">
        <f t="shared" si="61"/>
        <v>#VALUE!</v>
      </c>
      <c r="X49" s="138" t="e">
        <f t="shared" si="62"/>
        <v>#VALUE!</v>
      </c>
      <c r="Y49" s="138" t="str">
        <f>IFERROR(VLOOKUP(MID(T49,W49,X49-W49),[6]skilldef!$C:$D,2,FALSE),"-") &amp; " / " &amp; IFERROR(VLOOKUP(MID(T49,U49,V49-U49),[6]skilldef!$A:$B,2,FALSE),"-")</f>
        <v>- / 全体攻撃</v>
      </c>
      <c r="Z49" s="136"/>
      <c r="AA49" s="139"/>
      <c r="AB49" s="136"/>
    </row>
    <row r="50" spans="1:28" ht="41" customHeight="1" x14ac:dyDescent="0.15">
      <c r="A50" s="118">
        <v>48101049</v>
      </c>
      <c r="B50" s="106" t="s">
        <v>381</v>
      </c>
      <c r="C50" s="132">
        <v>1</v>
      </c>
      <c r="D50" s="132" t="s">
        <v>128</v>
      </c>
      <c r="E50" s="133" t="s">
        <v>288</v>
      </c>
      <c r="F50" s="133" t="s">
        <v>327</v>
      </c>
      <c r="G50" s="134" t="str">
        <f t="shared" si="63"/>
        <v>[effect:enemy_message, val1:1.2, val2:3.6]</v>
      </c>
      <c r="H50" s="134">
        <f t="shared" si="50"/>
        <v>9</v>
      </c>
      <c r="I50" s="134">
        <f t="shared" si="51"/>
        <v>22</v>
      </c>
      <c r="J50" s="134" t="e">
        <f t="shared" si="52"/>
        <v>#VALUE!</v>
      </c>
      <c r="K50" s="134">
        <f t="shared" si="53"/>
        <v>32</v>
      </c>
      <c r="L50" s="134" t="str">
        <f>IFERROR(VLOOKUP(MID(G50,J50,K50-J50),[6]skilldef!$C:$D,2,FALSE),"-") &amp; " / " &amp; IFERROR(VLOOKUP(MID(G50,H50,I50-H50),[6]skilldef!$A:$B,2,FALSE),"-")</f>
        <v>- / -</v>
      </c>
      <c r="M50" s="134" t="str">
        <f t="shared" si="64"/>
        <v>[effect:fix_speed, target:myself, turn:1],[effect:tolerance, target:myself, turn:-1, count:-1, tolerance_effect:all, animation:enemy_tolerance],[effect:change_range_block, block_change:1, base_type:1, square_count:3, position01:4, value_rad01:6.0, value_h01:1, value_w01:1, new_block:jammer, target:block_all, ignore01:block_positive, ignore02:jammer, count:0, val:0, animation:change_range_block],[effect:change_range_block, block_change:1, base_type:1, square_count:3, position01:4, value_rad01:3.0, value_h01:1, value_w01:1, new_block:block_green, target:block_all, ignore01:block_positive, ignore02:block_green, count:0, val:0,  animation:change_range_block]</v>
      </c>
      <c r="N50" s="120" t="str">
        <f t="shared" si="48"/>
        <v>[effect:fix_speed, target:myself, turn:1],[effect:tolerance, target:myself, turn:-1, count:-1, tolerance_effect:all, animation:enemy_tolerance],[effect:change_range_block, block_change:1, base_type:1, square_count:3, position01:4, value_rad01:6.0, value_h01:1, value_w01:1, new_block:jammer, target:block_all, ignore01:block_positive, ignore02:jammer, count:0, val:0, animation:change_range_block],[effect:change_range_block, block_change:1, base_type:1, square_count:3, position01:4, value_rad01:3.0, value_h01:1, value_w01:1, new_block:block_green, target:block_all, ignore01:block_positive, ignore02:block_green, count:0, val:0,  animation:change_range_block]</v>
      </c>
      <c r="O50" s="134">
        <f t="shared" si="54"/>
        <v>9</v>
      </c>
      <c r="P50" s="134">
        <f t="shared" si="55"/>
        <v>18</v>
      </c>
      <c r="Q50" s="134">
        <f t="shared" si="56"/>
        <v>27</v>
      </c>
      <c r="R50" s="134">
        <f t="shared" si="57"/>
        <v>33</v>
      </c>
      <c r="S50" s="134" t="str">
        <f>IFERROR(VLOOKUP(MID(N50,Q50,R50-Q50),[6]skilldef!$C:$D,2,FALSE),"-") &amp; " / " &amp; IFERROR(VLOOKUP(MID(N50,O50,P50-O50),[6]skilldef!$A:$B,2,FALSE),"-")</f>
        <v>自分自身に / 行動値設定</v>
      </c>
      <c r="T50" s="120" t="str">
        <f t="shared" si="58"/>
        <v>[effect:tolerance, target:myself, turn:-1, count:-1, tolerance_effect:all, animation:enemy_tolerance],[effect:change_range_block, block_change:1, base_type:1, square_count:3, position01:4, value_rad01:6.0, value_h01:1, value_w01:1, new_block:jammer, target:block_all, ignore01:block_positive, ignore02:jammer, count:0, val:0, animation:change_range_block],[effect:change_range_block, block_change:1, base_type:1, square_count:3, position01:4, value_rad01:3.0, value_h01:1, value_w01:1, new_block:block_green, target:block_all, ignore01:block_positive, ignore02:block_green, count:0, val:0,  animation:change_range_block]</v>
      </c>
      <c r="U50" s="134">
        <f t="shared" si="59"/>
        <v>9</v>
      </c>
      <c r="V50" s="134">
        <f t="shared" si="60"/>
        <v>18</v>
      </c>
      <c r="W50" s="134">
        <f t="shared" si="61"/>
        <v>27</v>
      </c>
      <c r="X50" s="134">
        <f t="shared" si="62"/>
        <v>33</v>
      </c>
      <c r="Y50" s="134" t="str">
        <f>IFERROR(VLOOKUP(MID(T50,W50,X50-W50),[6]skilldef!$C:$D,2,FALSE),"-") &amp; " / " &amp; IFERROR(VLOOKUP(MID(T50,U50,V50-U50),[6]skilldef!$A:$B,2,FALSE),"-")</f>
        <v>自分自身に / 状態異常耐性</v>
      </c>
      <c r="Z50" s="132"/>
      <c r="AA50" s="135"/>
      <c r="AB50" s="132"/>
    </row>
    <row r="51" spans="1:28" ht="21" customHeight="1" x14ac:dyDescent="0.15">
      <c r="A51" s="118">
        <v>48101050</v>
      </c>
      <c r="B51" s="47" t="s">
        <v>324</v>
      </c>
      <c r="C51" s="50">
        <v>1</v>
      </c>
      <c r="D51" s="50" t="s">
        <v>128</v>
      </c>
      <c r="E51" s="51" t="s">
        <v>319</v>
      </c>
      <c r="F51" s="51" t="s">
        <v>382</v>
      </c>
      <c r="G51" s="64" t="str">
        <f t="shared" si="63"/>
        <v>[effect:enemy_message, val1:1.2, val2:1.2]</v>
      </c>
      <c r="H51" s="64">
        <f t="shared" si="50"/>
        <v>9</v>
      </c>
      <c r="I51" s="64">
        <f t="shared" si="51"/>
        <v>22</v>
      </c>
      <c r="J51" s="64" t="e">
        <f t="shared" si="52"/>
        <v>#VALUE!</v>
      </c>
      <c r="K51" s="64">
        <f t="shared" si="53"/>
        <v>32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64"/>
        <v>[effect:rush, count:4, val:0.3]</v>
      </c>
      <c r="N51" s="48" t="str">
        <f t="shared" si="48"/>
        <v>[effect:rush, count:4, val:0.3]</v>
      </c>
      <c r="O51" s="64">
        <f t="shared" si="54"/>
        <v>9</v>
      </c>
      <c r="P51" s="64">
        <f t="shared" si="55"/>
        <v>13</v>
      </c>
      <c r="Q51" s="64" t="e">
        <f t="shared" si="56"/>
        <v>#VALUE!</v>
      </c>
      <c r="R51" s="64">
        <f t="shared" si="57"/>
        <v>22</v>
      </c>
      <c r="S51" s="64" t="str">
        <f>IFERROR(VLOOKUP(MID(N51,Q51,R51-Q51),[6]skilldef!$C:$D,2,FALSE),"-") &amp; " / " &amp; IFERROR(VLOOKUP(MID(N51,O51,P51-O51),[6]skilldef!$A:$B,2,FALSE),"-")</f>
        <v>- / 連続攻撃</v>
      </c>
      <c r="T51" s="48" t="str">
        <f t="shared" si="58"/>
        <v>none</v>
      </c>
      <c r="U51" s="64" t="e">
        <f t="shared" si="59"/>
        <v>#VALUE!</v>
      </c>
      <c r="V51" s="64">
        <f t="shared" si="60"/>
        <v>4</v>
      </c>
      <c r="W51" s="64" t="e">
        <f t="shared" si="61"/>
        <v>#VALUE!</v>
      </c>
      <c r="X51" s="64" t="e">
        <f t="shared" si="62"/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118">
        <v>48101051</v>
      </c>
      <c r="B52" s="47" t="s">
        <v>383</v>
      </c>
      <c r="C52" s="50">
        <v>1</v>
      </c>
      <c r="D52" s="50" t="s">
        <v>128</v>
      </c>
      <c r="E52" s="51" t="s">
        <v>301</v>
      </c>
      <c r="F52" s="51" t="s">
        <v>328</v>
      </c>
      <c r="G52" s="64" t="str">
        <f t="shared" si="63"/>
        <v>[effect:enemy_message, val1:1.2, val2:2.3]</v>
      </c>
      <c r="H52" s="64">
        <f t="shared" si="50"/>
        <v>9</v>
      </c>
      <c r="I52" s="64">
        <f t="shared" si="51"/>
        <v>22</v>
      </c>
      <c r="J52" s="64" t="e">
        <f t="shared" si="52"/>
        <v>#VALUE!</v>
      </c>
      <c r="K52" s="64">
        <f t="shared" si="53"/>
        <v>32</v>
      </c>
      <c r="L52" s="64" t="str">
        <f>IFERROR(VLOOKUP(MID(G52,J52,K52-J52),[6]skilldef!$C:$D,2,FALSE),"-") &amp; " / " &amp; IFERROR(VLOOKUP(MID(G52,H52,I52-H52),[6]skilldef!$A:$B,2,FALSE),"-")</f>
        <v>- / -</v>
      </c>
      <c r="M52" s="64" t="str">
        <f t="shared" si="64"/>
        <v>[effect:change_range_block, block_change:1, base_type:0, square_count:3, position01:0, value_h01:1, value_w01:3, new_block:time_bomb, target:block_all, ignore01:block_positive, ignore02:time_bomb, color:block_blue, count:0, val:0.01, min_time_count:3, max_time_count:3, animation:change_range_block],[effect:change_range_block, block_change:1, base_type:0, square_count:3, position01:6, value_h01:1, value_w01:3, new_block:time_bomb, target:block_all, ignore01:block_positive, ignore02:time_bomb, color:block_red, count:0, val:0.01, min_time_count:4, max_time_count:4, animation:change_range_block]</v>
      </c>
      <c r="N52" s="48" t="str">
        <f t="shared" si="48"/>
        <v>[effect:change_range_block, block_change:1, base_type:0, square_count:3, position01:0, value_h01:1, value_w01:3, new_block:time_bomb, target:block_all, ignore01:block_positive, ignore02:time_bomb, color:block_blue, count:0, val:0.01, min_time_count:3, max_time_count:3, animation:change_range_block],[effect:change_range_block, block_change:1, base_type:0, square_count:3, position01:6, value_h01:1, value_w01:3, new_block:time_bomb, target:block_all, ignore01:block_positive, ignore02:time_bomb, color:block_red, count:0, val:0.01, min_time_count:4, max_time_count:4, animation:change_range_block]</v>
      </c>
      <c r="O52" s="64">
        <f t="shared" si="54"/>
        <v>9</v>
      </c>
      <c r="P52" s="64">
        <f t="shared" si="55"/>
        <v>27</v>
      </c>
      <c r="Q52" s="64">
        <f t="shared" si="56"/>
        <v>142</v>
      </c>
      <c r="R52" s="64">
        <f t="shared" si="57"/>
        <v>43</v>
      </c>
      <c r="S52" s="64" t="str">
        <f>IFERROR(VLOOKUP(MID(N52,Q52,R52-Q52),[6]skilldef!$C:$D,2,FALSE),"-") &amp; " / " &amp; IFERROR(VLOOKUP(MID(N52,O52,P52-O52),[6]skilldef!$A:$B,2,FALSE),"-")</f>
        <v>- / -</v>
      </c>
      <c r="T52" s="48" t="str">
        <f t="shared" si="58"/>
        <v>[effect:change_range_block, block_change:1, base_type:0, square_count:3, position01:6, value_h01:1, value_w01:3, new_block:time_bomb, target:block_all, ignore01:block_positive, ignore02:time_bomb, color:block_red, count:0, val:0.01, min_time_count:4, max_time_count:4, animation:change_range_block]</v>
      </c>
      <c r="U52" s="64">
        <f t="shared" si="59"/>
        <v>9</v>
      </c>
      <c r="V52" s="64">
        <f t="shared" si="60"/>
        <v>27</v>
      </c>
      <c r="W52" s="64">
        <f t="shared" si="61"/>
        <v>142</v>
      </c>
      <c r="X52" s="64">
        <f t="shared" si="62"/>
        <v>43</v>
      </c>
      <c r="Y52" s="64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118">
        <v>48101052</v>
      </c>
      <c r="B53" s="47" t="s">
        <v>433</v>
      </c>
      <c r="C53" s="50">
        <v>1</v>
      </c>
      <c r="D53" s="50" t="s">
        <v>128</v>
      </c>
      <c r="E53" s="51" t="s">
        <v>286</v>
      </c>
      <c r="F53" s="51" t="s">
        <v>430</v>
      </c>
      <c r="G53" s="64" t="str">
        <f t="shared" si="63"/>
        <v>[effect:enemy_message, val1:1.2, val2:2.0]</v>
      </c>
      <c r="H53" s="64">
        <f t="shared" si="50"/>
        <v>9</v>
      </c>
      <c r="I53" s="64">
        <f t="shared" si="51"/>
        <v>22</v>
      </c>
      <c r="J53" s="64" t="e">
        <f t="shared" si="52"/>
        <v>#VALUE!</v>
      </c>
      <c r="K53" s="64">
        <f t="shared" si="53"/>
        <v>32</v>
      </c>
      <c r="L53" s="64" t="str">
        <f>IFERROR(VLOOKUP(MID(G53,J53,K53-J53),[6]skilldef!$C:$D,2,FALSE),"-") &amp; " / " &amp; IFERROR(VLOOKUP(MID(G53,H53,I53-H53),[6]skilldef!$A:$B,2,FALSE),"-")</f>
        <v>- / -</v>
      </c>
      <c r="M53" s="64" t="str">
        <f t="shared" si="64"/>
        <v>[effect:rush, count:1, val:0.8],[effect:change_range_block, block_change:1, base_type:1, square_count:3, position01:4, value_rad01:3.0, value_h01:1, value_w01:1, new_block:jammer, target:block_all, ignore01:block_positive, ignore02:jammer, count:0, val:0, animation:change_range_block]</v>
      </c>
      <c r="N53" s="48" t="str">
        <f t="shared" si="48"/>
        <v>[effect:rush, count:1, val:0.8],[effect:change_range_block, block_change:1, base_type:1, square_count:3, position01:4, value_rad01:3.0, value_h01:1, value_w01:1, new_block:jammer, target:block_all, ignore01:block_positive, ignore02:jammer, count:0, val:0, animation:change_range_block]</v>
      </c>
      <c r="O53" s="64">
        <f t="shared" si="54"/>
        <v>9</v>
      </c>
      <c r="P53" s="64">
        <f t="shared" si="55"/>
        <v>13</v>
      </c>
      <c r="Q53" s="64">
        <f t="shared" si="56"/>
        <v>188</v>
      </c>
      <c r="R53" s="64">
        <f t="shared" si="57"/>
        <v>22</v>
      </c>
      <c r="S53" s="64" t="str">
        <f>IFERROR(VLOOKUP(MID(N53,Q53,R53-Q53),[6]skilldef!$C:$D,2,FALSE),"-") &amp; " / " &amp; IFERROR(VLOOKUP(MID(N53,O53,P53-O53),[6]skilldef!$A:$B,2,FALSE),"-")</f>
        <v>- / 連続攻撃</v>
      </c>
      <c r="T53" s="48" t="str">
        <f t="shared" si="58"/>
        <v>[effect:change_range_block, block_change:1, base_type:1, square_count:3, position01:4, value_rad01:3.0, value_h01:1, value_w01:1, new_block:jammer, target:block_all, ignore01:block_positive, ignore02:jammer, count:0, val:0, animation:change_range_block]</v>
      </c>
      <c r="U53" s="64">
        <f t="shared" si="59"/>
        <v>9</v>
      </c>
      <c r="V53" s="64">
        <f t="shared" si="60"/>
        <v>27</v>
      </c>
      <c r="W53" s="64">
        <f t="shared" si="61"/>
        <v>156</v>
      </c>
      <c r="X53" s="64">
        <f t="shared" si="62"/>
        <v>43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118">
        <v>48101053</v>
      </c>
      <c r="B54" s="47" t="s">
        <v>434</v>
      </c>
      <c r="C54" s="50">
        <v>1</v>
      </c>
      <c r="D54" s="50" t="s">
        <v>128</v>
      </c>
      <c r="E54" s="51" t="s">
        <v>312</v>
      </c>
      <c r="F54" s="51" t="s">
        <v>329</v>
      </c>
      <c r="G54" s="64" t="str">
        <f t="shared" si="63"/>
        <v>[effect:enemy_message, val1:1.2, val2:2.3]</v>
      </c>
      <c r="H54" s="64">
        <f t="shared" si="50"/>
        <v>9</v>
      </c>
      <c r="I54" s="64">
        <f t="shared" si="51"/>
        <v>22</v>
      </c>
      <c r="J54" s="64" t="e">
        <f t="shared" si="52"/>
        <v>#VALUE!</v>
      </c>
      <c r="K54" s="64">
        <f t="shared" si="53"/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si="64"/>
        <v>[effect:critical, val:1.3, animation:enemy_critical],[effect:change_range_block, block_change:1, base_type:0, square_count:5, position01:4, position02:15, value_h01:2, value_h02:2, value_w01:1, value_w02:1, new_block:jammer, target:block_all, ignore01:block_positive, ignore02:jammer, count:0, val:0, animation:change_range_block]</v>
      </c>
      <c r="N54" s="48" t="str">
        <f t="shared" si="48"/>
        <v>[effect:critical, val:1.3, animation:enemy_critical],[effect:change_range_block, block_change:1, base_type:0, square_count:5, position01:4, position02:15, value_h01:2, value_h02:2, value_w01:1, value_w02:1, new_block:jammer, target:block_all, ignore01:block_positive, ignore02:jammer, count:0, val:0, animation:change_range_block]</v>
      </c>
      <c r="O54" s="64">
        <f t="shared" si="54"/>
        <v>9</v>
      </c>
      <c r="P54" s="64">
        <f t="shared" si="55"/>
        <v>17</v>
      </c>
      <c r="Q54" s="64">
        <f t="shared" si="56"/>
        <v>233</v>
      </c>
      <c r="R54" s="64">
        <f t="shared" si="57"/>
        <v>26</v>
      </c>
      <c r="S54" s="64" t="str">
        <f>IFERROR(VLOOKUP(MID(N54,Q54,R54-Q54),[6]skilldef!$C:$D,2,FALSE),"-") &amp; " / " &amp; IFERROR(VLOOKUP(MID(N54,O54,P54-O54),[6]skilldef!$A:$B,2,FALSE),"-")</f>
        <v>- / 大攻撃</v>
      </c>
      <c r="T54" s="48" t="str">
        <f t="shared" si="58"/>
        <v>[effect:change_range_block, block_change:1, base_type:0, square_count:5, position01:4, position02:15, value_h01:2, value_h02:2, value_w01:1, value_w02:1, new_block:jammer, target:block_all, ignore01:block_positive, ignore02:jammer, count:0, val:0, animation:change_range_block]</v>
      </c>
      <c r="U54" s="64">
        <f t="shared" si="59"/>
        <v>9</v>
      </c>
      <c r="V54" s="64">
        <f t="shared" si="60"/>
        <v>27</v>
      </c>
      <c r="W54" s="64">
        <f t="shared" si="61"/>
        <v>180</v>
      </c>
      <c r="X54" s="64">
        <f t="shared" si="62"/>
        <v>43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118">
        <v>48101054</v>
      </c>
      <c r="B55" s="47" t="s">
        <v>435</v>
      </c>
      <c r="C55" s="50">
        <v>1</v>
      </c>
      <c r="D55" s="50" t="s">
        <v>128</v>
      </c>
      <c r="E55" s="51" t="s">
        <v>313</v>
      </c>
      <c r="F55" s="51" t="s">
        <v>329</v>
      </c>
      <c r="G55" s="64" t="str">
        <f t="shared" si="63"/>
        <v>[effect:enemy_message, val1:1.2, val2:2.3]</v>
      </c>
      <c r="H55" s="64">
        <f t="shared" si="50"/>
        <v>9</v>
      </c>
      <c r="I55" s="64">
        <f t="shared" si="51"/>
        <v>22</v>
      </c>
      <c r="J55" s="64" t="e">
        <f t="shared" si="52"/>
        <v>#VALUE!</v>
      </c>
      <c r="K55" s="64">
        <f t="shared" si="53"/>
        <v>32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si="64"/>
        <v>[effect:critical, val:1.3, animation:enemy_critical],[effect:change_range_block, block_change:1, base_type:0, square_count:5, position01:0, position02:23, value_h01:1, value_h02:1, value_w01:2, value_w02:2, new_block:jammer, target:block_all, ignore01:block_positive, ignore02:jammer, count:0, val:0, animation:change_range_block]</v>
      </c>
      <c r="N55" s="48" t="str">
        <f t="shared" si="48"/>
        <v>[effect:critical, val:1.3, animation:enemy_critical],[effect:change_range_block, block_change:1, base_type:0, square_count:5, position01:0, position02:23, value_h01:1, value_h02:1, value_w01:2, value_w02:2, new_block:jammer, target:block_all, ignore01:block_positive, ignore02:jammer, count:0, val:0, animation:change_range_block]</v>
      </c>
      <c r="O55" s="64">
        <f t="shared" si="54"/>
        <v>9</v>
      </c>
      <c r="P55" s="64">
        <f t="shared" si="55"/>
        <v>17</v>
      </c>
      <c r="Q55" s="64">
        <f t="shared" si="56"/>
        <v>233</v>
      </c>
      <c r="R55" s="64">
        <f t="shared" si="57"/>
        <v>26</v>
      </c>
      <c r="S55" s="64" t="str">
        <f>IFERROR(VLOOKUP(MID(N55,Q55,R55-Q55),[6]skilldef!$C:$D,2,FALSE),"-") &amp; " / " &amp; IFERROR(VLOOKUP(MID(N55,O55,P55-O55),[6]skilldef!$A:$B,2,FALSE),"-")</f>
        <v>- / 大攻撃</v>
      </c>
      <c r="T55" s="48" t="str">
        <f t="shared" si="58"/>
        <v>[effect:change_range_block, block_change:1, base_type:0, square_count:5, position01:0, position02:23, value_h01:1, value_h02:1, value_w01:2, value_w02:2, new_block:jammer, target:block_all, ignore01:block_positive, ignore02:jammer, count:0, val:0, animation:change_range_block]</v>
      </c>
      <c r="U55" s="64">
        <f t="shared" si="59"/>
        <v>9</v>
      </c>
      <c r="V55" s="64">
        <f t="shared" si="60"/>
        <v>27</v>
      </c>
      <c r="W55" s="64">
        <f t="shared" si="61"/>
        <v>180</v>
      </c>
      <c r="X55" s="64">
        <f t="shared" si="62"/>
        <v>43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118">
        <v>48101055</v>
      </c>
      <c r="B56" s="47" t="s">
        <v>351</v>
      </c>
      <c r="C56" s="50">
        <v>1</v>
      </c>
      <c r="D56" s="50" t="s">
        <v>128</v>
      </c>
      <c r="E56" s="51" t="s">
        <v>289</v>
      </c>
      <c r="F56" s="51" t="s">
        <v>265</v>
      </c>
      <c r="G56" s="64" t="str">
        <f t="shared" si="63"/>
        <v>[effect:enemy_message, val1:1.2, val2:2.0]</v>
      </c>
      <c r="H56" s="64">
        <f t="shared" si="50"/>
        <v>9</v>
      </c>
      <c r="I56" s="64">
        <f t="shared" si="51"/>
        <v>22</v>
      </c>
      <c r="J56" s="64" t="e">
        <f t="shared" si="52"/>
        <v>#VALUE!</v>
      </c>
      <c r="K56" s="64">
        <f t="shared" si="53"/>
        <v>32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si="64"/>
        <v>none</v>
      </c>
      <c r="N56" s="48" t="str">
        <f t="shared" si="48"/>
        <v>none</v>
      </c>
      <c r="O56" s="64" t="e">
        <f t="shared" si="54"/>
        <v>#VALUE!</v>
      </c>
      <c r="P56" s="64">
        <f t="shared" si="55"/>
        <v>4</v>
      </c>
      <c r="Q56" s="64" t="e">
        <f t="shared" si="56"/>
        <v>#VALUE!</v>
      </c>
      <c r="R56" s="64" t="e">
        <f t="shared" si="57"/>
        <v>#VALUE!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si="58"/>
        <v>none</v>
      </c>
      <c r="U56" s="64" t="e">
        <f t="shared" si="59"/>
        <v>#VALUE!</v>
      </c>
      <c r="V56" s="64">
        <f t="shared" si="60"/>
        <v>4</v>
      </c>
      <c r="W56" s="64" t="e">
        <f t="shared" si="61"/>
        <v>#VALUE!</v>
      </c>
      <c r="X56" s="64" t="e">
        <f t="shared" si="62"/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118">
        <v>48101056</v>
      </c>
      <c r="B57" s="113" t="s">
        <v>385</v>
      </c>
      <c r="C57" s="50">
        <v>1</v>
      </c>
      <c r="D57" s="50" t="s">
        <v>128</v>
      </c>
      <c r="E57" s="51" t="s">
        <v>314</v>
      </c>
      <c r="F57" s="51" t="s">
        <v>384</v>
      </c>
      <c r="G57" s="64" t="str">
        <f t="shared" si="63"/>
        <v>[effect:enemy_message, val1:1.2, val2:1.5]</v>
      </c>
      <c r="H57" s="64">
        <f t="shared" si="50"/>
        <v>9</v>
      </c>
      <c r="I57" s="64">
        <f t="shared" si="51"/>
        <v>22</v>
      </c>
      <c r="J57" s="64" t="e">
        <f t="shared" si="52"/>
        <v>#VALUE!</v>
      </c>
      <c r="K57" s="64">
        <f t="shared" si="53"/>
        <v>32</v>
      </c>
      <c r="L57" s="64" t="str">
        <f>IFERROR(VLOOKUP(MID(G57,J57,K57-J57),[6]skilldef!$C:$D,2,FALSE),"-") &amp; " / " &amp; IFERROR(VLOOKUP(MID(G57,H57,I57-H57),[6]skilldef!$A:$B,2,FALSE),"-")</f>
        <v>- / -</v>
      </c>
      <c r="M57" s="64" t="str">
        <f t="shared" si="64"/>
        <v>[effect:break_attack_fix, target:unit_all, val:100, lowest_val:1200, count:-1, block01:jammer]</v>
      </c>
      <c r="N57" s="48" t="str">
        <f t="shared" si="48"/>
        <v>[effect:break_attack_fix, target:unit_all, val:100, lowest_val:1200, count:-1, block01:jammer]</v>
      </c>
      <c r="O57" s="64">
        <f t="shared" si="54"/>
        <v>9</v>
      </c>
      <c r="P57" s="64">
        <f t="shared" si="55"/>
        <v>25</v>
      </c>
      <c r="Q57" s="64">
        <f t="shared" si="56"/>
        <v>34</v>
      </c>
      <c r="R57" s="64">
        <f t="shared" si="57"/>
        <v>42</v>
      </c>
      <c r="S57" s="64" t="str">
        <f>IFERROR(VLOOKUP(MID(N57,Q57,R57-Q57),[6]skilldef!$C:$D,2,FALSE),"-") &amp; " / " &amp; IFERROR(VLOOKUP(MID(N57,O57,P57-O57),[6]skilldef!$A:$B,2,FALSE),"-")</f>
        <v>味方全体に / -</v>
      </c>
      <c r="T57" s="48" t="str">
        <f t="shared" si="58"/>
        <v>none</v>
      </c>
      <c r="U57" s="64" t="e">
        <f t="shared" si="59"/>
        <v>#VALUE!</v>
      </c>
      <c r="V57" s="64">
        <f t="shared" si="60"/>
        <v>4</v>
      </c>
      <c r="W57" s="64" t="e">
        <f t="shared" si="61"/>
        <v>#VALUE!</v>
      </c>
      <c r="X57" s="64" t="e">
        <f t="shared" si="62"/>
        <v>#VALUE!</v>
      </c>
      <c r="Y57" s="64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118">
        <v>48101057</v>
      </c>
      <c r="B58" s="47" t="s">
        <v>304</v>
      </c>
      <c r="C58" s="50">
        <v>1</v>
      </c>
      <c r="D58" s="50" t="s">
        <v>128</v>
      </c>
      <c r="E58" s="51" t="s">
        <v>302</v>
      </c>
      <c r="F58" s="51" t="s">
        <v>303</v>
      </c>
      <c r="G58" s="64" t="str">
        <f t="shared" si="63"/>
        <v xml:space="preserve">[effect:enemy_message, val1:2.0, val2:2.5, dead_type:suicide]    </v>
      </c>
      <c r="H58" s="64">
        <f t="shared" si="50"/>
        <v>9</v>
      </c>
      <c r="I58" s="64">
        <f t="shared" si="51"/>
        <v>22</v>
      </c>
      <c r="J58" s="64" t="e">
        <f t="shared" si="52"/>
        <v>#VALUE!</v>
      </c>
      <c r="K58" s="64">
        <f t="shared" si="53"/>
        <v>32</v>
      </c>
      <c r="L58" s="64" t="str">
        <f>IFERROR(VLOOKUP(MID(G58,J58,K58-J58),[6]skilldef!$C:$D,2,FALSE),"-") &amp; " / " &amp; IFERROR(VLOOKUP(MID(G58,H58,I58-H58),[6]skilldef!$A:$B,2,FALSE),"-")</f>
        <v>- / -</v>
      </c>
      <c r="M58" s="64" t="str">
        <f t="shared" si="64"/>
        <v>none</v>
      </c>
      <c r="N58" s="48" t="str">
        <f t="shared" si="48"/>
        <v>none</v>
      </c>
      <c r="O58" s="64" t="e">
        <f t="shared" si="54"/>
        <v>#VALUE!</v>
      </c>
      <c r="P58" s="64">
        <f t="shared" si="55"/>
        <v>4</v>
      </c>
      <c r="Q58" s="64" t="e">
        <f t="shared" si="56"/>
        <v>#VALUE!</v>
      </c>
      <c r="R58" s="64" t="e">
        <f t="shared" si="57"/>
        <v>#VALUE!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si="58"/>
        <v>none</v>
      </c>
      <c r="U58" s="64" t="e">
        <f t="shared" si="59"/>
        <v>#VALUE!</v>
      </c>
      <c r="V58" s="64">
        <f t="shared" si="60"/>
        <v>4</v>
      </c>
      <c r="W58" s="64" t="e">
        <f t="shared" si="61"/>
        <v>#VALUE!</v>
      </c>
      <c r="X58" s="64" t="e">
        <f t="shared" si="62"/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118">
        <v>48101058</v>
      </c>
      <c r="B59" s="47" t="s">
        <v>331</v>
      </c>
      <c r="C59" s="50">
        <v>1</v>
      </c>
      <c r="D59" s="50" t="s">
        <v>128</v>
      </c>
      <c r="E59" s="51" t="s">
        <v>397</v>
      </c>
      <c r="F59" s="51" t="s">
        <v>262</v>
      </c>
      <c r="G59" s="64" t="str">
        <f t="shared" si="63"/>
        <v xml:space="preserve">[effect:enemy_message, val1:2.3, val2:0, dead_type:suicide]    </v>
      </c>
      <c r="H59" s="64">
        <f t="shared" si="50"/>
        <v>9</v>
      </c>
      <c r="I59" s="64">
        <f t="shared" si="51"/>
        <v>22</v>
      </c>
      <c r="J59" s="64" t="e">
        <f t="shared" si="52"/>
        <v>#VALUE!</v>
      </c>
      <c r="K59" s="64">
        <f t="shared" si="53"/>
        <v>32</v>
      </c>
      <c r="L59" s="64" t="str">
        <f>IFERROR(VLOOKUP(MID(G59,J59,K59-J59),[6]skilldef!$C:$D,2,FALSE),"-") &amp; " / " &amp; IFERROR(VLOOKUP(MID(G59,H59,I59-H59),[6]skilldef!$A:$B,2,FALSE),"-")</f>
        <v>- / -</v>
      </c>
      <c r="M59" s="64" t="str">
        <f t="shared" si="64"/>
        <v>none</v>
      </c>
      <c r="N59" s="48" t="str">
        <f t="shared" si="48"/>
        <v>none</v>
      </c>
      <c r="O59" s="64" t="e">
        <f t="shared" si="54"/>
        <v>#VALUE!</v>
      </c>
      <c r="P59" s="64">
        <f t="shared" si="55"/>
        <v>4</v>
      </c>
      <c r="Q59" s="64" t="e">
        <f t="shared" si="56"/>
        <v>#VALUE!</v>
      </c>
      <c r="R59" s="64" t="e">
        <f t="shared" si="57"/>
        <v>#VALUE!</v>
      </c>
      <c r="S59" s="64" t="str">
        <f>IFERROR(VLOOKUP(MID(N59,Q59,R59-Q59),[6]skilldef!$C:$D,2,FALSE),"-") &amp; " / " &amp; IFERROR(VLOOKUP(MID(N59,O59,P59-O59),[6]skilldef!$A:$B,2,FALSE),"-")</f>
        <v>- / -</v>
      </c>
      <c r="T59" s="48" t="str">
        <f t="shared" si="58"/>
        <v>none</v>
      </c>
      <c r="U59" s="64" t="e">
        <f t="shared" si="59"/>
        <v>#VALUE!</v>
      </c>
      <c r="V59" s="64">
        <f t="shared" si="60"/>
        <v>4</v>
      </c>
      <c r="W59" s="64" t="e">
        <f t="shared" si="61"/>
        <v>#VALUE!</v>
      </c>
      <c r="X59" s="64" t="e">
        <f t="shared" si="62"/>
        <v>#VALUE!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118">
        <v>48101059</v>
      </c>
      <c r="B60" s="47" t="s">
        <v>334</v>
      </c>
      <c r="C60" s="50">
        <v>1</v>
      </c>
      <c r="D60" s="50" t="s">
        <v>128</v>
      </c>
      <c r="E60" s="51" t="s">
        <v>332</v>
      </c>
      <c r="F60" s="133" t="s">
        <v>262</v>
      </c>
      <c r="G60" s="64" t="str">
        <f t="shared" si="63"/>
        <v>[effect:enemy_message, val1:2.9, val2:0, dead_type:suicide]</v>
      </c>
      <c r="H60" s="64">
        <f t="shared" si="50"/>
        <v>9</v>
      </c>
      <c r="I60" s="64">
        <f t="shared" si="51"/>
        <v>22</v>
      </c>
      <c r="J60" s="64" t="e">
        <f t="shared" si="52"/>
        <v>#VALUE!</v>
      </c>
      <c r="K60" s="64">
        <f t="shared" si="53"/>
        <v>32</v>
      </c>
      <c r="L60" s="64" t="str">
        <f>IFERROR(VLOOKUP(MID(G60,J60,K60-J60),[6]skilldef!$C:$D,2,FALSE),"-") &amp; " / " &amp; IFERROR(VLOOKUP(MID(G60,H60,I60-H60),[6]skilldef!$A:$B,2,FALSE),"-")</f>
        <v>- / -</v>
      </c>
      <c r="M60" s="64" t="str">
        <f t="shared" si="64"/>
        <v>none</v>
      </c>
      <c r="N60" s="48" t="str">
        <f t="shared" si="48"/>
        <v>none</v>
      </c>
      <c r="O60" s="64" t="e">
        <f t="shared" si="54"/>
        <v>#VALUE!</v>
      </c>
      <c r="P60" s="64">
        <f t="shared" si="55"/>
        <v>4</v>
      </c>
      <c r="Q60" s="64" t="e">
        <f t="shared" si="56"/>
        <v>#VALUE!</v>
      </c>
      <c r="R60" s="64" t="e">
        <f t="shared" si="57"/>
        <v>#VALUE!</v>
      </c>
      <c r="S60" s="64" t="str">
        <f>IFERROR(VLOOKUP(MID(N60,Q60,R60-Q60),[6]skilldef!$C:$D,2,FALSE),"-") &amp; " / " &amp; IFERROR(VLOOKUP(MID(N60,O60,P60-O60),[6]skilldef!$A:$B,2,FALSE),"-")</f>
        <v>- / -</v>
      </c>
      <c r="T60" s="48" t="str">
        <f t="shared" si="58"/>
        <v>none</v>
      </c>
      <c r="U60" s="64" t="e">
        <f t="shared" si="59"/>
        <v>#VALUE!</v>
      </c>
      <c r="V60" s="64">
        <f t="shared" si="60"/>
        <v>4</v>
      </c>
      <c r="W60" s="64" t="e">
        <f t="shared" si="61"/>
        <v>#VALUE!</v>
      </c>
      <c r="X60" s="64" t="e">
        <f t="shared" si="62"/>
        <v>#VALUE!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thickBot="1" x14ac:dyDescent="0.2">
      <c r="A61" s="119">
        <v>48101060</v>
      </c>
      <c r="B61" s="141" t="s">
        <v>331</v>
      </c>
      <c r="C61" s="142">
        <v>1</v>
      </c>
      <c r="D61" s="142" t="s">
        <v>128</v>
      </c>
      <c r="E61" s="143" t="s">
        <v>333</v>
      </c>
      <c r="F61" s="143" t="s">
        <v>262</v>
      </c>
      <c r="G61" s="144" t="str">
        <f t="shared" ref="G61:G94" si="80">IFERROR(LEFT(B61,FIND("],",B61)),B61)</f>
        <v xml:space="preserve">[effect:enemy_message, val1:2.3, val2:0, dead_type:suicide]    </v>
      </c>
      <c r="H61" s="144">
        <f t="shared" ref="H61:H120" si="81">FIND("effect:",G61)+7</f>
        <v>9</v>
      </c>
      <c r="I61" s="144">
        <f t="shared" ref="I61:I120" si="82">IFERROR(FIND(",",G61),LEN(G61))</f>
        <v>22</v>
      </c>
      <c r="J61" s="144" t="e">
        <f t="shared" ref="J61:J120" si="83">FIND("target:",G61)+7</f>
        <v>#VALUE!</v>
      </c>
      <c r="K61" s="144">
        <f t="shared" ref="K61:K120" si="84">FIND(",",G61,I61+1)</f>
        <v>32</v>
      </c>
      <c r="L61" s="144" t="str">
        <f>IFERROR(VLOOKUP(MID(G61,J61,K61-J61),[6]skilldef!$C:$D,2,FALSE),"-") &amp; " / " &amp; IFERROR(VLOOKUP(MID(G61,H61,I61-H61),[6]skilldef!$A:$B,2,FALSE),"-")</f>
        <v>- / -</v>
      </c>
      <c r="M61" s="144" t="str">
        <f t="shared" ref="M61:M94" si="85">IFERROR(RIGHT(B61,LEN(B61)-FIND("],",B61)-1),"none")</f>
        <v>none</v>
      </c>
      <c r="N61" s="145" t="str">
        <f t="shared" ref="N61:N62" si="86">IFERROR(LEFT(M61,FIND("],",M61)+S71),M61)</f>
        <v>none</v>
      </c>
      <c r="O61" s="144" t="e">
        <f t="shared" ref="O61:O120" si="87">FIND("effect:",N61)+7</f>
        <v>#VALUE!</v>
      </c>
      <c r="P61" s="144">
        <f t="shared" ref="P61:P120" si="88">IFERROR(FIND(",",N61),LEN(N61))</f>
        <v>4</v>
      </c>
      <c r="Q61" s="144" t="e">
        <f t="shared" ref="Q61:Q120" si="89">FIND("target:",N61)+7</f>
        <v>#VALUE!</v>
      </c>
      <c r="R61" s="144" t="e">
        <f t="shared" ref="R61:R120" si="90">FIND(",",N61,P61+1)</f>
        <v>#VALUE!</v>
      </c>
      <c r="S61" s="144" t="str">
        <f>IFERROR(VLOOKUP(MID(N61,Q61,R61-Q61),[6]skilldef!$C:$D,2,FALSE),"-") &amp; " / " &amp; IFERROR(VLOOKUP(MID(N61,O61,P61-O61),[6]skilldef!$A:$B,2,FALSE),"-")</f>
        <v>- / -</v>
      </c>
      <c r="T61" s="145" t="str">
        <f t="shared" ref="T61:T120" si="91">IFERROR(RIGHT(M61,LEN(M61)-FIND("],",M61)-1),"none")</f>
        <v>none</v>
      </c>
      <c r="U61" s="144" t="e">
        <f t="shared" ref="U61:U120" si="92">FIND("effect:",T61)+7</f>
        <v>#VALUE!</v>
      </c>
      <c r="V61" s="144">
        <f t="shared" ref="V61:V120" si="93">IFERROR(FIND(",",T61),LEN(T61))</f>
        <v>4</v>
      </c>
      <c r="W61" s="144" t="e">
        <f t="shared" ref="W61:W120" si="94">FIND("target:",T61)+7</f>
        <v>#VALUE!</v>
      </c>
      <c r="X61" s="144" t="e">
        <f t="shared" ref="X61:X120" si="95">FIND(",",T61,V61+1)</f>
        <v>#VALUE!</v>
      </c>
      <c r="Y61" s="144" t="str">
        <f>IFERROR(VLOOKUP(MID(T61,W61,X61-W61),[6]skilldef!$C:$D,2,FALSE),"-") &amp; " / " &amp; IFERROR(VLOOKUP(MID(T61,U61,V61-U61),[6]skilldef!$A:$B,2,FALSE),"-")</f>
        <v>- / -</v>
      </c>
      <c r="Z61" s="142"/>
      <c r="AA61" s="146"/>
      <c r="AB61" s="142"/>
    </row>
    <row r="62" spans="1:28" ht="21" customHeight="1" x14ac:dyDescent="0.15">
      <c r="A62" s="108">
        <v>48101061</v>
      </c>
      <c r="B62" s="47" t="s">
        <v>277</v>
      </c>
      <c r="C62" s="50">
        <v>1</v>
      </c>
      <c r="D62" s="50" t="s">
        <v>128</v>
      </c>
      <c r="E62" s="51" t="s">
        <v>256</v>
      </c>
      <c r="F62" s="51" t="s">
        <v>260</v>
      </c>
      <c r="G62" s="64" t="str">
        <f t="shared" si="80"/>
        <v>[effect:enemy_message, val1:1.2, val2:1.2]</v>
      </c>
      <c r="H62" s="64">
        <f t="shared" si="81"/>
        <v>9</v>
      </c>
      <c r="I62" s="64">
        <f t="shared" si="82"/>
        <v>22</v>
      </c>
      <c r="J62" s="64" t="e">
        <f t="shared" si="83"/>
        <v>#VALUE!</v>
      </c>
      <c r="K62" s="64">
        <f t="shared" si="84"/>
        <v>32</v>
      </c>
      <c r="L62" s="64" t="str">
        <f>IFERROR(VLOOKUP(MID(G62,J62,K62-J62),[6]skilldef!$C:$D,2,FALSE),"-") &amp; " / " &amp; IFERROR(VLOOKUP(MID(G62,H62,I62-H62),[6]skilldef!$A:$B,2,FALSE),"-")</f>
        <v>- / -</v>
      </c>
      <c r="M62" s="64" t="str">
        <f t="shared" si="85"/>
        <v>[effect:fix_speed, target:myself, turn:2]</v>
      </c>
      <c r="N62" s="48" t="str">
        <f t="shared" si="86"/>
        <v>[effect:fix_speed, target:myself, turn:2]</v>
      </c>
      <c r="O62" s="64">
        <f t="shared" si="87"/>
        <v>9</v>
      </c>
      <c r="P62" s="64">
        <f t="shared" si="88"/>
        <v>18</v>
      </c>
      <c r="Q62" s="64">
        <f t="shared" si="89"/>
        <v>27</v>
      </c>
      <c r="R62" s="64">
        <f t="shared" si="90"/>
        <v>33</v>
      </c>
      <c r="S62" s="64" t="str">
        <f>IFERROR(VLOOKUP(MID(N62,Q62,R62-Q62),[6]skilldef!$C:$D,2,FALSE),"-") &amp; " / " &amp; IFERROR(VLOOKUP(MID(N62,O62,P62-O62),[6]skilldef!$A:$B,2,FALSE),"-")</f>
        <v>自分自身に / 行動値設定</v>
      </c>
      <c r="T62" s="48" t="str">
        <f t="shared" si="91"/>
        <v>none</v>
      </c>
      <c r="U62" s="64" t="e">
        <f t="shared" si="92"/>
        <v>#VALUE!</v>
      </c>
      <c r="V62" s="64">
        <f t="shared" si="93"/>
        <v>4</v>
      </c>
      <c r="W62" s="64" t="e">
        <f t="shared" si="94"/>
        <v>#VALUE!</v>
      </c>
      <c r="X62" s="64" t="e">
        <f t="shared" si="95"/>
        <v>#VALUE!</v>
      </c>
      <c r="Y62" s="64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108">
        <v>48101062</v>
      </c>
      <c r="B63" s="47" t="s">
        <v>255</v>
      </c>
      <c r="C63" s="50">
        <v>1</v>
      </c>
      <c r="D63" s="50" t="s">
        <v>128</v>
      </c>
      <c r="E63" s="51" t="s">
        <v>339</v>
      </c>
      <c r="F63" s="51" t="s">
        <v>308</v>
      </c>
      <c r="G63" s="64" t="str">
        <f t="shared" si="80"/>
        <v>[effect:enemy_message, val1:1.2, val2:1.2]</v>
      </c>
      <c r="H63" s="64">
        <f t="shared" si="81"/>
        <v>9</v>
      </c>
      <c r="I63" s="64">
        <f t="shared" si="82"/>
        <v>22</v>
      </c>
      <c r="J63" s="64" t="e">
        <f t="shared" si="83"/>
        <v>#VALUE!</v>
      </c>
      <c r="K63" s="64">
        <f t="shared" si="84"/>
        <v>32</v>
      </c>
      <c r="L63" s="64" t="str">
        <f>IFERROR(VLOOKUP(MID(G63,J63,K63-J63),[6]skilldef!$C:$D,2,FALSE),"-") &amp; " / " &amp; IFERROR(VLOOKUP(MID(G63,H63,I63-H63),[6]skilldef!$A:$B,2,FALSE),"-")</f>
        <v>- / -</v>
      </c>
      <c r="M63" s="64" t="str">
        <f t="shared" si="85"/>
        <v>none</v>
      </c>
      <c r="N63" s="48" t="str">
        <f t="shared" ref="N63:N68" si="96">IFERROR(LEFT(M63,FIND("],",M63)+S74),M63)</f>
        <v>none</v>
      </c>
      <c r="O63" s="64" t="e">
        <f t="shared" si="87"/>
        <v>#VALUE!</v>
      </c>
      <c r="P63" s="64">
        <f t="shared" si="88"/>
        <v>4</v>
      </c>
      <c r="Q63" s="64" t="e">
        <f t="shared" si="89"/>
        <v>#VALUE!</v>
      </c>
      <c r="R63" s="64" t="e">
        <f t="shared" si="90"/>
        <v>#VALUE!</v>
      </c>
      <c r="S63" s="64" t="str">
        <f>IFERROR(VLOOKUP(MID(N63,Q63,R63-Q63),[6]skilldef!$C:$D,2,FALSE),"-") &amp; " / " &amp; IFERROR(VLOOKUP(MID(N63,O63,P63-O63),[6]skilldef!$A:$B,2,FALSE),"-")</f>
        <v>- / -</v>
      </c>
      <c r="T63" s="48" t="str">
        <f t="shared" si="91"/>
        <v>none</v>
      </c>
      <c r="U63" s="64" t="e">
        <f t="shared" si="92"/>
        <v>#VALUE!</v>
      </c>
      <c r="V63" s="64">
        <f t="shared" si="93"/>
        <v>4</v>
      </c>
      <c r="W63" s="64" t="e">
        <f t="shared" si="94"/>
        <v>#VALUE!</v>
      </c>
      <c r="X63" s="64" t="e">
        <f t="shared" si="95"/>
        <v>#VALUE!</v>
      </c>
      <c r="Y63" s="64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108">
        <v>48101063</v>
      </c>
      <c r="B64" s="47" t="s">
        <v>320</v>
      </c>
      <c r="C64" s="50">
        <v>1</v>
      </c>
      <c r="D64" s="50" t="s">
        <v>128</v>
      </c>
      <c r="E64" s="51" t="s">
        <v>258</v>
      </c>
      <c r="F64" s="51" t="s">
        <v>257</v>
      </c>
      <c r="G64" s="64" t="str">
        <f t="shared" si="80"/>
        <v>[effect:enemy_message, val1:1.2, val2:1.2]</v>
      </c>
      <c r="H64" s="64">
        <f t="shared" si="81"/>
        <v>9</v>
      </c>
      <c r="I64" s="64">
        <f t="shared" si="82"/>
        <v>22</v>
      </c>
      <c r="J64" s="64" t="e">
        <f t="shared" si="83"/>
        <v>#VALUE!</v>
      </c>
      <c r="K64" s="64">
        <f t="shared" si="84"/>
        <v>32</v>
      </c>
      <c r="L64" s="64" t="str">
        <f>IFERROR(VLOOKUP(MID(G64,J64,K64-J64),[6]skilldef!$C:$D,2,FALSE),"-") &amp; " / " &amp; IFERROR(VLOOKUP(MID(G64,H64,I64-H64),[6]skilldef!$A:$B,2,FALSE),"-")</f>
        <v>- / -</v>
      </c>
      <c r="M64" s="64" t="str">
        <f t="shared" si="85"/>
        <v xml:space="preserve">[effect:critical, val:1.6, animation:enemy_critical]    </v>
      </c>
      <c r="N64" s="48" t="str">
        <f t="shared" si="96"/>
        <v xml:space="preserve">[effect:critical, val:1.6, animation:enemy_critical]    </v>
      </c>
      <c r="O64" s="64">
        <f t="shared" si="87"/>
        <v>9</v>
      </c>
      <c r="P64" s="64">
        <f t="shared" si="88"/>
        <v>17</v>
      </c>
      <c r="Q64" s="64" t="e">
        <f t="shared" si="89"/>
        <v>#VALUE!</v>
      </c>
      <c r="R64" s="64">
        <f t="shared" si="90"/>
        <v>26</v>
      </c>
      <c r="S64" s="64" t="str">
        <f>IFERROR(VLOOKUP(MID(N64,Q64,R64-Q64),[6]skilldef!$C:$D,2,FALSE),"-") &amp; " / " &amp; IFERROR(VLOOKUP(MID(N64,O64,P64-O64),[6]skilldef!$A:$B,2,FALSE),"-")</f>
        <v>- / 大攻撃</v>
      </c>
      <c r="T64" s="48" t="str">
        <f t="shared" si="91"/>
        <v>none</v>
      </c>
      <c r="U64" s="64" t="e">
        <f t="shared" si="92"/>
        <v>#VALUE!</v>
      </c>
      <c r="V64" s="64">
        <f t="shared" si="93"/>
        <v>4</v>
      </c>
      <c r="W64" s="64" t="e">
        <f t="shared" si="94"/>
        <v>#VALUE!</v>
      </c>
      <c r="X64" s="64" t="e">
        <f t="shared" si="95"/>
        <v>#VALUE!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thickBot="1" x14ac:dyDescent="0.2">
      <c r="A65" s="109">
        <v>48101064</v>
      </c>
      <c r="B65" s="107" t="s">
        <v>396</v>
      </c>
      <c r="C65" s="136">
        <v>1</v>
      </c>
      <c r="D65" s="136" t="s">
        <v>128</v>
      </c>
      <c r="E65" s="137" t="s">
        <v>259</v>
      </c>
      <c r="F65" s="137" t="s">
        <v>395</v>
      </c>
      <c r="G65" s="138" t="str">
        <f t="shared" si="80"/>
        <v>[effect:enemy_message, val1:1.6, val2:3.6]</v>
      </c>
      <c r="H65" s="138">
        <f t="shared" si="81"/>
        <v>9</v>
      </c>
      <c r="I65" s="138">
        <f t="shared" si="82"/>
        <v>22</v>
      </c>
      <c r="J65" s="138" t="e">
        <f t="shared" si="83"/>
        <v>#VALUE!</v>
      </c>
      <c r="K65" s="138">
        <f t="shared" si="84"/>
        <v>32</v>
      </c>
      <c r="L65" s="138" t="str">
        <f>IFERROR(VLOOKUP(MID(G65,J65,K65-J65),[6]skilldef!$C:$D,2,FALSE),"-") &amp; " / " &amp; IFERROR(VLOOKUP(MID(G65,H65,I65-H65),[6]skilldef!$A:$B,2,FALSE),"-")</f>
        <v>- / -</v>
      </c>
      <c r="M65" s="138" t="str">
        <f t="shared" si="85"/>
        <v>[effect:change_bomb_range, target:unit_all, val:1.2, rate:1, turn:-1, animation:bomb_big],[effect:suicide, target:myself, val:1, dead_type:escape, animation:enemy_suicide]</v>
      </c>
      <c r="N65" s="121" t="str">
        <f t="shared" si="96"/>
        <v>[effect:change_bomb_range, target:unit_all, val:1.2, rate:1, turn:-1, animation:bomb_big],[effect:suicide, target:myself, val:1, dead_type:escape, animation:enemy_suicide]</v>
      </c>
      <c r="O65" s="138">
        <f t="shared" si="87"/>
        <v>9</v>
      </c>
      <c r="P65" s="138">
        <f t="shared" si="88"/>
        <v>26</v>
      </c>
      <c r="Q65" s="138">
        <f t="shared" si="89"/>
        <v>35</v>
      </c>
      <c r="R65" s="138">
        <f t="shared" si="90"/>
        <v>43</v>
      </c>
      <c r="S65" s="138" t="str">
        <f>IFERROR(VLOOKUP(MID(N65,Q65,R65-Q65),[6]skilldef!$C:$D,2,FALSE),"-") &amp; " / " &amp; IFERROR(VLOOKUP(MID(N65,O65,P65-O65),[6]skilldef!$A:$B,2,FALSE),"-")</f>
        <v>味方全体に / -</v>
      </c>
      <c r="T65" s="121" t="str">
        <f t="shared" si="91"/>
        <v>[effect:suicide, target:myself, val:1, dead_type:escape, animation:enemy_suicide]</v>
      </c>
      <c r="U65" s="138">
        <f t="shared" si="92"/>
        <v>9</v>
      </c>
      <c r="V65" s="138">
        <f t="shared" si="93"/>
        <v>16</v>
      </c>
      <c r="W65" s="138">
        <f t="shared" si="94"/>
        <v>25</v>
      </c>
      <c r="X65" s="138">
        <f t="shared" si="95"/>
        <v>31</v>
      </c>
      <c r="Y65" s="138" t="str">
        <f>IFERROR(VLOOKUP(MID(T65,W65,X65-W65),[6]skilldef!$C:$D,2,FALSE),"-") &amp; " / " &amp; IFERROR(VLOOKUP(MID(T65,U65,V65-U65),[6]skilldef!$A:$B,2,FALSE),"-")</f>
        <v>自分自身に / -</v>
      </c>
      <c r="Z65" s="136"/>
      <c r="AA65" s="139"/>
      <c r="AB65" s="136"/>
    </row>
    <row r="66" spans="1:28" ht="21" customHeight="1" x14ac:dyDescent="0.15">
      <c r="A66" s="110">
        <v>48101065</v>
      </c>
      <c r="B66" s="106" t="s">
        <v>340</v>
      </c>
      <c r="C66" s="132">
        <v>1</v>
      </c>
      <c r="D66" s="132" t="s">
        <v>128</v>
      </c>
      <c r="E66" s="133" t="s">
        <v>261</v>
      </c>
      <c r="F66" s="133" t="s">
        <v>262</v>
      </c>
      <c r="G66" s="134" t="str">
        <f t="shared" si="80"/>
        <v>[effect:enemy_message, val1:1.3, val2:0]</v>
      </c>
      <c r="H66" s="134">
        <f t="shared" si="81"/>
        <v>9</v>
      </c>
      <c r="I66" s="134">
        <f t="shared" si="82"/>
        <v>22</v>
      </c>
      <c r="J66" s="134" t="e">
        <f t="shared" si="83"/>
        <v>#VALUE!</v>
      </c>
      <c r="K66" s="134">
        <f t="shared" si="84"/>
        <v>32</v>
      </c>
      <c r="L66" s="134" t="str">
        <f>IFERROR(VLOOKUP(MID(G66,J66,K66-J66),[6]skilldef!$C:$D,2,FALSE),"-") &amp; " / " &amp; IFERROR(VLOOKUP(MID(G66,H66,I66-H66),[6]skilldef!$A:$B,2,FALSE),"-")</f>
        <v>- / -</v>
      </c>
      <c r="M66" s="134" t="str">
        <f t="shared" si="85"/>
        <v>[effect:fix_speed, target:myself, turn:2]</v>
      </c>
      <c r="N66" s="120" t="str">
        <f t="shared" si="96"/>
        <v>[effect:fix_speed, target:myself, turn:2]</v>
      </c>
      <c r="O66" s="134">
        <f t="shared" si="87"/>
        <v>9</v>
      </c>
      <c r="P66" s="134">
        <f t="shared" si="88"/>
        <v>18</v>
      </c>
      <c r="Q66" s="134">
        <f t="shared" si="89"/>
        <v>27</v>
      </c>
      <c r="R66" s="134">
        <f t="shared" si="90"/>
        <v>33</v>
      </c>
      <c r="S66" s="134" t="str">
        <f>IFERROR(VLOOKUP(MID(N66,Q66,R66-Q66),[6]skilldef!$C:$D,2,FALSE),"-") &amp; " / " &amp; IFERROR(VLOOKUP(MID(N66,O66,P66-O66),[6]skilldef!$A:$B,2,FALSE),"-")</f>
        <v>自分自身に / 行動値設定</v>
      </c>
      <c r="T66" s="120" t="str">
        <f t="shared" si="91"/>
        <v>none</v>
      </c>
      <c r="U66" s="134" t="e">
        <f t="shared" si="92"/>
        <v>#VALUE!</v>
      </c>
      <c r="V66" s="134">
        <f t="shared" si="93"/>
        <v>4</v>
      </c>
      <c r="W66" s="134" t="e">
        <f t="shared" si="94"/>
        <v>#VALUE!</v>
      </c>
      <c r="X66" s="134" t="e">
        <f t="shared" si="95"/>
        <v>#VALUE!</v>
      </c>
      <c r="Y66" s="134" t="str">
        <f>IFERROR(VLOOKUP(MID(T66,W66,X66-W66),[6]skilldef!$C:$D,2,FALSE),"-") &amp; " / " &amp; IFERROR(VLOOKUP(MID(T66,U66,V66-U66),[6]skilldef!$A:$B,2,FALSE),"-")</f>
        <v>- / -</v>
      </c>
      <c r="Z66" s="132"/>
      <c r="AA66" s="135"/>
      <c r="AB66" s="132"/>
    </row>
    <row r="67" spans="1:28" ht="21" customHeight="1" x14ac:dyDescent="0.15">
      <c r="A67" s="110">
        <v>48101066</v>
      </c>
      <c r="B67" s="47" t="s">
        <v>415</v>
      </c>
      <c r="C67" s="50">
        <v>1</v>
      </c>
      <c r="D67" s="50" t="s">
        <v>128</v>
      </c>
      <c r="E67" s="51" t="s">
        <v>341</v>
      </c>
      <c r="F67" s="51" t="s">
        <v>414</v>
      </c>
      <c r="G67" s="64" t="str">
        <f t="shared" si="80"/>
        <v>[effect:enemy_message, val1:1.2, val2:3.0]</v>
      </c>
      <c r="H67" s="64">
        <f t="shared" si="81"/>
        <v>9</v>
      </c>
      <c r="I67" s="64">
        <f t="shared" si="82"/>
        <v>22</v>
      </c>
      <c r="J67" s="64" t="e">
        <f t="shared" si="83"/>
        <v>#VALUE!</v>
      </c>
      <c r="K67" s="64">
        <f t="shared" si="84"/>
        <v>32</v>
      </c>
      <c r="L67" s="64" t="str">
        <f>IFERROR(VLOOKUP(MID(G67,J67,K67-J67),[6]skilldef!$C:$D,2,FALSE),"-") &amp; " / " &amp; IFERROR(VLOOKUP(MID(G67,H67,I67-H67),[6]skilldef!$A:$B,2,FALSE),"-")</f>
        <v>- / -</v>
      </c>
      <c r="M67" s="64" t="str">
        <f t="shared" si="85"/>
        <v>[effect:force_change_block, new_block:jammer, target:block_blue, count:7, val:0, animation:change_block],[effect:force_change_block, new_block:block_blue, target:block_red, count:0, val:0, animation:change_block]</v>
      </c>
      <c r="N67" s="48" t="str">
        <f t="shared" si="96"/>
        <v>[effect:force_change_block, new_block:jammer, target:block_blue, count:7, val:0, animation:change_block],[effect:force_change_block, new_block:block_blue, target:block_red, count:0, val:0, animation:change_block]</v>
      </c>
      <c r="O67" s="64">
        <f t="shared" si="87"/>
        <v>9</v>
      </c>
      <c r="P67" s="64">
        <f t="shared" si="88"/>
        <v>27</v>
      </c>
      <c r="Q67" s="64">
        <f t="shared" si="89"/>
        <v>54</v>
      </c>
      <c r="R67" s="64">
        <f t="shared" si="90"/>
        <v>45</v>
      </c>
      <c r="S67" s="64" t="str">
        <f>IFERROR(VLOOKUP(MID(N67,Q67,R67-Q67),[6]skilldef!$C:$D,2,FALSE),"-") &amp; " / " &amp; IFERROR(VLOOKUP(MID(N67,O67,P67-O67),[6]skilldef!$A:$B,2,FALSE),"-")</f>
        <v>- / -</v>
      </c>
      <c r="T67" s="48" t="str">
        <f t="shared" si="91"/>
        <v>[effect:force_change_block, new_block:block_blue, target:block_red, count:0, val:0, animation:change_block]</v>
      </c>
      <c r="U67" s="64">
        <f t="shared" si="92"/>
        <v>9</v>
      </c>
      <c r="V67" s="64">
        <f t="shared" si="93"/>
        <v>27</v>
      </c>
      <c r="W67" s="64">
        <f t="shared" si="94"/>
        <v>58</v>
      </c>
      <c r="X67" s="64">
        <f t="shared" si="95"/>
        <v>49</v>
      </c>
      <c r="Y67" s="64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x14ac:dyDescent="0.15">
      <c r="A68" s="110">
        <v>48101067</v>
      </c>
      <c r="B68" s="47" t="s">
        <v>344</v>
      </c>
      <c r="C68" s="50">
        <v>1</v>
      </c>
      <c r="D68" s="50" t="s">
        <v>128</v>
      </c>
      <c r="E68" s="51" t="s">
        <v>343</v>
      </c>
      <c r="F68" s="51" t="s">
        <v>263</v>
      </c>
      <c r="G68" s="64" t="str">
        <f t="shared" si="80"/>
        <v>[effect:enemy_message, val1:1.2, val2:1.7]</v>
      </c>
      <c r="H68" s="64">
        <f t="shared" si="81"/>
        <v>9</v>
      </c>
      <c r="I68" s="64">
        <f t="shared" si="82"/>
        <v>22</v>
      </c>
      <c r="J68" s="64" t="e">
        <f t="shared" si="83"/>
        <v>#VALUE!</v>
      </c>
      <c r="K68" s="64">
        <f t="shared" si="84"/>
        <v>32</v>
      </c>
      <c r="L68" s="64" t="str">
        <f>IFERROR(VLOOKUP(MID(G68,J68,K68-J68),[6]skilldef!$C:$D,2,FALSE),"-") &amp; " / " &amp; IFERROR(VLOOKUP(MID(G68,H68,I68-H68),[6]skilldef!$A:$B,2,FALSE),"-")</f>
        <v>- / -</v>
      </c>
      <c r="M68" s="64" t="str">
        <f t="shared" si="85"/>
        <v>[effect:break_attack_fix, target:unit_one, val:350, lowest_val:2000, count:5, color:blue, block_color:block_blue, block01:normal]</v>
      </c>
      <c r="N68" s="48" t="str">
        <f t="shared" si="96"/>
        <v>[effect:break_attack_fix, target:unit_one, val:350, lowest_val:2000, count:5, color:blue, block_color:block_blue, block01:normal]</v>
      </c>
      <c r="O68" s="64">
        <f t="shared" si="87"/>
        <v>9</v>
      </c>
      <c r="P68" s="64">
        <f t="shared" si="88"/>
        <v>25</v>
      </c>
      <c r="Q68" s="64">
        <f t="shared" si="89"/>
        <v>34</v>
      </c>
      <c r="R68" s="64">
        <f t="shared" si="90"/>
        <v>42</v>
      </c>
      <c r="S68" s="64" t="str">
        <f>IFERROR(VLOOKUP(MID(N68,Q68,R68-Q68),[6]skilldef!$C:$D,2,FALSE),"-") &amp; " / " &amp; IFERROR(VLOOKUP(MID(N68,O68,P68-O68),[6]skilldef!$A:$B,2,FALSE),"-")</f>
        <v>味方単体に / -</v>
      </c>
      <c r="T68" s="48" t="str">
        <f t="shared" si="91"/>
        <v>none</v>
      </c>
      <c r="U68" s="64" t="e">
        <f t="shared" si="92"/>
        <v>#VALUE!</v>
      </c>
      <c r="V68" s="64">
        <f t="shared" si="93"/>
        <v>4</v>
      </c>
      <c r="W68" s="64" t="e">
        <f t="shared" si="94"/>
        <v>#VALUE!</v>
      </c>
      <c r="X68" s="64" t="e">
        <f t="shared" si="95"/>
        <v>#VALUE!</v>
      </c>
      <c r="Y68" s="64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 thickBot="1" x14ac:dyDescent="0.2">
      <c r="A69" s="112">
        <v>48101068</v>
      </c>
      <c r="B69" s="107" t="s">
        <v>345</v>
      </c>
      <c r="C69" s="136">
        <v>1</v>
      </c>
      <c r="D69" s="136" t="s">
        <v>128</v>
      </c>
      <c r="E69" s="137" t="s">
        <v>338</v>
      </c>
      <c r="F69" s="137" t="s">
        <v>264</v>
      </c>
      <c r="G69" s="138" t="str">
        <f t="shared" si="80"/>
        <v>[effect:enemy_message, val1:1.2, val2:2.4]</v>
      </c>
      <c r="H69" s="138">
        <f t="shared" si="81"/>
        <v>9</v>
      </c>
      <c r="I69" s="138">
        <f t="shared" si="82"/>
        <v>22</v>
      </c>
      <c r="J69" s="138" t="e">
        <f t="shared" si="83"/>
        <v>#VALUE!</v>
      </c>
      <c r="K69" s="138">
        <f t="shared" si="84"/>
        <v>32</v>
      </c>
      <c r="L69" s="138" t="str">
        <f>IFERROR(VLOOKUP(MID(G69,J69,K69-J69),[6]skilldef!$C:$D,2,FALSE),"-") &amp; " / " &amp; IFERROR(VLOOKUP(MID(G69,H69,I69-H69),[6]skilldef!$A:$B,2,FALSE),"-")</f>
        <v>- / -</v>
      </c>
      <c r="M69" s="138" t="str">
        <f t="shared" si="85"/>
        <v>[effect:break_enchance_enemy, target:myself, val:500, lowest_val:500, count:5, status:defense, turn:2, block01:block_blue, calc:add, animation:enemy_enhance_defense]</v>
      </c>
      <c r="N69" s="121" t="str">
        <f>IFERROR(LEFT(M69,FIND("],",M69)+S81),M69)</f>
        <v>[effect:break_enchance_enemy, target:myself, val:500, lowest_val:500, count:5, status:defense, turn:2, block01:block_blue, calc:add, animation:enemy_enhance_defense]</v>
      </c>
      <c r="O69" s="138">
        <f t="shared" si="87"/>
        <v>9</v>
      </c>
      <c r="P69" s="138">
        <f t="shared" si="88"/>
        <v>29</v>
      </c>
      <c r="Q69" s="138">
        <f t="shared" si="89"/>
        <v>38</v>
      </c>
      <c r="R69" s="138">
        <f t="shared" si="90"/>
        <v>44</v>
      </c>
      <c r="S69" s="138" t="str">
        <f>IFERROR(VLOOKUP(MID(N69,Q69,R69-Q69),[6]skilldef!$C:$D,2,FALSE),"-") &amp; " / " &amp; IFERROR(VLOOKUP(MID(N69,O69,P69-O69),[6]skilldef!$A:$B,2,FALSE),"-")</f>
        <v>自分自身に / -</v>
      </c>
      <c r="T69" s="121" t="str">
        <f t="shared" si="91"/>
        <v>none</v>
      </c>
      <c r="U69" s="138" t="e">
        <f t="shared" si="92"/>
        <v>#VALUE!</v>
      </c>
      <c r="V69" s="138">
        <f t="shared" si="93"/>
        <v>4</v>
      </c>
      <c r="W69" s="138" t="e">
        <f t="shared" si="94"/>
        <v>#VALUE!</v>
      </c>
      <c r="X69" s="138" t="e">
        <f t="shared" si="95"/>
        <v>#VALUE!</v>
      </c>
      <c r="Y69" s="138" t="str">
        <f>IFERROR(VLOOKUP(MID(T69,W69,X69-W69),[6]skilldef!$C:$D,2,FALSE),"-") &amp; " / " &amp; IFERROR(VLOOKUP(MID(T69,U69,V69-U69),[6]skilldef!$A:$B,2,FALSE),"-")</f>
        <v>- / -</v>
      </c>
      <c r="Z69" s="136"/>
      <c r="AA69" s="139"/>
      <c r="AB69" s="136"/>
    </row>
    <row r="70" spans="1:28" ht="21" customHeight="1" x14ac:dyDescent="0.15">
      <c r="A70" s="110">
        <v>48101069</v>
      </c>
      <c r="B70" s="106" t="s">
        <v>410</v>
      </c>
      <c r="C70" s="132">
        <v>1</v>
      </c>
      <c r="D70" s="132" t="s">
        <v>128</v>
      </c>
      <c r="E70" s="133" t="s">
        <v>409</v>
      </c>
      <c r="F70" s="133" t="s">
        <v>318</v>
      </c>
      <c r="G70" s="134" t="str">
        <f t="shared" si="80"/>
        <v>[effect:enemy_message, val1:1.3, val2:3.5]</v>
      </c>
      <c r="H70" s="134">
        <f t="shared" si="81"/>
        <v>9</v>
      </c>
      <c r="I70" s="134">
        <f t="shared" si="82"/>
        <v>22</v>
      </c>
      <c r="J70" s="134" t="e">
        <f t="shared" si="83"/>
        <v>#VALUE!</v>
      </c>
      <c r="K70" s="134">
        <f t="shared" si="84"/>
        <v>32</v>
      </c>
      <c r="L70" s="134" t="str">
        <f>IFERROR(VLOOKUP(MID(G70,J70,K70-J70),[6]skilldef!$C:$D,2,FALSE),"-") &amp; " / " &amp; IFERROR(VLOOKUP(MID(G70,H70,I70-H70),[6]skilldef!$A:$B,2,FALSE),"-")</f>
        <v>- / -</v>
      </c>
      <c r="M70" s="134" t="str">
        <f t="shared" si="85"/>
        <v>[effect:enhance_unit, target:unit_all, turn:4, status:attack, val:0.3, calc:mul],[effect:suicide, target:myself, val:1, dead_type:escape, animation:enemy_suicide]</v>
      </c>
      <c r="N70" s="120" t="str">
        <f>IFERROR(LEFT(M70,FIND("],",M70)+S82),M70)</f>
        <v>[effect:enhance_unit, target:unit_all, turn:4, status:attack, val:0.3, calc:mul],[effect:suicide, target:myself, val:1, dead_type:escape, animation:enemy_suicide]</v>
      </c>
      <c r="O70" s="134">
        <f t="shared" si="87"/>
        <v>9</v>
      </c>
      <c r="P70" s="134">
        <f t="shared" si="88"/>
        <v>21</v>
      </c>
      <c r="Q70" s="134">
        <f t="shared" si="89"/>
        <v>30</v>
      </c>
      <c r="R70" s="134">
        <f t="shared" si="90"/>
        <v>38</v>
      </c>
      <c r="S70" s="134" t="str">
        <f>IFERROR(VLOOKUP(MID(N70,Q70,R70-Q70),[6]skilldef!$C:$D,2,FALSE),"-") &amp; " / " &amp; IFERROR(VLOOKUP(MID(N70,O70,P70-O70),[6]skilldef!$A:$B,2,FALSE),"-")</f>
        <v>味方全体に / -</v>
      </c>
      <c r="T70" s="120" t="str">
        <f t="shared" si="91"/>
        <v>[effect:suicide, target:myself, val:1, dead_type:escape, animation:enemy_suicide]</v>
      </c>
      <c r="U70" s="134">
        <f t="shared" si="92"/>
        <v>9</v>
      </c>
      <c r="V70" s="134">
        <f t="shared" si="93"/>
        <v>16</v>
      </c>
      <c r="W70" s="134">
        <f t="shared" si="94"/>
        <v>25</v>
      </c>
      <c r="X70" s="134">
        <f t="shared" si="95"/>
        <v>31</v>
      </c>
      <c r="Y70" s="134" t="str">
        <f>IFERROR(VLOOKUP(MID(T70,W70,X70-W70),[6]skilldef!$C:$D,2,FALSE),"-") &amp; " / " &amp; IFERROR(VLOOKUP(MID(T70,U70,V70-U70),[6]skilldef!$A:$B,2,FALSE),"-")</f>
        <v>自分自身に / -</v>
      </c>
      <c r="Z70" s="132"/>
      <c r="AA70" s="135"/>
      <c r="AB70" s="132"/>
    </row>
    <row r="71" spans="1:28" ht="21" customHeight="1" x14ac:dyDescent="0.15">
      <c r="A71" s="110">
        <v>48101070</v>
      </c>
      <c r="B71" s="47" t="s">
        <v>411</v>
      </c>
      <c r="C71" s="50">
        <v>1</v>
      </c>
      <c r="D71" s="50" t="s">
        <v>128</v>
      </c>
      <c r="E71" s="133" t="s">
        <v>409</v>
      </c>
      <c r="F71" s="51" t="s">
        <v>346</v>
      </c>
      <c r="G71" s="64" t="str">
        <f t="shared" si="80"/>
        <v>[effect:enemy_message, val1:1.3, val2:4.0]</v>
      </c>
      <c r="H71" s="64">
        <f t="shared" si="81"/>
        <v>9</v>
      </c>
      <c r="I71" s="64">
        <f t="shared" si="82"/>
        <v>22</v>
      </c>
      <c r="J71" s="64" t="e">
        <f t="shared" si="83"/>
        <v>#VALUE!</v>
      </c>
      <c r="K71" s="64">
        <f t="shared" si="84"/>
        <v>32</v>
      </c>
      <c r="L71" s="64" t="str">
        <f>IFERROR(VLOOKUP(MID(G71,J71,K71-J71),[6]skilldef!$C:$D,2,FALSE),"-") &amp; " / " &amp; IFERROR(VLOOKUP(MID(G71,H71,I71-H71),[6]skilldef!$A:$B,2,FALSE),"-")</f>
        <v>- / -</v>
      </c>
      <c r="M71" s="64" t="str">
        <f t="shared" si="85"/>
        <v>[effect:drop_block, block_type:crack_bomb, block_color:block_red, color:block_red, val:12, rate:0.1, turn:-1, animation:bomb_influence04],[effect:suicide, target:myself, val:1, dead_type:escape, animation:enemy_suicide]</v>
      </c>
      <c r="N71" s="48" t="str">
        <f>IFERROR(LEFT(M71,FIND("],",M71)+S83),M71)</f>
        <v>[effect:drop_block, block_type:crack_bomb, block_color:block_red, color:block_red, val:12, rate:0.1, turn:-1, animation:bomb_influence04],[effect:suicide, target:myself, val:1, dead_type:escape, animation:enemy_suicide]</v>
      </c>
      <c r="O71" s="64">
        <f t="shared" si="87"/>
        <v>9</v>
      </c>
      <c r="P71" s="64">
        <f t="shared" si="88"/>
        <v>19</v>
      </c>
      <c r="Q71" s="64">
        <f t="shared" si="89"/>
        <v>163</v>
      </c>
      <c r="R71" s="64">
        <f t="shared" si="90"/>
        <v>42</v>
      </c>
      <c r="S71" s="64" t="str">
        <f>IFERROR(VLOOKUP(MID(N71,Q71,R71-Q71),[6]skilldef!$C:$D,2,FALSE),"-") &amp; " / " &amp; IFERROR(VLOOKUP(MID(N71,O71,P71-O71),[6]skilldef!$A:$B,2,FALSE),"-")</f>
        <v>- / 特定ブロックの割合ドロップ</v>
      </c>
      <c r="T71" s="48" t="str">
        <f t="shared" si="91"/>
        <v>[effect:suicide, target:myself, val:1, dead_type:escape, animation:enemy_suicide]</v>
      </c>
      <c r="U71" s="64">
        <f t="shared" si="92"/>
        <v>9</v>
      </c>
      <c r="V71" s="64">
        <f t="shared" si="93"/>
        <v>16</v>
      </c>
      <c r="W71" s="64">
        <f t="shared" si="94"/>
        <v>25</v>
      </c>
      <c r="X71" s="64">
        <f t="shared" si="95"/>
        <v>31</v>
      </c>
      <c r="Y71" s="64" t="str">
        <f>IFERROR(VLOOKUP(MID(T71,W71,X71-W71),[6]skilldef!$C:$D,2,FALSE),"-") &amp; " / " &amp; IFERROR(VLOOKUP(MID(T71,U71,V71-U71),[6]skilldef!$A:$B,2,FALSE),"-")</f>
        <v>自分自身に / -</v>
      </c>
      <c r="Z71" s="50"/>
      <c r="AA71" s="52"/>
      <c r="AB71" s="50"/>
    </row>
    <row r="72" spans="1:28" ht="21" customHeight="1" x14ac:dyDescent="0.15">
      <c r="A72" s="110">
        <v>48101071</v>
      </c>
      <c r="B72" s="47" t="s">
        <v>412</v>
      </c>
      <c r="C72" s="50">
        <v>1</v>
      </c>
      <c r="D72" s="50" t="s">
        <v>128</v>
      </c>
      <c r="E72" s="133" t="s">
        <v>409</v>
      </c>
      <c r="F72" s="51" t="s">
        <v>347</v>
      </c>
      <c r="G72" s="64" t="str">
        <f t="shared" si="80"/>
        <v>[effect:enemy_message, val1:1.3, val2:4.0]</v>
      </c>
      <c r="H72" s="64">
        <f t="shared" si="81"/>
        <v>9</v>
      </c>
      <c r="I72" s="64">
        <f t="shared" si="82"/>
        <v>22</v>
      </c>
      <c r="J72" s="64" t="e">
        <f t="shared" si="83"/>
        <v>#VALUE!</v>
      </c>
      <c r="K72" s="64">
        <f t="shared" si="84"/>
        <v>32</v>
      </c>
      <c r="L72" s="64" t="str">
        <f>IFERROR(VLOOKUP(MID(G72,J72,K72-J72),[6]skilldef!$C:$D,2,FALSE),"-") &amp; " / " &amp; IFERROR(VLOOKUP(MID(G72,H72,I72-H72),[6]skilldef!$A:$B,2,FALSE),"-")</f>
        <v>- / -</v>
      </c>
      <c r="M72" s="64" t="str">
        <f t="shared" si="85"/>
        <v>[effect:drop_block, block_type:crack_bomb, block_color:block_blue, color:block_blue, val:12, rate:0.1, turn:-1, animation:bomb_influence04],[effect:suicide, target:myself, val:1, dead_type:escape, animation:enemy_suicide]</v>
      </c>
      <c r="N72" s="48" t="str">
        <f>IFERROR(LEFT(M72,FIND("],",M72)+S85),M72)</f>
        <v>[effect:drop_block, block_type:crack_bomb, block_color:block_blue, color:block_blue, val:12, rate:0.1, turn:-1, animation:bomb_influence04],[effect:suicide, target:myself, val:1, dead_type:escape, animation:enemy_suicide]</v>
      </c>
      <c r="O72" s="64">
        <f t="shared" si="87"/>
        <v>9</v>
      </c>
      <c r="P72" s="64">
        <f t="shared" si="88"/>
        <v>19</v>
      </c>
      <c r="Q72" s="64">
        <f t="shared" si="89"/>
        <v>165</v>
      </c>
      <c r="R72" s="64">
        <f t="shared" si="90"/>
        <v>42</v>
      </c>
      <c r="S72" s="64" t="str">
        <f>IFERROR(VLOOKUP(MID(N72,Q72,R72-Q72),[6]skilldef!$C:$D,2,FALSE),"-") &amp; " / " &amp; IFERROR(VLOOKUP(MID(N72,O72,P72-O72),[6]skilldef!$A:$B,2,FALSE),"-")</f>
        <v>- / 特定ブロックの割合ドロップ</v>
      </c>
      <c r="T72" s="48" t="str">
        <f t="shared" si="91"/>
        <v>[effect:suicide, target:myself, val:1, dead_type:escape, animation:enemy_suicide]</v>
      </c>
      <c r="U72" s="64">
        <f t="shared" si="92"/>
        <v>9</v>
      </c>
      <c r="V72" s="64">
        <f t="shared" si="93"/>
        <v>16</v>
      </c>
      <c r="W72" s="64">
        <f t="shared" si="94"/>
        <v>25</v>
      </c>
      <c r="X72" s="64">
        <f t="shared" si="95"/>
        <v>31</v>
      </c>
      <c r="Y72" s="64" t="str">
        <f>IFERROR(VLOOKUP(MID(T72,W72,X72-W72),[6]skilldef!$C:$D,2,FALSE),"-") &amp; " / " &amp; IFERROR(VLOOKUP(MID(T72,U72,V72-U72),[6]skilldef!$A:$B,2,FALSE),"-")</f>
        <v>自分自身に / -</v>
      </c>
      <c r="Z72" s="50"/>
      <c r="AA72" s="52"/>
      <c r="AB72" s="50"/>
    </row>
    <row r="73" spans="1:28" ht="21" customHeight="1" thickBot="1" x14ac:dyDescent="0.2">
      <c r="A73" s="112">
        <v>48101072</v>
      </c>
      <c r="B73" s="141" t="s">
        <v>413</v>
      </c>
      <c r="C73" s="142">
        <v>1</v>
      </c>
      <c r="D73" s="142" t="s">
        <v>128</v>
      </c>
      <c r="E73" s="137" t="s">
        <v>409</v>
      </c>
      <c r="F73" s="143" t="s">
        <v>348</v>
      </c>
      <c r="G73" s="144" t="str">
        <f t="shared" si="80"/>
        <v>[effect:enemy_message, val1:1.3, val2:3.5]</v>
      </c>
      <c r="H73" s="144">
        <f t="shared" si="81"/>
        <v>9</v>
      </c>
      <c r="I73" s="144">
        <f t="shared" si="82"/>
        <v>22</v>
      </c>
      <c r="J73" s="144" t="e">
        <f t="shared" si="83"/>
        <v>#VALUE!</v>
      </c>
      <c r="K73" s="144">
        <f t="shared" si="84"/>
        <v>32</v>
      </c>
      <c r="L73" s="144" t="str">
        <f>IFERROR(VLOOKUP(MID(G73,J73,K73-J73),[6]skilldef!$C:$D,2,FALSE),"-") &amp; " / " &amp; IFERROR(VLOOKUP(MID(G73,H73,I73-H73),[6]skilldef!$A:$B,2,FALSE),"-")</f>
        <v>- / -</v>
      </c>
      <c r="M73" s="144" t="str">
        <f t="shared" si="85"/>
        <v>[effect:enhance_unit, target:unit_all, turn:8, status:defense, val:500, calc:add],[effect:suicide, target:myself, val:1, dead_type:escape, animation:enemy_suicide]</v>
      </c>
      <c r="N73" s="145" t="str">
        <f>IFERROR(LEFT(M73,FIND("],",M73)+S86),M73)</f>
        <v>[effect:enhance_unit, target:unit_all, turn:8, status:defense, val:500, calc:add],[effect:suicide, target:myself, val:1, dead_type:escape, animation:enemy_suicide]</v>
      </c>
      <c r="O73" s="144">
        <f t="shared" si="87"/>
        <v>9</v>
      </c>
      <c r="P73" s="144">
        <f t="shared" si="88"/>
        <v>21</v>
      </c>
      <c r="Q73" s="144">
        <f t="shared" si="89"/>
        <v>30</v>
      </c>
      <c r="R73" s="144">
        <f t="shared" si="90"/>
        <v>38</v>
      </c>
      <c r="S73" s="144" t="str">
        <f>IFERROR(VLOOKUP(MID(N73,Q73,R73-Q73),[6]skilldef!$C:$D,2,FALSE),"-") &amp; " / " &amp; IFERROR(VLOOKUP(MID(N73,O73,P73-O73),[6]skilldef!$A:$B,2,FALSE),"-")</f>
        <v>味方全体に / -</v>
      </c>
      <c r="T73" s="145" t="str">
        <f t="shared" si="91"/>
        <v>[effect:suicide, target:myself, val:1, dead_type:escape, animation:enemy_suicide]</v>
      </c>
      <c r="U73" s="144">
        <f t="shared" si="92"/>
        <v>9</v>
      </c>
      <c r="V73" s="144">
        <f t="shared" si="93"/>
        <v>16</v>
      </c>
      <c r="W73" s="144">
        <f t="shared" si="94"/>
        <v>25</v>
      </c>
      <c r="X73" s="144">
        <f t="shared" si="95"/>
        <v>31</v>
      </c>
      <c r="Y73" s="144" t="str">
        <f>IFERROR(VLOOKUP(MID(T73,W73,X73-W73),[6]skilldef!$C:$D,2,FALSE),"-") &amp; " / " &amp; IFERROR(VLOOKUP(MID(T73,U73,V73-U73),[6]skilldef!$A:$B,2,FALSE),"-")</f>
        <v>自分自身に / -</v>
      </c>
      <c r="Z73" s="142"/>
      <c r="AA73" s="146"/>
      <c r="AB73" s="142"/>
    </row>
    <row r="74" spans="1:28" ht="21" customHeight="1" x14ac:dyDescent="0.15">
      <c r="A74" s="110">
        <v>48101073</v>
      </c>
      <c r="B74" s="106" t="s">
        <v>349</v>
      </c>
      <c r="C74" s="132">
        <v>1</v>
      </c>
      <c r="D74" s="132" t="s">
        <v>128</v>
      </c>
      <c r="E74" s="133" t="s">
        <v>336</v>
      </c>
      <c r="F74" s="133" t="s">
        <v>262</v>
      </c>
      <c r="G74" s="134" t="str">
        <f t="shared" si="80"/>
        <v>[effect:enemy_message, val1:1.3, val2:0]</v>
      </c>
      <c r="H74" s="134">
        <f t="shared" si="81"/>
        <v>9</v>
      </c>
      <c r="I74" s="134">
        <f t="shared" si="82"/>
        <v>22</v>
      </c>
      <c r="J74" s="134" t="e">
        <f t="shared" si="83"/>
        <v>#VALUE!</v>
      </c>
      <c r="K74" s="134">
        <f t="shared" si="84"/>
        <v>32</v>
      </c>
      <c r="L74" s="134" t="str">
        <f>IFERROR(VLOOKUP(MID(G74,J74,K74-J74),[6]skilldef!$C:$D,2,FALSE),"-") &amp; " / " &amp; IFERROR(VLOOKUP(MID(G74,H74,I74-H74),[6]skilldef!$A:$B,2,FALSE),"-")</f>
        <v>- / -</v>
      </c>
      <c r="M74" s="134" t="str">
        <f t="shared" si="85"/>
        <v>[effect:fix_speed, target:myself, turn:1]</v>
      </c>
      <c r="N74" s="120" t="str">
        <f t="shared" ref="N74:N79" si="97">IFERROR(LEFT(M74,FIND("],",M74)+S86),M74)</f>
        <v>[effect:fix_speed, target:myself, turn:1]</v>
      </c>
      <c r="O74" s="134">
        <f t="shared" si="87"/>
        <v>9</v>
      </c>
      <c r="P74" s="134">
        <f t="shared" si="88"/>
        <v>18</v>
      </c>
      <c r="Q74" s="134">
        <f t="shared" si="89"/>
        <v>27</v>
      </c>
      <c r="R74" s="134">
        <f t="shared" si="90"/>
        <v>33</v>
      </c>
      <c r="S74" s="134" t="str">
        <f>IFERROR(VLOOKUP(MID(N74,Q74,R74-Q74),[6]skilldef!$C:$D,2,FALSE),"-") &amp; " / " &amp; IFERROR(VLOOKUP(MID(N74,O74,P74-O74),[6]skilldef!$A:$B,2,FALSE),"-")</f>
        <v>自分自身に / 行動値設定</v>
      </c>
      <c r="T74" s="120" t="str">
        <f t="shared" si="91"/>
        <v>none</v>
      </c>
      <c r="U74" s="134" t="e">
        <f t="shared" si="92"/>
        <v>#VALUE!</v>
      </c>
      <c r="V74" s="134">
        <f t="shared" si="93"/>
        <v>4</v>
      </c>
      <c r="W74" s="134" t="e">
        <f t="shared" si="94"/>
        <v>#VALUE!</v>
      </c>
      <c r="X74" s="134" t="e">
        <f t="shared" si="95"/>
        <v>#VALUE!</v>
      </c>
      <c r="Y74" s="134" t="str">
        <f>IFERROR(VLOOKUP(MID(T74,W74,X74-W74),[6]skilldef!$C:$D,2,FALSE),"-") &amp; " / " &amp; IFERROR(VLOOKUP(MID(T74,U74,V74-U74),[6]skilldef!$A:$B,2,FALSE),"-")</f>
        <v>- / -</v>
      </c>
      <c r="Z74" s="132"/>
      <c r="AA74" s="135"/>
      <c r="AB74" s="132"/>
    </row>
    <row r="75" spans="1:28" ht="21" customHeight="1" x14ac:dyDescent="0.15">
      <c r="A75" s="110">
        <v>48101074</v>
      </c>
      <c r="B75" s="47" t="s">
        <v>406</v>
      </c>
      <c r="C75" s="50">
        <v>1</v>
      </c>
      <c r="D75" s="50" t="s">
        <v>128</v>
      </c>
      <c r="E75" s="51" t="s">
        <v>405</v>
      </c>
      <c r="F75" s="133" t="s">
        <v>262</v>
      </c>
      <c r="G75" s="64" t="str">
        <f t="shared" si="80"/>
        <v>[effect:enemy_message, val1:1.3, val2:0]</v>
      </c>
      <c r="H75" s="64">
        <f t="shared" si="81"/>
        <v>9</v>
      </c>
      <c r="I75" s="64">
        <f t="shared" si="82"/>
        <v>22</v>
      </c>
      <c r="J75" s="64" t="e">
        <f t="shared" si="83"/>
        <v>#VALUE!</v>
      </c>
      <c r="K75" s="64">
        <f t="shared" si="84"/>
        <v>32</v>
      </c>
      <c r="L75" s="64" t="str">
        <f>IFERROR(VLOOKUP(MID(G75,J75,K75-J75),[6]skilldef!$C:$D,2,FALSE),"-") &amp; " / " &amp; IFERROR(VLOOKUP(MID(G75,H75,I75-H75),[6]skilldef!$A:$B,2,FALSE),"-")</f>
        <v>- / -</v>
      </c>
      <c r="M75" s="64" t="str">
        <f t="shared" si="85"/>
        <v>none</v>
      </c>
      <c r="N75" s="48" t="str">
        <f t="shared" si="97"/>
        <v>none</v>
      </c>
      <c r="O75" s="64" t="e">
        <f t="shared" si="87"/>
        <v>#VALUE!</v>
      </c>
      <c r="P75" s="64">
        <f t="shared" si="88"/>
        <v>4</v>
      </c>
      <c r="Q75" s="64" t="e">
        <f t="shared" si="89"/>
        <v>#VALUE!</v>
      </c>
      <c r="R75" s="64" t="e">
        <f t="shared" si="90"/>
        <v>#VALUE!</v>
      </c>
      <c r="S75" s="64" t="str">
        <f>IFERROR(VLOOKUP(MID(N75,Q75,R75-Q75),[6]skilldef!$C:$D,2,FALSE),"-") &amp; " / " &amp; IFERROR(VLOOKUP(MID(N75,O75,P75-O75),[6]skilldef!$A:$B,2,FALSE),"-")</f>
        <v>- / -</v>
      </c>
      <c r="T75" s="48" t="str">
        <f t="shared" si="91"/>
        <v>none</v>
      </c>
      <c r="U75" s="64" t="e">
        <f t="shared" si="92"/>
        <v>#VALUE!</v>
      </c>
      <c r="V75" s="64">
        <f t="shared" si="93"/>
        <v>4</v>
      </c>
      <c r="W75" s="64" t="e">
        <f t="shared" si="94"/>
        <v>#VALUE!</v>
      </c>
      <c r="X75" s="64" t="e">
        <f t="shared" si="95"/>
        <v>#VALUE!</v>
      </c>
      <c r="Y75" s="64" t="str">
        <f>IFERROR(VLOOKUP(MID(T75,W75,X75-W75),[6]skilldef!$C:$D,2,FALSE),"-") &amp; " / " &amp; IFERROR(VLOOKUP(MID(T75,U75,V75-U75),[6]skilldef!$A:$B,2,FALSE),"-")</f>
        <v>- / -</v>
      </c>
      <c r="Z75" s="50"/>
      <c r="AA75" s="52"/>
      <c r="AB75" s="50"/>
    </row>
    <row r="76" spans="1:28" ht="21" customHeight="1" x14ac:dyDescent="0.15">
      <c r="A76" s="110">
        <v>48101075</v>
      </c>
      <c r="B76" s="47" t="s">
        <v>442</v>
      </c>
      <c r="C76" s="50">
        <v>1</v>
      </c>
      <c r="D76" s="50" t="s">
        <v>128</v>
      </c>
      <c r="E76" s="51" t="s">
        <v>268</v>
      </c>
      <c r="F76" s="51" t="s">
        <v>431</v>
      </c>
      <c r="G76" s="64" t="str">
        <f t="shared" si="80"/>
        <v>[effect:enemy_message, val1:1.2, val2:2.3]</v>
      </c>
      <c r="H76" s="64">
        <f t="shared" si="81"/>
        <v>9</v>
      </c>
      <c r="I76" s="64">
        <f t="shared" si="82"/>
        <v>22</v>
      </c>
      <c r="J76" s="64" t="e">
        <f t="shared" si="83"/>
        <v>#VALUE!</v>
      </c>
      <c r="K76" s="64">
        <f t="shared" si="84"/>
        <v>32</v>
      </c>
      <c r="L76" s="64" t="str">
        <f>IFERROR(VLOOKUP(MID(G76,J76,K76-J76),[6]skilldef!$C:$D,2,FALSE),"-") &amp; " / " &amp; IFERROR(VLOOKUP(MID(G76,H76,I76-H76),[6]skilldef!$A:$B,2,FALSE),"-")</f>
        <v>- / -</v>
      </c>
      <c r="M76" s="64" t="str">
        <f t="shared" si="85"/>
        <v>[effect:rush, count:1, val:0.8],[effect:force_change_block, new_block:jammer, target:block_all, ignore01:block_positive, ignore02:jammer, count:3, val:0, animation:change_block]</v>
      </c>
      <c r="N76" s="48" t="str">
        <f t="shared" si="97"/>
        <v>[effect:rush, count:1, val:0.8],[effect:force_change_block, new_block:jammer, target:block_all, ignore01:block_positive, ignore02:jammer, count:3, val:0, animation:change_block]</v>
      </c>
      <c r="O76" s="64">
        <f t="shared" si="87"/>
        <v>9</v>
      </c>
      <c r="P76" s="64">
        <f t="shared" si="88"/>
        <v>13</v>
      </c>
      <c r="Q76" s="64">
        <f t="shared" si="89"/>
        <v>86</v>
      </c>
      <c r="R76" s="64">
        <f t="shared" si="90"/>
        <v>22</v>
      </c>
      <c r="S76" s="64" t="str">
        <f>IFERROR(VLOOKUP(MID(N76,Q76,R76-Q76),[6]skilldef!$C:$D,2,FALSE),"-") &amp; " / " &amp; IFERROR(VLOOKUP(MID(N76,O76,P76-O76),[6]skilldef!$A:$B,2,FALSE),"-")</f>
        <v>- / 連続攻撃</v>
      </c>
      <c r="T76" s="48" t="str">
        <f t="shared" si="91"/>
        <v>[effect:force_change_block, new_block:jammer, target:block_all, ignore01:block_positive, ignore02:jammer, count:3, val:0, animation:change_block]</v>
      </c>
      <c r="U76" s="64">
        <f t="shared" si="92"/>
        <v>9</v>
      </c>
      <c r="V76" s="64">
        <f t="shared" si="93"/>
        <v>27</v>
      </c>
      <c r="W76" s="64">
        <f t="shared" si="94"/>
        <v>54</v>
      </c>
      <c r="X76" s="64">
        <f t="shared" si="95"/>
        <v>45</v>
      </c>
      <c r="Y76" s="64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21" customHeight="1" x14ac:dyDescent="0.15">
      <c r="A77" s="110">
        <v>48101076</v>
      </c>
      <c r="B77" s="47" t="s">
        <v>305</v>
      </c>
      <c r="C77" s="50">
        <v>1</v>
      </c>
      <c r="D77" s="50" t="s">
        <v>128</v>
      </c>
      <c r="E77" s="51" t="s">
        <v>267</v>
      </c>
      <c r="F77" s="51" t="s">
        <v>350</v>
      </c>
      <c r="G77" s="64" t="str">
        <f t="shared" si="80"/>
        <v>[effect:enemy_message, val1:1.2, val2:1.2]</v>
      </c>
      <c r="H77" s="64">
        <f t="shared" si="81"/>
        <v>9</v>
      </c>
      <c r="I77" s="64">
        <f t="shared" si="82"/>
        <v>22</v>
      </c>
      <c r="J77" s="64" t="e">
        <f t="shared" si="83"/>
        <v>#VALUE!</v>
      </c>
      <c r="K77" s="64">
        <f t="shared" si="84"/>
        <v>32</v>
      </c>
      <c r="L77" s="64" t="str">
        <f>IFERROR(VLOOKUP(MID(G77,J77,K77-J77),[6]skilldef!$C:$D,2,FALSE),"-") &amp; " / " &amp; IFERROR(VLOOKUP(MID(G77,H77,I77-H77),[6]skilldef!$A:$B,2,FALSE),"-")</f>
        <v>- / -</v>
      </c>
      <c r="M77" s="64" t="str">
        <f t="shared" si="85"/>
        <v>[effect:critical, val:1.1, animation:enemy_critical]</v>
      </c>
      <c r="N77" s="48" t="str">
        <f t="shared" si="97"/>
        <v>[effect:critical, val:1.1, animation:enemy_critical]</v>
      </c>
      <c r="O77" s="64">
        <f t="shared" si="87"/>
        <v>9</v>
      </c>
      <c r="P77" s="64">
        <f t="shared" si="88"/>
        <v>17</v>
      </c>
      <c r="Q77" s="64" t="e">
        <f t="shared" si="89"/>
        <v>#VALUE!</v>
      </c>
      <c r="R77" s="64">
        <f t="shared" si="90"/>
        <v>26</v>
      </c>
      <c r="S77" s="64" t="str">
        <f>IFERROR(VLOOKUP(MID(N77,Q77,R77-Q77),[6]skilldef!$C:$D,2,FALSE),"-") &amp; " / " &amp; IFERROR(VLOOKUP(MID(N77,O77,P77-O77),[6]skilldef!$A:$B,2,FALSE),"-")</f>
        <v>- / 大攻撃</v>
      </c>
      <c r="T77" s="48" t="str">
        <f t="shared" si="91"/>
        <v>none</v>
      </c>
      <c r="U77" s="64" t="e">
        <f t="shared" si="92"/>
        <v>#VALUE!</v>
      </c>
      <c r="V77" s="64">
        <f t="shared" si="93"/>
        <v>4</v>
      </c>
      <c r="W77" s="64" t="e">
        <f t="shared" si="94"/>
        <v>#VALUE!</v>
      </c>
      <c r="X77" s="64" t="e">
        <f t="shared" si="95"/>
        <v>#VALUE!</v>
      </c>
      <c r="Y77" s="64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21" customHeight="1" x14ac:dyDescent="0.15">
      <c r="A78" s="110">
        <v>48101077</v>
      </c>
      <c r="B78" s="47" t="s">
        <v>351</v>
      </c>
      <c r="C78" s="50">
        <v>1</v>
      </c>
      <c r="D78" s="50" t="s">
        <v>128</v>
      </c>
      <c r="E78" s="51" t="s">
        <v>266</v>
      </c>
      <c r="F78" s="51" t="s">
        <v>265</v>
      </c>
      <c r="G78" s="64" t="str">
        <f t="shared" si="80"/>
        <v>[effect:enemy_message, val1:1.2, val2:2.0]</v>
      </c>
      <c r="H78" s="64">
        <f t="shared" si="81"/>
        <v>9</v>
      </c>
      <c r="I78" s="64">
        <f t="shared" si="82"/>
        <v>22</v>
      </c>
      <c r="J78" s="64" t="e">
        <f t="shared" si="83"/>
        <v>#VALUE!</v>
      </c>
      <c r="K78" s="64">
        <f t="shared" si="84"/>
        <v>32</v>
      </c>
      <c r="L78" s="64" t="str">
        <f>IFERROR(VLOOKUP(MID(G78,J78,K78-J78),[6]skilldef!$C:$D,2,FALSE),"-") &amp; " / " &amp; IFERROR(VLOOKUP(MID(G78,H78,I78-H78),[6]skilldef!$A:$B,2,FALSE),"-")</f>
        <v>- / -</v>
      </c>
      <c r="M78" s="64" t="str">
        <f t="shared" si="85"/>
        <v>none</v>
      </c>
      <c r="N78" s="48" t="str">
        <f t="shared" si="97"/>
        <v>none</v>
      </c>
      <c r="O78" s="64" t="e">
        <f t="shared" si="87"/>
        <v>#VALUE!</v>
      </c>
      <c r="P78" s="64">
        <f t="shared" si="88"/>
        <v>4</v>
      </c>
      <c r="Q78" s="64" t="e">
        <f t="shared" si="89"/>
        <v>#VALUE!</v>
      </c>
      <c r="R78" s="64" t="e">
        <f t="shared" si="90"/>
        <v>#VALUE!</v>
      </c>
      <c r="S78" s="64" t="str">
        <f>IFERROR(VLOOKUP(MID(N78,Q78,R78-Q78),[6]skilldef!$C:$D,2,FALSE),"-") &amp; " / " &amp; IFERROR(VLOOKUP(MID(N78,O78,P78-O78),[6]skilldef!$A:$B,2,FALSE),"-")</f>
        <v>- / -</v>
      </c>
      <c r="T78" s="48" t="str">
        <f t="shared" si="91"/>
        <v>none</v>
      </c>
      <c r="U78" s="64" t="e">
        <f t="shared" si="92"/>
        <v>#VALUE!</v>
      </c>
      <c r="V78" s="64">
        <f t="shared" si="93"/>
        <v>4</v>
      </c>
      <c r="W78" s="64" t="e">
        <f t="shared" si="94"/>
        <v>#VALUE!</v>
      </c>
      <c r="X78" s="64" t="e">
        <f t="shared" si="95"/>
        <v>#VALUE!</v>
      </c>
      <c r="Y78" s="64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 x14ac:dyDescent="0.15">
      <c r="A79" s="110">
        <v>48101078</v>
      </c>
      <c r="B79" s="113" t="s">
        <v>353</v>
      </c>
      <c r="C79" s="50">
        <v>1</v>
      </c>
      <c r="D79" s="50" t="s">
        <v>128</v>
      </c>
      <c r="E79" s="51" t="s">
        <v>352</v>
      </c>
      <c r="F79" s="51" t="s">
        <v>269</v>
      </c>
      <c r="G79" s="64" t="str">
        <f t="shared" si="80"/>
        <v>[effect:enemy_message, val1:1.2, val2:1.5]</v>
      </c>
      <c r="H79" s="64">
        <f t="shared" si="81"/>
        <v>9</v>
      </c>
      <c r="I79" s="64">
        <f t="shared" si="82"/>
        <v>22</v>
      </c>
      <c r="J79" s="64" t="e">
        <f t="shared" si="83"/>
        <v>#VALUE!</v>
      </c>
      <c r="K79" s="64">
        <f t="shared" si="84"/>
        <v>32</v>
      </c>
      <c r="L79" s="64" t="str">
        <f>IFERROR(VLOOKUP(MID(G79,J79,K79-J79),[6]skilldef!$C:$D,2,FALSE),"-") &amp; " / " &amp; IFERROR(VLOOKUP(MID(G79,H79,I79-H79),[6]skilldef!$A:$B,2,FALSE),"-")</f>
        <v>- / -</v>
      </c>
      <c r="M79" s="64" t="str">
        <f t="shared" si="85"/>
        <v>[effect:break_attack_fix, target:unit_all, val:100, lowest_val:2000, count:-1, block01:jammer]</v>
      </c>
      <c r="N79" s="48" t="str">
        <f t="shared" si="97"/>
        <v>[effect:break_attack_fix, target:unit_all, val:100, lowest_val:2000, count:-1, block01:jammer]</v>
      </c>
      <c r="O79" s="64">
        <f t="shared" si="87"/>
        <v>9</v>
      </c>
      <c r="P79" s="64">
        <f t="shared" si="88"/>
        <v>25</v>
      </c>
      <c r="Q79" s="64">
        <f t="shared" si="89"/>
        <v>34</v>
      </c>
      <c r="R79" s="64">
        <f t="shared" si="90"/>
        <v>42</v>
      </c>
      <c r="S79" s="64" t="str">
        <f>IFERROR(VLOOKUP(MID(N79,Q79,R79-Q79),[6]skilldef!$C:$D,2,FALSE),"-") &amp; " / " &amp; IFERROR(VLOOKUP(MID(N79,O79,P79-O79),[6]skilldef!$A:$B,2,FALSE),"-")</f>
        <v>味方全体に / -</v>
      </c>
      <c r="T79" s="48" t="str">
        <f t="shared" si="91"/>
        <v>none</v>
      </c>
      <c r="U79" s="64" t="e">
        <f t="shared" si="92"/>
        <v>#VALUE!</v>
      </c>
      <c r="V79" s="64">
        <f t="shared" si="93"/>
        <v>4</v>
      </c>
      <c r="W79" s="64" t="e">
        <f t="shared" si="94"/>
        <v>#VALUE!</v>
      </c>
      <c r="X79" s="64" t="e">
        <f t="shared" si="95"/>
        <v>#VALUE!</v>
      </c>
      <c r="Y79" s="64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21" customHeight="1" thickBot="1" x14ac:dyDescent="0.2">
      <c r="A80" s="112">
        <v>48101079</v>
      </c>
      <c r="B80" s="107" t="s">
        <v>356</v>
      </c>
      <c r="C80" s="136">
        <v>1</v>
      </c>
      <c r="D80" s="136" t="s">
        <v>128</v>
      </c>
      <c r="E80" s="137" t="s">
        <v>316</v>
      </c>
      <c r="F80" s="137" t="s">
        <v>354</v>
      </c>
      <c r="G80" s="138" t="str">
        <f t="shared" si="80"/>
        <v>[effect:enemy_message, val1:1.2, val2:1.8]</v>
      </c>
      <c r="H80" s="138">
        <f t="shared" si="81"/>
        <v>9</v>
      </c>
      <c r="I80" s="138">
        <f t="shared" si="82"/>
        <v>22</v>
      </c>
      <c r="J80" s="138" t="e">
        <f t="shared" si="83"/>
        <v>#VALUE!</v>
      </c>
      <c r="K80" s="138">
        <f t="shared" si="84"/>
        <v>32</v>
      </c>
      <c r="L80" s="138" t="str">
        <f>IFERROR(VLOOKUP(MID(G80,J80,K80-J80),[6]skilldef!$C:$D,2,FALSE),"-") &amp; " / " &amp; IFERROR(VLOOKUP(MID(G80,H80,I80-H80),[6]skilldef!$A:$B,2,FALSE),"-")</f>
        <v>- / -</v>
      </c>
      <c r="M80" s="138" t="str">
        <f t="shared" si="85"/>
        <v>[effect:freq_turn, target:myself, turn:3, val:2, animation:enemy_freq_turn]</v>
      </c>
      <c r="N80" s="121" t="str">
        <f>IFERROR(LEFT(M80,FIND("],",M80)+S91),M80)</f>
        <v>[effect:freq_turn, target:myself, turn:3, val:2, animation:enemy_freq_turn]</v>
      </c>
      <c r="O80" s="138">
        <f t="shared" si="87"/>
        <v>9</v>
      </c>
      <c r="P80" s="138">
        <f t="shared" si="88"/>
        <v>18</v>
      </c>
      <c r="Q80" s="138">
        <f t="shared" si="89"/>
        <v>27</v>
      </c>
      <c r="R80" s="138">
        <f t="shared" si="90"/>
        <v>33</v>
      </c>
      <c r="S80" s="138" t="str">
        <f>IFERROR(VLOOKUP(MID(N80,Q80,R80-Q80),[6]skilldef!$C:$D,2,FALSE),"-") &amp; " / " &amp; IFERROR(VLOOKUP(MID(N80,O80,P80-O80),[6]skilldef!$A:$B,2,FALSE),"-")</f>
        <v>自分自身に / 攻撃頻度がUP</v>
      </c>
      <c r="T80" s="121" t="str">
        <f t="shared" si="91"/>
        <v>none</v>
      </c>
      <c r="U80" s="138" t="e">
        <f t="shared" si="92"/>
        <v>#VALUE!</v>
      </c>
      <c r="V80" s="138">
        <f t="shared" si="93"/>
        <v>4</v>
      </c>
      <c r="W80" s="138" t="e">
        <f t="shared" si="94"/>
        <v>#VALUE!</v>
      </c>
      <c r="X80" s="138" t="e">
        <f t="shared" si="95"/>
        <v>#VALUE!</v>
      </c>
      <c r="Y80" s="138" t="str">
        <f>IFERROR(VLOOKUP(MID(T80,W80,X80-W80),[6]skilldef!$C:$D,2,FALSE),"-") &amp; " / " &amp; IFERROR(VLOOKUP(MID(T80,U80,V80-U80),[6]skilldef!$A:$B,2,FALSE),"-")</f>
        <v>- / -</v>
      </c>
      <c r="Z80" s="136"/>
      <c r="AA80" s="139"/>
      <c r="AB80" s="136"/>
    </row>
    <row r="81" spans="1:28" ht="21" customHeight="1" x14ac:dyDescent="0.15">
      <c r="A81" s="110">
        <v>48101080</v>
      </c>
      <c r="B81" s="106" t="s">
        <v>399</v>
      </c>
      <c r="C81" s="132">
        <v>1</v>
      </c>
      <c r="D81" s="132" t="s">
        <v>128</v>
      </c>
      <c r="E81" s="133" t="s">
        <v>270</v>
      </c>
      <c r="F81" s="133" t="s">
        <v>398</v>
      </c>
      <c r="G81" s="134" t="str">
        <f t="shared" si="80"/>
        <v>[effect:enemy_message, val1:1.2, val2:3.6]</v>
      </c>
      <c r="H81" s="134">
        <f t="shared" si="81"/>
        <v>9</v>
      </c>
      <c r="I81" s="134">
        <f t="shared" si="82"/>
        <v>22</v>
      </c>
      <c r="J81" s="134" t="e">
        <f t="shared" si="83"/>
        <v>#VALUE!</v>
      </c>
      <c r="K81" s="134">
        <f t="shared" si="84"/>
        <v>32</v>
      </c>
      <c r="L81" s="134" t="str">
        <f>IFERROR(VLOOKUP(MID(G81,J81,K81-J81),[6]skilldef!$C:$D,2,FALSE),"-") &amp; " / " &amp; IFERROR(VLOOKUP(MID(G81,H81,I81-H81),[6]skilldef!$A:$B,2,FALSE),"-")</f>
        <v>- / -</v>
      </c>
      <c r="M81" s="134" t="str">
        <f t="shared" si="85"/>
        <v>[effect:enhance_unit, target:unit_all, turn:4, status:defense, val:500, calc:add],[effect:suicide, target:myself, val:1, dead_type:escape, animation:enemy_suicide]</v>
      </c>
      <c r="N81" s="120" t="str">
        <f>IFERROR(LEFT(M81,FIND("],",M81)+S92),M81)</f>
        <v>[effect:enhance_unit, target:unit_all, turn:4, status:defense, val:500, calc:add],[effect:suicide, target:myself, val:1, dead_type:escape, animation:enemy_suicide]</v>
      </c>
      <c r="O81" s="134">
        <f t="shared" si="87"/>
        <v>9</v>
      </c>
      <c r="P81" s="134">
        <f t="shared" si="88"/>
        <v>21</v>
      </c>
      <c r="Q81" s="134">
        <f t="shared" si="89"/>
        <v>30</v>
      </c>
      <c r="R81" s="134">
        <f t="shared" si="90"/>
        <v>38</v>
      </c>
      <c r="S81" s="134" t="str">
        <f>IFERROR(VLOOKUP(MID(N81,Q81,R81-Q81),[6]skilldef!$C:$D,2,FALSE),"-") &amp; " / " &amp; IFERROR(VLOOKUP(MID(N81,O81,P81-O81),[6]skilldef!$A:$B,2,FALSE),"-")</f>
        <v>味方全体に / -</v>
      </c>
      <c r="T81" s="120" t="str">
        <f t="shared" si="91"/>
        <v>[effect:suicide, target:myself, val:1, dead_type:escape, animation:enemy_suicide]</v>
      </c>
      <c r="U81" s="134">
        <f t="shared" si="92"/>
        <v>9</v>
      </c>
      <c r="V81" s="134">
        <f t="shared" si="93"/>
        <v>16</v>
      </c>
      <c r="W81" s="134">
        <f t="shared" si="94"/>
        <v>25</v>
      </c>
      <c r="X81" s="134">
        <f t="shared" si="95"/>
        <v>31</v>
      </c>
      <c r="Y81" s="134" t="str">
        <f>IFERROR(VLOOKUP(MID(T81,W81,X81-W81),[6]skilldef!$C:$D,2,FALSE),"-") &amp; " / " &amp; IFERROR(VLOOKUP(MID(T81,U81,V81-U81),[6]skilldef!$A:$B,2,FALSE),"-")</f>
        <v>自分自身に / -</v>
      </c>
      <c r="Z81" s="132"/>
      <c r="AA81" s="135"/>
      <c r="AB81" s="132"/>
    </row>
    <row r="82" spans="1:28" ht="21" customHeight="1" x14ac:dyDescent="0.15">
      <c r="A82" s="110">
        <v>48101081</v>
      </c>
      <c r="B82" s="47" t="s">
        <v>400</v>
      </c>
      <c r="C82" s="50">
        <v>1</v>
      </c>
      <c r="D82" s="50" t="s">
        <v>128</v>
      </c>
      <c r="E82" s="51" t="s">
        <v>355</v>
      </c>
      <c r="F82" s="51" t="s">
        <v>446</v>
      </c>
      <c r="G82" s="64" t="str">
        <f t="shared" si="80"/>
        <v>[effect:enemy_message, val1:1.2, val2:3.5]</v>
      </c>
      <c r="H82" s="64">
        <f t="shared" si="81"/>
        <v>9</v>
      </c>
      <c r="I82" s="64">
        <f t="shared" si="82"/>
        <v>22</v>
      </c>
      <c r="J82" s="64" t="e">
        <f t="shared" si="83"/>
        <v>#VALUE!</v>
      </c>
      <c r="K82" s="64">
        <f t="shared" si="84"/>
        <v>32</v>
      </c>
      <c r="L82" s="64" t="str">
        <f>IFERROR(VLOOKUP(MID(G82,J82,K82-J82),[6]skilldef!$C:$D,2,FALSE),"-") &amp; " / " &amp; IFERROR(VLOOKUP(MID(G82,H82,I82-H82),[6]skilldef!$A:$B,2,FALSE),"-")</f>
        <v>- / -</v>
      </c>
      <c r="M82" s="64" t="str">
        <f t="shared" si="85"/>
        <v>[effect:crash_condition, target:unit_all, turn:8, val:-4, animation:crash_panel_reduce03],[effect:suicide, target:myself, val:1, dead_type:escape, animation:enemy_suicide]</v>
      </c>
      <c r="N82" s="48" t="str">
        <f>IFERROR(LEFT(M82,FIND("],",M82)+S93),M82)</f>
        <v>[effect:crash_condition, target:unit_all, turn:8, val:-4, animation:crash_panel_reduce03],[effect:suicide, target:myself, val:1, dead_type:escape, animation:enemy_suicide]</v>
      </c>
      <c r="O82" s="64">
        <f t="shared" si="87"/>
        <v>9</v>
      </c>
      <c r="P82" s="64">
        <f t="shared" si="88"/>
        <v>24</v>
      </c>
      <c r="Q82" s="64">
        <f t="shared" si="89"/>
        <v>33</v>
      </c>
      <c r="R82" s="64">
        <f t="shared" si="90"/>
        <v>41</v>
      </c>
      <c r="S82" s="64" t="str">
        <f>IFERROR(VLOOKUP(MID(N82,Q82,R82-Q82),[6]skilldef!$C:$D,2,FALSE),"-") &amp; " / " &amp; IFERROR(VLOOKUP(MID(N82,O82,P82-O82),[6]skilldef!$A:$B,2,FALSE),"-")</f>
        <v>味方全体に / -</v>
      </c>
      <c r="T82" s="48" t="str">
        <f t="shared" si="91"/>
        <v>[effect:suicide, target:myself, val:1, dead_type:escape, animation:enemy_suicide]</v>
      </c>
      <c r="U82" s="64">
        <f t="shared" si="92"/>
        <v>9</v>
      </c>
      <c r="V82" s="64">
        <f t="shared" si="93"/>
        <v>16</v>
      </c>
      <c r="W82" s="64">
        <f t="shared" si="94"/>
        <v>25</v>
      </c>
      <c r="X82" s="64">
        <f t="shared" si="95"/>
        <v>31</v>
      </c>
      <c r="Y82" s="64" t="str">
        <f>IFERROR(VLOOKUP(MID(T82,W82,X82-W82),[6]skilldef!$C:$D,2,FALSE),"-") &amp; " / " &amp; IFERROR(VLOOKUP(MID(T82,U82,V82-U82),[6]skilldef!$A:$B,2,FALSE),"-")</f>
        <v>自分自身に / -</v>
      </c>
      <c r="Z82" s="50"/>
      <c r="AA82" s="52"/>
      <c r="AB82" s="50"/>
    </row>
    <row r="83" spans="1:28" ht="21" customHeight="1" x14ac:dyDescent="0.15">
      <c r="A83" s="110">
        <v>48101082</v>
      </c>
      <c r="B83" s="47" t="s">
        <v>401</v>
      </c>
      <c r="C83" s="50">
        <v>1</v>
      </c>
      <c r="D83" s="50" t="s">
        <v>128</v>
      </c>
      <c r="E83" s="51" t="s">
        <v>355</v>
      </c>
      <c r="F83" s="51" t="s">
        <v>403</v>
      </c>
      <c r="G83" s="64" t="str">
        <f t="shared" si="80"/>
        <v>[effect:enemy_message, val1:1.2, val2:3.6]</v>
      </c>
      <c r="H83" s="64">
        <f t="shared" si="81"/>
        <v>9</v>
      </c>
      <c r="I83" s="64">
        <f t="shared" si="82"/>
        <v>22</v>
      </c>
      <c r="J83" s="64" t="e">
        <f t="shared" si="83"/>
        <v>#VALUE!</v>
      </c>
      <c r="K83" s="64">
        <f t="shared" si="84"/>
        <v>32</v>
      </c>
      <c r="L83" s="64" t="str">
        <f>IFERROR(VLOOKUP(MID(G83,J83,K83-J83),[6]skilldef!$C:$D,2,FALSE),"-") &amp; " / " &amp; IFERROR(VLOOKUP(MID(G83,H83,I83-H83),[6]skilldef!$A:$B,2,FALSE),"-")</f>
        <v>- / -</v>
      </c>
      <c r="M83" s="64" t="str">
        <f t="shared" si="85"/>
        <v>[effect:enhance_unit, target:unit_all, turn:8, status:defense, val:500, calc:add],[effect:suicide, target:myself, val:1, dead_type:escape, animation:enemy_suicide]</v>
      </c>
      <c r="N83" s="48" t="str">
        <f>IFERROR(LEFT(M83,FIND("],",M83)+S94),M83)</f>
        <v>[effect:enhance_unit, target:unit_all, turn:8, status:defense, val:500, calc:add],[effect:suicide, target:myself, val:1, dead_type:escape, animation:enemy_suicide]</v>
      </c>
      <c r="O83" s="64">
        <f t="shared" si="87"/>
        <v>9</v>
      </c>
      <c r="P83" s="64">
        <f t="shared" si="88"/>
        <v>21</v>
      </c>
      <c r="Q83" s="64">
        <f t="shared" si="89"/>
        <v>30</v>
      </c>
      <c r="R83" s="64">
        <f t="shared" si="90"/>
        <v>38</v>
      </c>
      <c r="S83" s="64" t="str">
        <f>IFERROR(VLOOKUP(MID(N83,Q83,R83-Q83),[6]skilldef!$C:$D,2,FALSE),"-") &amp; " / " &amp; IFERROR(VLOOKUP(MID(N83,O83,P83-O83),[6]skilldef!$A:$B,2,FALSE),"-")</f>
        <v>味方全体に / -</v>
      </c>
      <c r="T83" s="48" t="str">
        <f t="shared" si="91"/>
        <v>[effect:suicide, target:myself, val:1, dead_type:escape, animation:enemy_suicide]</v>
      </c>
      <c r="U83" s="64">
        <f t="shared" si="92"/>
        <v>9</v>
      </c>
      <c r="V83" s="64">
        <f t="shared" si="93"/>
        <v>16</v>
      </c>
      <c r="W83" s="64">
        <f t="shared" si="94"/>
        <v>25</v>
      </c>
      <c r="X83" s="64">
        <f t="shared" si="95"/>
        <v>31</v>
      </c>
      <c r="Y83" s="64" t="str">
        <f>IFERROR(VLOOKUP(MID(T83,W83,X83-W83),[6]skilldef!$C:$D,2,FALSE),"-") &amp; " / " &amp; IFERROR(VLOOKUP(MID(T83,U83,V83-U83),[6]skilldef!$A:$B,2,FALSE),"-")</f>
        <v>自分自身に / -</v>
      </c>
      <c r="Z83" s="50"/>
      <c r="AA83" s="52"/>
      <c r="AB83" s="50"/>
    </row>
    <row r="84" spans="1:28" ht="21" customHeight="1" thickBot="1" x14ac:dyDescent="0.2">
      <c r="A84" s="112">
        <v>48101083</v>
      </c>
      <c r="B84" s="141" t="s">
        <v>402</v>
      </c>
      <c r="C84" s="142">
        <v>1</v>
      </c>
      <c r="D84" s="142" t="s">
        <v>128</v>
      </c>
      <c r="E84" s="137" t="s">
        <v>355</v>
      </c>
      <c r="F84" s="143" t="s">
        <v>404</v>
      </c>
      <c r="G84" s="144" t="str">
        <f t="shared" si="80"/>
        <v>[effect:enemy_message, val1:1.2, val2:3.6]</v>
      </c>
      <c r="H84" s="144">
        <f t="shared" si="81"/>
        <v>9</v>
      </c>
      <c r="I84" s="144">
        <f t="shared" si="82"/>
        <v>22</v>
      </c>
      <c r="J84" s="144" t="e">
        <f t="shared" si="83"/>
        <v>#VALUE!</v>
      </c>
      <c r="K84" s="144">
        <f t="shared" si="84"/>
        <v>32</v>
      </c>
      <c r="L84" s="144" t="str">
        <f>IFERROR(VLOOKUP(MID(G84,J84,K84-J84),[6]skilldef!$C:$D,2,FALSE),"-") &amp; " / " &amp; IFERROR(VLOOKUP(MID(G84,H84,I84-H84),[6]skilldef!$A:$B,2,FALSE),"-")</f>
        <v>- / -</v>
      </c>
      <c r="M84" s="144" t="str">
        <f t="shared" si="85"/>
        <v>[effect:enhance_unit, target:unit_all, turn:8, status:attack, val:0.3, calc:mul],[effect:suicide, target:myself, val:1, dead_type:escape, animation:enemy_suicide]</v>
      </c>
      <c r="N84" s="145" t="str">
        <f>IFERROR(LEFT(M84,FIND("],",M84)+S95),M84)</f>
        <v>[effect:enhance_unit, target:unit_all, turn:8, status:attack, val:0.3, calc:mul],[effect:suicide, target:myself, val:1, dead_type:escape, animation:enemy_suicide]</v>
      </c>
      <c r="O84" s="144">
        <f t="shared" si="87"/>
        <v>9</v>
      </c>
      <c r="P84" s="144">
        <f t="shared" si="88"/>
        <v>21</v>
      </c>
      <c r="Q84" s="144">
        <f t="shared" si="89"/>
        <v>30</v>
      </c>
      <c r="R84" s="144">
        <f t="shared" si="90"/>
        <v>38</v>
      </c>
      <c r="S84" s="144" t="str">
        <f>IFERROR(VLOOKUP(MID(N84,Q84,R84-Q84),[6]skilldef!$C:$D,2,FALSE),"-") &amp; " / " &amp; IFERROR(VLOOKUP(MID(N84,O84,P84-O84),[6]skilldef!$A:$B,2,FALSE),"-")</f>
        <v>味方全体に / -</v>
      </c>
      <c r="T84" s="145" t="str">
        <f t="shared" si="91"/>
        <v>[effect:suicide, target:myself, val:1, dead_type:escape, animation:enemy_suicide]</v>
      </c>
      <c r="U84" s="144">
        <f t="shared" si="92"/>
        <v>9</v>
      </c>
      <c r="V84" s="144">
        <f t="shared" si="93"/>
        <v>16</v>
      </c>
      <c r="W84" s="144">
        <f t="shared" si="94"/>
        <v>25</v>
      </c>
      <c r="X84" s="144">
        <f t="shared" si="95"/>
        <v>31</v>
      </c>
      <c r="Y84" s="144" t="str">
        <f>IFERROR(VLOOKUP(MID(T84,W84,X84-W84),[6]skilldef!$C:$D,2,FALSE),"-") &amp; " / " &amp; IFERROR(VLOOKUP(MID(T84,U84,V84-U84),[6]skilldef!$A:$B,2,FALSE),"-")</f>
        <v>自分自身に / -</v>
      </c>
      <c r="Z84" s="142"/>
      <c r="AA84" s="146"/>
      <c r="AB84" s="142"/>
    </row>
    <row r="85" spans="1:28" ht="21" customHeight="1" x14ac:dyDescent="0.15">
      <c r="A85" s="114">
        <v>48101084</v>
      </c>
      <c r="B85" s="106" t="s">
        <v>443</v>
      </c>
      <c r="C85" s="132">
        <v>1</v>
      </c>
      <c r="D85" s="132" t="s">
        <v>128</v>
      </c>
      <c r="E85" s="133" t="s">
        <v>295</v>
      </c>
      <c r="F85" s="133" t="s">
        <v>427</v>
      </c>
      <c r="G85" s="134" t="str">
        <f t="shared" si="80"/>
        <v>[effect:enemy_message, val1:2.0, val2:1.5]</v>
      </c>
      <c r="H85" s="134">
        <f t="shared" si="81"/>
        <v>9</v>
      </c>
      <c r="I85" s="134">
        <f t="shared" si="82"/>
        <v>22</v>
      </c>
      <c r="J85" s="134" t="e">
        <f t="shared" si="83"/>
        <v>#VALUE!</v>
      </c>
      <c r="K85" s="134">
        <f t="shared" si="84"/>
        <v>32</v>
      </c>
      <c r="L85" s="134" t="str">
        <f>IFERROR(VLOOKUP(MID(G85,J85,K85-J85),[6]skilldef!$C:$D,2,FALSE),"-") &amp; " / " &amp; IFERROR(VLOOKUP(MID(G85,H85,I85-H85),[6]skilldef!$A:$B,2,FALSE),"-")</f>
        <v>- / -</v>
      </c>
      <c r="M85" s="134" t="str">
        <f t="shared" si="85"/>
        <v>[effect:fix_speed, target:myself, turn:2],[effect:drop_block, block_type:jammer, color:block_all, val:0, rate:0.09, turn:-1, animation:jammer_influence04]</v>
      </c>
      <c r="N85" s="120" t="str">
        <f t="shared" ref="N85:N93" si="98">IFERROR(LEFT(M85,FIND("],",M85)+S95),M85)</f>
        <v>[effect:fix_speed, target:myself, turn:2],[effect:drop_block, block_type:jammer, color:block_all, val:0, rate:0.09, turn:-1, animation:jammer_influence04]</v>
      </c>
      <c r="O85" s="134">
        <f t="shared" si="87"/>
        <v>9</v>
      </c>
      <c r="P85" s="134">
        <f t="shared" si="88"/>
        <v>18</v>
      </c>
      <c r="Q85" s="134">
        <f t="shared" si="89"/>
        <v>27</v>
      </c>
      <c r="R85" s="134">
        <f t="shared" si="90"/>
        <v>33</v>
      </c>
      <c r="S85" s="134" t="str">
        <f>IFERROR(VLOOKUP(MID(N85,Q85,R85-Q85),[6]skilldef!$C:$D,2,FALSE),"-") &amp; " / " &amp; IFERROR(VLOOKUP(MID(N85,O85,P85-O85),[6]skilldef!$A:$B,2,FALSE),"-")</f>
        <v>自分自身に / 行動値設定</v>
      </c>
      <c r="T85" s="120" t="str">
        <f t="shared" si="91"/>
        <v>[effect:drop_block, block_type:jammer, color:block_all, val:0, rate:0.09, turn:-1, animation:jammer_influence04]</v>
      </c>
      <c r="U85" s="134">
        <f t="shared" si="92"/>
        <v>9</v>
      </c>
      <c r="V85" s="134">
        <f t="shared" si="93"/>
        <v>19</v>
      </c>
      <c r="W85" s="134" t="e">
        <f t="shared" si="94"/>
        <v>#VALUE!</v>
      </c>
      <c r="X85" s="134">
        <f t="shared" si="95"/>
        <v>38</v>
      </c>
      <c r="Y85" s="134" t="str">
        <f>IFERROR(VLOOKUP(MID(T85,W85,X85-W85),[6]skilldef!$C:$D,2,FALSE),"-") &amp; " / " &amp; IFERROR(VLOOKUP(MID(T85,U85,V85-U85),[6]skilldef!$A:$B,2,FALSE),"-")</f>
        <v>- / 特定ブロックの割合ドロップ</v>
      </c>
      <c r="Z85" s="132"/>
      <c r="AA85" s="135"/>
      <c r="AB85" s="132"/>
    </row>
    <row r="86" spans="1:28" ht="21" customHeight="1" x14ac:dyDescent="0.15">
      <c r="A86" s="114">
        <v>48101085</v>
      </c>
      <c r="B86" s="47" t="s">
        <v>323</v>
      </c>
      <c r="C86" s="50">
        <v>1</v>
      </c>
      <c r="D86" s="50" t="s">
        <v>128</v>
      </c>
      <c r="E86" s="51" t="s">
        <v>296</v>
      </c>
      <c r="F86" s="51" t="s">
        <v>271</v>
      </c>
      <c r="G86" s="64" t="str">
        <f t="shared" si="80"/>
        <v>[effect:enemy_message, val1:1.2, val2:1.2]</v>
      </c>
      <c r="H86" s="64">
        <f t="shared" si="81"/>
        <v>9</v>
      </c>
      <c r="I86" s="64">
        <f t="shared" si="82"/>
        <v>22</v>
      </c>
      <c r="J86" s="64" t="e">
        <f t="shared" si="83"/>
        <v>#VALUE!</v>
      </c>
      <c r="K86" s="64">
        <f t="shared" si="84"/>
        <v>32</v>
      </c>
      <c r="L86" s="64" t="str">
        <f>IFERROR(VLOOKUP(MID(G86,J86,K86-J86),[6]skilldef!$C:$D,2,FALSE),"-") &amp; " / " &amp; IFERROR(VLOOKUP(MID(G86,H86,I86-H86),[6]skilldef!$A:$B,2,FALSE),"-")</f>
        <v>- / -</v>
      </c>
      <c r="M86" s="64" t="str">
        <f t="shared" si="85"/>
        <v>[effect:spread, val:0.23]</v>
      </c>
      <c r="N86" s="48" t="str">
        <f t="shared" si="98"/>
        <v>[effect:spread, val:0.23]</v>
      </c>
      <c r="O86" s="64">
        <f t="shared" si="87"/>
        <v>9</v>
      </c>
      <c r="P86" s="64">
        <f t="shared" si="88"/>
        <v>15</v>
      </c>
      <c r="Q86" s="64" t="e">
        <f t="shared" si="89"/>
        <v>#VALUE!</v>
      </c>
      <c r="R86" s="64" t="e">
        <f t="shared" si="90"/>
        <v>#VALUE!</v>
      </c>
      <c r="S86" s="64" t="str">
        <f>IFERROR(VLOOKUP(MID(N86,Q86,R86-Q86),[6]skilldef!$C:$D,2,FALSE),"-") &amp; " / " &amp; IFERROR(VLOOKUP(MID(N86,O86,P86-O86),[6]skilldef!$A:$B,2,FALSE),"-")</f>
        <v>- / 全体攻撃</v>
      </c>
      <c r="T86" s="48" t="str">
        <f t="shared" si="91"/>
        <v>none</v>
      </c>
      <c r="U86" s="64" t="e">
        <f t="shared" si="92"/>
        <v>#VALUE!</v>
      </c>
      <c r="V86" s="64">
        <f t="shared" si="93"/>
        <v>4</v>
      </c>
      <c r="W86" s="64" t="e">
        <f t="shared" si="94"/>
        <v>#VALUE!</v>
      </c>
      <c r="X86" s="64" t="e">
        <f t="shared" si="95"/>
        <v>#VALUE!</v>
      </c>
      <c r="Y86" s="64" t="str">
        <f>IFERROR(VLOOKUP(MID(T86,W86,X86-W86),[6]skilldef!$C:$D,2,FALSE),"-") &amp; " / " &amp; IFERROR(VLOOKUP(MID(T86,U86,V86-U86),[6]skilldef!$A:$B,2,FALSE),"-")</f>
        <v>- / -</v>
      </c>
      <c r="Z86" s="50"/>
      <c r="AA86" s="52"/>
      <c r="AB86" s="50"/>
    </row>
    <row r="87" spans="1:28" ht="21" customHeight="1" x14ac:dyDescent="0.15">
      <c r="A87" s="114">
        <v>48101086</v>
      </c>
      <c r="B87" s="47" t="s">
        <v>358</v>
      </c>
      <c r="C87" s="50">
        <v>1</v>
      </c>
      <c r="D87" s="50" t="s">
        <v>128</v>
      </c>
      <c r="E87" s="51" t="s">
        <v>272</v>
      </c>
      <c r="F87" s="51" t="s">
        <v>273</v>
      </c>
      <c r="G87" s="64" t="str">
        <f t="shared" si="80"/>
        <v>[effect:enemy_message, val1:1.2, val2:1.3]</v>
      </c>
      <c r="H87" s="64">
        <f t="shared" si="81"/>
        <v>9</v>
      </c>
      <c r="I87" s="64">
        <f t="shared" si="82"/>
        <v>22</v>
      </c>
      <c r="J87" s="64" t="e">
        <f t="shared" si="83"/>
        <v>#VALUE!</v>
      </c>
      <c r="K87" s="64">
        <f t="shared" si="84"/>
        <v>32</v>
      </c>
      <c r="L87" s="64" t="str">
        <f>IFERROR(VLOOKUP(MID(G87,J87,K87-J87),[6]skilldef!$C:$D,2,FALSE),"-") &amp; " / " &amp; IFERROR(VLOOKUP(MID(G87,H87,I87-H87),[6]skilldef!$A:$B,2,FALSE),"-")</f>
        <v>- / -</v>
      </c>
      <c r="M87" s="64" t="str">
        <f t="shared" si="85"/>
        <v xml:space="preserve">[effect:break_attack_fix, target:unit_one, val:400, lowest_val:2500, count:-1, block01:jammer]    </v>
      </c>
      <c r="N87" s="48" t="str">
        <f t="shared" si="98"/>
        <v xml:space="preserve">[effect:break_attack_fix, target:unit_one, val:400, lowest_val:2500, count:-1, block01:jammer]    </v>
      </c>
      <c r="O87" s="64">
        <f t="shared" si="87"/>
        <v>9</v>
      </c>
      <c r="P87" s="64">
        <f t="shared" si="88"/>
        <v>25</v>
      </c>
      <c r="Q87" s="64">
        <f t="shared" si="89"/>
        <v>34</v>
      </c>
      <c r="R87" s="64">
        <f t="shared" si="90"/>
        <v>42</v>
      </c>
      <c r="S87" s="64" t="str">
        <f>IFERROR(VLOOKUP(MID(N87,Q87,R87-Q87),[6]skilldef!$C:$D,2,FALSE),"-") &amp; " / " &amp; IFERROR(VLOOKUP(MID(N87,O87,P87-O87),[6]skilldef!$A:$B,2,FALSE),"-")</f>
        <v>味方単体に / -</v>
      </c>
      <c r="T87" s="48" t="str">
        <f t="shared" si="91"/>
        <v>none</v>
      </c>
      <c r="U87" s="64" t="e">
        <f t="shared" si="92"/>
        <v>#VALUE!</v>
      </c>
      <c r="V87" s="64">
        <f t="shared" si="93"/>
        <v>4</v>
      </c>
      <c r="W87" s="64" t="e">
        <f t="shared" si="94"/>
        <v>#VALUE!</v>
      </c>
      <c r="X87" s="64" t="e">
        <f t="shared" si="95"/>
        <v>#VALUE!</v>
      </c>
      <c r="Y87" s="64" t="str">
        <f>IFERROR(VLOOKUP(MID(T87,W87,X87-W87),[6]skilldef!$C:$D,2,FALSE),"-") &amp; " / " &amp; IFERROR(VLOOKUP(MID(T87,U87,V87-U87),[6]skilldef!$A:$B,2,FALSE),"-")</f>
        <v>- / -</v>
      </c>
      <c r="Z87" s="50"/>
      <c r="AA87" s="52"/>
      <c r="AB87" s="50"/>
    </row>
    <row r="88" spans="1:28" ht="21" customHeight="1" x14ac:dyDescent="0.15">
      <c r="A88" s="114">
        <v>48101087</v>
      </c>
      <c r="B88" s="47" t="s">
        <v>359</v>
      </c>
      <c r="C88" s="50">
        <v>1</v>
      </c>
      <c r="D88" s="50" t="s">
        <v>128</v>
      </c>
      <c r="E88" s="51" t="s">
        <v>275</v>
      </c>
      <c r="F88" s="51" t="s">
        <v>274</v>
      </c>
      <c r="G88" s="64" t="str">
        <f t="shared" si="80"/>
        <v>[effect:enemy_message, val1:1.2, val2:1.6]</v>
      </c>
      <c r="H88" s="64">
        <f t="shared" si="81"/>
        <v>9</v>
      </c>
      <c r="I88" s="64">
        <f t="shared" si="82"/>
        <v>22</v>
      </c>
      <c r="J88" s="64" t="e">
        <f t="shared" si="83"/>
        <v>#VALUE!</v>
      </c>
      <c r="K88" s="64">
        <f t="shared" si="84"/>
        <v>32</v>
      </c>
      <c r="L88" s="64" t="str">
        <f>IFERROR(VLOOKUP(MID(G88,J88,K88-J88),[6]skilldef!$C:$D,2,FALSE),"-") &amp; " / " &amp; IFERROR(VLOOKUP(MID(G88,H88,I88-H88),[6]skilldef!$A:$B,2,FALSE),"-")</f>
        <v>- / -</v>
      </c>
      <c r="M88" s="64" t="str">
        <f t="shared" si="85"/>
        <v xml:space="preserve">[effect:break_enchance_enemy, target:myself, val:0.03, lowest_val:0.02, count:-1, status:attack, turn:-1, block01:jammer, calc:mul, animation:enemy_enhance_attack]    </v>
      </c>
      <c r="N88" s="48" t="str">
        <f t="shared" si="98"/>
        <v xml:space="preserve">[effect:break_enchance_enemy, target:myself, val:0.03, lowest_val:0.02, count:-1, status:attack, turn:-1, block01:jammer, calc:mul, animation:enemy_enhance_attack]    </v>
      </c>
      <c r="O88" s="64">
        <f t="shared" si="87"/>
        <v>9</v>
      </c>
      <c r="P88" s="64">
        <f t="shared" si="88"/>
        <v>29</v>
      </c>
      <c r="Q88" s="64">
        <f t="shared" si="89"/>
        <v>38</v>
      </c>
      <c r="R88" s="64">
        <f t="shared" si="90"/>
        <v>44</v>
      </c>
      <c r="S88" s="64" t="str">
        <f>IFERROR(VLOOKUP(MID(N88,Q88,R88-Q88),[6]skilldef!$C:$D,2,FALSE),"-") &amp; " / " &amp; IFERROR(VLOOKUP(MID(N88,O88,P88-O88),[6]skilldef!$A:$B,2,FALSE),"-")</f>
        <v>自分自身に / -</v>
      </c>
      <c r="T88" s="48" t="str">
        <f t="shared" si="91"/>
        <v>none</v>
      </c>
      <c r="U88" s="64" t="e">
        <f t="shared" si="92"/>
        <v>#VALUE!</v>
      </c>
      <c r="V88" s="64">
        <f t="shared" si="93"/>
        <v>4</v>
      </c>
      <c r="W88" s="64" t="e">
        <f t="shared" si="94"/>
        <v>#VALUE!</v>
      </c>
      <c r="X88" s="64" t="e">
        <f t="shared" si="95"/>
        <v>#VALUE!</v>
      </c>
      <c r="Y88" s="64" t="str">
        <f>IFERROR(VLOOKUP(MID(T88,W88,X88-W88),[6]skilldef!$C:$D,2,FALSE),"-") &amp; " / " &amp; IFERROR(VLOOKUP(MID(T88,U88,V88-U88),[6]skilldef!$A:$B,2,FALSE),"-")</f>
        <v>- / -</v>
      </c>
      <c r="Z88" s="50"/>
      <c r="AA88" s="52"/>
      <c r="AB88" s="50"/>
    </row>
    <row r="89" spans="1:28" ht="21" customHeight="1" thickBot="1" x14ac:dyDescent="0.2">
      <c r="A89" s="116">
        <v>48101088</v>
      </c>
      <c r="B89" s="107" t="s">
        <v>360</v>
      </c>
      <c r="C89" s="136">
        <v>1</v>
      </c>
      <c r="D89" s="136" t="s">
        <v>128</v>
      </c>
      <c r="E89" s="137" t="s">
        <v>276</v>
      </c>
      <c r="F89" s="137" t="s">
        <v>447</v>
      </c>
      <c r="G89" s="138" t="str">
        <f t="shared" si="80"/>
        <v>[effect:enemy_message, val1:1.2, val2:2.1]</v>
      </c>
      <c r="H89" s="138">
        <f t="shared" si="81"/>
        <v>9</v>
      </c>
      <c r="I89" s="138">
        <f t="shared" si="82"/>
        <v>22</v>
      </c>
      <c r="J89" s="138" t="e">
        <f t="shared" si="83"/>
        <v>#VALUE!</v>
      </c>
      <c r="K89" s="138">
        <f t="shared" si="84"/>
        <v>32</v>
      </c>
      <c r="L89" s="138" t="str">
        <f>IFERROR(VLOOKUP(MID(G89,J89,K89-J89),[6]skilldef!$C:$D,2,FALSE),"-") &amp; " / " &amp; IFERROR(VLOOKUP(MID(G89,H89,I89-H89),[6]skilldef!$A:$B,2,FALSE),"-")</f>
        <v>- / -</v>
      </c>
      <c r="M89" s="138" t="str">
        <f t="shared" si="85"/>
        <v>[effect:break_heal_fix, target:myself, val:0, lowest_val:0, count:-1, block01:jammer],[effect:freq_turn, target:myself, turn:1, val:1, animation:enemy_freq_turn]</v>
      </c>
      <c r="N89" s="121" t="str">
        <f t="shared" si="98"/>
        <v>[effect:break_heal_fix, target:myself, val:0, lowest_val:0, count:-1, block01:jammer],[effect:freq_turn, target:myself, turn:1, val:1, animation:enemy_freq_turn]</v>
      </c>
      <c r="O89" s="138">
        <f t="shared" si="87"/>
        <v>9</v>
      </c>
      <c r="P89" s="138">
        <f t="shared" si="88"/>
        <v>23</v>
      </c>
      <c r="Q89" s="138">
        <f t="shared" si="89"/>
        <v>32</v>
      </c>
      <c r="R89" s="138">
        <f t="shared" si="90"/>
        <v>38</v>
      </c>
      <c r="S89" s="138" t="str">
        <f>IFERROR(VLOOKUP(MID(N89,Q89,R89-Q89),[6]skilldef!$C:$D,2,FALSE),"-") &amp; " / " &amp; IFERROR(VLOOKUP(MID(N89,O89,P89-O89),[6]skilldef!$A:$B,2,FALSE),"-")</f>
        <v>自分自身に / -</v>
      </c>
      <c r="T89" s="121" t="str">
        <f t="shared" si="91"/>
        <v>[effect:freq_turn, target:myself, turn:1, val:1, animation:enemy_freq_turn]</v>
      </c>
      <c r="U89" s="138">
        <f t="shared" si="92"/>
        <v>9</v>
      </c>
      <c r="V89" s="138">
        <f t="shared" si="93"/>
        <v>18</v>
      </c>
      <c r="W89" s="138">
        <f t="shared" si="94"/>
        <v>27</v>
      </c>
      <c r="X89" s="138">
        <f t="shared" si="95"/>
        <v>33</v>
      </c>
      <c r="Y89" s="138" t="str">
        <f>IFERROR(VLOOKUP(MID(T89,W89,X89-W89),[6]skilldef!$C:$D,2,FALSE),"-") &amp; " / " &amp; IFERROR(VLOOKUP(MID(T89,U89,V89-U89),[6]skilldef!$A:$B,2,FALSE),"-")</f>
        <v>自分自身に / 攻撃頻度がUP</v>
      </c>
      <c r="Z89" s="136"/>
      <c r="AA89" s="139"/>
      <c r="AB89" s="136"/>
    </row>
    <row r="90" spans="1:28" ht="21" customHeight="1" x14ac:dyDescent="0.15">
      <c r="A90" s="114">
        <v>48101089</v>
      </c>
      <c r="B90" s="106" t="s">
        <v>362</v>
      </c>
      <c r="C90" s="132">
        <v>1</v>
      </c>
      <c r="D90" s="132" t="s">
        <v>128</v>
      </c>
      <c r="E90" s="133" t="s">
        <v>361</v>
      </c>
      <c r="F90" s="133" t="s">
        <v>297</v>
      </c>
      <c r="G90" s="134" t="str">
        <f t="shared" si="80"/>
        <v>[effect:enemy_message, val1:1.8, val2:2.5]</v>
      </c>
      <c r="H90" s="134">
        <f t="shared" si="81"/>
        <v>9</v>
      </c>
      <c r="I90" s="134">
        <f t="shared" si="82"/>
        <v>22</v>
      </c>
      <c r="J90" s="134" t="e">
        <f t="shared" si="83"/>
        <v>#VALUE!</v>
      </c>
      <c r="K90" s="134">
        <f t="shared" si="84"/>
        <v>32</v>
      </c>
      <c r="L90" s="134" t="str">
        <f>IFERROR(VLOOKUP(MID(G90,J90,K90-J90),[6]skilldef!$C:$D,2,FALSE),"-") &amp; " / " &amp; IFERROR(VLOOKUP(MID(G90,H90,I90-H90),[6]skilldef!$A:$B,2,FALSE),"-")</f>
        <v>- / -</v>
      </c>
      <c r="M90" s="134" t="str">
        <f t="shared" si="85"/>
        <v>[effect:fix_speed, target:myself, turn:1]</v>
      </c>
      <c r="N90" s="120" t="str">
        <f t="shared" si="98"/>
        <v>[effect:fix_speed, target:myself, turn:1]</v>
      </c>
      <c r="O90" s="134">
        <f t="shared" si="87"/>
        <v>9</v>
      </c>
      <c r="P90" s="134">
        <f t="shared" si="88"/>
        <v>18</v>
      </c>
      <c r="Q90" s="134">
        <f t="shared" si="89"/>
        <v>27</v>
      </c>
      <c r="R90" s="134">
        <f t="shared" si="90"/>
        <v>33</v>
      </c>
      <c r="S90" s="134" t="str">
        <f>IFERROR(VLOOKUP(MID(N90,Q90,R90-Q90),[6]skilldef!$C:$D,2,FALSE),"-") &amp; " / " &amp; IFERROR(VLOOKUP(MID(N90,O90,P90-O90),[6]skilldef!$A:$B,2,FALSE),"-")</f>
        <v>自分自身に / 行動値設定</v>
      </c>
      <c r="T90" s="120" t="str">
        <f t="shared" si="91"/>
        <v>none</v>
      </c>
      <c r="U90" s="134" t="e">
        <f t="shared" si="92"/>
        <v>#VALUE!</v>
      </c>
      <c r="V90" s="134">
        <f t="shared" si="93"/>
        <v>4</v>
      </c>
      <c r="W90" s="134" t="e">
        <f t="shared" si="94"/>
        <v>#VALUE!</v>
      </c>
      <c r="X90" s="134" t="e">
        <f t="shared" si="95"/>
        <v>#VALUE!</v>
      </c>
      <c r="Y90" s="134" t="str">
        <f>IFERROR(VLOOKUP(MID(T90,W90,X90-W90),[6]skilldef!$C:$D,2,FALSE),"-") &amp; " / " &amp; IFERROR(VLOOKUP(MID(T90,U90,V90-U90),[6]skilldef!$A:$B,2,FALSE),"-")</f>
        <v>- / -</v>
      </c>
      <c r="Z90" s="132"/>
      <c r="AA90" s="135"/>
      <c r="AB90" s="132"/>
    </row>
    <row r="91" spans="1:28" ht="21" customHeight="1" x14ac:dyDescent="0.15">
      <c r="A91" s="114">
        <v>48101090</v>
      </c>
      <c r="B91" s="47" t="s">
        <v>321</v>
      </c>
      <c r="C91" s="50">
        <v>1</v>
      </c>
      <c r="D91" s="50" t="s">
        <v>128</v>
      </c>
      <c r="E91" s="51" t="s">
        <v>293</v>
      </c>
      <c r="F91" s="51" t="s">
        <v>257</v>
      </c>
      <c r="G91" s="64" t="str">
        <f t="shared" si="80"/>
        <v>[effect:enemy_message, val1:1.2, val2:1.2]</v>
      </c>
      <c r="H91" s="64">
        <f t="shared" si="81"/>
        <v>9</v>
      </c>
      <c r="I91" s="64">
        <f t="shared" si="82"/>
        <v>22</v>
      </c>
      <c r="J91" s="64" t="e">
        <f t="shared" si="83"/>
        <v>#VALUE!</v>
      </c>
      <c r="K91" s="64">
        <f t="shared" si="84"/>
        <v>32</v>
      </c>
      <c r="L91" s="64" t="str">
        <f>IFERROR(VLOOKUP(MID(G91,J91,K91-J91),[6]skilldef!$C:$D,2,FALSE),"-") &amp; " / " &amp; IFERROR(VLOOKUP(MID(G91,H91,I91-H91),[6]skilldef!$A:$B,2,FALSE),"-")</f>
        <v>- / -</v>
      </c>
      <c r="M91" s="64" t="str">
        <f t="shared" si="85"/>
        <v>[effect:critical, val:1.4, animation:enemy_critical]</v>
      </c>
      <c r="N91" s="48" t="str">
        <f t="shared" si="98"/>
        <v>[effect:critical, val:1.4, animation:enemy_critical]</v>
      </c>
      <c r="O91" s="64">
        <f t="shared" si="87"/>
        <v>9</v>
      </c>
      <c r="P91" s="64">
        <f t="shared" si="88"/>
        <v>17</v>
      </c>
      <c r="Q91" s="64" t="e">
        <f t="shared" si="89"/>
        <v>#VALUE!</v>
      </c>
      <c r="R91" s="64">
        <f t="shared" si="90"/>
        <v>26</v>
      </c>
      <c r="S91" s="64" t="str">
        <f>IFERROR(VLOOKUP(MID(N91,Q91,R91-Q91),[6]skilldef!$C:$D,2,FALSE),"-") &amp; " / " &amp; IFERROR(VLOOKUP(MID(N91,O91,P91-O91),[6]skilldef!$A:$B,2,FALSE),"-")</f>
        <v>- / 大攻撃</v>
      </c>
      <c r="T91" s="48" t="str">
        <f t="shared" si="91"/>
        <v>none</v>
      </c>
      <c r="U91" s="64" t="e">
        <f t="shared" si="92"/>
        <v>#VALUE!</v>
      </c>
      <c r="V91" s="64">
        <f t="shared" si="93"/>
        <v>4</v>
      </c>
      <c r="W91" s="64" t="e">
        <f t="shared" si="94"/>
        <v>#VALUE!</v>
      </c>
      <c r="X91" s="64" t="e">
        <f t="shared" si="95"/>
        <v>#VALUE!</v>
      </c>
      <c r="Y91" s="64" t="str">
        <f>IFERROR(VLOOKUP(MID(T91,W91,X91-W91),[6]skilldef!$C:$D,2,FALSE),"-") &amp; " / " &amp; IFERROR(VLOOKUP(MID(T91,U91,V91-U91),[6]skilldef!$A:$B,2,FALSE),"-")</f>
        <v>- / -</v>
      </c>
      <c r="Z91" s="50"/>
      <c r="AA91" s="52"/>
      <c r="AB91" s="50"/>
    </row>
    <row r="92" spans="1:28" ht="21" customHeight="1" x14ac:dyDescent="0.15">
      <c r="A92" s="114">
        <v>48101091</v>
      </c>
      <c r="B92" s="47" t="s">
        <v>351</v>
      </c>
      <c r="C92" s="50">
        <v>1</v>
      </c>
      <c r="D92" s="50" t="s">
        <v>128</v>
      </c>
      <c r="E92" s="51" t="s">
        <v>279</v>
      </c>
      <c r="F92" s="51" t="s">
        <v>265</v>
      </c>
      <c r="G92" s="64" t="str">
        <f t="shared" si="80"/>
        <v>[effect:enemy_message, val1:1.2, val2:2.0]</v>
      </c>
      <c r="H92" s="64">
        <f t="shared" si="81"/>
        <v>9</v>
      </c>
      <c r="I92" s="64">
        <f t="shared" si="82"/>
        <v>22</v>
      </c>
      <c r="J92" s="64" t="e">
        <f t="shared" si="83"/>
        <v>#VALUE!</v>
      </c>
      <c r="K92" s="64">
        <f t="shared" si="84"/>
        <v>32</v>
      </c>
      <c r="L92" s="64" t="str">
        <f>IFERROR(VLOOKUP(MID(G92,J92,K92-J92),[6]skilldef!$C:$D,2,FALSE),"-") &amp; " / " &amp; IFERROR(VLOOKUP(MID(G92,H92,I92-H92),[6]skilldef!$A:$B,2,FALSE),"-")</f>
        <v>- / -</v>
      </c>
      <c r="M92" s="64" t="str">
        <f t="shared" si="85"/>
        <v>none</v>
      </c>
      <c r="N92" s="48" t="str">
        <f t="shared" si="98"/>
        <v>none</v>
      </c>
      <c r="O92" s="64" t="e">
        <f t="shared" si="87"/>
        <v>#VALUE!</v>
      </c>
      <c r="P92" s="64">
        <f t="shared" si="88"/>
        <v>4</v>
      </c>
      <c r="Q92" s="64" t="e">
        <f t="shared" si="89"/>
        <v>#VALUE!</v>
      </c>
      <c r="R92" s="64" t="e">
        <f t="shared" si="90"/>
        <v>#VALUE!</v>
      </c>
      <c r="S92" s="64" t="str">
        <f>IFERROR(VLOOKUP(MID(N92,Q92,R92-Q92),[6]skilldef!$C:$D,2,FALSE),"-") &amp; " / " &amp; IFERROR(VLOOKUP(MID(N92,O92,P92-O92),[6]skilldef!$A:$B,2,FALSE),"-")</f>
        <v>- / -</v>
      </c>
      <c r="T92" s="48" t="str">
        <f t="shared" si="91"/>
        <v>none</v>
      </c>
      <c r="U92" s="64" t="e">
        <f t="shared" si="92"/>
        <v>#VALUE!</v>
      </c>
      <c r="V92" s="64">
        <f t="shared" si="93"/>
        <v>4</v>
      </c>
      <c r="W92" s="64" t="e">
        <f t="shared" si="94"/>
        <v>#VALUE!</v>
      </c>
      <c r="X92" s="64" t="e">
        <f t="shared" si="95"/>
        <v>#VALUE!</v>
      </c>
      <c r="Y92" s="64" t="str">
        <f>IFERROR(VLOOKUP(MID(T92,W92,X92-W92),[6]skilldef!$C:$D,2,FALSE),"-") &amp; " / " &amp; IFERROR(VLOOKUP(MID(T92,U92,V92-U92),[6]skilldef!$A:$B,2,FALSE),"-")</f>
        <v>- / -</v>
      </c>
      <c r="Z92" s="50"/>
      <c r="AA92" s="52"/>
      <c r="AB92" s="50"/>
    </row>
    <row r="93" spans="1:28" ht="21" customHeight="1" x14ac:dyDescent="0.15">
      <c r="A93" s="114">
        <v>48101092</v>
      </c>
      <c r="B93" s="47" t="s">
        <v>363</v>
      </c>
      <c r="C93" s="50">
        <v>1</v>
      </c>
      <c r="D93" s="50" t="s">
        <v>128</v>
      </c>
      <c r="E93" s="51" t="s">
        <v>278</v>
      </c>
      <c r="F93" s="51" t="s">
        <v>269</v>
      </c>
      <c r="G93" s="64" t="str">
        <f t="shared" si="80"/>
        <v>[effect:enemy_message, val1:1.2, val2:1.5]</v>
      </c>
      <c r="H93" s="64">
        <f t="shared" si="81"/>
        <v>9</v>
      </c>
      <c r="I93" s="64">
        <f t="shared" si="82"/>
        <v>22</v>
      </c>
      <c r="J93" s="64" t="e">
        <f t="shared" si="83"/>
        <v>#VALUE!</v>
      </c>
      <c r="K93" s="64">
        <f t="shared" si="84"/>
        <v>32</v>
      </c>
      <c r="L93" s="64" t="str">
        <f>IFERROR(VLOOKUP(MID(G93,J93,K93-J93),[6]skilldef!$C:$D,2,FALSE),"-") &amp; " / " &amp; IFERROR(VLOOKUP(MID(G93,H93,I93-H93),[6]skilldef!$A:$B,2,FALSE),"-")</f>
        <v>- / -</v>
      </c>
      <c r="M93" s="64" t="str">
        <f t="shared" si="85"/>
        <v>[effect:break_attack_fix, target:unit_all, val:100, lowest_val:1000, count:-1, block01:jammer]</v>
      </c>
      <c r="N93" s="48" t="str">
        <f t="shared" si="98"/>
        <v>[effect:break_attack_fix, target:unit_all, val:100, lowest_val:1000, count:-1, block01:jammer]</v>
      </c>
      <c r="O93" s="64">
        <f t="shared" si="87"/>
        <v>9</v>
      </c>
      <c r="P93" s="64">
        <f t="shared" si="88"/>
        <v>25</v>
      </c>
      <c r="Q93" s="64">
        <f t="shared" si="89"/>
        <v>34</v>
      </c>
      <c r="R93" s="64">
        <f t="shared" si="90"/>
        <v>42</v>
      </c>
      <c r="S93" s="64" t="str">
        <f>IFERROR(VLOOKUP(MID(N93,Q93,R93-Q93),[6]skilldef!$C:$D,2,FALSE),"-") &amp; " / " &amp; IFERROR(VLOOKUP(MID(N93,O93,P93-O93),[6]skilldef!$A:$B,2,FALSE),"-")</f>
        <v>味方全体に / -</v>
      </c>
      <c r="T93" s="48" t="str">
        <f t="shared" si="91"/>
        <v>none</v>
      </c>
      <c r="U93" s="64" t="e">
        <f t="shared" si="92"/>
        <v>#VALUE!</v>
      </c>
      <c r="V93" s="64">
        <f t="shared" si="93"/>
        <v>4</v>
      </c>
      <c r="W93" s="64" t="e">
        <f t="shared" si="94"/>
        <v>#VALUE!</v>
      </c>
      <c r="X93" s="64" t="e">
        <f t="shared" si="95"/>
        <v>#VALUE!</v>
      </c>
      <c r="Y93" s="64" t="str">
        <f>IFERROR(VLOOKUP(MID(T93,W93,X93-W93),[6]skilldef!$C:$D,2,FALSE),"-") &amp; " / " &amp; IFERROR(VLOOKUP(MID(T93,U93,V93-U93),[6]skilldef!$A:$B,2,FALSE),"-")</f>
        <v>- / -</v>
      </c>
      <c r="Z93" s="50"/>
      <c r="AA93" s="52"/>
      <c r="AB93" s="50"/>
    </row>
    <row r="94" spans="1:28" ht="21" customHeight="1" thickBot="1" x14ac:dyDescent="0.2">
      <c r="A94" s="116">
        <v>48101093</v>
      </c>
      <c r="B94" s="107" t="s">
        <v>421</v>
      </c>
      <c r="C94" s="50">
        <v>1</v>
      </c>
      <c r="D94" s="50" t="s">
        <v>128</v>
      </c>
      <c r="E94" s="51" t="s">
        <v>309</v>
      </c>
      <c r="F94" s="51" t="s">
        <v>419</v>
      </c>
      <c r="G94" s="64" t="str">
        <f t="shared" si="80"/>
        <v>[effect:enemy_message, val1:1.2, val2:3.6]</v>
      </c>
      <c r="H94" s="64">
        <f t="shared" si="81"/>
        <v>9</v>
      </c>
      <c r="I94" s="64">
        <f t="shared" si="82"/>
        <v>22</v>
      </c>
      <c r="J94" s="64" t="e">
        <f t="shared" si="83"/>
        <v>#VALUE!</v>
      </c>
      <c r="K94" s="64">
        <f t="shared" si="84"/>
        <v>32</v>
      </c>
      <c r="L94" s="64" t="str">
        <f>IFERROR(VLOOKUP(MID(G94,J94,K94-J94),[6]skilldef!$C:$D,2,FALSE),"-") &amp; " / " &amp; IFERROR(VLOOKUP(MID(G94,H94,I94-H94),[6]skilldef!$A:$B,2,FALSE),"-")</f>
        <v>- / -</v>
      </c>
      <c r="M94" s="64" t="str">
        <f t="shared" si="85"/>
        <v>[effect:change_range_block, block_change:1, base_type:0, square_count:3, position01:0, position02:8, value_h01:1, value_h02:1, value_w01:1, value_w02:1, new_block:jammer, target:block_all, ignore01:block_positive, ignore02:jammer, count:0, val:0, animation:change_range_block],[effect:attack_break, target:unit_all, turn:1, val:0.2, calc:mul, animation:attack_break01]</v>
      </c>
      <c r="N94" s="48" t="str">
        <f t="shared" ref="N94:N104" si="99">IFERROR(LEFT(M94,FIND("],",M94)+S105),M94)</f>
        <v>[effect:change_range_block, block_change:1, base_type:0, square_count:3, position01:0, position02:8, value_h01:1, value_h02:1, value_w01:1, value_w02:1, new_block:jammer, target:block_all, ignore01:block_positive, ignore02:jammer, count:0, val:0, animation:change_range_block],[effect:attack_break, target:unit_all, turn:1, val:0.2, calc:mul, animation:attack_break01]</v>
      </c>
      <c r="O94" s="64">
        <f t="shared" si="87"/>
        <v>9</v>
      </c>
      <c r="P94" s="64">
        <f t="shared" si="88"/>
        <v>27</v>
      </c>
      <c r="Q94" s="64">
        <f t="shared" si="89"/>
        <v>179</v>
      </c>
      <c r="R94" s="64">
        <f t="shared" si="90"/>
        <v>43</v>
      </c>
      <c r="S94" s="64" t="str">
        <f>IFERROR(VLOOKUP(MID(N94,Q94,R94-Q94),[6]skilldef!$C:$D,2,FALSE),"-") &amp; " / " &amp; IFERROR(VLOOKUP(MID(N94,O94,P94-O94),[6]skilldef!$A:$B,2,FALSE),"-")</f>
        <v>- / -</v>
      </c>
      <c r="T94" s="48" t="str">
        <f t="shared" si="91"/>
        <v>[effect:attack_break, target:unit_all, turn:1, val:0.2, calc:mul, animation:attack_break01]</v>
      </c>
      <c r="U94" s="64">
        <f t="shared" si="92"/>
        <v>9</v>
      </c>
      <c r="V94" s="64">
        <f t="shared" si="93"/>
        <v>21</v>
      </c>
      <c r="W94" s="64">
        <f t="shared" si="94"/>
        <v>30</v>
      </c>
      <c r="X94" s="64">
        <f t="shared" si="95"/>
        <v>38</v>
      </c>
      <c r="Y94" s="64" t="str">
        <f>IFERROR(VLOOKUP(MID(T94,W94,X94-W94),[6]skilldef!$C:$D,2,FALSE),"-") &amp; " / " &amp; IFERROR(VLOOKUP(MID(T94,U94,V94-U94),[6]skilldef!$A:$B,2,FALSE),"-")</f>
        <v>味方全体に / -</v>
      </c>
      <c r="Z94" s="50"/>
      <c r="AA94" s="52"/>
      <c r="AB94" s="50"/>
    </row>
    <row r="95" spans="1:28" ht="21" customHeight="1" x14ac:dyDescent="0.15">
      <c r="A95" s="114">
        <v>48101094</v>
      </c>
      <c r="B95" s="47" t="s">
        <v>364</v>
      </c>
      <c r="C95" s="50">
        <v>1</v>
      </c>
      <c r="D95" s="50" t="s">
        <v>128</v>
      </c>
      <c r="E95" s="51" t="s">
        <v>292</v>
      </c>
      <c r="F95" s="49" t="s">
        <v>281</v>
      </c>
      <c r="G95" s="64" t="str">
        <f>IFERROR(LEFT(B97,FIND("],",B97)),B97)</f>
        <v>[effect:enemy_message, val1:1.2, val2:1.2]</v>
      </c>
      <c r="H95" s="64">
        <f t="shared" si="81"/>
        <v>9</v>
      </c>
      <c r="I95" s="64">
        <f t="shared" si="82"/>
        <v>22</v>
      </c>
      <c r="J95" s="64" t="e">
        <f t="shared" si="83"/>
        <v>#VALUE!</v>
      </c>
      <c r="K95" s="64">
        <f t="shared" si="84"/>
        <v>32</v>
      </c>
      <c r="L95" s="64" t="str">
        <f>IFERROR(VLOOKUP(MID(G95,J95,K95-J95),[6]skilldef!$C:$D,2,FALSE),"-") &amp; " / " &amp; IFERROR(VLOOKUP(MID(G95,H95,I95-H95),[6]skilldef!$A:$B,2,FALSE),"-")</f>
        <v>- / -</v>
      </c>
      <c r="M95" s="64" t="str">
        <f>IFERROR(RIGHT(B97,LEN(B97)-FIND("],",B97)-1),"none")</f>
        <v xml:space="preserve">[effect:rush, count:3, val:0.35]    </v>
      </c>
      <c r="N95" s="48" t="str">
        <f t="shared" si="99"/>
        <v xml:space="preserve">[effect:rush, count:3, val:0.35]    </v>
      </c>
      <c r="O95" s="64">
        <f t="shared" si="87"/>
        <v>9</v>
      </c>
      <c r="P95" s="64">
        <f t="shared" si="88"/>
        <v>13</v>
      </c>
      <c r="Q95" s="64" t="e">
        <f t="shared" si="89"/>
        <v>#VALUE!</v>
      </c>
      <c r="R95" s="64">
        <f t="shared" si="90"/>
        <v>22</v>
      </c>
      <c r="S95" s="64" t="str">
        <f>IFERROR(VLOOKUP(MID(N95,Q95,R95-Q95),[6]skilldef!$C:$D,2,FALSE),"-") &amp; " / " &amp; IFERROR(VLOOKUP(MID(N95,O95,P95-O95),[6]skilldef!$A:$B,2,FALSE),"-")</f>
        <v>- / 連続攻撃</v>
      </c>
      <c r="T95" s="48" t="str">
        <f t="shared" si="91"/>
        <v>none</v>
      </c>
      <c r="U95" s="64" t="e">
        <f t="shared" si="92"/>
        <v>#VALUE!</v>
      </c>
      <c r="V95" s="64">
        <f t="shared" si="93"/>
        <v>4</v>
      </c>
      <c r="W95" s="64" t="e">
        <f t="shared" si="94"/>
        <v>#VALUE!</v>
      </c>
      <c r="X95" s="64" t="e">
        <f t="shared" si="95"/>
        <v>#VALUE!</v>
      </c>
      <c r="Y95" s="64" t="str">
        <f>IFERROR(VLOOKUP(MID(T95,W95,X95-W95),[6]skilldef!$C:$D,2,FALSE),"-") &amp; " / " &amp; IFERROR(VLOOKUP(MID(T95,U95,V95-U95),[6]skilldef!$A:$B,2,FALSE),"-")</f>
        <v>- / -</v>
      </c>
      <c r="Z95" s="50"/>
      <c r="AA95" s="52"/>
      <c r="AB95" s="50"/>
    </row>
    <row r="96" spans="1:28" ht="21" customHeight="1" x14ac:dyDescent="0.15">
      <c r="A96" s="114">
        <v>48101095</v>
      </c>
      <c r="B96" s="47" t="s">
        <v>365</v>
      </c>
      <c r="C96" s="50">
        <v>1</v>
      </c>
      <c r="D96" s="50" t="s">
        <v>128</v>
      </c>
      <c r="E96" s="51" t="s">
        <v>282</v>
      </c>
      <c r="F96" s="51" t="s">
        <v>366</v>
      </c>
      <c r="G96" s="64" t="str">
        <f>IFERROR(LEFT(B96,FIND("],",B96)),B96)</f>
        <v>[effect:enemy_message, val1:1.2, val2:3.2]</v>
      </c>
      <c r="H96" s="64">
        <f t="shared" si="81"/>
        <v>9</v>
      </c>
      <c r="I96" s="64">
        <f t="shared" si="82"/>
        <v>22</v>
      </c>
      <c r="J96" s="64" t="e">
        <f t="shared" si="83"/>
        <v>#VALUE!</v>
      </c>
      <c r="K96" s="64">
        <f t="shared" si="84"/>
        <v>32</v>
      </c>
      <c r="L96" s="64" t="str">
        <f>IFERROR(VLOOKUP(MID(G96,J96,K96-J96),[6]skilldef!$C:$D,2,FALSE),"-") &amp; " / " &amp; IFERROR(VLOOKUP(MID(G96,H96,I96-H96),[6]skilldef!$A:$B,2,FALSE),"-")</f>
        <v>- / -</v>
      </c>
      <c r="M96" s="64" t="str">
        <f>IFERROR(RIGHT(B96,LEN(B96)-FIND("],",B96)-1),"none")</f>
        <v>[effect:break_heal_ratio, target:myself, val:0, lowest_val:0, count:-1, block01:block_heart],[effect:degrade_unit, target:unit_all, turn:1, status:heal, val:0.9, calc:mul, animation:degrade_unit_all_heal]</v>
      </c>
      <c r="N96" s="48" t="str">
        <f t="shared" si="99"/>
        <v>[effect:break_heal_ratio, target:myself, val:0, lowest_val:0, count:-1, block01:block_heart],[effect:degrade_unit, target:unit_all, turn:1, status:heal, val:0.9, calc:mul, animation:degrade_unit_all_heal]</v>
      </c>
      <c r="O96" s="64">
        <f t="shared" si="87"/>
        <v>9</v>
      </c>
      <c r="P96" s="64">
        <f t="shared" si="88"/>
        <v>25</v>
      </c>
      <c r="Q96" s="64">
        <f t="shared" si="89"/>
        <v>34</v>
      </c>
      <c r="R96" s="64">
        <f t="shared" si="90"/>
        <v>40</v>
      </c>
      <c r="S96" s="64" t="str">
        <f>IFERROR(VLOOKUP(MID(N96,Q96,R96-Q96),[6]skilldef!$C:$D,2,FALSE),"-") &amp; " / " &amp; IFERROR(VLOOKUP(MID(N96,O96,P96-O96),[6]skilldef!$A:$B,2,FALSE),"-")</f>
        <v>自分自身に / -</v>
      </c>
      <c r="T96" s="48" t="str">
        <f t="shared" si="91"/>
        <v>[effect:degrade_unit, target:unit_all, turn:1, status:heal, val:0.9, calc:mul, animation:degrade_unit_all_heal]</v>
      </c>
      <c r="U96" s="64">
        <f t="shared" si="92"/>
        <v>9</v>
      </c>
      <c r="V96" s="64">
        <f t="shared" si="93"/>
        <v>21</v>
      </c>
      <c r="W96" s="64">
        <f t="shared" si="94"/>
        <v>30</v>
      </c>
      <c r="X96" s="64">
        <f t="shared" si="95"/>
        <v>38</v>
      </c>
      <c r="Y96" s="64" t="str">
        <f>IFERROR(VLOOKUP(MID(T96,W96,X96-W96),[6]skilldef!$C:$D,2,FALSE),"-") &amp; " / " &amp; IFERROR(VLOOKUP(MID(T96,U96,V96-U96),[6]skilldef!$A:$B,2,FALSE),"-")</f>
        <v>味方全体に / ステータスDOWN</v>
      </c>
      <c r="Z96" s="50"/>
      <c r="AA96" s="52"/>
      <c r="AB96" s="50"/>
    </row>
    <row r="97" spans="1:28" ht="21" customHeight="1" x14ac:dyDescent="0.15">
      <c r="A97" s="114">
        <v>48101096</v>
      </c>
      <c r="B97" s="106" t="s">
        <v>307</v>
      </c>
      <c r="C97" s="50">
        <v>1</v>
      </c>
      <c r="D97" s="50" t="s">
        <v>128</v>
      </c>
      <c r="E97" s="51" t="s">
        <v>291</v>
      </c>
      <c r="F97" s="51" t="s">
        <v>283</v>
      </c>
      <c r="G97" s="64" t="e">
        <f>IFERROR(LEFT(#REF!,FIND("],",#REF!)),#REF!)</f>
        <v>#REF!</v>
      </c>
      <c r="H97" s="64" t="e">
        <f t="shared" si="81"/>
        <v>#REF!</v>
      </c>
      <c r="I97" s="64" t="e">
        <f t="shared" si="82"/>
        <v>#REF!</v>
      </c>
      <c r="J97" s="64" t="e">
        <f t="shared" si="83"/>
        <v>#REF!</v>
      </c>
      <c r="K97" s="64" t="e">
        <f t="shared" si="84"/>
        <v>#REF!</v>
      </c>
      <c r="L97" s="64" t="str">
        <f>IFERROR(VLOOKUP(MID(G97,J97,K97-J97),[6]skilldef!$C:$D,2,FALSE),"-") &amp; " / " &amp; IFERROR(VLOOKUP(MID(G97,H97,I97-H97),[6]skilldef!$A:$B,2,FALSE),"-")</f>
        <v>- / -</v>
      </c>
      <c r="M97" s="64" t="str">
        <f>IFERROR(RIGHT(#REF!,LEN(#REF!)-FIND("],",#REF!)-1),"none")</f>
        <v>none</v>
      </c>
      <c r="N97" s="48" t="str">
        <f t="shared" si="99"/>
        <v>none</v>
      </c>
      <c r="O97" s="64" t="e">
        <f t="shared" si="87"/>
        <v>#VALUE!</v>
      </c>
      <c r="P97" s="64">
        <f t="shared" si="88"/>
        <v>4</v>
      </c>
      <c r="Q97" s="64" t="e">
        <f t="shared" si="89"/>
        <v>#VALUE!</v>
      </c>
      <c r="R97" s="64" t="e">
        <f t="shared" si="90"/>
        <v>#VALUE!</v>
      </c>
      <c r="S97" s="64" t="str">
        <f>IFERROR(VLOOKUP(MID(N97,Q97,R97-Q97),[6]skilldef!$C:$D,2,FALSE),"-") &amp; " / " &amp; IFERROR(VLOOKUP(MID(N97,O97,P97-O97),[6]skilldef!$A:$B,2,FALSE),"-")</f>
        <v>- / -</v>
      </c>
      <c r="T97" s="48" t="str">
        <f t="shared" si="91"/>
        <v>none</v>
      </c>
      <c r="U97" s="64" t="e">
        <f t="shared" si="92"/>
        <v>#VALUE!</v>
      </c>
      <c r="V97" s="64">
        <f t="shared" si="93"/>
        <v>4</v>
      </c>
      <c r="W97" s="64" t="e">
        <f t="shared" si="94"/>
        <v>#VALUE!</v>
      </c>
      <c r="X97" s="64" t="e">
        <f t="shared" si="95"/>
        <v>#VALUE!</v>
      </c>
      <c r="Y97" s="64" t="str">
        <f>IFERROR(VLOOKUP(MID(T97,W97,X97-W97),[6]skilldef!$C:$D,2,FALSE),"-") &amp; " / " &amp; IFERROR(VLOOKUP(MID(T97,U97,V97-U97),[6]skilldef!$A:$B,2,FALSE),"-")</f>
        <v>- / -</v>
      </c>
      <c r="Z97" s="50"/>
      <c r="AA97" s="52"/>
      <c r="AB97" s="50"/>
    </row>
    <row r="98" spans="1:28" ht="21" customHeight="1" x14ac:dyDescent="0.15">
      <c r="A98" s="114">
        <v>48101097</v>
      </c>
      <c r="B98" s="106" t="s">
        <v>367</v>
      </c>
      <c r="C98" s="50">
        <v>1</v>
      </c>
      <c r="D98" s="50" t="s">
        <v>128</v>
      </c>
      <c r="E98" s="51" t="s">
        <v>317</v>
      </c>
      <c r="F98" s="51" t="s">
        <v>280</v>
      </c>
      <c r="G98" s="64" t="str">
        <f t="shared" ref="G98:G121" si="100">IFERROR(LEFT(B98,FIND("],",B98)),B98)</f>
        <v>[effect:enemy_message, val1:1.2, val2:1.4]</v>
      </c>
      <c r="H98" s="64">
        <f t="shared" si="81"/>
        <v>9</v>
      </c>
      <c r="I98" s="64">
        <f t="shared" si="82"/>
        <v>22</v>
      </c>
      <c r="J98" s="64" t="e">
        <f t="shared" si="83"/>
        <v>#VALUE!</v>
      </c>
      <c r="K98" s="64">
        <f t="shared" si="84"/>
        <v>32</v>
      </c>
      <c r="L98" s="64" t="str">
        <f>IFERROR(VLOOKUP(MID(G98,J98,K98-J98),[6]skilldef!$C:$D,2,FALSE),"-") &amp; " / " &amp; IFERROR(VLOOKUP(MID(G98,H98,I98-H98),[6]skilldef!$A:$B,2,FALSE),"-")</f>
        <v>- / -</v>
      </c>
      <c r="M98" s="64" t="str">
        <f t="shared" ref="M98:M121" si="101">IFERROR(RIGHT(B98,LEN(B98)-FIND("],",B98)-1),"none")</f>
        <v>[effect:force_change_block, new_block:block_blue, target:jammer, count:0, val:0, animation:change_block]</v>
      </c>
      <c r="N98" s="48" t="str">
        <f t="shared" si="99"/>
        <v>[effect:force_change_block, new_block:block_blue, target:jammer, count:0, val:0, animation:change_block]</v>
      </c>
      <c r="O98" s="64">
        <f t="shared" si="87"/>
        <v>9</v>
      </c>
      <c r="P98" s="64">
        <f t="shared" si="88"/>
        <v>27</v>
      </c>
      <c r="Q98" s="64">
        <f t="shared" si="89"/>
        <v>58</v>
      </c>
      <c r="R98" s="64">
        <f t="shared" si="90"/>
        <v>49</v>
      </c>
      <c r="S98" s="64" t="str">
        <f>IFERROR(VLOOKUP(MID(N98,Q98,R98-Q98),[6]skilldef!$C:$D,2,FALSE),"-") &amp; " / " &amp; IFERROR(VLOOKUP(MID(N98,O98,P98-O98),[6]skilldef!$A:$B,2,FALSE),"-")</f>
        <v>- / -</v>
      </c>
      <c r="T98" s="48" t="str">
        <f t="shared" si="91"/>
        <v>none</v>
      </c>
      <c r="U98" s="64" t="e">
        <f t="shared" si="92"/>
        <v>#VALUE!</v>
      </c>
      <c r="V98" s="64">
        <f t="shared" si="93"/>
        <v>4</v>
      </c>
      <c r="W98" s="64" t="e">
        <f t="shared" si="94"/>
        <v>#VALUE!</v>
      </c>
      <c r="X98" s="64" t="e">
        <f t="shared" si="95"/>
        <v>#VALUE!</v>
      </c>
      <c r="Y98" s="64" t="str">
        <f>IFERROR(VLOOKUP(MID(T98,W98,X98-W98),[6]skilldef!$C:$D,2,FALSE),"-") &amp; " / " &amp; IFERROR(VLOOKUP(MID(T98,U98,V98-U98),[6]skilldef!$A:$B,2,FALSE),"-")</f>
        <v>- / -</v>
      </c>
      <c r="Z98" s="50"/>
      <c r="AA98" s="52"/>
      <c r="AB98" s="50"/>
    </row>
    <row r="99" spans="1:28" ht="21" customHeight="1" x14ac:dyDescent="0.15">
      <c r="A99" s="114">
        <v>48101098</v>
      </c>
      <c r="B99" s="113" t="s">
        <v>369</v>
      </c>
      <c r="C99" s="50">
        <v>1</v>
      </c>
      <c r="D99" s="50" t="s">
        <v>128</v>
      </c>
      <c r="E99" s="51" t="s">
        <v>368</v>
      </c>
      <c r="F99" s="51" t="s">
        <v>285</v>
      </c>
      <c r="G99" s="64" t="str">
        <f t="shared" si="100"/>
        <v>[effect:enemy_message, val1:2.2, val2:1.2]</v>
      </c>
      <c r="H99" s="64">
        <f t="shared" si="81"/>
        <v>9</v>
      </c>
      <c r="I99" s="64">
        <f t="shared" si="82"/>
        <v>22</v>
      </c>
      <c r="J99" s="64" t="e">
        <f t="shared" si="83"/>
        <v>#VALUE!</v>
      </c>
      <c r="K99" s="64">
        <f t="shared" si="84"/>
        <v>32</v>
      </c>
      <c r="L99" s="64" t="str">
        <f>IFERROR(VLOOKUP(MID(G99,J99,K99-J99),[6]skilldef!$C:$D,2,FALSE),"-") &amp; " / " &amp; IFERROR(VLOOKUP(MID(G99,H99,I99-H99),[6]skilldef!$A:$B,2,FALSE),"-")</f>
        <v>- / -</v>
      </c>
      <c r="M99" s="64" t="str">
        <f t="shared" si="101"/>
        <v>[effect:rush, count:1, val:0.15],[effect:rush, count:1, val:0.2],[effect:rush, count:1, val:0.25],[effect:rush, count:1, val:0.3],[effect:rush, count:1, val:0.35],[effect:rush, count:1, val:0.4]</v>
      </c>
      <c r="N99" s="48" t="str">
        <f t="shared" si="99"/>
        <v>[effect:rush, count:1, val:0.15],[effect:rush, count:1, val:0.2],[effect:rush, count:1, val:0.25],[effect:rush, count:1, val:0.3],[effect:rush, count:1, val:0.35],[effect:rush, count:1, val:0.4]</v>
      </c>
      <c r="O99" s="64">
        <f t="shared" si="87"/>
        <v>9</v>
      </c>
      <c r="P99" s="64">
        <f t="shared" si="88"/>
        <v>13</v>
      </c>
      <c r="Q99" s="64" t="e">
        <f t="shared" si="89"/>
        <v>#VALUE!</v>
      </c>
      <c r="R99" s="64">
        <f t="shared" si="90"/>
        <v>22</v>
      </c>
      <c r="S99" s="64" t="str">
        <f>IFERROR(VLOOKUP(MID(N99,Q99,R99-Q99),[6]skilldef!$C:$D,2,FALSE),"-") &amp; " / " &amp; IFERROR(VLOOKUP(MID(N99,O99,P99-O99),[6]skilldef!$A:$B,2,FALSE),"-")</f>
        <v>- / 連続攻撃</v>
      </c>
      <c r="T99" s="48" t="str">
        <f t="shared" si="91"/>
        <v>[effect:rush, count:1, val:0.2],[effect:rush, count:1, val:0.25],[effect:rush, count:1, val:0.3],[effect:rush, count:1, val:0.35],[effect:rush, count:1, val:0.4]</v>
      </c>
      <c r="U99" s="64">
        <f t="shared" si="92"/>
        <v>9</v>
      </c>
      <c r="V99" s="64">
        <f t="shared" si="93"/>
        <v>13</v>
      </c>
      <c r="W99" s="64" t="e">
        <f t="shared" si="94"/>
        <v>#VALUE!</v>
      </c>
      <c r="X99" s="64">
        <f t="shared" si="95"/>
        <v>22</v>
      </c>
      <c r="Y99" s="64" t="str">
        <f>IFERROR(VLOOKUP(MID(T99,W99,X99-W99),[6]skilldef!$C:$D,2,FALSE),"-") &amp; " / " &amp; IFERROR(VLOOKUP(MID(T99,U99,V99-U99),[6]skilldef!$A:$B,2,FALSE),"-")</f>
        <v>- / 連続攻撃</v>
      </c>
      <c r="Z99" s="50"/>
      <c r="AA99" s="52"/>
      <c r="AB99" s="50"/>
    </row>
    <row r="100" spans="1:28" ht="21" customHeight="1" thickBot="1" x14ac:dyDescent="0.2">
      <c r="A100" s="116">
        <v>48101099</v>
      </c>
      <c r="B100" s="107" t="s">
        <v>370</v>
      </c>
      <c r="C100" s="136">
        <v>1</v>
      </c>
      <c r="D100" s="136" t="s">
        <v>128</v>
      </c>
      <c r="E100" s="137" t="s">
        <v>284</v>
      </c>
      <c r="F100" s="137" t="s">
        <v>294</v>
      </c>
      <c r="G100" s="138" t="str">
        <f t="shared" si="100"/>
        <v xml:space="preserve">[effect:enemy_message, val1:1.4, val2:1.3, dead_type:escape]    </v>
      </c>
      <c r="H100" s="138">
        <f t="shared" si="81"/>
        <v>9</v>
      </c>
      <c r="I100" s="138">
        <f t="shared" si="82"/>
        <v>22</v>
      </c>
      <c r="J100" s="138" t="e">
        <f t="shared" si="83"/>
        <v>#VALUE!</v>
      </c>
      <c r="K100" s="138">
        <f t="shared" si="84"/>
        <v>32</v>
      </c>
      <c r="L100" s="138" t="str">
        <f>IFERROR(VLOOKUP(MID(G100,J100,K100-J100),[6]skilldef!$C:$D,2,FALSE),"-") &amp; " / " &amp; IFERROR(VLOOKUP(MID(G100,H100,I100-H100),[6]skilldef!$A:$B,2,FALSE),"-")</f>
        <v>- / -</v>
      </c>
      <c r="M100" s="138" t="str">
        <f t="shared" si="101"/>
        <v>none</v>
      </c>
      <c r="N100" s="121" t="str">
        <f t="shared" si="99"/>
        <v>none</v>
      </c>
      <c r="O100" s="138" t="e">
        <f t="shared" si="87"/>
        <v>#VALUE!</v>
      </c>
      <c r="P100" s="138">
        <f t="shared" si="88"/>
        <v>4</v>
      </c>
      <c r="Q100" s="138" t="e">
        <f t="shared" si="89"/>
        <v>#VALUE!</v>
      </c>
      <c r="R100" s="138" t="e">
        <f t="shared" si="90"/>
        <v>#VALUE!</v>
      </c>
      <c r="S100" s="138" t="str">
        <f>IFERROR(VLOOKUP(MID(N100,Q100,R100-Q100),[6]skilldef!$C:$D,2,FALSE),"-") &amp; " / " &amp; IFERROR(VLOOKUP(MID(N100,O100,P100-O100),[6]skilldef!$A:$B,2,FALSE),"-")</f>
        <v>- / -</v>
      </c>
      <c r="T100" s="121" t="str">
        <f t="shared" si="91"/>
        <v>none</v>
      </c>
      <c r="U100" s="138" t="e">
        <f t="shared" si="92"/>
        <v>#VALUE!</v>
      </c>
      <c r="V100" s="138">
        <f t="shared" si="93"/>
        <v>4</v>
      </c>
      <c r="W100" s="138" t="e">
        <f t="shared" si="94"/>
        <v>#VALUE!</v>
      </c>
      <c r="X100" s="138" t="e">
        <f t="shared" si="95"/>
        <v>#VALUE!</v>
      </c>
      <c r="Y100" s="138" t="str">
        <f>IFERROR(VLOOKUP(MID(T100,W100,X100-W100),[6]skilldef!$C:$D,2,FALSE),"-") &amp; " / " &amp; IFERROR(VLOOKUP(MID(T100,U100,V100-U100),[6]skilldef!$A:$B,2,FALSE),"-")</f>
        <v>- / -</v>
      </c>
      <c r="Z100" s="136"/>
      <c r="AA100" s="139"/>
      <c r="AB100" s="136"/>
    </row>
    <row r="101" spans="1:28" ht="21" customHeight="1" x14ac:dyDescent="0.15">
      <c r="A101" s="118">
        <v>48101100</v>
      </c>
      <c r="B101" s="106" t="s">
        <v>417</v>
      </c>
      <c r="C101" s="132">
        <v>1</v>
      </c>
      <c r="D101" s="132" t="s">
        <v>128</v>
      </c>
      <c r="E101" s="133" t="s">
        <v>310</v>
      </c>
      <c r="F101" s="133" t="s">
        <v>326</v>
      </c>
      <c r="G101" s="134" t="str">
        <f t="shared" si="100"/>
        <v>[effect:enemy_message, val1:1.7, val2:2.2]</v>
      </c>
      <c r="H101" s="134">
        <f t="shared" si="81"/>
        <v>9</v>
      </c>
      <c r="I101" s="134">
        <f t="shared" si="82"/>
        <v>22</v>
      </c>
      <c r="J101" s="134" t="e">
        <f t="shared" si="83"/>
        <v>#VALUE!</v>
      </c>
      <c r="K101" s="134">
        <f t="shared" si="84"/>
        <v>32</v>
      </c>
      <c r="L101" s="134" t="str">
        <f>IFERROR(VLOOKUP(MID(G101,J101,K101-J101),[6]skilldef!$C:$D,2,FALSE),"-") &amp; " / " &amp; IFERROR(VLOOKUP(MID(G101,H101,I101-H101),[6]skilldef!$A:$B,2,FALSE),"-")</f>
        <v>- / -</v>
      </c>
      <c r="M101" s="134" t="str">
        <f t="shared" si="101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N101" s="120" t="str">
        <f t="shared" si="99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O101" s="134">
        <f t="shared" si="87"/>
        <v>9</v>
      </c>
      <c r="P101" s="134">
        <f t="shared" si="88"/>
        <v>18</v>
      </c>
      <c r="Q101" s="134">
        <f t="shared" si="89"/>
        <v>27</v>
      </c>
      <c r="R101" s="134">
        <f t="shared" si="90"/>
        <v>33</v>
      </c>
      <c r="S101" s="134" t="str">
        <f>IFERROR(VLOOKUP(MID(N101,Q101,R101-Q101),[6]skilldef!$C:$D,2,FALSE),"-") &amp; " / " &amp; IFERROR(VLOOKUP(MID(N101,O101,P101-O101),[6]skilldef!$A:$B,2,FALSE),"-")</f>
        <v>自分自身に / 行動値設定</v>
      </c>
      <c r="T101" s="120" t="str">
        <f t="shared" si="91"/>
        <v>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U101" s="134">
        <f t="shared" si="92"/>
        <v>9</v>
      </c>
      <c r="V101" s="134">
        <f t="shared" si="93"/>
        <v>18</v>
      </c>
      <c r="W101" s="134">
        <f t="shared" si="94"/>
        <v>27</v>
      </c>
      <c r="X101" s="134">
        <f t="shared" si="95"/>
        <v>33</v>
      </c>
      <c r="Y101" s="134" t="str">
        <f>IFERROR(VLOOKUP(MID(T101,W101,X101-W101),[6]skilldef!$C:$D,2,FALSE),"-") &amp; " / " &amp; IFERROR(VLOOKUP(MID(T101,U101,V101-U101),[6]skilldef!$A:$B,2,FALSE),"-")</f>
        <v>自分自身に / 状態異常耐性</v>
      </c>
      <c r="Z101" s="132"/>
      <c r="AA101" s="135"/>
      <c r="AB101" s="132"/>
    </row>
    <row r="102" spans="1:28" ht="21" customHeight="1" x14ac:dyDescent="0.15">
      <c r="A102" s="118">
        <v>48101101</v>
      </c>
      <c r="B102" s="106" t="s">
        <v>371</v>
      </c>
      <c r="C102" s="50">
        <v>1</v>
      </c>
      <c r="D102" s="50" t="s">
        <v>128</v>
      </c>
      <c r="E102" s="51" t="s">
        <v>315</v>
      </c>
      <c r="F102" s="51" t="s">
        <v>326</v>
      </c>
      <c r="G102" s="64" t="str">
        <f t="shared" si="100"/>
        <v>[effect:enemy_message, val1:1.7, val2:2.2]</v>
      </c>
      <c r="H102" s="64">
        <f t="shared" si="81"/>
        <v>9</v>
      </c>
      <c r="I102" s="64">
        <f t="shared" si="82"/>
        <v>22</v>
      </c>
      <c r="J102" s="64" t="e">
        <f t="shared" si="83"/>
        <v>#VALUE!</v>
      </c>
      <c r="K102" s="64">
        <f t="shared" si="84"/>
        <v>32</v>
      </c>
      <c r="L102" s="64" t="str">
        <f>IFERROR(VLOOKUP(MID(G102,J102,K102-J102),[6]skilldef!$C:$D,2,FALSE),"-") &amp; " / " &amp; IFERROR(VLOOKUP(MID(G102,H102,I102-H102),[6]skilldef!$A:$B,2,FALSE),"-")</f>
        <v>- / -</v>
      </c>
      <c r="M102" s="64" t="str">
        <f t="shared" si="101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N102" s="48" t="str">
        <f t="shared" si="99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O102" s="64">
        <f t="shared" si="87"/>
        <v>9</v>
      </c>
      <c r="P102" s="64">
        <f t="shared" si="88"/>
        <v>18</v>
      </c>
      <c r="Q102" s="64">
        <f t="shared" si="89"/>
        <v>27</v>
      </c>
      <c r="R102" s="64">
        <f t="shared" si="90"/>
        <v>33</v>
      </c>
      <c r="S102" s="64" t="str">
        <f>IFERROR(VLOOKUP(MID(N102,Q102,R102-Q102),[6]skilldef!$C:$D,2,FALSE),"-") &amp; " / " &amp; IFERROR(VLOOKUP(MID(N102,O102,P102-O102),[6]skilldef!$A:$B,2,FALSE),"-")</f>
        <v>自分自身に / 行動値設定</v>
      </c>
      <c r="T102" s="48" t="str">
        <f t="shared" si="91"/>
        <v>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U102" s="64">
        <f t="shared" si="92"/>
        <v>9</v>
      </c>
      <c r="V102" s="64">
        <f t="shared" si="93"/>
        <v>18</v>
      </c>
      <c r="W102" s="64">
        <f t="shared" si="94"/>
        <v>27</v>
      </c>
      <c r="X102" s="64">
        <f t="shared" si="95"/>
        <v>33</v>
      </c>
      <c r="Y102" s="64" t="str">
        <f>IFERROR(VLOOKUP(MID(T102,W102,X102-W102),[6]skilldef!$C:$D,2,FALSE),"-") &amp; " / " &amp; IFERROR(VLOOKUP(MID(T102,U102,V102-U102),[6]skilldef!$A:$B,2,FALSE),"-")</f>
        <v>自分自身に / 状態異常耐性</v>
      </c>
      <c r="Z102" s="50"/>
      <c r="AA102" s="52"/>
      <c r="AB102" s="50"/>
    </row>
    <row r="103" spans="1:28" ht="21" customHeight="1" x14ac:dyDescent="0.15">
      <c r="A103" s="118">
        <v>48101102</v>
      </c>
      <c r="B103" s="106" t="s">
        <v>373</v>
      </c>
      <c r="C103" s="50">
        <v>1</v>
      </c>
      <c r="D103" s="50" t="s">
        <v>128</v>
      </c>
      <c r="E103" s="51" t="s">
        <v>372</v>
      </c>
      <c r="F103" s="51" t="s">
        <v>326</v>
      </c>
      <c r="G103" s="64" t="str">
        <f t="shared" si="100"/>
        <v>[effect:enemy_message, val1:1.5, val2:2.2]</v>
      </c>
      <c r="H103" s="64">
        <f t="shared" si="81"/>
        <v>9</v>
      </c>
      <c r="I103" s="64">
        <f t="shared" si="82"/>
        <v>22</v>
      </c>
      <c r="J103" s="64" t="e">
        <f t="shared" si="83"/>
        <v>#VALUE!</v>
      </c>
      <c r="K103" s="64">
        <f t="shared" si="84"/>
        <v>32</v>
      </c>
      <c r="L103" s="64" t="str">
        <f>IFERROR(VLOOKUP(MID(G103,J103,K103-J103),[6]skilldef!$C:$D,2,FALSE),"-") &amp; " / " &amp; IFERROR(VLOOKUP(MID(G103,H103,I103-H103),[6]skilldef!$A:$B,2,FALSE),"-")</f>
        <v>- / -</v>
      </c>
      <c r="M103" s="64" t="str">
        <f t="shared" si="101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N103" s="48" t="str">
        <f t="shared" si="99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O103" s="64">
        <f t="shared" si="87"/>
        <v>9</v>
      </c>
      <c r="P103" s="64">
        <f t="shared" si="88"/>
        <v>18</v>
      </c>
      <c r="Q103" s="64">
        <f t="shared" si="89"/>
        <v>27</v>
      </c>
      <c r="R103" s="64">
        <f t="shared" si="90"/>
        <v>33</v>
      </c>
      <c r="S103" s="64" t="str">
        <f>IFERROR(VLOOKUP(MID(N103,Q103,R103-Q103),[6]skilldef!$C:$D,2,FALSE),"-") &amp; " / " &amp; IFERROR(VLOOKUP(MID(N103,O103,P103-O103),[6]skilldef!$A:$B,2,FALSE),"-")</f>
        <v>自分自身に / 行動値設定</v>
      </c>
      <c r="T103" s="48" t="str">
        <f t="shared" si="91"/>
        <v>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U103" s="64">
        <f t="shared" si="92"/>
        <v>9</v>
      </c>
      <c r="V103" s="64">
        <f t="shared" si="93"/>
        <v>18</v>
      </c>
      <c r="W103" s="64">
        <f t="shared" si="94"/>
        <v>27</v>
      </c>
      <c r="X103" s="64">
        <f t="shared" si="95"/>
        <v>33</v>
      </c>
      <c r="Y103" s="64" t="str">
        <f>IFERROR(VLOOKUP(MID(T103,W103,X103-W103),[6]skilldef!$C:$D,2,FALSE),"-") &amp; " / " &amp; IFERROR(VLOOKUP(MID(T103,U103,V103-U103),[6]skilldef!$A:$B,2,FALSE),"-")</f>
        <v>自分自身に / 状態異常耐性</v>
      </c>
      <c r="Z103" s="50"/>
      <c r="AA103" s="52"/>
      <c r="AB103" s="50"/>
    </row>
    <row r="104" spans="1:28" ht="21" customHeight="1" x14ac:dyDescent="0.15">
      <c r="A104" s="118">
        <v>48101103</v>
      </c>
      <c r="B104" s="106" t="s">
        <v>374</v>
      </c>
      <c r="C104" s="50">
        <v>1</v>
      </c>
      <c r="D104" s="50" t="s">
        <v>128</v>
      </c>
      <c r="E104" s="51" t="s">
        <v>335</v>
      </c>
      <c r="F104" s="51" t="s">
        <v>326</v>
      </c>
      <c r="G104" s="64" t="str">
        <f t="shared" si="100"/>
        <v>[effect:enemy_message, val1:2.3, val2:2.2]</v>
      </c>
      <c r="H104" s="64">
        <f t="shared" si="81"/>
        <v>9</v>
      </c>
      <c r="I104" s="64">
        <f t="shared" si="82"/>
        <v>22</v>
      </c>
      <c r="J104" s="64" t="e">
        <f t="shared" si="83"/>
        <v>#VALUE!</v>
      </c>
      <c r="K104" s="64">
        <f t="shared" si="84"/>
        <v>32</v>
      </c>
      <c r="L104" s="64" t="str">
        <f>IFERROR(VLOOKUP(MID(G104,J104,K104-J104),[6]skilldef!$C:$D,2,FALSE),"-") &amp; " / " &amp; IFERROR(VLOOKUP(MID(G104,H104,I104-H104),[6]skilldef!$A:$B,2,FALSE),"-")</f>
        <v>- / -</v>
      </c>
      <c r="M104" s="64" t="str">
        <f t="shared" si="101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N104" s="48" t="str">
        <f t="shared" si="99"/>
        <v>[effect:fix_speed, target:myself, turn:2],[effect:tolerance,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O104" s="64">
        <f t="shared" si="87"/>
        <v>9</v>
      </c>
      <c r="P104" s="64">
        <f t="shared" si="88"/>
        <v>18</v>
      </c>
      <c r="Q104" s="64">
        <f t="shared" si="89"/>
        <v>27</v>
      </c>
      <c r="R104" s="64">
        <f t="shared" si="90"/>
        <v>33</v>
      </c>
      <c r="S104" s="64" t="str">
        <f>IFERROR(VLOOKUP(MID(N104,Q104,R104-Q104),[6]skilldef!$C:$D,2,FALSE),"-") &amp; " / " &amp; IFERROR(VLOOKUP(MID(N104,O104,P104-O104),[6]skilldef!$A:$B,2,FALSE),"-")</f>
        <v>自分自身に / 行動値設定</v>
      </c>
      <c r="T104" s="48" t="str">
        <f t="shared" si="91"/>
        <v>[effect:tolerance, target:myself, turn:-1, count:-1, tolerance_effect:all, animation:enemy_tolerance],[effect:change_range_block, block_change:1, base_type:0, square_count:5, position01:2, position02:10, value_h01:5, value_h02:1, value_w01:1, value_w02:5, new_block:jammer, target:block_all, ignore01:block_positive, ignore02:jammer, count:0, val:0, animation:change_range_block]</v>
      </c>
      <c r="U104" s="64">
        <f t="shared" si="92"/>
        <v>9</v>
      </c>
      <c r="V104" s="64">
        <f t="shared" si="93"/>
        <v>18</v>
      </c>
      <c r="W104" s="64">
        <f t="shared" si="94"/>
        <v>27</v>
      </c>
      <c r="X104" s="64">
        <f t="shared" si="95"/>
        <v>33</v>
      </c>
      <c r="Y104" s="64" t="str">
        <f>IFERROR(VLOOKUP(MID(T104,W104,X104-W104),[6]skilldef!$C:$D,2,FALSE),"-") &amp; " / " &amp; IFERROR(VLOOKUP(MID(T104,U104,V104-U104),[6]skilldef!$A:$B,2,FALSE),"-")</f>
        <v>自分自身に / 状態異常耐性</v>
      </c>
      <c r="Z104" s="50"/>
      <c r="AA104" s="52"/>
      <c r="AB104" s="50"/>
    </row>
    <row r="105" spans="1:28" ht="21" customHeight="1" x14ac:dyDescent="0.15">
      <c r="A105" s="118">
        <v>48101104</v>
      </c>
      <c r="B105" s="47" t="s">
        <v>322</v>
      </c>
      <c r="C105" s="50">
        <v>1</v>
      </c>
      <c r="D105" s="50" t="s">
        <v>128</v>
      </c>
      <c r="E105" s="51" t="s">
        <v>311</v>
      </c>
      <c r="F105" s="51" t="s">
        <v>257</v>
      </c>
      <c r="G105" s="64" t="str">
        <f t="shared" si="100"/>
        <v>[effect:enemy_message, val1:1.2, val2:1.2]</v>
      </c>
      <c r="H105" s="64">
        <f t="shared" si="81"/>
        <v>9</v>
      </c>
      <c r="I105" s="64">
        <f t="shared" si="82"/>
        <v>22</v>
      </c>
      <c r="J105" s="64" t="e">
        <f t="shared" si="83"/>
        <v>#VALUE!</v>
      </c>
      <c r="K105" s="64">
        <f t="shared" si="84"/>
        <v>32</v>
      </c>
      <c r="L105" s="64" t="str">
        <f>IFERROR(VLOOKUP(MID(G105,J105,K105-J105),[6]skilldef!$C:$D,2,FALSE),"-") &amp; " / " &amp; IFERROR(VLOOKUP(MID(G105,H105,I105-H105),[6]skilldef!$A:$B,2,FALSE),"-")</f>
        <v>- / -</v>
      </c>
      <c r="M105" s="64" t="str">
        <f t="shared" si="101"/>
        <v>[effect:critical, val:1.5, animation:enemy_critical]</v>
      </c>
      <c r="N105" s="48" t="str">
        <f t="shared" ref="N105:N121" si="102">IFERROR(LEFT(M105,FIND("],",M105)+S115),M105)</f>
        <v>[effect:critical, val:1.5, animation:enemy_critical]</v>
      </c>
      <c r="O105" s="64">
        <f t="shared" si="87"/>
        <v>9</v>
      </c>
      <c r="P105" s="64">
        <f t="shared" si="88"/>
        <v>17</v>
      </c>
      <c r="Q105" s="64" t="e">
        <f t="shared" si="89"/>
        <v>#VALUE!</v>
      </c>
      <c r="R105" s="64">
        <f t="shared" si="90"/>
        <v>26</v>
      </c>
      <c r="S105" s="64" t="str">
        <f>IFERROR(VLOOKUP(MID(N105,Q105,R105-Q105),[6]skilldef!$C:$D,2,FALSE),"-") &amp; " / " &amp; IFERROR(VLOOKUP(MID(N105,O105,P105-O105),[6]skilldef!$A:$B,2,FALSE),"-")</f>
        <v>- / 大攻撃</v>
      </c>
      <c r="T105" s="48" t="str">
        <f t="shared" si="91"/>
        <v>none</v>
      </c>
      <c r="U105" s="64" t="e">
        <f t="shared" si="92"/>
        <v>#VALUE!</v>
      </c>
      <c r="V105" s="64">
        <f t="shared" si="93"/>
        <v>4</v>
      </c>
      <c r="W105" s="64" t="e">
        <f t="shared" si="94"/>
        <v>#VALUE!</v>
      </c>
      <c r="X105" s="64" t="e">
        <f t="shared" si="95"/>
        <v>#VALUE!</v>
      </c>
      <c r="Y105" s="64" t="str">
        <f>IFERROR(VLOOKUP(MID(T105,W105,X105-W105),[6]skilldef!$C:$D,2,FALSE),"-") &amp; " / " &amp; IFERROR(VLOOKUP(MID(T105,U105,V105-U105),[6]skilldef!$A:$B,2,FALSE),"-")</f>
        <v>- / -</v>
      </c>
      <c r="Z105" s="50"/>
      <c r="AA105" s="52"/>
      <c r="AB105" s="50"/>
    </row>
    <row r="106" spans="1:28" ht="21" customHeight="1" x14ac:dyDescent="0.15">
      <c r="A106" s="118">
        <v>48101105</v>
      </c>
      <c r="B106" s="113" t="s">
        <v>375</v>
      </c>
      <c r="C106" s="50">
        <v>1</v>
      </c>
      <c r="D106" s="50" t="s">
        <v>128</v>
      </c>
      <c r="E106" s="51" t="s">
        <v>300</v>
      </c>
      <c r="F106" s="51" t="s">
        <v>269</v>
      </c>
      <c r="G106" s="64" t="str">
        <f t="shared" si="100"/>
        <v>[effect:enemy_message, val1:1.2, val2:1.5]</v>
      </c>
      <c r="H106" s="64">
        <f t="shared" si="81"/>
        <v>9</v>
      </c>
      <c r="I106" s="64">
        <f t="shared" si="82"/>
        <v>22</v>
      </c>
      <c r="J106" s="64" t="e">
        <f t="shared" si="83"/>
        <v>#VALUE!</v>
      </c>
      <c r="K106" s="64">
        <f t="shared" si="84"/>
        <v>32</v>
      </c>
      <c r="L106" s="64" t="str">
        <f>IFERROR(VLOOKUP(MID(G106,J106,K106-J106),[6]skilldef!$C:$D,2,FALSE),"-") &amp; " / " &amp; IFERROR(VLOOKUP(MID(G106,H106,I106-H106),[6]skilldef!$A:$B,2,FALSE),"-")</f>
        <v>- / -</v>
      </c>
      <c r="M106" s="64" t="str">
        <f t="shared" si="101"/>
        <v>[effect:break_attack_fix, target:unit_all, val:100, lowest_val:800, count:-1, block01:jammer]</v>
      </c>
      <c r="N106" s="48" t="str">
        <f t="shared" si="102"/>
        <v>[effect:break_attack_fix, target:unit_all, val:100, lowest_val:800, count:-1, block01:jammer]</v>
      </c>
      <c r="O106" s="64">
        <f t="shared" si="87"/>
        <v>9</v>
      </c>
      <c r="P106" s="64">
        <f t="shared" si="88"/>
        <v>25</v>
      </c>
      <c r="Q106" s="64">
        <f t="shared" si="89"/>
        <v>34</v>
      </c>
      <c r="R106" s="64">
        <f t="shared" si="90"/>
        <v>42</v>
      </c>
      <c r="S106" s="64" t="str">
        <f>IFERROR(VLOOKUP(MID(N106,Q106,R106-Q106),[6]skilldef!$C:$D,2,FALSE),"-") &amp; " / " &amp; IFERROR(VLOOKUP(MID(N106,O106,P106-O106),[6]skilldef!$A:$B,2,FALSE),"-")</f>
        <v>味方全体に / -</v>
      </c>
      <c r="T106" s="48" t="str">
        <f t="shared" si="91"/>
        <v>none</v>
      </c>
      <c r="U106" s="64" t="e">
        <f t="shared" si="92"/>
        <v>#VALUE!</v>
      </c>
      <c r="V106" s="64">
        <f t="shared" si="93"/>
        <v>4</v>
      </c>
      <c r="W106" s="64" t="e">
        <f t="shared" si="94"/>
        <v>#VALUE!</v>
      </c>
      <c r="X106" s="64" t="e">
        <f t="shared" si="95"/>
        <v>#VALUE!</v>
      </c>
      <c r="Y106" s="64" t="str">
        <f>IFERROR(VLOOKUP(MID(T106,W106,X106-W106),[6]skilldef!$C:$D,2,FALSE),"-") &amp; " / " &amp; IFERROR(VLOOKUP(MID(T106,U106,V106-U106),[6]skilldef!$A:$B,2,FALSE),"-")</f>
        <v>- / -</v>
      </c>
      <c r="Z106" s="50"/>
      <c r="AA106" s="52"/>
      <c r="AB106" s="50"/>
    </row>
    <row r="107" spans="1:28" ht="21" customHeight="1" x14ac:dyDescent="0.15">
      <c r="A107" s="118">
        <v>48101106</v>
      </c>
      <c r="B107" s="47" t="s">
        <v>436</v>
      </c>
      <c r="C107" s="50">
        <v>1</v>
      </c>
      <c r="D107" s="50" t="s">
        <v>128</v>
      </c>
      <c r="E107" s="51" t="s">
        <v>286</v>
      </c>
      <c r="F107" s="51" t="s">
        <v>430</v>
      </c>
      <c r="G107" s="64" t="str">
        <f t="shared" si="100"/>
        <v>[effect:enemy_message, val1:1.2, val2:2.0]</v>
      </c>
      <c r="H107" s="64">
        <f t="shared" si="81"/>
        <v>9</v>
      </c>
      <c r="I107" s="64">
        <f t="shared" si="82"/>
        <v>22</v>
      </c>
      <c r="J107" s="64" t="e">
        <f t="shared" si="83"/>
        <v>#VALUE!</v>
      </c>
      <c r="K107" s="64">
        <f t="shared" si="84"/>
        <v>32</v>
      </c>
      <c r="L107" s="64" t="str">
        <f>IFERROR(VLOOKUP(MID(G107,J107,K107-J107),[6]skilldef!$C:$D,2,FALSE),"-") &amp; " / " &amp; IFERROR(VLOOKUP(MID(G107,H107,I107-H107),[6]skilldef!$A:$B,2,FALSE),"-")</f>
        <v>- / -</v>
      </c>
      <c r="M107" s="64" t="str">
        <f t="shared" si="101"/>
        <v>[effect:rush, count:1, val:0.8],[effect:change_range_block, block_change:1, base_type:1, square_count:3, position01:4, value_rad01:3.0, value_h01:1, value_w01:1, new_block:jammer, target:block_all, ignore01:block_positive, ignore02:jammer, count:6, val:0, animation:change_range_block]</v>
      </c>
      <c r="N107" s="48" t="str">
        <f t="shared" si="102"/>
        <v>[effect:rush, count:1, val:0.8],[effect:change_range_block, block_change:1, base_type:1, square_count:3, position01:4, value_rad01:3.0, value_h01:1, value_w01:1, new_block:jammer, target:block_all, ignore01:block_positive, ignore02:jammer, count:6, val:0, animation:change_range_block]</v>
      </c>
      <c r="O107" s="64">
        <f t="shared" si="87"/>
        <v>9</v>
      </c>
      <c r="P107" s="64">
        <f t="shared" si="88"/>
        <v>13</v>
      </c>
      <c r="Q107" s="64">
        <f t="shared" si="89"/>
        <v>188</v>
      </c>
      <c r="R107" s="64">
        <f t="shared" si="90"/>
        <v>22</v>
      </c>
      <c r="S107" s="64" t="str">
        <f>IFERROR(VLOOKUP(MID(N107,Q107,R107-Q107),[6]skilldef!$C:$D,2,FALSE),"-") &amp; " / " &amp; IFERROR(VLOOKUP(MID(N107,O107,P107-O107),[6]skilldef!$A:$B,2,FALSE),"-")</f>
        <v>- / 連続攻撃</v>
      </c>
      <c r="T107" s="48" t="str">
        <f t="shared" si="91"/>
        <v>[effect:change_range_block, block_change:1, base_type:1, square_count:3, position01:4, value_rad01:3.0, value_h01:1, value_w01:1, new_block:jammer, target:block_all, ignore01:block_positive, ignore02:jammer, count:6, val:0, animation:change_range_block]</v>
      </c>
      <c r="U107" s="64">
        <f t="shared" si="92"/>
        <v>9</v>
      </c>
      <c r="V107" s="64">
        <f t="shared" si="93"/>
        <v>27</v>
      </c>
      <c r="W107" s="64">
        <f t="shared" si="94"/>
        <v>156</v>
      </c>
      <c r="X107" s="64">
        <f t="shared" si="95"/>
        <v>43</v>
      </c>
      <c r="Y107" s="64" t="str">
        <f>IFERROR(VLOOKUP(MID(T107,W107,X107-W107),[6]skilldef!$C:$D,2,FALSE),"-") &amp; " / " &amp; IFERROR(VLOOKUP(MID(T107,U107,V107-U107),[6]skilldef!$A:$B,2,FALSE),"-")</f>
        <v>- / -</v>
      </c>
      <c r="Z107" s="50"/>
      <c r="AA107" s="52"/>
      <c r="AB107" s="50"/>
    </row>
    <row r="108" spans="1:28" ht="21" customHeight="1" x14ac:dyDescent="0.15">
      <c r="A108" s="118">
        <v>48101107</v>
      </c>
      <c r="B108" s="47" t="s">
        <v>378</v>
      </c>
      <c r="C108" s="50">
        <v>1</v>
      </c>
      <c r="D108" s="50" t="s">
        <v>128</v>
      </c>
      <c r="E108" s="51" t="s">
        <v>376</v>
      </c>
      <c r="F108" s="51" t="s">
        <v>377</v>
      </c>
      <c r="G108" s="64" t="str">
        <f t="shared" si="100"/>
        <v>[effect:enemy_message, val1:1.7, val2:3.1]</v>
      </c>
      <c r="H108" s="64">
        <f t="shared" si="81"/>
        <v>9</v>
      </c>
      <c r="I108" s="64">
        <f t="shared" si="82"/>
        <v>22</v>
      </c>
      <c r="J108" s="64" t="e">
        <f t="shared" si="83"/>
        <v>#VALUE!</v>
      </c>
      <c r="K108" s="64">
        <f t="shared" si="84"/>
        <v>32</v>
      </c>
      <c r="L108" s="64" t="str">
        <f>IFERROR(VLOOKUP(MID(G108,J108,K108-J108),[6]skilldef!$C:$D,2,FALSE),"-") &amp; " / " &amp; IFERROR(VLOOKUP(MID(G108,H108,I108-H108),[6]skilldef!$A:$B,2,FALSE),"-")</f>
        <v>- / -</v>
      </c>
      <c r="M108" s="64" t="str">
        <f t="shared" si="101"/>
        <v>[effect:break_heal_fix, target:myself, val:0, lowest_val:0, count:-1, block01:jammer],[effect:attack_break, target:unit_all, turn:2, val:0.4, calc:mul, animation:attack_break01]</v>
      </c>
      <c r="N108" s="48" t="str">
        <f t="shared" si="102"/>
        <v>[effect:break_heal_fix, target:myself, val:0, lowest_val:0, count:-1, block01:jammer],[effect:attack_break, target:unit_all, turn:2, val:0.4, calc:mul, animation:attack_break01]</v>
      </c>
      <c r="O108" s="64">
        <f t="shared" si="87"/>
        <v>9</v>
      </c>
      <c r="P108" s="64">
        <f t="shared" si="88"/>
        <v>23</v>
      </c>
      <c r="Q108" s="64">
        <f t="shared" si="89"/>
        <v>32</v>
      </c>
      <c r="R108" s="64">
        <f t="shared" si="90"/>
        <v>38</v>
      </c>
      <c r="S108" s="64" t="str">
        <f>IFERROR(VLOOKUP(MID(N108,Q108,R108-Q108),[6]skilldef!$C:$D,2,FALSE),"-") &amp; " / " &amp; IFERROR(VLOOKUP(MID(N108,O108,P108-O108),[6]skilldef!$A:$B,2,FALSE),"-")</f>
        <v>自分自身に / -</v>
      </c>
      <c r="T108" s="48" t="str">
        <f t="shared" si="91"/>
        <v>[effect:attack_break, target:unit_all, turn:2, val:0.4, calc:mul, animation:attack_break01]</v>
      </c>
      <c r="U108" s="64">
        <f t="shared" si="92"/>
        <v>9</v>
      </c>
      <c r="V108" s="64">
        <f t="shared" si="93"/>
        <v>21</v>
      </c>
      <c r="W108" s="64">
        <f t="shared" si="94"/>
        <v>30</v>
      </c>
      <c r="X108" s="64">
        <f t="shared" si="95"/>
        <v>38</v>
      </c>
      <c r="Y108" s="64" t="str">
        <f>IFERROR(VLOOKUP(MID(T108,W108,X108-W108),[6]skilldef!$C:$D,2,FALSE),"-") &amp; " / " &amp; IFERROR(VLOOKUP(MID(T108,U108,V108-U108),[6]skilldef!$A:$B,2,FALSE),"-")</f>
        <v>味方全体に / -</v>
      </c>
      <c r="Z108" s="50"/>
      <c r="AA108" s="52"/>
      <c r="AB108" s="50"/>
    </row>
    <row r="109" spans="1:28" ht="26" customHeight="1" thickBot="1" x14ac:dyDescent="0.2">
      <c r="A109" s="119">
        <v>48101108</v>
      </c>
      <c r="B109" s="107" t="s">
        <v>380</v>
      </c>
      <c r="C109" s="136">
        <v>1</v>
      </c>
      <c r="D109" s="136" t="s">
        <v>128</v>
      </c>
      <c r="E109" s="137" t="s">
        <v>379</v>
      </c>
      <c r="F109" s="137" t="s">
        <v>287</v>
      </c>
      <c r="G109" s="138" t="str">
        <f t="shared" si="100"/>
        <v>[effect:enemy_message, val1:1.4, val2:2.1]</v>
      </c>
      <c r="H109" s="138">
        <f t="shared" si="81"/>
        <v>9</v>
      </c>
      <c r="I109" s="138">
        <f t="shared" si="82"/>
        <v>22</v>
      </c>
      <c r="J109" s="138" t="e">
        <f t="shared" si="83"/>
        <v>#VALUE!</v>
      </c>
      <c r="K109" s="138">
        <f t="shared" si="84"/>
        <v>32</v>
      </c>
      <c r="L109" s="138" t="str">
        <f>IFERROR(VLOOKUP(MID(G109,J109,K109-J109),[6]skilldef!$C:$D,2,FALSE),"-") &amp; " / " &amp; IFERROR(VLOOKUP(MID(G109,H109,I109-H109),[6]skilldef!$A:$B,2,FALSE),"-")</f>
        <v>- / -</v>
      </c>
      <c r="M109" s="138" t="str">
        <f t="shared" si="101"/>
        <v>[effect:break_enchance_enemy, target:myself, val:0.02, lowest_val:0.12, count:-1, status:attack, turn:-1, block01:jammer, calc:mul, animation:enemy_enhance_attack],[effect:spread, val:0.45]</v>
      </c>
      <c r="N109" s="121" t="str">
        <f t="shared" si="102"/>
        <v>[effect:break_enchance_enemy, target:myself, val:0.02, lowest_val:0.12, count:-1, status:attack, turn:-1, block01:jammer, calc:mul, animation:enemy_enhance_attack],[effect:spread, val:0.45]</v>
      </c>
      <c r="O109" s="138">
        <f t="shared" si="87"/>
        <v>9</v>
      </c>
      <c r="P109" s="138">
        <f t="shared" si="88"/>
        <v>29</v>
      </c>
      <c r="Q109" s="138">
        <f t="shared" si="89"/>
        <v>38</v>
      </c>
      <c r="R109" s="138">
        <f t="shared" si="90"/>
        <v>44</v>
      </c>
      <c r="S109" s="138" t="str">
        <f>IFERROR(VLOOKUP(MID(N109,Q109,R109-Q109),[6]skilldef!$C:$D,2,FALSE),"-") &amp; " / " &amp; IFERROR(VLOOKUP(MID(N109,O109,P109-O109),[6]skilldef!$A:$B,2,FALSE),"-")</f>
        <v>自分自身に / -</v>
      </c>
      <c r="T109" s="121" t="str">
        <f t="shared" si="91"/>
        <v>[effect:spread, val:0.45]</v>
      </c>
      <c r="U109" s="138">
        <f t="shared" si="92"/>
        <v>9</v>
      </c>
      <c r="V109" s="138">
        <f t="shared" si="93"/>
        <v>15</v>
      </c>
      <c r="W109" s="138" t="e">
        <f t="shared" si="94"/>
        <v>#VALUE!</v>
      </c>
      <c r="X109" s="138" t="e">
        <f t="shared" si="95"/>
        <v>#VALUE!</v>
      </c>
      <c r="Y109" s="138" t="str">
        <f>IFERROR(VLOOKUP(MID(T109,W109,X109-W109),[6]skilldef!$C:$D,2,FALSE),"-") &amp; " / " &amp; IFERROR(VLOOKUP(MID(T109,U109,V109-U109),[6]skilldef!$A:$B,2,FALSE),"-")</f>
        <v>- / 全体攻撃</v>
      </c>
      <c r="Z109" s="136"/>
      <c r="AA109" s="139"/>
      <c r="AB109" s="136"/>
    </row>
    <row r="110" spans="1:28" ht="41" customHeight="1" x14ac:dyDescent="0.15">
      <c r="A110" s="118">
        <v>48101109</v>
      </c>
      <c r="B110" s="106" t="s">
        <v>416</v>
      </c>
      <c r="C110" s="132">
        <v>1</v>
      </c>
      <c r="D110" s="132" t="s">
        <v>128</v>
      </c>
      <c r="E110" s="133" t="s">
        <v>288</v>
      </c>
      <c r="F110" s="133" t="s">
        <v>327</v>
      </c>
      <c r="G110" s="134" t="str">
        <f t="shared" si="100"/>
        <v>[effect:enemy_message, val1:1.2, val2:3.6]</v>
      </c>
      <c r="H110" s="134">
        <f t="shared" si="81"/>
        <v>9</v>
      </c>
      <c r="I110" s="134">
        <f t="shared" si="82"/>
        <v>22</v>
      </c>
      <c r="J110" s="134" t="e">
        <f t="shared" si="83"/>
        <v>#VALUE!</v>
      </c>
      <c r="K110" s="134">
        <f t="shared" si="84"/>
        <v>32</v>
      </c>
      <c r="L110" s="134" t="str">
        <f>IFERROR(VLOOKUP(MID(G110,J110,K110-J110),[6]skilldef!$C:$D,2,FALSE),"-") &amp; " / " &amp; IFERROR(VLOOKUP(MID(G110,H110,I110-H110),[6]skilldef!$A:$B,2,FALSE),"-")</f>
        <v>- / -</v>
      </c>
      <c r="M110" s="134" t="str">
        <f t="shared" si="101"/>
        <v>[effect:fix_speed, target:myself, turn:1],[effect:tolerance, target:myself, turn:-1, count:-1, tolerance_effect:all, animation:enemy_tolerance],[effect:change_range_block, block_change:1, base_type:1, square_count:3, position01:4, value_rad01:5.0, value_h01:1, value_w01:1, new_block:jammer, target:block_all, ignore01:block_positive, ignore02:jammer, count:0, val:0, animation:change_range_block],[effect:change_range_block, block_change:1, base_type:1, square_count:3, position01:4, value_rad01:3.0, value_h01:1, value_w01:1, new_block:block_green, target:block_all, ignore01:block_positive, ignore02:block_green, count:0, val:0,  animation:change_range_block]</v>
      </c>
      <c r="N110" s="120" t="str">
        <f t="shared" si="102"/>
        <v>[effect:fix_speed, target:myself, turn:1],[effect:tolerance, target:myself, turn:-1, count:-1, tolerance_effect:all, animation:enemy_tolerance],[effect:change_range_block, block_change:1, base_type:1, square_count:3, position01:4, value_rad01:5.0, value_h01:1, value_w01:1, new_block:jammer, target:block_all, ignore01:block_positive, ignore02:jammer, count:0, val:0, animation:change_range_block],[effect:change_range_block, block_change:1, base_type:1, square_count:3, position01:4, value_rad01:3.0, value_h01:1, value_w01:1, new_block:block_green, target:block_all, ignore01:block_positive, ignore02:block_green, count:0, val:0,  animation:change_range_block]</v>
      </c>
      <c r="O110" s="134">
        <f t="shared" si="87"/>
        <v>9</v>
      </c>
      <c r="P110" s="134">
        <f t="shared" si="88"/>
        <v>18</v>
      </c>
      <c r="Q110" s="134">
        <f t="shared" si="89"/>
        <v>27</v>
      </c>
      <c r="R110" s="134">
        <f t="shared" si="90"/>
        <v>33</v>
      </c>
      <c r="S110" s="134" t="str">
        <f>IFERROR(VLOOKUP(MID(N110,Q110,R110-Q110),[6]skilldef!$C:$D,2,FALSE),"-") &amp; " / " &amp; IFERROR(VLOOKUP(MID(N110,O110,P110-O110),[6]skilldef!$A:$B,2,FALSE),"-")</f>
        <v>自分自身に / 行動値設定</v>
      </c>
      <c r="T110" s="120" t="str">
        <f t="shared" si="91"/>
        <v>[effect:tolerance, target:myself, turn:-1, count:-1, tolerance_effect:all, animation:enemy_tolerance],[effect:change_range_block, block_change:1, base_type:1, square_count:3, position01:4, value_rad01:5.0, value_h01:1, value_w01:1, new_block:jammer, target:block_all, ignore01:block_positive, ignore02:jammer, count:0, val:0, animation:change_range_block],[effect:change_range_block, block_change:1, base_type:1, square_count:3, position01:4, value_rad01:3.0, value_h01:1, value_w01:1, new_block:block_green, target:block_all, ignore01:block_positive, ignore02:block_green, count:0, val:0,  animation:change_range_block]</v>
      </c>
      <c r="U110" s="134">
        <f t="shared" si="92"/>
        <v>9</v>
      </c>
      <c r="V110" s="134">
        <f t="shared" si="93"/>
        <v>18</v>
      </c>
      <c r="W110" s="134">
        <f t="shared" si="94"/>
        <v>27</v>
      </c>
      <c r="X110" s="134">
        <f t="shared" si="95"/>
        <v>33</v>
      </c>
      <c r="Y110" s="134" t="str">
        <f>IFERROR(VLOOKUP(MID(T110,W110,X110-W110),[6]skilldef!$C:$D,2,FALSE),"-") &amp; " / " &amp; IFERROR(VLOOKUP(MID(T110,U110,V110-U110),[6]skilldef!$A:$B,2,FALSE),"-")</f>
        <v>自分自身に / 状態異常耐性</v>
      </c>
      <c r="Z110" s="132"/>
      <c r="AA110" s="135"/>
      <c r="AB110" s="132"/>
    </row>
    <row r="111" spans="1:28" ht="21" customHeight="1" x14ac:dyDescent="0.15">
      <c r="A111" s="118">
        <v>48101110</v>
      </c>
      <c r="B111" s="47" t="s">
        <v>428</v>
      </c>
      <c r="C111" s="50">
        <v>1</v>
      </c>
      <c r="D111" s="50" t="s">
        <v>128</v>
      </c>
      <c r="E111" s="51" t="s">
        <v>319</v>
      </c>
      <c r="F111" s="51" t="s">
        <v>382</v>
      </c>
      <c r="G111" s="64" t="str">
        <f t="shared" si="100"/>
        <v>[effect:enemy_message, val1:1.2, val2:1.2]</v>
      </c>
      <c r="H111" s="64">
        <f t="shared" si="81"/>
        <v>9</v>
      </c>
      <c r="I111" s="64">
        <f t="shared" si="82"/>
        <v>22</v>
      </c>
      <c r="J111" s="64" t="e">
        <f t="shared" si="83"/>
        <v>#VALUE!</v>
      </c>
      <c r="K111" s="64">
        <f t="shared" si="84"/>
        <v>32</v>
      </c>
      <c r="L111" s="64" t="str">
        <f>IFERROR(VLOOKUP(MID(G111,J111,K111-J111),[6]skilldef!$C:$D,2,FALSE),"-") &amp; " / " &amp; IFERROR(VLOOKUP(MID(G111,H111,I111-H111),[6]skilldef!$A:$B,2,FALSE),"-")</f>
        <v>- / -</v>
      </c>
      <c r="M111" s="64" t="str">
        <f t="shared" si="101"/>
        <v>[effect:rush, count:4, val:0.24]</v>
      </c>
      <c r="N111" s="48" t="str">
        <f t="shared" si="102"/>
        <v>[effect:rush, count:4, val:0.24]</v>
      </c>
      <c r="O111" s="64">
        <f t="shared" si="87"/>
        <v>9</v>
      </c>
      <c r="P111" s="64">
        <f t="shared" si="88"/>
        <v>13</v>
      </c>
      <c r="Q111" s="64" t="e">
        <f t="shared" si="89"/>
        <v>#VALUE!</v>
      </c>
      <c r="R111" s="64">
        <f t="shared" si="90"/>
        <v>22</v>
      </c>
      <c r="S111" s="64" t="str">
        <f>IFERROR(VLOOKUP(MID(N111,Q111,R111-Q111),[6]skilldef!$C:$D,2,FALSE),"-") &amp; " / " &amp; IFERROR(VLOOKUP(MID(N111,O111,P111-O111),[6]skilldef!$A:$B,2,FALSE),"-")</f>
        <v>- / 連続攻撃</v>
      </c>
      <c r="T111" s="48" t="str">
        <f t="shared" si="91"/>
        <v>none</v>
      </c>
      <c r="U111" s="64" t="e">
        <f t="shared" si="92"/>
        <v>#VALUE!</v>
      </c>
      <c r="V111" s="64">
        <f t="shared" si="93"/>
        <v>4</v>
      </c>
      <c r="W111" s="64" t="e">
        <f t="shared" si="94"/>
        <v>#VALUE!</v>
      </c>
      <c r="X111" s="64" t="e">
        <f t="shared" si="95"/>
        <v>#VALUE!</v>
      </c>
      <c r="Y111" s="64" t="str">
        <f>IFERROR(VLOOKUP(MID(T111,W111,X111-W111),[6]skilldef!$C:$D,2,FALSE),"-") &amp; " / " &amp; IFERROR(VLOOKUP(MID(T111,U111,V111-U111),[6]skilldef!$A:$B,2,FALSE),"-")</f>
        <v>- / -</v>
      </c>
      <c r="Z111" s="50"/>
      <c r="AA111" s="52"/>
      <c r="AB111" s="50"/>
    </row>
    <row r="112" spans="1:28" ht="21" customHeight="1" x14ac:dyDescent="0.15">
      <c r="A112" s="118">
        <v>48101111</v>
      </c>
      <c r="B112" s="47" t="s">
        <v>418</v>
      </c>
      <c r="C112" s="50">
        <v>1</v>
      </c>
      <c r="D112" s="50" t="s">
        <v>128</v>
      </c>
      <c r="E112" s="51" t="s">
        <v>301</v>
      </c>
      <c r="F112" s="51" t="s">
        <v>328</v>
      </c>
      <c r="G112" s="64" t="str">
        <f t="shared" si="100"/>
        <v>[effect:enemy_message, val1:1.2, val2:2.3]</v>
      </c>
      <c r="H112" s="64">
        <f t="shared" si="81"/>
        <v>9</v>
      </c>
      <c r="I112" s="64">
        <f t="shared" si="82"/>
        <v>22</v>
      </c>
      <c r="J112" s="64" t="e">
        <f t="shared" si="83"/>
        <v>#VALUE!</v>
      </c>
      <c r="K112" s="64">
        <f t="shared" si="84"/>
        <v>32</v>
      </c>
      <c r="L112" s="64" t="str">
        <f>IFERROR(VLOOKUP(MID(G112,J112,K112-J112),[6]skilldef!$C:$D,2,FALSE),"-") &amp; " / " &amp; IFERROR(VLOOKUP(MID(G112,H112,I112-H112),[6]skilldef!$A:$B,2,FALSE),"-")</f>
        <v>- / -</v>
      </c>
      <c r="M112" s="64" t="str">
        <f t="shared" si="101"/>
        <v>[effect:change_range_block, block_change:1, base_type:0, square_count:3, position01:0, value_h01:1, value_w01:3, new_block:time_bomb, target:block_all, ignore01:block_positive, ignore02:time_bomb, color:block_blue, count:0, val:0.01, min_time_count:3, max_time_count:3, animation:change_range_block],[effect:change_range_block, block_change:1, base_type:0, square_count:3, position01:6, value_h01:1, value_w01:3, new_block:time_bomb, target:block_all, ignore01:block_positive, ignore02:time_bomb, color:block_red, count:0, val:0.01, min_time_count:4, max_time_count:4, animation:change_range_block]</v>
      </c>
      <c r="N112" s="48" t="str">
        <f t="shared" si="102"/>
        <v>[effect:change_range_block, block_change:1, base_type:0, square_count:3, position01:0, value_h01:1, value_w01:3, new_block:time_bomb, target:block_all, ignore01:block_positive, ignore02:time_bomb, color:block_blue, count:0, val:0.01, min_time_count:3, max_time_count:3, animation:change_range_block]</v>
      </c>
      <c r="O112" s="64">
        <f t="shared" si="87"/>
        <v>9</v>
      </c>
      <c r="P112" s="64">
        <f t="shared" si="88"/>
        <v>27</v>
      </c>
      <c r="Q112" s="64">
        <f t="shared" si="89"/>
        <v>142</v>
      </c>
      <c r="R112" s="64">
        <f t="shared" si="90"/>
        <v>43</v>
      </c>
      <c r="S112" s="64" t="str">
        <f>IFERROR(VLOOKUP(MID(N112,Q112,R112-Q112),[6]skilldef!$C:$D,2,FALSE),"-") &amp; " / " &amp; IFERROR(VLOOKUP(MID(N112,O112,P112-O112),[6]skilldef!$A:$B,2,FALSE),"-")</f>
        <v>- / -</v>
      </c>
      <c r="T112" s="48" t="str">
        <f t="shared" si="91"/>
        <v>[effect:change_range_block, block_change:1, base_type:0, square_count:3, position01:6, value_h01:1, value_w01:3, new_block:time_bomb, target:block_all, ignore01:block_positive, ignore02:time_bomb, color:block_red, count:0, val:0.01, min_time_count:4, max_time_count:4, animation:change_range_block]</v>
      </c>
      <c r="U112" s="64">
        <f t="shared" si="92"/>
        <v>9</v>
      </c>
      <c r="V112" s="64">
        <f t="shared" si="93"/>
        <v>27</v>
      </c>
      <c r="W112" s="64">
        <f t="shared" si="94"/>
        <v>142</v>
      </c>
      <c r="X112" s="64">
        <f t="shared" si="95"/>
        <v>43</v>
      </c>
      <c r="Y112" s="64" t="str">
        <f>IFERROR(VLOOKUP(MID(T112,W112,X112-W112),[6]skilldef!$C:$D,2,FALSE),"-") &amp; " / " &amp; IFERROR(VLOOKUP(MID(T112,U112,V112-U112),[6]skilldef!$A:$B,2,FALSE),"-")</f>
        <v>- / -</v>
      </c>
      <c r="Z112" s="50"/>
      <c r="AA112" s="52"/>
      <c r="AB112" s="50"/>
    </row>
    <row r="113" spans="1:28" ht="21" customHeight="1" x14ac:dyDescent="0.15">
      <c r="A113" s="118">
        <v>48101112</v>
      </c>
      <c r="B113" s="47" t="s">
        <v>433</v>
      </c>
      <c r="C113" s="50">
        <v>1</v>
      </c>
      <c r="D113" s="50" t="s">
        <v>128</v>
      </c>
      <c r="E113" s="51" t="s">
        <v>286</v>
      </c>
      <c r="F113" s="51" t="s">
        <v>430</v>
      </c>
      <c r="G113" s="64" t="str">
        <f t="shared" si="100"/>
        <v>[effect:enemy_message, val1:1.2, val2:2.0]</v>
      </c>
      <c r="H113" s="64">
        <f t="shared" si="81"/>
        <v>9</v>
      </c>
      <c r="I113" s="64">
        <f t="shared" si="82"/>
        <v>22</v>
      </c>
      <c r="J113" s="64" t="e">
        <f t="shared" si="83"/>
        <v>#VALUE!</v>
      </c>
      <c r="K113" s="64">
        <f t="shared" si="84"/>
        <v>32</v>
      </c>
      <c r="L113" s="64" t="str">
        <f>IFERROR(VLOOKUP(MID(G113,J113,K113-J113),[6]skilldef!$C:$D,2,FALSE),"-") &amp; " / " &amp; IFERROR(VLOOKUP(MID(G113,H113,I113-H113),[6]skilldef!$A:$B,2,FALSE),"-")</f>
        <v>- / -</v>
      </c>
      <c r="M113" s="64" t="str">
        <f t="shared" si="101"/>
        <v>[effect:rush, count:1, val:0.8],[effect:change_range_block, block_change:1, base_type:1, square_count:3, position01:4, value_rad01:3.0, value_h01:1, value_w01:1, new_block:jammer, target:block_all, ignore01:block_positive, ignore02:jammer, count:0, val:0, animation:change_range_block]</v>
      </c>
      <c r="N113" s="48" t="str">
        <f t="shared" si="102"/>
        <v>[effect:rush, count:1, val:0.8]</v>
      </c>
      <c r="O113" s="64">
        <f t="shared" si="87"/>
        <v>9</v>
      </c>
      <c r="P113" s="64">
        <f t="shared" si="88"/>
        <v>13</v>
      </c>
      <c r="Q113" s="64" t="e">
        <f t="shared" si="89"/>
        <v>#VALUE!</v>
      </c>
      <c r="R113" s="64">
        <f t="shared" si="90"/>
        <v>22</v>
      </c>
      <c r="S113" s="64" t="str">
        <f>IFERROR(VLOOKUP(MID(N113,Q113,R113-Q113),[6]skilldef!$C:$D,2,FALSE),"-") &amp; " / " &amp; IFERROR(VLOOKUP(MID(N113,O113,P113-O113),[6]skilldef!$A:$B,2,FALSE),"-")</f>
        <v>- / 連続攻撃</v>
      </c>
      <c r="T113" s="48" t="str">
        <f t="shared" si="91"/>
        <v>[effect:change_range_block, block_change:1, base_type:1, square_count:3, position01:4, value_rad01:3.0, value_h01:1, value_w01:1, new_block:jammer, target:block_all, ignore01:block_positive, ignore02:jammer, count:0, val:0, animation:change_range_block]</v>
      </c>
      <c r="U113" s="64">
        <f t="shared" si="92"/>
        <v>9</v>
      </c>
      <c r="V113" s="64">
        <f t="shared" si="93"/>
        <v>27</v>
      </c>
      <c r="W113" s="64">
        <f t="shared" si="94"/>
        <v>156</v>
      </c>
      <c r="X113" s="64">
        <f t="shared" si="95"/>
        <v>43</v>
      </c>
      <c r="Y113" s="64" t="str">
        <f>IFERROR(VLOOKUP(MID(T113,W113,X113-W113),[6]skilldef!$C:$D,2,FALSE),"-") &amp; " / " &amp; IFERROR(VLOOKUP(MID(T113,U113,V113-U113),[6]skilldef!$A:$B,2,FALSE),"-")</f>
        <v>- / -</v>
      </c>
      <c r="Z113" s="50"/>
      <c r="AA113" s="52"/>
      <c r="AB113" s="50"/>
    </row>
    <row r="114" spans="1:28" ht="21" customHeight="1" x14ac:dyDescent="0.15">
      <c r="A114" s="118">
        <v>48101113</v>
      </c>
      <c r="B114" s="47" t="s">
        <v>437</v>
      </c>
      <c r="C114" s="50">
        <v>1</v>
      </c>
      <c r="D114" s="50" t="s">
        <v>128</v>
      </c>
      <c r="E114" s="51" t="s">
        <v>312</v>
      </c>
      <c r="F114" s="51" t="s">
        <v>329</v>
      </c>
      <c r="G114" s="64" t="str">
        <f t="shared" si="100"/>
        <v>[effect:enemy_message, val1:1.2, val2:2.3]</v>
      </c>
      <c r="H114" s="64">
        <f t="shared" si="81"/>
        <v>9</v>
      </c>
      <c r="I114" s="64">
        <f t="shared" si="82"/>
        <v>22</v>
      </c>
      <c r="J114" s="64" t="e">
        <f t="shared" si="83"/>
        <v>#VALUE!</v>
      </c>
      <c r="K114" s="64">
        <f t="shared" si="84"/>
        <v>32</v>
      </c>
      <c r="L114" s="64" t="str">
        <f>IFERROR(VLOOKUP(MID(G114,J114,K114-J114),[6]skilldef!$C:$D,2,FALSE),"-") &amp; " / " &amp; IFERROR(VLOOKUP(MID(G114,H114,I114-H114),[6]skilldef!$A:$B,2,FALSE),"-")</f>
        <v>- / -</v>
      </c>
      <c r="M114" s="64" t="str">
        <f t="shared" si="101"/>
        <v>[effect:critical, val:1.1, animation:enemy_critical],[effect:change_range_block, block_change:1, base_type:0, square_count:5, position01:4, position02:15, value_h01:2, value_h02:2, value_w01:1, value_w02:1, new_block:jammer, target:block_all, ignore01:block_positive, ignore02:jammer, count:0, val:0, animation:change_range_block]</v>
      </c>
      <c r="N114" s="48" t="str">
        <f t="shared" si="102"/>
        <v>[effect:critical, val:1.1, animation:enemy_critical]</v>
      </c>
      <c r="O114" s="64">
        <f t="shared" si="87"/>
        <v>9</v>
      </c>
      <c r="P114" s="64">
        <f t="shared" si="88"/>
        <v>17</v>
      </c>
      <c r="Q114" s="64" t="e">
        <f t="shared" si="89"/>
        <v>#VALUE!</v>
      </c>
      <c r="R114" s="64">
        <f t="shared" si="90"/>
        <v>26</v>
      </c>
      <c r="S114" s="64" t="str">
        <f>IFERROR(VLOOKUP(MID(N114,Q114,R114-Q114),[6]skilldef!$C:$D,2,FALSE),"-") &amp; " / " &amp; IFERROR(VLOOKUP(MID(N114,O114,P114-O114),[6]skilldef!$A:$B,2,FALSE),"-")</f>
        <v>- / 大攻撃</v>
      </c>
      <c r="T114" s="48" t="str">
        <f t="shared" si="91"/>
        <v>[effect:change_range_block, block_change:1, base_type:0, square_count:5, position01:4, position02:15, value_h01:2, value_h02:2, value_w01:1, value_w02:1, new_block:jammer, target:block_all, ignore01:block_positive, ignore02:jammer, count:0, val:0, animation:change_range_block]</v>
      </c>
      <c r="U114" s="64">
        <f t="shared" si="92"/>
        <v>9</v>
      </c>
      <c r="V114" s="64">
        <f t="shared" si="93"/>
        <v>27</v>
      </c>
      <c r="W114" s="64">
        <f t="shared" si="94"/>
        <v>180</v>
      </c>
      <c r="X114" s="64">
        <f t="shared" si="95"/>
        <v>43</v>
      </c>
      <c r="Y114" s="64" t="str">
        <f>IFERROR(VLOOKUP(MID(T114,W114,X114-W114),[6]skilldef!$C:$D,2,FALSE),"-") &amp; " / " &amp; IFERROR(VLOOKUP(MID(T114,U114,V114-U114),[6]skilldef!$A:$B,2,FALSE),"-")</f>
        <v>- / -</v>
      </c>
      <c r="Z114" s="50"/>
      <c r="AA114" s="52"/>
      <c r="AB114" s="50"/>
    </row>
    <row r="115" spans="1:28" ht="21" customHeight="1" x14ac:dyDescent="0.15">
      <c r="A115" s="118">
        <v>48101114</v>
      </c>
      <c r="B115" s="47" t="s">
        <v>438</v>
      </c>
      <c r="C115" s="50">
        <v>1</v>
      </c>
      <c r="D115" s="50" t="s">
        <v>128</v>
      </c>
      <c r="E115" s="51" t="s">
        <v>313</v>
      </c>
      <c r="F115" s="51" t="s">
        <v>329</v>
      </c>
      <c r="G115" s="64" t="str">
        <f t="shared" si="100"/>
        <v>[effect:enemy_message, val1:1.2, val2:2.3]</v>
      </c>
      <c r="H115" s="64">
        <f t="shared" si="81"/>
        <v>9</v>
      </c>
      <c r="I115" s="64">
        <f t="shared" si="82"/>
        <v>22</v>
      </c>
      <c r="J115" s="64" t="e">
        <f t="shared" si="83"/>
        <v>#VALUE!</v>
      </c>
      <c r="K115" s="64">
        <f t="shared" si="84"/>
        <v>32</v>
      </c>
      <c r="L115" s="64" t="str">
        <f>IFERROR(VLOOKUP(MID(G115,J115,K115-J115),[6]skilldef!$C:$D,2,FALSE),"-") &amp; " / " &amp; IFERROR(VLOOKUP(MID(G115,H115,I115-H115),[6]skilldef!$A:$B,2,FALSE),"-")</f>
        <v>- / -</v>
      </c>
      <c r="M115" s="64" t="str">
        <f t="shared" si="101"/>
        <v>[effect:critical, val:1.1, animation:enemy_critical],[effect:change_range_block, block_change:1, base_type:0, square_count:5, position01:0, position02:23, value_h01:1, value_h02:1, value_w01:2, value_w02:2, new_block:jammer, target:block_all, ignore01:block_positive, ignore02:jammer, count:0, val:0, animation:change_range_block]</v>
      </c>
      <c r="N115" s="48" t="str">
        <f t="shared" si="102"/>
        <v>[effect:critical, val:1.1, animation:enemy_critical]</v>
      </c>
      <c r="O115" s="64">
        <f t="shared" si="87"/>
        <v>9</v>
      </c>
      <c r="P115" s="64">
        <f t="shared" si="88"/>
        <v>17</v>
      </c>
      <c r="Q115" s="64" t="e">
        <f t="shared" si="89"/>
        <v>#VALUE!</v>
      </c>
      <c r="R115" s="64">
        <f t="shared" si="90"/>
        <v>26</v>
      </c>
      <c r="S115" s="64" t="str">
        <f>IFERROR(VLOOKUP(MID(N115,Q115,R115-Q115),[6]skilldef!$C:$D,2,FALSE),"-") &amp; " / " &amp; IFERROR(VLOOKUP(MID(N115,O115,P115-O115),[6]skilldef!$A:$B,2,FALSE),"-")</f>
        <v>- / 大攻撃</v>
      </c>
      <c r="T115" s="48" t="str">
        <f t="shared" si="91"/>
        <v>[effect:change_range_block, block_change:1, base_type:0, square_count:5, position01:0, position02:23, value_h01:1, value_h02:1, value_w01:2, value_w02:2, new_block:jammer, target:block_all, ignore01:block_positive, ignore02:jammer, count:0, val:0, animation:change_range_block]</v>
      </c>
      <c r="U115" s="64">
        <f t="shared" si="92"/>
        <v>9</v>
      </c>
      <c r="V115" s="64">
        <f t="shared" si="93"/>
        <v>27</v>
      </c>
      <c r="W115" s="64">
        <f t="shared" si="94"/>
        <v>180</v>
      </c>
      <c r="X115" s="64">
        <f t="shared" si="95"/>
        <v>43</v>
      </c>
      <c r="Y115" s="64" t="str">
        <f>IFERROR(VLOOKUP(MID(T115,W115,X115-W115),[6]skilldef!$C:$D,2,FALSE),"-") &amp; " / " &amp; IFERROR(VLOOKUP(MID(T115,U115,V115-U115),[6]skilldef!$A:$B,2,FALSE),"-")</f>
        <v>- / -</v>
      </c>
      <c r="Z115" s="50"/>
      <c r="AA115" s="52"/>
      <c r="AB115" s="50"/>
    </row>
    <row r="116" spans="1:28" ht="21" customHeight="1" x14ac:dyDescent="0.15">
      <c r="A116" s="118">
        <v>48101115</v>
      </c>
      <c r="B116" s="47" t="s">
        <v>351</v>
      </c>
      <c r="C116" s="50">
        <v>1</v>
      </c>
      <c r="D116" s="50" t="s">
        <v>128</v>
      </c>
      <c r="E116" s="51" t="s">
        <v>289</v>
      </c>
      <c r="F116" s="51" t="s">
        <v>265</v>
      </c>
      <c r="G116" s="64" t="str">
        <f t="shared" si="100"/>
        <v>[effect:enemy_message, val1:1.2, val2:2.0]</v>
      </c>
      <c r="H116" s="64">
        <f t="shared" si="81"/>
        <v>9</v>
      </c>
      <c r="I116" s="64">
        <f t="shared" si="82"/>
        <v>22</v>
      </c>
      <c r="J116" s="64" t="e">
        <f t="shared" si="83"/>
        <v>#VALUE!</v>
      </c>
      <c r="K116" s="64">
        <f t="shared" si="84"/>
        <v>32</v>
      </c>
      <c r="L116" s="64" t="str">
        <f>IFERROR(VLOOKUP(MID(G116,J116,K116-J116),[6]skilldef!$C:$D,2,FALSE),"-") &amp; " / " &amp; IFERROR(VLOOKUP(MID(G116,H116,I116-H116),[6]skilldef!$A:$B,2,FALSE),"-")</f>
        <v>- / -</v>
      </c>
      <c r="M116" s="64" t="str">
        <f t="shared" si="101"/>
        <v>none</v>
      </c>
      <c r="N116" s="48" t="str">
        <f t="shared" si="102"/>
        <v>none</v>
      </c>
      <c r="O116" s="64" t="e">
        <f t="shared" si="87"/>
        <v>#VALUE!</v>
      </c>
      <c r="P116" s="64">
        <f t="shared" si="88"/>
        <v>4</v>
      </c>
      <c r="Q116" s="64" t="e">
        <f t="shared" si="89"/>
        <v>#VALUE!</v>
      </c>
      <c r="R116" s="64" t="e">
        <f t="shared" si="90"/>
        <v>#VALUE!</v>
      </c>
      <c r="S116" s="64" t="str">
        <f>IFERROR(VLOOKUP(MID(N116,Q116,R116-Q116),[6]skilldef!$C:$D,2,FALSE),"-") &amp; " / " &amp; IFERROR(VLOOKUP(MID(N116,O116,P116-O116),[6]skilldef!$A:$B,2,FALSE),"-")</f>
        <v>- / -</v>
      </c>
      <c r="T116" s="48" t="str">
        <f t="shared" si="91"/>
        <v>none</v>
      </c>
      <c r="U116" s="64" t="e">
        <f t="shared" si="92"/>
        <v>#VALUE!</v>
      </c>
      <c r="V116" s="64">
        <f t="shared" si="93"/>
        <v>4</v>
      </c>
      <c r="W116" s="64" t="e">
        <f t="shared" si="94"/>
        <v>#VALUE!</v>
      </c>
      <c r="X116" s="64" t="e">
        <f t="shared" si="95"/>
        <v>#VALUE!</v>
      </c>
      <c r="Y116" s="64" t="str">
        <f>IFERROR(VLOOKUP(MID(T116,W116,X116-W116),[6]skilldef!$C:$D,2,FALSE),"-") &amp; " / " &amp; IFERROR(VLOOKUP(MID(T116,U116,V116-U116),[6]skilldef!$A:$B,2,FALSE),"-")</f>
        <v>- / -</v>
      </c>
      <c r="Z116" s="50"/>
      <c r="AA116" s="52"/>
      <c r="AB116" s="50"/>
    </row>
    <row r="117" spans="1:28" ht="21" customHeight="1" x14ac:dyDescent="0.15">
      <c r="A117" s="118">
        <v>48101116</v>
      </c>
      <c r="B117" s="113" t="s">
        <v>385</v>
      </c>
      <c r="C117" s="50">
        <v>1</v>
      </c>
      <c r="D117" s="50" t="s">
        <v>128</v>
      </c>
      <c r="E117" s="51" t="s">
        <v>314</v>
      </c>
      <c r="F117" s="51" t="s">
        <v>384</v>
      </c>
      <c r="G117" s="64" t="str">
        <f t="shared" si="100"/>
        <v>[effect:enemy_message, val1:1.2, val2:1.5]</v>
      </c>
      <c r="H117" s="64">
        <f t="shared" si="81"/>
        <v>9</v>
      </c>
      <c r="I117" s="64">
        <f t="shared" si="82"/>
        <v>22</v>
      </c>
      <c r="J117" s="64" t="e">
        <f t="shared" si="83"/>
        <v>#VALUE!</v>
      </c>
      <c r="K117" s="64">
        <f t="shared" si="84"/>
        <v>32</v>
      </c>
      <c r="L117" s="64" t="str">
        <f>IFERROR(VLOOKUP(MID(G117,J117,K117-J117),[6]skilldef!$C:$D,2,FALSE),"-") &amp; " / " &amp; IFERROR(VLOOKUP(MID(G117,H117,I117-H117),[6]skilldef!$A:$B,2,FALSE),"-")</f>
        <v>- / -</v>
      </c>
      <c r="M117" s="64" t="str">
        <f t="shared" si="101"/>
        <v>[effect:break_attack_fix, target:unit_all, val:100, lowest_val:1200, count:-1, block01:jammer]</v>
      </c>
      <c r="N117" s="48" t="str">
        <f t="shared" si="102"/>
        <v>[effect:break_attack_fix, target:unit_all, val:100, lowest_val:1200, count:-1, block01:jammer]</v>
      </c>
      <c r="O117" s="64">
        <f t="shared" si="87"/>
        <v>9</v>
      </c>
      <c r="P117" s="64">
        <f t="shared" si="88"/>
        <v>25</v>
      </c>
      <c r="Q117" s="64">
        <f t="shared" si="89"/>
        <v>34</v>
      </c>
      <c r="R117" s="64">
        <f t="shared" si="90"/>
        <v>42</v>
      </c>
      <c r="S117" s="64" t="str">
        <f>IFERROR(VLOOKUP(MID(N117,Q117,R117-Q117),[6]skilldef!$C:$D,2,FALSE),"-") &amp; " / " &amp; IFERROR(VLOOKUP(MID(N117,O117,P117-O117),[6]skilldef!$A:$B,2,FALSE),"-")</f>
        <v>味方全体に / -</v>
      </c>
      <c r="T117" s="48" t="str">
        <f t="shared" si="91"/>
        <v>none</v>
      </c>
      <c r="U117" s="64" t="e">
        <f t="shared" si="92"/>
        <v>#VALUE!</v>
      </c>
      <c r="V117" s="64">
        <f t="shared" si="93"/>
        <v>4</v>
      </c>
      <c r="W117" s="64" t="e">
        <f t="shared" si="94"/>
        <v>#VALUE!</v>
      </c>
      <c r="X117" s="64" t="e">
        <f t="shared" si="95"/>
        <v>#VALUE!</v>
      </c>
      <c r="Y117" s="64" t="str">
        <f>IFERROR(VLOOKUP(MID(T117,W117,X117-W117),[6]skilldef!$C:$D,2,FALSE),"-") &amp; " / " &amp; IFERROR(VLOOKUP(MID(T117,U117,V117-U117),[6]skilldef!$A:$B,2,FALSE),"-")</f>
        <v>- / -</v>
      </c>
      <c r="Z117" s="50"/>
      <c r="AA117" s="52"/>
      <c r="AB117" s="50"/>
    </row>
    <row r="118" spans="1:28" ht="21" customHeight="1" x14ac:dyDescent="0.15">
      <c r="A118" s="118">
        <v>48101117</v>
      </c>
      <c r="B118" s="47" t="s">
        <v>304</v>
      </c>
      <c r="C118" s="50">
        <v>1</v>
      </c>
      <c r="D118" s="50" t="s">
        <v>128</v>
      </c>
      <c r="E118" s="51" t="s">
        <v>302</v>
      </c>
      <c r="F118" s="51" t="s">
        <v>303</v>
      </c>
      <c r="G118" s="64" t="str">
        <f t="shared" si="100"/>
        <v xml:space="preserve">[effect:enemy_message, val1:2.0, val2:2.5, dead_type:suicide]    </v>
      </c>
      <c r="H118" s="64">
        <f t="shared" si="81"/>
        <v>9</v>
      </c>
      <c r="I118" s="64">
        <f t="shared" si="82"/>
        <v>22</v>
      </c>
      <c r="J118" s="64" t="e">
        <f t="shared" si="83"/>
        <v>#VALUE!</v>
      </c>
      <c r="K118" s="64">
        <f t="shared" si="84"/>
        <v>32</v>
      </c>
      <c r="L118" s="64" t="str">
        <f>IFERROR(VLOOKUP(MID(G118,J118,K118-J118),[6]skilldef!$C:$D,2,FALSE),"-") &amp; " / " &amp; IFERROR(VLOOKUP(MID(G118,H118,I118-H118),[6]skilldef!$A:$B,2,FALSE),"-")</f>
        <v>- / -</v>
      </c>
      <c r="M118" s="64" t="str">
        <f t="shared" si="101"/>
        <v>none</v>
      </c>
      <c r="N118" s="48" t="str">
        <f t="shared" si="102"/>
        <v>none</v>
      </c>
      <c r="O118" s="64" t="e">
        <f t="shared" si="87"/>
        <v>#VALUE!</v>
      </c>
      <c r="P118" s="64">
        <f t="shared" si="88"/>
        <v>4</v>
      </c>
      <c r="Q118" s="64" t="e">
        <f t="shared" si="89"/>
        <v>#VALUE!</v>
      </c>
      <c r="R118" s="64" t="e">
        <f t="shared" si="90"/>
        <v>#VALUE!</v>
      </c>
      <c r="S118" s="64" t="str">
        <f>IFERROR(VLOOKUP(MID(N118,Q118,R118-Q118),[6]skilldef!$C:$D,2,FALSE),"-") &amp; " / " &amp; IFERROR(VLOOKUP(MID(N118,O118,P118-O118),[6]skilldef!$A:$B,2,FALSE),"-")</f>
        <v>- / -</v>
      </c>
      <c r="T118" s="48" t="str">
        <f t="shared" si="91"/>
        <v>none</v>
      </c>
      <c r="U118" s="64" t="e">
        <f t="shared" si="92"/>
        <v>#VALUE!</v>
      </c>
      <c r="V118" s="64">
        <f t="shared" si="93"/>
        <v>4</v>
      </c>
      <c r="W118" s="64" t="e">
        <f t="shared" si="94"/>
        <v>#VALUE!</v>
      </c>
      <c r="X118" s="64" t="e">
        <f t="shared" si="95"/>
        <v>#VALUE!</v>
      </c>
      <c r="Y118" s="64" t="str">
        <f>IFERROR(VLOOKUP(MID(T118,W118,X118-W118),[6]skilldef!$C:$D,2,FALSE),"-") &amp; " / " &amp; IFERROR(VLOOKUP(MID(T118,U118,V118-U118),[6]skilldef!$A:$B,2,FALSE),"-")</f>
        <v>- / -</v>
      </c>
      <c r="Z118" s="50"/>
      <c r="AA118" s="52"/>
      <c r="AB118" s="50"/>
    </row>
    <row r="119" spans="1:28" ht="21" customHeight="1" x14ac:dyDescent="0.15">
      <c r="A119" s="118">
        <v>48101118</v>
      </c>
      <c r="B119" s="47" t="s">
        <v>331</v>
      </c>
      <c r="C119" s="50">
        <v>1</v>
      </c>
      <c r="D119" s="50" t="s">
        <v>128</v>
      </c>
      <c r="E119" s="51" t="s">
        <v>330</v>
      </c>
      <c r="F119" s="51" t="s">
        <v>262</v>
      </c>
      <c r="G119" s="64" t="str">
        <f t="shared" si="100"/>
        <v xml:space="preserve">[effect:enemy_message, val1:2.3, val2:0, dead_type:suicide]    </v>
      </c>
      <c r="H119" s="64">
        <f t="shared" si="81"/>
        <v>9</v>
      </c>
      <c r="I119" s="64">
        <f t="shared" si="82"/>
        <v>22</v>
      </c>
      <c r="J119" s="64" t="e">
        <f t="shared" si="83"/>
        <v>#VALUE!</v>
      </c>
      <c r="K119" s="64">
        <f t="shared" si="84"/>
        <v>32</v>
      </c>
      <c r="L119" s="64" t="str">
        <f>IFERROR(VLOOKUP(MID(G119,J119,K119-J119),[6]skilldef!$C:$D,2,FALSE),"-") &amp; " / " &amp; IFERROR(VLOOKUP(MID(G119,H119,I119-H119),[6]skilldef!$A:$B,2,FALSE),"-")</f>
        <v>- / -</v>
      </c>
      <c r="M119" s="64" t="str">
        <f t="shared" si="101"/>
        <v>none</v>
      </c>
      <c r="N119" s="48" t="str">
        <f t="shared" si="102"/>
        <v>none</v>
      </c>
      <c r="O119" s="64" t="e">
        <f t="shared" si="87"/>
        <v>#VALUE!</v>
      </c>
      <c r="P119" s="64">
        <f t="shared" si="88"/>
        <v>4</v>
      </c>
      <c r="Q119" s="64" t="e">
        <f t="shared" si="89"/>
        <v>#VALUE!</v>
      </c>
      <c r="R119" s="64" t="e">
        <f t="shared" si="90"/>
        <v>#VALUE!</v>
      </c>
      <c r="S119" s="64" t="str">
        <f>IFERROR(VLOOKUP(MID(N119,Q119,R119-Q119),[6]skilldef!$C:$D,2,FALSE),"-") &amp; " / " &amp; IFERROR(VLOOKUP(MID(N119,O119,P119-O119),[6]skilldef!$A:$B,2,FALSE),"-")</f>
        <v>- / -</v>
      </c>
      <c r="T119" s="48" t="str">
        <f t="shared" si="91"/>
        <v>none</v>
      </c>
      <c r="U119" s="64" t="e">
        <f t="shared" si="92"/>
        <v>#VALUE!</v>
      </c>
      <c r="V119" s="64">
        <f t="shared" si="93"/>
        <v>4</v>
      </c>
      <c r="W119" s="64" t="e">
        <f t="shared" si="94"/>
        <v>#VALUE!</v>
      </c>
      <c r="X119" s="64" t="e">
        <f t="shared" si="95"/>
        <v>#VALUE!</v>
      </c>
      <c r="Y119" s="64" t="str">
        <f>IFERROR(VLOOKUP(MID(T119,W119,X119-W119),[6]skilldef!$C:$D,2,FALSE),"-") &amp; " / " &amp; IFERROR(VLOOKUP(MID(T119,U119,V119-U119),[6]skilldef!$A:$B,2,FALSE),"-")</f>
        <v>- / -</v>
      </c>
      <c r="Z119" s="50"/>
      <c r="AA119" s="52"/>
      <c r="AB119" s="50"/>
    </row>
    <row r="120" spans="1:28" ht="21" customHeight="1" x14ac:dyDescent="0.15">
      <c r="A120" s="118">
        <v>48101119</v>
      </c>
      <c r="B120" s="47" t="s">
        <v>334</v>
      </c>
      <c r="C120" s="50">
        <v>1</v>
      </c>
      <c r="D120" s="50" t="s">
        <v>128</v>
      </c>
      <c r="E120" s="51" t="s">
        <v>332</v>
      </c>
      <c r="F120" s="133" t="s">
        <v>262</v>
      </c>
      <c r="G120" s="64" t="str">
        <f t="shared" si="100"/>
        <v>[effect:enemy_message, val1:2.9, val2:0, dead_type:suicide]</v>
      </c>
      <c r="H120" s="64">
        <f t="shared" si="81"/>
        <v>9</v>
      </c>
      <c r="I120" s="64">
        <f t="shared" si="82"/>
        <v>22</v>
      </c>
      <c r="J120" s="64" t="e">
        <f t="shared" si="83"/>
        <v>#VALUE!</v>
      </c>
      <c r="K120" s="64">
        <f t="shared" si="84"/>
        <v>32</v>
      </c>
      <c r="L120" s="64" t="str">
        <f>IFERROR(VLOOKUP(MID(G120,J120,K120-J120),[6]skilldef!$C:$D,2,FALSE),"-") &amp; " / " &amp; IFERROR(VLOOKUP(MID(G120,H120,I120-H120),[6]skilldef!$A:$B,2,FALSE),"-")</f>
        <v>- / -</v>
      </c>
      <c r="M120" s="64" t="str">
        <f t="shared" si="101"/>
        <v>none</v>
      </c>
      <c r="N120" s="48" t="str">
        <f t="shared" si="102"/>
        <v>none</v>
      </c>
      <c r="O120" s="64" t="e">
        <f t="shared" si="87"/>
        <v>#VALUE!</v>
      </c>
      <c r="P120" s="64">
        <f t="shared" si="88"/>
        <v>4</v>
      </c>
      <c r="Q120" s="64" t="e">
        <f t="shared" si="89"/>
        <v>#VALUE!</v>
      </c>
      <c r="R120" s="64" t="e">
        <f t="shared" si="90"/>
        <v>#VALUE!</v>
      </c>
      <c r="S120" s="64" t="str">
        <f>IFERROR(VLOOKUP(MID(N120,Q120,R120-Q120),[6]skilldef!$C:$D,2,FALSE),"-") &amp; " / " &amp; IFERROR(VLOOKUP(MID(N120,O120,P120-O120),[6]skilldef!$A:$B,2,FALSE),"-")</f>
        <v>- / -</v>
      </c>
      <c r="T120" s="48" t="str">
        <f t="shared" si="91"/>
        <v>none</v>
      </c>
      <c r="U120" s="64" t="e">
        <f t="shared" si="92"/>
        <v>#VALUE!</v>
      </c>
      <c r="V120" s="64">
        <f t="shared" si="93"/>
        <v>4</v>
      </c>
      <c r="W120" s="64" t="e">
        <f t="shared" si="94"/>
        <v>#VALUE!</v>
      </c>
      <c r="X120" s="64" t="e">
        <f t="shared" si="95"/>
        <v>#VALUE!</v>
      </c>
      <c r="Y120" s="64" t="str">
        <f>IFERROR(VLOOKUP(MID(T120,W120,X120-W120),[6]skilldef!$C:$D,2,FALSE),"-") &amp; " / " &amp; IFERROR(VLOOKUP(MID(T120,U120,V120-U120),[6]skilldef!$A:$B,2,FALSE),"-")</f>
        <v>- / -</v>
      </c>
      <c r="Z120" s="50"/>
      <c r="AA120" s="52"/>
      <c r="AB120" s="50"/>
    </row>
    <row r="121" spans="1:28" ht="21" customHeight="1" thickBot="1" x14ac:dyDescent="0.2">
      <c r="A121" s="119">
        <v>48101120</v>
      </c>
      <c r="B121" s="141" t="s">
        <v>331</v>
      </c>
      <c r="C121" s="142">
        <v>1</v>
      </c>
      <c r="D121" s="142" t="s">
        <v>128</v>
      </c>
      <c r="E121" s="143" t="s">
        <v>333</v>
      </c>
      <c r="F121" s="143" t="s">
        <v>262</v>
      </c>
      <c r="G121" s="144" t="str">
        <f t="shared" si="100"/>
        <v xml:space="preserve">[effect:enemy_message, val1:2.3, val2:0, dead_type:suicide]    </v>
      </c>
      <c r="H121" s="144">
        <f t="shared" ref="H121" si="103">FIND("effect:",G121)+7</f>
        <v>9</v>
      </c>
      <c r="I121" s="144">
        <f t="shared" ref="I121" si="104">IFERROR(FIND(",",G121),LEN(G121))</f>
        <v>22</v>
      </c>
      <c r="J121" s="144" t="e">
        <f t="shared" ref="J121" si="105">FIND("target:",G121)+7</f>
        <v>#VALUE!</v>
      </c>
      <c r="K121" s="144">
        <f t="shared" ref="K121" si="106">FIND(",",G121,I121+1)</f>
        <v>32</v>
      </c>
      <c r="L121" s="144" t="str">
        <f>IFERROR(VLOOKUP(MID(G121,J121,K121-J121),[6]skilldef!$C:$D,2,FALSE),"-") &amp; " / " &amp; IFERROR(VLOOKUP(MID(G121,H121,I121-H121),[6]skilldef!$A:$B,2,FALSE),"-")</f>
        <v>- / -</v>
      </c>
      <c r="M121" s="144" t="str">
        <f t="shared" si="101"/>
        <v>none</v>
      </c>
      <c r="N121" s="145" t="str">
        <f t="shared" si="102"/>
        <v>none</v>
      </c>
      <c r="O121" s="144" t="e">
        <f t="shared" ref="O121" si="107">FIND("effect:",N121)+7</f>
        <v>#VALUE!</v>
      </c>
      <c r="P121" s="144">
        <f t="shared" ref="P121" si="108">IFERROR(FIND(",",N121),LEN(N121))</f>
        <v>4</v>
      </c>
      <c r="Q121" s="144" t="e">
        <f t="shared" ref="Q121" si="109">FIND("target:",N121)+7</f>
        <v>#VALUE!</v>
      </c>
      <c r="R121" s="144" t="e">
        <f t="shared" ref="R121" si="110">FIND(",",N121,P121+1)</f>
        <v>#VALUE!</v>
      </c>
      <c r="S121" s="144" t="str">
        <f>IFERROR(VLOOKUP(MID(N121,Q121,R121-Q121),[6]skilldef!$C:$D,2,FALSE),"-") &amp; " / " &amp; IFERROR(VLOOKUP(MID(N121,O121,P121-O121),[6]skilldef!$A:$B,2,FALSE),"-")</f>
        <v>- / -</v>
      </c>
      <c r="T121" s="145" t="str">
        <f t="shared" ref="T121" si="111">IFERROR(RIGHT(M121,LEN(M121)-FIND("],",M121)-1),"none")</f>
        <v>none</v>
      </c>
      <c r="U121" s="144" t="e">
        <f t="shared" ref="U121" si="112">FIND("effect:",T121)+7</f>
        <v>#VALUE!</v>
      </c>
      <c r="V121" s="144">
        <f t="shared" ref="V121" si="113">IFERROR(FIND(",",T121),LEN(T121))</f>
        <v>4</v>
      </c>
      <c r="W121" s="144" t="e">
        <f t="shared" ref="W121" si="114">FIND("target:",T121)+7</f>
        <v>#VALUE!</v>
      </c>
      <c r="X121" s="144" t="e">
        <f t="shared" ref="X121" si="115">FIND(",",T121,V121+1)</f>
        <v>#VALUE!</v>
      </c>
      <c r="Y121" s="144" t="str">
        <f>IFERROR(VLOOKUP(MID(T121,W121,X121-W121),[6]skilldef!$C:$D,2,FALSE),"-") &amp; " / " &amp; IFERROR(VLOOKUP(MID(T121,U121,V121-U121),[6]skilldef!$A:$B,2,FALSE),"-")</f>
        <v>- / -</v>
      </c>
      <c r="Z121" s="142"/>
      <c r="AA121" s="146"/>
      <c r="AB121" s="142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141"/>
  <sheetViews>
    <sheetView showGridLines="0" workbookViewId="0">
      <pane ySplit="1" topLeftCell="A127" activePane="bottomLeft" state="frozenSplit"/>
      <selection pane="bottomLeft" activeCell="A72" sqref="A72:A14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08">
        <v>48101001</v>
      </c>
      <c r="B2" s="47">
        <v>1</v>
      </c>
      <c r="C2" s="47" t="s">
        <v>89</v>
      </c>
      <c r="D2" s="47">
        <v>100</v>
      </c>
      <c r="E2" s="47" t="s">
        <v>254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108">
        <v>48101002</v>
      </c>
      <c r="B3" s="47">
        <v>0</v>
      </c>
      <c r="C3" s="47" t="s">
        <v>89</v>
      </c>
      <c r="D3" s="47">
        <v>20</v>
      </c>
      <c r="E3" s="47" t="s">
        <v>53</v>
      </c>
      <c r="F3" s="47" t="s">
        <v>53</v>
      </c>
      <c r="G3" s="47" t="s">
        <v>53</v>
      </c>
      <c r="H3" s="47" t="s">
        <v>53</v>
      </c>
      <c r="I3" s="47" t="s">
        <v>53</v>
      </c>
      <c r="J3" s="48">
        <f t="shared" ref="J3:J5" si="1">D3</f>
        <v>20</v>
      </c>
    </row>
    <row r="4" spans="1:11" ht="21" customHeight="1" x14ac:dyDescent="0.15">
      <c r="A4" s="108">
        <v>48101003</v>
      </c>
      <c r="B4" s="47">
        <v>0</v>
      </c>
      <c r="C4" s="47" t="s">
        <v>89</v>
      </c>
      <c r="D4" s="47">
        <v>100</v>
      </c>
      <c r="E4" s="47" t="s">
        <v>53</v>
      </c>
      <c r="F4" s="47" t="s">
        <v>53</v>
      </c>
      <c r="G4" s="47" t="s">
        <v>53</v>
      </c>
      <c r="H4" s="47">
        <v>2</v>
      </c>
      <c r="I4" s="47" t="s">
        <v>53</v>
      </c>
      <c r="J4" s="48">
        <f t="shared" si="1"/>
        <v>100</v>
      </c>
    </row>
    <row r="5" spans="1:11" ht="21" customHeight="1" thickBot="1" x14ac:dyDescent="0.2">
      <c r="A5" s="109">
        <v>48101004</v>
      </c>
      <c r="B5" s="107">
        <v>0</v>
      </c>
      <c r="C5" s="107">
        <v>100</v>
      </c>
      <c r="D5" s="107">
        <v>100</v>
      </c>
      <c r="E5" s="107">
        <v>70</v>
      </c>
      <c r="F5" s="107" t="s">
        <v>53</v>
      </c>
      <c r="G5" s="107" t="s">
        <v>53</v>
      </c>
      <c r="H5" s="107">
        <v>1</v>
      </c>
      <c r="I5" s="107" t="s">
        <v>53</v>
      </c>
      <c r="J5" s="121">
        <f t="shared" si="1"/>
        <v>100</v>
      </c>
    </row>
    <row r="6" spans="1:11" ht="21" customHeight="1" x14ac:dyDescent="0.15">
      <c r="A6" s="110">
        <v>48101005</v>
      </c>
      <c r="B6" s="106">
        <v>1</v>
      </c>
      <c r="C6" s="106" t="s">
        <v>89</v>
      </c>
      <c r="D6" s="106">
        <v>100</v>
      </c>
      <c r="E6" s="106" t="s">
        <v>53</v>
      </c>
      <c r="F6" s="106" t="s">
        <v>53</v>
      </c>
      <c r="G6" s="106">
        <v>1</v>
      </c>
      <c r="H6" s="106" t="s">
        <v>53</v>
      </c>
      <c r="I6" s="106" t="s">
        <v>53</v>
      </c>
      <c r="J6" s="120">
        <f t="shared" ref="J6:J18" si="2">D6</f>
        <v>100</v>
      </c>
    </row>
    <row r="7" spans="1:11" ht="21" customHeight="1" x14ac:dyDescent="0.15">
      <c r="A7" s="111">
        <v>48101006</v>
      </c>
      <c r="B7" s="47">
        <v>0</v>
      </c>
      <c r="C7" s="47">
        <v>100</v>
      </c>
      <c r="D7" s="47">
        <v>100</v>
      </c>
      <c r="E7" s="47" t="s">
        <v>53</v>
      </c>
      <c r="F7" s="47" t="s">
        <v>53</v>
      </c>
      <c r="G7" s="47">
        <v>1</v>
      </c>
      <c r="H7" s="47">
        <v>1</v>
      </c>
      <c r="I7" s="47" t="s">
        <v>53</v>
      </c>
      <c r="J7" s="48">
        <f t="shared" si="2"/>
        <v>100</v>
      </c>
    </row>
    <row r="8" spans="1:11" ht="21" customHeight="1" x14ac:dyDescent="0.15">
      <c r="A8" s="111">
        <v>48101007</v>
      </c>
      <c r="B8" s="47">
        <v>0</v>
      </c>
      <c r="C8" s="47">
        <v>80</v>
      </c>
      <c r="D8" s="47">
        <v>100</v>
      </c>
      <c r="E8" s="47" t="s">
        <v>53</v>
      </c>
      <c r="F8" s="47" t="s">
        <v>53</v>
      </c>
      <c r="G8" s="47" t="s">
        <v>53</v>
      </c>
      <c r="H8" s="47">
        <v>2</v>
      </c>
      <c r="I8" s="47" t="s">
        <v>53</v>
      </c>
      <c r="J8" s="48">
        <f t="shared" si="2"/>
        <v>100</v>
      </c>
    </row>
    <row r="9" spans="1:11" ht="21" customHeight="1" thickBot="1" x14ac:dyDescent="0.2">
      <c r="A9" s="112">
        <v>48101008</v>
      </c>
      <c r="B9" s="107">
        <v>0</v>
      </c>
      <c r="C9" s="107">
        <v>90</v>
      </c>
      <c r="D9" s="107">
        <v>100</v>
      </c>
      <c r="E9" s="107" t="s">
        <v>53</v>
      </c>
      <c r="F9" s="107" t="s">
        <v>53</v>
      </c>
      <c r="G9" s="107">
        <v>1</v>
      </c>
      <c r="H9" s="107">
        <v>4</v>
      </c>
      <c r="I9" s="107" t="s">
        <v>53</v>
      </c>
      <c r="J9" s="121">
        <f t="shared" si="2"/>
        <v>100</v>
      </c>
    </row>
    <row r="10" spans="1:11" ht="21" customHeight="1" x14ac:dyDescent="0.15">
      <c r="A10" s="123">
        <v>48101009</v>
      </c>
      <c r="B10" s="106">
        <v>1</v>
      </c>
      <c r="C10" s="106">
        <v>80</v>
      </c>
      <c r="D10" s="106">
        <v>100</v>
      </c>
      <c r="E10" s="106" t="s">
        <v>53</v>
      </c>
      <c r="F10" s="106" t="s">
        <v>53</v>
      </c>
      <c r="G10" s="106">
        <v>1</v>
      </c>
      <c r="H10" s="106">
        <v>1</v>
      </c>
      <c r="I10" s="106" t="s">
        <v>53</v>
      </c>
      <c r="J10" s="120">
        <f t="shared" si="2"/>
        <v>100</v>
      </c>
    </row>
    <row r="11" spans="1:11" ht="21" customHeight="1" x14ac:dyDescent="0.15">
      <c r="A11" s="111">
        <v>48101010</v>
      </c>
      <c r="B11" s="47">
        <v>1</v>
      </c>
      <c r="C11" s="47">
        <v>100</v>
      </c>
      <c r="D11" s="47">
        <v>100</v>
      </c>
      <c r="E11" s="47" t="s">
        <v>53</v>
      </c>
      <c r="F11" s="47" t="s">
        <v>53</v>
      </c>
      <c r="G11" s="47">
        <v>1</v>
      </c>
      <c r="H11" s="47">
        <v>1</v>
      </c>
      <c r="I11" s="47">
        <v>8132</v>
      </c>
      <c r="J11" s="48">
        <f t="shared" si="2"/>
        <v>100</v>
      </c>
    </row>
    <row r="12" spans="1:11" ht="21" customHeight="1" x14ac:dyDescent="0.15">
      <c r="A12" s="111">
        <v>48101011</v>
      </c>
      <c r="B12" s="113">
        <v>1</v>
      </c>
      <c r="C12" s="113">
        <v>95</v>
      </c>
      <c r="D12" s="113">
        <v>100</v>
      </c>
      <c r="E12" s="113" t="s">
        <v>53</v>
      </c>
      <c r="F12" s="113" t="s">
        <v>53</v>
      </c>
      <c r="G12" s="113">
        <v>1</v>
      </c>
      <c r="H12" s="113">
        <v>1</v>
      </c>
      <c r="I12" s="113">
        <v>8131</v>
      </c>
      <c r="J12" s="124">
        <f t="shared" si="2"/>
        <v>100</v>
      </c>
      <c r="K12" s="128"/>
    </row>
    <row r="13" spans="1:11" ht="21" customHeight="1" thickBot="1" x14ac:dyDescent="0.2">
      <c r="A13" s="140">
        <v>48101012</v>
      </c>
      <c r="B13" s="107">
        <v>1</v>
      </c>
      <c r="C13" s="107">
        <v>90</v>
      </c>
      <c r="D13" s="107">
        <v>100</v>
      </c>
      <c r="E13" s="107" t="s">
        <v>53</v>
      </c>
      <c r="F13" s="107" t="s">
        <v>53</v>
      </c>
      <c r="G13" s="107">
        <v>1</v>
      </c>
      <c r="H13" s="107">
        <v>1</v>
      </c>
      <c r="I13" s="107">
        <v>8130</v>
      </c>
      <c r="J13" s="121">
        <f t="shared" ref="J13" si="3">D13</f>
        <v>100</v>
      </c>
      <c r="K13" s="125"/>
    </row>
    <row r="14" spans="1:11" ht="21" customHeight="1" x14ac:dyDescent="0.15">
      <c r="A14" s="123">
        <v>48101013</v>
      </c>
      <c r="B14" s="106">
        <v>1</v>
      </c>
      <c r="C14" s="106" t="s">
        <v>89</v>
      </c>
      <c r="D14" s="106">
        <v>100</v>
      </c>
      <c r="E14" s="106" t="s">
        <v>53</v>
      </c>
      <c r="F14" s="106" t="s">
        <v>53</v>
      </c>
      <c r="G14" s="106">
        <v>1</v>
      </c>
      <c r="H14" s="106" t="s">
        <v>53</v>
      </c>
      <c r="I14" s="106" t="s">
        <v>53</v>
      </c>
      <c r="J14" s="120">
        <f t="shared" si="2"/>
        <v>100</v>
      </c>
    </row>
    <row r="15" spans="1:11" ht="21" customHeight="1" x14ac:dyDescent="0.15">
      <c r="A15" s="111">
        <v>48101014</v>
      </c>
      <c r="B15" s="47">
        <v>0</v>
      </c>
      <c r="C15" s="47">
        <v>50</v>
      </c>
      <c r="D15" s="47">
        <v>30</v>
      </c>
      <c r="E15" s="47" t="s">
        <v>53</v>
      </c>
      <c r="F15" s="47" t="s">
        <v>53</v>
      </c>
      <c r="G15" s="47" t="s">
        <v>53</v>
      </c>
      <c r="H15" s="47" t="s">
        <v>53</v>
      </c>
      <c r="I15" s="47" t="s">
        <v>53</v>
      </c>
      <c r="J15" s="48">
        <f t="shared" si="2"/>
        <v>30</v>
      </c>
    </row>
    <row r="16" spans="1:11" ht="21" customHeight="1" x14ac:dyDescent="0.15">
      <c r="A16" s="111">
        <v>48101015</v>
      </c>
      <c r="B16" s="47">
        <v>0</v>
      </c>
      <c r="C16" s="47">
        <v>40</v>
      </c>
      <c r="D16" s="47">
        <v>100</v>
      </c>
      <c r="E16" s="47" t="s">
        <v>53</v>
      </c>
      <c r="F16" s="47" t="s">
        <v>53</v>
      </c>
      <c r="G16" s="47" t="s">
        <v>53</v>
      </c>
      <c r="H16" s="47" t="s">
        <v>53</v>
      </c>
      <c r="I16" s="47" t="s">
        <v>53</v>
      </c>
      <c r="J16" s="48">
        <f t="shared" si="2"/>
        <v>100</v>
      </c>
    </row>
    <row r="17" spans="1:12" ht="21" customHeight="1" x14ac:dyDescent="0.15">
      <c r="A17" s="111">
        <v>48101016</v>
      </c>
      <c r="B17" s="47">
        <v>0</v>
      </c>
      <c r="C17" s="47">
        <v>60</v>
      </c>
      <c r="D17" s="47">
        <v>100</v>
      </c>
      <c r="E17" s="47" t="s">
        <v>53</v>
      </c>
      <c r="F17" s="47" t="s">
        <v>53</v>
      </c>
      <c r="G17" s="47" t="s">
        <v>53</v>
      </c>
      <c r="H17" s="47">
        <v>2</v>
      </c>
      <c r="I17" s="47" t="s">
        <v>53</v>
      </c>
      <c r="J17" s="48">
        <f t="shared" si="2"/>
        <v>100</v>
      </c>
    </row>
    <row r="18" spans="1:12" ht="21" customHeight="1" x14ac:dyDescent="0.15">
      <c r="A18" s="111">
        <v>48101017</v>
      </c>
      <c r="B18" s="47">
        <v>0</v>
      </c>
      <c r="C18" s="47">
        <v>70</v>
      </c>
      <c r="D18" s="47">
        <v>100</v>
      </c>
      <c r="E18" s="47" t="s">
        <v>53</v>
      </c>
      <c r="F18" s="47" t="s">
        <v>53</v>
      </c>
      <c r="G18" s="47">
        <v>1</v>
      </c>
      <c r="H18" s="47">
        <v>4</v>
      </c>
      <c r="I18" s="47" t="s">
        <v>53</v>
      </c>
      <c r="J18" s="48">
        <f t="shared" si="2"/>
        <v>100</v>
      </c>
    </row>
    <row r="19" spans="1:12" ht="21" customHeight="1" x14ac:dyDescent="0.15">
      <c r="A19" s="111">
        <v>48101018</v>
      </c>
      <c r="B19" s="47">
        <v>0</v>
      </c>
      <c r="C19" s="47">
        <v>80</v>
      </c>
      <c r="D19" s="47">
        <v>100</v>
      </c>
      <c r="E19" s="47" t="s">
        <v>53</v>
      </c>
      <c r="F19" s="47" t="s">
        <v>53</v>
      </c>
      <c r="G19" s="47">
        <v>1</v>
      </c>
      <c r="H19" s="47">
        <v>5</v>
      </c>
      <c r="I19" s="47" t="s">
        <v>53</v>
      </c>
      <c r="J19" s="48">
        <f t="shared" ref="J19:J82" si="4">D19</f>
        <v>100</v>
      </c>
    </row>
    <row r="20" spans="1:12" ht="21" customHeight="1" x14ac:dyDescent="0.15">
      <c r="A20" s="111">
        <v>48101019</v>
      </c>
      <c r="B20" s="47">
        <v>0</v>
      </c>
      <c r="C20" s="47">
        <v>90</v>
      </c>
      <c r="D20" s="47">
        <v>100</v>
      </c>
      <c r="E20" s="47" t="s">
        <v>53</v>
      </c>
      <c r="F20" s="47" t="s">
        <v>53</v>
      </c>
      <c r="G20" s="47">
        <v>1</v>
      </c>
      <c r="H20" s="47">
        <v>9</v>
      </c>
      <c r="I20" s="47" t="s">
        <v>53</v>
      </c>
      <c r="J20" s="48">
        <f t="shared" si="4"/>
        <v>100</v>
      </c>
    </row>
    <row r="21" spans="1:12" ht="21" customHeight="1" x14ac:dyDescent="0.15">
      <c r="A21" s="111">
        <v>48101020</v>
      </c>
      <c r="B21" s="47">
        <v>0</v>
      </c>
      <c r="C21" s="47">
        <v>100</v>
      </c>
      <c r="D21" s="47">
        <v>100</v>
      </c>
      <c r="E21" s="47" t="s">
        <v>53</v>
      </c>
      <c r="F21" s="47" t="s">
        <v>53</v>
      </c>
      <c r="G21" s="47">
        <v>1</v>
      </c>
      <c r="H21" s="47">
        <v>10</v>
      </c>
      <c r="I21" s="47" t="s">
        <v>53</v>
      </c>
      <c r="J21" s="48">
        <f t="shared" si="4"/>
        <v>100</v>
      </c>
    </row>
    <row r="22" spans="1:12" ht="21" customHeight="1" thickBot="1" x14ac:dyDescent="0.2">
      <c r="A22" s="140">
        <v>48101021</v>
      </c>
      <c r="B22" s="107">
        <v>0</v>
      </c>
      <c r="C22" s="107">
        <v>150</v>
      </c>
      <c r="D22" s="107">
        <v>100</v>
      </c>
      <c r="E22" s="107">
        <v>50</v>
      </c>
      <c r="F22" s="107" t="s">
        <v>53</v>
      </c>
      <c r="G22" s="107">
        <v>1</v>
      </c>
      <c r="H22" s="107">
        <v>1</v>
      </c>
      <c r="I22" s="107" t="s">
        <v>53</v>
      </c>
      <c r="J22" s="121">
        <f t="shared" si="4"/>
        <v>100</v>
      </c>
    </row>
    <row r="23" spans="1:12" ht="21" customHeight="1" x14ac:dyDescent="0.15">
      <c r="A23" s="123">
        <v>48101022</v>
      </c>
      <c r="B23" s="106">
        <v>1</v>
      </c>
      <c r="C23" s="106">
        <v>80</v>
      </c>
      <c r="D23" s="106">
        <v>100</v>
      </c>
      <c r="E23" s="106" t="s">
        <v>53</v>
      </c>
      <c r="F23" s="106" t="s">
        <v>53</v>
      </c>
      <c r="G23" s="106" t="s">
        <v>53</v>
      </c>
      <c r="H23" s="106" t="s">
        <v>53</v>
      </c>
      <c r="I23" s="106" t="s">
        <v>53</v>
      </c>
      <c r="J23" s="120">
        <f t="shared" si="4"/>
        <v>100</v>
      </c>
    </row>
    <row r="24" spans="1:12" ht="21" customHeight="1" x14ac:dyDescent="0.15">
      <c r="A24" s="111">
        <v>48101023</v>
      </c>
      <c r="B24" s="113">
        <v>1</v>
      </c>
      <c r="C24" s="113">
        <v>100</v>
      </c>
      <c r="D24" s="113">
        <v>100</v>
      </c>
      <c r="E24" s="113" t="s">
        <v>53</v>
      </c>
      <c r="F24" s="113" t="s">
        <v>53</v>
      </c>
      <c r="G24" s="113" t="s">
        <v>53</v>
      </c>
      <c r="H24" s="113" t="s">
        <v>53</v>
      </c>
      <c r="I24" s="47">
        <v>8132</v>
      </c>
      <c r="J24" s="124">
        <f t="shared" si="4"/>
        <v>100</v>
      </c>
    </row>
    <row r="25" spans="1:12" ht="21" customHeight="1" x14ac:dyDescent="0.15">
      <c r="A25" s="111">
        <v>48101024</v>
      </c>
      <c r="B25" s="113">
        <v>1</v>
      </c>
      <c r="C25" s="113">
        <v>95</v>
      </c>
      <c r="D25" s="113">
        <v>100</v>
      </c>
      <c r="E25" s="113" t="s">
        <v>53</v>
      </c>
      <c r="F25" s="113" t="s">
        <v>53</v>
      </c>
      <c r="G25" s="113" t="s">
        <v>53</v>
      </c>
      <c r="H25" s="113" t="s">
        <v>53</v>
      </c>
      <c r="I25" s="113">
        <v>8131</v>
      </c>
      <c r="J25" s="124">
        <f t="shared" si="4"/>
        <v>100</v>
      </c>
      <c r="K25" s="147"/>
    </row>
    <row r="26" spans="1:12" ht="21" customHeight="1" thickBot="1" x14ac:dyDescent="0.2">
      <c r="A26" s="140">
        <v>48101025</v>
      </c>
      <c r="B26" s="107">
        <v>1</v>
      </c>
      <c r="C26" s="107">
        <v>90</v>
      </c>
      <c r="D26" s="107">
        <v>100</v>
      </c>
      <c r="E26" s="107" t="s">
        <v>53</v>
      </c>
      <c r="F26" s="107" t="s">
        <v>53</v>
      </c>
      <c r="G26" s="107" t="s">
        <v>53</v>
      </c>
      <c r="H26" s="107" t="s">
        <v>53</v>
      </c>
      <c r="I26" s="107">
        <v>8130</v>
      </c>
      <c r="J26" s="121">
        <f t="shared" ref="J26" si="5">D26</f>
        <v>100</v>
      </c>
      <c r="K26" s="125"/>
    </row>
    <row r="27" spans="1:12" ht="21" customHeight="1" x14ac:dyDescent="0.15">
      <c r="A27" s="114">
        <v>48101026</v>
      </c>
      <c r="B27" s="106">
        <v>1</v>
      </c>
      <c r="C27" s="106" t="s">
        <v>89</v>
      </c>
      <c r="D27" s="106">
        <v>100</v>
      </c>
      <c r="E27" s="106" t="s">
        <v>53</v>
      </c>
      <c r="F27" s="106" t="s">
        <v>53</v>
      </c>
      <c r="G27" s="106" t="s">
        <v>53</v>
      </c>
      <c r="H27" s="106" t="s">
        <v>53</v>
      </c>
      <c r="I27" s="106" t="s">
        <v>53</v>
      </c>
      <c r="J27" s="120">
        <f t="shared" si="4"/>
        <v>100</v>
      </c>
    </row>
    <row r="28" spans="1:12" ht="21" customHeight="1" x14ac:dyDescent="0.15">
      <c r="A28" s="115">
        <v>48101027</v>
      </c>
      <c r="B28" s="47">
        <v>0</v>
      </c>
      <c r="C28" s="47">
        <v>80</v>
      </c>
      <c r="D28" s="47">
        <v>50</v>
      </c>
      <c r="E28" s="47" t="s">
        <v>53</v>
      </c>
      <c r="F28" s="47" t="s">
        <v>53</v>
      </c>
      <c r="G28" s="47" t="s">
        <v>53</v>
      </c>
      <c r="H28" s="47" t="s">
        <v>53</v>
      </c>
      <c r="I28" s="47" t="s">
        <v>53</v>
      </c>
      <c r="J28" s="48">
        <f t="shared" si="4"/>
        <v>50</v>
      </c>
    </row>
    <row r="29" spans="1:12" ht="21" customHeight="1" x14ac:dyDescent="0.15">
      <c r="A29" s="115">
        <v>48101028</v>
      </c>
      <c r="B29" s="47">
        <v>0</v>
      </c>
      <c r="C29" s="47">
        <v>70</v>
      </c>
      <c r="D29" s="47">
        <v>100</v>
      </c>
      <c r="E29" s="47" t="s">
        <v>53</v>
      </c>
      <c r="F29" s="47" t="s">
        <v>53</v>
      </c>
      <c r="G29" s="47" t="s">
        <v>53</v>
      </c>
      <c r="H29" s="47" t="s">
        <v>53</v>
      </c>
      <c r="I29" s="47" t="s">
        <v>53</v>
      </c>
      <c r="J29" s="48">
        <f t="shared" si="4"/>
        <v>100</v>
      </c>
    </row>
    <row r="30" spans="1:12" ht="21" customHeight="1" x14ac:dyDescent="0.15">
      <c r="A30" s="114">
        <v>48101029</v>
      </c>
      <c r="B30" s="47">
        <v>0</v>
      </c>
      <c r="C30" s="47">
        <v>100</v>
      </c>
      <c r="D30" s="47">
        <v>100</v>
      </c>
      <c r="E30" s="47" t="s">
        <v>53</v>
      </c>
      <c r="F30" s="47" t="s">
        <v>53</v>
      </c>
      <c r="G30" s="47">
        <v>1</v>
      </c>
      <c r="H30" s="47">
        <v>1</v>
      </c>
      <c r="I30" s="47" t="s">
        <v>53</v>
      </c>
      <c r="J30" s="48">
        <f t="shared" si="4"/>
        <v>100</v>
      </c>
    </row>
    <row r="31" spans="1:12" ht="21" customHeight="1" thickBot="1" x14ac:dyDescent="0.2">
      <c r="A31" s="116">
        <v>48101030</v>
      </c>
      <c r="B31" s="107">
        <v>0</v>
      </c>
      <c r="C31" s="107">
        <v>90</v>
      </c>
      <c r="D31" s="107">
        <v>100</v>
      </c>
      <c r="E31" s="107" t="s">
        <v>53</v>
      </c>
      <c r="F31" s="107" t="s">
        <v>53</v>
      </c>
      <c r="G31" s="107" t="s">
        <v>53</v>
      </c>
      <c r="H31" s="107">
        <v>3</v>
      </c>
      <c r="I31" s="107" t="s">
        <v>53</v>
      </c>
      <c r="J31" s="121">
        <f t="shared" si="4"/>
        <v>100</v>
      </c>
    </row>
    <row r="32" spans="1:12" ht="21" customHeight="1" x14ac:dyDescent="0.15">
      <c r="A32" s="114">
        <v>48101031</v>
      </c>
      <c r="B32" s="106">
        <v>1</v>
      </c>
      <c r="C32" s="47" t="s">
        <v>89</v>
      </c>
      <c r="D32" s="106">
        <v>100</v>
      </c>
      <c r="E32" s="106" t="s">
        <v>53</v>
      </c>
      <c r="F32" s="106" t="s">
        <v>53</v>
      </c>
      <c r="G32" s="106">
        <v>1</v>
      </c>
      <c r="H32" s="47" t="s">
        <v>53</v>
      </c>
      <c r="I32" s="106" t="s">
        <v>53</v>
      </c>
      <c r="J32" s="120">
        <f t="shared" si="4"/>
        <v>100</v>
      </c>
      <c r="L32" s="45" t="s">
        <v>290</v>
      </c>
    </row>
    <row r="33" spans="1:11" ht="21" customHeight="1" x14ac:dyDescent="0.15">
      <c r="A33" s="115">
        <v>48101032</v>
      </c>
      <c r="B33" s="47">
        <v>0</v>
      </c>
      <c r="C33" s="47">
        <v>30</v>
      </c>
      <c r="D33" s="47">
        <v>30</v>
      </c>
      <c r="E33" s="47" t="s">
        <v>53</v>
      </c>
      <c r="F33" s="47">
        <v>50</v>
      </c>
      <c r="G33" s="47" t="s">
        <v>53</v>
      </c>
      <c r="H33" s="47" t="s">
        <v>53</v>
      </c>
      <c r="I33" s="47" t="s">
        <v>53</v>
      </c>
      <c r="J33" s="48">
        <f t="shared" si="4"/>
        <v>30</v>
      </c>
    </row>
    <row r="34" spans="1:11" ht="21" customHeight="1" x14ac:dyDescent="0.15">
      <c r="A34" s="115">
        <v>48101033</v>
      </c>
      <c r="B34" s="47">
        <v>0</v>
      </c>
      <c r="C34" s="47">
        <v>40</v>
      </c>
      <c r="D34" s="47">
        <v>100</v>
      </c>
      <c r="E34" s="47" t="s">
        <v>53</v>
      </c>
      <c r="F34" s="47">
        <v>50</v>
      </c>
      <c r="G34" s="47">
        <v>1</v>
      </c>
      <c r="H34" s="47">
        <v>2</v>
      </c>
      <c r="I34" s="47" t="s">
        <v>53</v>
      </c>
      <c r="J34" s="48">
        <f t="shared" si="4"/>
        <v>100</v>
      </c>
    </row>
    <row r="35" spans="1:11" ht="21" customHeight="1" x14ac:dyDescent="0.15">
      <c r="A35" s="115">
        <v>48101034</v>
      </c>
      <c r="B35" s="47">
        <v>0</v>
      </c>
      <c r="C35" s="47">
        <v>50</v>
      </c>
      <c r="D35" s="47">
        <v>100</v>
      </c>
      <c r="E35" s="47" t="s">
        <v>53</v>
      </c>
      <c r="F35" s="47">
        <v>50</v>
      </c>
      <c r="G35" s="47">
        <v>1</v>
      </c>
      <c r="H35" s="47">
        <v>3</v>
      </c>
      <c r="I35" s="47" t="s">
        <v>53</v>
      </c>
      <c r="J35" s="48">
        <f t="shared" si="4"/>
        <v>100</v>
      </c>
    </row>
    <row r="36" spans="1:11" ht="21" customHeight="1" x14ac:dyDescent="0.15">
      <c r="A36" s="115">
        <v>48101035</v>
      </c>
      <c r="B36" s="47">
        <v>0</v>
      </c>
      <c r="C36" s="47">
        <v>60</v>
      </c>
      <c r="D36" s="47">
        <v>100</v>
      </c>
      <c r="E36" s="47" t="s">
        <v>53</v>
      </c>
      <c r="F36" s="47">
        <v>50</v>
      </c>
      <c r="G36" s="47">
        <v>1</v>
      </c>
      <c r="H36" s="47">
        <v>6</v>
      </c>
      <c r="I36" s="47" t="s">
        <v>53</v>
      </c>
      <c r="J36" s="48">
        <f t="shared" si="4"/>
        <v>100</v>
      </c>
    </row>
    <row r="37" spans="1:11" ht="21" customHeight="1" x14ac:dyDescent="0.15">
      <c r="A37" s="117">
        <v>48101036</v>
      </c>
      <c r="B37" s="47">
        <v>0</v>
      </c>
      <c r="C37" s="47">
        <v>70</v>
      </c>
      <c r="D37" s="47">
        <v>100</v>
      </c>
      <c r="E37" s="47" t="s">
        <v>53</v>
      </c>
      <c r="F37" s="47">
        <v>50</v>
      </c>
      <c r="G37" s="47">
        <v>1</v>
      </c>
      <c r="H37" s="47">
        <v>7</v>
      </c>
      <c r="I37" s="47" t="s">
        <v>53</v>
      </c>
      <c r="J37" s="48">
        <f t="shared" si="4"/>
        <v>100</v>
      </c>
    </row>
    <row r="38" spans="1:11" ht="21" customHeight="1" x14ac:dyDescent="0.15">
      <c r="A38" s="115">
        <v>48101037</v>
      </c>
      <c r="B38" s="47">
        <v>0</v>
      </c>
      <c r="C38" s="47">
        <v>80</v>
      </c>
      <c r="D38" s="47">
        <v>100</v>
      </c>
      <c r="E38" s="47" t="s">
        <v>53</v>
      </c>
      <c r="F38" s="47">
        <v>50</v>
      </c>
      <c r="G38" s="47">
        <v>1</v>
      </c>
      <c r="H38" s="47">
        <v>11</v>
      </c>
      <c r="I38" s="47" t="s">
        <v>53</v>
      </c>
      <c r="J38" s="48">
        <f t="shared" si="4"/>
        <v>100</v>
      </c>
    </row>
    <row r="39" spans="1:11" ht="21" customHeight="1" x14ac:dyDescent="0.15">
      <c r="A39" s="115">
        <v>48101038</v>
      </c>
      <c r="B39" s="113">
        <v>0</v>
      </c>
      <c r="C39" s="113">
        <v>90</v>
      </c>
      <c r="D39" s="113">
        <v>100</v>
      </c>
      <c r="E39" s="113" t="s">
        <v>53</v>
      </c>
      <c r="F39" s="113">
        <v>50</v>
      </c>
      <c r="G39" s="113">
        <v>1</v>
      </c>
      <c r="H39" s="113">
        <v>12</v>
      </c>
      <c r="I39" s="113" t="s">
        <v>53</v>
      </c>
      <c r="J39" s="124">
        <f t="shared" si="4"/>
        <v>100</v>
      </c>
    </row>
    <row r="40" spans="1:11" ht="21" customHeight="1" x14ac:dyDescent="0.15">
      <c r="A40" s="115">
        <v>48101039</v>
      </c>
      <c r="B40" s="47">
        <v>0</v>
      </c>
      <c r="C40" s="47">
        <v>100</v>
      </c>
      <c r="D40" s="47">
        <v>100</v>
      </c>
      <c r="E40" s="47" t="s">
        <v>53</v>
      </c>
      <c r="F40" s="47">
        <v>50</v>
      </c>
      <c r="G40" s="47" t="s">
        <v>53</v>
      </c>
      <c r="H40" s="47">
        <v>5</v>
      </c>
      <c r="I40" s="47" t="s">
        <v>53</v>
      </c>
      <c r="J40" s="48">
        <f t="shared" si="4"/>
        <v>100</v>
      </c>
      <c r="K40" s="126"/>
    </row>
    <row r="41" spans="1:11" ht="21" customHeight="1" x14ac:dyDescent="0.15">
      <c r="A41" s="114">
        <v>48101040</v>
      </c>
      <c r="B41" s="47">
        <v>0</v>
      </c>
      <c r="C41" s="47">
        <v>80</v>
      </c>
      <c r="D41" s="47">
        <v>20</v>
      </c>
      <c r="E41" s="47">
        <v>50</v>
      </c>
      <c r="F41" s="47" t="s">
        <v>53</v>
      </c>
      <c r="G41" s="47" t="s">
        <v>53</v>
      </c>
      <c r="H41" s="47" t="s">
        <v>53</v>
      </c>
      <c r="I41" s="47" t="s">
        <v>53</v>
      </c>
      <c r="J41" s="48">
        <f t="shared" si="4"/>
        <v>20</v>
      </c>
      <c r="K41" s="126"/>
    </row>
    <row r="42" spans="1:11" ht="21" customHeight="1" x14ac:dyDescent="0.15">
      <c r="A42" s="115">
        <v>48101041</v>
      </c>
      <c r="B42" s="47">
        <v>0</v>
      </c>
      <c r="C42" s="47">
        <v>70</v>
      </c>
      <c r="D42" s="47">
        <v>40</v>
      </c>
      <c r="E42" s="47">
        <v>50</v>
      </c>
      <c r="F42" s="47" t="s">
        <v>53</v>
      </c>
      <c r="G42" s="47" t="s">
        <v>53</v>
      </c>
      <c r="H42" s="47" t="s">
        <v>53</v>
      </c>
      <c r="I42" s="47" t="s">
        <v>53</v>
      </c>
      <c r="J42" s="48">
        <f t="shared" si="4"/>
        <v>40</v>
      </c>
      <c r="K42" s="126"/>
    </row>
    <row r="43" spans="1:11" ht="21" customHeight="1" x14ac:dyDescent="0.15">
      <c r="A43" s="117">
        <v>48101042</v>
      </c>
      <c r="B43" s="106">
        <v>0</v>
      </c>
      <c r="C43" s="106">
        <v>60</v>
      </c>
      <c r="D43" s="106">
        <v>100</v>
      </c>
      <c r="E43" s="106">
        <v>50</v>
      </c>
      <c r="F43" s="106" t="s">
        <v>53</v>
      </c>
      <c r="G43" s="106" t="s">
        <v>53</v>
      </c>
      <c r="H43" s="106" t="s">
        <v>53</v>
      </c>
      <c r="I43" s="106" t="s">
        <v>53</v>
      </c>
      <c r="J43" s="120">
        <f t="shared" si="4"/>
        <v>100</v>
      </c>
    </row>
    <row r="44" spans="1:11" ht="21" customHeight="1" x14ac:dyDescent="0.15">
      <c r="A44" s="117">
        <v>48101043</v>
      </c>
      <c r="B44" s="47">
        <v>0</v>
      </c>
      <c r="C44" s="47">
        <v>90</v>
      </c>
      <c r="D44" s="47">
        <v>100</v>
      </c>
      <c r="E44" s="47">
        <v>50</v>
      </c>
      <c r="F44" s="47" t="s">
        <v>53</v>
      </c>
      <c r="G44" s="47" t="s">
        <v>53</v>
      </c>
      <c r="H44" s="47">
        <v>2</v>
      </c>
      <c r="I44" s="47" t="s">
        <v>53</v>
      </c>
      <c r="J44" s="48">
        <f t="shared" si="4"/>
        <v>100</v>
      </c>
    </row>
    <row r="45" spans="1:11" ht="21" customHeight="1" x14ac:dyDescent="0.15">
      <c r="A45" s="117">
        <v>48101044</v>
      </c>
      <c r="B45" s="113">
        <v>0</v>
      </c>
      <c r="C45" s="113">
        <v>100</v>
      </c>
      <c r="D45" s="113">
        <v>100</v>
      </c>
      <c r="E45" s="113">
        <v>50</v>
      </c>
      <c r="F45" s="113" t="s">
        <v>53</v>
      </c>
      <c r="G45" s="113" t="s">
        <v>53</v>
      </c>
      <c r="H45" s="113">
        <v>4</v>
      </c>
      <c r="I45" s="113" t="s">
        <v>53</v>
      </c>
      <c r="J45" s="124">
        <f t="shared" si="4"/>
        <v>100</v>
      </c>
    </row>
    <row r="46" spans="1:11" ht="21" customHeight="1" thickBot="1" x14ac:dyDescent="0.2">
      <c r="A46" s="116">
        <v>48101045</v>
      </c>
      <c r="B46" s="107">
        <v>0</v>
      </c>
      <c r="C46" s="107" t="s">
        <v>89</v>
      </c>
      <c r="D46" s="107">
        <v>100</v>
      </c>
      <c r="E46" s="107" t="s">
        <v>53</v>
      </c>
      <c r="F46" s="107" t="s">
        <v>53</v>
      </c>
      <c r="G46" s="107">
        <v>0</v>
      </c>
      <c r="H46" s="107" t="s">
        <v>53</v>
      </c>
      <c r="I46" s="107">
        <v>0</v>
      </c>
      <c r="J46" s="121">
        <f t="shared" si="4"/>
        <v>100</v>
      </c>
      <c r="K46" s="125"/>
    </row>
    <row r="47" spans="1:11" ht="21" customHeight="1" x14ac:dyDescent="0.15">
      <c r="A47" s="118">
        <v>48101046</v>
      </c>
      <c r="B47" s="106">
        <v>1</v>
      </c>
      <c r="C47" s="106">
        <v>101</v>
      </c>
      <c r="D47" s="106">
        <v>100</v>
      </c>
      <c r="E47" s="106" t="s">
        <v>53</v>
      </c>
      <c r="F47" s="106" t="s">
        <v>53</v>
      </c>
      <c r="G47" s="106">
        <v>1</v>
      </c>
      <c r="H47" s="106" t="s">
        <v>53</v>
      </c>
      <c r="I47" s="106" t="s">
        <v>53</v>
      </c>
      <c r="J47" s="120">
        <f t="shared" si="4"/>
        <v>100</v>
      </c>
    </row>
    <row r="48" spans="1:11" ht="21" customHeight="1" x14ac:dyDescent="0.15">
      <c r="A48" s="118">
        <v>48101047</v>
      </c>
      <c r="B48" s="47">
        <v>1</v>
      </c>
      <c r="C48" s="47">
        <v>110</v>
      </c>
      <c r="D48" s="47">
        <v>100</v>
      </c>
      <c r="E48" s="47" t="s">
        <v>53</v>
      </c>
      <c r="F48" s="47" t="s">
        <v>53</v>
      </c>
      <c r="G48" s="47">
        <v>1</v>
      </c>
      <c r="H48" s="47" t="s">
        <v>53</v>
      </c>
      <c r="I48" s="47">
        <v>8132</v>
      </c>
      <c r="J48" s="48">
        <f t="shared" si="4"/>
        <v>100</v>
      </c>
    </row>
    <row r="49" spans="1:11" ht="21" customHeight="1" x14ac:dyDescent="0.15">
      <c r="A49" s="118">
        <v>48101048</v>
      </c>
      <c r="B49" s="47">
        <v>1</v>
      </c>
      <c r="C49" s="47">
        <v>108</v>
      </c>
      <c r="D49" s="47">
        <v>100</v>
      </c>
      <c r="E49" s="47" t="s">
        <v>53</v>
      </c>
      <c r="F49" s="47" t="s">
        <v>53</v>
      </c>
      <c r="G49" s="47">
        <v>1</v>
      </c>
      <c r="H49" s="47" t="s">
        <v>53</v>
      </c>
      <c r="I49" s="47">
        <v>8131</v>
      </c>
      <c r="J49" s="48">
        <f t="shared" si="4"/>
        <v>100</v>
      </c>
    </row>
    <row r="50" spans="1:11" ht="21" customHeight="1" x14ac:dyDescent="0.15">
      <c r="A50" s="118">
        <v>48101049</v>
      </c>
      <c r="B50" s="47">
        <v>1</v>
      </c>
      <c r="C50" s="47">
        <v>105</v>
      </c>
      <c r="D50" s="47">
        <v>100</v>
      </c>
      <c r="E50" s="47" t="s">
        <v>53</v>
      </c>
      <c r="F50" s="47" t="s">
        <v>53</v>
      </c>
      <c r="G50" s="47">
        <v>1</v>
      </c>
      <c r="H50" s="47" t="s">
        <v>53</v>
      </c>
      <c r="I50" s="47">
        <v>8130</v>
      </c>
      <c r="J50" s="48">
        <f t="shared" ref="J50" si="6">D50</f>
        <v>100</v>
      </c>
    </row>
    <row r="51" spans="1:11" ht="21" customHeight="1" x14ac:dyDescent="0.15">
      <c r="A51" s="118">
        <v>48101050</v>
      </c>
      <c r="B51" s="47">
        <v>0</v>
      </c>
      <c r="C51" s="47">
        <v>80</v>
      </c>
      <c r="D51" s="47">
        <v>30</v>
      </c>
      <c r="E51" s="47" t="s">
        <v>53</v>
      </c>
      <c r="F51" s="47" t="s">
        <v>53</v>
      </c>
      <c r="G51" s="47" t="s">
        <v>53</v>
      </c>
      <c r="H51" s="47" t="s">
        <v>53</v>
      </c>
      <c r="I51" s="47" t="s">
        <v>53</v>
      </c>
      <c r="J51" s="48">
        <f t="shared" si="4"/>
        <v>30</v>
      </c>
    </row>
    <row r="52" spans="1:11" ht="21" customHeight="1" x14ac:dyDescent="0.15">
      <c r="A52" s="118">
        <v>48101051</v>
      </c>
      <c r="B52" s="47">
        <v>0</v>
      </c>
      <c r="C52" s="47">
        <v>70</v>
      </c>
      <c r="D52" s="47">
        <v>50</v>
      </c>
      <c r="E52" s="47" t="s">
        <v>53</v>
      </c>
      <c r="F52" s="47" t="s">
        <v>53</v>
      </c>
      <c r="G52" s="47" t="s">
        <v>53</v>
      </c>
      <c r="H52" s="47" t="s">
        <v>53</v>
      </c>
      <c r="I52" s="47" t="s">
        <v>53</v>
      </c>
      <c r="J52" s="48">
        <f t="shared" si="4"/>
        <v>50</v>
      </c>
    </row>
    <row r="53" spans="1:11" ht="21" customHeight="1" x14ac:dyDescent="0.15">
      <c r="A53" s="118">
        <v>48101052</v>
      </c>
      <c r="B53" s="47">
        <v>0</v>
      </c>
      <c r="C53" s="47">
        <v>60</v>
      </c>
      <c r="D53" s="47">
        <v>100</v>
      </c>
      <c r="E53" s="47" t="s">
        <v>53</v>
      </c>
      <c r="F53" s="47" t="s">
        <v>53</v>
      </c>
      <c r="G53" s="47" t="s">
        <v>53</v>
      </c>
      <c r="H53" s="47" t="s">
        <v>53</v>
      </c>
      <c r="I53" s="47" t="s">
        <v>53</v>
      </c>
      <c r="J53" s="48">
        <f t="shared" si="4"/>
        <v>100</v>
      </c>
    </row>
    <row r="54" spans="1:11" ht="21" customHeight="1" x14ac:dyDescent="0.15">
      <c r="A54" s="118">
        <v>48101053</v>
      </c>
      <c r="B54" s="47">
        <v>0</v>
      </c>
      <c r="C54" s="47">
        <v>90</v>
      </c>
      <c r="D54" s="47">
        <v>100</v>
      </c>
      <c r="E54" s="47" t="s">
        <v>53</v>
      </c>
      <c r="F54" s="47" t="s">
        <v>53</v>
      </c>
      <c r="G54" s="47" t="s">
        <v>53</v>
      </c>
      <c r="H54" s="47">
        <v>3</v>
      </c>
      <c r="I54" s="47" t="s">
        <v>53</v>
      </c>
      <c r="J54" s="48">
        <f t="shared" si="4"/>
        <v>100</v>
      </c>
    </row>
    <row r="55" spans="1:11" ht="21" customHeight="1" thickBot="1" x14ac:dyDescent="0.2">
      <c r="A55" s="119">
        <v>48101054</v>
      </c>
      <c r="B55" s="107">
        <v>0</v>
      </c>
      <c r="C55" s="107">
        <v>100</v>
      </c>
      <c r="D55" s="107">
        <v>100</v>
      </c>
      <c r="E55" s="107" t="s">
        <v>53</v>
      </c>
      <c r="F55" s="107" t="s">
        <v>53</v>
      </c>
      <c r="G55" s="107">
        <v>1</v>
      </c>
      <c r="H55" s="107">
        <v>3</v>
      </c>
      <c r="I55" s="107" t="s">
        <v>53</v>
      </c>
      <c r="J55" s="121">
        <f t="shared" si="4"/>
        <v>100</v>
      </c>
      <c r="K55" s="122"/>
    </row>
    <row r="56" spans="1:11" ht="21" customHeight="1" x14ac:dyDescent="0.15">
      <c r="A56" s="118">
        <v>48101055</v>
      </c>
      <c r="B56" s="106">
        <v>1</v>
      </c>
      <c r="C56" s="106" t="s">
        <v>89</v>
      </c>
      <c r="D56" s="106">
        <v>100</v>
      </c>
      <c r="E56" s="106" t="s">
        <v>53</v>
      </c>
      <c r="F56" s="106" t="s">
        <v>53</v>
      </c>
      <c r="G56" s="106">
        <v>1</v>
      </c>
      <c r="H56" s="106" t="s">
        <v>53</v>
      </c>
      <c r="I56" s="106" t="s">
        <v>53</v>
      </c>
      <c r="J56" s="120">
        <f t="shared" si="4"/>
        <v>100</v>
      </c>
    </row>
    <row r="57" spans="1:11" ht="21" customHeight="1" x14ac:dyDescent="0.15">
      <c r="A57" s="118">
        <v>48101056</v>
      </c>
      <c r="B57" s="47">
        <v>0</v>
      </c>
      <c r="C57" s="47">
        <v>30</v>
      </c>
      <c r="D57" s="47">
        <v>20</v>
      </c>
      <c r="E57" s="47" t="s">
        <v>53</v>
      </c>
      <c r="F57" s="47" t="s">
        <v>53</v>
      </c>
      <c r="G57" s="47" t="s">
        <v>53</v>
      </c>
      <c r="H57" s="47" t="s">
        <v>53</v>
      </c>
      <c r="I57" s="47" t="s">
        <v>53</v>
      </c>
      <c r="J57" s="48">
        <f t="shared" si="4"/>
        <v>20</v>
      </c>
    </row>
    <row r="58" spans="1:11" ht="21" customHeight="1" x14ac:dyDescent="0.15">
      <c r="A58" s="118">
        <v>48101057</v>
      </c>
      <c r="B58" s="47">
        <v>0</v>
      </c>
      <c r="C58" s="47">
        <v>20</v>
      </c>
      <c r="D58" s="47">
        <v>50</v>
      </c>
      <c r="E58" s="47" t="s">
        <v>53</v>
      </c>
      <c r="F58" s="47" t="s">
        <v>53</v>
      </c>
      <c r="G58" s="47" t="s">
        <v>53</v>
      </c>
      <c r="H58" s="47" t="s">
        <v>53</v>
      </c>
      <c r="I58" s="47" t="s">
        <v>53</v>
      </c>
      <c r="J58" s="48">
        <f t="shared" si="4"/>
        <v>50</v>
      </c>
    </row>
    <row r="59" spans="1:11" ht="21" customHeight="1" x14ac:dyDescent="0.15">
      <c r="A59" s="118">
        <v>48101058</v>
      </c>
      <c r="B59" s="47">
        <v>0</v>
      </c>
      <c r="C59" s="47">
        <v>10</v>
      </c>
      <c r="D59" s="47">
        <v>100</v>
      </c>
      <c r="E59" s="47" t="s">
        <v>53</v>
      </c>
      <c r="F59" s="47" t="s">
        <v>53</v>
      </c>
      <c r="G59" s="47" t="s">
        <v>53</v>
      </c>
      <c r="H59" s="47" t="s">
        <v>53</v>
      </c>
      <c r="I59" s="47" t="s">
        <v>53</v>
      </c>
      <c r="J59" s="48">
        <f t="shared" si="4"/>
        <v>100</v>
      </c>
    </row>
    <row r="60" spans="1:11" ht="21" customHeight="1" x14ac:dyDescent="0.15">
      <c r="A60" s="118">
        <v>48101059</v>
      </c>
      <c r="B60" s="47">
        <v>0</v>
      </c>
      <c r="C60" s="47">
        <v>40</v>
      </c>
      <c r="D60" s="47">
        <v>100</v>
      </c>
      <c r="E60" s="47" t="s">
        <v>53</v>
      </c>
      <c r="F60" s="47" t="s">
        <v>53</v>
      </c>
      <c r="G60" s="47" t="s">
        <v>53</v>
      </c>
      <c r="H60" s="47">
        <v>2</v>
      </c>
      <c r="I60" s="47" t="s">
        <v>53</v>
      </c>
      <c r="J60" s="48">
        <f t="shared" si="4"/>
        <v>100</v>
      </c>
    </row>
    <row r="61" spans="1:11" ht="21" customHeight="1" x14ac:dyDescent="0.15">
      <c r="A61" s="118">
        <v>48101060</v>
      </c>
      <c r="B61" s="47">
        <v>0</v>
      </c>
      <c r="C61" s="47">
        <v>50</v>
      </c>
      <c r="D61" s="47">
        <v>100</v>
      </c>
      <c r="E61" s="47" t="s">
        <v>53</v>
      </c>
      <c r="F61" s="47" t="s">
        <v>53</v>
      </c>
      <c r="G61" s="47" t="s">
        <v>53</v>
      </c>
      <c r="H61" s="47">
        <v>3</v>
      </c>
      <c r="I61" s="47" t="s">
        <v>53</v>
      </c>
      <c r="J61" s="48">
        <f t="shared" si="4"/>
        <v>100</v>
      </c>
    </row>
    <row r="62" spans="1:11" ht="21" customHeight="1" x14ac:dyDescent="0.15">
      <c r="A62" s="118">
        <v>48101061</v>
      </c>
      <c r="B62" s="47">
        <v>0</v>
      </c>
      <c r="C62" s="47">
        <v>60</v>
      </c>
      <c r="D62" s="47">
        <v>100</v>
      </c>
      <c r="E62" s="47" t="s">
        <v>53</v>
      </c>
      <c r="F62" s="47" t="s">
        <v>53</v>
      </c>
      <c r="G62" s="47">
        <v>1</v>
      </c>
      <c r="H62" s="47">
        <v>5</v>
      </c>
      <c r="I62" s="47" t="s">
        <v>53</v>
      </c>
      <c r="J62" s="48">
        <f t="shared" si="4"/>
        <v>100</v>
      </c>
    </row>
    <row r="63" spans="1:11" ht="21" customHeight="1" x14ac:dyDescent="0.15">
      <c r="A63" s="118">
        <v>48101062</v>
      </c>
      <c r="B63" s="47">
        <v>0</v>
      </c>
      <c r="C63" s="47">
        <v>65</v>
      </c>
      <c r="D63" s="47">
        <v>100</v>
      </c>
      <c r="E63" s="47" t="s">
        <v>53</v>
      </c>
      <c r="F63" s="47" t="s">
        <v>53</v>
      </c>
      <c r="G63" s="47">
        <v>1</v>
      </c>
      <c r="H63" s="47">
        <v>6</v>
      </c>
      <c r="I63" s="47" t="s">
        <v>53</v>
      </c>
      <c r="J63" s="48">
        <f t="shared" si="4"/>
        <v>100</v>
      </c>
    </row>
    <row r="64" spans="1:11" ht="21" customHeight="1" x14ac:dyDescent="0.15">
      <c r="A64" s="118">
        <v>48101063</v>
      </c>
      <c r="B64" s="47">
        <v>0</v>
      </c>
      <c r="C64" s="47">
        <v>70</v>
      </c>
      <c r="D64" s="47">
        <v>100</v>
      </c>
      <c r="E64" s="47" t="s">
        <v>53</v>
      </c>
      <c r="F64" s="47" t="s">
        <v>53</v>
      </c>
      <c r="G64" s="47">
        <v>1</v>
      </c>
      <c r="H64" s="47">
        <v>10</v>
      </c>
      <c r="I64" s="47" t="s">
        <v>53</v>
      </c>
      <c r="J64" s="48">
        <f t="shared" si="4"/>
        <v>100</v>
      </c>
    </row>
    <row r="65" spans="1:11" ht="21" customHeight="1" x14ac:dyDescent="0.15">
      <c r="A65" s="118">
        <v>48101064</v>
      </c>
      <c r="B65" s="47">
        <v>0</v>
      </c>
      <c r="C65" s="47">
        <v>75</v>
      </c>
      <c r="D65" s="47">
        <v>100</v>
      </c>
      <c r="E65" s="47" t="s">
        <v>53</v>
      </c>
      <c r="F65" s="47" t="s">
        <v>53</v>
      </c>
      <c r="G65" s="47">
        <v>1</v>
      </c>
      <c r="H65" s="47">
        <v>11</v>
      </c>
      <c r="I65" s="47" t="s">
        <v>53</v>
      </c>
      <c r="J65" s="48">
        <f t="shared" si="4"/>
        <v>100</v>
      </c>
    </row>
    <row r="66" spans="1:11" ht="21" customHeight="1" x14ac:dyDescent="0.15">
      <c r="A66" s="118">
        <v>48101065</v>
      </c>
      <c r="B66" s="47">
        <v>0</v>
      </c>
      <c r="C66" s="47">
        <v>85</v>
      </c>
      <c r="D66" s="47">
        <v>100</v>
      </c>
      <c r="E66" s="47" t="s">
        <v>53</v>
      </c>
      <c r="F66" s="47" t="s">
        <v>53</v>
      </c>
      <c r="G66" s="47">
        <v>1</v>
      </c>
      <c r="H66" s="47">
        <v>15</v>
      </c>
      <c r="I66" s="47" t="s">
        <v>53</v>
      </c>
      <c r="J66" s="48">
        <f t="shared" si="4"/>
        <v>100</v>
      </c>
    </row>
    <row r="67" spans="1:11" ht="21" customHeight="1" x14ac:dyDescent="0.15">
      <c r="A67" s="118">
        <v>48101066</v>
      </c>
      <c r="B67" s="47">
        <v>0</v>
      </c>
      <c r="C67" s="47">
        <v>80</v>
      </c>
      <c r="D67" s="47">
        <v>100</v>
      </c>
      <c r="E67" s="47" t="s">
        <v>53</v>
      </c>
      <c r="F67" s="47" t="s">
        <v>53</v>
      </c>
      <c r="G67" s="47">
        <v>1</v>
      </c>
      <c r="H67" s="47">
        <v>16</v>
      </c>
      <c r="I67" s="47" t="s">
        <v>53</v>
      </c>
      <c r="J67" s="48">
        <f t="shared" si="4"/>
        <v>100</v>
      </c>
    </row>
    <row r="68" spans="1:11" ht="21" customHeight="1" x14ac:dyDescent="0.15">
      <c r="A68" s="118">
        <v>48101067</v>
      </c>
      <c r="B68" s="47">
        <v>0</v>
      </c>
      <c r="C68" s="47">
        <v>90</v>
      </c>
      <c r="D68" s="47">
        <v>100</v>
      </c>
      <c r="E68" s="47" t="s">
        <v>53</v>
      </c>
      <c r="F68" s="47" t="s">
        <v>53</v>
      </c>
      <c r="G68" s="47">
        <v>0</v>
      </c>
      <c r="H68" s="47" t="s">
        <v>53</v>
      </c>
      <c r="I68" s="47">
        <v>0</v>
      </c>
      <c r="J68" s="48">
        <f t="shared" si="4"/>
        <v>100</v>
      </c>
    </row>
    <row r="69" spans="1:11" ht="21" customHeight="1" x14ac:dyDescent="0.15">
      <c r="A69" s="118">
        <v>48101068</v>
      </c>
      <c r="B69" s="47">
        <v>0</v>
      </c>
      <c r="C69" s="47">
        <v>110</v>
      </c>
      <c r="D69" s="47">
        <v>100</v>
      </c>
      <c r="E69" s="47" t="s">
        <v>53</v>
      </c>
      <c r="F69" s="47" t="s">
        <v>53</v>
      </c>
      <c r="G69" s="47">
        <v>0</v>
      </c>
      <c r="H69" s="47" t="s">
        <v>53</v>
      </c>
      <c r="I69" s="47">
        <v>8132</v>
      </c>
      <c r="J69" s="48">
        <f t="shared" si="4"/>
        <v>100</v>
      </c>
      <c r="K69" s="128"/>
    </row>
    <row r="70" spans="1:11" ht="21" customHeight="1" x14ac:dyDescent="0.15">
      <c r="A70" s="118">
        <v>48101069</v>
      </c>
      <c r="B70" s="47">
        <v>0</v>
      </c>
      <c r="C70" s="47">
        <v>100</v>
      </c>
      <c r="D70" s="47">
        <v>100</v>
      </c>
      <c r="E70" s="47" t="s">
        <v>53</v>
      </c>
      <c r="F70" s="47" t="s">
        <v>53</v>
      </c>
      <c r="G70" s="47">
        <v>0</v>
      </c>
      <c r="H70" s="47" t="s">
        <v>53</v>
      </c>
      <c r="I70" s="47">
        <v>8131</v>
      </c>
      <c r="J70" s="48">
        <f t="shared" ref="J70" si="7">D70</f>
        <v>100</v>
      </c>
      <c r="K70" s="128"/>
    </row>
    <row r="71" spans="1:11" ht="21" customHeight="1" thickBot="1" x14ac:dyDescent="0.2">
      <c r="A71" s="119">
        <v>48101070</v>
      </c>
      <c r="B71" s="107">
        <v>0</v>
      </c>
      <c r="C71" s="107">
        <v>95</v>
      </c>
      <c r="D71" s="107">
        <v>100</v>
      </c>
      <c r="E71" s="107" t="s">
        <v>53</v>
      </c>
      <c r="F71" s="107" t="s">
        <v>53</v>
      </c>
      <c r="G71" s="107">
        <v>0</v>
      </c>
      <c r="H71" s="107" t="s">
        <v>53</v>
      </c>
      <c r="I71" s="129">
        <v>8130</v>
      </c>
      <c r="J71" s="121">
        <f t="shared" si="4"/>
        <v>100</v>
      </c>
      <c r="K71" s="122"/>
    </row>
    <row r="72" spans="1:11" ht="21" customHeight="1" x14ac:dyDescent="0.15">
      <c r="A72" s="108">
        <v>48101071</v>
      </c>
      <c r="B72" s="47">
        <v>1</v>
      </c>
      <c r="C72" s="47" t="s">
        <v>53</v>
      </c>
      <c r="D72" s="47">
        <v>100</v>
      </c>
      <c r="E72" s="47" t="s">
        <v>254</v>
      </c>
      <c r="F72" s="47" t="s">
        <v>53</v>
      </c>
      <c r="G72" s="47">
        <v>1</v>
      </c>
      <c r="H72" s="47" t="s">
        <v>53</v>
      </c>
      <c r="I72" s="47" t="s">
        <v>53</v>
      </c>
      <c r="J72" s="48">
        <f t="shared" si="4"/>
        <v>100</v>
      </c>
    </row>
    <row r="73" spans="1:11" ht="21" customHeight="1" x14ac:dyDescent="0.15">
      <c r="A73" s="108">
        <v>48101072</v>
      </c>
      <c r="B73" s="47">
        <v>0</v>
      </c>
      <c r="C73" s="47" t="s">
        <v>53</v>
      </c>
      <c r="D73" s="47">
        <v>20</v>
      </c>
      <c r="E73" s="47" t="s">
        <v>53</v>
      </c>
      <c r="F73" s="47" t="s">
        <v>53</v>
      </c>
      <c r="G73" s="47" t="s">
        <v>53</v>
      </c>
      <c r="H73" s="47" t="s">
        <v>53</v>
      </c>
      <c r="I73" s="47" t="s">
        <v>53</v>
      </c>
      <c r="J73" s="48">
        <f t="shared" si="4"/>
        <v>20</v>
      </c>
    </row>
    <row r="74" spans="1:11" ht="21" customHeight="1" x14ac:dyDescent="0.15">
      <c r="A74" s="108">
        <v>48101073</v>
      </c>
      <c r="B74" s="47">
        <v>0</v>
      </c>
      <c r="C74" s="47" t="s">
        <v>53</v>
      </c>
      <c r="D74" s="47">
        <v>100</v>
      </c>
      <c r="E74" s="47" t="s">
        <v>53</v>
      </c>
      <c r="F74" s="47" t="s">
        <v>53</v>
      </c>
      <c r="G74" s="47" t="s">
        <v>53</v>
      </c>
      <c r="H74" s="47">
        <v>2</v>
      </c>
      <c r="I74" s="47" t="s">
        <v>53</v>
      </c>
      <c r="J74" s="48">
        <f t="shared" si="4"/>
        <v>100</v>
      </c>
    </row>
    <row r="75" spans="1:11" ht="21" customHeight="1" thickBot="1" x14ac:dyDescent="0.2">
      <c r="A75" s="109">
        <v>48101074</v>
      </c>
      <c r="B75" s="107">
        <v>0</v>
      </c>
      <c r="C75" s="107">
        <v>100</v>
      </c>
      <c r="D75" s="107">
        <v>100</v>
      </c>
      <c r="E75" s="107">
        <v>70</v>
      </c>
      <c r="F75" s="107" t="s">
        <v>53</v>
      </c>
      <c r="G75" s="107" t="s">
        <v>53</v>
      </c>
      <c r="H75" s="107">
        <v>1</v>
      </c>
      <c r="I75" s="107" t="s">
        <v>53</v>
      </c>
      <c r="J75" s="121">
        <f t="shared" si="4"/>
        <v>100</v>
      </c>
    </row>
    <row r="76" spans="1:11" ht="21" customHeight="1" x14ac:dyDescent="0.15">
      <c r="A76" s="110">
        <v>48101075</v>
      </c>
      <c r="B76" s="106">
        <v>1</v>
      </c>
      <c r="C76" s="106" t="s">
        <v>53</v>
      </c>
      <c r="D76" s="106">
        <v>100</v>
      </c>
      <c r="E76" s="106" t="s">
        <v>53</v>
      </c>
      <c r="F76" s="106" t="s">
        <v>53</v>
      </c>
      <c r="G76" s="106">
        <v>1</v>
      </c>
      <c r="H76" s="106" t="s">
        <v>53</v>
      </c>
      <c r="I76" s="106" t="s">
        <v>53</v>
      </c>
      <c r="J76" s="120">
        <f t="shared" si="4"/>
        <v>100</v>
      </c>
    </row>
    <row r="77" spans="1:11" ht="21" customHeight="1" x14ac:dyDescent="0.15">
      <c r="A77" s="110">
        <v>48101076</v>
      </c>
      <c r="B77" s="47">
        <v>0</v>
      </c>
      <c r="C77" s="47">
        <v>100</v>
      </c>
      <c r="D77" s="47">
        <v>100</v>
      </c>
      <c r="E77" s="47" t="s">
        <v>53</v>
      </c>
      <c r="F77" s="47" t="s">
        <v>53</v>
      </c>
      <c r="G77" s="47">
        <v>1</v>
      </c>
      <c r="H77" s="47">
        <v>1</v>
      </c>
      <c r="I77" s="47" t="s">
        <v>53</v>
      </c>
      <c r="J77" s="48">
        <f t="shared" si="4"/>
        <v>100</v>
      </c>
    </row>
    <row r="78" spans="1:11" ht="21" customHeight="1" x14ac:dyDescent="0.15">
      <c r="A78" s="110">
        <v>48101077</v>
      </c>
      <c r="B78" s="47">
        <v>0</v>
      </c>
      <c r="C78" s="47">
        <v>80</v>
      </c>
      <c r="D78" s="47">
        <v>100</v>
      </c>
      <c r="E78" s="47" t="s">
        <v>53</v>
      </c>
      <c r="F78" s="47" t="s">
        <v>53</v>
      </c>
      <c r="G78" s="47" t="s">
        <v>53</v>
      </c>
      <c r="H78" s="47">
        <v>2</v>
      </c>
      <c r="I78" s="47" t="s">
        <v>53</v>
      </c>
      <c r="J78" s="48">
        <f t="shared" si="4"/>
        <v>100</v>
      </c>
    </row>
    <row r="79" spans="1:11" ht="21" customHeight="1" thickBot="1" x14ac:dyDescent="0.2">
      <c r="A79" s="112">
        <v>48101078</v>
      </c>
      <c r="B79" s="107">
        <v>0</v>
      </c>
      <c r="C79" s="107">
        <v>90</v>
      </c>
      <c r="D79" s="107">
        <v>100</v>
      </c>
      <c r="E79" s="107" t="s">
        <v>53</v>
      </c>
      <c r="F79" s="107" t="s">
        <v>53</v>
      </c>
      <c r="G79" s="107">
        <v>1</v>
      </c>
      <c r="H79" s="107">
        <v>4</v>
      </c>
      <c r="I79" s="107" t="s">
        <v>53</v>
      </c>
      <c r="J79" s="121">
        <f t="shared" si="4"/>
        <v>100</v>
      </c>
    </row>
    <row r="80" spans="1:11" ht="21" customHeight="1" x14ac:dyDescent="0.15">
      <c r="A80" s="110">
        <v>48101079</v>
      </c>
      <c r="B80" s="106">
        <v>1</v>
      </c>
      <c r="C80" s="106">
        <v>80</v>
      </c>
      <c r="D80" s="106">
        <v>100</v>
      </c>
      <c r="E80" s="106" t="s">
        <v>53</v>
      </c>
      <c r="F80" s="106" t="s">
        <v>53</v>
      </c>
      <c r="G80" s="106">
        <v>1</v>
      </c>
      <c r="H80" s="106">
        <v>1</v>
      </c>
      <c r="I80" s="106" t="s">
        <v>53</v>
      </c>
      <c r="J80" s="120">
        <f t="shared" si="4"/>
        <v>100</v>
      </c>
    </row>
    <row r="81" spans="1:11" ht="21" customHeight="1" x14ac:dyDescent="0.15">
      <c r="A81" s="110">
        <v>48101080</v>
      </c>
      <c r="B81" s="47">
        <v>1</v>
      </c>
      <c r="C81" s="47">
        <v>100</v>
      </c>
      <c r="D81" s="47">
        <v>100</v>
      </c>
      <c r="E81" s="47" t="s">
        <v>53</v>
      </c>
      <c r="F81" s="47" t="s">
        <v>53</v>
      </c>
      <c r="G81" s="47">
        <v>1</v>
      </c>
      <c r="H81" s="47">
        <v>1</v>
      </c>
      <c r="I81" s="47">
        <v>8132</v>
      </c>
      <c r="J81" s="48">
        <f t="shared" si="4"/>
        <v>100</v>
      </c>
    </row>
    <row r="82" spans="1:11" ht="21" customHeight="1" x14ac:dyDescent="0.15">
      <c r="A82" s="110">
        <v>48101081</v>
      </c>
      <c r="B82" s="113">
        <v>1</v>
      </c>
      <c r="C82" s="113">
        <v>95</v>
      </c>
      <c r="D82" s="113">
        <v>100</v>
      </c>
      <c r="E82" s="113" t="s">
        <v>53</v>
      </c>
      <c r="F82" s="113" t="s">
        <v>53</v>
      </c>
      <c r="G82" s="113">
        <v>1</v>
      </c>
      <c r="H82" s="113">
        <v>1</v>
      </c>
      <c r="I82" s="113">
        <v>8131</v>
      </c>
      <c r="J82" s="124">
        <f t="shared" si="4"/>
        <v>100</v>
      </c>
      <c r="K82" s="128"/>
    </row>
    <row r="83" spans="1:11" ht="21" customHeight="1" thickBot="1" x14ac:dyDescent="0.2">
      <c r="A83" s="112">
        <v>48101082</v>
      </c>
      <c r="B83" s="107">
        <v>1</v>
      </c>
      <c r="C83" s="107">
        <v>90</v>
      </c>
      <c r="D83" s="107">
        <v>100</v>
      </c>
      <c r="E83" s="107" t="s">
        <v>53</v>
      </c>
      <c r="F83" s="107" t="s">
        <v>53</v>
      </c>
      <c r="G83" s="107">
        <v>1</v>
      </c>
      <c r="H83" s="107">
        <v>1</v>
      </c>
      <c r="I83" s="107">
        <v>8130</v>
      </c>
      <c r="J83" s="121">
        <f t="shared" ref="J83:J141" si="8">D83</f>
        <v>100</v>
      </c>
      <c r="K83" s="125"/>
    </row>
    <row r="84" spans="1:11" ht="21" customHeight="1" x14ac:dyDescent="0.15">
      <c r="A84" s="110">
        <v>48101083</v>
      </c>
      <c r="B84" s="106">
        <v>1</v>
      </c>
      <c r="C84" s="106" t="s">
        <v>53</v>
      </c>
      <c r="D84" s="106">
        <v>100</v>
      </c>
      <c r="E84" s="106" t="s">
        <v>53</v>
      </c>
      <c r="F84" s="106" t="s">
        <v>53</v>
      </c>
      <c r="G84" s="106">
        <v>1</v>
      </c>
      <c r="H84" s="106" t="s">
        <v>53</v>
      </c>
      <c r="I84" s="106" t="s">
        <v>53</v>
      </c>
      <c r="J84" s="120">
        <f t="shared" si="8"/>
        <v>100</v>
      </c>
    </row>
    <row r="85" spans="1:11" ht="21" customHeight="1" x14ac:dyDescent="0.15">
      <c r="A85" s="110">
        <v>48101084</v>
      </c>
      <c r="B85" s="47">
        <v>0</v>
      </c>
      <c r="C85" s="47">
        <v>50</v>
      </c>
      <c r="D85" s="47">
        <v>30</v>
      </c>
      <c r="E85" s="47" t="s">
        <v>53</v>
      </c>
      <c r="F85" s="47" t="s">
        <v>53</v>
      </c>
      <c r="G85" s="47" t="s">
        <v>53</v>
      </c>
      <c r="H85" s="47" t="s">
        <v>53</v>
      </c>
      <c r="I85" s="47" t="s">
        <v>53</v>
      </c>
      <c r="J85" s="48">
        <f t="shared" si="8"/>
        <v>30</v>
      </c>
    </row>
    <row r="86" spans="1:11" ht="21" customHeight="1" x14ac:dyDescent="0.15">
      <c r="A86" s="110">
        <v>48101085</v>
      </c>
      <c r="B86" s="47">
        <v>0</v>
      </c>
      <c r="C86" s="47">
        <v>40</v>
      </c>
      <c r="D86" s="47">
        <v>100</v>
      </c>
      <c r="E86" s="47" t="s">
        <v>53</v>
      </c>
      <c r="F86" s="47" t="s">
        <v>53</v>
      </c>
      <c r="G86" s="47" t="s">
        <v>53</v>
      </c>
      <c r="H86" s="47" t="s">
        <v>53</v>
      </c>
      <c r="I86" s="47" t="s">
        <v>53</v>
      </c>
      <c r="J86" s="48">
        <f t="shared" si="8"/>
        <v>100</v>
      </c>
    </row>
    <row r="87" spans="1:11" ht="21" customHeight="1" x14ac:dyDescent="0.15">
      <c r="A87" s="110">
        <v>48101086</v>
      </c>
      <c r="B87" s="47">
        <v>0</v>
      </c>
      <c r="C87" s="47">
        <v>60</v>
      </c>
      <c r="D87" s="47">
        <v>100</v>
      </c>
      <c r="E87" s="47" t="s">
        <v>53</v>
      </c>
      <c r="F87" s="47" t="s">
        <v>53</v>
      </c>
      <c r="G87" s="47" t="s">
        <v>53</v>
      </c>
      <c r="H87" s="47">
        <v>2</v>
      </c>
      <c r="I87" s="47" t="s">
        <v>53</v>
      </c>
      <c r="J87" s="48">
        <f t="shared" si="8"/>
        <v>100</v>
      </c>
    </row>
    <row r="88" spans="1:11" ht="21" customHeight="1" x14ac:dyDescent="0.15">
      <c r="A88" s="110">
        <v>48101087</v>
      </c>
      <c r="B88" s="47">
        <v>0</v>
      </c>
      <c r="C88" s="47">
        <v>70</v>
      </c>
      <c r="D88" s="47">
        <v>100</v>
      </c>
      <c r="E88" s="47" t="s">
        <v>53</v>
      </c>
      <c r="F88" s="47" t="s">
        <v>53</v>
      </c>
      <c r="G88" s="47">
        <v>1</v>
      </c>
      <c r="H88" s="47">
        <v>4</v>
      </c>
      <c r="I88" s="47" t="s">
        <v>53</v>
      </c>
      <c r="J88" s="48">
        <f t="shared" si="8"/>
        <v>100</v>
      </c>
    </row>
    <row r="89" spans="1:11" ht="21" customHeight="1" x14ac:dyDescent="0.15">
      <c r="A89" s="110">
        <v>48101088</v>
      </c>
      <c r="B89" s="47">
        <v>0</v>
      </c>
      <c r="C89" s="47">
        <v>80</v>
      </c>
      <c r="D89" s="47">
        <v>100</v>
      </c>
      <c r="E89" s="47" t="s">
        <v>53</v>
      </c>
      <c r="F89" s="47" t="s">
        <v>53</v>
      </c>
      <c r="G89" s="47">
        <v>1</v>
      </c>
      <c r="H89" s="47">
        <v>5</v>
      </c>
      <c r="I89" s="47" t="s">
        <v>53</v>
      </c>
      <c r="J89" s="48">
        <f t="shared" si="8"/>
        <v>100</v>
      </c>
    </row>
    <row r="90" spans="1:11" ht="21" customHeight="1" x14ac:dyDescent="0.15">
      <c r="A90" s="110">
        <v>48101089</v>
      </c>
      <c r="B90" s="47">
        <v>0</v>
      </c>
      <c r="C90" s="47">
        <v>90</v>
      </c>
      <c r="D90" s="47">
        <v>100</v>
      </c>
      <c r="E90" s="47" t="s">
        <v>53</v>
      </c>
      <c r="F90" s="47" t="s">
        <v>53</v>
      </c>
      <c r="G90" s="47">
        <v>1</v>
      </c>
      <c r="H90" s="47">
        <v>9</v>
      </c>
      <c r="I90" s="47" t="s">
        <v>53</v>
      </c>
      <c r="J90" s="48">
        <f t="shared" si="8"/>
        <v>100</v>
      </c>
    </row>
    <row r="91" spans="1:11" ht="21" customHeight="1" x14ac:dyDescent="0.15">
      <c r="A91" s="110">
        <v>48101090</v>
      </c>
      <c r="B91" s="47">
        <v>0</v>
      </c>
      <c r="C91" s="47">
        <v>100</v>
      </c>
      <c r="D91" s="47">
        <v>100</v>
      </c>
      <c r="E91" s="47" t="s">
        <v>53</v>
      </c>
      <c r="F91" s="47" t="s">
        <v>53</v>
      </c>
      <c r="G91" s="47">
        <v>1</v>
      </c>
      <c r="H91" s="47">
        <v>10</v>
      </c>
      <c r="I91" s="47" t="s">
        <v>53</v>
      </c>
      <c r="J91" s="48">
        <f t="shared" si="8"/>
        <v>100</v>
      </c>
    </row>
    <row r="92" spans="1:11" ht="21" customHeight="1" thickBot="1" x14ac:dyDescent="0.2">
      <c r="A92" s="112">
        <v>48101091</v>
      </c>
      <c r="B92" s="107">
        <v>0</v>
      </c>
      <c r="C92" s="107">
        <v>150</v>
      </c>
      <c r="D92" s="107">
        <v>100</v>
      </c>
      <c r="E92" s="107">
        <v>50</v>
      </c>
      <c r="F92" s="107" t="s">
        <v>53</v>
      </c>
      <c r="G92" s="107">
        <v>1</v>
      </c>
      <c r="H92" s="107">
        <v>1</v>
      </c>
      <c r="I92" s="107" t="s">
        <v>53</v>
      </c>
      <c r="J92" s="121">
        <f t="shared" si="8"/>
        <v>100</v>
      </c>
    </row>
    <row r="93" spans="1:11" ht="21" customHeight="1" x14ac:dyDescent="0.15">
      <c r="A93" s="110">
        <v>48101092</v>
      </c>
      <c r="B93" s="106">
        <v>1</v>
      </c>
      <c r="C93" s="106">
        <v>80</v>
      </c>
      <c r="D93" s="106">
        <v>100</v>
      </c>
      <c r="E93" s="106" t="s">
        <v>53</v>
      </c>
      <c r="F93" s="106" t="s">
        <v>53</v>
      </c>
      <c r="G93" s="106" t="s">
        <v>53</v>
      </c>
      <c r="H93" s="106" t="s">
        <v>53</v>
      </c>
      <c r="I93" s="106" t="s">
        <v>53</v>
      </c>
      <c r="J93" s="120">
        <f t="shared" si="8"/>
        <v>100</v>
      </c>
    </row>
    <row r="94" spans="1:11" ht="21" customHeight="1" x14ac:dyDescent="0.15">
      <c r="A94" s="110">
        <v>48101093</v>
      </c>
      <c r="B94" s="113">
        <v>1</v>
      </c>
      <c r="C94" s="113">
        <v>100</v>
      </c>
      <c r="D94" s="113">
        <v>100</v>
      </c>
      <c r="E94" s="113" t="s">
        <v>53</v>
      </c>
      <c r="F94" s="113" t="s">
        <v>53</v>
      </c>
      <c r="G94" s="113" t="s">
        <v>53</v>
      </c>
      <c r="H94" s="113" t="s">
        <v>53</v>
      </c>
      <c r="I94" s="47">
        <v>8132</v>
      </c>
      <c r="J94" s="124">
        <f t="shared" si="8"/>
        <v>100</v>
      </c>
    </row>
    <row r="95" spans="1:11" ht="21" customHeight="1" x14ac:dyDescent="0.15">
      <c r="A95" s="110">
        <v>48101094</v>
      </c>
      <c r="B95" s="113">
        <v>1</v>
      </c>
      <c r="C95" s="113">
        <v>95</v>
      </c>
      <c r="D95" s="113">
        <v>100</v>
      </c>
      <c r="E95" s="113" t="s">
        <v>53</v>
      </c>
      <c r="F95" s="113" t="s">
        <v>53</v>
      </c>
      <c r="G95" s="113" t="s">
        <v>53</v>
      </c>
      <c r="H95" s="113" t="s">
        <v>53</v>
      </c>
      <c r="I95" s="113">
        <v>8131</v>
      </c>
      <c r="J95" s="124">
        <f t="shared" si="8"/>
        <v>100</v>
      </c>
      <c r="K95" s="147"/>
    </row>
    <row r="96" spans="1:11" ht="21" customHeight="1" thickBot="1" x14ac:dyDescent="0.2">
      <c r="A96" s="112">
        <v>48101095</v>
      </c>
      <c r="B96" s="107">
        <v>1</v>
      </c>
      <c r="C96" s="107">
        <v>90</v>
      </c>
      <c r="D96" s="107">
        <v>100</v>
      </c>
      <c r="E96" s="107" t="s">
        <v>53</v>
      </c>
      <c r="F96" s="107" t="s">
        <v>53</v>
      </c>
      <c r="G96" s="107" t="s">
        <v>53</v>
      </c>
      <c r="H96" s="107" t="s">
        <v>53</v>
      </c>
      <c r="I96" s="107">
        <v>8130</v>
      </c>
      <c r="J96" s="121">
        <f t="shared" si="8"/>
        <v>100</v>
      </c>
      <c r="K96" s="125"/>
    </row>
    <row r="97" spans="1:12" ht="21" customHeight="1" x14ac:dyDescent="0.15">
      <c r="A97" s="114">
        <v>48101096</v>
      </c>
      <c r="B97" s="106">
        <v>1</v>
      </c>
      <c r="C97" s="106" t="s">
        <v>53</v>
      </c>
      <c r="D97" s="106">
        <v>100</v>
      </c>
      <c r="E97" s="106" t="s">
        <v>53</v>
      </c>
      <c r="F97" s="106" t="s">
        <v>53</v>
      </c>
      <c r="G97" s="106" t="s">
        <v>53</v>
      </c>
      <c r="H97" s="106" t="s">
        <v>53</v>
      </c>
      <c r="I97" s="106" t="s">
        <v>53</v>
      </c>
      <c r="J97" s="120">
        <f t="shared" si="8"/>
        <v>100</v>
      </c>
    </row>
    <row r="98" spans="1:12" ht="21" customHeight="1" x14ac:dyDescent="0.15">
      <c r="A98" s="114">
        <v>48101097</v>
      </c>
      <c r="B98" s="47">
        <v>0</v>
      </c>
      <c r="C98" s="47">
        <v>80</v>
      </c>
      <c r="D98" s="47">
        <v>50</v>
      </c>
      <c r="E98" s="47" t="s">
        <v>53</v>
      </c>
      <c r="F98" s="47" t="s">
        <v>53</v>
      </c>
      <c r="G98" s="47" t="s">
        <v>53</v>
      </c>
      <c r="H98" s="47" t="s">
        <v>53</v>
      </c>
      <c r="I98" s="47" t="s">
        <v>53</v>
      </c>
      <c r="J98" s="48">
        <f t="shared" si="8"/>
        <v>50</v>
      </c>
    </row>
    <row r="99" spans="1:12" ht="21" customHeight="1" x14ac:dyDescent="0.15">
      <c r="A99" s="114">
        <v>48101098</v>
      </c>
      <c r="B99" s="47">
        <v>0</v>
      </c>
      <c r="C99" s="47">
        <v>70</v>
      </c>
      <c r="D99" s="47">
        <v>100</v>
      </c>
      <c r="E99" s="47" t="s">
        <v>53</v>
      </c>
      <c r="F99" s="47" t="s">
        <v>53</v>
      </c>
      <c r="G99" s="47" t="s">
        <v>53</v>
      </c>
      <c r="H99" s="47" t="s">
        <v>53</v>
      </c>
      <c r="I99" s="47" t="s">
        <v>53</v>
      </c>
      <c r="J99" s="48">
        <f t="shared" si="8"/>
        <v>100</v>
      </c>
    </row>
    <row r="100" spans="1:12" ht="21" customHeight="1" x14ac:dyDescent="0.15">
      <c r="A100" s="114">
        <v>48101099</v>
      </c>
      <c r="B100" s="47">
        <v>0</v>
      </c>
      <c r="C100" s="47">
        <v>100</v>
      </c>
      <c r="D100" s="47">
        <v>100</v>
      </c>
      <c r="E100" s="47" t="s">
        <v>53</v>
      </c>
      <c r="F100" s="47" t="s">
        <v>53</v>
      </c>
      <c r="G100" s="47">
        <v>1</v>
      </c>
      <c r="H100" s="47">
        <v>1</v>
      </c>
      <c r="I100" s="47" t="s">
        <v>53</v>
      </c>
      <c r="J100" s="48">
        <f t="shared" si="8"/>
        <v>100</v>
      </c>
    </row>
    <row r="101" spans="1:12" ht="21" customHeight="1" thickBot="1" x14ac:dyDescent="0.2">
      <c r="A101" s="116">
        <v>48101100</v>
      </c>
      <c r="B101" s="107">
        <v>0</v>
      </c>
      <c r="C101" s="107">
        <v>90</v>
      </c>
      <c r="D101" s="107">
        <v>100</v>
      </c>
      <c r="E101" s="107" t="s">
        <v>53</v>
      </c>
      <c r="F101" s="107" t="s">
        <v>53</v>
      </c>
      <c r="G101" s="107" t="s">
        <v>53</v>
      </c>
      <c r="H101" s="107">
        <v>3</v>
      </c>
      <c r="I101" s="107" t="s">
        <v>53</v>
      </c>
      <c r="J101" s="121">
        <f t="shared" si="8"/>
        <v>100</v>
      </c>
    </row>
    <row r="102" spans="1:12" ht="21" customHeight="1" x14ac:dyDescent="0.15">
      <c r="A102" s="114">
        <v>48101101</v>
      </c>
      <c r="B102" s="106">
        <v>1</v>
      </c>
      <c r="C102" s="47" t="s">
        <v>53</v>
      </c>
      <c r="D102" s="106">
        <v>100</v>
      </c>
      <c r="E102" s="106" t="s">
        <v>53</v>
      </c>
      <c r="F102" s="106" t="s">
        <v>53</v>
      </c>
      <c r="G102" s="106">
        <v>1</v>
      </c>
      <c r="H102" s="47" t="s">
        <v>53</v>
      </c>
      <c r="I102" s="106" t="s">
        <v>53</v>
      </c>
      <c r="J102" s="120">
        <f t="shared" si="8"/>
        <v>100</v>
      </c>
      <c r="L102" s="45" t="s">
        <v>290</v>
      </c>
    </row>
    <row r="103" spans="1:12" ht="21" customHeight="1" x14ac:dyDescent="0.15">
      <c r="A103" s="114">
        <v>48101102</v>
      </c>
      <c r="B103" s="47">
        <v>0</v>
      </c>
      <c r="C103" s="47">
        <v>30</v>
      </c>
      <c r="D103" s="47">
        <v>30</v>
      </c>
      <c r="E103" s="47" t="s">
        <v>53</v>
      </c>
      <c r="F103" s="47">
        <v>50</v>
      </c>
      <c r="G103" s="47" t="s">
        <v>53</v>
      </c>
      <c r="H103" s="47" t="s">
        <v>53</v>
      </c>
      <c r="I103" s="47" t="s">
        <v>53</v>
      </c>
      <c r="J103" s="48">
        <f t="shared" si="8"/>
        <v>30</v>
      </c>
    </row>
    <row r="104" spans="1:12" ht="21" customHeight="1" x14ac:dyDescent="0.15">
      <c r="A104" s="114">
        <v>48101103</v>
      </c>
      <c r="B104" s="47">
        <v>0</v>
      </c>
      <c r="C104" s="47">
        <v>40</v>
      </c>
      <c r="D104" s="47">
        <v>100</v>
      </c>
      <c r="E104" s="47" t="s">
        <v>53</v>
      </c>
      <c r="F104" s="47">
        <v>50</v>
      </c>
      <c r="G104" s="47">
        <v>1</v>
      </c>
      <c r="H104" s="47">
        <v>2</v>
      </c>
      <c r="I104" s="47" t="s">
        <v>53</v>
      </c>
      <c r="J104" s="48">
        <f t="shared" si="8"/>
        <v>100</v>
      </c>
    </row>
    <row r="105" spans="1:12" ht="21" customHeight="1" x14ac:dyDescent="0.15">
      <c r="A105" s="114">
        <v>48101104</v>
      </c>
      <c r="B105" s="47">
        <v>0</v>
      </c>
      <c r="C105" s="47">
        <v>50</v>
      </c>
      <c r="D105" s="47">
        <v>100</v>
      </c>
      <c r="E105" s="47" t="s">
        <v>53</v>
      </c>
      <c r="F105" s="47">
        <v>50</v>
      </c>
      <c r="G105" s="47">
        <v>1</v>
      </c>
      <c r="H105" s="47">
        <v>3</v>
      </c>
      <c r="I105" s="47" t="s">
        <v>53</v>
      </c>
      <c r="J105" s="48">
        <f t="shared" si="8"/>
        <v>100</v>
      </c>
    </row>
    <row r="106" spans="1:12" ht="21" customHeight="1" x14ac:dyDescent="0.15">
      <c r="A106" s="114">
        <v>48101105</v>
      </c>
      <c r="B106" s="47">
        <v>0</v>
      </c>
      <c r="C106" s="47">
        <v>60</v>
      </c>
      <c r="D106" s="47">
        <v>100</v>
      </c>
      <c r="E106" s="47" t="s">
        <v>53</v>
      </c>
      <c r="F106" s="47">
        <v>50</v>
      </c>
      <c r="G106" s="47">
        <v>1</v>
      </c>
      <c r="H106" s="47">
        <v>6</v>
      </c>
      <c r="I106" s="47" t="s">
        <v>53</v>
      </c>
      <c r="J106" s="48">
        <f t="shared" si="8"/>
        <v>100</v>
      </c>
    </row>
    <row r="107" spans="1:12" ht="21" customHeight="1" x14ac:dyDescent="0.15">
      <c r="A107" s="114">
        <v>48101106</v>
      </c>
      <c r="B107" s="47">
        <v>0</v>
      </c>
      <c r="C107" s="47">
        <v>70</v>
      </c>
      <c r="D107" s="47">
        <v>100</v>
      </c>
      <c r="E107" s="47" t="s">
        <v>53</v>
      </c>
      <c r="F107" s="47">
        <v>50</v>
      </c>
      <c r="G107" s="47">
        <v>1</v>
      </c>
      <c r="H107" s="47">
        <v>7</v>
      </c>
      <c r="I107" s="47" t="s">
        <v>53</v>
      </c>
      <c r="J107" s="48">
        <f t="shared" si="8"/>
        <v>100</v>
      </c>
    </row>
    <row r="108" spans="1:12" ht="21" customHeight="1" x14ac:dyDescent="0.15">
      <c r="A108" s="114">
        <v>48101107</v>
      </c>
      <c r="B108" s="47">
        <v>0</v>
      </c>
      <c r="C108" s="47">
        <v>80</v>
      </c>
      <c r="D108" s="47">
        <v>100</v>
      </c>
      <c r="E108" s="47" t="s">
        <v>53</v>
      </c>
      <c r="F108" s="47">
        <v>50</v>
      </c>
      <c r="G108" s="47">
        <v>1</v>
      </c>
      <c r="H108" s="47">
        <v>11</v>
      </c>
      <c r="I108" s="47" t="s">
        <v>53</v>
      </c>
      <c r="J108" s="48">
        <f t="shared" si="8"/>
        <v>100</v>
      </c>
    </row>
    <row r="109" spans="1:12" ht="21" customHeight="1" x14ac:dyDescent="0.15">
      <c r="A109" s="114">
        <v>48101108</v>
      </c>
      <c r="B109" s="113">
        <v>0</v>
      </c>
      <c r="C109" s="113">
        <v>90</v>
      </c>
      <c r="D109" s="113">
        <v>100</v>
      </c>
      <c r="E109" s="113" t="s">
        <v>53</v>
      </c>
      <c r="F109" s="113">
        <v>50</v>
      </c>
      <c r="G109" s="113">
        <v>1</v>
      </c>
      <c r="H109" s="113">
        <v>12</v>
      </c>
      <c r="I109" s="113" t="s">
        <v>53</v>
      </c>
      <c r="J109" s="124">
        <f t="shared" si="8"/>
        <v>100</v>
      </c>
    </row>
    <row r="110" spans="1:12" ht="21" customHeight="1" x14ac:dyDescent="0.15">
      <c r="A110" s="114">
        <v>48101109</v>
      </c>
      <c r="B110" s="47">
        <v>0</v>
      </c>
      <c r="C110" s="47">
        <v>100</v>
      </c>
      <c r="D110" s="47">
        <v>100</v>
      </c>
      <c r="E110" s="47" t="s">
        <v>53</v>
      </c>
      <c r="F110" s="47">
        <v>50</v>
      </c>
      <c r="G110" s="47" t="s">
        <v>53</v>
      </c>
      <c r="H110" s="47">
        <v>5</v>
      </c>
      <c r="I110" s="47" t="s">
        <v>53</v>
      </c>
      <c r="J110" s="48">
        <f t="shared" si="8"/>
        <v>100</v>
      </c>
      <c r="K110" s="126"/>
    </row>
    <row r="111" spans="1:12" ht="21" customHeight="1" x14ac:dyDescent="0.15">
      <c r="A111" s="114">
        <v>48101110</v>
      </c>
      <c r="B111" s="47">
        <v>0</v>
      </c>
      <c r="C111" s="47">
        <v>80</v>
      </c>
      <c r="D111" s="47">
        <v>20</v>
      </c>
      <c r="E111" s="47">
        <v>50</v>
      </c>
      <c r="F111" s="47" t="s">
        <v>53</v>
      </c>
      <c r="G111" s="47" t="s">
        <v>53</v>
      </c>
      <c r="H111" s="47" t="s">
        <v>53</v>
      </c>
      <c r="I111" s="47" t="s">
        <v>53</v>
      </c>
      <c r="J111" s="48">
        <f t="shared" si="8"/>
        <v>20</v>
      </c>
      <c r="K111" s="126"/>
    </row>
    <row r="112" spans="1:12" ht="21" customHeight="1" x14ac:dyDescent="0.15">
      <c r="A112" s="114">
        <v>48101111</v>
      </c>
      <c r="B112" s="47">
        <v>0</v>
      </c>
      <c r="C112" s="47">
        <v>70</v>
      </c>
      <c r="D112" s="47">
        <v>40</v>
      </c>
      <c r="E112" s="47">
        <v>50</v>
      </c>
      <c r="F112" s="47" t="s">
        <v>53</v>
      </c>
      <c r="G112" s="47" t="s">
        <v>53</v>
      </c>
      <c r="H112" s="47" t="s">
        <v>53</v>
      </c>
      <c r="I112" s="47" t="s">
        <v>53</v>
      </c>
      <c r="J112" s="48">
        <f t="shared" si="8"/>
        <v>40</v>
      </c>
      <c r="K112" s="126"/>
    </row>
    <row r="113" spans="1:11" ht="21" customHeight="1" x14ac:dyDescent="0.15">
      <c r="A113" s="114">
        <v>48101112</v>
      </c>
      <c r="B113" s="106">
        <v>0</v>
      </c>
      <c r="C113" s="106">
        <v>60</v>
      </c>
      <c r="D113" s="106">
        <v>100</v>
      </c>
      <c r="E113" s="106">
        <v>50</v>
      </c>
      <c r="F113" s="106" t="s">
        <v>53</v>
      </c>
      <c r="G113" s="106" t="s">
        <v>53</v>
      </c>
      <c r="H113" s="106" t="s">
        <v>53</v>
      </c>
      <c r="I113" s="106" t="s">
        <v>53</v>
      </c>
      <c r="J113" s="120">
        <f t="shared" si="8"/>
        <v>100</v>
      </c>
    </row>
    <row r="114" spans="1:11" ht="21" customHeight="1" x14ac:dyDescent="0.15">
      <c r="A114" s="114">
        <v>48101113</v>
      </c>
      <c r="B114" s="47">
        <v>0</v>
      </c>
      <c r="C114" s="47">
        <v>90</v>
      </c>
      <c r="D114" s="47">
        <v>100</v>
      </c>
      <c r="E114" s="47">
        <v>50</v>
      </c>
      <c r="F114" s="47" t="s">
        <v>53</v>
      </c>
      <c r="G114" s="47" t="s">
        <v>53</v>
      </c>
      <c r="H114" s="47">
        <v>2</v>
      </c>
      <c r="I114" s="47" t="s">
        <v>53</v>
      </c>
      <c r="J114" s="48">
        <f t="shared" si="8"/>
        <v>100</v>
      </c>
    </row>
    <row r="115" spans="1:11" ht="21" customHeight="1" x14ac:dyDescent="0.15">
      <c r="A115" s="114">
        <v>48101114</v>
      </c>
      <c r="B115" s="113">
        <v>0</v>
      </c>
      <c r="C115" s="113">
        <v>100</v>
      </c>
      <c r="D115" s="113">
        <v>100</v>
      </c>
      <c r="E115" s="113">
        <v>50</v>
      </c>
      <c r="F115" s="113" t="s">
        <v>53</v>
      </c>
      <c r="G115" s="113" t="s">
        <v>53</v>
      </c>
      <c r="H115" s="113">
        <v>4</v>
      </c>
      <c r="I115" s="113" t="s">
        <v>53</v>
      </c>
      <c r="J115" s="124">
        <f t="shared" si="8"/>
        <v>100</v>
      </c>
    </row>
    <row r="116" spans="1:11" ht="21" customHeight="1" thickBot="1" x14ac:dyDescent="0.2">
      <c r="A116" s="116">
        <v>48101115</v>
      </c>
      <c r="B116" s="107">
        <v>0</v>
      </c>
      <c r="C116" s="107" t="s">
        <v>53</v>
      </c>
      <c r="D116" s="107">
        <v>100</v>
      </c>
      <c r="E116" s="107" t="s">
        <v>53</v>
      </c>
      <c r="F116" s="107" t="s">
        <v>53</v>
      </c>
      <c r="G116" s="107">
        <v>0</v>
      </c>
      <c r="H116" s="107" t="s">
        <v>53</v>
      </c>
      <c r="I116" s="107">
        <v>0</v>
      </c>
      <c r="J116" s="121">
        <f t="shared" si="8"/>
        <v>100</v>
      </c>
      <c r="K116" s="125"/>
    </row>
    <row r="117" spans="1:11" ht="21" customHeight="1" x14ac:dyDescent="0.15">
      <c r="A117" s="118">
        <v>48101116</v>
      </c>
      <c r="B117" s="106">
        <v>1</v>
      </c>
      <c r="C117" s="106">
        <v>101</v>
      </c>
      <c r="D117" s="106">
        <v>100</v>
      </c>
      <c r="E117" s="106" t="s">
        <v>53</v>
      </c>
      <c r="F117" s="106" t="s">
        <v>53</v>
      </c>
      <c r="G117" s="106">
        <v>1</v>
      </c>
      <c r="H117" s="106" t="s">
        <v>53</v>
      </c>
      <c r="I117" s="106" t="s">
        <v>53</v>
      </c>
      <c r="J117" s="120">
        <f t="shared" si="8"/>
        <v>100</v>
      </c>
    </row>
    <row r="118" spans="1:11" ht="21" customHeight="1" x14ac:dyDescent="0.15">
      <c r="A118" s="118">
        <v>48101117</v>
      </c>
      <c r="B118" s="47">
        <v>1</v>
      </c>
      <c r="C118" s="47">
        <v>110</v>
      </c>
      <c r="D118" s="47">
        <v>100</v>
      </c>
      <c r="E118" s="47" t="s">
        <v>53</v>
      </c>
      <c r="F118" s="47" t="s">
        <v>53</v>
      </c>
      <c r="G118" s="47">
        <v>1</v>
      </c>
      <c r="H118" s="47" t="s">
        <v>53</v>
      </c>
      <c r="I118" s="47">
        <v>8132</v>
      </c>
      <c r="J118" s="48">
        <f t="shared" si="8"/>
        <v>100</v>
      </c>
    </row>
    <row r="119" spans="1:11" ht="21" customHeight="1" x14ac:dyDescent="0.15">
      <c r="A119" s="118">
        <v>48101118</v>
      </c>
      <c r="B119" s="47">
        <v>1</v>
      </c>
      <c r="C119" s="47">
        <v>108</v>
      </c>
      <c r="D119" s="47">
        <v>100</v>
      </c>
      <c r="E119" s="47" t="s">
        <v>53</v>
      </c>
      <c r="F119" s="47" t="s">
        <v>53</v>
      </c>
      <c r="G119" s="47">
        <v>1</v>
      </c>
      <c r="H119" s="47" t="s">
        <v>53</v>
      </c>
      <c r="I119" s="47">
        <v>8131</v>
      </c>
      <c r="J119" s="48">
        <f t="shared" si="8"/>
        <v>100</v>
      </c>
    </row>
    <row r="120" spans="1:11" ht="21" customHeight="1" x14ac:dyDescent="0.15">
      <c r="A120" s="118">
        <v>48101119</v>
      </c>
      <c r="B120" s="47">
        <v>1</v>
      </c>
      <c r="C120" s="47">
        <v>105</v>
      </c>
      <c r="D120" s="47">
        <v>100</v>
      </c>
      <c r="E120" s="47" t="s">
        <v>53</v>
      </c>
      <c r="F120" s="47" t="s">
        <v>53</v>
      </c>
      <c r="G120" s="47">
        <v>1</v>
      </c>
      <c r="H120" s="47" t="s">
        <v>53</v>
      </c>
      <c r="I120" s="47">
        <v>8130</v>
      </c>
      <c r="J120" s="48">
        <f t="shared" si="8"/>
        <v>100</v>
      </c>
    </row>
    <row r="121" spans="1:11" ht="21" customHeight="1" x14ac:dyDescent="0.15">
      <c r="A121" s="118">
        <v>48101120</v>
      </c>
      <c r="B121" s="47">
        <v>0</v>
      </c>
      <c r="C121" s="47">
        <v>80</v>
      </c>
      <c r="D121" s="47">
        <v>30</v>
      </c>
      <c r="E121" s="47" t="s">
        <v>53</v>
      </c>
      <c r="F121" s="47" t="s">
        <v>53</v>
      </c>
      <c r="G121" s="47" t="s">
        <v>53</v>
      </c>
      <c r="H121" s="47" t="s">
        <v>53</v>
      </c>
      <c r="I121" s="47" t="s">
        <v>53</v>
      </c>
      <c r="J121" s="48">
        <f t="shared" si="8"/>
        <v>30</v>
      </c>
    </row>
    <row r="122" spans="1:11" ht="21" customHeight="1" x14ac:dyDescent="0.15">
      <c r="A122" s="118">
        <v>48101121</v>
      </c>
      <c r="B122" s="47">
        <v>0</v>
      </c>
      <c r="C122" s="47">
        <v>70</v>
      </c>
      <c r="D122" s="47">
        <v>50</v>
      </c>
      <c r="E122" s="47" t="s">
        <v>53</v>
      </c>
      <c r="F122" s="47" t="s">
        <v>53</v>
      </c>
      <c r="G122" s="47" t="s">
        <v>53</v>
      </c>
      <c r="H122" s="47" t="s">
        <v>53</v>
      </c>
      <c r="I122" s="47" t="s">
        <v>53</v>
      </c>
      <c r="J122" s="48">
        <f t="shared" si="8"/>
        <v>50</v>
      </c>
    </row>
    <row r="123" spans="1:11" ht="21" customHeight="1" x14ac:dyDescent="0.15">
      <c r="A123" s="118">
        <v>48101122</v>
      </c>
      <c r="B123" s="47">
        <v>0</v>
      </c>
      <c r="C123" s="47">
        <v>60</v>
      </c>
      <c r="D123" s="47">
        <v>100</v>
      </c>
      <c r="E123" s="47" t="s">
        <v>53</v>
      </c>
      <c r="F123" s="47" t="s">
        <v>53</v>
      </c>
      <c r="G123" s="47" t="s">
        <v>53</v>
      </c>
      <c r="H123" s="47" t="s">
        <v>53</v>
      </c>
      <c r="I123" s="47" t="s">
        <v>53</v>
      </c>
      <c r="J123" s="48">
        <f t="shared" si="8"/>
        <v>100</v>
      </c>
    </row>
    <row r="124" spans="1:11" ht="21" customHeight="1" x14ac:dyDescent="0.15">
      <c r="A124" s="118">
        <v>48101123</v>
      </c>
      <c r="B124" s="47">
        <v>0</v>
      </c>
      <c r="C124" s="47">
        <v>90</v>
      </c>
      <c r="D124" s="47">
        <v>100</v>
      </c>
      <c r="E124" s="47" t="s">
        <v>53</v>
      </c>
      <c r="F124" s="47" t="s">
        <v>53</v>
      </c>
      <c r="G124" s="47" t="s">
        <v>53</v>
      </c>
      <c r="H124" s="47">
        <v>3</v>
      </c>
      <c r="I124" s="47" t="s">
        <v>53</v>
      </c>
      <c r="J124" s="48">
        <f t="shared" si="8"/>
        <v>100</v>
      </c>
    </row>
    <row r="125" spans="1:11" ht="21" customHeight="1" thickBot="1" x14ac:dyDescent="0.2">
      <c r="A125" s="119">
        <v>48101124</v>
      </c>
      <c r="B125" s="107">
        <v>0</v>
      </c>
      <c r="C125" s="107">
        <v>100</v>
      </c>
      <c r="D125" s="107">
        <v>100</v>
      </c>
      <c r="E125" s="107" t="s">
        <v>53</v>
      </c>
      <c r="F125" s="107" t="s">
        <v>53</v>
      </c>
      <c r="G125" s="107">
        <v>1</v>
      </c>
      <c r="H125" s="107">
        <v>3</v>
      </c>
      <c r="I125" s="107" t="s">
        <v>53</v>
      </c>
      <c r="J125" s="121">
        <f t="shared" si="8"/>
        <v>100</v>
      </c>
      <c r="K125" s="122"/>
    </row>
    <row r="126" spans="1:11" ht="21" customHeight="1" x14ac:dyDescent="0.15">
      <c r="A126" s="118">
        <v>48101125</v>
      </c>
      <c r="B126" s="106">
        <v>1</v>
      </c>
      <c r="C126" s="106" t="s">
        <v>53</v>
      </c>
      <c r="D126" s="106">
        <v>100</v>
      </c>
      <c r="E126" s="106" t="s">
        <v>53</v>
      </c>
      <c r="F126" s="106" t="s">
        <v>53</v>
      </c>
      <c r="G126" s="106">
        <v>1</v>
      </c>
      <c r="H126" s="106" t="s">
        <v>53</v>
      </c>
      <c r="I126" s="106" t="s">
        <v>53</v>
      </c>
      <c r="J126" s="120">
        <f t="shared" si="8"/>
        <v>100</v>
      </c>
    </row>
    <row r="127" spans="1:11" ht="21" customHeight="1" x14ac:dyDescent="0.15">
      <c r="A127" s="118">
        <v>48101126</v>
      </c>
      <c r="B127" s="47">
        <v>0</v>
      </c>
      <c r="C127" s="47">
        <v>30</v>
      </c>
      <c r="D127" s="47">
        <v>20</v>
      </c>
      <c r="E127" s="47" t="s">
        <v>53</v>
      </c>
      <c r="F127" s="47" t="s">
        <v>53</v>
      </c>
      <c r="G127" s="47" t="s">
        <v>53</v>
      </c>
      <c r="H127" s="47" t="s">
        <v>53</v>
      </c>
      <c r="I127" s="47" t="s">
        <v>53</v>
      </c>
      <c r="J127" s="48">
        <f t="shared" si="8"/>
        <v>20</v>
      </c>
    </row>
    <row r="128" spans="1:11" ht="21" customHeight="1" x14ac:dyDescent="0.15">
      <c r="A128" s="118">
        <v>48101127</v>
      </c>
      <c r="B128" s="47">
        <v>0</v>
      </c>
      <c r="C128" s="47">
        <v>20</v>
      </c>
      <c r="D128" s="47">
        <v>50</v>
      </c>
      <c r="E128" s="47" t="s">
        <v>53</v>
      </c>
      <c r="F128" s="47" t="s">
        <v>53</v>
      </c>
      <c r="G128" s="47" t="s">
        <v>53</v>
      </c>
      <c r="H128" s="47" t="s">
        <v>53</v>
      </c>
      <c r="I128" s="47" t="s">
        <v>53</v>
      </c>
      <c r="J128" s="48">
        <f t="shared" si="8"/>
        <v>50</v>
      </c>
    </row>
    <row r="129" spans="1:11" ht="21" customHeight="1" x14ac:dyDescent="0.15">
      <c r="A129" s="118">
        <v>48101128</v>
      </c>
      <c r="B129" s="47">
        <v>0</v>
      </c>
      <c r="C129" s="47">
        <v>10</v>
      </c>
      <c r="D129" s="47">
        <v>100</v>
      </c>
      <c r="E129" s="47" t="s">
        <v>53</v>
      </c>
      <c r="F129" s="47" t="s">
        <v>53</v>
      </c>
      <c r="G129" s="47" t="s">
        <v>53</v>
      </c>
      <c r="H129" s="47" t="s">
        <v>53</v>
      </c>
      <c r="I129" s="47" t="s">
        <v>53</v>
      </c>
      <c r="J129" s="48">
        <f t="shared" si="8"/>
        <v>100</v>
      </c>
    </row>
    <row r="130" spans="1:11" ht="21" customHeight="1" x14ac:dyDescent="0.15">
      <c r="A130" s="118">
        <v>48101129</v>
      </c>
      <c r="B130" s="47">
        <v>0</v>
      </c>
      <c r="C130" s="47">
        <v>40</v>
      </c>
      <c r="D130" s="47">
        <v>100</v>
      </c>
      <c r="E130" s="47" t="s">
        <v>53</v>
      </c>
      <c r="F130" s="47" t="s">
        <v>53</v>
      </c>
      <c r="G130" s="47" t="s">
        <v>53</v>
      </c>
      <c r="H130" s="47">
        <v>2</v>
      </c>
      <c r="I130" s="47" t="s">
        <v>53</v>
      </c>
      <c r="J130" s="48">
        <f t="shared" si="8"/>
        <v>100</v>
      </c>
    </row>
    <row r="131" spans="1:11" ht="21" customHeight="1" x14ac:dyDescent="0.15">
      <c r="A131" s="118">
        <v>48101130</v>
      </c>
      <c r="B131" s="47">
        <v>0</v>
      </c>
      <c r="C131" s="47">
        <v>50</v>
      </c>
      <c r="D131" s="47">
        <v>100</v>
      </c>
      <c r="E131" s="47" t="s">
        <v>53</v>
      </c>
      <c r="F131" s="47" t="s">
        <v>53</v>
      </c>
      <c r="G131" s="47" t="s">
        <v>53</v>
      </c>
      <c r="H131" s="47">
        <v>3</v>
      </c>
      <c r="I131" s="47" t="s">
        <v>53</v>
      </c>
      <c r="J131" s="48">
        <f t="shared" si="8"/>
        <v>100</v>
      </c>
    </row>
    <row r="132" spans="1:11" ht="21" customHeight="1" x14ac:dyDescent="0.15">
      <c r="A132" s="118">
        <v>48101131</v>
      </c>
      <c r="B132" s="47">
        <v>0</v>
      </c>
      <c r="C132" s="47">
        <v>60</v>
      </c>
      <c r="D132" s="47">
        <v>100</v>
      </c>
      <c r="E132" s="47" t="s">
        <v>53</v>
      </c>
      <c r="F132" s="47" t="s">
        <v>53</v>
      </c>
      <c r="G132" s="47">
        <v>1</v>
      </c>
      <c r="H132" s="47">
        <v>5</v>
      </c>
      <c r="I132" s="47" t="s">
        <v>53</v>
      </c>
      <c r="J132" s="48">
        <f t="shared" si="8"/>
        <v>100</v>
      </c>
    </row>
    <row r="133" spans="1:11" ht="21" customHeight="1" x14ac:dyDescent="0.15">
      <c r="A133" s="118">
        <v>48101132</v>
      </c>
      <c r="B133" s="47">
        <v>0</v>
      </c>
      <c r="C133" s="47">
        <v>65</v>
      </c>
      <c r="D133" s="47">
        <v>100</v>
      </c>
      <c r="E133" s="47" t="s">
        <v>53</v>
      </c>
      <c r="F133" s="47" t="s">
        <v>53</v>
      </c>
      <c r="G133" s="47">
        <v>1</v>
      </c>
      <c r="H133" s="47">
        <v>6</v>
      </c>
      <c r="I133" s="47" t="s">
        <v>53</v>
      </c>
      <c r="J133" s="48">
        <f t="shared" si="8"/>
        <v>100</v>
      </c>
    </row>
    <row r="134" spans="1:11" ht="21" customHeight="1" x14ac:dyDescent="0.15">
      <c r="A134" s="118">
        <v>48101133</v>
      </c>
      <c r="B134" s="47">
        <v>0</v>
      </c>
      <c r="C134" s="47">
        <v>70</v>
      </c>
      <c r="D134" s="47">
        <v>100</v>
      </c>
      <c r="E134" s="47" t="s">
        <v>53</v>
      </c>
      <c r="F134" s="47" t="s">
        <v>53</v>
      </c>
      <c r="G134" s="47">
        <v>1</v>
      </c>
      <c r="H134" s="47">
        <v>10</v>
      </c>
      <c r="I134" s="47" t="s">
        <v>53</v>
      </c>
      <c r="J134" s="48">
        <f t="shared" si="8"/>
        <v>100</v>
      </c>
    </row>
    <row r="135" spans="1:11" ht="21" customHeight="1" x14ac:dyDescent="0.15">
      <c r="A135" s="118">
        <v>48101134</v>
      </c>
      <c r="B135" s="47">
        <v>0</v>
      </c>
      <c r="C135" s="47">
        <v>75</v>
      </c>
      <c r="D135" s="47">
        <v>100</v>
      </c>
      <c r="E135" s="47" t="s">
        <v>53</v>
      </c>
      <c r="F135" s="47" t="s">
        <v>53</v>
      </c>
      <c r="G135" s="47">
        <v>1</v>
      </c>
      <c r="H135" s="47">
        <v>11</v>
      </c>
      <c r="I135" s="47" t="s">
        <v>53</v>
      </c>
      <c r="J135" s="48">
        <f t="shared" si="8"/>
        <v>100</v>
      </c>
    </row>
    <row r="136" spans="1:11" ht="21" customHeight="1" x14ac:dyDescent="0.15">
      <c r="A136" s="118">
        <v>48101135</v>
      </c>
      <c r="B136" s="47">
        <v>0</v>
      </c>
      <c r="C136" s="47">
        <v>85</v>
      </c>
      <c r="D136" s="47">
        <v>100</v>
      </c>
      <c r="E136" s="47" t="s">
        <v>53</v>
      </c>
      <c r="F136" s="47" t="s">
        <v>53</v>
      </c>
      <c r="G136" s="47">
        <v>1</v>
      </c>
      <c r="H136" s="47">
        <v>15</v>
      </c>
      <c r="I136" s="47" t="s">
        <v>53</v>
      </c>
      <c r="J136" s="48">
        <f t="shared" si="8"/>
        <v>100</v>
      </c>
    </row>
    <row r="137" spans="1:11" ht="21" customHeight="1" x14ac:dyDescent="0.15">
      <c r="A137" s="118">
        <v>48101136</v>
      </c>
      <c r="B137" s="47">
        <v>0</v>
      </c>
      <c r="C137" s="47">
        <v>80</v>
      </c>
      <c r="D137" s="47">
        <v>100</v>
      </c>
      <c r="E137" s="47" t="s">
        <v>53</v>
      </c>
      <c r="F137" s="47" t="s">
        <v>53</v>
      </c>
      <c r="G137" s="47">
        <v>1</v>
      </c>
      <c r="H137" s="47">
        <v>16</v>
      </c>
      <c r="I137" s="47" t="s">
        <v>53</v>
      </c>
      <c r="J137" s="48">
        <f t="shared" si="8"/>
        <v>100</v>
      </c>
    </row>
    <row r="138" spans="1:11" ht="21" customHeight="1" x14ac:dyDescent="0.15">
      <c r="A138" s="118">
        <v>48101137</v>
      </c>
      <c r="B138" s="47">
        <v>0</v>
      </c>
      <c r="C138" s="47">
        <v>90</v>
      </c>
      <c r="D138" s="47">
        <v>100</v>
      </c>
      <c r="E138" s="47" t="s">
        <v>53</v>
      </c>
      <c r="F138" s="47" t="s">
        <v>53</v>
      </c>
      <c r="G138" s="47">
        <v>0</v>
      </c>
      <c r="H138" s="47" t="s">
        <v>53</v>
      </c>
      <c r="I138" s="47">
        <v>0</v>
      </c>
      <c r="J138" s="48">
        <f t="shared" si="8"/>
        <v>100</v>
      </c>
    </row>
    <row r="139" spans="1:11" ht="21" customHeight="1" x14ac:dyDescent="0.15">
      <c r="A139" s="118">
        <v>48101138</v>
      </c>
      <c r="B139" s="47">
        <v>0</v>
      </c>
      <c r="C139" s="47">
        <v>110</v>
      </c>
      <c r="D139" s="47">
        <v>100</v>
      </c>
      <c r="E139" s="47" t="s">
        <v>53</v>
      </c>
      <c r="F139" s="47" t="s">
        <v>53</v>
      </c>
      <c r="G139" s="47">
        <v>0</v>
      </c>
      <c r="H139" s="47" t="s">
        <v>53</v>
      </c>
      <c r="I139" s="47">
        <v>8132</v>
      </c>
      <c r="J139" s="48">
        <f t="shared" si="8"/>
        <v>100</v>
      </c>
      <c r="K139" s="128"/>
    </row>
    <row r="140" spans="1:11" ht="21" customHeight="1" x14ac:dyDescent="0.15">
      <c r="A140" s="118">
        <v>48101139</v>
      </c>
      <c r="B140" s="47">
        <v>0</v>
      </c>
      <c r="C140" s="47">
        <v>100</v>
      </c>
      <c r="D140" s="47">
        <v>100</v>
      </c>
      <c r="E140" s="47" t="s">
        <v>53</v>
      </c>
      <c r="F140" s="47" t="s">
        <v>53</v>
      </c>
      <c r="G140" s="47">
        <v>0</v>
      </c>
      <c r="H140" s="47" t="s">
        <v>53</v>
      </c>
      <c r="I140" s="47">
        <v>8131</v>
      </c>
      <c r="J140" s="48">
        <f t="shared" si="8"/>
        <v>100</v>
      </c>
      <c r="K140" s="128"/>
    </row>
    <row r="141" spans="1:11" ht="21" customHeight="1" thickBot="1" x14ac:dyDescent="0.2">
      <c r="A141" s="119">
        <v>48101140</v>
      </c>
      <c r="B141" s="107">
        <v>0</v>
      </c>
      <c r="C141" s="107">
        <v>95</v>
      </c>
      <c r="D141" s="107">
        <v>100</v>
      </c>
      <c r="E141" s="107" t="s">
        <v>53</v>
      </c>
      <c r="F141" s="107" t="s">
        <v>53</v>
      </c>
      <c r="G141" s="107">
        <v>0</v>
      </c>
      <c r="H141" s="107" t="s">
        <v>53</v>
      </c>
      <c r="I141" s="129">
        <v>8130</v>
      </c>
      <c r="J141" s="121">
        <f t="shared" si="8"/>
        <v>100</v>
      </c>
      <c r="K141" s="122"/>
    </row>
  </sheetData>
  <autoFilter ref="A1:G1"/>
  <phoneticPr fontId="5"/>
  <conditionalFormatting sqref="K142:K1048576 K1:K2">
    <cfRule type="duplicateValues" dxfId="139" priority="146"/>
  </conditionalFormatting>
  <conditionalFormatting sqref="K3">
    <cfRule type="duplicateValues" dxfId="138" priority="145"/>
  </conditionalFormatting>
  <conditionalFormatting sqref="K4">
    <cfRule type="duplicateValues" dxfId="137" priority="144"/>
  </conditionalFormatting>
  <conditionalFormatting sqref="K5">
    <cfRule type="duplicateValues" dxfId="136" priority="143"/>
  </conditionalFormatting>
  <conditionalFormatting sqref="K6">
    <cfRule type="duplicateValues" dxfId="135" priority="142"/>
  </conditionalFormatting>
  <conditionalFormatting sqref="K7">
    <cfRule type="duplicateValues" dxfId="134" priority="141"/>
  </conditionalFormatting>
  <conditionalFormatting sqref="K8">
    <cfRule type="duplicateValues" dxfId="133" priority="140"/>
  </conditionalFormatting>
  <conditionalFormatting sqref="K9">
    <cfRule type="duplicateValues" dxfId="132" priority="139"/>
  </conditionalFormatting>
  <conditionalFormatting sqref="K10">
    <cfRule type="duplicateValues" dxfId="131" priority="138"/>
  </conditionalFormatting>
  <conditionalFormatting sqref="K11">
    <cfRule type="duplicateValues" dxfId="130" priority="137"/>
  </conditionalFormatting>
  <conditionalFormatting sqref="K12">
    <cfRule type="duplicateValues" dxfId="129" priority="136"/>
  </conditionalFormatting>
  <conditionalFormatting sqref="K14">
    <cfRule type="duplicateValues" dxfId="128" priority="135"/>
  </conditionalFormatting>
  <conditionalFormatting sqref="K15">
    <cfRule type="duplicateValues" dxfId="127" priority="134"/>
  </conditionalFormatting>
  <conditionalFormatting sqref="K16">
    <cfRule type="duplicateValues" dxfId="126" priority="133"/>
  </conditionalFormatting>
  <conditionalFormatting sqref="K17">
    <cfRule type="duplicateValues" dxfId="125" priority="132"/>
  </conditionalFormatting>
  <conditionalFormatting sqref="K18">
    <cfRule type="duplicateValues" dxfId="124" priority="131"/>
  </conditionalFormatting>
  <conditionalFormatting sqref="K19">
    <cfRule type="duplicateValues" dxfId="123" priority="130"/>
  </conditionalFormatting>
  <conditionalFormatting sqref="K20">
    <cfRule type="duplicateValues" dxfId="122" priority="129"/>
  </conditionalFormatting>
  <conditionalFormatting sqref="K21">
    <cfRule type="duplicateValues" dxfId="121" priority="128"/>
  </conditionalFormatting>
  <conditionalFormatting sqref="K22">
    <cfRule type="duplicateValues" dxfId="120" priority="127"/>
  </conditionalFormatting>
  <conditionalFormatting sqref="K23">
    <cfRule type="duplicateValues" dxfId="119" priority="126"/>
  </conditionalFormatting>
  <conditionalFormatting sqref="K24">
    <cfRule type="duplicateValues" dxfId="118" priority="125"/>
  </conditionalFormatting>
  <conditionalFormatting sqref="K25">
    <cfRule type="duplicateValues" dxfId="117" priority="124"/>
  </conditionalFormatting>
  <conditionalFormatting sqref="K27">
    <cfRule type="duplicateValues" dxfId="116" priority="123"/>
  </conditionalFormatting>
  <conditionalFormatting sqref="K28">
    <cfRule type="duplicateValues" dxfId="115" priority="122"/>
  </conditionalFormatting>
  <conditionalFormatting sqref="K29">
    <cfRule type="duplicateValues" dxfId="114" priority="121"/>
  </conditionalFormatting>
  <conditionalFormatting sqref="K30">
    <cfRule type="duplicateValues" dxfId="113" priority="120"/>
  </conditionalFormatting>
  <conditionalFormatting sqref="K31">
    <cfRule type="duplicateValues" dxfId="112" priority="119"/>
  </conditionalFormatting>
  <conditionalFormatting sqref="K32">
    <cfRule type="duplicateValues" dxfId="111" priority="118"/>
  </conditionalFormatting>
  <conditionalFormatting sqref="K33">
    <cfRule type="duplicateValues" dxfId="110" priority="117"/>
  </conditionalFormatting>
  <conditionalFormatting sqref="K34">
    <cfRule type="duplicateValues" dxfId="109" priority="116"/>
  </conditionalFormatting>
  <conditionalFormatting sqref="K35">
    <cfRule type="duplicateValues" dxfId="108" priority="115"/>
  </conditionalFormatting>
  <conditionalFormatting sqref="K36">
    <cfRule type="duplicateValues" dxfId="107" priority="114"/>
  </conditionalFormatting>
  <conditionalFormatting sqref="K37">
    <cfRule type="duplicateValues" dxfId="106" priority="113"/>
  </conditionalFormatting>
  <conditionalFormatting sqref="K38">
    <cfRule type="duplicateValues" dxfId="105" priority="112"/>
  </conditionalFormatting>
  <conditionalFormatting sqref="K39">
    <cfRule type="duplicateValues" dxfId="104" priority="111"/>
  </conditionalFormatting>
  <conditionalFormatting sqref="K40">
    <cfRule type="duplicateValues" dxfId="103" priority="110"/>
  </conditionalFormatting>
  <conditionalFormatting sqref="K41">
    <cfRule type="duplicateValues" dxfId="102" priority="109"/>
  </conditionalFormatting>
  <conditionalFormatting sqref="K42">
    <cfRule type="duplicateValues" dxfId="101" priority="108"/>
  </conditionalFormatting>
  <conditionalFormatting sqref="K43">
    <cfRule type="duplicateValues" dxfId="100" priority="107"/>
  </conditionalFormatting>
  <conditionalFormatting sqref="K44">
    <cfRule type="duplicateValues" dxfId="99" priority="106"/>
  </conditionalFormatting>
  <conditionalFormatting sqref="K45">
    <cfRule type="duplicateValues" dxfId="98" priority="105"/>
  </conditionalFormatting>
  <conditionalFormatting sqref="K46">
    <cfRule type="duplicateValues" dxfId="97" priority="104"/>
  </conditionalFormatting>
  <conditionalFormatting sqref="K47">
    <cfRule type="duplicateValues" dxfId="96" priority="103"/>
  </conditionalFormatting>
  <conditionalFormatting sqref="K48">
    <cfRule type="duplicateValues" dxfId="95" priority="102"/>
  </conditionalFormatting>
  <conditionalFormatting sqref="K49">
    <cfRule type="duplicateValues" dxfId="94" priority="101"/>
  </conditionalFormatting>
  <conditionalFormatting sqref="K51">
    <cfRule type="duplicateValues" dxfId="93" priority="100"/>
  </conditionalFormatting>
  <conditionalFormatting sqref="K52">
    <cfRule type="duplicateValues" dxfId="92" priority="99"/>
  </conditionalFormatting>
  <conditionalFormatting sqref="K53">
    <cfRule type="duplicateValues" dxfId="91" priority="98"/>
  </conditionalFormatting>
  <conditionalFormatting sqref="K54">
    <cfRule type="duplicateValues" dxfId="90" priority="97"/>
  </conditionalFormatting>
  <conditionalFormatting sqref="K55">
    <cfRule type="duplicateValues" dxfId="89" priority="96"/>
  </conditionalFormatting>
  <conditionalFormatting sqref="K56">
    <cfRule type="duplicateValues" dxfId="88" priority="95"/>
  </conditionalFormatting>
  <conditionalFormatting sqref="K57">
    <cfRule type="duplicateValues" dxfId="87" priority="94"/>
  </conditionalFormatting>
  <conditionalFormatting sqref="K58">
    <cfRule type="duplicateValues" dxfId="86" priority="93"/>
  </conditionalFormatting>
  <conditionalFormatting sqref="K59">
    <cfRule type="duplicateValues" dxfId="85" priority="92"/>
  </conditionalFormatting>
  <conditionalFormatting sqref="K60">
    <cfRule type="duplicateValues" dxfId="84" priority="91"/>
  </conditionalFormatting>
  <conditionalFormatting sqref="K61">
    <cfRule type="duplicateValues" dxfId="83" priority="90"/>
  </conditionalFormatting>
  <conditionalFormatting sqref="K62">
    <cfRule type="duplicateValues" dxfId="82" priority="89"/>
  </conditionalFormatting>
  <conditionalFormatting sqref="K63">
    <cfRule type="duplicateValues" dxfId="81" priority="88"/>
  </conditionalFormatting>
  <conditionalFormatting sqref="K64">
    <cfRule type="duplicateValues" dxfId="80" priority="87"/>
  </conditionalFormatting>
  <conditionalFormatting sqref="K65">
    <cfRule type="duplicateValues" dxfId="79" priority="86"/>
  </conditionalFormatting>
  <conditionalFormatting sqref="K66">
    <cfRule type="duplicateValues" dxfId="78" priority="85"/>
  </conditionalFormatting>
  <conditionalFormatting sqref="K67">
    <cfRule type="duplicateValues" dxfId="77" priority="84"/>
  </conditionalFormatting>
  <conditionalFormatting sqref="K68">
    <cfRule type="duplicateValues" dxfId="76" priority="83"/>
  </conditionalFormatting>
  <conditionalFormatting sqref="K69">
    <cfRule type="duplicateValues" dxfId="75" priority="82"/>
  </conditionalFormatting>
  <conditionalFormatting sqref="K71">
    <cfRule type="duplicateValues" dxfId="74" priority="81"/>
  </conditionalFormatting>
  <conditionalFormatting sqref="K70">
    <cfRule type="duplicateValues" dxfId="73" priority="74"/>
  </conditionalFormatting>
  <conditionalFormatting sqref="K50">
    <cfRule type="duplicateValues" dxfId="72" priority="73"/>
  </conditionalFormatting>
  <conditionalFormatting sqref="K26">
    <cfRule type="duplicateValues" dxfId="71" priority="72"/>
  </conditionalFormatting>
  <conditionalFormatting sqref="K13">
    <cfRule type="duplicateValues" dxfId="70" priority="71"/>
  </conditionalFormatting>
  <conditionalFormatting sqref="K72">
    <cfRule type="duplicateValues" dxfId="69" priority="70"/>
  </conditionalFormatting>
  <conditionalFormatting sqref="K73">
    <cfRule type="duplicateValues" dxfId="68" priority="69"/>
  </conditionalFormatting>
  <conditionalFormatting sqref="K74">
    <cfRule type="duplicateValues" dxfId="67" priority="68"/>
  </conditionalFormatting>
  <conditionalFormatting sqref="K75">
    <cfRule type="duplicateValues" dxfId="66" priority="67"/>
  </conditionalFormatting>
  <conditionalFormatting sqref="K76">
    <cfRule type="duplicateValues" dxfId="65" priority="66"/>
  </conditionalFormatting>
  <conditionalFormatting sqref="K77">
    <cfRule type="duplicateValues" dxfId="64" priority="65"/>
  </conditionalFormatting>
  <conditionalFormatting sqref="K78">
    <cfRule type="duplicateValues" dxfId="63" priority="64"/>
  </conditionalFormatting>
  <conditionalFormatting sqref="K79">
    <cfRule type="duplicateValues" dxfId="62" priority="63"/>
  </conditionalFormatting>
  <conditionalFormatting sqref="K80">
    <cfRule type="duplicateValues" dxfId="61" priority="62"/>
  </conditionalFormatting>
  <conditionalFormatting sqref="K81">
    <cfRule type="duplicateValues" dxfId="60" priority="61"/>
  </conditionalFormatting>
  <conditionalFormatting sqref="K82">
    <cfRule type="duplicateValues" dxfId="59" priority="60"/>
  </conditionalFormatting>
  <conditionalFormatting sqref="K84">
    <cfRule type="duplicateValues" dxfId="58" priority="59"/>
  </conditionalFormatting>
  <conditionalFormatting sqref="K85">
    <cfRule type="duplicateValues" dxfId="57" priority="58"/>
  </conditionalFormatting>
  <conditionalFormatting sqref="K86">
    <cfRule type="duplicateValues" dxfId="56" priority="57"/>
  </conditionalFormatting>
  <conditionalFormatting sqref="K87">
    <cfRule type="duplicateValues" dxfId="55" priority="56"/>
  </conditionalFormatting>
  <conditionalFormatting sqref="K88">
    <cfRule type="duplicateValues" dxfId="54" priority="55"/>
  </conditionalFormatting>
  <conditionalFormatting sqref="K89">
    <cfRule type="duplicateValues" dxfId="53" priority="54"/>
  </conditionalFormatting>
  <conditionalFormatting sqref="K90">
    <cfRule type="duplicateValues" dxfId="52" priority="53"/>
  </conditionalFormatting>
  <conditionalFormatting sqref="K91">
    <cfRule type="duplicateValues" dxfId="51" priority="52"/>
  </conditionalFormatting>
  <conditionalFormatting sqref="K92">
    <cfRule type="duplicateValues" dxfId="50" priority="51"/>
  </conditionalFormatting>
  <conditionalFormatting sqref="K93">
    <cfRule type="duplicateValues" dxfId="49" priority="50"/>
  </conditionalFormatting>
  <conditionalFormatting sqref="K94">
    <cfRule type="duplicateValues" dxfId="48" priority="49"/>
  </conditionalFormatting>
  <conditionalFormatting sqref="K95">
    <cfRule type="duplicateValues" dxfId="47" priority="48"/>
  </conditionalFormatting>
  <conditionalFormatting sqref="K97">
    <cfRule type="duplicateValues" dxfId="46" priority="47"/>
  </conditionalFormatting>
  <conditionalFormatting sqref="K98">
    <cfRule type="duplicateValues" dxfId="45" priority="46"/>
  </conditionalFormatting>
  <conditionalFormatting sqref="K99">
    <cfRule type="duplicateValues" dxfId="44" priority="45"/>
  </conditionalFormatting>
  <conditionalFormatting sqref="K100">
    <cfRule type="duplicateValues" dxfId="43" priority="44"/>
  </conditionalFormatting>
  <conditionalFormatting sqref="K101">
    <cfRule type="duplicateValues" dxfId="42" priority="43"/>
  </conditionalFormatting>
  <conditionalFormatting sqref="K102">
    <cfRule type="duplicateValues" dxfId="41" priority="42"/>
  </conditionalFormatting>
  <conditionalFormatting sqref="K103">
    <cfRule type="duplicateValues" dxfId="40" priority="41"/>
  </conditionalFormatting>
  <conditionalFormatting sqref="K104">
    <cfRule type="duplicateValues" dxfId="39" priority="40"/>
  </conditionalFormatting>
  <conditionalFormatting sqref="K105">
    <cfRule type="duplicateValues" dxfId="38" priority="39"/>
  </conditionalFormatting>
  <conditionalFormatting sqref="K106">
    <cfRule type="duplicateValues" dxfId="37" priority="38"/>
  </conditionalFormatting>
  <conditionalFormatting sqref="K107">
    <cfRule type="duplicateValues" dxfId="36" priority="37"/>
  </conditionalFormatting>
  <conditionalFormatting sqref="K108">
    <cfRule type="duplicateValues" dxfId="35" priority="36"/>
  </conditionalFormatting>
  <conditionalFormatting sqref="K109">
    <cfRule type="duplicateValues" dxfId="34" priority="35"/>
  </conditionalFormatting>
  <conditionalFormatting sqref="K110">
    <cfRule type="duplicateValues" dxfId="33" priority="34"/>
  </conditionalFormatting>
  <conditionalFormatting sqref="K111">
    <cfRule type="duplicateValues" dxfId="32" priority="33"/>
  </conditionalFormatting>
  <conditionalFormatting sqref="K112">
    <cfRule type="duplicateValues" dxfId="31" priority="32"/>
  </conditionalFormatting>
  <conditionalFormatting sqref="K113">
    <cfRule type="duplicateValues" dxfId="30" priority="31"/>
  </conditionalFormatting>
  <conditionalFormatting sqref="K114">
    <cfRule type="duplicateValues" dxfId="29" priority="30"/>
  </conditionalFormatting>
  <conditionalFormatting sqref="K115">
    <cfRule type="duplicateValues" dxfId="28" priority="29"/>
  </conditionalFormatting>
  <conditionalFormatting sqref="K116">
    <cfRule type="duplicateValues" dxfId="27" priority="28"/>
  </conditionalFormatting>
  <conditionalFormatting sqref="K117">
    <cfRule type="duplicateValues" dxfId="26" priority="27"/>
  </conditionalFormatting>
  <conditionalFormatting sqref="K118">
    <cfRule type="duplicateValues" dxfId="25" priority="26"/>
  </conditionalFormatting>
  <conditionalFormatting sqref="K119">
    <cfRule type="duplicateValues" dxfId="24" priority="25"/>
  </conditionalFormatting>
  <conditionalFormatting sqref="K121">
    <cfRule type="duplicateValues" dxfId="23" priority="24"/>
  </conditionalFormatting>
  <conditionalFormatting sqref="K122">
    <cfRule type="duplicateValues" dxfId="22" priority="23"/>
  </conditionalFormatting>
  <conditionalFormatting sqref="K123">
    <cfRule type="duplicateValues" dxfId="21" priority="22"/>
  </conditionalFormatting>
  <conditionalFormatting sqref="K124">
    <cfRule type="duplicateValues" dxfId="20" priority="21"/>
  </conditionalFormatting>
  <conditionalFormatting sqref="K125">
    <cfRule type="duplicateValues" dxfId="19" priority="20"/>
  </conditionalFormatting>
  <conditionalFormatting sqref="K126">
    <cfRule type="duplicateValues" dxfId="18" priority="19"/>
  </conditionalFormatting>
  <conditionalFormatting sqref="K127">
    <cfRule type="duplicateValues" dxfId="17" priority="18"/>
  </conditionalFormatting>
  <conditionalFormatting sqref="K128">
    <cfRule type="duplicateValues" dxfId="16" priority="17"/>
  </conditionalFormatting>
  <conditionalFormatting sqref="K129">
    <cfRule type="duplicateValues" dxfId="15" priority="16"/>
  </conditionalFormatting>
  <conditionalFormatting sqref="K130">
    <cfRule type="duplicateValues" dxfId="14" priority="15"/>
  </conditionalFormatting>
  <conditionalFormatting sqref="K131">
    <cfRule type="duplicateValues" dxfId="13" priority="14"/>
  </conditionalFormatting>
  <conditionalFormatting sqref="K132">
    <cfRule type="duplicateValues" dxfId="12" priority="13"/>
  </conditionalFormatting>
  <conditionalFormatting sqref="K133">
    <cfRule type="duplicateValues" dxfId="11" priority="12"/>
  </conditionalFormatting>
  <conditionalFormatting sqref="K134">
    <cfRule type="duplicateValues" dxfId="10" priority="11"/>
  </conditionalFormatting>
  <conditionalFormatting sqref="K135">
    <cfRule type="duplicateValues" dxfId="9" priority="10"/>
  </conditionalFormatting>
  <conditionalFormatting sqref="K136">
    <cfRule type="duplicateValues" dxfId="8" priority="9"/>
  </conditionalFormatting>
  <conditionalFormatting sqref="K137">
    <cfRule type="duplicateValues" dxfId="7" priority="8"/>
  </conditionalFormatting>
  <conditionalFormatting sqref="K138">
    <cfRule type="duplicateValues" dxfId="6" priority="7"/>
  </conditionalFormatting>
  <conditionalFormatting sqref="K139">
    <cfRule type="duplicateValues" dxfId="5" priority="6"/>
  </conditionalFormatting>
  <conditionalFormatting sqref="K141">
    <cfRule type="duplicateValues" dxfId="4" priority="5"/>
  </conditionalFormatting>
  <conditionalFormatting sqref="K140">
    <cfRule type="duplicateValues" dxfId="3" priority="4"/>
  </conditionalFormatting>
  <conditionalFormatting sqref="K120">
    <cfRule type="duplicateValues" dxfId="2" priority="3"/>
  </conditionalFormatting>
  <conditionalFormatting sqref="K96">
    <cfRule type="duplicateValues" dxfId="1" priority="2"/>
  </conditionalFormatting>
  <conditionalFormatting sqref="K8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41"/>
  <sheetViews>
    <sheetView showGridLines="0" workbookViewId="0">
      <pane xSplit="5" ySplit="1" topLeftCell="F78" activePane="bottomRight" state="frozen"/>
      <selection pane="topRight"/>
      <selection pane="bottomLeft"/>
      <selection pane="bottomRight" activeCell="L131" sqref="L13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48101001_48101001</v>
      </c>
      <c r="B2" s="47">
        <v>48101001</v>
      </c>
      <c r="C2" s="108">
        <v>48101001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なんだあの魔女は…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！　あの魔女の仲間か！？</v>
      </c>
      <c r="F2" s="108">
        <v>48101001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48101001_48101002</v>
      </c>
      <c r="B3" s="47">
        <v>48101001</v>
      </c>
      <c r="C3" s="108">
        <v>48101002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なんだってこんなことに…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オーズは頭を抱えている</v>
      </c>
      <c r="F3" s="108">
        <v>48101002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" s="47"/>
      <c r="Q3" s="47"/>
      <c r="R3" s="47"/>
    </row>
    <row r="4" spans="1:18" ht="21" customHeight="1" x14ac:dyDescent="0.15">
      <c r="A4" s="39" t="str">
        <f t="shared" si="1"/>
        <v>48101001_48101003</v>
      </c>
      <c r="B4" s="47">
        <v>48101001</v>
      </c>
      <c r="C4" s="108">
        <v>48101003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あっちに行け！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108">
        <v>48101003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thickBot="1" x14ac:dyDescent="0.2">
      <c r="A5" s="39" t="str">
        <f t="shared" si="1"/>
        <v>48101001_48101004</v>
      </c>
      <c r="B5" s="107">
        <v>48101001</v>
      </c>
      <c r="C5" s="109">
        <v>48101004</v>
      </c>
      <c r="D5" s="131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すまない、誤解をしていたようだ…</v>
      </c>
      <c r="E5" s="131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これは侘びの品だ！気をつけて魔女に挑んでくれ！_x000D_【ボムの爆風を20%UP】</v>
      </c>
      <c r="F5" s="109">
        <v>48101004</v>
      </c>
      <c r="G5" s="121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121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121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21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" s="121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21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121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121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21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07"/>
      <c r="Q5" s="107"/>
      <c r="R5" s="107"/>
    </row>
    <row r="6" spans="1:18" ht="21" customHeight="1" x14ac:dyDescent="0.15">
      <c r="A6" s="39" t="str">
        <f t="shared" si="1"/>
        <v>48101002_48101005</v>
      </c>
      <c r="B6" s="106">
        <v>48101002</v>
      </c>
      <c r="C6" s="110">
        <v>48101005</v>
      </c>
      <c r="D6" s="130" t="str">
        <f ca="1">VLOOKUP($C6,OFFSET(enemy_skills!$A$1,0,0,COUNTA(enemy_skills!$A:$A),MATCH(D$1,enemy_skills!$1:$1,0)-MATCH("enemy_skill_id",enemy_skills!$1:$1,0)+1),MATCH(D$1,enemy_skills!$1:$1,0)-MATCH("enemy_skill_id",enemy_skills!$1:$1,0)+1,FALSE)</f>
        <v>何かを言いたそうにしている</v>
      </c>
      <c r="E6" s="130" t="str">
        <f ca="1">VLOOKUP($C6,OFFSET(enemy_skills!$A$1,0,0,COUNTA(enemy_skills!$A:$A),MATCH(E$1,enemy_skills!$1:$1,0)-MATCH("enemy_skill_id",enemy_skills!$1:$1,0)+1),MATCH(E$1,enemy_skills!$1:$1,0)-MATCH("enemy_skill_id",enemy_skills!$1:$1,0)+1,FALSE)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6" s="110">
        <v>48101005</v>
      </c>
      <c r="G6" s="120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120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120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20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20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20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20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20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20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06"/>
      <c r="Q6" s="106"/>
      <c r="R6" s="106"/>
    </row>
    <row r="7" spans="1:18" ht="21" customHeight="1" x14ac:dyDescent="0.15">
      <c r="A7" s="39" t="str">
        <f t="shared" si="1"/>
        <v>48101002_48101006</v>
      </c>
      <c r="B7" s="47">
        <v>48101002</v>
      </c>
      <c r="C7" s="111">
        <v>48101006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ブルー・リバーサル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青パネルをお邪魔パネルに10個変換+_x000D_赤パネルを青パネルに変換</v>
      </c>
      <c r="F7" s="111">
        <v>48101006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23" si="2">B8&amp;"_"&amp;C8</f>
        <v>48101002_48101007</v>
      </c>
      <c r="B8" s="47">
        <v>48101002</v>
      </c>
      <c r="C8" s="111">
        <v>48101007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スプラッシュスライサー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青パネルを吸収して攻撃(最大5個)</v>
      </c>
      <c r="F8" s="111">
        <v>48101007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thickBot="1" x14ac:dyDescent="0.2">
      <c r="A9" s="39" t="str">
        <f t="shared" si="2"/>
        <v>48101002_48101008</v>
      </c>
      <c r="B9" s="107">
        <v>48101002</v>
      </c>
      <c r="C9" s="112">
        <v>48101008</v>
      </c>
      <c r="D9" s="131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ブルーシールド</v>
      </c>
      <c r="E9" s="131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2ターン青パネルを吸収して防御力UP(最大5個)</v>
      </c>
      <c r="F9" s="112">
        <v>48101008</v>
      </c>
      <c r="G9" s="121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121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121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21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21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21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21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" s="121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21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07"/>
      <c r="Q9" s="107"/>
      <c r="R9" s="107"/>
    </row>
    <row r="10" spans="1:18" ht="21" customHeight="1" x14ac:dyDescent="0.15">
      <c r="A10" s="39" t="str">
        <f t="shared" si="2"/>
        <v>48101003_48101009</v>
      </c>
      <c r="B10" s="106">
        <v>48101003</v>
      </c>
      <c r="C10" s="110">
        <v>48101009</v>
      </c>
      <c r="D10" s="130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魔女の仲間じゃないのね…！</v>
      </c>
      <c r="E10" s="130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お願い、私を動物にした魔女を倒して！_x000D_【4ターン全ユニットの攻撃力UP】</v>
      </c>
      <c r="F10" s="123">
        <v>48101009</v>
      </c>
      <c r="G10" s="120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120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120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20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20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20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20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120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20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06"/>
      <c r="Q10" s="106"/>
      <c r="R10" s="106"/>
    </row>
    <row r="11" spans="1:18" ht="21" customHeight="1" x14ac:dyDescent="0.15">
      <c r="A11" s="39" t="str">
        <f t="shared" si="2"/>
        <v>48101003_48101010</v>
      </c>
      <c r="B11" s="47">
        <v>48101003</v>
      </c>
      <c r="C11" s="111">
        <v>48101010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魔女の仲間じゃないのね…！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お願い、私を動物にした魔女を倒して！_x000D_【確率で赤パネルがボムパネルとしてドロップ】</v>
      </c>
      <c r="F11" s="111">
        <v>48101010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48101003_48101011</v>
      </c>
      <c r="B12" s="47">
        <v>48101003</v>
      </c>
      <c r="C12" s="111">
        <v>48101011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魔女の仲間じゃないのね…！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お願い、私を動物にした魔女を倒して！_x000D_【確率で青パネルがボムパネルとしてドロップ】</v>
      </c>
      <c r="F12" s="111">
        <v>48101011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thickBot="1" x14ac:dyDescent="0.2">
      <c r="A13" s="39" t="str">
        <f t="shared" ref="A13" si="3">B13&amp;"_"&amp;C13</f>
        <v>48101003_48101012</v>
      </c>
      <c r="B13" s="141">
        <v>48101003</v>
      </c>
      <c r="C13" s="112">
        <v>48101012</v>
      </c>
      <c r="D13" s="148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魔女の仲間じゃないのね…！</v>
      </c>
      <c r="E13" s="148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お願い、私を動物にした魔女を倒して！_x000D_【8ターン全ユニットの防御力UP】</v>
      </c>
      <c r="F13" s="140">
        <v>48101012</v>
      </c>
      <c r="G13" s="14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145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3" s="14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4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4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4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45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145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13" s="14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41"/>
      <c r="Q13" s="141"/>
      <c r="R13" s="141"/>
    </row>
    <row r="14" spans="1:18" ht="21" customHeight="1" x14ac:dyDescent="0.15">
      <c r="A14" s="39" t="str">
        <f t="shared" si="2"/>
        <v>48101004_48101013</v>
      </c>
      <c r="B14" s="106">
        <v>48101004</v>
      </c>
      <c r="C14" s="110">
        <v>48101013</v>
      </c>
      <c r="D14" s="130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ユニコーンは混乱している！</v>
      </c>
      <c r="E14" s="130" t="str">
        <f ca="1">VLOOKUP($C14,OFFSET(enemy_skills!$A$1,0,0,COUNTA(enemy_skills!$A:$A),MATCH(E$1,enemy_skills!$1:$1,0)-MATCH("enemy_skill_id",enemy_skills!$1:$1,0)+1),MATCH(E$1,enemy_skills!$1:$1,0)-MATCH("enemy_skill_id",enemy_skills!$1:$1,0)+1,FALSE)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" s="123">
        <v>48101013</v>
      </c>
      <c r="G14" s="120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120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120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20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20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20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20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20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20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06"/>
      <c r="Q14" s="106"/>
      <c r="R14" s="106"/>
    </row>
    <row r="15" spans="1:18" ht="21" customHeight="1" x14ac:dyDescent="0.15">
      <c r="A15" s="39" t="str">
        <f t="shared" si="2"/>
        <v>48101004_48101014</v>
      </c>
      <c r="B15" s="47">
        <v>48101004</v>
      </c>
      <c r="C15" s="111">
        <v>48101014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ユニコーンは思案している…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" s="111">
        <v>48101014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5" s="47"/>
      <c r="Q15" s="47"/>
      <c r="R15" s="47"/>
    </row>
    <row r="16" spans="1:18" ht="21" customHeight="1" x14ac:dyDescent="0.15">
      <c r="A16" s="39" t="str">
        <f t="shared" si="2"/>
        <v>48101004_48101015</v>
      </c>
      <c r="B16" s="47">
        <v>48101004</v>
      </c>
      <c r="C16" s="111">
        <v>48101015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スタンプジャマー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単体攻撃+_x000D_ランダムでお邪魔パネルに最大4個変換</v>
      </c>
      <c r="F16" s="111">
        <v>48101015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48101004_48101016</v>
      </c>
      <c r="B17" s="47">
        <v>48101004</v>
      </c>
      <c r="C17" s="111">
        <v>48101016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トルネードホーン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7" s="111">
        <v>48101016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48101004_48101017</v>
      </c>
      <c r="B18" s="47">
        <v>48101004</v>
      </c>
      <c r="C18" s="111">
        <v>48101017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狙いを定めている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18" s="111">
        <v>48101017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48101004_48101018</v>
      </c>
      <c r="B19" s="47">
        <v>48101004</v>
      </c>
      <c r="C19" s="111">
        <v>48101018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ブレイキングジャマー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9" s="111">
        <v>48101018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48101004_48101017</v>
      </c>
      <c r="B20" s="47">
        <v>48101004</v>
      </c>
      <c r="C20" s="111">
        <v>48101017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狙いを定めている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20" s="111">
        <v>48101019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48101004_48101018</v>
      </c>
      <c r="B21" s="47">
        <v>48101004</v>
      </c>
      <c r="C21" s="111">
        <v>48101018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ブレイキングジャマー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1" s="111">
        <v>48101020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thickBot="1" x14ac:dyDescent="0.2">
      <c r="A22" s="39" t="str">
        <f t="shared" si="2"/>
        <v>48101004_48101019</v>
      </c>
      <c r="B22" s="107">
        <v>48101004</v>
      </c>
      <c r="C22" s="112">
        <v>48101019</v>
      </c>
      <c r="D22" s="131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ユニコーンは疲れている！</v>
      </c>
      <c r="E22" s="131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3ターンユニコーンの行動頻度DOWN</v>
      </c>
      <c r="F22" s="140">
        <v>48101021</v>
      </c>
      <c r="G22" s="121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21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2" s="121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21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121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21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21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121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121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107"/>
      <c r="Q22" s="107"/>
      <c r="R22" s="107"/>
    </row>
    <row r="23" spans="1:18" ht="21" customHeight="1" x14ac:dyDescent="0.15">
      <c r="A23" s="39" t="str">
        <f t="shared" si="2"/>
        <v>48101005_48101020</v>
      </c>
      <c r="B23" s="106">
        <v>48101005</v>
      </c>
      <c r="C23" s="110">
        <v>48101020</v>
      </c>
      <c r="D23" s="130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助かったヨー！</v>
      </c>
      <c r="E23" s="130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魔女は豚を引き連れてあっちにいったネ！_x000D_【4ターン全ユニットの防御力UP】</v>
      </c>
      <c r="F23" s="123">
        <v>48101022</v>
      </c>
      <c r="G23" s="120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120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3" s="120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20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20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20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120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20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20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06"/>
      <c r="Q23" s="106"/>
      <c r="R23" s="106"/>
    </row>
    <row r="24" spans="1:18" ht="21" customHeight="1" x14ac:dyDescent="0.15">
      <c r="A24" s="39" t="str">
        <f t="shared" ref="A24:A55" si="4">B24&amp;"_"&amp;C24</f>
        <v>48101005_48101021</v>
      </c>
      <c r="B24" s="47">
        <v>48101005</v>
      </c>
      <c r="C24" s="111">
        <v>48101021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助かったヨー！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魔女は豚を引き連れてあっちにいったネ！_x000D_【8ターンCパネル生成短縮(効果特大)】</v>
      </c>
      <c r="F24" s="111">
        <v>48101023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48101005_48101022</v>
      </c>
      <c r="B25" s="47">
        <v>48101005</v>
      </c>
      <c r="C25" s="111">
        <v>48101022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助かったヨー！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魔女は豚を引き連れてあっちにいったネ！_x000D_【8ターン全ユニットの防御力UP】</v>
      </c>
      <c r="F25" s="111">
        <v>48101024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thickBot="1" x14ac:dyDescent="0.2">
      <c r="A26" s="39" t="str">
        <f t="shared" ref="A26" si="5">B26&amp;"_"&amp;C26</f>
        <v>48101005_48101023</v>
      </c>
      <c r="B26" s="141">
        <v>48101005</v>
      </c>
      <c r="C26" s="112">
        <v>48101023</v>
      </c>
      <c r="D26" s="148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助かったヨー！</v>
      </c>
      <c r="E26" s="148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魔女は豚を引き連れてあっちにいったネ！_x000D_【8ターン全ユニットの攻撃力UP】</v>
      </c>
      <c r="F26" s="140">
        <v>48101025</v>
      </c>
      <c r="G26" s="14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45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14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4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4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45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145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45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26" s="14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41"/>
      <c r="Q26" s="141"/>
      <c r="R26" s="141"/>
    </row>
    <row r="27" spans="1:18" ht="21" customHeight="1" x14ac:dyDescent="0.15">
      <c r="A27" s="39" t="str">
        <f t="shared" si="4"/>
        <v>48101006_48101024</v>
      </c>
      <c r="B27" s="106">
        <v>48101006</v>
      </c>
      <c r="C27" s="114">
        <v>48101024</v>
      </c>
      <c r="D27" s="130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囚われた仲間を助けるため、砲撃を敢行する</v>
      </c>
      <c r="E27" s="130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確率でお邪魔パネルがドロップ</v>
      </c>
      <c r="F27" s="114">
        <v>48101026</v>
      </c>
      <c r="G27" s="120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120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120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20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20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20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120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20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120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06"/>
      <c r="Q27" s="106"/>
      <c r="R27" s="106"/>
    </row>
    <row r="28" spans="1:18" ht="21" customHeight="1" x14ac:dyDescent="0.15">
      <c r="A28" s="39" t="str">
        <f t="shared" si="4"/>
        <v>48101006_48101025</v>
      </c>
      <c r="B28" s="47">
        <v>48101006</v>
      </c>
      <c r="C28" s="114">
        <v>48101025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全砲門開けー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8" s="115">
        <v>48101027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x14ac:dyDescent="0.15">
      <c r="A29" s="39" t="str">
        <f t="shared" si="4"/>
        <v>48101006_48101026</v>
      </c>
      <c r="B29" s="47">
        <v>48101006</v>
      </c>
      <c r="C29" s="114">
        <v>48101026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ターゲット・ワン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29" s="115">
        <v>48101028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48101006_48101027</v>
      </c>
      <c r="B30" s="47">
        <v>48101006</v>
      </c>
      <c r="C30" s="114">
        <v>48101027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装填急がないと…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30" s="114">
        <v>48101029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thickBot="1" x14ac:dyDescent="0.2">
      <c r="A31" s="39" t="str">
        <f t="shared" si="4"/>
        <v>48101006_48101028</v>
      </c>
      <c r="B31" s="107">
        <v>48101006</v>
      </c>
      <c r="C31" s="116">
        <v>48101028</v>
      </c>
      <c r="D31" s="131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攻めるぜ！攻めるぜ〜！！</v>
      </c>
      <c r="E31" s="131" t="str">
        <f ca="1">VLOOKUP($C31,OFFSET(enemy_skills!$A$1,0,0,COUNTA(enemy_skills!$A:$A),MATCH(E$1,enemy_skills!$1:$1,0)-MATCH("enemy_skill_id",enemy_skills!$1:$1,0)+1),MATCH(E$1,enemy_skills!$1:$1,0)-MATCH("enemy_skill_id",enemy_skills!$1:$1,0)+1,FALSE)</f>
        <v>1ターンお邪魔パネルを吸収して行動頻度UP</v>
      </c>
      <c r="F31" s="116">
        <v>48101030</v>
      </c>
      <c r="G31" s="121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21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" s="121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21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21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21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121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1" s="121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21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07"/>
      <c r="Q31" s="107"/>
      <c r="R31" s="107"/>
    </row>
    <row r="32" spans="1:18" ht="21" customHeight="1" x14ac:dyDescent="0.15">
      <c r="A32" s="39" t="str">
        <f t="shared" si="4"/>
        <v>48101007_48101029</v>
      </c>
      <c r="B32" s="106">
        <v>48101007</v>
      </c>
      <c r="C32" s="114">
        <v>48101029</v>
      </c>
      <c r="D32" s="130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邪魔をされている間にも…仲間たちは…</v>
      </c>
      <c r="E32" s="130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「「「ひどい目にあっているかもしれないんだ！」」」</v>
      </c>
      <c r="F32" s="114">
        <v>48101031</v>
      </c>
      <c r="G32" s="120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120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120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120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20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20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120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120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20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106"/>
      <c r="Q32" s="106"/>
      <c r="R32" s="106"/>
    </row>
    <row r="33" spans="1:18" ht="21" customHeight="1" x14ac:dyDescent="0.15">
      <c r="A33" s="39" t="str">
        <f t="shared" si="4"/>
        <v>48101007_48101030</v>
      </c>
      <c r="B33" s="47">
        <v>48101007</v>
      </c>
      <c r="C33" s="114">
        <v>48101030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痛いのをお見舞いだ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3" s="115">
        <v>48101032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3" s="47"/>
      <c r="Q33" s="47"/>
      <c r="R33" s="47"/>
    </row>
    <row r="34" spans="1:18" ht="21" customHeight="1" x14ac:dyDescent="0.15">
      <c r="A34" s="39" t="str">
        <f t="shared" si="4"/>
        <v>48101007_48101031</v>
      </c>
      <c r="B34" s="47">
        <v>48101007</v>
      </c>
      <c r="C34" s="114">
        <v>48101031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いっぱい装填するよ…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34" s="115">
        <v>48101033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48101007_48101032</v>
      </c>
      <c r="B35" s="47">
        <v>48101007</v>
      </c>
      <c r="C35" s="114">
        <v>48101032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砲撃の雨だぜ！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5" s="115">
        <v>48101034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4"/>
        <v>48101007_48101031</v>
      </c>
      <c r="B36" s="47">
        <v>48101007</v>
      </c>
      <c r="C36" s="114">
        <v>48101031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いっぱい装填するよ…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36" s="115">
        <v>48101035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4"/>
        <v>48101007_48101032</v>
      </c>
      <c r="B37" s="47">
        <v>48101007</v>
      </c>
      <c r="C37" s="114">
        <v>48101032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砲撃の雨だぜ！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7" s="117">
        <v>48101036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4"/>
        <v>48101007_48101031</v>
      </c>
      <c r="B38" s="47">
        <v>48101007</v>
      </c>
      <c r="C38" s="114">
        <v>48101031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いっぱい装填するよ…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38" s="115">
        <v>48101037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48101007_48101032</v>
      </c>
      <c r="B39" s="47">
        <v>48101007</v>
      </c>
      <c r="C39" s="114">
        <v>48101032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砲撃の雨だぜ！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9" s="115">
        <v>48101038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thickBot="1" x14ac:dyDescent="0.2">
      <c r="A40" s="39" t="str">
        <f t="shared" si="4"/>
        <v>48101007_48101033</v>
      </c>
      <c r="B40" s="107">
        <v>48101007</v>
      </c>
      <c r="C40" s="116">
        <v>48101033</v>
      </c>
      <c r="D40" s="131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スナイプショット</v>
      </c>
      <c r="E40" s="131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特定エリアをお邪魔パネルに変換+_x000D_2ターン全ユニットの攻撃力20%DOWN</v>
      </c>
      <c r="F40" s="116">
        <v>48101039</v>
      </c>
      <c r="G40" s="121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121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121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21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21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0" s="121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121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0" s="121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121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07"/>
      <c r="Q40" s="107"/>
      <c r="R40" s="107"/>
    </row>
    <row r="41" spans="1:18" ht="21" customHeight="1" x14ac:dyDescent="0.15">
      <c r="A41" s="39" t="str">
        <f t="shared" si="4"/>
        <v>48101007_48101034</v>
      </c>
      <c r="B41" s="106">
        <v>48101007</v>
      </c>
      <c r="C41" s="114">
        <v>48101034</v>
      </c>
      <c r="D41" s="130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回復はおいらに任せろ</v>
      </c>
      <c r="E41" s="130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ハートパネルを吸収して回復(最大5個)</v>
      </c>
      <c r="F41" s="114">
        <v>48101040</v>
      </c>
      <c r="G41" s="120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120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1" s="120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1" s="120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120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20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120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120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120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1" s="106"/>
      <c r="Q41" s="106"/>
      <c r="R41" s="106"/>
    </row>
    <row r="42" spans="1:18" ht="21" customHeight="1" x14ac:dyDescent="0.15">
      <c r="A42" s="39" t="str">
        <f t="shared" si="4"/>
        <v>48101007_48101035</v>
      </c>
      <c r="B42" s="47">
        <v>48101007</v>
      </c>
      <c r="C42" s="114">
        <v>48101035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相手の回復力を奪うぜ！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1ターンハートパネルを吸収して_x000D_全ユニットの回復力を90%DOWN</v>
      </c>
      <c r="F42" s="115">
        <v>48101041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2" s="47"/>
      <c r="Q42" s="47"/>
      <c r="R42" s="47"/>
    </row>
    <row r="43" spans="1:18" ht="21" customHeight="1" x14ac:dyDescent="0.15">
      <c r="A43" s="39" t="str">
        <f t="shared" si="4"/>
        <v>48101007_48101036</v>
      </c>
      <c r="B43" s="47">
        <v>48101007</v>
      </c>
      <c r="C43" s="114">
        <v>48101036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俺たちの結束を見せる時！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3" s="117">
        <v>48101042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4"/>
        <v>48101007_48101037</v>
      </c>
      <c r="B44" s="47">
        <v>48101007</v>
      </c>
      <c r="C44" s="114">
        <v>48101037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ああ、間違えた…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お邪魔パネルを青パネルに変換</v>
      </c>
      <c r="F44" s="117">
        <v>48101043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4"/>
        <v>48101007_48101038</v>
      </c>
      <c r="B45" s="47">
        <v>48101007</v>
      </c>
      <c r="C45" s="114">
        <v>48101038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「「「燃え上がれコンビネーション！！！」」」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5" s="117">
        <v>48101044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thickBot="1" x14ac:dyDescent="0.2">
      <c r="A46" s="39" t="str">
        <f t="shared" si="4"/>
        <v>48101007_48101039</v>
      </c>
      <c r="B46" s="107">
        <v>48101007</v>
      </c>
      <c r="C46" s="116">
        <v>48101039</v>
      </c>
      <c r="D46" s="131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え、あいつら仲間じゃないの？</v>
      </c>
      <c r="E46" s="131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「「「て、撤退なりー」」」</v>
      </c>
      <c r="F46" s="116">
        <v>48101045</v>
      </c>
      <c r="G46" s="121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21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121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21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21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21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121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21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121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07"/>
      <c r="Q46" s="107"/>
      <c r="R46" s="107"/>
    </row>
    <row r="47" spans="1:18" ht="21" customHeight="1" x14ac:dyDescent="0.15">
      <c r="A47" s="39" t="str">
        <f t="shared" si="4"/>
        <v>48101008_48101040</v>
      </c>
      <c r="B47" s="106">
        <v>48101008</v>
      </c>
      <c r="C47" s="118">
        <v>48101040</v>
      </c>
      <c r="D47" s="130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あなたも動物になりに来たのかしら？</v>
      </c>
      <c r="E47" s="130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47" s="118">
        <v>48101046</v>
      </c>
      <c r="G47" s="120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120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7" s="120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20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20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20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20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20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20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06"/>
      <c r="Q47" s="106"/>
      <c r="R47" s="106"/>
    </row>
    <row r="48" spans="1:18" ht="21" customHeight="1" x14ac:dyDescent="0.15">
      <c r="A48" s="39" t="str">
        <f t="shared" si="4"/>
        <v>48101008_48101041</v>
      </c>
      <c r="B48" s="47">
        <v>48101008</v>
      </c>
      <c r="C48" s="118">
        <v>48101041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メディア…！　なんでここにいる？！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48" s="118">
        <v>48101047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4"/>
        <v>48101008_48101042</v>
      </c>
      <c r="B49" s="47">
        <v>48101008</v>
      </c>
      <c r="C49" s="118">
        <v>48101042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預言者か…私を倒せると思うの？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49" s="118">
        <v>48101048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" si="6">B50&amp;"_"&amp;C50</f>
        <v>48101008_48101043</v>
      </c>
      <c r="B50" s="47">
        <v>48101008</v>
      </c>
      <c r="C50" s="118">
        <v>48101043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偽りの魔女め、まさか犯人は君じゃないだろうね？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50" s="118">
        <v>48101049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4"/>
        <v>48101008_48101044</v>
      </c>
      <c r="B51" s="47">
        <v>48101008</v>
      </c>
      <c r="C51" s="118">
        <v>48101044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不愉快ね！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1" s="118">
        <v>48101050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1" s="47"/>
      <c r="Q51" s="47"/>
      <c r="R51" s="47"/>
    </row>
    <row r="52" spans="1:18" ht="21" customHeight="1" x14ac:dyDescent="0.15">
      <c r="A52" s="39" t="str">
        <f t="shared" si="4"/>
        <v>48101008_48101045</v>
      </c>
      <c r="B52" s="47">
        <v>48101008</v>
      </c>
      <c r="C52" s="118">
        <v>48101045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吸い取ってあげる！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52" s="118">
        <v>48101051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2" s="47"/>
      <c r="Q52" s="47"/>
      <c r="R52" s="47"/>
    </row>
    <row r="53" spans="1:18" ht="21" customHeight="1" x14ac:dyDescent="0.15">
      <c r="A53" s="39" t="str">
        <f t="shared" si="4"/>
        <v>48101008_48101046</v>
      </c>
      <c r="B53" s="47">
        <v>48101008</v>
      </c>
      <c r="C53" s="118">
        <v>48101046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ほら、変えてあげるわ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53" s="118">
        <v>48101052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4"/>
        <v>48101008_48101047</v>
      </c>
      <c r="B54" s="47">
        <v>48101008</v>
      </c>
      <c r="C54" s="118">
        <v>48101047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そんなところにあるのがダメなのよ！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2ターンお邪魔パネルを吸収して_x000D_全ユニットの攻撃力40%DOWN</v>
      </c>
      <c r="F54" s="118">
        <v>48101053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thickBot="1" x14ac:dyDescent="0.2">
      <c r="A55" s="39" t="str">
        <f t="shared" si="4"/>
        <v>48101008_48101048</v>
      </c>
      <c r="B55" s="107">
        <v>48101008</v>
      </c>
      <c r="C55" s="119">
        <v>48101048</v>
      </c>
      <c r="D55" s="131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ジェネラリィ・リィンフォース</v>
      </c>
      <c r="E55" s="131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全体攻撃+_x000D_お邪魔パネルを吸収して攻撃力UP</v>
      </c>
      <c r="F55" s="119">
        <v>48101054</v>
      </c>
      <c r="G55" s="121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121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121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21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21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21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21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5" s="121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121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07"/>
      <c r="Q55" s="107"/>
      <c r="R55" s="107"/>
    </row>
    <row r="56" spans="1:18" ht="21" customHeight="1" x14ac:dyDescent="0.15">
      <c r="A56" s="39" t="str">
        <f t="shared" ref="A56:A64" si="7">B56&amp;"_"&amp;C56</f>
        <v>48101009_48101049</v>
      </c>
      <c r="B56" s="106">
        <v>48101009</v>
      </c>
      <c r="C56" s="118">
        <v>48101049</v>
      </c>
      <c r="D56" s="130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私を本気にさせたわね！</v>
      </c>
      <c r="E56" s="130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状態異常耐性+_x000D_特定エリアをお邪魔パネルに変換+_x000D_特定エリアを緑パネルに変換</v>
      </c>
      <c r="F56" s="118">
        <v>48101055</v>
      </c>
      <c r="G56" s="120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120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120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120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120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120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120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120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120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106"/>
      <c r="Q56" s="106"/>
      <c r="R56" s="106"/>
    </row>
    <row r="57" spans="1:18" ht="21" customHeight="1" x14ac:dyDescent="0.15">
      <c r="A57" s="39" t="str">
        <f t="shared" si="7"/>
        <v>48101009_48101050</v>
      </c>
      <c r="B57" s="47">
        <v>48101009</v>
      </c>
      <c r="C57" s="118">
        <v>48101050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フォースラッシュ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57" s="118">
        <v>48101056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7" s="47"/>
      <c r="Q57" s="47"/>
      <c r="R57" s="47"/>
    </row>
    <row r="58" spans="1:18" ht="21" customHeight="1" x14ac:dyDescent="0.15">
      <c r="A58" s="39" t="str">
        <f t="shared" si="7"/>
        <v>48101009_48101051</v>
      </c>
      <c r="B58" s="47">
        <v>48101009</v>
      </c>
      <c r="C58" s="118">
        <v>48101051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そこは私の領域よ！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特定エリアを青と赤の時限式ダメージパネルに変換</v>
      </c>
      <c r="F58" s="118">
        <v>48101057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8" s="47"/>
      <c r="Q58" s="47"/>
      <c r="R58" s="47"/>
    </row>
    <row r="59" spans="1:18" ht="21" customHeight="1" x14ac:dyDescent="0.15">
      <c r="A59" s="39" t="str">
        <f t="shared" si="7"/>
        <v>48101009_48101052</v>
      </c>
      <c r="B59" s="47">
        <v>48101009</v>
      </c>
      <c r="C59" s="118">
        <v>48101052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ほら、変えてあげるわ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59" s="118">
        <v>48101058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7"/>
        <v>48101009_48101053</v>
      </c>
      <c r="B60" s="47">
        <v>48101009</v>
      </c>
      <c r="C60" s="118">
        <v>48101053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邪魔をしないで！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クリティカル！+_x000D_特定エリアをお邪魔パネルに変換</v>
      </c>
      <c r="F60" s="118">
        <v>48101059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7"/>
        <v>48101009_48101054</v>
      </c>
      <c r="B61" s="47">
        <v>48101009</v>
      </c>
      <c r="C61" s="118">
        <v>48101054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あなたもどうせ私を…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クリティカル！+_x000D_特定エリアをお邪魔パネルに変換</v>
      </c>
      <c r="F61" s="118">
        <v>48101060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7"/>
        <v>48101009_48101055</v>
      </c>
      <c r="B62" s="47">
        <v>48101009</v>
      </c>
      <c r="C62" s="118">
        <v>48101055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もう来ないで！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62" s="118">
        <v>48101061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7"/>
        <v>48101009_48101056</v>
      </c>
      <c r="B63" s="47">
        <v>48101009</v>
      </c>
      <c r="C63" s="118">
        <v>48101056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ジェネラリィブレイク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63" s="118">
        <v>48101062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7"/>
        <v>48101009_48101055</v>
      </c>
      <c r="B64" s="47">
        <v>48101009</v>
      </c>
      <c r="C64" s="118">
        <v>48101055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もう来ないで！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64" s="118">
        <v>48101063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ref="A65:A128" si="8">B65&amp;"_"&amp;C65</f>
        <v>48101009_48101056</v>
      </c>
      <c r="B65" s="47">
        <v>48101009</v>
      </c>
      <c r="C65" s="118">
        <v>48101056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ジェネラリィブレイク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65" s="118">
        <v>48101064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8"/>
        <v>48101009_48101055</v>
      </c>
      <c r="B66" s="47">
        <v>48101009</v>
      </c>
      <c r="C66" s="118">
        <v>48101055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もう来ないで！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66" s="118">
        <v>48101065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8"/>
        <v>48101009_48101056</v>
      </c>
      <c r="B67" s="47">
        <v>48101009</v>
      </c>
      <c r="C67" s="118">
        <v>48101056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ジェネラリィブレイク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67" s="118">
        <v>48101066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16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8"/>
        <v>48101009_48101057</v>
      </c>
      <c r="B68" s="47">
        <v>48101009</v>
      </c>
      <c r="C68" s="127">
        <v>48101057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なによ…オデッセイ…その眼は…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そう、わかったわ…あなたの言うとおりね…</v>
      </c>
      <c r="F68" s="127">
        <v>48101067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8"/>
        <v>48101009_48101058</v>
      </c>
      <c r="B69" s="47">
        <v>48101009</v>
      </c>
      <c r="C69" s="127">
        <v>48101058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娘の手で散ったか…これも運命ですね…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69" s="127">
        <v>48101068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ref="A70" si="9">B70&amp;"_"&amp;C70</f>
        <v>48101009_48101059</v>
      </c>
      <c r="B70" s="47">
        <v>48101009</v>
      </c>
      <c r="C70" s="127">
        <v>48101059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予言の力は素晴らしい...私も欲しくなってきたわ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0" s="118">
        <v>48101069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thickBot="1" x14ac:dyDescent="0.2">
      <c r="A71" s="39" t="str">
        <f t="shared" si="8"/>
        <v>48101009_48101060</v>
      </c>
      <c r="B71" s="107">
        <v>48101009</v>
      </c>
      <c r="C71" s="119">
        <v>48101060</v>
      </c>
      <c r="D71" s="131" t="str">
        <f ca="1">VLOOKUP($C71,OFFSET(enemy_skills!$A$1,0,0,COUNTA(enemy_skills!$A:$A),MATCH(D$1,enemy_skills!$1:$1,0)-MATCH("enemy_skill_id",enemy_skills!$1:$1,0)+1),MATCH(D$1,enemy_skills!$1:$1,0)-MATCH("enemy_skill_id",enemy_skills!$1:$1,0)+1,FALSE)</f>
        <v>魔女はこれほどの力があるとは....</v>
      </c>
      <c r="E71" s="131" t="str">
        <f ca="1">VLOOKUP($C71,OFFSET(enemy_skills!$A$1,0,0,COUNTA(enemy_skills!$A:$A),MATCH(E$1,enemy_skills!$1:$1,0)-MATCH("enemy_skill_id",enemy_skills!$1:$1,0)+1),MATCH(E$1,enemy_skills!$1:$1,0)-MATCH("enemy_skill_id",enemy_skills!$1:$1,0)+1,FALSE)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1" s="119">
        <v>48101070</v>
      </c>
      <c r="G71" s="121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121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71" s="121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21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121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21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121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121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71" s="121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107"/>
      <c r="Q71" s="107"/>
      <c r="R71" s="107"/>
    </row>
    <row r="72" spans="1:18" ht="21" customHeight="1" x14ac:dyDescent="0.15">
      <c r="A72" s="39" t="str">
        <f t="shared" si="8"/>
        <v>48101010_48101061</v>
      </c>
      <c r="B72" s="47">
        <v>48101010</v>
      </c>
      <c r="C72" s="108">
        <v>48101061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なんだあの魔女は…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！　あの魔女の仲間か！？</v>
      </c>
      <c r="F72" s="108">
        <v>48101071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 t="str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8"/>
        <v>48101010_48101062</v>
      </c>
      <c r="B73" s="47">
        <v>48101010</v>
      </c>
      <c r="C73" s="108">
        <v>48101062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なんだってこんなことに…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オーズは頭を抱えている</v>
      </c>
      <c r="F73" s="108">
        <v>48101072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73" s="47"/>
      <c r="Q73" s="47"/>
      <c r="R73" s="47"/>
    </row>
    <row r="74" spans="1:18" ht="21" customHeight="1" x14ac:dyDescent="0.15">
      <c r="A74" s="39" t="str">
        <f t="shared" si="8"/>
        <v>48101010_48101063</v>
      </c>
      <c r="B74" s="47">
        <v>48101010</v>
      </c>
      <c r="C74" s="108">
        <v>48101063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あっちに行け！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4" s="108">
        <v>48101073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 t="str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thickBot="1" x14ac:dyDescent="0.2">
      <c r="A75" s="39" t="str">
        <f t="shared" si="8"/>
        <v>48101010_48101064</v>
      </c>
      <c r="B75" s="107">
        <v>48101010</v>
      </c>
      <c r="C75" s="109">
        <v>48101064</v>
      </c>
      <c r="D75" s="131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すまない、誤解をしていたようだ…</v>
      </c>
      <c r="E75" s="131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これは侘びの品だ！気をつけて魔女に挑んでくれ！_x000D_【ボムの爆風を20%UP】</v>
      </c>
      <c r="F75" s="109">
        <v>48101074</v>
      </c>
      <c r="G75" s="121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121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5" s="121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121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5" s="121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121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121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121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121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107"/>
      <c r="Q75" s="107"/>
      <c r="R75" s="107"/>
    </row>
    <row r="76" spans="1:18" ht="21" customHeight="1" x14ac:dyDescent="0.15">
      <c r="A76" s="39" t="str">
        <f t="shared" si="8"/>
        <v>48101011_48101065</v>
      </c>
      <c r="B76" s="106">
        <v>48101011</v>
      </c>
      <c r="C76" s="110">
        <v>48101065</v>
      </c>
      <c r="D76" s="130" t="str">
        <f ca="1">VLOOKUP($C76,OFFSET(enemy_skills!$A$1,0,0,COUNTA(enemy_skills!$A:$A),MATCH(D$1,enemy_skills!$1:$1,0)-MATCH("enemy_skill_id",enemy_skills!$1:$1,0)+1),MATCH(D$1,enemy_skills!$1:$1,0)-MATCH("enemy_skill_id",enemy_skills!$1:$1,0)+1,FALSE)</f>
        <v>何かを言いたそうにしている</v>
      </c>
      <c r="E76" s="130" t="str">
        <f ca="1">VLOOKUP($C76,OFFSET(enemy_skills!$A$1,0,0,COUNTA(enemy_skills!$A:$A),MATCH(E$1,enemy_skills!$1:$1,0)-MATCH("enemy_skill_id",enemy_skills!$1:$1,0)+1),MATCH(E$1,enemy_skills!$1:$1,0)-MATCH("enemy_skill_id",enemy_skills!$1:$1,0)+1,FALSE)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6" s="110">
        <v>48101075</v>
      </c>
      <c r="G76" s="120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120" t="str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6" s="120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120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120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120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120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120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120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106"/>
      <c r="Q76" s="106"/>
      <c r="R76" s="106"/>
    </row>
    <row r="77" spans="1:18" ht="21" customHeight="1" x14ac:dyDescent="0.15">
      <c r="A77" s="39" t="str">
        <f t="shared" si="8"/>
        <v>48101011_48101066</v>
      </c>
      <c r="B77" s="106">
        <v>48101011</v>
      </c>
      <c r="C77" s="110">
        <v>48101066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ブルー・リバーサル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青パネルをお邪魔パネルに7個変換+_x000D_赤パネルを青パネルに変換</v>
      </c>
      <c r="F77" s="110">
        <v>48101076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8"/>
        <v>48101011_48101067</v>
      </c>
      <c r="B78" s="106">
        <v>48101011</v>
      </c>
      <c r="C78" s="110">
        <v>48101067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スプラッシュスライサー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青パネルを吸収して攻撃(最大5個)</v>
      </c>
      <c r="F78" s="110">
        <v>48101077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thickBot="1" x14ac:dyDescent="0.2">
      <c r="A79" s="39" t="str">
        <f t="shared" si="8"/>
        <v>48101011_48101068</v>
      </c>
      <c r="B79" s="107">
        <v>48101011</v>
      </c>
      <c r="C79" s="112">
        <v>48101068</v>
      </c>
      <c r="D79" s="131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ブルーシールド</v>
      </c>
      <c r="E79" s="131" t="str">
        <f ca="1">VLOOKUP($C79,OFFSET(enemy_skills!$A$1,0,0,COUNTA(enemy_skills!$A:$A),MATCH(E$1,enemy_skills!$1:$1,0)-MATCH("enemy_skill_id",enemy_skills!$1:$1,0)+1),MATCH(E$1,enemy_skills!$1:$1,0)-MATCH("enemy_skill_id",enemy_skills!$1:$1,0)+1,FALSE)</f>
        <v>2ターン青パネルを吸収して防御力UP(最大5個)</v>
      </c>
      <c r="F79" s="112">
        <v>48101078</v>
      </c>
      <c r="G79" s="121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121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9" s="121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121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121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121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121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9" s="121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121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107"/>
      <c r="Q79" s="107"/>
      <c r="R79" s="107"/>
    </row>
    <row r="80" spans="1:18" ht="21" customHeight="1" x14ac:dyDescent="0.15">
      <c r="A80" s="39" t="str">
        <f t="shared" si="8"/>
        <v>48101012_48101069</v>
      </c>
      <c r="B80" s="106">
        <v>48101012</v>
      </c>
      <c r="C80" s="110">
        <v>48101069</v>
      </c>
      <c r="D80" s="130" t="str">
        <f ca="1">VLOOKUP($C80,OFFSET(enemy_skills!$A$1,0,0,COUNTA(enemy_skills!$A:$A),MATCH(D$1,enemy_skills!$1:$1,0)-MATCH("enemy_skill_id",enemy_skills!$1:$1,0)+1),MATCH(D$1,enemy_skills!$1:$1,0)-MATCH("enemy_skill_id",enemy_skills!$1:$1,0)+1,FALSE)</f>
        <v>魔女の仲間じゃないのね…！</v>
      </c>
      <c r="E80" s="130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お願い、私を動物にした魔女を倒して！_x000D_【4ターン全ユニットの攻撃力UP】</v>
      </c>
      <c r="F80" s="110">
        <v>48101079</v>
      </c>
      <c r="G80" s="120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120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0" s="120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120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120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120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120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120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120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106"/>
      <c r="Q80" s="106"/>
      <c r="R80" s="106"/>
    </row>
    <row r="81" spans="1:18" ht="21" customHeight="1" x14ac:dyDescent="0.15">
      <c r="A81" s="39" t="str">
        <f t="shared" si="8"/>
        <v>48101012_48101070</v>
      </c>
      <c r="B81" s="106">
        <v>48101012</v>
      </c>
      <c r="C81" s="110">
        <v>48101070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魔女の仲間じゃないのね…！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お願い、私を動物にした魔女を倒して！_x000D_【確率で赤パネルがボムパネルとしてドロップ】</v>
      </c>
      <c r="F81" s="110">
        <v>48101080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8"/>
        <v>48101012_48101071</v>
      </c>
      <c r="B82" s="106">
        <v>48101012</v>
      </c>
      <c r="C82" s="110">
        <v>48101071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魔女の仲間じゃないのね…！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お願い、私を動物にした魔女を倒して！_x000D_【確率で青パネルがボムパネルとしてドロップ】</v>
      </c>
      <c r="F82" s="110">
        <v>48101081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thickBot="1" x14ac:dyDescent="0.2">
      <c r="A83" s="39" t="str">
        <f t="shared" si="8"/>
        <v>48101012_48101072</v>
      </c>
      <c r="B83" s="107">
        <v>48101012</v>
      </c>
      <c r="C83" s="112">
        <v>48101072</v>
      </c>
      <c r="D83" s="148" t="str">
        <f ca="1">VLOOKUP($C83,OFFSET(enemy_skills!$A$1,0,0,COUNTA(enemy_skills!$A:$A),MATCH(D$1,enemy_skills!$1:$1,0)-MATCH("enemy_skill_id",enemy_skills!$1:$1,0)+1),MATCH(D$1,enemy_skills!$1:$1,0)-MATCH("enemy_skill_id",enemy_skills!$1:$1,0)+1,FALSE)</f>
        <v>魔女の仲間じゃないのね…！</v>
      </c>
      <c r="E83" s="148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お願い、私を動物にした魔女を倒して！_x000D_【8ターン全ユニットの防御力UP】</v>
      </c>
      <c r="F83" s="112">
        <v>48101082</v>
      </c>
      <c r="G83" s="145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145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3" s="145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145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145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145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145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145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83" s="145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141"/>
      <c r="Q83" s="141"/>
      <c r="R83" s="141"/>
    </row>
    <row r="84" spans="1:18" ht="21" customHeight="1" x14ac:dyDescent="0.15">
      <c r="A84" s="39" t="str">
        <f t="shared" si="8"/>
        <v>48101013_48101073</v>
      </c>
      <c r="B84" s="106">
        <v>48101013</v>
      </c>
      <c r="C84" s="110">
        <v>48101073</v>
      </c>
      <c r="D84" s="130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ユニコーンは混乱している！</v>
      </c>
      <c r="E84" s="130" t="str">
        <f ca="1">VLOOKUP($C84,OFFSET(enemy_skills!$A$1,0,0,COUNTA(enemy_skills!$A:$A),MATCH(E$1,enemy_skills!$1:$1,0)-MATCH("enemy_skill_id",enemy_skills!$1:$1,0)+1),MATCH(E$1,enemy_skills!$1:$1,0)-MATCH("enemy_skill_id",enemy_skills!$1:$1,0)+1,FALSE)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4" s="110">
        <v>48101083</v>
      </c>
      <c r="G84" s="120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120" t="str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4" s="120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120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120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120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120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120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120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106"/>
      <c r="Q84" s="106"/>
      <c r="R84" s="106"/>
    </row>
    <row r="85" spans="1:18" ht="21" customHeight="1" x14ac:dyDescent="0.15">
      <c r="A85" s="39" t="str">
        <f t="shared" si="8"/>
        <v>48101013_48101074</v>
      </c>
      <c r="B85" s="106">
        <v>48101013</v>
      </c>
      <c r="C85" s="110">
        <v>48101074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ユニコーンは思案している…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5" s="110">
        <v>48101084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5" s="47"/>
      <c r="Q85" s="47"/>
      <c r="R85" s="47"/>
    </row>
    <row r="86" spans="1:18" ht="21" customHeight="1" x14ac:dyDescent="0.15">
      <c r="A86" s="39" t="str">
        <f t="shared" si="8"/>
        <v>48101013_48101075</v>
      </c>
      <c r="B86" s="106">
        <v>48101013</v>
      </c>
      <c r="C86" s="110">
        <v>48101075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スタンプジャマー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単体攻撃+_x000D_ランダムでお邪魔パネルに最大3個変換</v>
      </c>
      <c r="F86" s="110">
        <v>48101085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8"/>
        <v>48101013_48101076</v>
      </c>
      <c r="B87" s="106">
        <v>48101013</v>
      </c>
      <c r="C87" s="110">
        <v>48101076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トルネードホーン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7" s="110">
        <v>48101086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8"/>
        <v>48101013_48101077</v>
      </c>
      <c r="B88" s="106">
        <v>48101013</v>
      </c>
      <c r="C88" s="110">
        <v>48101077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狙いを定めている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88" s="110">
        <v>48101087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8"/>
        <v>48101013_48101078</v>
      </c>
      <c r="B89" s="106">
        <v>48101013</v>
      </c>
      <c r="C89" s="110">
        <v>48101078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ブレイキングジャマー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89" s="110">
        <v>48101088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8"/>
        <v>48101013_48101077</v>
      </c>
      <c r="B90" s="106">
        <v>48101013</v>
      </c>
      <c r="C90" s="110">
        <v>48101077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狙いを定めている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90" s="110">
        <v>48101089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8"/>
        <v>48101013_48101078</v>
      </c>
      <c r="B91" s="106">
        <v>48101013</v>
      </c>
      <c r="C91" s="110">
        <v>48101078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ブレイキングジャマー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91" s="110">
        <v>48101090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thickBot="1" x14ac:dyDescent="0.2">
      <c r="A92" s="39" t="str">
        <f t="shared" si="8"/>
        <v>48101013_48101079</v>
      </c>
      <c r="B92" s="107">
        <v>48101013</v>
      </c>
      <c r="C92" s="112">
        <v>48101079</v>
      </c>
      <c r="D92" s="131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ユニコーンは疲れている！</v>
      </c>
      <c r="E92" s="131" t="str">
        <f ca="1">VLOOKUP($C92,OFFSET(enemy_skills!$A$1,0,0,COUNTA(enemy_skills!$A:$A),MATCH(E$1,enemy_skills!$1:$1,0)-MATCH("enemy_skill_id",enemy_skills!$1:$1,0)+1),MATCH(E$1,enemy_skills!$1:$1,0)-MATCH("enemy_skill_id",enemy_skills!$1:$1,0)+1,FALSE)</f>
        <v>3ターンユニコーンの行動頻度DOWN</v>
      </c>
      <c r="F92" s="112">
        <v>48101091</v>
      </c>
      <c r="G92" s="121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121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2" s="121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121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2" s="121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121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121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121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121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107"/>
      <c r="Q92" s="107"/>
      <c r="R92" s="107"/>
    </row>
    <row r="93" spans="1:18" ht="21" customHeight="1" x14ac:dyDescent="0.15">
      <c r="A93" s="39" t="str">
        <f t="shared" si="8"/>
        <v>48101014_48101080</v>
      </c>
      <c r="B93" s="106">
        <v>48101014</v>
      </c>
      <c r="C93" s="110">
        <v>48101080</v>
      </c>
      <c r="D93" s="130" t="str">
        <f ca="1">VLOOKUP($C93,OFFSET(enemy_skills!$A$1,0,0,COUNTA(enemy_skills!$A:$A),MATCH(D$1,enemy_skills!$1:$1,0)-MATCH("enemy_skill_id",enemy_skills!$1:$1,0)+1),MATCH(D$1,enemy_skills!$1:$1,0)-MATCH("enemy_skill_id",enemy_skills!$1:$1,0)+1,FALSE)</f>
        <v>助かったヨー！</v>
      </c>
      <c r="E93" s="130" t="str">
        <f ca="1">VLOOKUP($C93,OFFSET(enemy_skills!$A$1,0,0,COUNTA(enemy_skills!$A:$A),MATCH(E$1,enemy_skills!$1:$1,0)-MATCH("enemy_skill_id",enemy_skills!$1:$1,0)+1),MATCH(E$1,enemy_skills!$1:$1,0)-MATCH("enemy_skill_id",enemy_skills!$1:$1,0)+1,FALSE)</f>
        <v>魔女は豚を引き連れてあっちにいったネ！_x000D_【4ターン全ユニットの防御力UP】</v>
      </c>
      <c r="F93" s="110">
        <v>48101092</v>
      </c>
      <c r="G93" s="120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120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3" s="120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120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120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120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120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120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120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106"/>
      <c r="Q93" s="106"/>
      <c r="R93" s="106"/>
    </row>
    <row r="94" spans="1:18" ht="21" customHeight="1" x14ac:dyDescent="0.15">
      <c r="A94" s="39" t="str">
        <f t="shared" si="8"/>
        <v>48101014_48101081</v>
      </c>
      <c r="B94" s="106">
        <v>48101014</v>
      </c>
      <c r="C94" s="110">
        <v>48101081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助かったヨー！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魔女は豚を引き連れてあっちにいったネ！_x000D_【8ターンCパネル生成短縮(効果特大)】</v>
      </c>
      <c r="F94" s="110">
        <v>48101093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8"/>
        <v>48101014_48101082</v>
      </c>
      <c r="B95" s="106">
        <v>48101014</v>
      </c>
      <c r="C95" s="110">
        <v>48101082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助かったヨー！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魔女は豚を引き連れてあっちにいったネ！_x000D_【8ターン全ユニットの防御力UP】</v>
      </c>
      <c r="F95" s="110">
        <v>48101094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thickBot="1" x14ac:dyDescent="0.2">
      <c r="A96" s="39" t="str">
        <f t="shared" si="8"/>
        <v>48101014_48101083</v>
      </c>
      <c r="B96" s="107">
        <v>48101014</v>
      </c>
      <c r="C96" s="112">
        <v>48101083</v>
      </c>
      <c r="D96" s="148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助かったヨー！</v>
      </c>
      <c r="E96" s="148" t="str">
        <f ca="1">VLOOKUP($C96,OFFSET(enemy_skills!$A$1,0,0,COUNTA(enemy_skills!$A:$A),MATCH(E$1,enemy_skills!$1:$1,0)-MATCH("enemy_skill_id",enemy_skills!$1:$1,0)+1),MATCH(E$1,enemy_skills!$1:$1,0)-MATCH("enemy_skill_id",enemy_skills!$1:$1,0)+1,FALSE)</f>
        <v>魔女は豚を引き連れてあっちにいったネ！_x000D_【8ターン全ユニットの攻撃力UP】</v>
      </c>
      <c r="F96" s="112">
        <v>48101095</v>
      </c>
      <c r="G96" s="145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145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6" s="145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145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145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145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145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145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96" s="145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141"/>
      <c r="Q96" s="141"/>
      <c r="R96" s="141"/>
    </row>
    <row r="97" spans="1:18" ht="21" customHeight="1" x14ac:dyDescent="0.15">
      <c r="A97" s="39" t="str">
        <f t="shared" si="8"/>
        <v>48101015_48101084</v>
      </c>
      <c r="B97" s="106">
        <v>48101015</v>
      </c>
      <c r="C97" s="114">
        <v>48101084</v>
      </c>
      <c r="D97" s="130" t="str">
        <f ca="1">VLOOKUP($C97,OFFSET(enemy_skills!$A$1,0,0,COUNTA(enemy_skills!$A:$A),MATCH(D$1,enemy_skills!$1:$1,0)-MATCH("enemy_skill_id",enemy_skills!$1:$1,0)+1),MATCH(D$1,enemy_skills!$1:$1,0)-MATCH("enemy_skill_id",enemy_skills!$1:$1,0)+1,FALSE)</f>
        <v>囚われた仲間を助けるため、砲撃を敢行する</v>
      </c>
      <c r="E97" s="130" t="str">
        <f ca="1">VLOOKUP($C97,OFFSET(enemy_skills!$A$1,0,0,COUNTA(enemy_skills!$A:$A),MATCH(E$1,enemy_skills!$1:$1,0)-MATCH("enemy_skill_id",enemy_skills!$1:$1,0)+1),MATCH(E$1,enemy_skills!$1:$1,0)-MATCH("enemy_skill_id",enemy_skills!$1:$1,0)+1,FALSE)</f>
        <v>低確率でお邪魔パネルがドロップ</v>
      </c>
      <c r="F97" s="114">
        <v>48101096</v>
      </c>
      <c r="G97" s="120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120" t="str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7" s="120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120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120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120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120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120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120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106"/>
      <c r="Q97" s="106"/>
      <c r="R97" s="106"/>
    </row>
    <row r="98" spans="1:18" ht="21" customHeight="1" x14ac:dyDescent="0.15">
      <c r="A98" s="39" t="str">
        <f t="shared" si="8"/>
        <v>48101015_48101085</v>
      </c>
      <c r="B98" s="106">
        <v>48101015</v>
      </c>
      <c r="C98" s="114">
        <v>48101085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全砲門開けー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8" s="114">
        <v>48101097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8" s="47"/>
      <c r="Q98" s="47"/>
      <c r="R98" s="47"/>
    </row>
    <row r="99" spans="1:18" ht="21" customHeight="1" x14ac:dyDescent="0.15">
      <c r="A99" s="39" t="str">
        <f t="shared" si="8"/>
        <v>48101015_48101086</v>
      </c>
      <c r="B99" s="106">
        <v>48101015</v>
      </c>
      <c r="C99" s="114">
        <v>48101086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ターゲット・ワン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99" s="114">
        <v>48101098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8"/>
        <v>48101015_48101087</v>
      </c>
      <c r="B100" s="106">
        <v>48101015</v>
      </c>
      <c r="C100" s="114">
        <v>48101087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装填急がないと…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100" s="114">
        <v>48101099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thickBot="1" x14ac:dyDescent="0.2">
      <c r="A101" s="39" t="str">
        <f t="shared" si="8"/>
        <v>48101015_48101088</v>
      </c>
      <c r="B101" s="107">
        <v>48101015</v>
      </c>
      <c r="C101" s="116">
        <v>48101088</v>
      </c>
      <c r="D101" s="131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攻めるぜ！攻めるぜ〜！！</v>
      </c>
      <c r="E101" s="131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1ターンお邪魔パネルを吸収して行動頻度UP</v>
      </c>
      <c r="F101" s="116">
        <v>48101100</v>
      </c>
      <c r="G101" s="121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121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1" s="121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121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121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121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121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1" s="121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121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107"/>
      <c r="Q101" s="107"/>
      <c r="R101" s="107"/>
    </row>
    <row r="102" spans="1:18" ht="21" customHeight="1" x14ac:dyDescent="0.15">
      <c r="A102" s="39" t="str">
        <f t="shared" si="8"/>
        <v>48101016_48101089</v>
      </c>
      <c r="B102" s="106">
        <v>48101016</v>
      </c>
      <c r="C102" s="114">
        <v>48101089</v>
      </c>
      <c r="D102" s="130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邪魔をされている間にも…仲間たちは…</v>
      </c>
      <c r="E102" s="130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「「「ひどい目にあっているかもしれないんだ！」」」</v>
      </c>
      <c r="F102" s="114">
        <v>48101101</v>
      </c>
      <c r="G102" s="120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120" t="str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2" s="120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120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120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120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120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120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120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106"/>
      <c r="Q102" s="106"/>
      <c r="R102" s="106"/>
    </row>
    <row r="103" spans="1:18" ht="21" customHeight="1" x14ac:dyDescent="0.15">
      <c r="A103" s="39" t="str">
        <f t="shared" si="8"/>
        <v>48101016_48101090</v>
      </c>
      <c r="B103" s="106">
        <v>48101016</v>
      </c>
      <c r="C103" s="114">
        <v>48101090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痛いのをお見舞いだ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3" s="114">
        <v>48101102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3" s="47"/>
      <c r="Q103" s="47"/>
      <c r="R103" s="47"/>
    </row>
    <row r="104" spans="1:18" ht="21" customHeight="1" x14ac:dyDescent="0.15">
      <c r="A104" s="39" t="str">
        <f t="shared" si="8"/>
        <v>48101016_48101091</v>
      </c>
      <c r="B104" s="106">
        <v>48101016</v>
      </c>
      <c r="C104" s="114">
        <v>48101091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いっぱい装填するよ…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104" s="114">
        <v>48101103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8"/>
        <v>48101016_48101092</v>
      </c>
      <c r="B105" s="106">
        <v>48101016</v>
      </c>
      <c r="C105" s="114">
        <v>48101092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砲撃の雨だぜ！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05" s="114">
        <v>48101104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5" s="48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8"/>
        <v>48101016_48101091</v>
      </c>
      <c r="B106" s="106">
        <v>48101016</v>
      </c>
      <c r="C106" s="114">
        <v>48101091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いっぱい装填するよ…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106" s="114">
        <v>48101105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06" s="48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8"/>
        <v>48101016_48101092</v>
      </c>
      <c r="B107" s="106">
        <v>48101016</v>
      </c>
      <c r="C107" s="114">
        <v>48101092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砲撃の雨だぜ！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07" s="114">
        <v>48101106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07" s="48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8"/>
        <v>48101016_48101091</v>
      </c>
      <c r="B108" s="106">
        <v>48101016</v>
      </c>
      <c r="C108" s="114">
        <v>48101091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いっぱい装填するよ…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108" s="114">
        <v>48101107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8"/>
        <v>48101016_48101092</v>
      </c>
      <c r="B109" s="106">
        <v>48101016</v>
      </c>
      <c r="C109" s="114">
        <v>48101092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砲撃の雨だぜ！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09" s="114">
        <v>48101108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thickBot="1" x14ac:dyDescent="0.2">
      <c r="A110" s="39" t="str">
        <f t="shared" si="8"/>
        <v>48101016_48101093</v>
      </c>
      <c r="B110" s="107">
        <v>48101016</v>
      </c>
      <c r="C110" s="116">
        <v>48101093</v>
      </c>
      <c r="D110" s="131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スナイプショット</v>
      </c>
      <c r="E110" s="131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特定エリアをお邪魔パネルに変換+_x000D_1ターン全ユニットの攻撃力20%DOWN</v>
      </c>
      <c r="F110" s="116">
        <v>48101109</v>
      </c>
      <c r="G110" s="121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121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0" s="121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121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121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0" s="121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121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10" s="121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121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107"/>
      <c r="Q110" s="107"/>
      <c r="R110" s="107"/>
    </row>
    <row r="111" spans="1:18" ht="21" customHeight="1" x14ac:dyDescent="0.15">
      <c r="A111" s="39" t="str">
        <f t="shared" si="8"/>
        <v>48101016_48101094</v>
      </c>
      <c r="B111" s="106">
        <v>48101016</v>
      </c>
      <c r="C111" s="114">
        <v>48101094</v>
      </c>
      <c r="D111" s="130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回復はおいらに任せろ</v>
      </c>
      <c r="E111" s="130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ハートパネルを吸収して回復(最大5個)</v>
      </c>
      <c r="F111" s="114">
        <v>48101110</v>
      </c>
      <c r="G111" s="120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120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1" s="120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11" s="120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1" s="120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120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120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120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120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11" s="106"/>
      <c r="Q111" s="106"/>
      <c r="R111" s="106"/>
    </row>
    <row r="112" spans="1:18" ht="21" customHeight="1" x14ac:dyDescent="0.15">
      <c r="A112" s="39" t="str">
        <f t="shared" si="8"/>
        <v>48101016_48101095</v>
      </c>
      <c r="B112" s="106">
        <v>48101016</v>
      </c>
      <c r="C112" s="114">
        <v>48101095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相手の回復力を奪うぜ！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1ターンハートパネルを吸収して_x000D_全ユニットの回復力を90%DOWN</v>
      </c>
      <c r="F112" s="114">
        <v>48101111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2" s="48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2" s="47"/>
      <c r="Q112" s="47"/>
      <c r="R112" s="47"/>
    </row>
    <row r="113" spans="1:18" ht="21" customHeight="1" x14ac:dyDescent="0.15">
      <c r="A113" s="39" t="str">
        <f t="shared" si="8"/>
        <v>48101016_48101096</v>
      </c>
      <c r="B113" s="106">
        <v>48101016</v>
      </c>
      <c r="C113" s="114">
        <v>48101096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俺たちの結束を見せる時！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13" s="114">
        <v>48101112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 t="str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8"/>
        <v>48101016_48101097</v>
      </c>
      <c r="B114" s="106">
        <v>48101016</v>
      </c>
      <c r="C114" s="114">
        <v>48101097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ああ、間違えた…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お邪魔パネルを青パネルに変換</v>
      </c>
      <c r="F114" s="114">
        <v>48101113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4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8"/>
        <v>48101016_48101098</v>
      </c>
      <c r="B115" s="106">
        <v>48101016</v>
      </c>
      <c r="C115" s="114">
        <v>48101098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「「「燃え上がれコンビネーション！！！」」」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15" s="114">
        <v>48101114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48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thickBot="1" x14ac:dyDescent="0.2">
      <c r="A116" s="39" t="str">
        <f t="shared" si="8"/>
        <v>48101016_48101099</v>
      </c>
      <c r="B116" s="107">
        <v>48101016</v>
      </c>
      <c r="C116" s="116">
        <v>48101099</v>
      </c>
      <c r="D116" s="131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え、あいつら仲間じゃないの？</v>
      </c>
      <c r="E116" s="131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「「「て、撤退なりー」」」</v>
      </c>
      <c r="F116" s="116">
        <v>48101115</v>
      </c>
      <c r="G116" s="121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121" t="str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6" s="121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121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121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121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121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121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16" s="121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107"/>
      <c r="Q116" s="107"/>
      <c r="R116" s="107"/>
    </row>
    <row r="117" spans="1:18" ht="21" customHeight="1" x14ac:dyDescent="0.15">
      <c r="A117" s="39" t="str">
        <f t="shared" si="8"/>
        <v>48101017_48101100</v>
      </c>
      <c r="B117" s="106">
        <v>48101017</v>
      </c>
      <c r="C117" s="118">
        <v>48101100</v>
      </c>
      <c r="D117" s="130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あなたも動物になりに来たのかしら？</v>
      </c>
      <c r="E117" s="130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117" s="118">
        <v>48101116</v>
      </c>
      <c r="G117" s="120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120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17" s="120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120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120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120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120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120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120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106"/>
      <c r="Q117" s="106"/>
      <c r="R117" s="106"/>
    </row>
    <row r="118" spans="1:18" ht="21" customHeight="1" x14ac:dyDescent="0.15">
      <c r="A118" s="39" t="str">
        <f t="shared" si="8"/>
        <v>48101017_48101101</v>
      </c>
      <c r="B118" s="106">
        <v>48101017</v>
      </c>
      <c r="C118" s="118">
        <v>48101101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メディア…！　なんでここにいる？！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118" s="118">
        <v>48101117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8"/>
        <v>48101017_48101102</v>
      </c>
      <c r="B119" s="106">
        <v>48101017</v>
      </c>
      <c r="C119" s="118">
        <v>48101102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預言者か…私を倒せると思うの？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119" s="118">
        <v>48101118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8"/>
        <v>48101017_48101103</v>
      </c>
      <c r="B120" s="106">
        <v>48101017</v>
      </c>
      <c r="C120" s="118">
        <v>48101103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偽りの魔女め、まさか犯人は君じゃないだろうね？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120" s="118">
        <v>48101119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8"/>
        <v>48101017_48101104</v>
      </c>
      <c r="B121" s="106">
        <v>48101017</v>
      </c>
      <c r="C121" s="118">
        <v>48101104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不愉快ね！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1" s="118">
        <v>48101120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 t="str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21" s="47"/>
      <c r="Q121" s="47"/>
      <c r="R121" s="47"/>
    </row>
    <row r="122" spans="1:18" ht="21" customHeight="1" x14ac:dyDescent="0.15">
      <c r="A122" s="39" t="str">
        <f t="shared" si="8"/>
        <v>48101017_48101105</v>
      </c>
      <c r="B122" s="106">
        <v>48101017</v>
      </c>
      <c r="C122" s="118">
        <v>48101105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吸い取ってあげる！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22" s="118">
        <v>48101121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48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2" s="47"/>
      <c r="Q122" s="47"/>
      <c r="R122" s="47"/>
    </row>
    <row r="123" spans="1:18" ht="21" customHeight="1" x14ac:dyDescent="0.15">
      <c r="A123" s="39" t="str">
        <f t="shared" si="8"/>
        <v>48101017_48101106</v>
      </c>
      <c r="B123" s="106">
        <v>48101017</v>
      </c>
      <c r="C123" s="118">
        <v>48101106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ほら、変えてあげるわ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123" s="118">
        <v>48101122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 t="str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8"/>
        <v>48101017_48101107</v>
      </c>
      <c r="B124" s="106">
        <v>48101017</v>
      </c>
      <c r="C124" s="118">
        <v>48101107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そんなところにあるのがダメなのよ！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2ターンお邪魔パネルを吸収して_x000D_全ユニットの攻撃力40%DOWN</v>
      </c>
      <c r="F124" s="118">
        <v>48101123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 t="str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thickBot="1" x14ac:dyDescent="0.2">
      <c r="A125" s="39" t="str">
        <f t="shared" si="8"/>
        <v>48101017_48101108</v>
      </c>
      <c r="B125" s="107">
        <v>48101017</v>
      </c>
      <c r="C125" s="119">
        <v>48101108</v>
      </c>
      <c r="D125" s="131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ジェネラリィ・リィンフォース</v>
      </c>
      <c r="E125" s="131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全体攻撃+_x000D_お邪魔パネルを吸収して攻撃力UP</v>
      </c>
      <c r="F125" s="119">
        <v>48101124</v>
      </c>
      <c r="G125" s="121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121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5" s="121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121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121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121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121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5" s="121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121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107"/>
      <c r="Q125" s="107"/>
      <c r="R125" s="107"/>
    </row>
    <row r="126" spans="1:18" ht="21" customHeight="1" x14ac:dyDescent="0.15">
      <c r="A126" s="39" t="str">
        <f t="shared" si="8"/>
        <v>48101018_48101109</v>
      </c>
      <c r="B126" s="106">
        <v>48101018</v>
      </c>
      <c r="C126" s="118">
        <v>48101109</v>
      </c>
      <c r="D126" s="130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私を本気にさせたわね！</v>
      </c>
      <c r="E126" s="130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状態異常耐性+_x000D_特定エリアをお邪魔パネルに変換+_x000D_特定エリアを緑パネルに変換</v>
      </c>
      <c r="F126" s="118">
        <v>48101125</v>
      </c>
      <c r="G126" s="120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6" s="120" t="str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6" s="120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120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120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120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6" s="120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120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120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106"/>
      <c r="Q126" s="106"/>
      <c r="R126" s="106"/>
    </row>
    <row r="127" spans="1:18" ht="21" customHeight="1" x14ac:dyDescent="0.15">
      <c r="A127" s="39" t="str">
        <f t="shared" si="8"/>
        <v>48101018_48101110</v>
      </c>
      <c r="B127" s="106">
        <v>48101018</v>
      </c>
      <c r="C127" s="118">
        <v>48101110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フォースラッシュ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27" s="118">
        <v>48101126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 t="str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7" s="48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8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27" s="47"/>
      <c r="Q127" s="47"/>
      <c r="R127" s="47"/>
    </row>
    <row r="128" spans="1:18" ht="21" customHeight="1" x14ac:dyDescent="0.15">
      <c r="A128" s="39" t="str">
        <f t="shared" si="8"/>
        <v>48101018_48101111</v>
      </c>
      <c r="B128" s="106">
        <v>48101018</v>
      </c>
      <c r="C128" s="118">
        <v>48101111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そこは私の領域よ！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特定エリアを青と赤の時限式ダメージパネルに変換</v>
      </c>
      <c r="F128" s="118">
        <v>48101127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 t="str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8" s="48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8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8" s="47"/>
      <c r="Q128" s="47"/>
      <c r="R128" s="47"/>
    </row>
    <row r="129" spans="1:18" ht="21" customHeight="1" x14ac:dyDescent="0.15">
      <c r="A129" s="39" t="str">
        <f t="shared" ref="A129:A141" si="10">B129&amp;"_"&amp;C129</f>
        <v>48101018_48101112</v>
      </c>
      <c r="B129" s="106">
        <v>48101018</v>
      </c>
      <c r="C129" s="118">
        <v>48101112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ほら、変えてあげるわ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129" s="118">
        <v>48101128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 t="str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9" s="48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8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10"/>
        <v>48101018_48101113</v>
      </c>
      <c r="B130" s="106">
        <v>48101018</v>
      </c>
      <c r="C130" s="118">
        <v>48101113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邪魔をしないで！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クリティカル！+_x000D_特定エリアをお邪魔パネルに変換</v>
      </c>
      <c r="F130" s="118">
        <v>48101129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 t="str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0" s="48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0" s="48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si="10"/>
        <v>48101018_48101114</v>
      </c>
      <c r="B131" s="106">
        <v>48101018</v>
      </c>
      <c r="C131" s="118">
        <v>48101114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あなたもどうせ私を…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クリティカル！+_x000D_特定エリアをお邪魔パネルに変換</v>
      </c>
      <c r="F131" s="118">
        <v>48101130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 t="str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1" s="48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1" s="48" t="str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10"/>
        <v>48101018_48101115</v>
      </c>
      <c r="B132" s="106">
        <v>48101018</v>
      </c>
      <c r="C132" s="118">
        <v>48101115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もう来ないで！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132" s="118">
        <v>48101131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8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32" s="48" t="str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si="10"/>
        <v>48101018_48101116</v>
      </c>
      <c r="B133" s="106">
        <v>48101018</v>
      </c>
      <c r="C133" s="118">
        <v>48101116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ジェネラリィブレイク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33" s="118">
        <v>48101132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8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33" s="48" t="str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10"/>
        <v>48101018_48101115</v>
      </c>
      <c r="B134" s="106">
        <v>48101018</v>
      </c>
      <c r="C134" s="118">
        <v>48101115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もう来ないで！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134" s="118">
        <v>48101133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134" s="48" t="str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10"/>
        <v>48101018_48101116</v>
      </c>
      <c r="B135" s="106">
        <v>48101018</v>
      </c>
      <c r="C135" s="118">
        <v>48101116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ジェネラリィブレイク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35" s="118">
        <v>48101134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135" s="48" t="str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10"/>
        <v>48101018_48101115</v>
      </c>
      <c r="B136" s="106">
        <v>48101018</v>
      </c>
      <c r="C136" s="118">
        <v>48101115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もう来ないで！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次のターンお邪魔パネルを吸収して全体攻撃</v>
      </c>
      <c r="F136" s="118">
        <v>48101135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8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136" s="48" t="str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10"/>
        <v>48101018_48101116</v>
      </c>
      <c r="B137" s="106">
        <v>48101018</v>
      </c>
      <c r="C137" s="118">
        <v>48101116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ジェネラリィブレイク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37" s="118">
        <v>48101136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8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16</v>
      </c>
      <c r="N137" s="48" t="str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10"/>
        <v>48101018_48101117</v>
      </c>
      <c r="B138" s="106">
        <v>48101018</v>
      </c>
      <c r="C138" s="118">
        <v>48101117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なによ…オデッセイ…その眼は…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そう、わかったわ…あなたの言うとおりね…</v>
      </c>
      <c r="F138" s="118">
        <v>48101137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10"/>
        <v>48101018_48101118</v>
      </c>
      <c r="B139" s="106">
        <v>48101018</v>
      </c>
      <c r="C139" s="118">
        <v>48101118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娘の手で散ったか…これも運命ですね…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39" s="118">
        <v>48101138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10"/>
        <v>48101018_48101119</v>
      </c>
      <c r="B140" s="106">
        <v>48101018</v>
      </c>
      <c r="C140" s="118">
        <v>48101119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予言の力は素晴らしい...私も欲しくなってきたわ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0" s="118">
        <v>48101139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8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thickBot="1" x14ac:dyDescent="0.2">
      <c r="A141" s="39" t="str">
        <f t="shared" si="10"/>
        <v>48101018_48101120</v>
      </c>
      <c r="B141" s="107">
        <v>48101018</v>
      </c>
      <c r="C141" s="119">
        <v>48101120</v>
      </c>
      <c r="D141" s="131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魔女はこれほどの力があるとは....</v>
      </c>
      <c r="E141" s="131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1" s="119">
        <v>48101140</v>
      </c>
      <c r="G141" s="121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121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41" s="121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121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121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121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121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121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141" s="121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107"/>
      <c r="Q141" s="107"/>
      <c r="R141" s="10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abSelected="1" workbookViewId="0">
      <selection activeCell="A11" sqref="A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3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v>48101</v>
      </c>
      <c r="B2" s="57">
        <v>2</v>
      </c>
      <c r="C2" s="72" t="str">
        <f>A2&amp; "_"&amp;B2</f>
        <v>48101_2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448</v>
      </c>
      <c r="G2" s="57">
        <v>8137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500</v>
      </c>
      <c r="Q2" s="57" t="s">
        <v>170</v>
      </c>
      <c r="R2" s="57" t="s">
        <v>171</v>
      </c>
    </row>
    <row r="3" spans="1:18" x14ac:dyDescent="0.15">
      <c r="A3" s="57">
        <v>48101</v>
      </c>
      <c r="B3" s="57">
        <v>2</v>
      </c>
      <c r="C3" s="72" t="str">
        <f>A3&amp; "_"&amp;B3</f>
        <v>48101_2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448</v>
      </c>
      <c r="G3" s="57">
        <v>338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50</v>
      </c>
      <c r="Q3" s="57" t="s">
        <v>170</v>
      </c>
      <c r="R3" s="57" t="s">
        <v>171</v>
      </c>
    </row>
    <row r="4" spans="1:18" x14ac:dyDescent="0.15">
      <c r="A4" s="57">
        <v>48101</v>
      </c>
      <c r="B4" s="57">
        <v>2</v>
      </c>
      <c r="C4" s="72" t="str">
        <f>A4&amp; "_"&amp;B4</f>
        <v>48101_2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448</v>
      </c>
      <c r="G4" s="57">
        <v>350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120</v>
      </c>
      <c r="Q4" s="57" t="s">
        <v>170</v>
      </c>
      <c r="R4" s="57" t="s">
        <v>171</v>
      </c>
    </row>
    <row r="5" spans="1:18" x14ac:dyDescent="0.15">
      <c r="A5" s="57">
        <v>48101</v>
      </c>
      <c r="B5" s="57">
        <v>2</v>
      </c>
      <c r="C5" s="72" t="str">
        <f>A5&amp; "_"&amp;B5</f>
        <v>48101_2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448</v>
      </c>
      <c r="G5" s="57">
        <v>607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100</v>
      </c>
      <c r="Q5" s="57" t="s">
        <v>170</v>
      </c>
      <c r="R5" s="57" t="s">
        <v>171</v>
      </c>
    </row>
    <row r="6" spans="1:18" x14ac:dyDescent="0.15">
      <c r="A6" s="57">
        <v>48101</v>
      </c>
      <c r="B6" s="57">
        <v>2</v>
      </c>
      <c r="C6" s="72" t="str">
        <f>A6&amp; "_"&amp;B6</f>
        <v>48101_2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448</v>
      </c>
      <c r="G6" s="57">
        <v>608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170</v>
      </c>
      <c r="R6" s="57" t="s">
        <v>171</v>
      </c>
    </row>
    <row r="7" spans="1:18" x14ac:dyDescent="0.15">
      <c r="A7" s="57">
        <v>48101</v>
      </c>
      <c r="B7" s="57">
        <v>2</v>
      </c>
      <c r="C7" s="72" t="str">
        <f>A7&amp; "_"&amp;B7</f>
        <v>48101_2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448</v>
      </c>
      <c r="G7" s="57">
        <v>609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170</v>
      </c>
      <c r="R7" s="57" t="s">
        <v>171</v>
      </c>
    </row>
    <row r="8" spans="1:18" ht="16" thickBot="1" x14ac:dyDescent="0.2">
      <c r="A8" s="196">
        <v>48101</v>
      </c>
      <c r="B8" s="196">
        <v>2</v>
      </c>
      <c r="C8" s="204" t="str">
        <f>A8&amp; "_"&amp;B8</f>
        <v>48101_2</v>
      </c>
      <c r="D8" s="20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96">
        <v>7</v>
      </c>
      <c r="F8" s="196" t="s">
        <v>448</v>
      </c>
      <c r="G8" s="196">
        <v>125</v>
      </c>
      <c r="H8" s="196">
        <v>1</v>
      </c>
      <c r="I8" s="196">
        <v>1</v>
      </c>
      <c r="J8" s="196">
        <v>1</v>
      </c>
      <c r="K8" s="196">
        <v>0</v>
      </c>
      <c r="L8" s="196">
        <v>0</v>
      </c>
      <c r="M8" s="196">
        <v>0</v>
      </c>
      <c r="N8" s="196">
        <v>0</v>
      </c>
      <c r="O8" s="196">
        <v>1</v>
      </c>
      <c r="P8" s="196">
        <v>30</v>
      </c>
      <c r="Q8" s="196" t="s">
        <v>170</v>
      </c>
      <c r="R8" s="196" t="s">
        <v>171</v>
      </c>
    </row>
    <row r="9" spans="1:18" x14ac:dyDescent="0.15">
      <c r="A9" s="186">
        <v>48101</v>
      </c>
      <c r="B9" s="186">
        <v>1</v>
      </c>
      <c r="C9" s="203" t="str">
        <f>A9&amp; "_"&amp;B9</f>
        <v>48101_1</v>
      </c>
      <c r="D9" s="199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86">
        <v>8</v>
      </c>
      <c r="F9" s="186" t="s">
        <v>169</v>
      </c>
      <c r="G9" s="186">
        <v>40000</v>
      </c>
      <c r="H9" s="186">
        <v>1</v>
      </c>
      <c r="I9" s="186">
        <v>1</v>
      </c>
      <c r="J9" s="186">
        <v>1</v>
      </c>
      <c r="K9" s="186">
        <v>0</v>
      </c>
      <c r="L9" s="186">
        <v>0</v>
      </c>
      <c r="M9" s="186">
        <v>0</v>
      </c>
      <c r="N9" s="186">
        <v>0</v>
      </c>
      <c r="O9" s="186">
        <v>1</v>
      </c>
      <c r="P9" s="186">
        <v>175</v>
      </c>
      <c r="Q9" s="186" t="s">
        <v>170</v>
      </c>
      <c r="R9" s="186" t="s">
        <v>171</v>
      </c>
    </row>
    <row r="10" spans="1:18" x14ac:dyDescent="0.15">
      <c r="A10" s="57">
        <v>48101</v>
      </c>
      <c r="B10" s="186">
        <v>1</v>
      </c>
      <c r="C10" s="72" t="str">
        <f>A10&amp; "_"&amp;B10</f>
        <v>48101_1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86">
        <v>9</v>
      </c>
      <c r="F10" s="57" t="s">
        <v>449</v>
      </c>
      <c r="G10" s="57">
        <v>30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175</v>
      </c>
      <c r="Q10" s="57" t="s">
        <v>170</v>
      </c>
      <c r="R10" s="57" t="s">
        <v>171</v>
      </c>
    </row>
    <row r="11" spans="1:18" x14ac:dyDescent="0.15">
      <c r="A11" s="57">
        <v>48101</v>
      </c>
      <c r="B11" s="186">
        <v>1</v>
      </c>
      <c r="C11" s="72" t="str">
        <f>A11&amp; "_"&amp;B11</f>
        <v>48101_1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86">
        <v>10</v>
      </c>
      <c r="F11" s="57" t="s">
        <v>448</v>
      </c>
      <c r="G11" s="57">
        <v>8137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200</v>
      </c>
      <c r="Q11" s="57" t="s">
        <v>170</v>
      </c>
      <c r="R11" s="57" t="s">
        <v>171</v>
      </c>
    </row>
    <row r="12" spans="1:18" x14ac:dyDescent="0.15">
      <c r="A12" s="57">
        <v>48101</v>
      </c>
      <c r="B12" s="186">
        <v>1</v>
      </c>
      <c r="C12" s="72" t="str">
        <f>A12&amp; "_"&amp;B12</f>
        <v>48101_1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86">
        <v>11</v>
      </c>
      <c r="F12" s="57" t="s">
        <v>448</v>
      </c>
      <c r="G12" s="57">
        <v>337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56</v>
      </c>
      <c r="Q12" s="57" t="s">
        <v>170</v>
      </c>
      <c r="R12" s="57" t="s">
        <v>171</v>
      </c>
    </row>
    <row r="13" spans="1:18" x14ac:dyDescent="0.15">
      <c r="A13" s="57">
        <v>48101</v>
      </c>
      <c r="B13" s="186">
        <v>1</v>
      </c>
      <c r="C13" s="72" t="str">
        <f>A13&amp; "_"&amp;B13</f>
        <v>48101_1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86">
        <v>12</v>
      </c>
      <c r="F13" s="57" t="s">
        <v>448</v>
      </c>
      <c r="G13" s="57">
        <v>338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84</v>
      </c>
      <c r="Q13" s="57" t="s">
        <v>170</v>
      </c>
      <c r="R13" s="57" t="s">
        <v>171</v>
      </c>
    </row>
    <row r="14" spans="1:18" x14ac:dyDescent="0.15">
      <c r="A14" s="57">
        <v>48101</v>
      </c>
      <c r="B14" s="186">
        <v>1</v>
      </c>
      <c r="C14" s="72" t="str">
        <f>A14&amp; "_"&amp;B14</f>
        <v>48101_1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86">
        <v>13</v>
      </c>
      <c r="F14" s="57" t="s">
        <v>448</v>
      </c>
      <c r="G14" s="57">
        <v>350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150</v>
      </c>
      <c r="Q14" s="57" t="s">
        <v>170</v>
      </c>
      <c r="R14" s="57" t="s">
        <v>171</v>
      </c>
    </row>
    <row r="15" spans="1:18" x14ac:dyDescent="0.15">
      <c r="A15" s="57">
        <v>48101</v>
      </c>
      <c r="B15" s="186">
        <v>1</v>
      </c>
      <c r="C15" s="72" t="str">
        <f>A15&amp; "_"&amp;B15</f>
        <v>48101_1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86">
        <v>14</v>
      </c>
      <c r="F15" s="57" t="s">
        <v>448</v>
      </c>
      <c r="G15" s="57">
        <v>121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50</v>
      </c>
      <c r="Q15" s="57" t="s">
        <v>170</v>
      </c>
      <c r="R15" s="57" t="s">
        <v>171</v>
      </c>
    </row>
    <row r="16" spans="1:18" x14ac:dyDescent="0.15">
      <c r="A16" s="57">
        <v>48101</v>
      </c>
      <c r="B16" s="186">
        <v>1</v>
      </c>
      <c r="C16" s="72" t="str">
        <f>A16&amp; "_"&amp;B16</f>
        <v>48101_1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86">
        <v>15</v>
      </c>
      <c r="F16" s="57" t="s">
        <v>448</v>
      </c>
      <c r="G16" s="57">
        <v>122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50</v>
      </c>
      <c r="Q16" s="57" t="s">
        <v>170</v>
      </c>
      <c r="R16" s="57" t="s">
        <v>171</v>
      </c>
    </row>
    <row r="17" spans="1:18" x14ac:dyDescent="0.15">
      <c r="A17" s="57">
        <v>48101</v>
      </c>
      <c r="B17" s="186">
        <v>1</v>
      </c>
      <c r="C17" s="72" t="str">
        <f>A17&amp; "_"&amp;B17</f>
        <v>48101_1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86">
        <v>16</v>
      </c>
      <c r="F17" s="57" t="s">
        <v>448</v>
      </c>
      <c r="G17" s="57">
        <v>123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</v>
      </c>
      <c r="Q17" s="57" t="s">
        <v>170</v>
      </c>
      <c r="R17" s="57" t="s">
        <v>171</v>
      </c>
    </row>
    <row r="18" spans="1:18" x14ac:dyDescent="0.15">
      <c r="A18" s="57">
        <v>48101</v>
      </c>
      <c r="B18" s="186">
        <v>1</v>
      </c>
      <c r="C18" s="72" t="str">
        <f>A18&amp; "_"&amp;B18</f>
        <v>48101_1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86">
        <v>17</v>
      </c>
      <c r="F18" s="57" t="s">
        <v>448</v>
      </c>
      <c r="G18" s="57">
        <v>125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10</v>
      </c>
      <c r="Q18" s="57" t="s">
        <v>170</v>
      </c>
      <c r="R18" s="57" t="s">
        <v>171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115" activePane="bottomLeft" state="frozen"/>
      <selection pane="bottomLeft" activeCell="A134" sqref="A2:XFD134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4" t="s">
        <v>189</v>
      </c>
      <c r="C1" s="78" t="s">
        <v>190</v>
      </c>
      <c r="D1" s="78" t="s">
        <v>33</v>
      </c>
      <c r="E1" s="74" t="s">
        <v>191</v>
      </c>
      <c r="F1" s="78" t="s">
        <v>192</v>
      </c>
      <c r="G1" s="78" t="s">
        <v>33</v>
      </c>
      <c r="H1" s="74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13" activePane="bottomLeft" state="frozen"/>
      <selection pane="bottomLeft" activeCell="K21" sqref="K21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4" t="s">
        <v>151</v>
      </c>
      <c r="C1" s="78" t="s">
        <v>190</v>
      </c>
      <c r="D1" s="78" t="s">
        <v>33</v>
      </c>
      <c r="E1" s="74" t="s">
        <v>191</v>
      </c>
      <c r="F1" s="78" t="s">
        <v>18</v>
      </c>
      <c r="G1" s="78" t="s">
        <v>33</v>
      </c>
      <c r="H1" s="74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4" ht="70" x14ac:dyDescent="0.15">
      <c r="A2" s="82" t="s">
        <v>197</v>
      </c>
      <c r="B2" s="83">
        <f>floors!$C$2</f>
        <v>48101</v>
      </c>
      <c r="C2" s="84" t="str">
        <f ca="1">VLOOKUP($B2,OFFSET([2]quests!$A$1,0,0,COUNTA([2]quests!$A:$A),MATCH(C$1,[2]quests!$1:$1,0)-MATCH($B$1,[2]quests!$1:$1,0)+1),MATCH(C$1,[2]quests!$1:$1,0)-MATCH($B$1,[2]quests!$1:$1,0)+1,FALSE)</f>
        <v>喀耳刻襲来！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台湾版コラボ降臨1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台湾版コラボ降臨1</v>
      </c>
      <c r="H2" s="86">
        <v>1</v>
      </c>
      <c r="I2" s="91">
        <f t="shared" ref="I2:I21" si="0">ROW()-1</f>
        <v>1</v>
      </c>
      <c r="J2" s="87" t="str">
        <f t="shared" ref="J2:J8" si="1">B2&amp;TEXT(I2,"00")</f>
        <v>4810101</v>
      </c>
      <c r="K2" s="85" t="s">
        <v>198</v>
      </c>
      <c r="L2" s="88" t="s">
        <v>253</v>
      </c>
      <c r="M2" s="179" t="s">
        <v>439</v>
      </c>
      <c r="N2" s="57" t="s">
        <v>199</v>
      </c>
    </row>
    <row r="3" spans="1:14" ht="42" x14ac:dyDescent="0.15">
      <c r="A3" s="82" t="s">
        <v>197</v>
      </c>
      <c r="B3" s="83">
        <f>floors!$C$2</f>
        <v>48101</v>
      </c>
      <c r="C3" s="84" t="str">
        <f ca="1">VLOOKUP($B3,OFFSET([2]quests!$A$1,0,0,COUNTA([2]quests!$A:$A),MATCH(C$1,[2]quests!$1:$1,0)-MATCH($B$1,[2]quests!$1:$1,0)+1),MATCH(C$1,[2]quests!$1:$1,0)-MATCH($B$1,[2]quests!$1:$1,0)+1,FALSE)</f>
        <v>喀耳刻襲来！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台湾版コラボ降臨1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台湾版コラボ降臨1</v>
      </c>
      <c r="H3" s="86">
        <v>2</v>
      </c>
      <c r="I3" s="91">
        <f t="shared" si="0"/>
        <v>2</v>
      </c>
      <c r="J3" s="87" t="str">
        <f t="shared" si="1"/>
        <v>4810102</v>
      </c>
      <c r="K3" s="85" t="s">
        <v>198</v>
      </c>
      <c r="L3" s="88" t="s">
        <v>253</v>
      </c>
      <c r="M3" s="179" t="s">
        <v>386</v>
      </c>
      <c r="N3" s="57" t="s">
        <v>199</v>
      </c>
    </row>
    <row r="4" spans="1:14" ht="56" x14ac:dyDescent="0.15">
      <c r="A4" s="82" t="s">
        <v>197</v>
      </c>
      <c r="B4" s="83">
        <f>floors!$C$2</f>
        <v>48101</v>
      </c>
      <c r="C4" s="84" t="str">
        <f ca="1">VLOOKUP($B4,OFFSET([2]quests!$A$1,0,0,COUNTA([2]quests!$A:$A),MATCH(C$1,[2]quests!$1:$1,0)-MATCH($B$1,[2]quests!$1:$1,0)+1),MATCH(C$1,[2]quests!$1:$1,0)-MATCH($B$1,[2]quests!$1:$1,0)+1,FALSE)</f>
        <v>喀耳刻襲来！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台湾版コラボ降臨1</v>
      </c>
      <c r="E4" s="85">
        <v>2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台湾版コラボ降臨1</v>
      </c>
      <c r="H4" s="86">
        <v>2</v>
      </c>
      <c r="I4" s="91">
        <f t="shared" si="0"/>
        <v>3</v>
      </c>
      <c r="J4" s="87" t="str">
        <f t="shared" si="1"/>
        <v>4810103</v>
      </c>
      <c r="K4" s="85" t="s">
        <v>198</v>
      </c>
      <c r="L4" s="88" t="s">
        <v>253</v>
      </c>
      <c r="M4" s="179" t="s">
        <v>429</v>
      </c>
      <c r="N4" s="57" t="s">
        <v>199</v>
      </c>
    </row>
    <row r="5" spans="1:14" ht="70" x14ac:dyDescent="0.15">
      <c r="A5" s="82" t="s">
        <v>197</v>
      </c>
      <c r="B5" s="83">
        <f>floors!$C$2</f>
        <v>48101</v>
      </c>
      <c r="C5" s="84" t="str">
        <f ca="1">VLOOKUP($B5,OFFSET([2]quests!$A$1,0,0,COUNTA([2]quests!$A:$A),MATCH(C$1,[2]quests!$1:$1,0)-MATCH($B$1,[2]quests!$1:$1,0)+1),MATCH(C$1,[2]quests!$1:$1,0)-MATCH($B$1,[2]quests!$1:$1,0)+1,FALSE)</f>
        <v>喀耳刻襲来！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台湾版コラボ降臨1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台湾版コラボ降臨1</v>
      </c>
      <c r="H5" s="86">
        <v>3</v>
      </c>
      <c r="I5" s="91">
        <f t="shared" si="0"/>
        <v>4</v>
      </c>
      <c r="J5" s="87" t="str">
        <f t="shared" si="1"/>
        <v>4810104</v>
      </c>
      <c r="K5" s="85" t="s">
        <v>198</v>
      </c>
      <c r="L5" s="88" t="s">
        <v>253</v>
      </c>
      <c r="M5" s="179" t="s">
        <v>387</v>
      </c>
      <c r="N5" s="57" t="s">
        <v>199</v>
      </c>
    </row>
    <row r="6" spans="1:14" ht="56" x14ac:dyDescent="0.15">
      <c r="A6" s="82" t="s">
        <v>197</v>
      </c>
      <c r="B6" s="83">
        <f>floors!$C$2</f>
        <v>48101</v>
      </c>
      <c r="C6" s="84" t="str">
        <f ca="1">VLOOKUP($B6,OFFSET([2]quests!$A$1,0,0,COUNTA([2]quests!$A:$A),MATCH(C$1,[2]quests!$1:$1,0)-MATCH($B$1,[2]quests!$1:$1,0)+1),MATCH(C$1,[2]quests!$1:$1,0)-MATCH($B$1,[2]quests!$1:$1,0)+1,FALSE)</f>
        <v>喀耳刻襲来！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台湾版コラボ降臨1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台湾版コラボ降臨1</v>
      </c>
      <c r="H6" s="86">
        <v>3</v>
      </c>
      <c r="I6" s="91">
        <f t="shared" si="0"/>
        <v>5</v>
      </c>
      <c r="J6" s="87" t="str">
        <f t="shared" si="1"/>
        <v>4810105</v>
      </c>
      <c r="K6" s="85" t="s">
        <v>198</v>
      </c>
      <c r="L6" s="88" t="s">
        <v>253</v>
      </c>
      <c r="M6" s="179" t="s">
        <v>440</v>
      </c>
      <c r="N6" s="57" t="s">
        <v>199</v>
      </c>
    </row>
    <row r="7" spans="1:14" ht="56" x14ac:dyDescent="0.15">
      <c r="A7" s="82" t="s">
        <v>197</v>
      </c>
      <c r="B7" s="83">
        <f>floors!$C$2</f>
        <v>48101</v>
      </c>
      <c r="C7" s="84" t="str">
        <f ca="1">VLOOKUP($B7,OFFSET([2]quests!$A$1,0,0,COUNTA([2]quests!$A:$A),MATCH(C$1,[2]quests!$1:$1,0)-MATCH($B$1,[2]quests!$1:$1,0)+1),MATCH(C$1,[2]quests!$1:$1,0)-MATCH($B$1,[2]quests!$1:$1,0)+1,FALSE)</f>
        <v>喀耳刻襲来！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台湾版コラボ降臨1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台湾版コラボ降臨1</v>
      </c>
      <c r="H7" s="86">
        <v>4</v>
      </c>
      <c r="I7" s="91">
        <f t="shared" si="0"/>
        <v>6</v>
      </c>
      <c r="J7" s="87" t="str">
        <f t="shared" si="1"/>
        <v>4810106</v>
      </c>
      <c r="K7" s="85" t="s">
        <v>198</v>
      </c>
      <c r="L7" s="88" t="s">
        <v>253</v>
      </c>
      <c r="M7" s="179" t="s">
        <v>390</v>
      </c>
      <c r="N7" s="57" t="s">
        <v>199</v>
      </c>
    </row>
    <row r="8" spans="1:14" ht="70" x14ac:dyDescent="0.15">
      <c r="A8" s="82" t="s">
        <v>197</v>
      </c>
      <c r="B8" s="83">
        <f>floors!$C$2</f>
        <v>48101</v>
      </c>
      <c r="C8" s="84" t="str">
        <f ca="1">VLOOKUP($B8,OFFSET([2]quests!$A$1,0,0,COUNTA([2]quests!$A:$A),MATCH(C$1,[2]quests!$1:$1,0)-MATCH($B$1,[2]quests!$1:$1,0)+1),MATCH(C$1,[2]quests!$1:$1,0)-MATCH($B$1,[2]quests!$1:$1,0)+1,FALSE)</f>
        <v>喀耳刻襲来！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台湾版コラボ降臨1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台湾版コラボ降臨1</v>
      </c>
      <c r="H8" s="86">
        <v>4</v>
      </c>
      <c r="I8" s="91">
        <f t="shared" si="0"/>
        <v>7</v>
      </c>
      <c r="J8" s="87" t="str">
        <f t="shared" si="1"/>
        <v>4810107</v>
      </c>
      <c r="K8" s="85" t="s">
        <v>198</v>
      </c>
      <c r="L8" s="88" t="s">
        <v>253</v>
      </c>
      <c r="M8" s="179" t="s">
        <v>389</v>
      </c>
      <c r="N8" s="57" t="s">
        <v>199</v>
      </c>
    </row>
    <row r="9" spans="1:14" ht="42" x14ac:dyDescent="0.15">
      <c r="A9" s="82" t="s">
        <v>388</v>
      </c>
      <c r="B9" s="83">
        <f>floors!$C$2</f>
        <v>48101</v>
      </c>
      <c r="C9" s="84" t="str">
        <f ca="1">VLOOKUP($B9,OFFSET([2]quests!$A$1,0,0,COUNTA([2]quests!$A:$A),MATCH(C$1,[2]quests!$1:$1,0)-MATCH($B$1,[2]quests!$1:$1,0)+1),MATCH(C$1,[2]quests!$1:$1,0)-MATCH($B$1,[2]quests!$1:$1,0)+1,FALSE)</f>
        <v>喀耳刻襲来！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台湾版コラボ降臨1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台湾版コラボ降臨1</v>
      </c>
      <c r="H9" s="86">
        <v>0</v>
      </c>
      <c r="I9" s="91">
        <f t="shared" si="0"/>
        <v>8</v>
      </c>
      <c r="J9" s="87" t="str">
        <f t="shared" ref="J9:J18" si="2">B9&amp;TEXT(I9,"00")</f>
        <v>4810108</v>
      </c>
      <c r="K9" s="85" t="s">
        <v>128</v>
      </c>
      <c r="L9" s="88" t="s">
        <v>391</v>
      </c>
      <c r="M9" s="179" t="s">
        <v>392</v>
      </c>
      <c r="N9" s="57" t="s">
        <v>199</v>
      </c>
    </row>
    <row r="10" spans="1:14" ht="70" x14ac:dyDescent="0.15">
      <c r="A10" s="82" t="s">
        <v>388</v>
      </c>
      <c r="B10" s="83">
        <f>floors!$C$2</f>
        <v>48101</v>
      </c>
      <c r="C10" s="84" t="str">
        <f ca="1">VLOOKUP($B10,OFFSET([2]quests!$A$1,0,0,COUNTA([2]quests!$A:$A),MATCH(C$1,[2]quests!$1:$1,0)-MATCH($B$1,[2]quests!$1:$1,0)+1),MATCH(C$1,[2]quests!$1:$1,0)-MATCH($B$1,[2]quests!$1:$1,0)+1,FALSE)</f>
        <v>喀耳刻襲来！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台湾版コラボ降臨1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台湾版コラボ降臨1</v>
      </c>
      <c r="H10" s="86">
        <v>0</v>
      </c>
      <c r="I10" s="91">
        <f t="shared" si="0"/>
        <v>9</v>
      </c>
      <c r="J10" s="87" t="str">
        <f t="shared" si="2"/>
        <v>4810109</v>
      </c>
      <c r="K10" s="85" t="s">
        <v>128</v>
      </c>
      <c r="L10" s="88" t="s">
        <v>424</v>
      </c>
      <c r="M10" s="179" t="s">
        <v>393</v>
      </c>
      <c r="N10" s="57" t="s">
        <v>199</v>
      </c>
    </row>
    <row r="11" spans="1:14" ht="71" thickBot="1" x14ac:dyDescent="0.2">
      <c r="A11" s="187" t="s">
        <v>388</v>
      </c>
      <c r="B11" s="188">
        <f>floors!$C$2</f>
        <v>48101</v>
      </c>
      <c r="C11" s="189" t="str">
        <f ca="1">VLOOKUP($B11,OFFSET([2]quests!$A$1,0,0,COUNTA([2]quests!$A:$A),MATCH(C$1,[2]quests!$1:$1,0)-MATCH($B$1,[2]quests!$1:$1,0)+1),MATCH(C$1,[2]quests!$1:$1,0)-MATCH($B$1,[2]quests!$1:$1,0)+1,FALSE)</f>
        <v>喀耳刻襲来！</v>
      </c>
      <c r="D11" s="189" t="str">
        <f ca="1">VLOOKUP($B11,OFFSET([2]quests!$A$1,0,0,COUNTA([2]quests!$A:$A),MATCH(D$1,[2]quests!$1:$1,0)-MATCH($B$1,[2]quests!$1:$1,0)+1),MATCH(D$1,[2]quests!$1:$1,0)-MATCH($B$1,[2]quests!$1:$1,0)+1,FALSE)</f>
        <v>台湾版コラボ降臨1</v>
      </c>
      <c r="E11" s="190">
        <v>2</v>
      </c>
      <c r="F11" s="189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11" s="189" t="str">
        <f ca="1">VLOOKUP($B11&amp;"_"&amp;$E11,OFFSET([2]stages!$A$1,0,0,COUNTA([2]stages!$A:$A),MATCH(G$1,[2]stages!$2:$2,0)-MATCH("temp_stage",[2]stages!$2:$2,0)+1),MATCH(G$1,[2]stages!$2:$2,0)-MATCH("temp_stage",[2]stages!$2:$2,0)+1,FALSE)</f>
        <v>台湾版コラボ降臨1</v>
      </c>
      <c r="H11" s="191">
        <v>0</v>
      </c>
      <c r="I11" s="192">
        <f t="shared" si="0"/>
        <v>10</v>
      </c>
      <c r="J11" s="193" t="str">
        <f t="shared" si="2"/>
        <v>4810110</v>
      </c>
      <c r="K11" s="190" t="s">
        <v>128</v>
      </c>
      <c r="L11" s="194" t="s">
        <v>425</v>
      </c>
      <c r="M11" s="195" t="s">
        <v>408</v>
      </c>
      <c r="N11" s="196" t="s">
        <v>199</v>
      </c>
    </row>
    <row r="12" spans="1:14" ht="70" x14ac:dyDescent="0.15">
      <c r="A12" s="180" t="s">
        <v>197</v>
      </c>
      <c r="B12" s="181">
        <f>floors!$C$2</f>
        <v>48101</v>
      </c>
      <c r="C12" s="84" t="str">
        <f ca="1">VLOOKUP($B12,OFFSET([2]quests!$A$1,0,0,COUNTA([2]quests!$A:$A),MATCH(C$1,[2]quests!$1:$1,0)-MATCH($B$1,[2]quests!$1:$1,0)+1),MATCH(C$1,[2]quests!$1:$1,0)-MATCH($B$1,[2]quests!$1:$1,0)+1,FALSE)</f>
        <v>喀耳刻襲来！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台湾版コラボ降臨1</v>
      </c>
      <c r="E12" s="182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【超絶級】喀耳刻襲来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台湾版コラボ降臨1</v>
      </c>
      <c r="H12" s="86">
        <v>1</v>
      </c>
      <c r="I12" s="183">
        <f t="shared" si="0"/>
        <v>11</v>
      </c>
      <c r="J12" s="184" t="str">
        <f t="shared" si="2"/>
        <v>4810111</v>
      </c>
      <c r="K12" s="182" t="s">
        <v>128</v>
      </c>
      <c r="L12" s="185" t="s">
        <v>253</v>
      </c>
      <c r="M12" s="179" t="s">
        <v>439</v>
      </c>
      <c r="N12" s="186" t="s">
        <v>199</v>
      </c>
    </row>
    <row r="13" spans="1:14" ht="42" x14ac:dyDescent="0.15">
      <c r="A13" s="82" t="s">
        <v>197</v>
      </c>
      <c r="B13" s="83">
        <f>floors!$C$2</f>
        <v>48101</v>
      </c>
      <c r="C13" s="84" t="str">
        <f ca="1">VLOOKUP($B13,OFFSET([2]quests!$A$1,0,0,COUNTA([2]quests!$A:$A),MATCH(C$1,[2]quests!$1:$1,0)-MATCH($B$1,[2]quests!$1:$1,0)+1),MATCH(C$1,[2]quests!$1:$1,0)-MATCH($B$1,[2]quests!$1:$1,0)+1,FALSE)</f>
        <v>喀耳刻襲来！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台湾版コラボ降臨1</v>
      </c>
      <c r="E13" s="85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【超絶級】喀耳刻襲来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台湾版コラボ降臨1</v>
      </c>
      <c r="H13" s="86">
        <v>2</v>
      </c>
      <c r="I13" s="91">
        <f t="shared" si="0"/>
        <v>12</v>
      </c>
      <c r="J13" s="87" t="str">
        <f t="shared" si="2"/>
        <v>4810112</v>
      </c>
      <c r="K13" s="85" t="s">
        <v>128</v>
      </c>
      <c r="L13" s="88" t="s">
        <v>253</v>
      </c>
      <c r="M13" s="179" t="s">
        <v>386</v>
      </c>
      <c r="N13" s="57" t="s">
        <v>199</v>
      </c>
    </row>
    <row r="14" spans="1:14" ht="56" x14ac:dyDescent="0.15">
      <c r="A14" s="82" t="s">
        <v>197</v>
      </c>
      <c r="B14" s="83">
        <f>floors!$C$2</f>
        <v>48101</v>
      </c>
      <c r="C14" s="84" t="str">
        <f ca="1">VLOOKUP($B14,OFFSET([2]quests!$A$1,0,0,COUNTA([2]quests!$A:$A),MATCH(C$1,[2]quests!$1:$1,0)-MATCH($B$1,[2]quests!$1:$1,0)+1),MATCH(C$1,[2]quests!$1:$1,0)-MATCH($B$1,[2]quests!$1:$1,0)+1,FALSE)</f>
        <v>喀耳刻襲来！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台湾版コラボ降臨1</v>
      </c>
      <c r="E14" s="85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【超絶級】喀耳刻襲来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台湾版コラボ降臨1</v>
      </c>
      <c r="H14" s="86">
        <v>2</v>
      </c>
      <c r="I14" s="91">
        <f t="shared" si="0"/>
        <v>13</v>
      </c>
      <c r="J14" s="87" t="str">
        <f t="shared" si="2"/>
        <v>4810113</v>
      </c>
      <c r="K14" s="85" t="s">
        <v>128</v>
      </c>
      <c r="L14" s="88" t="s">
        <v>253</v>
      </c>
      <c r="M14" s="179" t="s">
        <v>429</v>
      </c>
      <c r="N14" s="57" t="s">
        <v>199</v>
      </c>
    </row>
    <row r="15" spans="1:14" ht="70" x14ac:dyDescent="0.15">
      <c r="A15" s="82" t="s">
        <v>197</v>
      </c>
      <c r="B15" s="83">
        <f>floors!$C$2</f>
        <v>48101</v>
      </c>
      <c r="C15" s="84" t="str">
        <f ca="1">VLOOKUP($B15,OFFSET([2]quests!$A$1,0,0,COUNTA([2]quests!$A:$A),MATCH(C$1,[2]quests!$1:$1,0)-MATCH($B$1,[2]quests!$1:$1,0)+1),MATCH(C$1,[2]quests!$1:$1,0)-MATCH($B$1,[2]quests!$1:$1,0)+1,FALSE)</f>
        <v>喀耳刻襲来！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台湾版コラボ降臨1</v>
      </c>
      <c r="E15" s="85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【超絶級】喀耳刻襲来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台湾版コラボ降臨1</v>
      </c>
      <c r="H15" s="86">
        <v>3</v>
      </c>
      <c r="I15" s="91">
        <f t="shared" si="0"/>
        <v>14</v>
      </c>
      <c r="J15" s="87" t="str">
        <f t="shared" si="2"/>
        <v>4810114</v>
      </c>
      <c r="K15" s="85" t="s">
        <v>128</v>
      </c>
      <c r="L15" s="88" t="s">
        <v>253</v>
      </c>
      <c r="M15" s="179" t="s">
        <v>387</v>
      </c>
      <c r="N15" s="57" t="s">
        <v>199</v>
      </c>
    </row>
    <row r="16" spans="1:14" ht="56" x14ac:dyDescent="0.15">
      <c r="A16" s="82" t="s">
        <v>197</v>
      </c>
      <c r="B16" s="83">
        <f>floors!$C$2</f>
        <v>48101</v>
      </c>
      <c r="C16" s="84" t="str">
        <f ca="1">VLOOKUP($B16,OFFSET([2]quests!$A$1,0,0,COUNTA([2]quests!$A:$A),MATCH(C$1,[2]quests!$1:$1,0)-MATCH($B$1,[2]quests!$1:$1,0)+1),MATCH(C$1,[2]quests!$1:$1,0)-MATCH($B$1,[2]quests!$1:$1,0)+1,FALSE)</f>
        <v>喀耳刻襲来！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台湾版コラボ降臨1</v>
      </c>
      <c r="E16" s="85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【超絶級】喀耳刻襲来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台湾版コラボ降臨1</v>
      </c>
      <c r="H16" s="86">
        <v>3</v>
      </c>
      <c r="I16" s="91">
        <f t="shared" si="0"/>
        <v>15</v>
      </c>
      <c r="J16" s="87" t="str">
        <f t="shared" si="2"/>
        <v>4810115</v>
      </c>
      <c r="K16" s="85" t="s">
        <v>128</v>
      </c>
      <c r="L16" s="88" t="s">
        <v>253</v>
      </c>
      <c r="M16" s="179" t="s">
        <v>440</v>
      </c>
      <c r="N16" s="57" t="s">
        <v>199</v>
      </c>
    </row>
    <row r="17" spans="1:14" ht="56" x14ac:dyDescent="0.15">
      <c r="A17" s="82" t="s">
        <v>197</v>
      </c>
      <c r="B17" s="83">
        <f>floors!$C$2</f>
        <v>48101</v>
      </c>
      <c r="C17" s="84" t="str">
        <f ca="1">VLOOKUP($B17,OFFSET([2]quests!$A$1,0,0,COUNTA([2]quests!$A:$A),MATCH(C$1,[2]quests!$1:$1,0)-MATCH($B$1,[2]quests!$1:$1,0)+1),MATCH(C$1,[2]quests!$1:$1,0)-MATCH($B$1,[2]quests!$1:$1,0)+1,FALSE)</f>
        <v>喀耳刻襲来！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台湾版コラボ降臨1</v>
      </c>
      <c r="E17" s="85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【超絶級】喀耳刻襲来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台湾版コラボ降臨1</v>
      </c>
      <c r="H17" s="86">
        <v>4</v>
      </c>
      <c r="I17" s="91">
        <f t="shared" si="0"/>
        <v>16</v>
      </c>
      <c r="J17" s="87" t="str">
        <f t="shared" si="2"/>
        <v>4810116</v>
      </c>
      <c r="K17" s="85" t="s">
        <v>128</v>
      </c>
      <c r="L17" s="88" t="s">
        <v>253</v>
      </c>
      <c r="M17" s="179" t="s">
        <v>390</v>
      </c>
      <c r="N17" s="57" t="s">
        <v>199</v>
      </c>
    </row>
    <row r="18" spans="1:14" ht="70" x14ac:dyDescent="0.15">
      <c r="A18" s="82" t="s">
        <v>197</v>
      </c>
      <c r="B18" s="83">
        <f>floors!$C$2</f>
        <v>48101</v>
      </c>
      <c r="C18" s="84" t="str">
        <f ca="1">VLOOKUP($B18,OFFSET([2]quests!$A$1,0,0,COUNTA([2]quests!$A:$A),MATCH(C$1,[2]quests!$1:$1,0)-MATCH($B$1,[2]quests!$1:$1,0)+1),MATCH(C$1,[2]quests!$1:$1,0)-MATCH($B$1,[2]quests!$1:$1,0)+1,FALSE)</f>
        <v>喀耳刻襲来！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台湾版コラボ降臨1</v>
      </c>
      <c r="E18" s="85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【超絶級】喀耳刻襲来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台湾版コラボ降臨1</v>
      </c>
      <c r="H18" s="86">
        <v>4</v>
      </c>
      <c r="I18" s="91">
        <f t="shared" si="0"/>
        <v>17</v>
      </c>
      <c r="J18" s="87" t="str">
        <f t="shared" si="2"/>
        <v>4810117</v>
      </c>
      <c r="K18" s="85" t="s">
        <v>128</v>
      </c>
      <c r="L18" s="88" t="s">
        <v>253</v>
      </c>
      <c r="M18" s="179" t="s">
        <v>389</v>
      </c>
      <c r="N18" s="57" t="s">
        <v>199</v>
      </c>
    </row>
    <row r="19" spans="1:14" ht="42" x14ac:dyDescent="0.15">
      <c r="A19" s="82" t="s">
        <v>388</v>
      </c>
      <c r="B19" s="83">
        <f>floors!$C$2</f>
        <v>48101</v>
      </c>
      <c r="C19" s="84" t="str">
        <f ca="1">VLOOKUP($B19,OFFSET([2]quests!$A$1,0,0,COUNTA([2]quests!$A:$A),MATCH(C$1,[2]quests!$1:$1,0)-MATCH($B$1,[2]quests!$1:$1,0)+1),MATCH(C$1,[2]quests!$1:$1,0)-MATCH($B$1,[2]quests!$1:$1,0)+1,FALSE)</f>
        <v>喀耳刻襲来！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台湾版コラボ降臨1</v>
      </c>
      <c r="E19" s="85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【超絶級】喀耳刻襲来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台湾版コラボ降臨1</v>
      </c>
      <c r="H19" s="86">
        <v>0</v>
      </c>
      <c r="I19" s="91">
        <f t="shared" si="0"/>
        <v>18</v>
      </c>
      <c r="J19" s="87" t="str">
        <f t="shared" ref="J19:J21" si="3">B19&amp;TEXT(I19,"00")</f>
        <v>4810118</v>
      </c>
      <c r="K19" s="85" t="s">
        <v>128</v>
      </c>
      <c r="L19" s="88" t="s">
        <v>423</v>
      </c>
      <c r="M19" s="179" t="s">
        <v>392</v>
      </c>
      <c r="N19" s="57" t="s">
        <v>199</v>
      </c>
    </row>
    <row r="20" spans="1:14" ht="70" x14ac:dyDescent="0.15">
      <c r="A20" s="82" t="s">
        <v>388</v>
      </c>
      <c r="B20" s="83">
        <f>floors!$C$2</f>
        <v>48101</v>
      </c>
      <c r="C20" s="84" t="str">
        <f ca="1">VLOOKUP($B20,OFFSET([2]quests!$A$1,0,0,COUNTA([2]quests!$A:$A),MATCH(C$1,[2]quests!$1:$1,0)-MATCH($B$1,[2]quests!$1:$1,0)+1),MATCH(C$1,[2]quests!$1:$1,0)-MATCH($B$1,[2]quests!$1:$1,0)+1,FALSE)</f>
        <v>喀耳刻襲来！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台湾版コラボ降臨1</v>
      </c>
      <c r="E20" s="85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【超絶級】喀耳刻襲来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台湾版コラボ降臨1</v>
      </c>
      <c r="H20" s="86">
        <v>0</v>
      </c>
      <c r="I20" s="91">
        <f t="shared" si="0"/>
        <v>19</v>
      </c>
      <c r="J20" s="87" t="str">
        <f t="shared" si="3"/>
        <v>4810119</v>
      </c>
      <c r="K20" s="85" t="s">
        <v>128</v>
      </c>
      <c r="L20" s="88" t="s">
        <v>422</v>
      </c>
      <c r="M20" s="179" t="s">
        <v>393</v>
      </c>
      <c r="N20" s="57" t="s">
        <v>199</v>
      </c>
    </row>
    <row r="21" spans="1:14" ht="70" x14ac:dyDescent="0.15">
      <c r="A21" s="82" t="s">
        <v>388</v>
      </c>
      <c r="B21" s="83">
        <f>floors!$C$2</f>
        <v>48101</v>
      </c>
      <c r="C21" s="84" t="str">
        <f ca="1">VLOOKUP($B21,OFFSET([2]quests!$A$1,0,0,COUNTA([2]quests!$A:$A),MATCH(C$1,[2]quests!$1:$1,0)-MATCH($B$1,[2]quests!$1:$1,0)+1),MATCH(C$1,[2]quests!$1:$1,0)-MATCH($B$1,[2]quests!$1:$1,0)+1,FALSE)</f>
        <v>喀耳刻襲来！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台湾版コラボ降臨1</v>
      </c>
      <c r="E21" s="85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【超絶級】喀耳刻襲来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台湾版コラボ降臨1</v>
      </c>
      <c r="H21" s="86">
        <v>0</v>
      </c>
      <c r="I21" s="91">
        <f t="shared" si="0"/>
        <v>20</v>
      </c>
      <c r="J21" s="87" t="str">
        <f t="shared" si="3"/>
        <v>4810120</v>
      </c>
      <c r="K21" s="85" t="s">
        <v>128</v>
      </c>
      <c r="L21" s="88" t="s">
        <v>426</v>
      </c>
      <c r="M21" s="179" t="s">
        <v>408</v>
      </c>
      <c r="N21" s="57" t="s">
        <v>199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4"/>
  <sheetViews>
    <sheetView showGridLines="0" workbookViewId="0">
      <pane ySplit="1" topLeftCell="A2" activePane="bottomLeft" state="frozen"/>
      <selection pane="bottomLeft" activeCell="L27" sqref="L2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211</v>
      </c>
      <c r="B1" s="96" t="s">
        <v>212</v>
      </c>
      <c r="C1" s="78" t="s">
        <v>213</v>
      </c>
      <c r="D1" s="78" t="s">
        <v>33</v>
      </c>
      <c r="E1" s="96" t="s">
        <v>214</v>
      </c>
      <c r="F1" s="78" t="s">
        <v>215</v>
      </c>
      <c r="G1" s="78" t="s">
        <v>33</v>
      </c>
      <c r="H1" s="96" t="s">
        <v>216</v>
      </c>
      <c r="I1" s="96" t="s">
        <v>217</v>
      </c>
      <c r="J1" s="96" t="s">
        <v>218</v>
      </c>
      <c r="K1" s="74" t="s">
        <v>219</v>
      </c>
      <c r="L1" s="74" t="s">
        <v>220</v>
      </c>
      <c r="M1" s="74" t="s">
        <v>157</v>
      </c>
      <c r="N1" s="78" t="s">
        <v>16</v>
      </c>
      <c r="O1" s="74" t="s">
        <v>221</v>
      </c>
      <c r="P1" s="74" t="s">
        <v>57</v>
      </c>
      <c r="Q1" s="74" t="s">
        <v>222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223</v>
      </c>
      <c r="X1" s="74" t="s">
        <v>224</v>
      </c>
    </row>
    <row r="2" spans="1:24" x14ac:dyDescent="0.15">
      <c r="A2" s="97" t="str">
        <f>B2&amp;"_"&amp;E2&amp;"_"&amp;H2&amp;"_"&amp;I2&amp;"_"&amp;J2</f>
        <v>48101_2_everyone_full_member_1</v>
      </c>
      <c r="B2" s="83">
        <v>48101</v>
      </c>
      <c r="C2" s="84" t="str">
        <f ca="1">VLOOKUP($B2,OFFSET([2]quests!$A$1,0,0,COUNTA([2]quests!$A:$A),MATCH(C$1,[2]quests!$1:$1,0)-MATCH($B$1,[2]quests!$1:$1,0)+1),MATCH(C$1,[2]quests!$1:$1,0)-MATCH($B$1,[2]quests!$1:$1,0)+1,FALSE)</f>
        <v>喀耳刻襲来！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台湾版コラボ降臨1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台湾版コラボ降臨1</v>
      </c>
      <c r="H2" s="86" t="s">
        <v>225</v>
      </c>
      <c r="I2" s="85" t="s">
        <v>450</v>
      </c>
      <c r="J2" s="85">
        <v>1</v>
      </c>
      <c r="K2" s="85">
        <v>1000</v>
      </c>
      <c r="L2" s="85" t="s">
        <v>226</v>
      </c>
      <c r="M2" s="85">
        <v>8137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黑巫術之疚惡 ‧ 喀耳刻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227</v>
      </c>
      <c r="X2" s="100" t="s">
        <v>228</v>
      </c>
    </row>
    <row r="3" spans="1:24" ht="16" thickBot="1" x14ac:dyDescent="0.2">
      <c r="A3" s="205" t="str">
        <f>B3&amp;"_"&amp;E3&amp;"_"&amp;H3&amp;"_"&amp;I3&amp;"_"&amp;J3</f>
        <v>48101_2_everyone_no_continue_2</v>
      </c>
      <c r="B3" s="188">
        <v>48101</v>
      </c>
      <c r="C3" s="206" t="str">
        <f ca="1">VLOOKUP($B3,OFFSET([2]quests!$A$1,0,0,COUNTA([2]quests!$A:$A),MATCH(C$1,[2]quests!$1:$1,0)-MATCH($B$1,[2]quests!$1:$1,0)+1),MATCH(C$1,[2]quests!$1:$1,0)-MATCH($B$1,[2]quests!$1:$1,0)+1,FALSE)</f>
        <v>喀耳刻襲来！</v>
      </c>
      <c r="D3" s="206" t="str">
        <f ca="1">VLOOKUP($B3,OFFSET([2]quests!$A$1,0,0,COUNTA([2]quests!$A:$A),MATCH(D$1,[2]quests!$1:$1,0)-MATCH($B$1,[2]quests!$1:$1,0)+1),MATCH(D$1,[2]quests!$1:$1,0)-MATCH($B$1,[2]quests!$1:$1,0)+1,FALSE)</f>
        <v>台湾版コラボ降臨1</v>
      </c>
      <c r="E3" s="190">
        <v>2</v>
      </c>
      <c r="F3" s="206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【ウィザード級】喀耳刻襲来</v>
      </c>
      <c r="G3" s="206" t="str">
        <f ca="1">VLOOKUP($B3&amp;"_"&amp;$E3,OFFSET([2]stages!$A$1,0,0,COUNTA([2]stages!$A:$A),MATCH(G$1,[2]stages!$2:$2,0)-MATCH("temp_stage",[2]stages!$2:$2,0)+1),MATCH(G$1,[2]stages!$2:$2,0)-MATCH("temp_stage",[2]stages!$2:$2,0)+1,FALSE)</f>
        <v>台湾版コラボ降臨1</v>
      </c>
      <c r="H3" s="207" t="s">
        <v>225</v>
      </c>
      <c r="I3" s="190" t="s">
        <v>229</v>
      </c>
      <c r="J3" s="190">
        <v>2</v>
      </c>
      <c r="K3" s="190">
        <v>1000</v>
      </c>
      <c r="L3" s="190" t="s">
        <v>226</v>
      </c>
      <c r="M3" s="190">
        <v>8137</v>
      </c>
      <c r="N3" s="20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黑巫術之疚惡 ‧ 喀耳刻</v>
      </c>
      <c r="O3" s="190">
        <v>1</v>
      </c>
      <c r="P3" s="190">
        <v>1</v>
      </c>
      <c r="Q3" s="190">
        <v>1</v>
      </c>
      <c r="R3" s="190">
        <v>0</v>
      </c>
      <c r="S3" s="190">
        <v>0</v>
      </c>
      <c r="T3" s="190">
        <v>0</v>
      </c>
      <c r="U3" s="190">
        <v>0</v>
      </c>
      <c r="V3" s="190">
        <v>1</v>
      </c>
      <c r="W3" s="209" t="s">
        <v>227</v>
      </c>
      <c r="X3" s="210" t="s">
        <v>228</v>
      </c>
    </row>
    <row r="4" spans="1:24" ht="16" thickBot="1" x14ac:dyDescent="0.2">
      <c r="A4" s="205" t="str">
        <f>B4&amp;"_"&amp;E4&amp;"_"&amp;H4&amp;"_"&amp;I4&amp;"_"&amp;J4</f>
        <v>48101_1_everyone_full_member_3</v>
      </c>
      <c r="B4" s="188">
        <v>48101</v>
      </c>
      <c r="C4" s="206" t="str">
        <f ca="1">VLOOKUP($B4,OFFSET([2]quests!$A$1,0,0,COUNTA([2]quests!$A:$A),MATCH(C$1,[2]quests!$1:$1,0)-MATCH($B$1,[2]quests!$1:$1,0)+1),MATCH(C$1,[2]quests!$1:$1,0)-MATCH($B$1,[2]quests!$1:$1,0)+1,FALSE)</f>
        <v>喀耳刻襲来！</v>
      </c>
      <c r="D4" s="206" t="str">
        <f ca="1">VLOOKUP($B4,OFFSET([2]quests!$A$1,0,0,COUNTA([2]quests!$A:$A),MATCH(D$1,[2]quests!$1:$1,0)-MATCH($B$1,[2]quests!$1:$1,0)+1),MATCH(D$1,[2]quests!$1:$1,0)-MATCH($B$1,[2]quests!$1:$1,0)+1,FALSE)</f>
        <v>台湾版コラボ降臨1</v>
      </c>
      <c r="E4" s="190">
        <v>1</v>
      </c>
      <c r="F4" s="206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【超絶級】喀耳刻襲来</v>
      </c>
      <c r="G4" s="206" t="str">
        <f ca="1">VLOOKUP($B4&amp;"_"&amp;$E4,OFFSET([2]stages!$A$1,0,0,COUNTA([2]stages!$A:$A),MATCH(G$1,[2]stages!$2:$2,0)-MATCH("temp_stage",[2]stages!$2:$2,0)+1),MATCH(G$1,[2]stages!$2:$2,0)-MATCH("temp_stage",[2]stages!$2:$2,0)+1,FALSE)</f>
        <v>台湾版コラボ降臨1</v>
      </c>
      <c r="H4" s="207" t="s">
        <v>225</v>
      </c>
      <c r="I4" s="211" t="s">
        <v>450</v>
      </c>
      <c r="J4" s="190">
        <v>3</v>
      </c>
      <c r="K4" s="190">
        <v>1000</v>
      </c>
      <c r="L4" s="190" t="s">
        <v>226</v>
      </c>
      <c r="M4" s="190">
        <v>8137</v>
      </c>
      <c r="N4" s="208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黑巫術之疚惡 ‧ 喀耳刻</v>
      </c>
      <c r="O4" s="190">
        <v>1</v>
      </c>
      <c r="P4" s="190">
        <v>1</v>
      </c>
      <c r="Q4" s="190">
        <v>1</v>
      </c>
      <c r="R4" s="190">
        <v>0</v>
      </c>
      <c r="S4" s="190">
        <v>0</v>
      </c>
      <c r="T4" s="190">
        <v>0</v>
      </c>
      <c r="U4" s="190">
        <v>0</v>
      </c>
      <c r="V4" s="190">
        <v>1</v>
      </c>
      <c r="W4" s="209" t="s">
        <v>227</v>
      </c>
      <c r="X4" s="210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2017-05-26T03:19:11Z</dcterms:modified>
</cp:coreProperties>
</file>