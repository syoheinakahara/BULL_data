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5220" yWindow="460" windowWidth="33180" windowHeight="20540" tabRatio="721" activeTab="1"/>
  </bookViews>
  <sheets>
    <sheet name="output" sheetId="10" r:id="rId1"/>
    <sheet name="stage_bonuses" sheetId="3" r:id="rId2"/>
  </sheets>
  <externalReferences>
    <externalReference r:id="rId3"/>
    <externalReference r:id="rId4"/>
  </externalReferences>
  <definedNames>
    <definedName name="_xlnm._FilterDatabase" localSheetId="1" hidden="1">stage_bonuses!$B$1:$I$1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82" i="3" l="1"/>
  <c r="G82" i="3"/>
  <c r="F82" i="3"/>
  <c r="D82" i="3"/>
  <c r="C82" i="3"/>
  <c r="A82" i="3"/>
  <c r="N81" i="3"/>
  <c r="G81" i="3"/>
  <c r="F81" i="3"/>
  <c r="D81" i="3"/>
  <c r="C81" i="3"/>
  <c r="A81" i="3"/>
  <c r="N80" i="3"/>
  <c r="G80" i="3"/>
  <c r="F80" i="3"/>
  <c r="D80" i="3"/>
  <c r="C80" i="3"/>
  <c r="A80" i="3"/>
  <c r="N79" i="3"/>
  <c r="G79" i="3"/>
  <c r="F79" i="3"/>
  <c r="D79" i="3"/>
  <c r="C79" i="3"/>
  <c r="A79" i="3"/>
  <c r="N78" i="3"/>
  <c r="G78" i="3"/>
  <c r="F78" i="3"/>
  <c r="D78" i="3"/>
  <c r="C78" i="3"/>
  <c r="A78" i="3"/>
  <c r="N77" i="3"/>
  <c r="G77" i="3"/>
  <c r="F77" i="3"/>
  <c r="D77" i="3"/>
  <c r="C77" i="3"/>
  <c r="A77" i="3"/>
  <c r="N76" i="3"/>
  <c r="G76" i="3"/>
  <c r="F76" i="3"/>
  <c r="D76" i="3"/>
  <c r="C76" i="3"/>
  <c r="A76" i="3"/>
  <c r="N75" i="3"/>
  <c r="G75" i="3"/>
  <c r="F75" i="3"/>
  <c r="D75" i="3"/>
  <c r="C75" i="3"/>
  <c r="A75" i="3"/>
  <c r="N74" i="3"/>
  <c r="G74" i="3"/>
  <c r="F74" i="3"/>
  <c r="D74" i="3"/>
  <c r="C74" i="3"/>
  <c r="A74" i="3"/>
  <c r="N73" i="3"/>
  <c r="G73" i="3"/>
  <c r="F73" i="3"/>
  <c r="D73" i="3"/>
  <c r="C73" i="3"/>
  <c r="A73" i="3"/>
  <c r="N72" i="3"/>
  <c r="G72" i="3"/>
  <c r="F72" i="3"/>
  <c r="D72" i="3"/>
  <c r="C72" i="3"/>
  <c r="A72" i="3"/>
  <c r="N71" i="3"/>
  <c r="G71" i="3"/>
  <c r="F71" i="3"/>
  <c r="D71" i="3"/>
  <c r="C71" i="3"/>
  <c r="A71" i="3"/>
  <c r="N70" i="3"/>
  <c r="G70" i="3"/>
  <c r="F70" i="3"/>
  <c r="D70" i="3"/>
  <c r="C70" i="3"/>
  <c r="A70" i="3"/>
  <c r="N26" i="3"/>
  <c r="G26" i="3"/>
  <c r="F26" i="3"/>
  <c r="D26" i="3"/>
  <c r="C26" i="3"/>
  <c r="A26" i="3"/>
  <c r="N25" i="3"/>
  <c r="G25" i="3"/>
  <c r="F25" i="3"/>
  <c r="D25" i="3"/>
  <c r="C25" i="3"/>
  <c r="A25" i="3"/>
  <c r="N28" i="3"/>
  <c r="G28" i="3"/>
  <c r="F28" i="3"/>
  <c r="D28" i="3"/>
  <c r="C28" i="3"/>
  <c r="A28" i="3"/>
  <c r="N27" i="3"/>
  <c r="G27" i="3"/>
  <c r="F27" i="3"/>
  <c r="D27" i="3"/>
  <c r="C27" i="3"/>
  <c r="A27" i="3"/>
  <c r="N16" i="3"/>
  <c r="G16" i="3"/>
  <c r="F16" i="3"/>
  <c r="D16" i="3"/>
  <c r="C16" i="3"/>
  <c r="A16" i="3"/>
  <c r="N15" i="3"/>
  <c r="G15" i="3"/>
  <c r="F15" i="3"/>
  <c r="D15" i="3"/>
  <c r="C15" i="3"/>
  <c r="A15" i="3"/>
  <c r="A59" i="3"/>
  <c r="C59" i="3"/>
  <c r="D59" i="3"/>
  <c r="F59" i="3"/>
  <c r="G59" i="3"/>
  <c r="N59" i="3"/>
  <c r="N40" i="3"/>
  <c r="N39" i="3"/>
  <c r="N38" i="3"/>
  <c r="N41" i="3"/>
  <c r="N35" i="3"/>
  <c r="N43" i="3"/>
  <c r="G43" i="3"/>
  <c r="F43" i="3"/>
  <c r="D43" i="3"/>
  <c r="C43" i="3"/>
  <c r="A43" i="3"/>
  <c r="N42" i="3"/>
  <c r="G42" i="3"/>
  <c r="F42" i="3"/>
  <c r="D42" i="3"/>
  <c r="C42" i="3"/>
  <c r="A42" i="3"/>
  <c r="G41" i="3"/>
  <c r="F41" i="3"/>
  <c r="D41" i="3"/>
  <c r="C41" i="3"/>
  <c r="A41" i="3"/>
  <c r="G40" i="3"/>
  <c r="F40" i="3"/>
  <c r="D40" i="3"/>
  <c r="C40" i="3"/>
  <c r="A40" i="3"/>
  <c r="A35" i="3"/>
  <c r="C35" i="3"/>
  <c r="D35" i="3"/>
  <c r="F35" i="3"/>
  <c r="G35" i="3"/>
  <c r="A36" i="3"/>
  <c r="C36" i="3"/>
  <c r="D36" i="3"/>
  <c r="F36" i="3"/>
  <c r="G36" i="3"/>
  <c r="N36" i="3"/>
  <c r="A37" i="3"/>
  <c r="C37" i="3"/>
  <c r="D37" i="3"/>
  <c r="F37" i="3"/>
  <c r="G37" i="3"/>
  <c r="N37" i="3"/>
  <c r="A38" i="3"/>
  <c r="C38" i="3"/>
  <c r="D38" i="3"/>
  <c r="F38" i="3"/>
  <c r="G38" i="3"/>
  <c r="A39" i="3"/>
  <c r="C39" i="3"/>
  <c r="D39" i="3"/>
  <c r="F39" i="3"/>
  <c r="G39" i="3"/>
  <c r="N58" i="3"/>
  <c r="G58" i="3"/>
  <c r="F58" i="3"/>
  <c r="D58" i="3"/>
  <c r="C58" i="3"/>
  <c r="A58" i="3"/>
  <c r="N57" i="3"/>
  <c r="G57" i="3"/>
  <c r="F57" i="3"/>
  <c r="D57" i="3"/>
  <c r="C57" i="3"/>
  <c r="A57" i="3"/>
  <c r="N69" i="3"/>
  <c r="G69" i="3"/>
  <c r="F69" i="3"/>
  <c r="D69" i="3"/>
  <c r="C69" i="3"/>
  <c r="A69" i="3"/>
  <c r="N68" i="3"/>
  <c r="G68" i="3"/>
  <c r="F68" i="3"/>
  <c r="D68" i="3"/>
  <c r="C68" i="3"/>
  <c r="A68" i="3"/>
  <c r="N67" i="3"/>
  <c r="G67" i="3"/>
  <c r="F67" i="3"/>
  <c r="D67" i="3"/>
  <c r="C67" i="3"/>
  <c r="A67" i="3"/>
  <c r="N66" i="3"/>
  <c r="G66" i="3"/>
  <c r="F66" i="3"/>
  <c r="D66" i="3"/>
  <c r="C66" i="3"/>
  <c r="A66" i="3"/>
  <c r="N65" i="3"/>
  <c r="G65" i="3"/>
  <c r="F65" i="3"/>
  <c r="D65" i="3"/>
  <c r="C65" i="3"/>
  <c r="A65" i="3"/>
  <c r="N64" i="3"/>
  <c r="G64" i="3"/>
  <c r="F64" i="3"/>
  <c r="D64" i="3"/>
  <c r="C64" i="3"/>
  <c r="A64" i="3"/>
  <c r="N63" i="3"/>
  <c r="G63" i="3"/>
  <c r="F63" i="3"/>
  <c r="D63" i="3"/>
  <c r="C63" i="3"/>
  <c r="A63" i="3"/>
  <c r="N62" i="3"/>
  <c r="G62" i="3"/>
  <c r="F62" i="3"/>
  <c r="D62" i="3"/>
  <c r="C62" i="3"/>
  <c r="A62" i="3"/>
  <c r="N61" i="3"/>
  <c r="G61" i="3"/>
  <c r="F61" i="3"/>
  <c r="D61" i="3"/>
  <c r="C61" i="3"/>
  <c r="A61" i="3"/>
  <c r="N60" i="3"/>
  <c r="G60" i="3"/>
  <c r="F60" i="3"/>
  <c r="D60" i="3"/>
  <c r="C60" i="3"/>
  <c r="A60" i="3"/>
  <c r="N54" i="3"/>
  <c r="N53" i="3"/>
  <c r="N52" i="3"/>
  <c r="N29" i="3"/>
  <c r="N56" i="3"/>
  <c r="G56" i="3"/>
  <c r="F56" i="3"/>
  <c r="D56" i="3"/>
  <c r="C56" i="3"/>
  <c r="A56" i="3"/>
  <c r="N55" i="3"/>
  <c r="G55" i="3"/>
  <c r="F55" i="3"/>
  <c r="D55" i="3"/>
  <c r="C55" i="3"/>
  <c r="A55" i="3"/>
  <c r="G54" i="3"/>
  <c r="F54" i="3"/>
  <c r="D54" i="3"/>
  <c r="C54" i="3"/>
  <c r="A54" i="3"/>
  <c r="G53" i="3"/>
  <c r="F53" i="3"/>
  <c r="D53" i="3"/>
  <c r="C53" i="3"/>
  <c r="A53" i="3"/>
  <c r="G52" i="3"/>
  <c r="F52" i="3"/>
  <c r="D52" i="3"/>
  <c r="C52" i="3"/>
  <c r="A52" i="3"/>
  <c r="N51" i="3"/>
  <c r="G51" i="3"/>
  <c r="F51" i="3"/>
  <c r="D51" i="3"/>
  <c r="C51" i="3"/>
  <c r="A51" i="3"/>
  <c r="N50" i="3"/>
  <c r="G50" i="3"/>
  <c r="F50" i="3"/>
  <c r="D50" i="3"/>
  <c r="C50" i="3"/>
  <c r="A50" i="3"/>
  <c r="N49" i="3"/>
  <c r="G49" i="3"/>
  <c r="F49" i="3"/>
  <c r="D49" i="3"/>
  <c r="C49" i="3"/>
  <c r="A49" i="3"/>
  <c r="N48" i="3"/>
  <c r="G48" i="3"/>
  <c r="F48" i="3"/>
  <c r="D48" i="3"/>
  <c r="C48" i="3"/>
  <c r="A48" i="3"/>
  <c r="N47" i="3"/>
  <c r="G47" i="3"/>
  <c r="F47" i="3"/>
  <c r="D47" i="3"/>
  <c r="C47" i="3"/>
  <c r="A47" i="3"/>
  <c r="N46" i="3"/>
  <c r="G46" i="3"/>
  <c r="F46" i="3"/>
  <c r="D46" i="3"/>
  <c r="C46" i="3"/>
  <c r="A46" i="3"/>
  <c r="N45" i="3"/>
  <c r="G45" i="3"/>
  <c r="F45" i="3"/>
  <c r="D45" i="3"/>
  <c r="C45" i="3"/>
  <c r="A45" i="3"/>
  <c r="N44" i="3"/>
  <c r="G44" i="3"/>
  <c r="F44" i="3"/>
  <c r="D44" i="3"/>
  <c r="C44" i="3"/>
  <c r="A44" i="3"/>
  <c r="N34" i="3"/>
  <c r="G34" i="3"/>
  <c r="F34" i="3"/>
  <c r="D34" i="3"/>
  <c r="C34" i="3"/>
  <c r="A34" i="3"/>
  <c r="N33" i="3"/>
  <c r="G33" i="3"/>
  <c r="F33" i="3"/>
  <c r="D33" i="3"/>
  <c r="C33" i="3"/>
  <c r="A33" i="3"/>
  <c r="N32" i="3"/>
  <c r="G32" i="3"/>
  <c r="F32" i="3"/>
  <c r="D32" i="3"/>
  <c r="C32" i="3"/>
  <c r="A32" i="3"/>
  <c r="N31" i="3"/>
  <c r="G31" i="3"/>
  <c r="F31" i="3"/>
  <c r="D31" i="3"/>
  <c r="C31" i="3"/>
  <c r="A31" i="3"/>
  <c r="N30" i="3"/>
  <c r="G30" i="3"/>
  <c r="F30" i="3"/>
  <c r="D30" i="3"/>
  <c r="C30" i="3"/>
  <c r="A30" i="3"/>
  <c r="G29" i="3"/>
  <c r="F29" i="3"/>
  <c r="D29" i="3"/>
  <c r="C29" i="3"/>
  <c r="A29" i="3"/>
  <c r="N11" i="3"/>
  <c r="G11" i="3"/>
  <c r="F11" i="3"/>
  <c r="D11" i="3"/>
  <c r="C11" i="3"/>
  <c r="A11" i="3"/>
  <c r="N14" i="3"/>
  <c r="F14" i="3"/>
  <c r="G14" i="3"/>
  <c r="C14" i="3"/>
  <c r="D14" i="3"/>
  <c r="A14" i="3"/>
  <c r="N12" i="3"/>
  <c r="N13" i="3"/>
  <c r="N8" i="3"/>
  <c r="G13" i="3"/>
  <c r="G12" i="3"/>
  <c r="F13" i="3"/>
  <c r="F12" i="3"/>
  <c r="D13" i="3"/>
  <c r="D12" i="3"/>
  <c r="C13" i="3"/>
  <c r="C12" i="3"/>
  <c r="A12" i="3"/>
  <c r="A13" i="3"/>
  <c r="A10" i="3"/>
  <c r="C10" i="3"/>
  <c r="D10" i="3"/>
  <c r="F10" i="3"/>
  <c r="G10" i="3"/>
  <c r="N10" i="3"/>
  <c r="N17" i="3"/>
  <c r="N18" i="3"/>
  <c r="N19" i="3"/>
  <c r="N20" i="3"/>
  <c r="N24" i="3"/>
  <c r="G24" i="3"/>
  <c r="F24" i="3"/>
  <c r="D24" i="3"/>
  <c r="C24" i="3"/>
  <c r="A24" i="3"/>
  <c r="N23" i="3"/>
  <c r="G23" i="3"/>
  <c r="F23" i="3"/>
  <c r="D23" i="3"/>
  <c r="C23" i="3"/>
  <c r="A23" i="3"/>
  <c r="N22" i="3"/>
  <c r="G22" i="3"/>
  <c r="F22" i="3"/>
  <c r="D22" i="3"/>
  <c r="C22" i="3"/>
  <c r="A22" i="3"/>
  <c r="N21" i="3"/>
  <c r="G21" i="3"/>
  <c r="F21" i="3"/>
  <c r="D21" i="3"/>
  <c r="C21" i="3"/>
  <c r="A21" i="3"/>
  <c r="G20" i="3"/>
  <c r="F20" i="3"/>
  <c r="D20" i="3"/>
  <c r="C20" i="3"/>
  <c r="A20" i="3"/>
  <c r="G19" i="3"/>
  <c r="F19" i="3"/>
  <c r="D19" i="3"/>
  <c r="C19" i="3"/>
  <c r="A19" i="3"/>
  <c r="G18" i="3"/>
  <c r="F18" i="3"/>
  <c r="D18" i="3"/>
  <c r="C18" i="3"/>
  <c r="A18" i="3"/>
  <c r="G17" i="3"/>
  <c r="F17" i="3"/>
  <c r="D17" i="3"/>
  <c r="C17" i="3"/>
  <c r="A17" i="3"/>
  <c r="N9" i="3"/>
  <c r="G9" i="3"/>
  <c r="F9" i="3"/>
  <c r="D9" i="3"/>
  <c r="C9" i="3"/>
  <c r="A9" i="3"/>
  <c r="G8" i="3"/>
  <c r="F8" i="3"/>
  <c r="D8" i="3"/>
  <c r="C8" i="3"/>
  <c r="A8" i="3"/>
  <c r="N7" i="3"/>
  <c r="G7" i="3"/>
  <c r="F7" i="3"/>
  <c r="D7" i="3"/>
  <c r="C7" i="3"/>
  <c r="A7" i="3"/>
  <c r="N6" i="3"/>
  <c r="G6" i="3"/>
  <c r="F6" i="3"/>
  <c r="D6" i="3"/>
  <c r="C6" i="3"/>
  <c r="A6" i="3"/>
  <c r="N5" i="3"/>
  <c r="G5" i="3"/>
  <c r="F5" i="3"/>
  <c r="D5" i="3"/>
  <c r="C5" i="3"/>
  <c r="A5" i="3"/>
  <c r="N4" i="3"/>
  <c r="G4" i="3"/>
  <c r="F4" i="3"/>
  <c r="D4" i="3"/>
  <c r="C4" i="3"/>
  <c r="A4" i="3"/>
  <c r="N3" i="3"/>
  <c r="G3" i="3"/>
  <c r="F3" i="3"/>
  <c r="D3" i="3"/>
  <c r="C3" i="3"/>
  <c r="A3" i="3"/>
  <c r="A2" i="3"/>
  <c r="C2" i="3"/>
  <c r="D2" i="3"/>
  <c r="F2" i="3"/>
  <c r="G2" i="3"/>
  <c r="N2" i="3"/>
  <c r="E2" i="10"/>
</calcChain>
</file>

<file path=xl/sharedStrings.xml><?xml version="1.0" encoding="utf-8"?>
<sst xmlns="http://schemas.openxmlformats.org/spreadsheetml/2006/main" count="459" uniqueCount="44">
  <si>
    <t>quest_id</t>
    <phoneticPr fontId="4"/>
  </si>
  <si>
    <t>stage_id</t>
    <phoneticPr fontId="4"/>
  </si>
  <si>
    <t>temp_id</t>
    <phoneticPr fontId="4"/>
  </si>
  <si>
    <t>name</t>
    <phoneticPr fontId="4"/>
  </si>
  <si>
    <t>位置付け</t>
    <rPh sb="0" eb="3">
      <t>イチヅ</t>
    </rPh>
    <phoneticPr fontId="4"/>
  </si>
  <si>
    <t>接頭語</t>
    <rPh sb="0" eb="3">
      <t>セットウゴ</t>
    </rPh>
    <phoneticPr fontId="4"/>
  </si>
  <si>
    <t>識別子</t>
    <rPh sb="0" eb="3">
      <t>シキベツシ</t>
    </rPh>
    <phoneticPr fontId="4"/>
  </si>
  <si>
    <t>形式</t>
    <rPh sb="0" eb="2">
      <t>ケイシキ</t>
    </rPh>
    <phoneticPr fontId="4"/>
  </si>
  <si>
    <t>出力ファイル名</t>
    <rPh sb="0" eb="2">
      <t>シュツリョク</t>
    </rPh>
    <rPh sb="6" eb="7">
      <t>メイ</t>
    </rPh>
    <phoneticPr fontId="4"/>
  </si>
  <si>
    <t>入力シート名</t>
    <rPh sb="0" eb="2">
      <t>ニュウリョク</t>
    </rPh>
    <rPh sb="5" eb="6">
      <t>メイ</t>
    </rPh>
    <phoneticPr fontId="4"/>
  </si>
  <si>
    <t>出力データ</t>
    <rPh sb="0" eb="2">
      <t>シュツリョク</t>
    </rPh>
    <phoneticPr fontId="4"/>
  </si>
  <si>
    <t>出力flg</t>
    <rPh sb="0" eb="2">
      <t>シュツリョク</t>
    </rPh>
    <phoneticPr fontId="4"/>
  </si>
  <si>
    <t>stage_bonuses</t>
    <phoneticPr fontId="4"/>
  </si>
  <si>
    <t>stage_target</t>
    <phoneticPr fontId="4"/>
  </si>
  <si>
    <t>everyone</t>
    <phoneticPr fontId="4"/>
  </si>
  <si>
    <t>bonus_category</t>
    <phoneticPr fontId="4"/>
  </si>
  <si>
    <t>clear</t>
    <phoneticPr fontId="4"/>
  </si>
  <si>
    <t>bonus_id</t>
    <phoneticPr fontId="4"/>
  </si>
  <si>
    <t>bonus_type</t>
    <phoneticPr fontId="4"/>
  </si>
  <si>
    <t>unit</t>
    <phoneticPr fontId="4"/>
  </si>
  <si>
    <t>bonus_value</t>
    <phoneticPr fontId="4"/>
  </si>
  <si>
    <t>bonus_count</t>
    <phoneticPr fontId="4"/>
  </si>
  <si>
    <t>level</t>
    <phoneticPr fontId="4"/>
  </si>
  <si>
    <t>skill_level</t>
    <phoneticPr fontId="4"/>
  </si>
  <si>
    <t>hp_plus</t>
    <phoneticPr fontId="4"/>
  </si>
  <si>
    <t>attack_plus</t>
    <phoneticPr fontId="4"/>
  </si>
  <si>
    <t>defense_plus</t>
    <phoneticPr fontId="4"/>
  </si>
  <si>
    <t>heal_plus</t>
    <phoneticPr fontId="4"/>
  </si>
  <si>
    <t>bug</t>
    <phoneticPr fontId="4"/>
  </si>
  <si>
    <t>weight</t>
    <phoneticPr fontId="4"/>
  </si>
  <si>
    <t>name</t>
    <phoneticPr fontId="4"/>
  </si>
  <si>
    <t>old</t>
    <phoneticPr fontId="37"/>
  </si>
  <si>
    <t>2016-5-27 0:00:00</t>
    <phoneticPr fontId="4"/>
  </si>
  <si>
    <t>2970-01-01 09:00:00</t>
    <phoneticPr fontId="4"/>
  </si>
  <si>
    <t>definite_start_date</t>
    <phoneticPr fontId="4"/>
  </si>
  <si>
    <t>definite_end_date</t>
    <phoneticPr fontId="4"/>
  </si>
  <si>
    <t>clear</t>
  </si>
  <si>
    <t>.tmp</t>
    <phoneticPr fontId="4"/>
  </si>
  <si>
    <t>_base</t>
    <phoneticPr fontId="4"/>
  </si>
  <si>
    <t>no_continue</t>
    <phoneticPr fontId="4"/>
  </si>
  <si>
    <t>2016-5-27 0:00:00</t>
  </si>
  <si>
    <t>2970-01-01 09:00:00</t>
  </si>
  <si>
    <t>full_member</t>
  </si>
  <si>
    <t>singleonly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</si>
</sst>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0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.6"/>
      <color rgb="FF000000"/>
      <name val="Arial"/>
      <family val="2"/>
    </font>
    <font>
      <sz val="10"/>
      <color theme="1"/>
      <name val="ＭＳ Ｐゴシック"/>
      <family val="2"/>
      <charset val="128"/>
      <scheme val="minor"/>
    </font>
    <font>
      <sz val="10"/>
      <color rgb="FF000000"/>
      <name val="Arial"/>
      <family val="2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 tint="-0.49998474074526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881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13" fillId="6" borderId="3" applyNumberFormat="0" applyAlignment="0" applyProtection="0"/>
    <xf numFmtId="0" fontId="14" fillId="7" borderId="0" applyNumberFormat="0" applyBorder="0" applyAlignment="0" applyProtection="0"/>
    <xf numFmtId="0" fontId="15" fillId="8" borderId="4" applyNumberForma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8" fillId="10" borderId="5" applyNumberFormat="0" applyAlignment="0" applyProtection="0"/>
    <xf numFmtId="0" fontId="19" fillId="0" borderId="0" applyNumberFormat="0" applyFill="0" applyBorder="0" applyAlignment="0" applyProtection="0"/>
    <xf numFmtId="0" fontId="20" fillId="0" borderId="6" applyNumberFormat="0" applyFill="0" applyAlignment="0" applyProtection="0"/>
    <xf numFmtId="0" fontId="21" fillId="0" borderId="7" applyNumberFormat="0" applyFill="0" applyAlignment="0" applyProtection="0"/>
    <xf numFmtId="0" fontId="22" fillId="0" borderId="8" applyNumberFormat="0" applyFill="0" applyAlignment="0" applyProtection="0"/>
    <xf numFmtId="0" fontId="22" fillId="0" borderId="0" applyNumberFormat="0" applyFill="0" applyBorder="0" applyAlignment="0" applyProtection="0"/>
    <xf numFmtId="0" fontId="23" fillId="8" borderId="0" applyNumberFormat="0" applyBorder="0" applyAlignment="0" applyProtection="0"/>
    <xf numFmtId="0" fontId="23" fillId="7" borderId="0" applyNumberFormat="0" applyBorder="0" applyAlignment="0" applyProtection="0"/>
    <xf numFmtId="0" fontId="23" fillId="11" borderId="0" applyNumberFormat="0" applyBorder="0" applyAlignment="0" applyProtection="0"/>
    <xf numFmtId="0" fontId="23" fillId="8" borderId="0" applyNumberFormat="0" applyBorder="0" applyAlignment="0" applyProtection="0"/>
    <xf numFmtId="0" fontId="23" fillId="12" borderId="0" applyNumberFormat="0" applyBorder="0" applyAlignment="0" applyProtection="0"/>
    <xf numFmtId="0" fontId="23" fillId="6" borderId="0" applyNumberFormat="0" applyBorder="0" applyAlignment="0" applyProtection="0"/>
    <xf numFmtId="0" fontId="23" fillId="8" borderId="0" applyNumberFormat="0" applyBorder="0" applyAlignment="0" applyProtection="0"/>
    <xf numFmtId="0" fontId="23" fillId="13" borderId="0" applyNumberFormat="0" applyBorder="0" applyAlignment="0" applyProtection="0"/>
    <xf numFmtId="0" fontId="23" fillId="11" borderId="0" applyNumberFormat="0" applyBorder="0" applyAlignment="0" applyProtection="0"/>
    <xf numFmtId="0" fontId="23" fillId="8" borderId="0" applyNumberFormat="0" applyBorder="0" applyAlignment="0" applyProtection="0"/>
    <xf numFmtId="0" fontId="23" fillId="14" borderId="0" applyNumberFormat="0" applyBorder="0" applyAlignment="0" applyProtection="0"/>
    <xf numFmtId="0" fontId="23" fillId="7" borderId="0" applyNumberFormat="0" applyBorder="0" applyAlignment="0" applyProtection="0"/>
    <xf numFmtId="0" fontId="24" fillId="15" borderId="0" applyNumberFormat="0" applyBorder="0" applyAlignment="0" applyProtection="0"/>
    <xf numFmtId="0" fontId="24" fillId="13" borderId="0" applyNumberFormat="0" applyBorder="0" applyAlignment="0" applyProtection="0"/>
    <xf numFmtId="0" fontId="24" fillId="11" borderId="0" applyNumberFormat="0" applyBorder="0" applyAlignment="0" applyProtection="0"/>
    <xf numFmtId="0" fontId="24" fillId="8" borderId="0" applyNumberFormat="0" applyBorder="0" applyAlignment="0" applyProtection="0"/>
    <xf numFmtId="0" fontId="24" fillId="15" borderId="0" applyNumberFormat="0" applyBorder="0" applyAlignment="0" applyProtection="0"/>
    <xf numFmtId="0" fontId="24" fillId="7" borderId="0" applyNumberFormat="0" applyBorder="0" applyAlignment="0" applyProtection="0"/>
    <xf numFmtId="0" fontId="16" fillId="0" borderId="0" applyNumberFormat="0" applyFill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1" borderId="0" applyNumberFormat="0" applyBorder="0" applyAlignment="0" applyProtection="0"/>
    <xf numFmtId="0" fontId="24" fillId="17" borderId="0" applyNumberFormat="0" applyBorder="0" applyAlignment="0" applyProtection="0"/>
    <xf numFmtId="0" fontId="24" fillId="15" borderId="0" applyNumberFormat="0" applyBorder="0" applyAlignment="0" applyProtection="0"/>
    <xf numFmtId="0" fontId="24" fillId="13" borderId="0" applyNumberFormat="0" applyBorder="0" applyAlignment="0" applyProtection="0"/>
    <xf numFmtId="0" fontId="25" fillId="18" borderId="0" applyNumberFormat="0" applyBorder="0" applyAlignment="0" applyProtection="0"/>
    <xf numFmtId="0" fontId="14" fillId="7" borderId="0" applyNumberFormat="0" applyBorder="0" applyAlignment="0" applyProtection="0"/>
    <xf numFmtId="0" fontId="26" fillId="0" borderId="0"/>
    <xf numFmtId="0" fontId="27" fillId="0" borderId="9" applyNumberFormat="0" applyFill="0" applyAlignment="0" applyProtection="0"/>
    <xf numFmtId="0" fontId="28" fillId="8" borderId="10" applyNumberFormat="0" applyAlignment="0" applyProtection="0"/>
    <xf numFmtId="0" fontId="28" fillId="19" borderId="10" applyNumberFormat="0" applyAlignment="0" applyProtection="0"/>
    <xf numFmtId="0" fontId="15" fillId="7" borderId="4" applyNumberFormat="0" applyAlignment="0" applyProtection="0"/>
    <xf numFmtId="0" fontId="29" fillId="0" borderId="11" applyNumberFormat="0" applyFill="0" applyAlignment="0" applyProtection="0"/>
    <xf numFmtId="0" fontId="30" fillId="19" borderId="4" applyNumberFormat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2" applyNumberFormat="0" applyFill="0" applyAlignment="0" applyProtection="0"/>
    <xf numFmtId="0" fontId="33" fillId="20" borderId="0" applyNumberFormat="0" applyBorder="0" applyAlignment="0" applyProtection="0"/>
    <xf numFmtId="0" fontId="34" fillId="21" borderId="0" applyNumberFormat="0" applyBorder="0" applyAlignment="0" applyProtection="0"/>
    <xf numFmtId="0" fontId="35" fillId="0" borderId="0"/>
    <xf numFmtId="0" fontId="2" fillId="0" borderId="0"/>
    <xf numFmtId="0" fontId="2" fillId="0" borderId="0"/>
    <xf numFmtId="0" fontId="36" fillId="21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6" fillId="2" borderId="1" xfId="0" applyFont="1" applyFill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12" fillId="4" borderId="2" xfId="0" applyFont="1" applyFill="1" applyBorder="1" applyAlignment="1">
      <alignment vertical="center"/>
    </xf>
    <xf numFmtId="0" fontId="7" fillId="0" borderId="1" xfId="0" applyFont="1" applyFill="1" applyBorder="1"/>
    <xf numFmtId="0" fontId="5" fillId="0" borderId="1" xfId="0" applyFont="1" applyFill="1" applyBorder="1"/>
    <xf numFmtId="0" fontId="6" fillId="4" borderId="1" xfId="0" applyFont="1" applyFill="1" applyBorder="1" applyAlignment="1">
      <alignment horizontal="center"/>
    </xf>
    <xf numFmtId="0" fontId="11" fillId="5" borderId="1" xfId="455" applyFont="1" applyFill="1" applyBorder="1"/>
    <xf numFmtId="0" fontId="2" fillId="5" borderId="1" xfId="455" applyFill="1" applyBorder="1"/>
    <xf numFmtId="0" fontId="2" fillId="0" borderId="0" xfId="455"/>
    <xf numFmtId="0" fontId="11" fillId="5" borderId="1" xfId="0" applyFont="1" applyFill="1" applyBorder="1"/>
    <xf numFmtId="0" fontId="2" fillId="22" borderId="1" xfId="455" applyFill="1" applyBorder="1"/>
    <xf numFmtId="0" fontId="12" fillId="0" borderId="2" xfId="0" applyFont="1" applyFill="1" applyBorder="1" applyAlignment="1">
      <alignment vertical="center"/>
    </xf>
    <xf numFmtId="0" fontId="0" fillId="0" borderId="1" xfId="455" applyFont="1" applyBorder="1"/>
    <xf numFmtId="0" fontId="11" fillId="3" borderId="0" xfId="0" applyFont="1" applyFill="1" applyAlignment="1">
      <alignment horizontal="left" indent="1"/>
    </xf>
    <xf numFmtId="0" fontId="5" fillId="4" borderId="1" xfId="0" applyFont="1" applyFill="1" applyBorder="1"/>
    <xf numFmtId="0" fontId="38" fillId="2" borderId="1" xfId="0" applyFont="1" applyFill="1" applyBorder="1" applyAlignment="1">
      <alignment horizontal="center"/>
    </xf>
    <xf numFmtId="22" fontId="5" fillId="0" borderId="1" xfId="0" quotePrefix="1" applyNumberFormat="1" applyFont="1" applyFill="1" applyBorder="1"/>
    <xf numFmtId="0" fontId="5" fillId="0" borderId="1" xfId="0" quotePrefix="1" applyFont="1" applyFill="1" applyBorder="1"/>
    <xf numFmtId="0" fontId="5" fillId="0" borderId="13" xfId="0" applyFont="1" applyFill="1" applyBorder="1"/>
    <xf numFmtId="0" fontId="12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39" fillId="0" borderId="1" xfId="0" applyFont="1" applyFill="1" applyBorder="1" applyAlignment="1">
      <alignment horizontal="right" vertical="center"/>
    </xf>
  </cellXfs>
  <cellStyles count="881">
    <cellStyle name="20% - ANZg1" xfId="469"/>
    <cellStyle name="20% - ANZg2" xfId="470"/>
    <cellStyle name="20% - ANZg3" xfId="471"/>
    <cellStyle name="20% - ANZg4" xfId="472"/>
    <cellStyle name="20% - ANZg5" xfId="473"/>
    <cellStyle name="20% - ANZg6" xfId="474"/>
    <cellStyle name="40% - ANZg1" xfId="475"/>
    <cellStyle name="40% - ANZg2" xfId="476"/>
    <cellStyle name="40% - ANZg3" xfId="477"/>
    <cellStyle name="40% - ANZg4" xfId="478"/>
    <cellStyle name="40% - ANZg5" xfId="479"/>
    <cellStyle name="40% - ANZg6" xfId="480"/>
    <cellStyle name="60% - ANZg1" xfId="481"/>
    <cellStyle name="60% - ANZg2" xfId="482"/>
    <cellStyle name="60% - ANZg3" xfId="483"/>
    <cellStyle name="60% - ANZg4" xfId="484"/>
    <cellStyle name="60% - ANZg5" xfId="485"/>
    <cellStyle name="60% - ANZg6" xfId="486"/>
    <cellStyle name="Excel Built-in Normal" xfId="496"/>
    <cellStyle name="^Cg" xfId="464"/>
    <cellStyle name="`FbN Z" xfId="463"/>
    <cellStyle name="ANZg 1" xfId="488"/>
    <cellStyle name="ANZg 2" xfId="489"/>
    <cellStyle name="ANZg 3" xfId="490"/>
    <cellStyle name="ANZg 4" xfId="491"/>
    <cellStyle name="ANZg 5" xfId="492"/>
    <cellStyle name="ANZg 6" xfId="493"/>
    <cellStyle name="" xfId="458"/>
    <cellStyle name="N Z" xfId="497"/>
    <cellStyle name="_" xfId="459"/>
    <cellStyle name="«¢" xfId="462"/>
    <cellStyle name="vZ" xfId="502"/>
    <cellStyle name="x÷" xfId="504"/>
    <cellStyle name="x¶" xfId="503"/>
    <cellStyle name="ýo_ 1" xfId="505"/>
    <cellStyle name="©oµ 1" xfId="465"/>
    <cellStyle name="©oµ 2" xfId="466"/>
    <cellStyle name="©oµ 3" xfId="467"/>
    <cellStyle name="©oµ 4" xfId="468"/>
    <cellStyle name="v" xfId="501"/>
    <cellStyle name="o_" xfId="498"/>
    <cellStyle name="oÍ" xfId="499"/>
    <cellStyle name="__÷" xfId="461"/>
    <cellStyle name="à¾¶" xfId="487"/>
    <cellStyle name="__" xfId="460"/>
    <cellStyle name="üÍ" xfId="500"/>
    <cellStyle name="Ê" xfId="495"/>
    <cellStyle name="Ç¢" xfId="494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桁区切り 2" xfId="139"/>
    <cellStyle name="桁区切り 2 2" xfId="844"/>
    <cellStyle name="標準" xfId="0" builtinId="0"/>
    <cellStyle name="標準 2" xfId="238"/>
    <cellStyle name="標準 3" xfId="508"/>
    <cellStyle name="標準 4" xfId="456"/>
    <cellStyle name="標準 4 2" xfId="457"/>
    <cellStyle name="標準 5" xfId="509"/>
    <cellStyle name="標準 5 2" xfId="510"/>
    <cellStyle name="標準 6" xfId="455"/>
    <cellStyle name="無題1" xfId="5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赤字強調" xfId="507"/>
    <cellStyle name="青字強調" xfId="506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externalLink" Target="externalLinks/externalLink2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48501_1</v>
          </cell>
        </row>
        <row r="873">
          <cell r="A873" t="str">
            <v>48501_2</v>
          </cell>
        </row>
        <row r="874">
          <cell r="A874" t="str">
            <v>48502_1</v>
          </cell>
        </row>
        <row r="875">
          <cell r="A875" t="str">
            <v>48502_2</v>
          </cell>
        </row>
        <row r="876">
          <cell r="A876" t="str">
            <v>48701_1</v>
          </cell>
        </row>
        <row r="877">
          <cell r="A877" t="str">
            <v>48701_2</v>
          </cell>
        </row>
        <row r="878">
          <cell r="A878" t="str">
            <v>49001_1</v>
          </cell>
        </row>
        <row r="879">
          <cell r="A879" t="str">
            <v>49002_1</v>
          </cell>
        </row>
        <row r="880">
          <cell r="A880" t="str">
            <v>49002_2</v>
          </cell>
        </row>
        <row r="881">
          <cell r="A881" t="str">
            <v>49003_1</v>
          </cell>
        </row>
        <row r="882">
          <cell r="A882" t="str">
            <v>49003_2</v>
          </cell>
        </row>
        <row r="883">
          <cell r="A883" t="str">
            <v>49004_1</v>
          </cell>
        </row>
        <row r="884">
          <cell r="A884" t="str">
            <v>49004_2</v>
          </cell>
        </row>
        <row r="885">
          <cell r="A885" t="str">
            <v>49004_3</v>
          </cell>
        </row>
        <row r="886">
          <cell r="A886" t="str">
            <v>49005_1</v>
          </cell>
        </row>
        <row r="887">
          <cell r="A887" t="str">
            <v>49006_1</v>
          </cell>
        </row>
        <row r="888">
          <cell r="A888" t="str">
            <v>49006_2</v>
          </cell>
        </row>
        <row r="889">
          <cell r="A889" t="str">
            <v>49007_1</v>
          </cell>
        </row>
        <row r="890">
          <cell r="A890" t="str">
            <v>49007_2</v>
          </cell>
        </row>
        <row r="891">
          <cell r="A891" t="str">
            <v>49007_3</v>
          </cell>
        </row>
        <row r="892">
          <cell r="A892" t="str">
            <v>49008_1</v>
          </cell>
        </row>
        <row r="893">
          <cell r="A893" t="str">
            <v>49009_1</v>
          </cell>
        </row>
        <row r="894">
          <cell r="A894" t="str">
            <v>49010_1</v>
          </cell>
        </row>
        <row r="895">
          <cell r="A895" t="str">
            <v>49011_1</v>
          </cell>
        </row>
        <row r="896">
          <cell r="A896" t="str">
            <v>49012_1</v>
          </cell>
        </row>
        <row r="897">
          <cell r="A897" t="str">
            <v>49013_1</v>
          </cell>
        </row>
        <row r="898">
          <cell r="A898" t="str">
            <v>49014_1</v>
          </cell>
        </row>
        <row r="899">
          <cell r="A899" t="str">
            <v>49014_2</v>
          </cell>
        </row>
        <row r="900">
          <cell r="A900" t="str">
            <v>49015_1</v>
          </cell>
        </row>
        <row r="901">
          <cell r="A901" t="str">
            <v>49015_2</v>
          </cell>
        </row>
        <row r="902">
          <cell r="A902" t="str">
            <v>49015_3</v>
          </cell>
        </row>
        <row r="903">
          <cell r="A903" t="str">
            <v>50001_1</v>
          </cell>
        </row>
        <row r="904">
          <cell r="A904" t="str">
            <v>50002_1</v>
          </cell>
        </row>
        <row r="905">
          <cell r="A905" t="str">
            <v>50003_1</v>
          </cell>
        </row>
        <row r="906">
          <cell r="A906" t="str">
            <v>50004_1</v>
          </cell>
        </row>
        <row r="907">
          <cell r="A907" t="str">
            <v>50005_1</v>
          </cell>
        </row>
        <row r="908">
          <cell r="A908" t="str">
            <v>50006_1</v>
          </cell>
        </row>
        <row r="909">
          <cell r="A909" t="str">
            <v>50007_1</v>
          </cell>
        </row>
        <row r="910">
          <cell r="A910" t="str">
            <v>50008_1</v>
          </cell>
        </row>
        <row r="911">
          <cell r="A911" t="str">
            <v>50009_1</v>
          </cell>
        </row>
        <row r="912">
          <cell r="A912" t="str">
            <v>50010_1</v>
          </cell>
        </row>
        <row r="913">
          <cell r="A913" t="str">
            <v>50011_1</v>
          </cell>
        </row>
        <row r="914">
          <cell r="A914" t="str">
            <v>50012_1</v>
          </cell>
        </row>
        <row r="915">
          <cell r="A915" t="str">
            <v>50013_1</v>
          </cell>
        </row>
        <row r="916">
          <cell r="A916" t="str">
            <v>50014_1</v>
          </cell>
        </row>
        <row r="917">
          <cell r="A917" t="str">
            <v>51001_1</v>
          </cell>
        </row>
        <row r="918">
          <cell r="A918" t="str">
            <v>51002_1</v>
          </cell>
        </row>
        <row r="919">
          <cell r="A919" t="str">
            <v>58001_1</v>
          </cell>
        </row>
        <row r="920">
          <cell r="A920" t="str">
            <v>59001_1</v>
          </cell>
        </row>
        <row r="921">
          <cell r="A921" t="str">
            <v>59002_1</v>
          </cell>
        </row>
        <row r="922">
          <cell r="A922" t="str">
            <v>60001_1</v>
          </cell>
        </row>
        <row r="923">
          <cell r="A923" t="str">
            <v>60002_1</v>
          </cell>
        </row>
        <row r="924">
          <cell r="A924" t="str">
            <v>60002_2</v>
          </cell>
        </row>
        <row r="925">
          <cell r="A925" t="str">
            <v>60003_1</v>
          </cell>
        </row>
        <row r="926">
          <cell r="A926" t="str">
            <v>60003_2</v>
          </cell>
        </row>
        <row r="927">
          <cell r="A927" t="str">
            <v>60003_3</v>
          </cell>
        </row>
        <row r="928">
          <cell r="A928" t="str">
            <v>60004_1</v>
          </cell>
        </row>
        <row r="929">
          <cell r="A929" t="str">
            <v>60005_1</v>
          </cell>
        </row>
        <row r="930">
          <cell r="A930" t="str">
            <v>60006_1</v>
          </cell>
        </row>
        <row r="931">
          <cell r="A931" t="str">
            <v>60006_2</v>
          </cell>
        </row>
        <row r="932">
          <cell r="A932" t="str">
            <v>60006_3</v>
          </cell>
        </row>
        <row r="933">
          <cell r="A933" t="str">
            <v>60007_1</v>
          </cell>
        </row>
        <row r="934">
          <cell r="A934" t="str">
            <v>60007_2</v>
          </cell>
        </row>
        <row r="935">
          <cell r="A935" t="str">
            <v>60007_3</v>
          </cell>
        </row>
        <row r="936">
          <cell r="A936" t="str">
            <v>60010_1</v>
          </cell>
        </row>
        <row r="937">
          <cell r="A937" t="str">
            <v>60011_1</v>
          </cell>
        </row>
        <row r="938">
          <cell r="A938" t="str">
            <v>60011_2</v>
          </cell>
        </row>
        <row r="939">
          <cell r="A939" t="str">
            <v>60012_1</v>
          </cell>
        </row>
        <row r="940">
          <cell r="A940" t="str">
            <v>60013_1</v>
          </cell>
        </row>
        <row r="941">
          <cell r="A941" t="str">
            <v>60013_2</v>
          </cell>
        </row>
        <row r="942">
          <cell r="A942" t="str">
            <v>60013_3</v>
          </cell>
        </row>
        <row r="943">
          <cell r="A943" t="str">
            <v>60014_1</v>
          </cell>
        </row>
        <row r="944">
          <cell r="A944" t="str">
            <v>60015_1</v>
          </cell>
        </row>
        <row r="945">
          <cell r="A945" t="str">
            <v>60016_1</v>
          </cell>
        </row>
        <row r="946">
          <cell r="A946" t="str">
            <v>60017_1</v>
          </cell>
        </row>
        <row r="947">
          <cell r="A947" t="str">
            <v>60018_1</v>
          </cell>
        </row>
        <row r="948">
          <cell r="A948" t="str">
            <v>60019_1</v>
          </cell>
        </row>
        <row r="949">
          <cell r="A949" t="str">
            <v>60020_1</v>
          </cell>
        </row>
        <row r="950">
          <cell r="A950" t="str">
            <v>60021_3</v>
          </cell>
        </row>
        <row r="951">
          <cell r="A951" t="str">
            <v>60022_3</v>
          </cell>
        </row>
        <row r="952">
          <cell r="A952" t="str">
            <v>60023_3</v>
          </cell>
        </row>
        <row r="953">
          <cell r="A953" t="str">
            <v>60024_3</v>
          </cell>
        </row>
        <row r="954">
          <cell r="A954" t="str">
            <v>60025_1</v>
          </cell>
        </row>
        <row r="955">
          <cell r="A955" t="str">
            <v>60026_1</v>
          </cell>
        </row>
        <row r="956">
          <cell r="A956" t="str">
            <v>61011_1</v>
          </cell>
        </row>
        <row r="957">
          <cell r="A957" t="str">
            <v>60027_1</v>
          </cell>
        </row>
        <row r="958">
          <cell r="A958" t="str">
            <v>60028_1</v>
          </cell>
        </row>
        <row r="959">
          <cell r="A959" t="str">
            <v>65525_1</v>
          </cell>
        </row>
        <row r="960">
          <cell r="A960" t="str">
            <v>65526_1</v>
          </cell>
        </row>
        <row r="961">
          <cell r="A961" t="str">
            <v>65526_2</v>
          </cell>
        </row>
        <row r="962">
          <cell r="A962" t="str">
            <v>65527_1</v>
          </cell>
        </row>
        <row r="963">
          <cell r="A963" t="str">
            <v>65528_1</v>
          </cell>
        </row>
        <row r="964">
          <cell r="A964" t="str">
            <v>65529_1</v>
          </cell>
        </row>
        <row r="965">
          <cell r="A965" t="str">
            <v>65530_1</v>
          </cell>
        </row>
        <row r="966">
          <cell r="A966" t="str">
            <v>65531_1</v>
          </cell>
        </row>
        <row r="967">
          <cell r="A967" t="str">
            <v>65531_2</v>
          </cell>
        </row>
        <row r="968">
          <cell r="A968" t="str">
            <v>65532_1</v>
          </cell>
        </row>
        <row r="969">
          <cell r="A969" t="str">
            <v>65532_2</v>
          </cell>
        </row>
        <row r="970">
          <cell r="A970" t="str">
            <v>65533_1</v>
          </cell>
        </row>
        <row r="971">
          <cell r="A971" t="str">
            <v>65533_2</v>
          </cell>
        </row>
        <row r="972">
          <cell r="A972" t="str">
            <v>65534_1</v>
          </cell>
        </row>
        <row r="973">
          <cell r="A973" t="str">
            <v>65534_2</v>
          </cell>
        </row>
        <row r="974">
          <cell r="A974" t="str">
            <v>65535_1</v>
          </cell>
        </row>
        <row r="975">
          <cell r="A975" t="str">
            <v>65535_2</v>
          </cell>
        </row>
        <row r="976">
          <cell r="A976" t="str">
            <v>65535_3</v>
          </cell>
        </row>
        <row r="977">
          <cell r="A977" t="str">
            <v>65535_4</v>
          </cell>
        </row>
        <row r="978">
          <cell r="A978" t="str">
            <v>65535_5</v>
          </cell>
        </row>
        <row r="979">
          <cell r="A979" t="str">
            <v>65535_6</v>
          </cell>
        </row>
        <row r="980">
          <cell r="A980" t="str">
            <v>65535_7</v>
          </cell>
        </row>
        <row r="981">
          <cell r="A981" t="str">
            <v>65535_8</v>
          </cell>
        </row>
        <row r="982">
          <cell r="A982" t="str">
            <v>65535_9</v>
          </cell>
        </row>
        <row r="983">
          <cell r="A98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X2"/>
  <sheetViews>
    <sheetView topLeftCell="E1" workbookViewId="0">
      <selection activeCell="F2" sqref="F2"/>
    </sheetView>
  </sheetViews>
  <sheetFormatPr baseColWidth="12" defaultRowHeight="15" x14ac:dyDescent="0.15"/>
  <cols>
    <col min="1" max="1" width="12.83203125" style="9"/>
    <col min="2" max="2" width="17.1640625" style="9" bestFit="1" customWidth="1"/>
    <col min="3" max="4" width="12.83203125" style="9"/>
    <col min="5" max="5" width="21.5" style="9" bestFit="1" customWidth="1"/>
    <col min="6" max="6" width="16" style="9" bestFit="1" customWidth="1"/>
    <col min="7" max="16384" width="12.83203125" style="9"/>
  </cols>
  <sheetData>
    <row r="1" spans="1:24" x14ac:dyDescent="0.15">
      <c r="A1" s="10" t="s">
        <v>11</v>
      </c>
      <c r="B1" s="7" t="s">
        <v>5</v>
      </c>
      <c r="C1" s="7" t="s">
        <v>6</v>
      </c>
      <c r="D1" s="7" t="s">
        <v>7</v>
      </c>
      <c r="E1" s="7" t="s">
        <v>8</v>
      </c>
      <c r="F1" s="7" t="s">
        <v>9</v>
      </c>
      <c r="G1" s="7" t="s">
        <v>10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</row>
    <row r="2" spans="1:24" x14ac:dyDescent="0.15">
      <c r="A2" s="13" t="s">
        <v>31</v>
      </c>
      <c r="B2" s="13" t="s">
        <v>12</v>
      </c>
      <c r="C2" s="13" t="s">
        <v>38</v>
      </c>
      <c r="D2" s="13" t="s">
        <v>37</v>
      </c>
      <c r="E2" s="8" t="str">
        <f t="shared" ref="E2" si="0">B2&amp;C2&amp;D2</f>
        <v>stage_bonuses_base.tmp</v>
      </c>
      <c r="F2" s="13" t="s">
        <v>12</v>
      </c>
      <c r="G2" s="1" t="s">
        <v>0</v>
      </c>
      <c r="H2" s="1" t="s">
        <v>1</v>
      </c>
      <c r="I2" s="1" t="s">
        <v>13</v>
      </c>
      <c r="J2" s="1" t="s">
        <v>15</v>
      </c>
      <c r="K2" s="1" t="s">
        <v>17</v>
      </c>
      <c r="L2" s="1" t="s">
        <v>18</v>
      </c>
      <c r="M2" s="1" t="s">
        <v>20</v>
      </c>
      <c r="N2" s="1" t="s">
        <v>21</v>
      </c>
      <c r="O2" s="1" t="s">
        <v>22</v>
      </c>
      <c r="P2" s="1" t="s">
        <v>23</v>
      </c>
      <c r="Q2" s="1" t="s">
        <v>24</v>
      </c>
      <c r="R2" s="1" t="s">
        <v>25</v>
      </c>
      <c r="S2" s="1" t="s">
        <v>26</v>
      </c>
      <c r="T2" s="1" t="s">
        <v>27</v>
      </c>
      <c r="U2" s="1" t="s">
        <v>28</v>
      </c>
      <c r="V2" s="1" t="s">
        <v>29</v>
      </c>
      <c r="W2" s="1" t="s">
        <v>34</v>
      </c>
      <c r="X2" s="1" t="s">
        <v>35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X82"/>
  <sheetViews>
    <sheetView showGridLines="0" tabSelected="1" workbookViewId="0">
      <pane ySplit="1" topLeftCell="A34" activePane="bottomLeft" state="frozen"/>
      <selection pane="bottomLeft" activeCell="H65" sqref="H65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2" t="s">
        <v>2</v>
      </c>
      <c r="B1" s="16" t="s">
        <v>0</v>
      </c>
      <c r="C1" s="6" t="s">
        <v>3</v>
      </c>
      <c r="D1" s="6" t="s">
        <v>4</v>
      </c>
      <c r="E1" s="16" t="s">
        <v>1</v>
      </c>
      <c r="F1" s="6" t="s">
        <v>3</v>
      </c>
      <c r="G1" s="6" t="s">
        <v>4</v>
      </c>
      <c r="H1" s="16" t="s">
        <v>13</v>
      </c>
      <c r="I1" s="16" t="s">
        <v>15</v>
      </c>
      <c r="J1" s="16" t="s">
        <v>17</v>
      </c>
      <c r="K1" s="1" t="s">
        <v>29</v>
      </c>
      <c r="L1" s="1" t="s">
        <v>18</v>
      </c>
      <c r="M1" s="1" t="s">
        <v>20</v>
      </c>
      <c r="N1" s="6" t="s">
        <v>30</v>
      </c>
      <c r="O1" s="1" t="s">
        <v>21</v>
      </c>
      <c r="P1" s="1" t="s">
        <v>22</v>
      </c>
      <c r="Q1" s="1" t="s">
        <v>23</v>
      </c>
      <c r="R1" s="1" t="s">
        <v>24</v>
      </c>
      <c r="S1" s="1" t="s">
        <v>25</v>
      </c>
      <c r="T1" s="1" t="s">
        <v>26</v>
      </c>
      <c r="U1" s="1" t="s">
        <v>27</v>
      </c>
      <c r="V1" s="1" t="s">
        <v>28</v>
      </c>
      <c r="W1" s="1" t="s">
        <v>34</v>
      </c>
      <c r="X1" s="1" t="s">
        <v>35</v>
      </c>
    </row>
    <row r="2" spans="1:24" x14ac:dyDescent="0.15">
      <c r="A2" s="14" t="str">
        <f>B2&amp;"_"&amp;E2&amp;"_"&amp;I2</f>
        <v>41001_2_no_continue</v>
      </c>
      <c r="B2" s="4">
        <v>41001</v>
      </c>
      <c r="C2" s="3" t="str">
        <f ca="1">VLOOKUP($B2,OFFSET([1]quests!$A$1,0,0,COUNTA([1]quests!$A:$A),MATCH(C$1,[1]quests!$1:$1,0)-MATCH($B$1,[1]quests!$1:$1,0)+1),MATCH(C$1,[1]quests!$1:$1,0)-MATCH($B$1,[1]quests!$1:$1,0)+1,FALSE)</f>
        <v>アマテラス襲来！</v>
      </c>
      <c r="D2" s="3" t="str">
        <f ca="1">VLOOKUP($B2,OFFSET([1]quests!$A$1,0,0,COUNTA([1]quests!$A:$A),MATCH(D$1,[1]quests!$1:$1,0)-MATCH($B$1,[1]quests!$1:$1,0)+1),MATCH(D$1,[1]quests!$1:$1,0)-MATCH($B$1,[1]quests!$1:$1,0)+1,FALSE)</f>
        <v>降臨1</v>
      </c>
      <c r="E2" s="5">
        <v>2</v>
      </c>
      <c r="F2" s="3" t="str">
        <f ca="1">VLOOKUP($B2&amp;"_"&amp;$E2,OFFSET([1]stages!$A$1,0,0,COUNTA([1]stages!$A:$A),MATCH(F$1,[1]stages!$2:$2,0)-MATCH("temp_stage",[1]stages!$2:$2,0)+1),MATCH(F$1,[1]stages!$2:$2,0)-MATCH("temp_stage",[1]stages!$2:$2,0)+1,FALSE)</f>
        <v>【ウィザード級】アマテラス襲来</v>
      </c>
      <c r="G2" s="3" t="str">
        <f ca="1">VLOOKUP($B2&amp;"_"&amp;$E2,OFFSET([1]stages!$A$1,0,0,COUNTA([1]stages!$A:$A),MATCH(G$1,[1]stages!$2:$2,0)-MATCH("temp_stage",[1]stages!$2:$2,0)+1),MATCH(G$1,[1]stages!$2:$2,0)-MATCH("temp_stage",[1]stages!$2:$2,0)+1,FALSE)</f>
        <v>降臨1</v>
      </c>
      <c r="H2" s="12" t="s">
        <v>14</v>
      </c>
      <c r="I2" s="5" t="s">
        <v>39</v>
      </c>
      <c r="J2" s="5">
        <v>1</v>
      </c>
      <c r="K2" s="5">
        <v>1000</v>
      </c>
      <c r="L2" s="5" t="s">
        <v>19</v>
      </c>
      <c r="M2" s="5">
        <v>278</v>
      </c>
      <c r="N2" s="15" t="str">
        <f ca="1">IF(L2="unit",VLOOKUP($M2,OFFSET([2]characters!$A$1,0,0,COUNTA([2]characters!$A:$A),MATCH(N$1,[2]characters!$1:$1,0)-MATCH("character_id",[2]characters!$1:$1,0)+1),MATCH(N$1,[2]characters!$1:$1,0)-MATCH("character_id",[2]characters!$1:$1,0)+1,FALSE),"")</f>
        <v>アマテラス</v>
      </c>
      <c r="O2" s="5">
        <v>1</v>
      </c>
      <c r="P2" s="5">
        <v>1</v>
      </c>
      <c r="Q2" s="5">
        <v>1</v>
      </c>
      <c r="R2" s="5">
        <v>0</v>
      </c>
      <c r="S2" s="5">
        <v>0</v>
      </c>
      <c r="T2" s="5">
        <v>0</v>
      </c>
      <c r="U2" s="5">
        <v>0</v>
      </c>
      <c r="V2" s="5">
        <v>1</v>
      </c>
      <c r="W2" s="17" t="s">
        <v>32</v>
      </c>
      <c r="X2" s="18" t="s">
        <v>33</v>
      </c>
    </row>
    <row r="3" spans="1:24" x14ac:dyDescent="0.15">
      <c r="A3" s="14" t="str">
        <f t="shared" ref="A3:A7" si="0">B3&amp;"_"&amp;E3&amp;"_"&amp;I3</f>
        <v>41002_2_no_continue</v>
      </c>
      <c r="B3" s="4">
        <v>41002</v>
      </c>
      <c r="C3" s="3" t="str">
        <f ca="1">VLOOKUP($B3,OFFSET([1]quests!$A$1,0,0,COUNTA([1]quests!$A:$A),MATCH(C$1,[1]quests!$1:$1,0)-MATCH($B$1,[1]quests!$1:$1,0)+1),MATCH(C$1,[1]quests!$1:$1,0)-MATCH($B$1,[1]quests!$1:$1,0)+1,FALSE)</f>
        <v>アザゼル襲来！</v>
      </c>
      <c r="D3" s="3" t="str">
        <f ca="1">VLOOKUP($B3,OFFSET([1]quests!$A$1,0,0,COUNTA([1]quests!$A:$A),MATCH(D$1,[1]quests!$1:$1,0)-MATCH($B$1,[1]quests!$1:$1,0)+1),MATCH(D$1,[1]quests!$1:$1,0)-MATCH($B$1,[1]quests!$1:$1,0)+1,FALSE)</f>
        <v>降臨1</v>
      </c>
      <c r="E3" s="5">
        <v>2</v>
      </c>
      <c r="F3" s="3" t="str">
        <f ca="1">VLOOKUP($B3&amp;"_"&amp;$E3,OFFSET([1]stages!$A$1,0,0,COUNTA([1]stages!$A:$A),MATCH(F$1,[1]stages!$2:$2,0)-MATCH("temp_stage",[1]stages!$2:$2,0)+1),MATCH(F$1,[1]stages!$2:$2,0)-MATCH("temp_stage",[1]stages!$2:$2,0)+1,FALSE)</f>
        <v>【ウィザード級】アザゼル襲来</v>
      </c>
      <c r="G3" s="3" t="str">
        <f ca="1">VLOOKUP($B3&amp;"_"&amp;$E3,OFFSET([1]stages!$A$1,0,0,COUNTA([1]stages!$A:$A),MATCH(G$1,[1]stages!$2:$2,0)-MATCH("temp_stage",[1]stages!$2:$2,0)+1),MATCH(G$1,[1]stages!$2:$2,0)-MATCH("temp_stage",[1]stages!$2:$2,0)+1,FALSE)</f>
        <v>降臨1</v>
      </c>
      <c r="H3" s="12" t="s">
        <v>14</v>
      </c>
      <c r="I3" s="5" t="s">
        <v>39</v>
      </c>
      <c r="J3" s="5">
        <v>1</v>
      </c>
      <c r="K3" s="5">
        <v>1000</v>
      </c>
      <c r="L3" s="5" t="s">
        <v>19</v>
      </c>
      <c r="M3" s="5">
        <v>296</v>
      </c>
      <c r="N3" s="15" t="str">
        <f ca="1">IF(L3="unit",VLOOKUP($M3,OFFSET([2]characters!$A$1,0,0,COUNTA([2]characters!$A:$A),MATCH(N$1,[2]characters!$1:$1,0)-MATCH("character_id",[2]characters!$1:$1,0)+1),MATCH(N$1,[2]characters!$1:$1,0)-MATCH("character_id",[2]characters!$1:$1,0)+1,FALSE),"")</f>
        <v>アザゼル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1</v>
      </c>
      <c r="W3" s="17" t="s">
        <v>32</v>
      </c>
      <c r="X3" s="18" t="s">
        <v>33</v>
      </c>
    </row>
    <row r="4" spans="1:24" x14ac:dyDescent="0.15">
      <c r="A4" s="14" t="str">
        <f t="shared" si="0"/>
        <v>41003_2_no_continue</v>
      </c>
      <c r="B4" s="4">
        <v>41003</v>
      </c>
      <c r="C4" s="3" t="str">
        <f ca="1">VLOOKUP($B4,OFFSET([1]quests!$A$1,0,0,COUNTA([1]quests!$A:$A),MATCH(C$1,[1]quests!$1:$1,0)-MATCH($B$1,[1]quests!$1:$1,0)+1),MATCH(C$1,[1]quests!$1:$1,0)-MATCH($B$1,[1]quests!$1:$1,0)+1,FALSE)</f>
        <v>ジャンヌ襲来！</v>
      </c>
      <c r="D4" s="3" t="str">
        <f ca="1">VLOOKUP($B4,OFFSET([1]quests!$A$1,0,0,COUNTA([1]quests!$A:$A),MATCH(D$1,[1]quests!$1:$1,0)-MATCH($B$1,[1]quests!$1:$1,0)+1),MATCH(D$1,[1]quests!$1:$1,0)-MATCH($B$1,[1]quests!$1:$1,0)+1,FALSE)</f>
        <v>降臨1</v>
      </c>
      <c r="E4" s="5">
        <v>2</v>
      </c>
      <c r="F4" s="3" t="str">
        <f ca="1">VLOOKUP($B4&amp;"_"&amp;$E4,OFFSET([1]stages!$A$1,0,0,COUNTA([1]stages!$A:$A),MATCH(F$1,[1]stages!$2:$2,0)-MATCH("temp_stage",[1]stages!$2:$2,0)+1),MATCH(F$1,[1]stages!$2:$2,0)-MATCH("temp_stage",[1]stages!$2:$2,0)+1,FALSE)</f>
        <v>【ウィザード級】ジャンヌ襲来</v>
      </c>
      <c r="G4" s="3" t="str">
        <f ca="1">VLOOKUP($B4&amp;"_"&amp;$E4,OFFSET([1]stages!$A$1,0,0,COUNTA([1]stages!$A:$A),MATCH(G$1,[1]stages!$2:$2,0)-MATCH("temp_stage",[1]stages!$2:$2,0)+1),MATCH(G$1,[1]stages!$2:$2,0)-MATCH("temp_stage",[1]stages!$2:$2,0)+1,FALSE)</f>
        <v>降臨1</v>
      </c>
      <c r="H4" s="12" t="s">
        <v>14</v>
      </c>
      <c r="I4" s="5" t="s">
        <v>39</v>
      </c>
      <c r="J4" s="5">
        <v>1</v>
      </c>
      <c r="K4" s="5">
        <v>1000</v>
      </c>
      <c r="L4" s="5" t="s">
        <v>19</v>
      </c>
      <c r="M4" s="5">
        <v>314</v>
      </c>
      <c r="N4" s="15" t="str">
        <f ca="1">IF(L4="unit",VLOOKUP($M4,OFFSET([2]characters!$A$1,0,0,COUNTA([2]characters!$A:$A),MATCH(N$1,[2]characters!$1:$1,0)-MATCH("character_id",[2]characters!$1:$1,0)+1),MATCH(N$1,[2]characters!$1:$1,0)-MATCH("character_id",[2]characters!$1:$1,0)+1,FALSE),"")</f>
        <v>ジャンヌ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1</v>
      </c>
      <c r="W4" s="17" t="s">
        <v>32</v>
      </c>
      <c r="X4" s="18" t="s">
        <v>33</v>
      </c>
    </row>
    <row r="5" spans="1:24" x14ac:dyDescent="0.15">
      <c r="A5" s="14" t="str">
        <f t="shared" si="0"/>
        <v>41004_2_no_continue</v>
      </c>
      <c r="B5" s="4">
        <v>41004</v>
      </c>
      <c r="C5" s="3" t="str">
        <f ca="1">VLOOKUP($B5,OFFSET([1]quests!$A$1,0,0,COUNTA([1]quests!$A:$A),MATCH(C$1,[1]quests!$1:$1,0)-MATCH($B$1,[1]quests!$1:$1,0)+1),MATCH(C$1,[1]quests!$1:$1,0)-MATCH($B$1,[1]quests!$1:$1,0)+1,FALSE)</f>
        <v>宮本武蔵襲来！</v>
      </c>
      <c r="D5" s="3" t="str">
        <f ca="1">VLOOKUP($B5,OFFSET([1]quests!$A$1,0,0,COUNTA([1]quests!$A:$A),MATCH(D$1,[1]quests!$1:$1,0)-MATCH($B$1,[1]quests!$1:$1,0)+1),MATCH(D$1,[1]quests!$1:$1,0)-MATCH($B$1,[1]quests!$1:$1,0)+1,FALSE)</f>
        <v>降臨1</v>
      </c>
      <c r="E5" s="5">
        <v>2</v>
      </c>
      <c r="F5" s="3" t="str">
        <f ca="1">VLOOKUP($B5&amp;"_"&amp;$E5,OFFSET([1]stages!$A$1,0,0,COUNTA([1]stages!$A:$A),MATCH(F$1,[1]stages!$2:$2,0)-MATCH("temp_stage",[1]stages!$2:$2,0)+1),MATCH(F$1,[1]stages!$2:$2,0)-MATCH("temp_stage",[1]stages!$2:$2,0)+1,FALSE)</f>
        <v>【ウィザード級】宮本武蔵襲来</v>
      </c>
      <c r="G5" s="3" t="str">
        <f ca="1">VLOOKUP($B5&amp;"_"&amp;$E5,OFFSET([1]stages!$A$1,0,0,COUNTA([1]stages!$A:$A),MATCH(G$1,[1]stages!$2:$2,0)-MATCH("temp_stage",[1]stages!$2:$2,0)+1),MATCH(G$1,[1]stages!$2:$2,0)-MATCH("temp_stage",[1]stages!$2:$2,0)+1,FALSE)</f>
        <v>降臨1</v>
      </c>
      <c r="H5" s="12" t="s">
        <v>14</v>
      </c>
      <c r="I5" s="5" t="s">
        <v>39</v>
      </c>
      <c r="J5" s="5">
        <v>1</v>
      </c>
      <c r="K5" s="5">
        <v>1000</v>
      </c>
      <c r="L5" s="5" t="s">
        <v>19</v>
      </c>
      <c r="M5" s="5">
        <v>426</v>
      </c>
      <c r="N5" s="15" t="str">
        <f ca="1">IF(L5="unit",VLOOKUP($M5,OFFSET([2]characters!$A$1,0,0,COUNTA([2]characters!$A:$A),MATCH(N$1,[2]characters!$1:$1,0)-MATCH("character_id",[2]characters!$1:$1,0)+1),MATCH(N$1,[2]characters!$1:$1,0)-MATCH("character_id",[2]characters!$1:$1,0)+1,FALSE),"")</f>
        <v>宮本武蔵</v>
      </c>
      <c r="O5" s="5">
        <v>1</v>
      </c>
      <c r="P5" s="5">
        <v>1</v>
      </c>
      <c r="Q5" s="5">
        <v>1</v>
      </c>
      <c r="R5" s="5">
        <v>0</v>
      </c>
      <c r="S5" s="5">
        <v>0</v>
      </c>
      <c r="T5" s="5">
        <v>0</v>
      </c>
      <c r="U5" s="5">
        <v>0</v>
      </c>
      <c r="V5" s="5">
        <v>1</v>
      </c>
      <c r="W5" s="17" t="s">
        <v>32</v>
      </c>
      <c r="X5" s="18" t="s">
        <v>33</v>
      </c>
    </row>
    <row r="6" spans="1:24" x14ac:dyDescent="0.15">
      <c r="A6" s="14" t="str">
        <f t="shared" si="0"/>
        <v>41005_2_no_continue</v>
      </c>
      <c r="B6" s="4">
        <v>41005</v>
      </c>
      <c r="C6" s="3" t="str">
        <f ca="1">VLOOKUP($B6,OFFSET([1]quests!$A$1,0,0,COUNTA([1]quests!$A:$A),MATCH(C$1,[1]quests!$1:$1,0)-MATCH($B$1,[1]quests!$1:$1,0)+1),MATCH(C$1,[1]quests!$1:$1,0)-MATCH($B$1,[1]quests!$1:$1,0)+1,FALSE)</f>
        <v>オズ襲来！</v>
      </c>
      <c r="D6" s="3" t="str">
        <f ca="1">VLOOKUP($B6,OFFSET([1]quests!$A$1,0,0,COUNTA([1]quests!$A:$A),MATCH(D$1,[1]quests!$1:$1,0)-MATCH($B$1,[1]quests!$1:$1,0)+1),MATCH(D$1,[1]quests!$1:$1,0)-MATCH($B$1,[1]quests!$1:$1,0)+1,FALSE)</f>
        <v>降臨1</v>
      </c>
      <c r="E6" s="5">
        <v>2</v>
      </c>
      <c r="F6" s="3" t="str">
        <f ca="1">VLOOKUP($B6&amp;"_"&amp;$E6,OFFSET([1]stages!$A$1,0,0,COUNTA([1]stages!$A:$A),MATCH(F$1,[1]stages!$2:$2,0)-MATCH("temp_stage",[1]stages!$2:$2,0)+1),MATCH(F$1,[1]stages!$2:$2,0)-MATCH("temp_stage",[1]stages!$2:$2,0)+1,FALSE)</f>
        <v>【ウィザード級】オズ襲来</v>
      </c>
      <c r="G6" s="3" t="str">
        <f ca="1">VLOOKUP($B6&amp;"_"&amp;$E6,OFFSET([1]stages!$A$1,0,0,COUNTA([1]stages!$A:$A),MATCH(G$1,[1]stages!$2:$2,0)-MATCH("temp_stage",[1]stages!$2:$2,0)+1),MATCH(G$1,[1]stages!$2:$2,0)-MATCH("temp_stage",[1]stages!$2:$2,0)+1,FALSE)</f>
        <v>降臨1</v>
      </c>
      <c r="H6" s="12" t="s">
        <v>14</v>
      </c>
      <c r="I6" s="5" t="s">
        <v>39</v>
      </c>
      <c r="J6" s="5">
        <v>1</v>
      </c>
      <c r="K6" s="5">
        <v>1000</v>
      </c>
      <c r="L6" s="5" t="s">
        <v>19</v>
      </c>
      <c r="M6" s="5">
        <v>460</v>
      </c>
      <c r="N6" s="15" t="str">
        <f ca="1">IF(L6="unit",VLOOKUP($M6,OFFSET([2]characters!$A$1,0,0,COUNTA([2]characters!$A:$A),MATCH(N$1,[2]characters!$1:$1,0)-MATCH("character_id",[2]characters!$1:$1,0)+1),MATCH(N$1,[2]characters!$1:$1,0)-MATCH("character_id",[2]characters!$1:$1,0)+1,FALSE),"")</f>
        <v>オズ</v>
      </c>
      <c r="O6" s="5">
        <v>1</v>
      </c>
      <c r="P6" s="5">
        <v>1</v>
      </c>
      <c r="Q6" s="5">
        <v>1</v>
      </c>
      <c r="R6" s="5">
        <v>0</v>
      </c>
      <c r="S6" s="5">
        <v>0</v>
      </c>
      <c r="T6" s="5">
        <v>0</v>
      </c>
      <c r="U6" s="5">
        <v>0</v>
      </c>
      <c r="V6" s="5">
        <v>1</v>
      </c>
      <c r="W6" s="17" t="s">
        <v>32</v>
      </c>
      <c r="X6" s="18" t="s">
        <v>33</v>
      </c>
    </row>
    <row r="7" spans="1:24" x14ac:dyDescent="0.15">
      <c r="A7" s="14" t="str">
        <f t="shared" si="0"/>
        <v>41006_2_no_continue</v>
      </c>
      <c r="B7" s="4">
        <v>41006</v>
      </c>
      <c r="C7" s="3" t="str">
        <f ca="1">VLOOKUP($B7,OFFSET([1]quests!$A$1,0,0,COUNTA([1]quests!$A:$A),MATCH(C$1,[1]quests!$1:$1,0)-MATCH($B$1,[1]quests!$1:$1,0)+1),MATCH(C$1,[1]quests!$1:$1,0)-MATCH($B$1,[1]quests!$1:$1,0)+1,FALSE)</f>
        <v>アーサー襲来！</v>
      </c>
      <c r="D7" s="3" t="str">
        <f ca="1">VLOOKUP($B7,OFFSET([1]quests!$A$1,0,0,COUNTA([1]quests!$A:$A),MATCH(D$1,[1]quests!$1:$1,0)-MATCH($B$1,[1]quests!$1:$1,0)+1),MATCH(D$1,[1]quests!$1:$1,0)-MATCH($B$1,[1]quests!$1:$1,0)+1,FALSE)</f>
        <v>降臨1</v>
      </c>
      <c r="E7" s="5">
        <v>2</v>
      </c>
      <c r="F7" s="3" t="str">
        <f ca="1">VLOOKUP($B7&amp;"_"&amp;$E7,OFFSET([1]stages!$A$1,0,0,COUNTA([1]stages!$A:$A),MATCH(F$1,[1]stages!$2:$2,0)-MATCH("temp_stage",[1]stages!$2:$2,0)+1),MATCH(F$1,[1]stages!$2:$2,0)-MATCH("temp_stage",[1]stages!$2:$2,0)+1,FALSE)</f>
        <v>【ウィザード級】アーサー襲来</v>
      </c>
      <c r="G7" s="3" t="str">
        <f ca="1">VLOOKUP($B7&amp;"_"&amp;$E7,OFFSET([1]stages!$A$1,0,0,COUNTA([1]stages!$A:$A),MATCH(G$1,[1]stages!$2:$2,0)-MATCH("temp_stage",[1]stages!$2:$2,0)+1),MATCH(G$1,[1]stages!$2:$2,0)-MATCH("temp_stage",[1]stages!$2:$2,0)+1,FALSE)</f>
        <v>降臨1</v>
      </c>
      <c r="H7" s="12" t="s">
        <v>14</v>
      </c>
      <c r="I7" s="5" t="s">
        <v>39</v>
      </c>
      <c r="J7" s="5">
        <v>1</v>
      </c>
      <c r="K7" s="5">
        <v>1000</v>
      </c>
      <c r="L7" s="5" t="s">
        <v>19</v>
      </c>
      <c r="M7" s="5">
        <v>472</v>
      </c>
      <c r="N7" s="15" t="str">
        <f ca="1">IF(L7="unit",VLOOKUP($M7,OFFSET([2]characters!$A$1,0,0,COUNTA([2]characters!$A:$A),MATCH(N$1,[2]characters!$1:$1,0)-MATCH("character_id",[2]characters!$1:$1,0)+1),MATCH(N$1,[2]characters!$1:$1,0)-MATCH("character_id",[2]characters!$1:$1,0)+1,FALSE),"")</f>
        <v>アーサー</v>
      </c>
      <c r="O7" s="5">
        <v>1</v>
      </c>
      <c r="P7" s="5">
        <v>1</v>
      </c>
      <c r="Q7" s="5">
        <v>1</v>
      </c>
      <c r="R7" s="5">
        <v>0</v>
      </c>
      <c r="S7" s="5">
        <v>0</v>
      </c>
      <c r="T7" s="5">
        <v>0</v>
      </c>
      <c r="U7" s="5">
        <v>0</v>
      </c>
      <c r="V7" s="5">
        <v>1</v>
      </c>
      <c r="W7" s="17" t="s">
        <v>32</v>
      </c>
      <c r="X7" s="18" t="s">
        <v>33</v>
      </c>
    </row>
    <row r="8" spans="1:24" x14ac:dyDescent="0.15">
      <c r="A8" s="14" t="str">
        <f t="shared" ref="A8:A13" si="1">B8&amp;"_"&amp;E8&amp;"_"&amp;I8</f>
        <v>40016_1_no_continue</v>
      </c>
      <c r="B8" s="4">
        <v>40016</v>
      </c>
      <c r="C8" s="3" t="str">
        <f ca="1">VLOOKUP($B8,OFFSET([1]quests!$A$1,0,0,COUNTA([1]quests!$A:$A),MATCH(C$1,[1]quests!$1:$1,0)-MATCH($B$1,[1]quests!$1:$1,0)+1),MATCH(C$1,[1]quests!$1:$1,0)-MATCH($B$1,[1]quests!$1:$1,0)+1,FALSE)</f>
        <v>武田信玄襲来！</v>
      </c>
      <c r="D8" s="3" t="str">
        <f ca="1">VLOOKUP($B8,OFFSET([1]quests!$A$1,0,0,COUNTA([1]quests!$A:$A),MATCH(D$1,[1]quests!$1:$1,0)-MATCH($B$1,[1]quests!$1:$1,0)+1),MATCH(D$1,[1]quests!$1:$1,0)-MATCH($B$1,[1]quests!$1:$1,0)+1,FALSE)</f>
        <v>降臨16</v>
      </c>
      <c r="E8" s="5">
        <v>1</v>
      </c>
      <c r="F8" s="3" t="str">
        <f ca="1">VLOOKUP($B8&amp;"_"&amp;$E8,OFFSET([1]stages!$A$1,0,0,COUNTA([1]stages!$A:$A),MATCH(F$1,[1]stages!$2:$2,0)-MATCH("temp_stage",[1]stages!$2:$2,0)+1),MATCH(F$1,[1]stages!$2:$2,0)-MATCH("temp_stage",[1]stages!$2:$2,0)+1,FALSE)</f>
        <v xml:space="preserve">【ウィザード級】武田信玄襲来 </v>
      </c>
      <c r="G8" s="3" t="str">
        <f ca="1">VLOOKUP($B8&amp;"_"&amp;$E8,OFFSET([1]stages!$A$1,0,0,COUNTA([1]stages!$A:$A),MATCH(G$1,[1]stages!$2:$2,0)-MATCH("temp_stage",[1]stages!$2:$2,0)+1),MATCH(G$1,[1]stages!$2:$2,0)-MATCH("temp_stage",[1]stages!$2:$2,0)+1,FALSE)</f>
        <v>降臨16</v>
      </c>
      <c r="H8" s="12" t="s">
        <v>14</v>
      </c>
      <c r="I8" s="5" t="s">
        <v>39</v>
      </c>
      <c r="J8" s="5">
        <v>1</v>
      </c>
      <c r="K8" s="5">
        <v>1000</v>
      </c>
      <c r="L8" s="5" t="s">
        <v>19</v>
      </c>
      <c r="M8" s="5">
        <v>724</v>
      </c>
      <c r="N8" s="15" t="str">
        <f ca="1">IF(L8="unit",VLOOKUP($M8,OFFSET([2]characters!$A$1,0,0,COUNTA([2]characters!$A:$A),MATCH(N$1,[2]characters!$1:$1,0)-MATCH("character_id",[2]characters!$1:$1,0)+1),MATCH(N$1,[2]characters!$1:$1,0)-MATCH("character_id",[2]characters!$1:$1,0)+1,FALSE),"")</f>
        <v>武田信玄</v>
      </c>
      <c r="O8" s="5">
        <v>1</v>
      </c>
      <c r="P8" s="5">
        <v>1</v>
      </c>
      <c r="Q8" s="5">
        <v>1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17" t="s">
        <v>32</v>
      </c>
      <c r="X8" s="18" t="s">
        <v>33</v>
      </c>
    </row>
    <row r="9" spans="1:24" x14ac:dyDescent="0.15">
      <c r="A9" s="14" t="str">
        <f t="shared" si="1"/>
        <v>40017_2_no_continue</v>
      </c>
      <c r="B9" s="4">
        <v>40017</v>
      </c>
      <c r="C9" s="3" t="str">
        <f ca="1">VLOOKUP($B9,OFFSET([1]quests!$A$1,0,0,COUNTA([1]quests!$A:$A),MATCH(C$1,[1]quests!$1:$1,0)-MATCH($B$1,[1]quests!$1:$1,0)+1),MATCH(C$1,[1]quests!$1:$1,0)-MATCH($B$1,[1]quests!$1:$1,0)+1,FALSE)</f>
        <v>ベルゼブブ襲来！</v>
      </c>
      <c r="D9" s="3" t="str">
        <f ca="1">VLOOKUP($B9,OFFSET([1]quests!$A$1,0,0,COUNTA([1]quests!$A:$A),MATCH(D$1,[1]quests!$1:$1,0)-MATCH($B$1,[1]quests!$1:$1,0)+1),MATCH(D$1,[1]quests!$1:$1,0)-MATCH($B$1,[1]quests!$1:$1,0)+1,FALSE)</f>
        <v>降臨17</v>
      </c>
      <c r="E9" s="5">
        <v>2</v>
      </c>
      <c r="F9" s="3" t="str">
        <f ca="1">VLOOKUP($B9&amp;"_"&amp;$E9,OFFSET([1]stages!$A$1,0,0,COUNTA([1]stages!$A:$A),MATCH(F$1,[1]stages!$2:$2,0)-MATCH("temp_stage",[1]stages!$2:$2,0)+1),MATCH(F$1,[1]stages!$2:$2,0)-MATCH("temp_stage",[1]stages!$2:$2,0)+1,FALSE)</f>
        <v>【ウィザード級】ベルゼブブ襲来</v>
      </c>
      <c r="G9" s="3" t="str">
        <f ca="1">VLOOKUP($B9&amp;"_"&amp;$E9,OFFSET([1]stages!$A$1,0,0,COUNTA([1]stages!$A:$A),MATCH(G$1,[1]stages!$2:$2,0)-MATCH("temp_stage",[1]stages!$2:$2,0)+1),MATCH(G$1,[1]stages!$2:$2,0)-MATCH("temp_stage",[1]stages!$2:$2,0)+1,FALSE)</f>
        <v>降臨17</v>
      </c>
      <c r="H9" s="12" t="s">
        <v>14</v>
      </c>
      <c r="I9" s="5" t="s">
        <v>39</v>
      </c>
      <c r="J9" s="5">
        <v>1</v>
      </c>
      <c r="K9" s="5">
        <v>1000</v>
      </c>
      <c r="L9" s="5" t="s">
        <v>19</v>
      </c>
      <c r="M9" s="5">
        <v>844</v>
      </c>
      <c r="N9" s="15" t="str">
        <f ca="1">IF(L9="unit",VLOOKUP($M9,OFFSET([2]characters!$A$1,0,0,COUNTA([2]characters!$A:$A),MATCH(N$1,[2]characters!$1:$1,0)-MATCH("character_id",[2]characters!$1:$1,0)+1),MATCH(N$1,[2]characters!$1:$1,0)-MATCH("character_id",[2]characters!$1:$1,0)+1,FALSE),"")</f>
        <v>ベルゼブブ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1</v>
      </c>
      <c r="W9" s="17" t="s">
        <v>32</v>
      </c>
      <c r="X9" s="18" t="s">
        <v>33</v>
      </c>
    </row>
    <row r="10" spans="1:24" x14ac:dyDescent="0.15">
      <c r="A10" s="14" t="str">
        <f t="shared" ref="A10" si="2">B10&amp;"_"&amp;E10&amp;"_"&amp;I10</f>
        <v>40018_2_no_continue</v>
      </c>
      <c r="B10" s="4">
        <v>40018</v>
      </c>
      <c r="C10" s="3" t="str">
        <f ca="1">VLOOKUP($B10,OFFSET([1]quests!$A$1,0,0,COUNTA([1]quests!$A:$A),MATCH(C$1,[1]quests!$1:$1,0)-MATCH($B$1,[1]quests!$1:$1,0)+1),MATCH(C$1,[1]quests!$1:$1,0)-MATCH($B$1,[1]quests!$1:$1,0)+1,FALSE)</f>
        <v>ジーナ襲来！</v>
      </c>
      <c r="D10" s="3" t="str">
        <f ca="1">VLOOKUP($B10,OFFSET([1]quests!$A$1,0,0,COUNTA([1]quests!$A:$A),MATCH(D$1,[1]quests!$1:$1,0)-MATCH($B$1,[1]quests!$1:$1,0)+1),MATCH(D$1,[1]quests!$1:$1,0)-MATCH($B$1,[1]quests!$1:$1,0)+1,FALSE)</f>
        <v>降臨18</v>
      </c>
      <c r="E10" s="5">
        <v>2</v>
      </c>
      <c r="F10" s="3" t="str">
        <f ca="1">VLOOKUP($B10&amp;"_"&amp;$E10,OFFSET([1]stages!$A$1,0,0,COUNTA([1]stages!$A:$A),MATCH(F$1,[1]stages!$2:$2,0)-MATCH("temp_stage",[1]stages!$2:$2,0)+1),MATCH(F$1,[1]stages!$2:$2,0)-MATCH("temp_stage",[1]stages!$2:$2,0)+1,FALSE)</f>
        <v>【ウィザード級】ジーナ襲来</v>
      </c>
      <c r="G10" s="3" t="str">
        <f ca="1">VLOOKUP($B10&amp;"_"&amp;$E10,OFFSET([1]stages!$A$1,0,0,COUNTA([1]stages!$A:$A),MATCH(G$1,[1]stages!$2:$2,0)-MATCH("temp_stage",[1]stages!$2:$2,0)+1),MATCH(G$1,[1]stages!$2:$2,0)-MATCH("temp_stage",[1]stages!$2:$2,0)+1,FALSE)</f>
        <v>降臨18</v>
      </c>
      <c r="H10" s="12" t="s">
        <v>14</v>
      </c>
      <c r="I10" s="5" t="s">
        <v>39</v>
      </c>
      <c r="J10" s="5">
        <v>1</v>
      </c>
      <c r="K10" s="5">
        <v>1000</v>
      </c>
      <c r="L10" s="5" t="s">
        <v>19</v>
      </c>
      <c r="M10" s="5">
        <v>860</v>
      </c>
      <c r="N10" s="15" t="str">
        <f ca="1">IF(L10="unit",VLOOKUP($M10,OFFSET([2]characters!$A$1,0,0,COUNTA([2]characters!$A:$A),MATCH(N$1,[2]characters!$1:$1,0)-MATCH("character_id",[2]characters!$1:$1,0)+1),MATCH(N$1,[2]characters!$1:$1,0)-MATCH("character_id",[2]characters!$1:$1,0)+1,FALSE),"")</f>
        <v>叶望の幻燈 ジーナ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1</v>
      </c>
      <c r="W10" s="17" t="s">
        <v>40</v>
      </c>
      <c r="X10" s="18" t="s">
        <v>41</v>
      </c>
    </row>
    <row r="11" spans="1:24" x14ac:dyDescent="0.15">
      <c r="A11" s="14" t="str">
        <f t="shared" ref="A11" si="3">B11&amp;"_"&amp;E11&amp;"_"&amp;I11</f>
        <v>40019_2_no_continue</v>
      </c>
      <c r="B11" s="4">
        <v>40019</v>
      </c>
      <c r="C11" s="3" t="str">
        <f ca="1">VLOOKUP($B11,OFFSET([1]quests!$A$1,0,0,COUNTA([1]quests!$A:$A),MATCH(C$1,[1]quests!$1:$1,0)-MATCH($B$1,[1]quests!$1:$1,0)+1),MATCH(C$1,[1]quests!$1:$1,0)-MATCH($B$1,[1]quests!$1:$1,0)+1,FALSE)</f>
        <v>テュポーン襲来！</v>
      </c>
      <c r="D11" s="3" t="str">
        <f ca="1">VLOOKUP($B11,OFFSET([1]quests!$A$1,0,0,COUNTA([1]quests!$A:$A),MATCH(D$1,[1]quests!$1:$1,0)-MATCH($B$1,[1]quests!$1:$1,0)+1),MATCH(D$1,[1]quests!$1:$1,0)-MATCH($B$1,[1]quests!$1:$1,0)+1,FALSE)</f>
        <v>降臨19</v>
      </c>
      <c r="E11" s="5">
        <v>2</v>
      </c>
      <c r="F11" s="3" t="str">
        <f ca="1">VLOOKUP($B11&amp;"_"&amp;$E11,OFFSET([1]stages!$A$1,0,0,COUNTA([1]stages!$A:$A),MATCH(F$1,[1]stages!$2:$2,0)-MATCH("temp_stage",[1]stages!$2:$2,0)+1),MATCH(F$1,[1]stages!$2:$2,0)-MATCH("temp_stage",[1]stages!$2:$2,0)+1,FALSE)</f>
        <v>【ウィザード級】テュポーン襲来</v>
      </c>
      <c r="G11" s="3" t="str">
        <f ca="1">VLOOKUP($B11&amp;"_"&amp;$E11,OFFSET([1]stages!$A$1,0,0,COUNTA([1]stages!$A:$A),MATCH(G$1,[1]stages!$2:$2,0)-MATCH("temp_stage",[1]stages!$2:$2,0)+1),MATCH(G$1,[1]stages!$2:$2,0)-MATCH("temp_stage",[1]stages!$2:$2,0)+1,FALSE)</f>
        <v>降臨19</v>
      </c>
      <c r="H11" s="12" t="s">
        <v>14</v>
      </c>
      <c r="I11" s="5" t="s">
        <v>39</v>
      </c>
      <c r="J11" s="5">
        <v>1</v>
      </c>
      <c r="K11" s="5">
        <v>1000</v>
      </c>
      <c r="L11" s="5" t="s">
        <v>19</v>
      </c>
      <c r="M11" s="5">
        <v>740</v>
      </c>
      <c r="N11" s="15" t="str">
        <f ca="1">IF(L11="unit",VLOOKUP($M11,OFFSET([2]characters!$A$1,0,0,COUNTA([2]characters!$A:$A),MATCH(N$1,[2]characters!$1:$1,0)-MATCH("character_id",[2]characters!$1:$1,0)+1),MATCH(N$1,[2]characters!$1:$1,0)-MATCH("character_id",[2]characters!$1:$1,0)+1,FALSE),"")</f>
        <v>テュポーン</v>
      </c>
      <c r="O11" s="5">
        <v>1</v>
      </c>
      <c r="P11" s="5">
        <v>1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1</v>
      </c>
      <c r="W11" s="17" t="s">
        <v>40</v>
      </c>
      <c r="X11" s="18" t="s">
        <v>41</v>
      </c>
    </row>
    <row r="12" spans="1:24" x14ac:dyDescent="0.15">
      <c r="A12" s="14" t="str">
        <f t="shared" si="1"/>
        <v>41007_2_no_continue</v>
      </c>
      <c r="B12" s="4">
        <v>41007</v>
      </c>
      <c r="C12" s="3" t="str">
        <f ca="1">VLOOKUP($B12,OFFSET([1]quests!$A$1,0,0,COUNTA([1]quests!$A:$A),MATCH(C$1,[1]quests!$1:$1,0)-MATCH($B$1,[1]quests!$1:$1,0)+1),MATCH(C$1,[1]quests!$1:$1,0)-MATCH($B$1,[1]quests!$1:$1,0)+1,FALSE)</f>
        <v>グリム襲来！</v>
      </c>
      <c r="D12" s="3" t="str">
        <f ca="1">VLOOKUP($B12,OFFSET([1]quests!$A$1,0,0,COUNTA([1]quests!$A:$A),MATCH(D$1,[1]quests!$1:$1,0)-MATCH($B$1,[1]quests!$1:$1,0)+1),MATCH(D$1,[1]quests!$1:$1,0)-MATCH($B$1,[1]quests!$1:$1,0)+1,FALSE)</f>
        <v>降臨1</v>
      </c>
      <c r="E12" s="5">
        <v>2</v>
      </c>
      <c r="F12" s="3" t="str">
        <f ca="1">VLOOKUP($B12&amp;"_"&amp;$E12,OFFSET([1]stages!$A$1,0,0,COUNTA([1]stages!$A:$A),MATCH(F$1,[1]stages!$2:$2,0)-MATCH("temp_stage",[1]stages!$2:$2,0)+1),MATCH(F$1,[1]stages!$2:$2,0)-MATCH("temp_stage",[1]stages!$2:$2,0)+1,FALSE)</f>
        <v>【ウィザード級】グリム襲来</v>
      </c>
      <c r="G12" s="3" t="str">
        <f ca="1">VLOOKUP($B12&amp;"_"&amp;$E12,OFFSET([1]stages!$A$1,0,0,COUNTA([1]stages!$A:$A),MATCH(G$1,[1]stages!$2:$2,0)-MATCH("temp_stage",[1]stages!$2:$2,0)+1),MATCH(G$1,[1]stages!$2:$2,0)-MATCH("temp_stage",[1]stages!$2:$2,0)+1,FALSE)</f>
        <v>降臨1</v>
      </c>
      <c r="H12" s="12" t="s">
        <v>14</v>
      </c>
      <c r="I12" s="5" t="s">
        <v>39</v>
      </c>
      <c r="J12" s="5">
        <v>1</v>
      </c>
      <c r="K12" s="5">
        <v>1000</v>
      </c>
      <c r="L12" s="5" t="s">
        <v>19</v>
      </c>
      <c r="M12" s="5">
        <v>490</v>
      </c>
      <c r="N12" s="15" t="str">
        <f ca="1">IF(L12="unit",VLOOKUP($M12,OFFSET([2]characters!$A$1,0,0,COUNTA([2]characters!$A:$A),MATCH(N$1,[2]characters!$1:$1,0)-MATCH("character_id",[2]characters!$1:$1,0)+1),MATCH(N$1,[2]characters!$1:$1,0)-MATCH("character_id",[2]characters!$1:$1,0)+1,FALSE),"")</f>
        <v>グリム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17" t="s">
        <v>40</v>
      </c>
      <c r="X12" s="18" t="s">
        <v>41</v>
      </c>
    </row>
    <row r="13" spans="1:24" x14ac:dyDescent="0.15">
      <c r="A13" s="14" t="str">
        <f t="shared" si="1"/>
        <v>41008_2_no_continue</v>
      </c>
      <c r="B13" s="4">
        <v>41008</v>
      </c>
      <c r="C13" s="3" t="str">
        <f ca="1">VLOOKUP($B13,OFFSET([1]quests!$A$1,0,0,COUNTA([1]quests!$A:$A),MATCH(C$1,[1]quests!$1:$1,0)-MATCH($B$1,[1]quests!$1:$1,0)+1),MATCH(C$1,[1]quests!$1:$1,0)-MATCH($B$1,[1]quests!$1:$1,0)+1,FALSE)</f>
        <v>Gスター襲来！</v>
      </c>
      <c r="D13" s="3" t="str">
        <f ca="1">VLOOKUP($B13,OFFSET([1]quests!$A$1,0,0,COUNTA([1]quests!$A:$A),MATCH(D$1,[1]quests!$1:$1,0)-MATCH($B$1,[1]quests!$1:$1,0)+1),MATCH(D$1,[1]quests!$1:$1,0)-MATCH($B$1,[1]quests!$1:$1,0)+1,FALSE)</f>
        <v>降臨1</v>
      </c>
      <c r="E13" s="5">
        <v>2</v>
      </c>
      <c r="F13" s="3" t="str">
        <f ca="1">VLOOKUP($B13&amp;"_"&amp;$E13,OFFSET([1]stages!$A$1,0,0,COUNTA([1]stages!$A:$A),MATCH(F$1,[1]stages!$2:$2,0)-MATCH("temp_stage",[1]stages!$2:$2,0)+1),MATCH(F$1,[1]stages!$2:$2,0)-MATCH("temp_stage",[1]stages!$2:$2,0)+1,FALSE)</f>
        <v>【ウィザード級】Gスター襲来</v>
      </c>
      <c r="G13" s="3" t="str">
        <f ca="1">VLOOKUP($B13&amp;"_"&amp;$E13,OFFSET([1]stages!$A$1,0,0,COUNTA([1]stages!$A:$A),MATCH(G$1,[1]stages!$2:$2,0)-MATCH("temp_stage",[1]stages!$2:$2,0)+1),MATCH(G$1,[1]stages!$2:$2,0)-MATCH("temp_stage",[1]stages!$2:$2,0)+1,FALSE)</f>
        <v>降臨1</v>
      </c>
      <c r="H13" s="12" t="s">
        <v>14</v>
      </c>
      <c r="I13" s="5" t="s">
        <v>39</v>
      </c>
      <c r="J13" s="5">
        <v>1</v>
      </c>
      <c r="K13" s="5">
        <v>1000</v>
      </c>
      <c r="L13" s="5" t="s">
        <v>19</v>
      </c>
      <c r="M13" s="5">
        <v>508</v>
      </c>
      <c r="N13" s="15" t="str">
        <f ca="1">IF(L13="unit",VLOOKUP($M13,OFFSET([2]characters!$A$1,0,0,COUNTA([2]characters!$A:$A),MATCH(N$1,[2]characters!$1:$1,0)-MATCH("character_id",[2]characters!$1:$1,0)+1),MATCH(N$1,[2]characters!$1:$1,0)-MATCH("character_id",[2]characters!$1:$1,0)+1,FALSE),"")</f>
        <v>Gスター・チルドレン</v>
      </c>
      <c r="O13" s="5">
        <v>1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0</v>
      </c>
      <c r="V13" s="5">
        <v>1</v>
      </c>
      <c r="W13" s="17" t="s">
        <v>40</v>
      </c>
      <c r="X13" s="18" t="s">
        <v>41</v>
      </c>
    </row>
    <row r="14" spans="1:24" x14ac:dyDescent="0.15">
      <c r="A14" s="14" t="str">
        <f t="shared" ref="A14" si="4">B14&amp;"_"&amp;E14&amp;"_"&amp;I14</f>
        <v>49004_2_no_continue</v>
      </c>
      <c r="B14" s="4">
        <v>49004</v>
      </c>
      <c r="C14" s="3" t="str">
        <f ca="1">VLOOKUP($B14,OFFSET([1]quests!$A$1,0,0,COUNTA([1]quests!$A:$A),MATCH(C$1,[1]quests!$1:$1,0)-MATCH($B$1,[1]quests!$1:$1,0)+1),MATCH(C$1,[1]quests!$1:$1,0)-MATCH($B$1,[1]quests!$1:$1,0)+1,FALSE)</f>
        <v>サンリオ好きなのだーれだ♪</v>
      </c>
      <c r="D14" s="3" t="str">
        <f ca="1">VLOOKUP($B14,OFFSET([1]quests!$A$1,0,0,COUNTA([1]quests!$A:$A),MATCH(D$1,[1]quests!$1:$1,0)-MATCH($B$1,[1]quests!$1:$1,0)+1),MATCH(D$1,[1]quests!$1:$1,0)-MATCH($B$1,[1]quests!$1:$1,0)+1,FALSE)</f>
        <v>コラボ降臨4</v>
      </c>
      <c r="E14" s="5">
        <v>2</v>
      </c>
      <c r="F14" s="3" t="str">
        <f ca="1">VLOOKUP($B14&amp;"_"&amp;$E14,OFFSET([1]stages!$A$1,0,0,COUNTA([1]stages!$A:$A),MATCH(F$1,[1]stages!$2:$2,0)-MATCH("temp_stage",[1]stages!$2:$2,0)+1),MATCH(F$1,[1]stages!$2:$2,0)-MATCH("temp_stage",[1]stages!$2:$2,0)+1,FALSE)</f>
        <v>【ｳｨｻﾞ】サンリオ好きなのだーれだ♪</v>
      </c>
      <c r="G14" s="3" t="str">
        <f ca="1">VLOOKUP($B14&amp;"_"&amp;$E14,OFFSET([1]stages!$A$1,0,0,COUNTA([1]stages!$A:$A),MATCH(G$1,[1]stages!$2:$2,0)-MATCH("temp_stage",[1]stages!$2:$2,0)+1),MATCH(G$1,[1]stages!$2:$2,0)-MATCH("temp_stage",[1]stages!$2:$2,0)+1,FALSE)</f>
        <v>コラボ降臨4</v>
      </c>
      <c r="H14" s="12" t="s">
        <v>14</v>
      </c>
      <c r="I14" s="5" t="s">
        <v>39</v>
      </c>
      <c r="J14" s="5">
        <v>1</v>
      </c>
      <c r="K14" s="5">
        <v>1000</v>
      </c>
      <c r="L14" s="5" t="s">
        <v>19</v>
      </c>
      <c r="M14" s="5">
        <v>899</v>
      </c>
      <c r="N14" s="15" t="str">
        <f ca="1">IF(L14="unit",VLOOKUP($M14,OFFSET([2]characters!$A$1,0,0,COUNTA([2]characters!$A:$A),MATCH(N$1,[2]characters!$1:$1,0)-MATCH("character_id",[2]characters!$1:$1,0)+1),MATCH(N$1,[2]characters!$1:$1,0)-MATCH("character_id",[2]characters!$1:$1,0)+1,FALSE),"")</f>
        <v>楽園からの帰還 アザゼル</v>
      </c>
      <c r="O14" s="5">
        <v>1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0</v>
      </c>
      <c r="V14" s="5">
        <v>1</v>
      </c>
      <c r="W14" s="17" t="s">
        <v>40</v>
      </c>
      <c r="X14" s="18" t="s">
        <v>41</v>
      </c>
    </row>
    <row r="15" spans="1:24" x14ac:dyDescent="0.15">
      <c r="A15" s="14" t="str">
        <f t="shared" ref="A15:A16" si="5">B15&amp;"_"&amp;E15&amp;"_"&amp;I15</f>
        <v>11006_4_clear</v>
      </c>
      <c r="B15" s="4">
        <v>11006</v>
      </c>
      <c r="C15" s="3" t="str">
        <f ca="1">VLOOKUP($B15,OFFSET([1]quests!$A$1,0,0,COUNTA([1]quests!$A:$A),MATCH(C$1,[1]quests!$1:$1,0)-MATCH($B$1,[1]quests!$1:$1,0)+1),MATCH(C$1,[1]quests!$1:$1,0)-MATCH($B$1,[1]quests!$1:$1,0)+1,FALSE)</f>
        <v>【土日限定】 ゴールドカジノ</v>
      </c>
      <c r="D15" s="3" t="str">
        <f ca="1">VLOOKUP($B15,OFFSET([1]quests!$A$1,0,0,COUNTA([1]quests!$A:$A),MATCH(D$1,[1]quests!$1:$1,0)-MATCH($B$1,[1]quests!$1:$1,0)+1),MATCH(D$1,[1]quests!$1:$1,0)-MATCH($B$1,[1]quests!$1:$1,0)+1,FALSE)</f>
        <v>土日クエスト</v>
      </c>
      <c r="E15" s="5">
        <v>4</v>
      </c>
      <c r="F15" s="3" t="str">
        <f ca="1">VLOOKUP($B15&amp;"_"&amp;$E15,OFFSET([1]stages!$A$1,0,0,COUNTA([1]stages!$A:$A),MATCH(F$1,[1]stages!$2:$2,0)-MATCH("temp_stage",[1]stages!$2:$2,0)+1),MATCH(F$1,[1]stages!$2:$2,0)-MATCH("temp_stage",[1]stages!$2:$2,0)+1,FALSE)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15" s="3" t="str">
        <f ca="1">VLOOKUP($B15&amp;"_"&amp;$E15,OFFSET([1]stages!$A$1,0,0,COUNTA([1]stages!$A:$A),MATCH(G$1,[1]stages!$2:$2,0)-MATCH("temp_stage",[1]stages!$2:$2,0)+1),MATCH(G$1,[1]stages!$2:$2,0)-MATCH("temp_stage",[1]stages!$2:$2,0)+1,FALSE)</f>
        <v>土日クエスト</v>
      </c>
      <c r="H15" s="12" t="s">
        <v>14</v>
      </c>
      <c r="I15" s="5" t="s">
        <v>16</v>
      </c>
      <c r="J15" s="5">
        <v>1</v>
      </c>
      <c r="K15" s="5">
        <v>800</v>
      </c>
      <c r="L15" s="5" t="s">
        <v>19</v>
      </c>
      <c r="M15" s="5">
        <v>119</v>
      </c>
      <c r="N15" s="15" t="str">
        <f ca="1">IF(L15="unit",VLOOKUP($M15,OFFSET([2]characters!$A$1,0,0,COUNTA([2]characters!$A:$A),MATCH(N$1,[2]characters!$1:$1,0)-MATCH("character_id",[2]characters!$1:$1,0)+1),MATCH(N$1,[2]characters!$1:$1,0)-MATCH("character_id",[2]characters!$1:$1,0)+1,FALSE),"")</f>
        <v>ゴールドダック</v>
      </c>
      <c r="O15" s="5">
        <v>1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1</v>
      </c>
      <c r="W15" s="17" t="s">
        <v>32</v>
      </c>
      <c r="X15" s="18" t="s">
        <v>33</v>
      </c>
    </row>
    <row r="16" spans="1:24" x14ac:dyDescent="0.15">
      <c r="A16" s="14" t="str">
        <f t="shared" si="5"/>
        <v>11006_4_clear</v>
      </c>
      <c r="B16" s="4">
        <v>11006</v>
      </c>
      <c r="C16" s="3" t="str">
        <f ca="1">VLOOKUP($B16,OFFSET([1]quests!$A$1,0,0,COUNTA([1]quests!$A:$A),MATCH(C$1,[1]quests!$1:$1,0)-MATCH($B$1,[1]quests!$1:$1,0)+1),MATCH(C$1,[1]quests!$1:$1,0)-MATCH($B$1,[1]quests!$1:$1,0)+1,FALSE)</f>
        <v>【土日限定】 ゴールドカジノ</v>
      </c>
      <c r="D16" s="3" t="str">
        <f ca="1">VLOOKUP($B16,OFFSET([1]quests!$A$1,0,0,COUNTA([1]quests!$A:$A),MATCH(D$1,[1]quests!$1:$1,0)-MATCH($B$1,[1]quests!$1:$1,0)+1),MATCH(D$1,[1]quests!$1:$1,0)-MATCH($B$1,[1]quests!$1:$1,0)+1,FALSE)</f>
        <v>土日クエスト</v>
      </c>
      <c r="E16" s="5">
        <v>4</v>
      </c>
      <c r="F16" s="3" t="str">
        <f ca="1">VLOOKUP($B16&amp;"_"&amp;$E16,OFFSET([1]stages!$A$1,0,0,COUNTA([1]stages!$A:$A),MATCH(F$1,[1]stages!$2:$2,0)-MATCH("temp_stage",[1]stages!$2:$2,0)+1),MATCH(F$1,[1]stages!$2:$2,0)-MATCH("temp_stage",[1]stages!$2:$2,0)+1,FALSE)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16" s="3" t="str">
        <f ca="1">VLOOKUP($B16&amp;"_"&amp;$E16,OFFSET([1]stages!$A$1,0,0,COUNTA([1]stages!$A:$A),MATCH(G$1,[1]stages!$2:$2,0)-MATCH("temp_stage",[1]stages!$2:$2,0)+1),MATCH(G$1,[1]stages!$2:$2,0)-MATCH("temp_stage",[1]stages!$2:$2,0)+1,FALSE)</f>
        <v>土日クエスト</v>
      </c>
      <c r="H16" s="12" t="s">
        <v>14</v>
      </c>
      <c r="I16" s="5" t="s">
        <v>16</v>
      </c>
      <c r="J16" s="5">
        <v>2</v>
      </c>
      <c r="K16" s="5">
        <v>200</v>
      </c>
      <c r="L16" s="5" t="s">
        <v>19</v>
      </c>
      <c r="M16" s="5">
        <v>120</v>
      </c>
      <c r="N16" s="15" t="str">
        <f ca="1">IF(L16="unit",VLOOKUP($M16,OFFSET([2]characters!$A$1,0,0,COUNTA([2]characters!$A:$A),MATCH(N$1,[2]characters!$1:$1,0)-MATCH("character_id",[2]characters!$1:$1,0)+1),MATCH(N$1,[2]characters!$1:$1,0)-MATCH("character_id",[2]characters!$1:$1,0)+1,FALSE),"")</f>
        <v>ゴールドキング</v>
      </c>
      <c r="O16" s="5">
        <v>1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1</v>
      </c>
      <c r="W16" s="17" t="s">
        <v>32</v>
      </c>
      <c r="X16" s="18" t="s">
        <v>33</v>
      </c>
    </row>
    <row r="17" spans="1:24" x14ac:dyDescent="0.15">
      <c r="A17" s="14" t="str">
        <f t="shared" ref="A17:A28" si="6">B17&amp;"_"&amp;E17&amp;"_"&amp;I17</f>
        <v>14001_1_clear</v>
      </c>
      <c r="B17" s="4">
        <v>14001</v>
      </c>
      <c r="C17" s="3" t="str">
        <f ca="1">VLOOKUP($B17,OFFSET([1]quests!$A$1,0,0,COUNTA([1]quests!$A:$A),MATCH(C$1,[1]quests!$1:$1,0)-MATCH($B$1,[1]quests!$1:$1,0)+1),MATCH(C$1,[1]quests!$1:$1,0)-MATCH($B$1,[1]quests!$1:$1,0)+1,FALSE)</f>
        <v>【ロック】経験値/ソロ</v>
      </c>
      <c r="D17" s="3" t="str">
        <f ca="1">VLOOKUP($B17,OFFSET([1]quests!$A$1,0,0,COUNTA([1]quests!$A:$A),MATCH(D$1,[1]quests!$1:$1,0)-MATCH($B$1,[1]quests!$1:$1,0)+1),MATCH(D$1,[1]quests!$1:$1,0)-MATCH($B$1,[1]quests!$1:$1,0)+1,FALSE)</f>
        <v>【ロック】経験値/ソロ</v>
      </c>
      <c r="E17" s="5">
        <v>1</v>
      </c>
      <c r="F17" s="3" t="str">
        <f ca="1">VLOOKUP($B17&amp;"_"&amp;$E17,OFFSET([1]stages!$A$1,0,0,COUNTA([1]stages!$A:$A),MATCH(F$1,[1]stages!$2:$2,0)-MATCH("temp_stage",[1]stages!$2:$2,0)+1),MATCH(F$1,[1]stages!$2:$2,0)-MATCH("temp_stage",[1]stages!$2:$2,0)+1,FALSE)</f>
        <v>【超級】雷ファミリー（ハートなし）</v>
      </c>
      <c r="G17" s="3" t="str">
        <f ca="1">VLOOKUP($B17&amp;"_"&amp;$E17,OFFSET([1]stages!$A$1,0,0,COUNTA([1]stages!$A:$A),MATCH(G$1,[1]stages!$2:$2,0)-MATCH("temp_stage",[1]stages!$2:$2,0)+1),MATCH(G$1,[1]stages!$2:$2,0)-MATCH("temp_stage",[1]stages!$2:$2,0)+1,FALSE)</f>
        <v>【ロック】経験値/ソロ</v>
      </c>
      <c r="H17" s="12" t="s">
        <v>14</v>
      </c>
      <c r="I17" s="5" t="s">
        <v>16</v>
      </c>
      <c r="J17" s="5">
        <v>1</v>
      </c>
      <c r="K17" s="5">
        <v>610</v>
      </c>
      <c r="L17" s="5" t="s">
        <v>19</v>
      </c>
      <c r="M17" s="5">
        <v>346</v>
      </c>
      <c r="N17" s="15" t="str">
        <f ca="1">IF(L17="unit",VLOOKUP($M17,OFFSET([2]characters!$A$1,0,0,COUNTA([2]characters!$A:$A),MATCH(N$1,[2]characters!$1:$1,0)-MATCH("character_id",[2]characters!$1:$1,0)+1),MATCH(N$1,[2]characters!$1:$1,0)-MATCH("character_id",[2]characters!$1:$1,0)+1,FALSE),"")</f>
        <v>雷のメタルダック</v>
      </c>
      <c r="O17" s="5">
        <v>1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0</v>
      </c>
      <c r="V17" s="5">
        <v>1</v>
      </c>
      <c r="W17" s="17" t="s">
        <v>32</v>
      </c>
      <c r="X17" s="18" t="s">
        <v>33</v>
      </c>
    </row>
    <row r="18" spans="1:24" x14ac:dyDescent="0.15">
      <c r="A18" s="14" t="str">
        <f t="shared" si="6"/>
        <v>14001_1_clear</v>
      </c>
      <c r="B18" s="4">
        <v>14001</v>
      </c>
      <c r="C18" s="3" t="str">
        <f ca="1">VLOOKUP($B18,OFFSET([1]quests!$A$1,0,0,COUNTA([1]quests!$A:$A),MATCH(C$1,[1]quests!$1:$1,0)-MATCH($B$1,[1]quests!$1:$1,0)+1),MATCH(C$1,[1]quests!$1:$1,0)-MATCH($B$1,[1]quests!$1:$1,0)+1,FALSE)</f>
        <v>【ロック】経験値/ソロ</v>
      </c>
      <c r="D18" s="3" t="str">
        <f ca="1">VLOOKUP($B18,OFFSET([1]quests!$A$1,0,0,COUNTA([1]quests!$A:$A),MATCH(D$1,[1]quests!$1:$1,0)-MATCH($B$1,[1]quests!$1:$1,0)+1),MATCH(D$1,[1]quests!$1:$1,0)-MATCH($B$1,[1]quests!$1:$1,0)+1,FALSE)</f>
        <v>【ロック】経験値/ソロ</v>
      </c>
      <c r="E18" s="5">
        <v>1</v>
      </c>
      <c r="F18" s="3" t="str">
        <f ca="1">VLOOKUP($B18&amp;"_"&amp;$E18,OFFSET([1]stages!$A$1,0,0,COUNTA([1]stages!$A:$A),MATCH(F$1,[1]stages!$2:$2,0)-MATCH("temp_stage",[1]stages!$2:$2,0)+1),MATCH(F$1,[1]stages!$2:$2,0)-MATCH("temp_stage",[1]stages!$2:$2,0)+1,FALSE)</f>
        <v>【超級】雷ファミリー（ハートなし）</v>
      </c>
      <c r="G18" s="3" t="str">
        <f ca="1">VLOOKUP($B18&amp;"_"&amp;$E18,OFFSET([1]stages!$A$1,0,0,COUNTA([1]stages!$A:$A),MATCH(G$1,[1]stages!$2:$2,0)-MATCH("temp_stage",[1]stages!$2:$2,0)+1),MATCH(G$1,[1]stages!$2:$2,0)-MATCH("temp_stage",[1]stages!$2:$2,0)+1,FALSE)</f>
        <v>【ロック】経験値/ソロ</v>
      </c>
      <c r="H18" s="12" t="s">
        <v>14</v>
      </c>
      <c r="I18" s="5" t="s">
        <v>36</v>
      </c>
      <c r="J18" s="5">
        <v>2</v>
      </c>
      <c r="K18" s="5">
        <v>390</v>
      </c>
      <c r="L18" s="5" t="s">
        <v>19</v>
      </c>
      <c r="M18" s="19">
        <v>347</v>
      </c>
      <c r="N18" s="15" t="str">
        <f ca="1">IF(L18="unit",VLOOKUP($M18,OFFSET([2]characters!$A$1,0,0,COUNTA([2]characters!$A:$A),MATCH(N$1,[2]characters!$1:$1,0)-MATCH("character_id",[2]characters!$1:$1,0)+1),MATCH(N$1,[2]characters!$1:$1,0)-MATCH("character_id",[2]characters!$1:$1,0)+1,FALSE),"")</f>
        <v>雷のメタルジェントル</v>
      </c>
      <c r="O18" s="5">
        <v>1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0</v>
      </c>
      <c r="V18" s="5">
        <v>1</v>
      </c>
      <c r="W18" s="17" t="s">
        <v>32</v>
      </c>
      <c r="X18" s="18" t="s">
        <v>33</v>
      </c>
    </row>
    <row r="19" spans="1:24" x14ac:dyDescent="0.15">
      <c r="A19" s="14" t="str">
        <f t="shared" si="6"/>
        <v>14001_2_clear</v>
      </c>
      <c r="B19" s="4">
        <v>14001</v>
      </c>
      <c r="C19" s="3" t="str">
        <f ca="1">VLOOKUP($B19,OFFSET([1]quests!$A$1,0,0,COUNTA([1]quests!$A:$A),MATCH(C$1,[1]quests!$1:$1,0)-MATCH($B$1,[1]quests!$1:$1,0)+1),MATCH(C$1,[1]quests!$1:$1,0)-MATCH($B$1,[1]quests!$1:$1,0)+1,FALSE)</f>
        <v>【ロック】経験値/ソロ</v>
      </c>
      <c r="D19" s="3" t="str">
        <f ca="1">VLOOKUP($B19,OFFSET([1]quests!$A$1,0,0,COUNTA([1]quests!$A:$A),MATCH(D$1,[1]quests!$1:$1,0)-MATCH($B$1,[1]quests!$1:$1,0)+1),MATCH(D$1,[1]quests!$1:$1,0)-MATCH($B$1,[1]quests!$1:$1,0)+1,FALSE)</f>
        <v>【ロック】経験値/ソロ</v>
      </c>
      <c r="E19" s="5">
        <v>2</v>
      </c>
      <c r="F19" s="3" t="str">
        <f ca="1">VLOOKUP($B19&amp;"_"&amp;$E19,OFFSET([1]stages!$A$1,0,0,COUNTA([1]stages!$A:$A),MATCH(F$1,[1]stages!$2:$2,0)-MATCH("temp_stage",[1]stages!$2:$2,0)+1),MATCH(F$1,[1]stages!$2:$2,0)-MATCH("temp_stage",[1]stages!$2:$2,0)+1,FALSE)</f>
        <v>【超級】水ファミリー（ハートなし）</v>
      </c>
      <c r="G19" s="3" t="str">
        <f ca="1">VLOOKUP($B19&amp;"_"&amp;$E19,OFFSET([1]stages!$A$1,0,0,COUNTA([1]stages!$A:$A),MATCH(G$1,[1]stages!$2:$2,0)-MATCH("temp_stage",[1]stages!$2:$2,0)+1),MATCH(G$1,[1]stages!$2:$2,0)-MATCH("temp_stage",[1]stages!$2:$2,0)+1,FALSE)</f>
        <v>【ロック】経験値/ソロ</v>
      </c>
      <c r="H19" s="12" t="s">
        <v>14</v>
      </c>
      <c r="I19" s="5" t="s">
        <v>16</v>
      </c>
      <c r="J19" s="5">
        <v>1</v>
      </c>
      <c r="K19" s="5">
        <v>610</v>
      </c>
      <c r="L19" s="5" t="s">
        <v>19</v>
      </c>
      <c r="M19" s="5">
        <v>342</v>
      </c>
      <c r="N19" s="15" t="str">
        <f ca="1">IF(L19="unit",VLOOKUP($M19,OFFSET([2]characters!$A$1,0,0,COUNTA([2]characters!$A:$A),MATCH(N$1,[2]characters!$1:$1,0)-MATCH("character_id",[2]characters!$1:$1,0)+1),MATCH(N$1,[2]characters!$1:$1,0)-MATCH("character_id",[2]characters!$1:$1,0)+1,FALSE),"")</f>
        <v>水のメタルダック</v>
      </c>
      <c r="O19" s="5">
        <v>1</v>
      </c>
      <c r="P19" s="5">
        <v>1</v>
      </c>
      <c r="Q19" s="5">
        <v>1</v>
      </c>
      <c r="R19" s="5">
        <v>0</v>
      </c>
      <c r="S19" s="5">
        <v>0</v>
      </c>
      <c r="T19" s="5">
        <v>0</v>
      </c>
      <c r="U19" s="5">
        <v>0</v>
      </c>
      <c r="V19" s="5">
        <v>1</v>
      </c>
      <c r="W19" s="17" t="s">
        <v>32</v>
      </c>
      <c r="X19" s="18" t="s">
        <v>33</v>
      </c>
    </row>
    <row r="20" spans="1:24" x14ac:dyDescent="0.15">
      <c r="A20" s="14" t="str">
        <f t="shared" si="6"/>
        <v>14001_2_clear</v>
      </c>
      <c r="B20" s="4">
        <v>14001</v>
      </c>
      <c r="C20" s="3" t="str">
        <f ca="1">VLOOKUP($B20,OFFSET([1]quests!$A$1,0,0,COUNTA([1]quests!$A:$A),MATCH(C$1,[1]quests!$1:$1,0)-MATCH($B$1,[1]quests!$1:$1,0)+1),MATCH(C$1,[1]quests!$1:$1,0)-MATCH($B$1,[1]quests!$1:$1,0)+1,FALSE)</f>
        <v>【ロック】経験値/ソロ</v>
      </c>
      <c r="D20" s="3" t="str">
        <f ca="1">VLOOKUP($B20,OFFSET([1]quests!$A$1,0,0,COUNTA([1]quests!$A:$A),MATCH(D$1,[1]quests!$1:$1,0)-MATCH($B$1,[1]quests!$1:$1,0)+1),MATCH(D$1,[1]quests!$1:$1,0)-MATCH($B$1,[1]quests!$1:$1,0)+1,FALSE)</f>
        <v>【ロック】経験値/ソロ</v>
      </c>
      <c r="E20" s="5">
        <v>2</v>
      </c>
      <c r="F20" s="3" t="str">
        <f ca="1">VLOOKUP($B20&amp;"_"&amp;$E20,OFFSET([1]stages!$A$1,0,0,COUNTA([1]stages!$A:$A),MATCH(F$1,[1]stages!$2:$2,0)-MATCH("temp_stage",[1]stages!$2:$2,0)+1),MATCH(F$1,[1]stages!$2:$2,0)-MATCH("temp_stage",[1]stages!$2:$2,0)+1,FALSE)</f>
        <v>【超級】水ファミリー（ハートなし）</v>
      </c>
      <c r="G20" s="3" t="str">
        <f ca="1">VLOOKUP($B20&amp;"_"&amp;$E20,OFFSET([1]stages!$A$1,0,0,COUNTA([1]stages!$A:$A),MATCH(G$1,[1]stages!$2:$2,0)-MATCH("temp_stage",[1]stages!$2:$2,0)+1),MATCH(G$1,[1]stages!$2:$2,0)-MATCH("temp_stage",[1]stages!$2:$2,0)+1,FALSE)</f>
        <v>【ロック】経験値/ソロ</v>
      </c>
      <c r="H20" s="12" t="s">
        <v>14</v>
      </c>
      <c r="I20" s="5" t="s">
        <v>36</v>
      </c>
      <c r="J20" s="5">
        <v>2</v>
      </c>
      <c r="K20" s="5">
        <v>390</v>
      </c>
      <c r="L20" s="5" t="s">
        <v>19</v>
      </c>
      <c r="M20" s="5">
        <v>343</v>
      </c>
      <c r="N20" s="15" t="str">
        <f ca="1">IF(L20="unit",VLOOKUP($M20,OFFSET([2]characters!$A$1,0,0,COUNTA([2]characters!$A:$A),MATCH(N$1,[2]characters!$1:$1,0)-MATCH("character_id",[2]characters!$1:$1,0)+1),MATCH(N$1,[2]characters!$1:$1,0)-MATCH("character_id",[2]characters!$1:$1,0)+1,FALSE),"")</f>
        <v>水のメタルジェントル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0</v>
      </c>
      <c r="V20" s="5">
        <v>1</v>
      </c>
      <c r="W20" s="17" t="s">
        <v>32</v>
      </c>
      <c r="X20" s="18" t="s">
        <v>33</v>
      </c>
    </row>
    <row r="21" spans="1:24" x14ac:dyDescent="0.15">
      <c r="A21" s="14" t="str">
        <f t="shared" si="6"/>
        <v>14001_3_clear</v>
      </c>
      <c r="B21" s="4">
        <v>14001</v>
      </c>
      <c r="C21" s="3" t="str">
        <f ca="1">VLOOKUP($B21,OFFSET([1]quests!$A$1,0,0,COUNTA([1]quests!$A:$A),MATCH(C$1,[1]quests!$1:$1,0)-MATCH($B$1,[1]quests!$1:$1,0)+1),MATCH(C$1,[1]quests!$1:$1,0)-MATCH($B$1,[1]quests!$1:$1,0)+1,FALSE)</f>
        <v>【ロック】経験値/ソロ</v>
      </c>
      <c r="D21" s="3" t="str">
        <f ca="1">VLOOKUP($B21,OFFSET([1]quests!$A$1,0,0,COUNTA([1]quests!$A:$A),MATCH(D$1,[1]quests!$1:$1,0)-MATCH($B$1,[1]quests!$1:$1,0)+1),MATCH(D$1,[1]quests!$1:$1,0)-MATCH($B$1,[1]quests!$1:$1,0)+1,FALSE)</f>
        <v>【ロック】経験値/ソロ</v>
      </c>
      <c r="E21" s="5">
        <v>3</v>
      </c>
      <c r="F21" s="3" t="str">
        <f ca="1">VLOOKUP($B21&amp;"_"&amp;$E21,OFFSET([1]stages!$A$1,0,0,COUNTA([1]stages!$A:$A),MATCH(F$1,[1]stages!$2:$2,0)-MATCH("temp_stage",[1]stages!$2:$2,0)+1),MATCH(F$1,[1]stages!$2:$2,0)-MATCH("temp_stage",[1]stages!$2:$2,0)+1,FALSE)</f>
        <v>【超級】森ファミリー（ハートなし）</v>
      </c>
      <c r="G21" s="3" t="str">
        <f ca="1">VLOOKUP($B21&amp;"_"&amp;$E21,OFFSET([1]stages!$A$1,0,0,COUNTA([1]stages!$A:$A),MATCH(G$1,[1]stages!$2:$2,0)-MATCH("temp_stage",[1]stages!$2:$2,0)+1),MATCH(G$1,[1]stages!$2:$2,0)-MATCH("temp_stage",[1]stages!$2:$2,0)+1,FALSE)</f>
        <v>【ロック】経験値/ソロ</v>
      </c>
      <c r="H21" s="12" t="s">
        <v>14</v>
      </c>
      <c r="I21" s="5" t="s">
        <v>16</v>
      </c>
      <c r="J21" s="5">
        <v>1</v>
      </c>
      <c r="K21" s="5">
        <v>610</v>
      </c>
      <c r="L21" s="5" t="s">
        <v>19</v>
      </c>
      <c r="M21" s="5">
        <v>338</v>
      </c>
      <c r="N21" s="15" t="str">
        <f ca="1">IF(L21="unit",VLOOKUP($M21,OFFSET([2]characters!$A$1,0,0,COUNTA([2]characters!$A:$A),MATCH(N$1,[2]characters!$1:$1,0)-MATCH("character_id",[2]characters!$1:$1,0)+1),MATCH(N$1,[2]characters!$1:$1,0)-MATCH("character_id",[2]characters!$1:$1,0)+1,FALSE),"")</f>
        <v>森のメタルダック</v>
      </c>
      <c r="O21" s="5">
        <v>1</v>
      </c>
      <c r="P21" s="5">
        <v>1</v>
      </c>
      <c r="Q21" s="5">
        <v>1</v>
      </c>
      <c r="R21" s="5">
        <v>0</v>
      </c>
      <c r="S21" s="5">
        <v>0</v>
      </c>
      <c r="T21" s="5">
        <v>0</v>
      </c>
      <c r="U21" s="5">
        <v>0</v>
      </c>
      <c r="V21" s="5">
        <v>1</v>
      </c>
      <c r="W21" s="17" t="s">
        <v>32</v>
      </c>
      <c r="X21" s="18" t="s">
        <v>33</v>
      </c>
    </row>
    <row r="22" spans="1:24" x14ac:dyDescent="0.15">
      <c r="A22" s="14" t="str">
        <f t="shared" si="6"/>
        <v>14001_3_clear</v>
      </c>
      <c r="B22" s="4">
        <v>14001</v>
      </c>
      <c r="C22" s="3" t="str">
        <f ca="1">VLOOKUP($B22,OFFSET([1]quests!$A$1,0,0,COUNTA([1]quests!$A:$A),MATCH(C$1,[1]quests!$1:$1,0)-MATCH($B$1,[1]quests!$1:$1,0)+1),MATCH(C$1,[1]quests!$1:$1,0)-MATCH($B$1,[1]quests!$1:$1,0)+1,FALSE)</f>
        <v>【ロック】経験値/ソロ</v>
      </c>
      <c r="D22" s="3" t="str">
        <f ca="1">VLOOKUP($B22,OFFSET([1]quests!$A$1,0,0,COUNTA([1]quests!$A:$A),MATCH(D$1,[1]quests!$1:$1,0)-MATCH($B$1,[1]quests!$1:$1,0)+1),MATCH(D$1,[1]quests!$1:$1,0)-MATCH($B$1,[1]quests!$1:$1,0)+1,FALSE)</f>
        <v>【ロック】経験値/ソロ</v>
      </c>
      <c r="E22" s="5">
        <v>3</v>
      </c>
      <c r="F22" s="3" t="str">
        <f ca="1">VLOOKUP($B22&amp;"_"&amp;$E22,OFFSET([1]stages!$A$1,0,0,COUNTA([1]stages!$A:$A),MATCH(F$1,[1]stages!$2:$2,0)-MATCH("temp_stage",[1]stages!$2:$2,0)+1),MATCH(F$1,[1]stages!$2:$2,0)-MATCH("temp_stage",[1]stages!$2:$2,0)+1,FALSE)</f>
        <v>【超級】森ファミリー（ハートなし）</v>
      </c>
      <c r="G22" s="3" t="str">
        <f ca="1">VLOOKUP($B22&amp;"_"&amp;$E22,OFFSET([1]stages!$A$1,0,0,COUNTA([1]stages!$A:$A),MATCH(G$1,[1]stages!$2:$2,0)-MATCH("temp_stage",[1]stages!$2:$2,0)+1),MATCH(G$1,[1]stages!$2:$2,0)-MATCH("temp_stage",[1]stages!$2:$2,0)+1,FALSE)</f>
        <v>【ロック】経験値/ソロ</v>
      </c>
      <c r="H22" s="12" t="s">
        <v>14</v>
      </c>
      <c r="I22" s="5" t="s">
        <v>36</v>
      </c>
      <c r="J22" s="5">
        <v>2</v>
      </c>
      <c r="K22" s="5">
        <v>390</v>
      </c>
      <c r="L22" s="5" t="s">
        <v>19</v>
      </c>
      <c r="M22" s="5">
        <v>339</v>
      </c>
      <c r="N22" s="15" t="str">
        <f ca="1">IF(L22="unit",VLOOKUP($M22,OFFSET([2]characters!$A$1,0,0,COUNTA([2]characters!$A:$A),MATCH(N$1,[2]characters!$1:$1,0)-MATCH("character_id",[2]characters!$1:$1,0)+1),MATCH(N$1,[2]characters!$1:$1,0)-MATCH("character_id",[2]characters!$1:$1,0)+1,FALSE),"")</f>
        <v>森のメタルジェントル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0</v>
      </c>
      <c r="V22" s="5">
        <v>1</v>
      </c>
      <c r="W22" s="17" t="s">
        <v>32</v>
      </c>
      <c r="X22" s="18" t="s">
        <v>33</v>
      </c>
    </row>
    <row r="23" spans="1:24" x14ac:dyDescent="0.15">
      <c r="A23" s="14" t="str">
        <f t="shared" si="6"/>
        <v>14001_4_clear</v>
      </c>
      <c r="B23" s="4">
        <v>14001</v>
      </c>
      <c r="C23" s="3" t="str">
        <f ca="1">VLOOKUP($B23,OFFSET([1]quests!$A$1,0,0,COUNTA([1]quests!$A:$A),MATCH(C$1,[1]quests!$1:$1,0)-MATCH($B$1,[1]quests!$1:$1,0)+1),MATCH(C$1,[1]quests!$1:$1,0)-MATCH($B$1,[1]quests!$1:$1,0)+1,FALSE)</f>
        <v>【ロック】経験値/ソロ</v>
      </c>
      <c r="D23" s="3" t="str">
        <f ca="1">VLOOKUP($B23,OFFSET([1]quests!$A$1,0,0,COUNTA([1]quests!$A:$A),MATCH(D$1,[1]quests!$1:$1,0)-MATCH($B$1,[1]quests!$1:$1,0)+1),MATCH(D$1,[1]quests!$1:$1,0)-MATCH($B$1,[1]quests!$1:$1,0)+1,FALSE)</f>
        <v>【ロック】経験値/ソロ</v>
      </c>
      <c r="E23" s="5">
        <v>4</v>
      </c>
      <c r="F23" s="3" t="str">
        <f ca="1">VLOOKUP($B23&amp;"_"&amp;$E23,OFFSET([1]stages!$A$1,0,0,COUNTA([1]stages!$A:$A),MATCH(F$1,[1]stages!$2:$2,0)-MATCH("temp_stage",[1]stages!$2:$2,0)+1),MATCH(F$1,[1]stages!$2:$2,0)-MATCH("temp_stage",[1]stages!$2:$2,0)+1,FALSE)</f>
        <v>【超級】炎ファミリー（ハートなし）</v>
      </c>
      <c r="G23" s="3" t="str">
        <f ca="1">VLOOKUP($B23&amp;"_"&amp;$E23,OFFSET([1]stages!$A$1,0,0,COUNTA([1]stages!$A:$A),MATCH(G$1,[1]stages!$2:$2,0)-MATCH("temp_stage",[1]stages!$2:$2,0)+1),MATCH(G$1,[1]stages!$2:$2,0)-MATCH("temp_stage",[1]stages!$2:$2,0)+1,FALSE)</f>
        <v>【ロック】経験値/ソロ</v>
      </c>
      <c r="H23" s="12" t="s">
        <v>14</v>
      </c>
      <c r="I23" s="5" t="s">
        <v>16</v>
      </c>
      <c r="J23" s="5">
        <v>1</v>
      </c>
      <c r="K23" s="5">
        <v>610</v>
      </c>
      <c r="L23" s="5" t="s">
        <v>19</v>
      </c>
      <c r="M23" s="5">
        <v>334</v>
      </c>
      <c r="N23" s="15" t="str">
        <f ca="1">IF(L23="unit",VLOOKUP($M23,OFFSET([2]characters!$A$1,0,0,COUNTA([2]characters!$A:$A),MATCH(N$1,[2]characters!$1:$1,0)-MATCH("character_id",[2]characters!$1:$1,0)+1),MATCH(N$1,[2]characters!$1:$1,0)-MATCH("character_id",[2]characters!$1:$1,0)+1,FALSE),"")</f>
        <v>炎のメタルダック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0</v>
      </c>
      <c r="V23" s="5">
        <v>1</v>
      </c>
      <c r="W23" s="17" t="s">
        <v>32</v>
      </c>
      <c r="X23" s="18" t="s">
        <v>33</v>
      </c>
    </row>
    <row r="24" spans="1:24" x14ac:dyDescent="0.15">
      <c r="A24" s="14" t="str">
        <f t="shared" si="6"/>
        <v>14001_4_clear</v>
      </c>
      <c r="B24" s="4">
        <v>14001</v>
      </c>
      <c r="C24" s="3" t="str">
        <f ca="1">VLOOKUP($B24,OFFSET([1]quests!$A$1,0,0,COUNTA([1]quests!$A:$A),MATCH(C$1,[1]quests!$1:$1,0)-MATCH($B$1,[1]quests!$1:$1,0)+1),MATCH(C$1,[1]quests!$1:$1,0)-MATCH($B$1,[1]quests!$1:$1,0)+1,FALSE)</f>
        <v>【ロック】経験値/ソロ</v>
      </c>
      <c r="D24" s="3" t="str">
        <f ca="1">VLOOKUP($B24,OFFSET([1]quests!$A$1,0,0,COUNTA([1]quests!$A:$A),MATCH(D$1,[1]quests!$1:$1,0)-MATCH($B$1,[1]quests!$1:$1,0)+1),MATCH(D$1,[1]quests!$1:$1,0)-MATCH($B$1,[1]quests!$1:$1,0)+1,FALSE)</f>
        <v>【ロック】経験値/ソロ</v>
      </c>
      <c r="E24" s="5">
        <v>4</v>
      </c>
      <c r="F24" s="3" t="str">
        <f ca="1">VLOOKUP($B24&amp;"_"&amp;$E24,OFFSET([1]stages!$A$1,0,0,COUNTA([1]stages!$A:$A),MATCH(F$1,[1]stages!$2:$2,0)-MATCH("temp_stage",[1]stages!$2:$2,0)+1),MATCH(F$1,[1]stages!$2:$2,0)-MATCH("temp_stage",[1]stages!$2:$2,0)+1,FALSE)</f>
        <v>【超級】炎ファミリー（ハートなし）</v>
      </c>
      <c r="G24" s="3" t="str">
        <f ca="1">VLOOKUP($B24&amp;"_"&amp;$E24,OFFSET([1]stages!$A$1,0,0,COUNTA([1]stages!$A:$A),MATCH(G$1,[1]stages!$2:$2,0)-MATCH("temp_stage",[1]stages!$2:$2,0)+1),MATCH(G$1,[1]stages!$2:$2,0)-MATCH("temp_stage",[1]stages!$2:$2,0)+1,FALSE)</f>
        <v>【ロック】経験値/ソロ</v>
      </c>
      <c r="H24" s="12" t="s">
        <v>14</v>
      </c>
      <c r="I24" s="5" t="s">
        <v>36</v>
      </c>
      <c r="J24" s="5">
        <v>2</v>
      </c>
      <c r="K24" s="5">
        <v>390</v>
      </c>
      <c r="L24" s="5" t="s">
        <v>19</v>
      </c>
      <c r="M24" s="5">
        <v>335</v>
      </c>
      <c r="N24" s="15" t="str">
        <f ca="1">IF(L24="unit",VLOOKUP($M24,OFFSET([2]characters!$A$1,0,0,COUNTA([2]characters!$A:$A),MATCH(N$1,[2]characters!$1:$1,0)-MATCH("character_id",[2]characters!$1:$1,0)+1),MATCH(N$1,[2]characters!$1:$1,0)-MATCH("character_id",[2]characters!$1:$1,0)+1,FALSE),"")</f>
        <v>炎のメタルジェントル</v>
      </c>
      <c r="O24" s="5">
        <v>1</v>
      </c>
      <c r="P24" s="5">
        <v>1</v>
      </c>
      <c r="Q24" s="5">
        <v>1</v>
      </c>
      <c r="R24" s="5">
        <v>0</v>
      </c>
      <c r="S24" s="5">
        <v>0</v>
      </c>
      <c r="T24" s="5">
        <v>0</v>
      </c>
      <c r="U24" s="5">
        <v>0</v>
      </c>
      <c r="V24" s="5">
        <v>1</v>
      </c>
      <c r="W24" s="17" t="s">
        <v>32</v>
      </c>
      <c r="X24" s="18" t="s">
        <v>33</v>
      </c>
    </row>
    <row r="25" spans="1:24" x14ac:dyDescent="0.15">
      <c r="A25" s="14" t="str">
        <f t="shared" ref="A25:A26" si="7">B25&amp;"_"&amp;E25&amp;"_"&amp;I25</f>
        <v>14002_1_clear</v>
      </c>
      <c r="B25" s="4">
        <v>14002</v>
      </c>
      <c r="C25" s="3" t="str">
        <f ca="1">VLOOKUP($B25,OFFSET([1]quests!$A$1,0,0,COUNTA([1]quests!$A:$A),MATCH(C$1,[1]quests!$1:$1,0)-MATCH($B$1,[1]quests!$1:$1,0)+1),MATCH(C$1,[1]quests!$1:$1,0)-MATCH($B$1,[1]quests!$1:$1,0)+1,FALSE)</f>
        <v>【ロック】ビット/ソロ</v>
      </c>
      <c r="D25" s="3" t="str">
        <f ca="1">VLOOKUP($B25,OFFSET([1]quests!$A$1,0,0,COUNTA([1]quests!$A:$A),MATCH(D$1,[1]quests!$1:$1,0)-MATCH($B$1,[1]quests!$1:$1,0)+1),MATCH(D$1,[1]quests!$1:$1,0)-MATCH($B$1,[1]quests!$1:$1,0)+1,FALSE)</f>
        <v>【ロック】ビット/ソロ</v>
      </c>
      <c r="E25" s="5">
        <v>1</v>
      </c>
      <c r="F25" s="3" t="str">
        <f ca="1">VLOOKUP($B25&amp;"_"&amp;$E25,OFFSET([1]stages!$A$1,0,0,COUNTA([1]stages!$A:$A),MATCH(F$1,[1]stages!$2:$2,0)-MATCH("temp_stage",[1]stages!$2:$2,0)+1),MATCH(F$1,[1]stages!$2:$2,0)-MATCH("temp_stage",[1]stages!$2:$2,0)+1,FALSE)</f>
        <v>【超級】ハイローラー（ハートなし）</v>
      </c>
      <c r="G25" s="3" t="str">
        <f ca="1">VLOOKUP($B25&amp;"_"&amp;$E25,OFFSET([1]stages!$A$1,0,0,COUNTA([1]stages!$A:$A),MATCH(G$1,[1]stages!$2:$2,0)-MATCH("temp_stage",[1]stages!$2:$2,0)+1),MATCH(G$1,[1]stages!$2:$2,0)-MATCH("temp_stage",[1]stages!$2:$2,0)+1,FALSE)</f>
        <v>【ロック】ビット/ソロ</v>
      </c>
      <c r="H25" s="12" t="s">
        <v>14</v>
      </c>
      <c r="I25" s="5" t="s">
        <v>16</v>
      </c>
      <c r="J25" s="5">
        <v>1</v>
      </c>
      <c r="K25" s="5">
        <v>200</v>
      </c>
      <c r="L25" s="5" t="s">
        <v>19</v>
      </c>
      <c r="M25" s="5">
        <v>119</v>
      </c>
      <c r="N25" s="15" t="str">
        <f ca="1">IF(L25="unit",VLOOKUP($M25,OFFSET([2]characters!$A$1,0,0,COUNTA([2]characters!$A:$A),MATCH(N$1,[2]characters!$1:$1,0)-MATCH("character_id",[2]characters!$1:$1,0)+1),MATCH(N$1,[2]characters!$1:$1,0)-MATCH("character_id",[2]characters!$1:$1,0)+1,FALSE),"")</f>
        <v>ゴールドダック</v>
      </c>
      <c r="O25" s="5">
        <v>1</v>
      </c>
      <c r="P25" s="5">
        <v>1</v>
      </c>
      <c r="Q25" s="5">
        <v>1</v>
      </c>
      <c r="R25" s="5">
        <v>0</v>
      </c>
      <c r="S25" s="5">
        <v>0</v>
      </c>
      <c r="T25" s="5">
        <v>0</v>
      </c>
      <c r="U25" s="5">
        <v>0</v>
      </c>
      <c r="V25" s="5">
        <v>1</v>
      </c>
      <c r="W25" s="17" t="s">
        <v>32</v>
      </c>
      <c r="X25" s="18" t="s">
        <v>33</v>
      </c>
    </row>
    <row r="26" spans="1:24" x14ac:dyDescent="0.15">
      <c r="A26" s="14" t="str">
        <f t="shared" si="7"/>
        <v>14002_1_clear</v>
      </c>
      <c r="B26" s="4">
        <v>14002</v>
      </c>
      <c r="C26" s="3" t="str">
        <f ca="1">VLOOKUP($B26,OFFSET([1]quests!$A$1,0,0,COUNTA([1]quests!$A:$A),MATCH(C$1,[1]quests!$1:$1,0)-MATCH($B$1,[1]quests!$1:$1,0)+1),MATCH(C$1,[1]quests!$1:$1,0)-MATCH($B$1,[1]quests!$1:$1,0)+1,FALSE)</f>
        <v>【ロック】ビット/ソロ</v>
      </c>
      <c r="D26" s="3" t="str">
        <f ca="1">VLOOKUP($B26,OFFSET([1]quests!$A$1,0,0,COUNTA([1]quests!$A:$A),MATCH(D$1,[1]quests!$1:$1,0)-MATCH($B$1,[1]quests!$1:$1,0)+1),MATCH(D$1,[1]quests!$1:$1,0)-MATCH($B$1,[1]quests!$1:$1,0)+1,FALSE)</f>
        <v>【ロック】ビット/ソロ</v>
      </c>
      <c r="E26" s="5">
        <v>1</v>
      </c>
      <c r="F26" s="3" t="str">
        <f ca="1">VLOOKUP($B26&amp;"_"&amp;$E26,OFFSET([1]stages!$A$1,0,0,COUNTA([1]stages!$A:$A),MATCH(F$1,[1]stages!$2:$2,0)-MATCH("temp_stage",[1]stages!$2:$2,0)+1),MATCH(F$1,[1]stages!$2:$2,0)-MATCH("temp_stage",[1]stages!$2:$2,0)+1,FALSE)</f>
        <v>【超級】ハイローラー（ハートなし）</v>
      </c>
      <c r="G26" s="3" t="str">
        <f ca="1">VLOOKUP($B26&amp;"_"&amp;$E26,OFFSET([1]stages!$A$1,0,0,COUNTA([1]stages!$A:$A),MATCH(G$1,[1]stages!$2:$2,0)-MATCH("temp_stage",[1]stages!$2:$2,0)+1),MATCH(G$1,[1]stages!$2:$2,0)-MATCH("temp_stage",[1]stages!$2:$2,0)+1,FALSE)</f>
        <v>【ロック】ビット/ソロ</v>
      </c>
      <c r="H26" s="12" t="s">
        <v>14</v>
      </c>
      <c r="I26" s="5" t="s">
        <v>36</v>
      </c>
      <c r="J26" s="5">
        <v>2</v>
      </c>
      <c r="K26" s="5">
        <v>800</v>
      </c>
      <c r="L26" s="5" t="s">
        <v>19</v>
      </c>
      <c r="M26" s="5">
        <v>120</v>
      </c>
      <c r="N26" s="15" t="str">
        <f ca="1">IF(L26="unit",VLOOKUP($M26,OFFSET([2]characters!$A$1,0,0,COUNTA([2]characters!$A:$A),MATCH(N$1,[2]characters!$1:$1,0)-MATCH("character_id",[2]characters!$1:$1,0)+1),MATCH(N$1,[2]characters!$1:$1,0)-MATCH("character_id",[2]characters!$1:$1,0)+1,FALSE),"")</f>
        <v>ゴールドキング</v>
      </c>
      <c r="O26" s="5">
        <v>1</v>
      </c>
      <c r="P26" s="5">
        <v>1</v>
      </c>
      <c r="Q26" s="5">
        <v>1</v>
      </c>
      <c r="R26" s="5">
        <v>0</v>
      </c>
      <c r="S26" s="5">
        <v>0</v>
      </c>
      <c r="T26" s="5">
        <v>0</v>
      </c>
      <c r="U26" s="5">
        <v>0</v>
      </c>
      <c r="V26" s="5">
        <v>1</v>
      </c>
      <c r="W26" s="17" t="s">
        <v>32</v>
      </c>
      <c r="X26" s="18" t="s">
        <v>33</v>
      </c>
    </row>
    <row r="27" spans="1:24" x14ac:dyDescent="0.15">
      <c r="A27" s="14" t="str">
        <f t="shared" si="6"/>
        <v>11006_4_full_member</v>
      </c>
      <c r="B27" s="4">
        <v>11006</v>
      </c>
      <c r="C27" s="3" t="str">
        <f ca="1">VLOOKUP($B27,OFFSET([1]quests!$A$1,0,0,COUNTA([1]quests!$A:$A),MATCH(C$1,[1]quests!$1:$1,0)-MATCH($B$1,[1]quests!$1:$1,0)+1),MATCH(C$1,[1]quests!$1:$1,0)-MATCH($B$1,[1]quests!$1:$1,0)+1,FALSE)</f>
        <v>【土日限定】 ゴールドカジノ</v>
      </c>
      <c r="D27" s="3" t="str">
        <f ca="1">VLOOKUP($B27,OFFSET([1]quests!$A$1,0,0,COUNTA([1]quests!$A:$A),MATCH(D$1,[1]quests!$1:$1,0)-MATCH($B$1,[1]quests!$1:$1,0)+1),MATCH(D$1,[1]quests!$1:$1,0)-MATCH($B$1,[1]quests!$1:$1,0)+1,FALSE)</f>
        <v>土日クエスト</v>
      </c>
      <c r="E27" s="5">
        <v>4</v>
      </c>
      <c r="F27" s="3" t="str">
        <f ca="1">VLOOKUP($B27&amp;"_"&amp;$E27,OFFSET([1]stages!$A$1,0,0,COUNTA([1]stages!$A:$A),MATCH(F$1,[1]stages!$2:$2,0)-MATCH("temp_stage",[1]stages!$2:$2,0)+1),MATCH(F$1,[1]stages!$2:$2,0)-MATCH("temp_stage",[1]stages!$2:$2,0)+1,FALSE)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27" s="3" t="str">
        <f ca="1">VLOOKUP($B27&amp;"_"&amp;$E27,OFFSET([1]stages!$A$1,0,0,COUNTA([1]stages!$A:$A),MATCH(G$1,[1]stages!$2:$2,0)-MATCH("temp_stage",[1]stages!$2:$2,0)+1),MATCH(G$1,[1]stages!$2:$2,0)-MATCH("temp_stage",[1]stages!$2:$2,0)+1,FALSE)</f>
        <v>土日クエスト</v>
      </c>
      <c r="H27" s="12" t="s">
        <v>14</v>
      </c>
      <c r="I27" s="5" t="s">
        <v>42</v>
      </c>
      <c r="J27" s="5">
        <v>1</v>
      </c>
      <c r="K27" s="5">
        <v>800</v>
      </c>
      <c r="L27" s="5" t="s">
        <v>19</v>
      </c>
      <c r="M27" s="5">
        <v>119</v>
      </c>
      <c r="N27" s="15" t="str">
        <f ca="1">IF(L27="unit",VLOOKUP($M27,OFFSET([2]characters!$A$1,0,0,COUNTA([2]characters!$A:$A),MATCH(N$1,[2]characters!$1:$1,0)-MATCH("character_id",[2]characters!$1:$1,0)+1),MATCH(N$1,[2]characters!$1:$1,0)-MATCH("character_id",[2]characters!$1:$1,0)+1,FALSE),"")</f>
        <v>ゴールドダック</v>
      </c>
      <c r="O27" s="5">
        <v>1</v>
      </c>
      <c r="P27" s="5">
        <v>1</v>
      </c>
      <c r="Q27" s="5">
        <v>1</v>
      </c>
      <c r="R27" s="5">
        <v>0</v>
      </c>
      <c r="S27" s="5">
        <v>0</v>
      </c>
      <c r="T27" s="5">
        <v>0</v>
      </c>
      <c r="U27" s="5">
        <v>0</v>
      </c>
      <c r="V27" s="5">
        <v>1</v>
      </c>
      <c r="W27" s="17" t="s">
        <v>32</v>
      </c>
      <c r="X27" s="18" t="s">
        <v>33</v>
      </c>
    </row>
    <row r="28" spans="1:24" x14ac:dyDescent="0.15">
      <c r="A28" s="14" t="str">
        <f t="shared" si="6"/>
        <v>11006_4_full_member</v>
      </c>
      <c r="B28" s="4">
        <v>11006</v>
      </c>
      <c r="C28" s="3" t="str">
        <f ca="1">VLOOKUP($B28,OFFSET([1]quests!$A$1,0,0,COUNTA([1]quests!$A:$A),MATCH(C$1,[1]quests!$1:$1,0)-MATCH($B$1,[1]quests!$1:$1,0)+1),MATCH(C$1,[1]quests!$1:$1,0)-MATCH($B$1,[1]quests!$1:$1,0)+1,FALSE)</f>
        <v>【土日限定】 ゴールドカジノ</v>
      </c>
      <c r="D28" s="3" t="str">
        <f ca="1">VLOOKUP($B28,OFFSET([1]quests!$A$1,0,0,COUNTA([1]quests!$A:$A),MATCH(D$1,[1]quests!$1:$1,0)-MATCH($B$1,[1]quests!$1:$1,0)+1),MATCH(D$1,[1]quests!$1:$1,0)-MATCH($B$1,[1]quests!$1:$1,0)+1,FALSE)</f>
        <v>土日クエスト</v>
      </c>
      <c r="E28" s="5">
        <v>4</v>
      </c>
      <c r="F28" s="3" t="str">
        <f ca="1">VLOOKUP($B28&amp;"_"&amp;$E28,OFFSET([1]stages!$A$1,0,0,COUNTA([1]stages!$A:$A),MATCH(F$1,[1]stages!$2:$2,0)-MATCH("temp_stage",[1]stages!$2:$2,0)+1),MATCH(F$1,[1]stages!$2:$2,0)-MATCH("temp_stage",[1]stages!$2:$2,0)+1,FALSE)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28" s="3" t="str">
        <f ca="1">VLOOKUP($B28&amp;"_"&amp;$E28,OFFSET([1]stages!$A$1,0,0,COUNTA([1]stages!$A:$A),MATCH(G$1,[1]stages!$2:$2,0)-MATCH("temp_stage",[1]stages!$2:$2,0)+1),MATCH(G$1,[1]stages!$2:$2,0)-MATCH("temp_stage",[1]stages!$2:$2,0)+1,FALSE)</f>
        <v>土日クエスト</v>
      </c>
      <c r="H28" s="12" t="s">
        <v>14</v>
      </c>
      <c r="I28" s="5" t="s">
        <v>42</v>
      </c>
      <c r="J28" s="5">
        <v>2</v>
      </c>
      <c r="K28" s="5">
        <v>200</v>
      </c>
      <c r="L28" s="5" t="s">
        <v>19</v>
      </c>
      <c r="M28" s="5">
        <v>120</v>
      </c>
      <c r="N28" s="15" t="str">
        <f ca="1">IF(L28="unit",VLOOKUP($M28,OFFSET([2]characters!$A$1,0,0,COUNTA([2]characters!$A:$A),MATCH(N$1,[2]characters!$1:$1,0)-MATCH("character_id",[2]characters!$1:$1,0)+1),MATCH(N$1,[2]characters!$1:$1,0)-MATCH("character_id",[2]characters!$1:$1,0)+1,FALSE),"")</f>
        <v>ゴールドキング</v>
      </c>
      <c r="O28" s="5">
        <v>1</v>
      </c>
      <c r="P28" s="5">
        <v>1</v>
      </c>
      <c r="Q28" s="5">
        <v>1</v>
      </c>
      <c r="R28" s="5">
        <v>0</v>
      </c>
      <c r="S28" s="5">
        <v>0</v>
      </c>
      <c r="T28" s="5">
        <v>0</v>
      </c>
      <c r="U28" s="5">
        <v>0</v>
      </c>
      <c r="V28" s="5">
        <v>1</v>
      </c>
      <c r="W28" s="17" t="s">
        <v>32</v>
      </c>
      <c r="X28" s="18" t="s">
        <v>33</v>
      </c>
    </row>
    <row r="29" spans="1:24" x14ac:dyDescent="0.15">
      <c r="A29" s="14" t="str">
        <f>B29&amp;"_"&amp;E29&amp;"_"&amp;I29</f>
        <v>41001_2_full_member</v>
      </c>
      <c r="B29" s="4">
        <v>41001</v>
      </c>
      <c r="C29" s="3" t="str">
        <f ca="1">VLOOKUP($B29,OFFSET([1]quests!$A$1,0,0,COUNTA([1]quests!$A:$A),MATCH(C$1,[1]quests!$1:$1,0)-MATCH($B$1,[1]quests!$1:$1,0)+1),MATCH(C$1,[1]quests!$1:$1,0)-MATCH($B$1,[1]quests!$1:$1,0)+1,FALSE)</f>
        <v>アマテラス襲来！</v>
      </c>
      <c r="D29" s="3" t="str">
        <f ca="1">VLOOKUP($B29,OFFSET([1]quests!$A$1,0,0,COUNTA([1]quests!$A:$A),MATCH(D$1,[1]quests!$1:$1,0)-MATCH($B$1,[1]quests!$1:$1,0)+1),MATCH(D$1,[1]quests!$1:$1,0)-MATCH($B$1,[1]quests!$1:$1,0)+1,FALSE)</f>
        <v>降臨1</v>
      </c>
      <c r="E29" s="5">
        <v>2</v>
      </c>
      <c r="F29" s="3" t="str">
        <f ca="1">VLOOKUP($B29&amp;"_"&amp;$E29,OFFSET([1]stages!$A$1,0,0,COUNTA([1]stages!$A:$A),MATCH(F$1,[1]stages!$2:$2,0)-MATCH("temp_stage",[1]stages!$2:$2,0)+1),MATCH(F$1,[1]stages!$2:$2,0)-MATCH("temp_stage",[1]stages!$2:$2,0)+1,FALSE)</f>
        <v>【ウィザード級】アマテラス襲来</v>
      </c>
      <c r="G29" s="3" t="str">
        <f ca="1">VLOOKUP($B29&amp;"_"&amp;$E29,OFFSET([1]stages!$A$1,0,0,COUNTA([1]stages!$A:$A),MATCH(G$1,[1]stages!$2:$2,0)-MATCH("temp_stage",[1]stages!$2:$2,0)+1),MATCH(G$1,[1]stages!$2:$2,0)-MATCH("temp_stage",[1]stages!$2:$2,0)+1,FALSE)</f>
        <v>降臨1</v>
      </c>
      <c r="H29" s="12" t="s">
        <v>14</v>
      </c>
      <c r="I29" s="5" t="s">
        <v>42</v>
      </c>
      <c r="J29" s="5">
        <v>1</v>
      </c>
      <c r="K29" s="5">
        <v>1000</v>
      </c>
      <c r="L29" s="5" t="s">
        <v>19</v>
      </c>
      <c r="M29" s="5">
        <v>278</v>
      </c>
      <c r="N29" s="15" t="str">
        <f ca="1">IF(L29="unit",VLOOKUP($M29,OFFSET([2]characters!$A$1,0,0,COUNTA([2]characters!$A:$A),MATCH(N$1,[2]characters!$1:$1,0)-MATCH("character_id",[2]characters!$1:$1,0)+1),MATCH(N$1,[2]characters!$1:$1,0)-MATCH("character_id",[2]characters!$1:$1,0)+1,FALSE),"")</f>
        <v>アマテラス</v>
      </c>
      <c r="O29" s="5">
        <v>1</v>
      </c>
      <c r="P29" s="5">
        <v>1</v>
      </c>
      <c r="Q29" s="5">
        <v>1</v>
      </c>
      <c r="R29" s="5">
        <v>0</v>
      </c>
      <c r="S29" s="5">
        <v>0</v>
      </c>
      <c r="T29" s="5">
        <v>0</v>
      </c>
      <c r="U29" s="5">
        <v>0</v>
      </c>
      <c r="V29" s="5">
        <v>1</v>
      </c>
      <c r="W29" s="17" t="s">
        <v>32</v>
      </c>
      <c r="X29" s="18" t="s">
        <v>33</v>
      </c>
    </row>
    <row r="30" spans="1:24" x14ac:dyDescent="0.15">
      <c r="A30" s="14" t="str">
        <f t="shared" ref="A30:A48" si="8">B30&amp;"_"&amp;E30&amp;"_"&amp;I30</f>
        <v>41002_2_full_member</v>
      </c>
      <c r="B30" s="4">
        <v>41002</v>
      </c>
      <c r="C30" s="3" t="str">
        <f ca="1">VLOOKUP($B30,OFFSET([1]quests!$A$1,0,0,COUNTA([1]quests!$A:$A),MATCH(C$1,[1]quests!$1:$1,0)-MATCH($B$1,[1]quests!$1:$1,0)+1),MATCH(C$1,[1]quests!$1:$1,0)-MATCH($B$1,[1]quests!$1:$1,0)+1,FALSE)</f>
        <v>アザゼル襲来！</v>
      </c>
      <c r="D30" s="3" t="str">
        <f ca="1">VLOOKUP($B30,OFFSET([1]quests!$A$1,0,0,COUNTA([1]quests!$A:$A),MATCH(D$1,[1]quests!$1:$1,0)-MATCH($B$1,[1]quests!$1:$1,0)+1),MATCH(D$1,[1]quests!$1:$1,0)-MATCH($B$1,[1]quests!$1:$1,0)+1,FALSE)</f>
        <v>降臨1</v>
      </c>
      <c r="E30" s="5">
        <v>2</v>
      </c>
      <c r="F30" s="3" t="str">
        <f ca="1">VLOOKUP($B30&amp;"_"&amp;$E30,OFFSET([1]stages!$A$1,0,0,COUNTA([1]stages!$A:$A),MATCH(F$1,[1]stages!$2:$2,0)-MATCH("temp_stage",[1]stages!$2:$2,0)+1),MATCH(F$1,[1]stages!$2:$2,0)-MATCH("temp_stage",[1]stages!$2:$2,0)+1,FALSE)</f>
        <v>【ウィザード級】アザゼル襲来</v>
      </c>
      <c r="G30" s="3" t="str">
        <f ca="1">VLOOKUP($B30&amp;"_"&amp;$E30,OFFSET([1]stages!$A$1,0,0,COUNTA([1]stages!$A:$A),MATCH(G$1,[1]stages!$2:$2,0)-MATCH("temp_stage",[1]stages!$2:$2,0)+1),MATCH(G$1,[1]stages!$2:$2,0)-MATCH("temp_stage",[1]stages!$2:$2,0)+1,FALSE)</f>
        <v>降臨1</v>
      </c>
      <c r="H30" s="12" t="s">
        <v>14</v>
      </c>
      <c r="I30" s="5" t="s">
        <v>42</v>
      </c>
      <c r="J30" s="5">
        <v>1</v>
      </c>
      <c r="K30" s="5">
        <v>1000</v>
      </c>
      <c r="L30" s="5" t="s">
        <v>19</v>
      </c>
      <c r="M30" s="5">
        <v>296</v>
      </c>
      <c r="N30" s="15" t="str">
        <f ca="1">IF(L30="unit",VLOOKUP($M30,OFFSET([2]characters!$A$1,0,0,COUNTA([2]characters!$A:$A),MATCH(N$1,[2]characters!$1:$1,0)-MATCH("character_id",[2]characters!$1:$1,0)+1),MATCH(N$1,[2]characters!$1:$1,0)-MATCH("character_id",[2]characters!$1:$1,0)+1,FALSE),"")</f>
        <v>アザゼル</v>
      </c>
      <c r="O30" s="5">
        <v>1</v>
      </c>
      <c r="P30" s="5">
        <v>1</v>
      </c>
      <c r="Q30" s="5">
        <v>1</v>
      </c>
      <c r="R30" s="5">
        <v>0</v>
      </c>
      <c r="S30" s="5">
        <v>0</v>
      </c>
      <c r="T30" s="5">
        <v>0</v>
      </c>
      <c r="U30" s="5">
        <v>0</v>
      </c>
      <c r="V30" s="5">
        <v>1</v>
      </c>
      <c r="W30" s="17" t="s">
        <v>32</v>
      </c>
      <c r="X30" s="18" t="s">
        <v>33</v>
      </c>
    </row>
    <row r="31" spans="1:24" x14ac:dyDescent="0.15">
      <c r="A31" s="14" t="str">
        <f t="shared" si="8"/>
        <v>41003_2_full_member</v>
      </c>
      <c r="B31" s="4">
        <v>41003</v>
      </c>
      <c r="C31" s="3" t="str">
        <f ca="1">VLOOKUP($B31,OFFSET([1]quests!$A$1,0,0,COUNTA([1]quests!$A:$A),MATCH(C$1,[1]quests!$1:$1,0)-MATCH($B$1,[1]quests!$1:$1,0)+1),MATCH(C$1,[1]quests!$1:$1,0)-MATCH($B$1,[1]quests!$1:$1,0)+1,FALSE)</f>
        <v>ジャンヌ襲来！</v>
      </c>
      <c r="D31" s="3" t="str">
        <f ca="1">VLOOKUP($B31,OFFSET([1]quests!$A$1,0,0,COUNTA([1]quests!$A:$A),MATCH(D$1,[1]quests!$1:$1,0)-MATCH($B$1,[1]quests!$1:$1,0)+1),MATCH(D$1,[1]quests!$1:$1,0)-MATCH($B$1,[1]quests!$1:$1,0)+1,FALSE)</f>
        <v>降臨1</v>
      </c>
      <c r="E31" s="5">
        <v>2</v>
      </c>
      <c r="F31" s="3" t="str">
        <f ca="1">VLOOKUP($B31&amp;"_"&amp;$E31,OFFSET([1]stages!$A$1,0,0,COUNTA([1]stages!$A:$A),MATCH(F$1,[1]stages!$2:$2,0)-MATCH("temp_stage",[1]stages!$2:$2,0)+1),MATCH(F$1,[1]stages!$2:$2,0)-MATCH("temp_stage",[1]stages!$2:$2,0)+1,FALSE)</f>
        <v>【ウィザード級】ジャンヌ襲来</v>
      </c>
      <c r="G31" s="3" t="str">
        <f ca="1">VLOOKUP($B31&amp;"_"&amp;$E31,OFFSET([1]stages!$A$1,0,0,COUNTA([1]stages!$A:$A),MATCH(G$1,[1]stages!$2:$2,0)-MATCH("temp_stage",[1]stages!$2:$2,0)+1),MATCH(G$1,[1]stages!$2:$2,0)-MATCH("temp_stage",[1]stages!$2:$2,0)+1,FALSE)</f>
        <v>降臨1</v>
      </c>
      <c r="H31" s="12" t="s">
        <v>14</v>
      </c>
      <c r="I31" s="5" t="s">
        <v>42</v>
      </c>
      <c r="J31" s="5">
        <v>1</v>
      </c>
      <c r="K31" s="5">
        <v>1000</v>
      </c>
      <c r="L31" s="5" t="s">
        <v>19</v>
      </c>
      <c r="M31" s="5">
        <v>314</v>
      </c>
      <c r="N31" s="15" t="str">
        <f ca="1">IF(L31="unit",VLOOKUP($M31,OFFSET([2]characters!$A$1,0,0,COUNTA([2]characters!$A:$A),MATCH(N$1,[2]characters!$1:$1,0)-MATCH("character_id",[2]characters!$1:$1,0)+1),MATCH(N$1,[2]characters!$1:$1,0)-MATCH("character_id",[2]characters!$1:$1,0)+1,FALSE),"")</f>
        <v>ジャンヌ</v>
      </c>
      <c r="O31" s="5">
        <v>1</v>
      </c>
      <c r="P31" s="5">
        <v>1</v>
      </c>
      <c r="Q31" s="5">
        <v>1</v>
      </c>
      <c r="R31" s="5">
        <v>0</v>
      </c>
      <c r="S31" s="5">
        <v>0</v>
      </c>
      <c r="T31" s="5">
        <v>0</v>
      </c>
      <c r="U31" s="5">
        <v>0</v>
      </c>
      <c r="V31" s="5">
        <v>1</v>
      </c>
      <c r="W31" s="17" t="s">
        <v>32</v>
      </c>
      <c r="X31" s="18" t="s">
        <v>33</v>
      </c>
    </row>
    <row r="32" spans="1:24" x14ac:dyDescent="0.15">
      <c r="A32" s="14" t="str">
        <f t="shared" si="8"/>
        <v>41004_2_full_member</v>
      </c>
      <c r="B32" s="4">
        <v>41004</v>
      </c>
      <c r="C32" s="3" t="str">
        <f ca="1">VLOOKUP($B32,OFFSET([1]quests!$A$1,0,0,COUNTA([1]quests!$A:$A),MATCH(C$1,[1]quests!$1:$1,0)-MATCH($B$1,[1]quests!$1:$1,0)+1),MATCH(C$1,[1]quests!$1:$1,0)-MATCH($B$1,[1]quests!$1:$1,0)+1,FALSE)</f>
        <v>宮本武蔵襲来！</v>
      </c>
      <c r="D32" s="3" t="str">
        <f ca="1">VLOOKUP($B32,OFFSET([1]quests!$A$1,0,0,COUNTA([1]quests!$A:$A),MATCH(D$1,[1]quests!$1:$1,0)-MATCH($B$1,[1]quests!$1:$1,0)+1),MATCH(D$1,[1]quests!$1:$1,0)-MATCH($B$1,[1]quests!$1:$1,0)+1,FALSE)</f>
        <v>降臨1</v>
      </c>
      <c r="E32" s="5">
        <v>2</v>
      </c>
      <c r="F32" s="3" t="str">
        <f ca="1">VLOOKUP($B32&amp;"_"&amp;$E32,OFFSET([1]stages!$A$1,0,0,COUNTA([1]stages!$A:$A),MATCH(F$1,[1]stages!$2:$2,0)-MATCH("temp_stage",[1]stages!$2:$2,0)+1),MATCH(F$1,[1]stages!$2:$2,0)-MATCH("temp_stage",[1]stages!$2:$2,0)+1,FALSE)</f>
        <v>【ウィザード級】宮本武蔵襲来</v>
      </c>
      <c r="G32" s="3" t="str">
        <f ca="1">VLOOKUP($B32&amp;"_"&amp;$E32,OFFSET([1]stages!$A$1,0,0,COUNTA([1]stages!$A:$A),MATCH(G$1,[1]stages!$2:$2,0)-MATCH("temp_stage",[1]stages!$2:$2,0)+1),MATCH(G$1,[1]stages!$2:$2,0)-MATCH("temp_stage",[1]stages!$2:$2,0)+1,FALSE)</f>
        <v>降臨1</v>
      </c>
      <c r="H32" s="12" t="s">
        <v>14</v>
      </c>
      <c r="I32" s="5" t="s">
        <v>42</v>
      </c>
      <c r="J32" s="5">
        <v>1</v>
      </c>
      <c r="K32" s="5">
        <v>1000</v>
      </c>
      <c r="L32" s="5" t="s">
        <v>19</v>
      </c>
      <c r="M32" s="5">
        <v>426</v>
      </c>
      <c r="N32" s="15" t="str">
        <f ca="1">IF(L32="unit",VLOOKUP($M32,OFFSET([2]characters!$A$1,0,0,COUNTA([2]characters!$A:$A),MATCH(N$1,[2]characters!$1:$1,0)-MATCH("character_id",[2]characters!$1:$1,0)+1),MATCH(N$1,[2]characters!$1:$1,0)-MATCH("character_id",[2]characters!$1:$1,0)+1,FALSE),"")</f>
        <v>宮本武蔵</v>
      </c>
      <c r="O32" s="5">
        <v>1</v>
      </c>
      <c r="P32" s="5">
        <v>1</v>
      </c>
      <c r="Q32" s="5">
        <v>1</v>
      </c>
      <c r="R32" s="5">
        <v>0</v>
      </c>
      <c r="S32" s="5">
        <v>0</v>
      </c>
      <c r="T32" s="5">
        <v>0</v>
      </c>
      <c r="U32" s="5">
        <v>0</v>
      </c>
      <c r="V32" s="5">
        <v>1</v>
      </c>
      <c r="W32" s="17" t="s">
        <v>32</v>
      </c>
      <c r="X32" s="18" t="s">
        <v>33</v>
      </c>
    </row>
    <row r="33" spans="1:24" x14ac:dyDescent="0.15">
      <c r="A33" s="14" t="str">
        <f t="shared" si="8"/>
        <v>41005_2_full_member</v>
      </c>
      <c r="B33" s="4">
        <v>41005</v>
      </c>
      <c r="C33" s="3" t="str">
        <f ca="1">VLOOKUP($B33,OFFSET([1]quests!$A$1,0,0,COUNTA([1]quests!$A:$A),MATCH(C$1,[1]quests!$1:$1,0)-MATCH($B$1,[1]quests!$1:$1,0)+1),MATCH(C$1,[1]quests!$1:$1,0)-MATCH($B$1,[1]quests!$1:$1,0)+1,FALSE)</f>
        <v>オズ襲来！</v>
      </c>
      <c r="D33" s="3" t="str">
        <f ca="1">VLOOKUP($B33,OFFSET([1]quests!$A$1,0,0,COUNTA([1]quests!$A:$A),MATCH(D$1,[1]quests!$1:$1,0)-MATCH($B$1,[1]quests!$1:$1,0)+1),MATCH(D$1,[1]quests!$1:$1,0)-MATCH($B$1,[1]quests!$1:$1,0)+1,FALSE)</f>
        <v>降臨1</v>
      </c>
      <c r="E33" s="5">
        <v>2</v>
      </c>
      <c r="F33" s="3" t="str">
        <f ca="1">VLOOKUP($B33&amp;"_"&amp;$E33,OFFSET([1]stages!$A$1,0,0,COUNTA([1]stages!$A:$A),MATCH(F$1,[1]stages!$2:$2,0)-MATCH("temp_stage",[1]stages!$2:$2,0)+1),MATCH(F$1,[1]stages!$2:$2,0)-MATCH("temp_stage",[1]stages!$2:$2,0)+1,FALSE)</f>
        <v>【ウィザード級】オズ襲来</v>
      </c>
      <c r="G33" s="3" t="str">
        <f ca="1">VLOOKUP($B33&amp;"_"&amp;$E33,OFFSET([1]stages!$A$1,0,0,COUNTA([1]stages!$A:$A),MATCH(G$1,[1]stages!$2:$2,0)-MATCH("temp_stage",[1]stages!$2:$2,0)+1),MATCH(G$1,[1]stages!$2:$2,0)-MATCH("temp_stage",[1]stages!$2:$2,0)+1,FALSE)</f>
        <v>降臨1</v>
      </c>
      <c r="H33" s="12" t="s">
        <v>14</v>
      </c>
      <c r="I33" s="5" t="s">
        <v>42</v>
      </c>
      <c r="J33" s="5">
        <v>1</v>
      </c>
      <c r="K33" s="5">
        <v>1000</v>
      </c>
      <c r="L33" s="5" t="s">
        <v>19</v>
      </c>
      <c r="M33" s="5">
        <v>460</v>
      </c>
      <c r="N33" s="15" t="str">
        <f ca="1">IF(L33="unit",VLOOKUP($M33,OFFSET([2]characters!$A$1,0,0,COUNTA([2]characters!$A:$A),MATCH(N$1,[2]characters!$1:$1,0)-MATCH("character_id",[2]characters!$1:$1,0)+1),MATCH(N$1,[2]characters!$1:$1,0)-MATCH("character_id",[2]characters!$1:$1,0)+1,FALSE),"")</f>
        <v>オズ</v>
      </c>
      <c r="O33" s="5">
        <v>1</v>
      </c>
      <c r="P33" s="5">
        <v>1</v>
      </c>
      <c r="Q33" s="5">
        <v>1</v>
      </c>
      <c r="R33" s="5">
        <v>0</v>
      </c>
      <c r="S33" s="5">
        <v>0</v>
      </c>
      <c r="T33" s="5">
        <v>0</v>
      </c>
      <c r="U33" s="5">
        <v>0</v>
      </c>
      <c r="V33" s="5">
        <v>1</v>
      </c>
      <c r="W33" s="17" t="s">
        <v>32</v>
      </c>
      <c r="X33" s="18" t="s">
        <v>33</v>
      </c>
    </row>
    <row r="34" spans="1:24" x14ac:dyDescent="0.15">
      <c r="A34" s="14" t="str">
        <f t="shared" si="8"/>
        <v>41006_2_full_member</v>
      </c>
      <c r="B34" s="4">
        <v>41006</v>
      </c>
      <c r="C34" s="3" t="str">
        <f ca="1">VLOOKUP($B34,OFFSET([1]quests!$A$1,0,0,COUNTA([1]quests!$A:$A),MATCH(C$1,[1]quests!$1:$1,0)-MATCH($B$1,[1]quests!$1:$1,0)+1),MATCH(C$1,[1]quests!$1:$1,0)-MATCH($B$1,[1]quests!$1:$1,0)+1,FALSE)</f>
        <v>アーサー襲来！</v>
      </c>
      <c r="D34" s="3" t="str">
        <f ca="1">VLOOKUP($B34,OFFSET([1]quests!$A$1,0,0,COUNTA([1]quests!$A:$A),MATCH(D$1,[1]quests!$1:$1,0)-MATCH($B$1,[1]quests!$1:$1,0)+1),MATCH(D$1,[1]quests!$1:$1,0)-MATCH($B$1,[1]quests!$1:$1,0)+1,FALSE)</f>
        <v>降臨1</v>
      </c>
      <c r="E34" s="5">
        <v>2</v>
      </c>
      <c r="F34" s="3" t="str">
        <f ca="1">VLOOKUP($B34&amp;"_"&amp;$E34,OFFSET([1]stages!$A$1,0,0,COUNTA([1]stages!$A:$A),MATCH(F$1,[1]stages!$2:$2,0)-MATCH("temp_stage",[1]stages!$2:$2,0)+1),MATCH(F$1,[1]stages!$2:$2,0)-MATCH("temp_stage",[1]stages!$2:$2,0)+1,FALSE)</f>
        <v>【ウィザード級】アーサー襲来</v>
      </c>
      <c r="G34" s="3" t="str">
        <f ca="1">VLOOKUP($B34&amp;"_"&amp;$E34,OFFSET([1]stages!$A$1,0,0,COUNTA([1]stages!$A:$A),MATCH(G$1,[1]stages!$2:$2,0)-MATCH("temp_stage",[1]stages!$2:$2,0)+1),MATCH(G$1,[1]stages!$2:$2,0)-MATCH("temp_stage",[1]stages!$2:$2,0)+1,FALSE)</f>
        <v>降臨1</v>
      </c>
      <c r="H34" s="12" t="s">
        <v>14</v>
      </c>
      <c r="I34" s="5" t="s">
        <v>42</v>
      </c>
      <c r="J34" s="5">
        <v>1</v>
      </c>
      <c r="K34" s="5">
        <v>1000</v>
      </c>
      <c r="L34" s="5" t="s">
        <v>19</v>
      </c>
      <c r="M34" s="5">
        <v>472</v>
      </c>
      <c r="N34" s="15" t="str">
        <f ca="1">IF(L34="unit",VLOOKUP($M34,OFFSET([2]characters!$A$1,0,0,COUNTA([2]characters!$A:$A),MATCH(N$1,[2]characters!$1:$1,0)-MATCH("character_id",[2]characters!$1:$1,0)+1),MATCH(N$1,[2]characters!$1:$1,0)-MATCH("character_id",[2]characters!$1:$1,0)+1,FALSE),"")</f>
        <v>アーサー</v>
      </c>
      <c r="O34" s="5">
        <v>1</v>
      </c>
      <c r="P34" s="5">
        <v>1</v>
      </c>
      <c r="Q34" s="5">
        <v>1</v>
      </c>
      <c r="R34" s="5">
        <v>0</v>
      </c>
      <c r="S34" s="5">
        <v>0</v>
      </c>
      <c r="T34" s="5">
        <v>0</v>
      </c>
      <c r="U34" s="5">
        <v>0</v>
      </c>
      <c r="V34" s="5">
        <v>1</v>
      </c>
      <c r="W34" s="17" t="s">
        <v>32</v>
      </c>
      <c r="X34" s="18" t="s">
        <v>33</v>
      </c>
    </row>
    <row r="35" spans="1:24" x14ac:dyDescent="0.15">
      <c r="A35" s="14" t="str">
        <f t="shared" ref="A35:A39" si="9">B35&amp;"_"&amp;E35&amp;"_"&amp;I35</f>
        <v>41007_2_full_member</v>
      </c>
      <c r="B35" s="4">
        <v>41007</v>
      </c>
      <c r="C35" s="3" t="str">
        <f ca="1">VLOOKUP($B35,OFFSET([1]quests!$A$1,0,0,COUNTA([1]quests!$A:$A),MATCH(C$1,[1]quests!$1:$1,0)-MATCH($B$1,[1]quests!$1:$1,0)+1),MATCH(C$1,[1]quests!$1:$1,0)-MATCH($B$1,[1]quests!$1:$1,0)+1,FALSE)</f>
        <v>グリム襲来！</v>
      </c>
      <c r="D35" s="3" t="str">
        <f ca="1">VLOOKUP($B35,OFFSET([1]quests!$A$1,0,0,COUNTA([1]quests!$A:$A),MATCH(D$1,[1]quests!$1:$1,0)-MATCH($B$1,[1]quests!$1:$1,0)+1),MATCH(D$1,[1]quests!$1:$1,0)-MATCH($B$1,[1]quests!$1:$1,0)+1,FALSE)</f>
        <v>降臨1</v>
      </c>
      <c r="E35" s="5">
        <v>2</v>
      </c>
      <c r="F35" s="3" t="str">
        <f ca="1">VLOOKUP($B35&amp;"_"&amp;$E35,OFFSET([1]stages!$A$1,0,0,COUNTA([1]stages!$A:$A),MATCH(F$1,[1]stages!$2:$2,0)-MATCH("temp_stage",[1]stages!$2:$2,0)+1),MATCH(F$1,[1]stages!$2:$2,0)-MATCH("temp_stage",[1]stages!$2:$2,0)+1,FALSE)</f>
        <v>【ウィザード級】グリム襲来</v>
      </c>
      <c r="G35" s="3" t="str">
        <f ca="1">VLOOKUP($B35&amp;"_"&amp;$E35,OFFSET([1]stages!$A$1,0,0,COUNTA([1]stages!$A:$A),MATCH(G$1,[1]stages!$2:$2,0)-MATCH("temp_stage",[1]stages!$2:$2,0)+1),MATCH(G$1,[1]stages!$2:$2,0)-MATCH("temp_stage",[1]stages!$2:$2,0)+1,FALSE)</f>
        <v>降臨1</v>
      </c>
      <c r="H35" s="12" t="s">
        <v>14</v>
      </c>
      <c r="I35" s="5" t="s">
        <v>42</v>
      </c>
      <c r="J35" s="5">
        <v>1</v>
      </c>
      <c r="K35" s="5">
        <v>1000</v>
      </c>
      <c r="L35" s="5" t="s">
        <v>19</v>
      </c>
      <c r="M35" s="22">
        <v>490</v>
      </c>
      <c r="N35" s="15" t="str">
        <f ca="1">IF(L35="unit",VLOOKUP($M35,OFFSET([2]characters!$A$1,0,0,COUNTA([2]characters!$A:$A),MATCH(N$1,[2]characters!$1:$1,0)-MATCH("character_id",[2]characters!$1:$1,0)+1),MATCH(N$1,[2]characters!$1:$1,0)-MATCH("character_id",[2]characters!$1:$1,0)+1,FALSE),"")</f>
        <v>グリム</v>
      </c>
      <c r="O35" s="5">
        <v>1</v>
      </c>
      <c r="P35" s="5">
        <v>1</v>
      </c>
      <c r="Q35" s="5">
        <v>1</v>
      </c>
      <c r="R35" s="5">
        <v>0</v>
      </c>
      <c r="S35" s="5">
        <v>0</v>
      </c>
      <c r="T35" s="5">
        <v>0</v>
      </c>
      <c r="U35" s="5">
        <v>0</v>
      </c>
      <c r="V35" s="5">
        <v>1</v>
      </c>
      <c r="W35" s="17" t="s">
        <v>32</v>
      </c>
      <c r="X35" s="18" t="s">
        <v>33</v>
      </c>
    </row>
    <row r="36" spans="1:24" x14ac:dyDescent="0.15">
      <c r="A36" s="14" t="str">
        <f t="shared" si="9"/>
        <v>41008_2_full_member</v>
      </c>
      <c r="B36" s="4">
        <v>41008</v>
      </c>
      <c r="C36" s="3" t="str">
        <f ca="1">VLOOKUP($B36,OFFSET([1]quests!$A$1,0,0,COUNTA([1]quests!$A:$A),MATCH(C$1,[1]quests!$1:$1,0)-MATCH($B$1,[1]quests!$1:$1,0)+1),MATCH(C$1,[1]quests!$1:$1,0)-MATCH($B$1,[1]quests!$1:$1,0)+1,FALSE)</f>
        <v>Gスター襲来！</v>
      </c>
      <c r="D36" s="3" t="str">
        <f ca="1">VLOOKUP($B36,OFFSET([1]quests!$A$1,0,0,COUNTA([1]quests!$A:$A),MATCH(D$1,[1]quests!$1:$1,0)-MATCH($B$1,[1]quests!$1:$1,0)+1),MATCH(D$1,[1]quests!$1:$1,0)-MATCH($B$1,[1]quests!$1:$1,0)+1,FALSE)</f>
        <v>降臨1</v>
      </c>
      <c r="E36" s="5">
        <v>2</v>
      </c>
      <c r="F36" s="3" t="str">
        <f ca="1">VLOOKUP($B36&amp;"_"&amp;$E36,OFFSET([1]stages!$A$1,0,0,COUNTA([1]stages!$A:$A),MATCH(F$1,[1]stages!$2:$2,0)-MATCH("temp_stage",[1]stages!$2:$2,0)+1),MATCH(F$1,[1]stages!$2:$2,0)-MATCH("temp_stage",[1]stages!$2:$2,0)+1,FALSE)</f>
        <v>【ウィザード級】Gスター襲来</v>
      </c>
      <c r="G36" s="3" t="str">
        <f ca="1">VLOOKUP($B36&amp;"_"&amp;$E36,OFFSET([1]stages!$A$1,0,0,COUNTA([1]stages!$A:$A),MATCH(G$1,[1]stages!$2:$2,0)-MATCH("temp_stage",[1]stages!$2:$2,0)+1),MATCH(G$1,[1]stages!$2:$2,0)-MATCH("temp_stage",[1]stages!$2:$2,0)+1,FALSE)</f>
        <v>降臨1</v>
      </c>
      <c r="H36" s="12" t="s">
        <v>14</v>
      </c>
      <c r="I36" s="5" t="s">
        <v>42</v>
      </c>
      <c r="J36" s="5">
        <v>1</v>
      </c>
      <c r="K36" s="5">
        <v>1000</v>
      </c>
      <c r="L36" s="5" t="s">
        <v>19</v>
      </c>
      <c r="M36" s="22">
        <v>508</v>
      </c>
      <c r="N36" s="15" t="str">
        <f ca="1">IF(L36="unit",VLOOKUP($M36,OFFSET([2]characters!$A$1,0,0,COUNTA([2]characters!$A:$A),MATCH(N$1,[2]characters!$1:$1,0)-MATCH("character_id",[2]characters!$1:$1,0)+1),MATCH(N$1,[2]characters!$1:$1,0)-MATCH("character_id",[2]characters!$1:$1,0)+1,FALSE),"")</f>
        <v>Gスター・チルドレン</v>
      </c>
      <c r="O36" s="5">
        <v>1</v>
      </c>
      <c r="P36" s="5">
        <v>1</v>
      </c>
      <c r="Q36" s="5">
        <v>1</v>
      </c>
      <c r="R36" s="5">
        <v>0</v>
      </c>
      <c r="S36" s="5">
        <v>0</v>
      </c>
      <c r="T36" s="5">
        <v>0</v>
      </c>
      <c r="U36" s="5">
        <v>0</v>
      </c>
      <c r="V36" s="5">
        <v>1</v>
      </c>
      <c r="W36" s="17" t="s">
        <v>32</v>
      </c>
      <c r="X36" s="18" t="s">
        <v>33</v>
      </c>
    </row>
    <row r="37" spans="1:24" x14ac:dyDescent="0.15">
      <c r="A37" s="14" t="str">
        <f t="shared" si="9"/>
        <v>41009_2_full_member</v>
      </c>
      <c r="B37" s="4">
        <v>41009</v>
      </c>
      <c r="C37" s="3" t="str">
        <f ca="1">VLOOKUP($B37,OFFSET([1]quests!$A$1,0,0,COUNTA([1]quests!$A:$A),MATCH(C$1,[1]quests!$1:$1,0)-MATCH($B$1,[1]quests!$1:$1,0)+1),MATCH(C$1,[1]quests!$1:$1,0)-MATCH($B$1,[1]quests!$1:$1,0)+1,FALSE)</f>
        <v>フギンとムニン襲来！</v>
      </c>
      <c r="D37" s="3" t="str">
        <f ca="1">VLOOKUP($B37,OFFSET([1]quests!$A$1,0,0,COUNTA([1]quests!$A:$A),MATCH(D$1,[1]quests!$1:$1,0)-MATCH($B$1,[1]quests!$1:$1,0)+1),MATCH(D$1,[1]quests!$1:$1,0)-MATCH($B$1,[1]quests!$1:$1,0)+1,FALSE)</f>
        <v>降臨1</v>
      </c>
      <c r="E37" s="5">
        <v>2</v>
      </c>
      <c r="F37" s="3" t="str">
        <f ca="1">VLOOKUP($B37&amp;"_"&amp;$E37,OFFSET([1]stages!$A$1,0,0,COUNTA([1]stages!$A:$A),MATCH(F$1,[1]stages!$2:$2,0)-MATCH("temp_stage",[1]stages!$2:$2,0)+1),MATCH(F$1,[1]stages!$2:$2,0)-MATCH("temp_stage",[1]stages!$2:$2,0)+1,FALSE)</f>
        <v>【ウィザード級】フギンとムニン襲来</v>
      </c>
      <c r="G37" s="3" t="str">
        <f ca="1">VLOOKUP($B37&amp;"_"&amp;$E37,OFFSET([1]stages!$A$1,0,0,COUNTA([1]stages!$A:$A),MATCH(G$1,[1]stages!$2:$2,0)-MATCH("temp_stage",[1]stages!$2:$2,0)+1),MATCH(G$1,[1]stages!$2:$2,0)-MATCH("temp_stage",[1]stages!$2:$2,0)+1,FALSE)</f>
        <v>降臨1</v>
      </c>
      <c r="H37" s="12" t="s">
        <v>14</v>
      </c>
      <c r="I37" s="5" t="s">
        <v>42</v>
      </c>
      <c r="J37" s="5">
        <v>1</v>
      </c>
      <c r="K37" s="5">
        <v>1000</v>
      </c>
      <c r="L37" s="5" t="s">
        <v>19</v>
      </c>
      <c r="M37" s="22">
        <v>581</v>
      </c>
      <c r="N37" s="15" t="str">
        <f ca="1">IF(L37="unit",VLOOKUP($M37,OFFSET([2]characters!$A$1,0,0,COUNTA([2]characters!$A:$A),MATCH(N$1,[2]characters!$1:$1,0)-MATCH("character_id",[2]characters!$1:$1,0)+1),MATCH(N$1,[2]characters!$1:$1,0)-MATCH("character_id",[2]characters!$1:$1,0)+1,FALSE),"")</f>
        <v>フギンとムニン</v>
      </c>
      <c r="O37" s="5">
        <v>1</v>
      </c>
      <c r="P37" s="5">
        <v>1</v>
      </c>
      <c r="Q37" s="5">
        <v>1</v>
      </c>
      <c r="R37" s="5">
        <v>0</v>
      </c>
      <c r="S37" s="5">
        <v>0</v>
      </c>
      <c r="T37" s="5">
        <v>0</v>
      </c>
      <c r="U37" s="5">
        <v>0</v>
      </c>
      <c r="V37" s="5">
        <v>1</v>
      </c>
      <c r="W37" s="17" t="s">
        <v>32</v>
      </c>
      <c r="X37" s="18" t="s">
        <v>33</v>
      </c>
    </row>
    <row r="38" spans="1:24" x14ac:dyDescent="0.15">
      <c r="A38" s="14" t="str">
        <f t="shared" si="9"/>
        <v>41010_2_full_member</v>
      </c>
      <c r="B38" s="4">
        <v>41010</v>
      </c>
      <c r="C38" s="3" t="str">
        <f ca="1">VLOOKUP($B38,OFFSET([1]quests!$A$1,0,0,COUNTA([1]quests!$A:$A),MATCH(C$1,[1]quests!$1:$1,0)-MATCH($B$1,[1]quests!$1:$1,0)+1),MATCH(C$1,[1]quests!$1:$1,0)-MATCH($B$1,[1]quests!$1:$1,0)+1,FALSE)</f>
        <v>フレイ襲来！</v>
      </c>
      <c r="D38" s="3" t="str">
        <f ca="1">VLOOKUP($B38,OFFSET([1]quests!$A$1,0,0,COUNTA([1]quests!$A:$A),MATCH(D$1,[1]quests!$1:$1,0)-MATCH($B$1,[1]quests!$1:$1,0)+1),MATCH(D$1,[1]quests!$1:$1,0)-MATCH($B$1,[1]quests!$1:$1,0)+1,FALSE)</f>
        <v>降臨1</v>
      </c>
      <c r="E38" s="5">
        <v>2</v>
      </c>
      <c r="F38" s="3" t="str">
        <f ca="1">VLOOKUP($B38&amp;"_"&amp;$E38,OFFSET([1]stages!$A$1,0,0,COUNTA([1]stages!$A:$A),MATCH(F$1,[1]stages!$2:$2,0)-MATCH("temp_stage",[1]stages!$2:$2,0)+1),MATCH(F$1,[1]stages!$2:$2,0)-MATCH("temp_stage",[1]stages!$2:$2,0)+1,FALSE)</f>
        <v>【ウィザード級】フレイ襲来</v>
      </c>
      <c r="G38" s="3" t="str">
        <f ca="1">VLOOKUP($B38&amp;"_"&amp;$E38,OFFSET([1]stages!$A$1,0,0,COUNTA([1]stages!$A:$A),MATCH(G$1,[1]stages!$2:$2,0)-MATCH("temp_stage",[1]stages!$2:$2,0)+1),MATCH(G$1,[1]stages!$2:$2,0)-MATCH("temp_stage",[1]stages!$2:$2,0)+1,FALSE)</f>
        <v>降臨1</v>
      </c>
      <c r="H38" s="12" t="s">
        <v>14</v>
      </c>
      <c r="I38" s="5" t="s">
        <v>42</v>
      </c>
      <c r="J38" s="5">
        <v>1</v>
      </c>
      <c r="K38" s="5">
        <v>1000</v>
      </c>
      <c r="L38" s="5" t="s">
        <v>19</v>
      </c>
      <c r="M38" s="22">
        <v>575</v>
      </c>
      <c r="N38" s="15" t="str">
        <f ca="1">IF(L38="unit",VLOOKUP($M38,OFFSET([2]characters!$A$1,0,0,COUNTA([2]characters!$A:$A),MATCH(N$1,[2]characters!$1:$1,0)-MATCH("character_id",[2]characters!$1:$1,0)+1),MATCH(N$1,[2]characters!$1:$1,0)-MATCH("character_id",[2]characters!$1:$1,0)+1,FALSE),"")</f>
        <v>フレイ</v>
      </c>
      <c r="O38" s="5">
        <v>1</v>
      </c>
      <c r="P38" s="5">
        <v>1</v>
      </c>
      <c r="Q38" s="5">
        <v>1</v>
      </c>
      <c r="R38" s="5">
        <v>0</v>
      </c>
      <c r="S38" s="5">
        <v>0</v>
      </c>
      <c r="T38" s="5">
        <v>0</v>
      </c>
      <c r="U38" s="5">
        <v>0</v>
      </c>
      <c r="V38" s="5">
        <v>1</v>
      </c>
      <c r="W38" s="17" t="s">
        <v>32</v>
      </c>
      <c r="X38" s="18" t="s">
        <v>33</v>
      </c>
    </row>
    <row r="39" spans="1:24" x14ac:dyDescent="0.15">
      <c r="A39" s="14" t="str">
        <f t="shared" si="9"/>
        <v>41011_2_full_member</v>
      </c>
      <c r="B39" s="4">
        <v>41011</v>
      </c>
      <c r="C39" s="3" t="str">
        <f ca="1">VLOOKUP($B39,OFFSET([1]quests!$A$1,0,0,COUNTA([1]quests!$A:$A),MATCH(C$1,[1]quests!$1:$1,0)-MATCH($B$1,[1]quests!$1:$1,0)+1),MATCH(C$1,[1]quests!$1:$1,0)-MATCH($B$1,[1]quests!$1:$1,0)+1,FALSE)</f>
        <v>ヨミ襲来！</v>
      </c>
      <c r="D39" s="3" t="str">
        <f ca="1">VLOOKUP($B39,OFFSET([1]quests!$A$1,0,0,COUNTA([1]quests!$A:$A),MATCH(D$1,[1]quests!$1:$1,0)-MATCH($B$1,[1]quests!$1:$1,0)+1),MATCH(D$1,[1]quests!$1:$1,0)-MATCH($B$1,[1]quests!$1:$1,0)+1,FALSE)</f>
        <v>降臨1</v>
      </c>
      <c r="E39" s="5">
        <v>2</v>
      </c>
      <c r="F39" s="3" t="str">
        <f ca="1">VLOOKUP($B39&amp;"_"&amp;$E39,OFFSET([1]stages!$A$1,0,0,COUNTA([1]stages!$A:$A),MATCH(F$1,[1]stages!$2:$2,0)-MATCH("temp_stage",[1]stages!$2:$2,0)+1),MATCH(F$1,[1]stages!$2:$2,0)-MATCH("temp_stage",[1]stages!$2:$2,0)+1,FALSE)</f>
        <v>【ウィザード級】ヨミ襲来</v>
      </c>
      <c r="G39" s="3" t="str">
        <f ca="1">VLOOKUP($B39&amp;"_"&amp;$E39,OFFSET([1]stages!$A$1,0,0,COUNTA([1]stages!$A:$A),MATCH(G$1,[1]stages!$2:$2,0)-MATCH("temp_stage",[1]stages!$2:$2,0)+1),MATCH(G$1,[1]stages!$2:$2,0)-MATCH("temp_stage",[1]stages!$2:$2,0)+1,FALSE)</f>
        <v>降臨1</v>
      </c>
      <c r="H39" s="12" t="s">
        <v>14</v>
      </c>
      <c r="I39" s="5" t="s">
        <v>42</v>
      </c>
      <c r="J39" s="5">
        <v>1</v>
      </c>
      <c r="K39" s="5">
        <v>1000</v>
      </c>
      <c r="L39" s="5" t="s">
        <v>19</v>
      </c>
      <c r="M39" s="22">
        <v>654</v>
      </c>
      <c r="N39" s="15" t="str">
        <f ca="1">IF(L39="unit",VLOOKUP($M39,OFFSET([2]characters!$A$1,0,0,COUNTA([2]characters!$A:$A),MATCH(N$1,[2]characters!$1:$1,0)-MATCH("character_id",[2]characters!$1:$1,0)+1),MATCH(N$1,[2]characters!$1:$1,0)-MATCH("character_id",[2]characters!$1:$1,0)+1,FALSE),"")</f>
        <v>酒呑童子 ヨミ</v>
      </c>
      <c r="O39" s="5">
        <v>1</v>
      </c>
      <c r="P39" s="5">
        <v>1</v>
      </c>
      <c r="Q39" s="5">
        <v>1</v>
      </c>
      <c r="R39" s="5">
        <v>0</v>
      </c>
      <c r="S39" s="5">
        <v>0</v>
      </c>
      <c r="T39" s="5">
        <v>0</v>
      </c>
      <c r="U39" s="5">
        <v>0</v>
      </c>
      <c r="V39" s="5">
        <v>1</v>
      </c>
      <c r="W39" s="17" t="s">
        <v>32</v>
      </c>
      <c r="X39" s="18" t="s">
        <v>33</v>
      </c>
    </row>
    <row r="40" spans="1:24" x14ac:dyDescent="0.15">
      <c r="A40" s="14" t="str">
        <f t="shared" ref="A40:A41" si="10">B40&amp;"_"&amp;E40&amp;"_"&amp;I40</f>
        <v>41012_2_full_member</v>
      </c>
      <c r="B40" s="4">
        <v>41012</v>
      </c>
      <c r="C40" s="3" t="str">
        <f ca="1">VLOOKUP($B40,OFFSET([1]quests!$A$1,0,0,COUNTA([1]quests!$A:$A),MATCH(C$1,[1]quests!$1:$1,0)-MATCH($B$1,[1]quests!$1:$1,0)+1),MATCH(C$1,[1]quests!$1:$1,0)-MATCH($B$1,[1]quests!$1:$1,0)+1,FALSE)</f>
        <v>ショウキ襲来！</v>
      </c>
      <c r="D40" s="3" t="str">
        <f ca="1">VLOOKUP($B40,OFFSET([1]quests!$A$1,0,0,COUNTA([1]quests!$A:$A),MATCH(D$1,[1]quests!$1:$1,0)-MATCH($B$1,[1]quests!$1:$1,0)+1),MATCH(D$1,[1]quests!$1:$1,0)-MATCH($B$1,[1]quests!$1:$1,0)+1,FALSE)</f>
        <v>降臨1</v>
      </c>
      <c r="E40" s="5">
        <v>2</v>
      </c>
      <c r="F40" s="3" t="str">
        <f ca="1">VLOOKUP($B40&amp;"_"&amp;$E40,OFFSET([1]stages!$A$1,0,0,COUNTA([1]stages!$A:$A),MATCH(F$1,[1]stages!$2:$2,0)-MATCH("temp_stage",[1]stages!$2:$2,0)+1),MATCH(F$1,[1]stages!$2:$2,0)-MATCH("temp_stage",[1]stages!$2:$2,0)+1,FALSE)</f>
        <v>【ウィザード級】ショウキ襲来</v>
      </c>
      <c r="G40" s="3" t="str">
        <f ca="1">VLOOKUP($B40&amp;"_"&amp;$E40,OFFSET([1]stages!$A$1,0,0,COUNTA([1]stages!$A:$A),MATCH(G$1,[1]stages!$2:$2,0)-MATCH("temp_stage",[1]stages!$2:$2,0)+1),MATCH(G$1,[1]stages!$2:$2,0)-MATCH("temp_stage",[1]stages!$2:$2,0)+1,FALSE)</f>
        <v>降臨1</v>
      </c>
      <c r="H40" s="12" t="s">
        <v>14</v>
      </c>
      <c r="I40" s="5" t="s">
        <v>42</v>
      </c>
      <c r="J40" s="5">
        <v>1</v>
      </c>
      <c r="K40" s="5">
        <v>1000</v>
      </c>
      <c r="L40" s="5" t="s">
        <v>19</v>
      </c>
      <c r="M40" s="22">
        <v>644</v>
      </c>
      <c r="N40" s="15" t="str">
        <f ca="1">IF(L40="unit",VLOOKUP($M40,OFFSET([2]characters!$A$1,0,0,COUNTA([2]characters!$A:$A),MATCH(N$1,[2]characters!$1:$1,0)-MATCH("character_id",[2]characters!$1:$1,0)+1),MATCH(N$1,[2]characters!$1:$1,0)-MATCH("character_id",[2]characters!$1:$1,0)+1,FALSE),"")</f>
        <v>滑瓢 ショウキ</v>
      </c>
      <c r="O40" s="5">
        <v>1</v>
      </c>
      <c r="P40" s="5">
        <v>1</v>
      </c>
      <c r="Q40" s="5">
        <v>1</v>
      </c>
      <c r="R40" s="5">
        <v>0</v>
      </c>
      <c r="S40" s="5">
        <v>0</v>
      </c>
      <c r="T40" s="5">
        <v>0</v>
      </c>
      <c r="U40" s="5">
        <v>0</v>
      </c>
      <c r="V40" s="5">
        <v>1</v>
      </c>
      <c r="W40" s="17" t="s">
        <v>32</v>
      </c>
      <c r="X40" s="18" t="s">
        <v>33</v>
      </c>
    </row>
    <row r="41" spans="1:24" x14ac:dyDescent="0.15">
      <c r="A41" s="14" t="str">
        <f t="shared" si="10"/>
        <v>41013_2_full_member</v>
      </c>
      <c r="B41" s="4">
        <v>41013</v>
      </c>
      <c r="C41" s="3" t="str">
        <f ca="1">VLOOKUP($B41,OFFSET([1]quests!$A$1,0,0,COUNTA([1]quests!$A:$A),MATCH(C$1,[1]quests!$1:$1,0)-MATCH($B$1,[1]quests!$1:$1,0)+1),MATCH(C$1,[1]quests!$1:$1,0)-MATCH($B$1,[1]quests!$1:$1,0)+1,FALSE)</f>
        <v>カーマ襲来！</v>
      </c>
      <c r="D41" s="3" t="str">
        <f ca="1">VLOOKUP($B41,OFFSET([1]quests!$A$1,0,0,COUNTA([1]quests!$A:$A),MATCH(D$1,[1]quests!$1:$1,0)-MATCH($B$1,[1]quests!$1:$1,0)+1),MATCH(D$1,[1]quests!$1:$1,0)-MATCH($B$1,[1]quests!$1:$1,0)+1,FALSE)</f>
        <v>降臨1</v>
      </c>
      <c r="E41" s="5">
        <v>2</v>
      </c>
      <c r="F41" s="3" t="str">
        <f ca="1">VLOOKUP($B41&amp;"_"&amp;$E41,OFFSET([1]stages!$A$1,0,0,COUNTA([1]stages!$A:$A),MATCH(F$1,[1]stages!$2:$2,0)-MATCH("temp_stage",[1]stages!$2:$2,0)+1),MATCH(F$1,[1]stages!$2:$2,0)-MATCH("temp_stage",[1]stages!$2:$2,0)+1,FALSE)</f>
        <v>【ウィザード級】カーマ襲来</v>
      </c>
      <c r="G41" s="3" t="str">
        <f ca="1">VLOOKUP($B41&amp;"_"&amp;$E41,OFFSET([1]stages!$A$1,0,0,COUNTA([1]stages!$A:$A),MATCH(G$1,[1]stages!$2:$2,0)-MATCH("temp_stage",[1]stages!$2:$2,0)+1),MATCH(G$1,[1]stages!$2:$2,0)-MATCH("temp_stage",[1]stages!$2:$2,0)+1,FALSE)</f>
        <v>降臨1</v>
      </c>
      <c r="H41" s="12" t="s">
        <v>14</v>
      </c>
      <c r="I41" s="5" t="s">
        <v>42</v>
      </c>
      <c r="J41" s="5">
        <v>1</v>
      </c>
      <c r="K41" s="5">
        <v>1000</v>
      </c>
      <c r="L41" s="5" t="s">
        <v>19</v>
      </c>
      <c r="M41" s="22">
        <v>642</v>
      </c>
      <c r="N41" s="15" t="str">
        <f ca="1">IF(L41="unit",VLOOKUP($M41,OFFSET([2]characters!$A$1,0,0,COUNTA([2]characters!$A:$A),MATCH(N$1,[2]characters!$1:$1,0)-MATCH("character_id",[2]characters!$1:$1,0)+1),MATCH(N$1,[2]characters!$1:$1,0)-MATCH("character_id",[2]characters!$1:$1,0)+1,FALSE),"")</f>
        <v>カーマ</v>
      </c>
      <c r="O41" s="5">
        <v>1</v>
      </c>
      <c r="P41" s="5">
        <v>1</v>
      </c>
      <c r="Q41" s="5">
        <v>1</v>
      </c>
      <c r="R41" s="5">
        <v>0</v>
      </c>
      <c r="S41" s="5">
        <v>0</v>
      </c>
      <c r="T41" s="5">
        <v>0</v>
      </c>
      <c r="U41" s="5">
        <v>0</v>
      </c>
      <c r="V41" s="5">
        <v>1</v>
      </c>
      <c r="W41" s="17" t="s">
        <v>32</v>
      </c>
      <c r="X41" s="18" t="s">
        <v>33</v>
      </c>
    </row>
    <row r="42" spans="1:24" x14ac:dyDescent="0.15">
      <c r="A42" s="14" t="str">
        <f t="shared" ref="A42:A43" si="11">B42&amp;"_"&amp;E42&amp;"_"&amp;I42</f>
        <v>41014_2_full_member</v>
      </c>
      <c r="B42" s="4">
        <v>41014</v>
      </c>
      <c r="C42" s="3" t="str">
        <f ca="1">VLOOKUP($B42,OFFSET([1]quests!$A$1,0,0,COUNTA([1]quests!$A:$A),MATCH(C$1,[1]quests!$1:$1,0)-MATCH($B$1,[1]quests!$1:$1,0)+1),MATCH(C$1,[1]quests!$1:$1,0)-MATCH($B$1,[1]quests!$1:$1,0)+1,FALSE)</f>
        <v>シヴァ襲来！</v>
      </c>
      <c r="D42" s="3" t="str">
        <f ca="1">VLOOKUP($B42,OFFSET([1]quests!$A$1,0,0,COUNTA([1]quests!$A:$A),MATCH(D$1,[1]quests!$1:$1,0)-MATCH($B$1,[1]quests!$1:$1,0)+1),MATCH(D$1,[1]quests!$1:$1,0)-MATCH($B$1,[1]quests!$1:$1,0)+1,FALSE)</f>
        <v>降臨1</v>
      </c>
      <c r="E42" s="5">
        <v>2</v>
      </c>
      <c r="F42" s="3" t="str">
        <f ca="1">VLOOKUP($B42&amp;"_"&amp;$E42,OFFSET([1]stages!$A$1,0,0,COUNTA([1]stages!$A:$A),MATCH(F$1,[1]stages!$2:$2,0)-MATCH("temp_stage",[1]stages!$2:$2,0)+1),MATCH(F$1,[1]stages!$2:$2,0)-MATCH("temp_stage",[1]stages!$2:$2,0)+1,FALSE)</f>
        <v>【ウィザード級】シヴァ襲来</v>
      </c>
      <c r="G42" s="3" t="str">
        <f ca="1">VLOOKUP($B42&amp;"_"&amp;$E42,OFFSET([1]stages!$A$1,0,0,COUNTA([1]stages!$A:$A),MATCH(G$1,[1]stages!$2:$2,0)-MATCH("temp_stage",[1]stages!$2:$2,0)+1),MATCH(G$1,[1]stages!$2:$2,0)-MATCH("temp_stage",[1]stages!$2:$2,0)+1,FALSE)</f>
        <v>降臨1</v>
      </c>
      <c r="H42" s="12" t="s">
        <v>14</v>
      </c>
      <c r="I42" s="5" t="s">
        <v>42</v>
      </c>
      <c r="J42" s="5">
        <v>1</v>
      </c>
      <c r="K42" s="5">
        <v>1000</v>
      </c>
      <c r="L42" s="5" t="s">
        <v>19</v>
      </c>
      <c r="M42" s="22">
        <v>656</v>
      </c>
      <c r="N42" s="15" t="str">
        <f ca="1">IF(L42="unit",VLOOKUP($M42,OFFSET([2]characters!$A$1,0,0,COUNTA([2]characters!$A:$A),MATCH(N$1,[2]characters!$1:$1,0)-MATCH("character_id",[2]characters!$1:$1,0)+1),MATCH(N$1,[2]characters!$1:$1,0)-MATCH("character_id",[2]characters!$1:$1,0)+1,FALSE),"")</f>
        <v>シヴァ</v>
      </c>
      <c r="O42" s="5">
        <v>1</v>
      </c>
      <c r="P42" s="5">
        <v>1</v>
      </c>
      <c r="Q42" s="5">
        <v>1</v>
      </c>
      <c r="R42" s="5">
        <v>0</v>
      </c>
      <c r="S42" s="5">
        <v>0</v>
      </c>
      <c r="T42" s="5">
        <v>0</v>
      </c>
      <c r="U42" s="5">
        <v>0</v>
      </c>
      <c r="V42" s="5">
        <v>1</v>
      </c>
      <c r="W42" s="17" t="s">
        <v>32</v>
      </c>
      <c r="X42" s="18" t="s">
        <v>33</v>
      </c>
    </row>
    <row r="43" spans="1:24" x14ac:dyDescent="0.15">
      <c r="A43" s="14" t="str">
        <f t="shared" si="11"/>
        <v>41015_2_full_member</v>
      </c>
      <c r="B43" s="4">
        <v>41015</v>
      </c>
      <c r="C43" s="3" t="str">
        <f ca="1">VLOOKUP($B43,OFFSET([1]quests!$A$1,0,0,COUNTA([1]quests!$A:$A),MATCH(C$1,[1]quests!$1:$1,0)-MATCH($B$1,[1]quests!$1:$1,0)+1),MATCH(C$1,[1]quests!$1:$1,0)-MATCH($B$1,[1]quests!$1:$1,0)+1,FALSE)</f>
        <v>ガレス襲来！</v>
      </c>
      <c r="D43" s="3" t="str">
        <f ca="1">VLOOKUP($B43,OFFSET([1]quests!$A$1,0,0,COUNTA([1]quests!$A:$A),MATCH(D$1,[1]quests!$1:$1,0)-MATCH($B$1,[1]quests!$1:$1,0)+1),MATCH(D$1,[1]quests!$1:$1,0)-MATCH($B$1,[1]quests!$1:$1,0)+1,FALSE)</f>
        <v>降臨1</v>
      </c>
      <c r="E43" s="5">
        <v>2</v>
      </c>
      <c r="F43" s="3" t="str">
        <f ca="1">VLOOKUP($B43&amp;"_"&amp;$E43,OFFSET([1]stages!$A$1,0,0,COUNTA([1]stages!$A:$A),MATCH(F$1,[1]stages!$2:$2,0)-MATCH("temp_stage",[1]stages!$2:$2,0)+1),MATCH(F$1,[1]stages!$2:$2,0)-MATCH("temp_stage",[1]stages!$2:$2,0)+1,FALSE)</f>
        <v>【ウィザード級】ガレス襲来</v>
      </c>
      <c r="G43" s="3" t="str">
        <f ca="1">VLOOKUP($B43&amp;"_"&amp;$E43,OFFSET([1]stages!$A$1,0,0,COUNTA([1]stages!$A:$A),MATCH(G$1,[1]stages!$2:$2,0)-MATCH("temp_stage",[1]stages!$2:$2,0)+1),MATCH(G$1,[1]stages!$2:$2,0)-MATCH("temp_stage",[1]stages!$2:$2,0)+1,FALSE)</f>
        <v>降臨1</v>
      </c>
      <c r="H43" s="12" t="s">
        <v>14</v>
      </c>
      <c r="I43" s="5" t="s">
        <v>42</v>
      </c>
      <c r="J43" s="5">
        <v>1</v>
      </c>
      <c r="K43" s="5">
        <v>1000</v>
      </c>
      <c r="L43" s="5" t="s">
        <v>19</v>
      </c>
      <c r="M43" s="22">
        <v>768</v>
      </c>
      <c r="N43" s="15" t="str">
        <f ca="1">IF(L43="unit",VLOOKUP($M43,OFFSET([2]characters!$A$1,0,0,COUNTA([2]characters!$A:$A),MATCH(N$1,[2]characters!$1:$1,0)-MATCH("character_id",[2]characters!$1:$1,0)+1),MATCH(N$1,[2]characters!$1:$1,0)-MATCH("character_id",[2]characters!$1:$1,0)+1,FALSE),"")</f>
        <v>ガレス</v>
      </c>
      <c r="O43" s="5">
        <v>1</v>
      </c>
      <c r="P43" s="5">
        <v>1</v>
      </c>
      <c r="Q43" s="5">
        <v>1</v>
      </c>
      <c r="R43" s="5">
        <v>0</v>
      </c>
      <c r="S43" s="5">
        <v>0</v>
      </c>
      <c r="T43" s="5">
        <v>0</v>
      </c>
      <c r="U43" s="5">
        <v>0</v>
      </c>
      <c r="V43" s="5">
        <v>1</v>
      </c>
      <c r="W43" s="17" t="s">
        <v>32</v>
      </c>
      <c r="X43" s="18" t="s">
        <v>33</v>
      </c>
    </row>
    <row r="44" spans="1:24" x14ac:dyDescent="0.15">
      <c r="A44" s="14" t="str">
        <f t="shared" si="8"/>
        <v>40016_1_full_member</v>
      </c>
      <c r="B44" s="4">
        <v>40016</v>
      </c>
      <c r="C44" s="3" t="str">
        <f ca="1">VLOOKUP($B44,OFFSET([1]quests!$A$1,0,0,COUNTA([1]quests!$A:$A),MATCH(C$1,[1]quests!$1:$1,0)-MATCH($B$1,[1]quests!$1:$1,0)+1),MATCH(C$1,[1]quests!$1:$1,0)-MATCH($B$1,[1]quests!$1:$1,0)+1,FALSE)</f>
        <v>武田信玄襲来！</v>
      </c>
      <c r="D44" s="3" t="str">
        <f ca="1">VLOOKUP($B44,OFFSET([1]quests!$A$1,0,0,COUNTA([1]quests!$A:$A),MATCH(D$1,[1]quests!$1:$1,0)-MATCH($B$1,[1]quests!$1:$1,0)+1),MATCH(D$1,[1]quests!$1:$1,0)-MATCH($B$1,[1]quests!$1:$1,0)+1,FALSE)</f>
        <v>降臨16</v>
      </c>
      <c r="E44" s="5">
        <v>1</v>
      </c>
      <c r="F44" s="3" t="str">
        <f ca="1">VLOOKUP($B44&amp;"_"&amp;$E44,OFFSET([1]stages!$A$1,0,0,COUNTA([1]stages!$A:$A),MATCH(F$1,[1]stages!$2:$2,0)-MATCH("temp_stage",[1]stages!$2:$2,0)+1),MATCH(F$1,[1]stages!$2:$2,0)-MATCH("temp_stage",[1]stages!$2:$2,0)+1,FALSE)</f>
        <v xml:space="preserve">【ウィザード級】武田信玄襲来 </v>
      </c>
      <c r="G44" s="3" t="str">
        <f ca="1">VLOOKUP($B44&amp;"_"&amp;$E44,OFFSET([1]stages!$A$1,0,0,COUNTA([1]stages!$A:$A),MATCH(G$1,[1]stages!$2:$2,0)-MATCH("temp_stage",[1]stages!$2:$2,0)+1),MATCH(G$1,[1]stages!$2:$2,0)-MATCH("temp_stage",[1]stages!$2:$2,0)+1,FALSE)</f>
        <v>降臨16</v>
      </c>
      <c r="H44" s="12" t="s">
        <v>14</v>
      </c>
      <c r="I44" s="5" t="s">
        <v>42</v>
      </c>
      <c r="J44" s="5">
        <v>1</v>
      </c>
      <c r="K44" s="5">
        <v>1000</v>
      </c>
      <c r="L44" s="5" t="s">
        <v>19</v>
      </c>
      <c r="M44" s="5">
        <v>724</v>
      </c>
      <c r="N44" s="15" t="str">
        <f ca="1">IF(L44="unit",VLOOKUP($M44,OFFSET([2]characters!$A$1,0,0,COUNTA([2]characters!$A:$A),MATCH(N$1,[2]characters!$1:$1,0)-MATCH("character_id",[2]characters!$1:$1,0)+1),MATCH(N$1,[2]characters!$1:$1,0)-MATCH("character_id",[2]characters!$1:$1,0)+1,FALSE),"")</f>
        <v>武田信玄</v>
      </c>
      <c r="O44" s="5">
        <v>1</v>
      </c>
      <c r="P44" s="5">
        <v>1</v>
      </c>
      <c r="Q44" s="5">
        <v>1</v>
      </c>
      <c r="R44" s="5">
        <v>0</v>
      </c>
      <c r="S44" s="5">
        <v>0</v>
      </c>
      <c r="T44" s="5">
        <v>0</v>
      </c>
      <c r="U44" s="5">
        <v>0</v>
      </c>
      <c r="V44" s="5">
        <v>1</v>
      </c>
      <c r="W44" s="17" t="s">
        <v>32</v>
      </c>
      <c r="X44" s="18" t="s">
        <v>33</v>
      </c>
    </row>
    <row r="45" spans="1:24" x14ac:dyDescent="0.15">
      <c r="A45" s="14" t="str">
        <f t="shared" si="8"/>
        <v>40017_2_full_member</v>
      </c>
      <c r="B45" s="4">
        <v>40017</v>
      </c>
      <c r="C45" s="3" t="str">
        <f ca="1">VLOOKUP($B45,OFFSET([1]quests!$A$1,0,0,COUNTA([1]quests!$A:$A),MATCH(C$1,[1]quests!$1:$1,0)-MATCH($B$1,[1]quests!$1:$1,0)+1),MATCH(C$1,[1]quests!$1:$1,0)-MATCH($B$1,[1]quests!$1:$1,0)+1,FALSE)</f>
        <v>ベルゼブブ襲来！</v>
      </c>
      <c r="D45" s="3" t="str">
        <f ca="1">VLOOKUP($B45,OFFSET([1]quests!$A$1,0,0,COUNTA([1]quests!$A:$A),MATCH(D$1,[1]quests!$1:$1,0)-MATCH($B$1,[1]quests!$1:$1,0)+1),MATCH(D$1,[1]quests!$1:$1,0)-MATCH($B$1,[1]quests!$1:$1,0)+1,FALSE)</f>
        <v>降臨17</v>
      </c>
      <c r="E45" s="5">
        <v>2</v>
      </c>
      <c r="F45" s="3" t="str">
        <f ca="1">VLOOKUP($B45&amp;"_"&amp;$E45,OFFSET([1]stages!$A$1,0,0,COUNTA([1]stages!$A:$A),MATCH(F$1,[1]stages!$2:$2,0)-MATCH("temp_stage",[1]stages!$2:$2,0)+1),MATCH(F$1,[1]stages!$2:$2,0)-MATCH("temp_stage",[1]stages!$2:$2,0)+1,FALSE)</f>
        <v>【ウィザード級】ベルゼブブ襲来</v>
      </c>
      <c r="G45" s="3" t="str">
        <f ca="1">VLOOKUP($B45&amp;"_"&amp;$E45,OFFSET([1]stages!$A$1,0,0,COUNTA([1]stages!$A:$A),MATCH(G$1,[1]stages!$2:$2,0)-MATCH("temp_stage",[1]stages!$2:$2,0)+1),MATCH(G$1,[1]stages!$2:$2,0)-MATCH("temp_stage",[1]stages!$2:$2,0)+1,FALSE)</f>
        <v>降臨17</v>
      </c>
      <c r="H45" s="12" t="s">
        <v>14</v>
      </c>
      <c r="I45" s="5" t="s">
        <v>42</v>
      </c>
      <c r="J45" s="5">
        <v>1</v>
      </c>
      <c r="K45" s="5">
        <v>1000</v>
      </c>
      <c r="L45" s="5" t="s">
        <v>19</v>
      </c>
      <c r="M45" s="5">
        <v>844</v>
      </c>
      <c r="N45" s="15" t="str">
        <f ca="1">IF(L45="unit",VLOOKUP($M45,OFFSET([2]characters!$A$1,0,0,COUNTA([2]characters!$A:$A),MATCH(N$1,[2]characters!$1:$1,0)-MATCH("character_id",[2]characters!$1:$1,0)+1),MATCH(N$1,[2]characters!$1:$1,0)-MATCH("character_id",[2]characters!$1:$1,0)+1,FALSE),"")</f>
        <v>ベルゼブブ</v>
      </c>
      <c r="O45" s="5">
        <v>1</v>
      </c>
      <c r="P45" s="5">
        <v>1</v>
      </c>
      <c r="Q45" s="5">
        <v>1</v>
      </c>
      <c r="R45" s="5">
        <v>0</v>
      </c>
      <c r="S45" s="5">
        <v>0</v>
      </c>
      <c r="T45" s="5">
        <v>0</v>
      </c>
      <c r="U45" s="5">
        <v>0</v>
      </c>
      <c r="V45" s="5">
        <v>1</v>
      </c>
      <c r="W45" s="17" t="s">
        <v>32</v>
      </c>
      <c r="X45" s="18" t="s">
        <v>33</v>
      </c>
    </row>
    <row r="46" spans="1:24" x14ac:dyDescent="0.15">
      <c r="A46" s="14" t="str">
        <f t="shared" si="8"/>
        <v>40018_2_full_member</v>
      </c>
      <c r="B46" s="4">
        <v>40018</v>
      </c>
      <c r="C46" s="3" t="str">
        <f ca="1">VLOOKUP($B46,OFFSET([1]quests!$A$1,0,0,COUNTA([1]quests!$A:$A),MATCH(C$1,[1]quests!$1:$1,0)-MATCH($B$1,[1]quests!$1:$1,0)+1),MATCH(C$1,[1]quests!$1:$1,0)-MATCH($B$1,[1]quests!$1:$1,0)+1,FALSE)</f>
        <v>ジーナ襲来！</v>
      </c>
      <c r="D46" s="3" t="str">
        <f ca="1">VLOOKUP($B46,OFFSET([1]quests!$A$1,0,0,COUNTA([1]quests!$A:$A),MATCH(D$1,[1]quests!$1:$1,0)-MATCH($B$1,[1]quests!$1:$1,0)+1),MATCH(D$1,[1]quests!$1:$1,0)-MATCH($B$1,[1]quests!$1:$1,0)+1,FALSE)</f>
        <v>降臨18</v>
      </c>
      <c r="E46" s="5">
        <v>2</v>
      </c>
      <c r="F46" s="3" t="str">
        <f ca="1">VLOOKUP($B46&amp;"_"&amp;$E46,OFFSET([1]stages!$A$1,0,0,COUNTA([1]stages!$A:$A),MATCH(F$1,[1]stages!$2:$2,0)-MATCH("temp_stage",[1]stages!$2:$2,0)+1),MATCH(F$1,[1]stages!$2:$2,0)-MATCH("temp_stage",[1]stages!$2:$2,0)+1,FALSE)</f>
        <v>【ウィザード級】ジーナ襲来</v>
      </c>
      <c r="G46" s="3" t="str">
        <f ca="1">VLOOKUP($B46&amp;"_"&amp;$E46,OFFSET([1]stages!$A$1,0,0,COUNTA([1]stages!$A:$A),MATCH(G$1,[1]stages!$2:$2,0)-MATCH("temp_stage",[1]stages!$2:$2,0)+1),MATCH(G$1,[1]stages!$2:$2,0)-MATCH("temp_stage",[1]stages!$2:$2,0)+1,FALSE)</f>
        <v>降臨18</v>
      </c>
      <c r="H46" s="12" t="s">
        <v>14</v>
      </c>
      <c r="I46" s="5" t="s">
        <v>42</v>
      </c>
      <c r="J46" s="5">
        <v>1</v>
      </c>
      <c r="K46" s="5">
        <v>1000</v>
      </c>
      <c r="L46" s="5" t="s">
        <v>19</v>
      </c>
      <c r="M46" s="5">
        <v>860</v>
      </c>
      <c r="N46" s="15" t="str">
        <f ca="1">IF(L46="unit",VLOOKUP($M46,OFFSET([2]characters!$A$1,0,0,COUNTA([2]characters!$A:$A),MATCH(N$1,[2]characters!$1:$1,0)-MATCH("character_id",[2]characters!$1:$1,0)+1),MATCH(N$1,[2]characters!$1:$1,0)-MATCH("character_id",[2]characters!$1:$1,0)+1,FALSE),"")</f>
        <v>叶望の幻燈 ジーナ</v>
      </c>
      <c r="O46" s="5">
        <v>1</v>
      </c>
      <c r="P46" s="5">
        <v>1</v>
      </c>
      <c r="Q46" s="5">
        <v>1</v>
      </c>
      <c r="R46" s="5">
        <v>0</v>
      </c>
      <c r="S46" s="5">
        <v>0</v>
      </c>
      <c r="T46" s="5">
        <v>0</v>
      </c>
      <c r="U46" s="5">
        <v>0</v>
      </c>
      <c r="V46" s="5">
        <v>1</v>
      </c>
      <c r="W46" s="17" t="s">
        <v>40</v>
      </c>
      <c r="X46" s="18" t="s">
        <v>41</v>
      </c>
    </row>
    <row r="47" spans="1:24" x14ac:dyDescent="0.15">
      <c r="A47" s="14" t="str">
        <f t="shared" si="8"/>
        <v>40019_2_full_member</v>
      </c>
      <c r="B47" s="4">
        <v>40019</v>
      </c>
      <c r="C47" s="3" t="str">
        <f ca="1">VLOOKUP($B47,OFFSET([1]quests!$A$1,0,0,COUNTA([1]quests!$A:$A),MATCH(C$1,[1]quests!$1:$1,0)-MATCH($B$1,[1]quests!$1:$1,0)+1),MATCH(C$1,[1]quests!$1:$1,0)-MATCH($B$1,[1]quests!$1:$1,0)+1,FALSE)</f>
        <v>テュポーン襲来！</v>
      </c>
      <c r="D47" s="3" t="str">
        <f ca="1">VLOOKUP($B47,OFFSET([1]quests!$A$1,0,0,COUNTA([1]quests!$A:$A),MATCH(D$1,[1]quests!$1:$1,0)-MATCH($B$1,[1]quests!$1:$1,0)+1),MATCH(D$1,[1]quests!$1:$1,0)-MATCH($B$1,[1]quests!$1:$1,0)+1,FALSE)</f>
        <v>降臨19</v>
      </c>
      <c r="E47" s="5">
        <v>2</v>
      </c>
      <c r="F47" s="3" t="str">
        <f ca="1">VLOOKUP($B47&amp;"_"&amp;$E47,OFFSET([1]stages!$A$1,0,0,COUNTA([1]stages!$A:$A),MATCH(F$1,[1]stages!$2:$2,0)-MATCH("temp_stage",[1]stages!$2:$2,0)+1),MATCH(F$1,[1]stages!$2:$2,0)-MATCH("temp_stage",[1]stages!$2:$2,0)+1,FALSE)</f>
        <v>【ウィザード級】テュポーン襲来</v>
      </c>
      <c r="G47" s="3" t="str">
        <f ca="1">VLOOKUP($B47&amp;"_"&amp;$E47,OFFSET([1]stages!$A$1,0,0,COUNTA([1]stages!$A:$A),MATCH(G$1,[1]stages!$2:$2,0)-MATCH("temp_stage",[1]stages!$2:$2,0)+1),MATCH(G$1,[1]stages!$2:$2,0)-MATCH("temp_stage",[1]stages!$2:$2,0)+1,FALSE)</f>
        <v>降臨19</v>
      </c>
      <c r="H47" s="12" t="s">
        <v>14</v>
      </c>
      <c r="I47" s="5" t="s">
        <v>42</v>
      </c>
      <c r="J47" s="5">
        <v>1</v>
      </c>
      <c r="K47" s="5">
        <v>1000</v>
      </c>
      <c r="L47" s="5" t="s">
        <v>19</v>
      </c>
      <c r="M47" s="5">
        <v>740</v>
      </c>
      <c r="N47" s="15" t="str">
        <f ca="1">IF(L47="unit",VLOOKUP($M47,OFFSET([2]characters!$A$1,0,0,COUNTA([2]characters!$A:$A),MATCH(N$1,[2]characters!$1:$1,0)-MATCH("character_id",[2]characters!$1:$1,0)+1),MATCH(N$1,[2]characters!$1:$1,0)-MATCH("character_id",[2]characters!$1:$1,0)+1,FALSE),"")</f>
        <v>テュポーン</v>
      </c>
      <c r="O47" s="5">
        <v>1</v>
      </c>
      <c r="P47" s="5">
        <v>1</v>
      </c>
      <c r="Q47" s="5">
        <v>1</v>
      </c>
      <c r="R47" s="5">
        <v>0</v>
      </c>
      <c r="S47" s="5">
        <v>0</v>
      </c>
      <c r="T47" s="5">
        <v>0</v>
      </c>
      <c r="U47" s="5">
        <v>0</v>
      </c>
      <c r="V47" s="5">
        <v>1</v>
      </c>
      <c r="W47" s="17" t="s">
        <v>40</v>
      </c>
      <c r="X47" s="18" t="s">
        <v>41</v>
      </c>
    </row>
    <row r="48" spans="1:24" x14ac:dyDescent="0.15">
      <c r="A48" s="14" t="str">
        <f t="shared" si="8"/>
        <v>49004_2_full_member</v>
      </c>
      <c r="B48" s="4">
        <v>49004</v>
      </c>
      <c r="C48" s="3" t="str">
        <f ca="1">VLOOKUP($B48,OFFSET([1]quests!$A$1,0,0,COUNTA([1]quests!$A:$A),MATCH(C$1,[1]quests!$1:$1,0)-MATCH($B$1,[1]quests!$1:$1,0)+1),MATCH(C$1,[1]quests!$1:$1,0)-MATCH($B$1,[1]quests!$1:$1,0)+1,FALSE)</f>
        <v>サンリオ好きなのだーれだ♪</v>
      </c>
      <c r="D48" s="3" t="str">
        <f ca="1">VLOOKUP($B48,OFFSET([1]quests!$A$1,0,0,COUNTA([1]quests!$A:$A),MATCH(D$1,[1]quests!$1:$1,0)-MATCH($B$1,[1]quests!$1:$1,0)+1),MATCH(D$1,[1]quests!$1:$1,0)-MATCH($B$1,[1]quests!$1:$1,0)+1,FALSE)</f>
        <v>コラボ降臨4</v>
      </c>
      <c r="E48" s="5">
        <v>2</v>
      </c>
      <c r="F48" s="3" t="str">
        <f ca="1">VLOOKUP($B48&amp;"_"&amp;$E48,OFFSET([1]stages!$A$1,0,0,COUNTA([1]stages!$A:$A),MATCH(F$1,[1]stages!$2:$2,0)-MATCH("temp_stage",[1]stages!$2:$2,0)+1),MATCH(F$1,[1]stages!$2:$2,0)-MATCH("temp_stage",[1]stages!$2:$2,0)+1,FALSE)</f>
        <v>【ｳｨｻﾞ】サンリオ好きなのだーれだ♪</v>
      </c>
      <c r="G48" s="3" t="str">
        <f ca="1">VLOOKUP($B48&amp;"_"&amp;$E48,OFFSET([1]stages!$A$1,0,0,COUNTA([1]stages!$A:$A),MATCH(G$1,[1]stages!$2:$2,0)-MATCH("temp_stage",[1]stages!$2:$2,0)+1),MATCH(G$1,[1]stages!$2:$2,0)-MATCH("temp_stage",[1]stages!$2:$2,0)+1,FALSE)</f>
        <v>コラボ降臨4</v>
      </c>
      <c r="H48" s="12" t="s">
        <v>14</v>
      </c>
      <c r="I48" s="5" t="s">
        <v>42</v>
      </c>
      <c r="J48" s="5">
        <v>1</v>
      </c>
      <c r="K48" s="5">
        <v>1000</v>
      </c>
      <c r="L48" s="5" t="s">
        <v>19</v>
      </c>
      <c r="M48" s="5">
        <v>899</v>
      </c>
      <c r="N48" s="15" t="str">
        <f ca="1">IF(L48="unit",VLOOKUP($M48,OFFSET([2]characters!$A$1,0,0,COUNTA([2]characters!$A:$A),MATCH(N$1,[2]characters!$1:$1,0)-MATCH("character_id",[2]characters!$1:$1,0)+1),MATCH(N$1,[2]characters!$1:$1,0)-MATCH("character_id",[2]characters!$1:$1,0)+1,FALSE),"")</f>
        <v>楽園からの帰還 アザゼル</v>
      </c>
      <c r="O48" s="5">
        <v>1</v>
      </c>
      <c r="P48" s="5">
        <v>1</v>
      </c>
      <c r="Q48" s="5">
        <v>1</v>
      </c>
      <c r="R48" s="5">
        <v>0</v>
      </c>
      <c r="S48" s="5">
        <v>0</v>
      </c>
      <c r="T48" s="5">
        <v>0</v>
      </c>
      <c r="U48" s="5">
        <v>0</v>
      </c>
      <c r="V48" s="5">
        <v>1</v>
      </c>
      <c r="W48" s="17" t="s">
        <v>40</v>
      </c>
      <c r="X48" s="18" t="s">
        <v>41</v>
      </c>
    </row>
    <row r="49" spans="1:24" x14ac:dyDescent="0.15">
      <c r="A49" s="14" t="str">
        <f t="shared" ref="A49:A56" si="12">B49&amp;"_"&amp;E49&amp;"_"&amp;I49</f>
        <v>40021_2_full_member</v>
      </c>
      <c r="B49" s="4">
        <v>40021</v>
      </c>
      <c r="C49" s="3" t="str">
        <f ca="1">VLOOKUP($B49,OFFSET([1]quests!$A$1,0,0,COUNTA([1]quests!$A:$A),MATCH(C$1,[1]quests!$1:$1,0)-MATCH($B$1,[1]quests!$1:$1,0)+1),MATCH(C$1,[1]quests!$1:$1,0)-MATCH($B$1,[1]quests!$1:$1,0)+1,FALSE)</f>
        <v>ルイ16世襲来！</v>
      </c>
      <c r="D49" s="3" t="str">
        <f ca="1">VLOOKUP($B49,OFFSET([1]quests!$A$1,0,0,COUNTA([1]quests!$A:$A),MATCH(D$1,[1]quests!$1:$1,0)-MATCH($B$1,[1]quests!$1:$1,0)+1),MATCH(D$1,[1]quests!$1:$1,0)-MATCH($B$1,[1]quests!$1:$1,0)+1,FALSE)</f>
        <v>降臨21</v>
      </c>
      <c r="E49" s="5">
        <v>2</v>
      </c>
      <c r="F49" s="3" t="str">
        <f ca="1">VLOOKUP($B49&amp;"_"&amp;$E49,OFFSET([1]stages!$A$1,0,0,COUNTA([1]stages!$A:$A),MATCH(F$1,[1]stages!$2:$2,0)-MATCH("temp_stage",[1]stages!$2:$2,0)+1),MATCH(F$1,[1]stages!$2:$2,0)-MATCH("temp_stage",[1]stages!$2:$2,0)+1,FALSE)</f>
        <v>【ウィザード級】ルイ16世襲来</v>
      </c>
      <c r="G49" s="3" t="str">
        <f ca="1">VLOOKUP($B49&amp;"_"&amp;$E49,OFFSET([1]stages!$A$1,0,0,COUNTA([1]stages!$A:$A),MATCH(G$1,[1]stages!$2:$2,0)-MATCH("temp_stage",[1]stages!$2:$2,0)+1),MATCH(G$1,[1]stages!$2:$2,0)-MATCH("temp_stage",[1]stages!$2:$2,0)+1,FALSE)</f>
        <v>降臨21</v>
      </c>
      <c r="H49" s="12" t="s">
        <v>14</v>
      </c>
      <c r="I49" s="5" t="s">
        <v>42</v>
      </c>
      <c r="J49" s="5">
        <v>1</v>
      </c>
      <c r="K49" s="5">
        <v>1000</v>
      </c>
      <c r="L49" s="5" t="s">
        <v>19</v>
      </c>
      <c r="M49" s="5">
        <v>935</v>
      </c>
      <c r="N49" s="15" t="str">
        <f ca="1">IF(L49="unit",VLOOKUP($M49,OFFSET([2]characters!$A$1,0,0,COUNTA([2]characters!$A:$A),MATCH(N$1,[2]characters!$1:$1,0)-MATCH("character_id",[2]characters!$1:$1,0)+1),MATCH(N$1,[2]characters!$1:$1,0)-MATCH("character_id",[2]characters!$1:$1,0)+1,FALSE),"")</f>
        <v>ルイ16世</v>
      </c>
      <c r="O49" s="5">
        <v>1</v>
      </c>
      <c r="P49" s="5">
        <v>1</v>
      </c>
      <c r="Q49" s="5">
        <v>1</v>
      </c>
      <c r="R49" s="5">
        <v>0</v>
      </c>
      <c r="S49" s="5">
        <v>0</v>
      </c>
      <c r="T49" s="5">
        <v>0</v>
      </c>
      <c r="U49" s="5">
        <v>0</v>
      </c>
      <c r="V49" s="5">
        <v>1</v>
      </c>
      <c r="W49" s="17" t="s">
        <v>32</v>
      </c>
      <c r="X49" s="18" t="s">
        <v>33</v>
      </c>
    </row>
    <row r="50" spans="1:24" x14ac:dyDescent="0.15">
      <c r="A50" s="14" t="str">
        <f t="shared" si="12"/>
        <v>40022_2_full_member</v>
      </c>
      <c r="B50" s="4">
        <v>40022</v>
      </c>
      <c r="C50" s="3" t="str">
        <f ca="1">VLOOKUP($B50,OFFSET([1]quests!$A$1,0,0,COUNTA([1]quests!$A:$A),MATCH(C$1,[1]quests!$1:$1,0)-MATCH($B$1,[1]quests!$1:$1,0)+1),MATCH(C$1,[1]quests!$1:$1,0)-MATCH($B$1,[1]quests!$1:$1,0)+1,FALSE)</f>
        <v>オシリス襲来！</v>
      </c>
      <c r="D50" s="3" t="str">
        <f ca="1">VLOOKUP($B50,OFFSET([1]quests!$A$1,0,0,COUNTA([1]quests!$A:$A),MATCH(D$1,[1]quests!$1:$1,0)-MATCH($B$1,[1]quests!$1:$1,0)+1),MATCH(D$1,[1]quests!$1:$1,0)-MATCH($B$1,[1]quests!$1:$1,0)+1,FALSE)</f>
        <v>降臨22</v>
      </c>
      <c r="E50" s="5">
        <v>2</v>
      </c>
      <c r="F50" s="3" t="str">
        <f ca="1">VLOOKUP($B50&amp;"_"&amp;$E50,OFFSET([1]stages!$A$1,0,0,COUNTA([1]stages!$A:$A),MATCH(F$1,[1]stages!$2:$2,0)-MATCH("temp_stage",[1]stages!$2:$2,0)+1),MATCH(F$1,[1]stages!$2:$2,0)-MATCH("temp_stage",[1]stages!$2:$2,0)+1,FALSE)</f>
        <v>【ウィザード級】オシリス襲来</v>
      </c>
      <c r="G50" s="3" t="str">
        <f ca="1">VLOOKUP($B50&amp;"_"&amp;$E50,OFFSET([1]stages!$A$1,0,0,COUNTA([1]stages!$A:$A),MATCH(G$1,[1]stages!$2:$2,0)-MATCH("temp_stage",[1]stages!$2:$2,0)+1),MATCH(G$1,[1]stages!$2:$2,0)-MATCH("temp_stage",[1]stages!$2:$2,0)+1,FALSE)</f>
        <v>降臨22</v>
      </c>
      <c r="H50" s="12" t="s">
        <v>14</v>
      </c>
      <c r="I50" s="5" t="s">
        <v>42</v>
      </c>
      <c r="J50" s="5">
        <v>1</v>
      </c>
      <c r="K50" s="5">
        <v>1000</v>
      </c>
      <c r="L50" s="5" t="s">
        <v>19</v>
      </c>
      <c r="M50" s="5">
        <v>1008</v>
      </c>
      <c r="N50" s="15" t="str">
        <f ca="1">IF(L50="unit",VLOOKUP($M50,OFFSET([2]characters!$A$1,0,0,COUNTA([2]characters!$A:$A),MATCH(N$1,[2]characters!$1:$1,0)-MATCH("character_id",[2]characters!$1:$1,0)+1),MATCH(N$1,[2]characters!$1:$1,0)-MATCH("character_id",[2]characters!$1:$1,0)+1,FALSE),"")</f>
        <v>オシリス</v>
      </c>
      <c r="O50" s="5">
        <v>1</v>
      </c>
      <c r="P50" s="5">
        <v>1</v>
      </c>
      <c r="Q50" s="5">
        <v>1</v>
      </c>
      <c r="R50" s="5">
        <v>0</v>
      </c>
      <c r="S50" s="5">
        <v>0</v>
      </c>
      <c r="T50" s="5">
        <v>0</v>
      </c>
      <c r="U50" s="5">
        <v>0</v>
      </c>
      <c r="V50" s="5">
        <v>1</v>
      </c>
      <c r="W50" s="17" t="s">
        <v>32</v>
      </c>
      <c r="X50" s="18" t="s">
        <v>33</v>
      </c>
    </row>
    <row r="51" spans="1:24" x14ac:dyDescent="0.15">
      <c r="A51" s="14" t="str">
        <f t="shared" si="12"/>
        <v>40023_2_full_member</v>
      </c>
      <c r="B51" s="4">
        <v>40023</v>
      </c>
      <c r="C51" s="3" t="str">
        <f ca="1">VLOOKUP($B51,OFFSET([1]quests!$A$1,0,0,COUNTA([1]quests!$A:$A),MATCH(C$1,[1]quests!$1:$1,0)-MATCH($B$1,[1]quests!$1:$1,0)+1),MATCH(C$1,[1]quests!$1:$1,0)-MATCH($B$1,[1]quests!$1:$1,0)+1,FALSE)</f>
        <v>武蔵坊弁慶襲来！</v>
      </c>
      <c r="D51" s="3" t="str">
        <f ca="1">VLOOKUP($B51,OFFSET([1]quests!$A$1,0,0,COUNTA([1]quests!$A:$A),MATCH(D$1,[1]quests!$1:$1,0)-MATCH($B$1,[1]quests!$1:$1,0)+1),MATCH(D$1,[1]quests!$1:$1,0)-MATCH($B$1,[1]quests!$1:$1,0)+1,FALSE)</f>
        <v>降臨23</v>
      </c>
      <c r="E51" s="5">
        <v>2</v>
      </c>
      <c r="F51" s="3" t="str">
        <f ca="1">VLOOKUP($B51&amp;"_"&amp;$E51,OFFSET([1]stages!$A$1,0,0,COUNTA([1]stages!$A:$A),MATCH(F$1,[1]stages!$2:$2,0)-MATCH("temp_stage",[1]stages!$2:$2,0)+1),MATCH(F$1,[1]stages!$2:$2,0)-MATCH("temp_stage",[1]stages!$2:$2,0)+1,FALSE)</f>
        <v>【ウィザード級】武蔵坊弁慶襲来</v>
      </c>
      <c r="G51" s="3" t="str">
        <f ca="1">VLOOKUP($B51&amp;"_"&amp;$E51,OFFSET([1]stages!$A$1,0,0,COUNTA([1]stages!$A:$A),MATCH(G$1,[1]stages!$2:$2,0)-MATCH("temp_stage",[1]stages!$2:$2,0)+1),MATCH(G$1,[1]stages!$2:$2,0)-MATCH("temp_stage",[1]stages!$2:$2,0)+1,FALSE)</f>
        <v>降臨23</v>
      </c>
      <c r="H51" s="12" t="s">
        <v>14</v>
      </c>
      <c r="I51" s="5" t="s">
        <v>42</v>
      </c>
      <c r="J51" s="5">
        <v>1</v>
      </c>
      <c r="K51" s="5">
        <v>1000</v>
      </c>
      <c r="L51" s="5" t="s">
        <v>19</v>
      </c>
      <c r="M51" s="5">
        <v>1024</v>
      </c>
      <c r="N51" s="15" t="str">
        <f ca="1">IF(L51="unit",VLOOKUP($M51,OFFSET([2]characters!$A$1,0,0,COUNTA([2]characters!$A:$A),MATCH(N$1,[2]characters!$1:$1,0)-MATCH("character_id",[2]characters!$1:$1,0)+1),MATCH(N$1,[2]characters!$1:$1,0)-MATCH("character_id",[2]characters!$1:$1,0)+1,FALSE),"")</f>
        <v>武蔵坊弁慶</v>
      </c>
      <c r="O51" s="5">
        <v>1</v>
      </c>
      <c r="P51" s="5">
        <v>1</v>
      </c>
      <c r="Q51" s="5">
        <v>1</v>
      </c>
      <c r="R51" s="5">
        <v>0</v>
      </c>
      <c r="S51" s="5">
        <v>0</v>
      </c>
      <c r="T51" s="5">
        <v>0</v>
      </c>
      <c r="U51" s="5">
        <v>0</v>
      </c>
      <c r="V51" s="5">
        <v>1</v>
      </c>
      <c r="W51" s="17" t="s">
        <v>32</v>
      </c>
      <c r="X51" s="18" t="s">
        <v>33</v>
      </c>
    </row>
    <row r="52" spans="1:24" x14ac:dyDescent="0.15">
      <c r="A52" s="14" t="str">
        <f t="shared" si="12"/>
        <v>40024_2_full_member</v>
      </c>
      <c r="B52" s="4">
        <v>40024</v>
      </c>
      <c r="C52" s="3" t="str">
        <f ca="1">VLOOKUP($B52,OFFSET([1]quests!$A$1,0,0,COUNTA([1]quests!$A:$A),MATCH(C$1,[1]quests!$1:$1,0)-MATCH($B$1,[1]quests!$1:$1,0)+1),MATCH(C$1,[1]quests!$1:$1,0)-MATCH($B$1,[1]quests!$1:$1,0)+1,FALSE)</f>
        <v>アトラス襲来！</v>
      </c>
      <c r="D52" s="3" t="str">
        <f ca="1">VLOOKUP($B52,OFFSET([1]quests!$A$1,0,0,COUNTA([1]quests!$A:$A),MATCH(D$1,[1]quests!$1:$1,0)-MATCH($B$1,[1]quests!$1:$1,0)+1),MATCH(D$1,[1]quests!$1:$1,0)-MATCH($B$1,[1]quests!$1:$1,0)+1,FALSE)</f>
        <v>降臨24</v>
      </c>
      <c r="E52" s="5">
        <v>2</v>
      </c>
      <c r="F52" s="3" t="str">
        <f ca="1">VLOOKUP($B52&amp;"_"&amp;$E52,OFFSET([1]stages!$A$1,0,0,COUNTA([1]stages!$A:$A),MATCH(F$1,[1]stages!$2:$2,0)-MATCH("temp_stage",[1]stages!$2:$2,0)+1),MATCH(F$1,[1]stages!$2:$2,0)-MATCH("temp_stage",[1]stages!$2:$2,0)+1,FALSE)</f>
        <v>【ウィザード級】アトラス襲来</v>
      </c>
      <c r="G52" s="3" t="str">
        <f ca="1">VLOOKUP($B52&amp;"_"&amp;$E52,OFFSET([1]stages!$A$1,0,0,COUNTA([1]stages!$A:$A),MATCH(G$1,[1]stages!$2:$2,0)-MATCH("temp_stage",[1]stages!$2:$2,0)+1),MATCH(G$1,[1]stages!$2:$2,0)-MATCH("temp_stage",[1]stages!$2:$2,0)+1,FALSE)</f>
        <v>降臨24</v>
      </c>
      <c r="H52" s="12" t="s">
        <v>14</v>
      </c>
      <c r="I52" s="5" t="s">
        <v>42</v>
      </c>
      <c r="J52" s="5">
        <v>1</v>
      </c>
      <c r="K52" s="5">
        <v>1000</v>
      </c>
      <c r="L52" s="5" t="s">
        <v>19</v>
      </c>
      <c r="M52" s="5">
        <v>788</v>
      </c>
      <c r="N52" s="15" t="str">
        <f ca="1">IF(L52="unit",VLOOKUP($M52,OFFSET([2]characters!$A$1,0,0,COUNTA([2]characters!$A:$A),MATCH(N$1,[2]characters!$1:$1,0)-MATCH("character_id",[2]characters!$1:$1,0)+1),MATCH(N$1,[2]characters!$1:$1,0)-MATCH("character_id",[2]characters!$1:$1,0)+1,FALSE),"")</f>
        <v>アトラス</v>
      </c>
      <c r="O52" s="5">
        <v>1</v>
      </c>
      <c r="P52" s="5">
        <v>1</v>
      </c>
      <c r="Q52" s="5">
        <v>1</v>
      </c>
      <c r="R52" s="5">
        <v>0</v>
      </c>
      <c r="S52" s="5">
        <v>0</v>
      </c>
      <c r="T52" s="5">
        <v>0</v>
      </c>
      <c r="U52" s="5">
        <v>0</v>
      </c>
      <c r="V52" s="5">
        <v>1</v>
      </c>
      <c r="W52" s="17" t="s">
        <v>32</v>
      </c>
      <c r="X52" s="18" t="s">
        <v>33</v>
      </c>
    </row>
    <row r="53" spans="1:24" x14ac:dyDescent="0.15">
      <c r="A53" s="14" t="str">
        <f t="shared" si="12"/>
        <v>40025_2_full_member</v>
      </c>
      <c r="B53" s="4">
        <v>40025</v>
      </c>
      <c r="C53" s="3" t="str">
        <f ca="1">VLOOKUP($B53,OFFSET([1]quests!$A$1,0,0,COUNTA([1]quests!$A:$A),MATCH(C$1,[1]quests!$1:$1,0)-MATCH($B$1,[1]quests!$1:$1,0)+1),MATCH(C$1,[1]quests!$1:$1,0)-MATCH($B$1,[1]quests!$1:$1,0)+1,FALSE)</f>
        <v>ティアマト襲来！</v>
      </c>
      <c r="D53" s="3" t="str">
        <f ca="1">VLOOKUP($B53,OFFSET([1]quests!$A$1,0,0,COUNTA([1]quests!$A:$A),MATCH(D$1,[1]quests!$1:$1,0)-MATCH($B$1,[1]quests!$1:$1,0)+1),MATCH(D$1,[1]quests!$1:$1,0)-MATCH($B$1,[1]quests!$1:$1,0)+1,FALSE)</f>
        <v>降臨25</v>
      </c>
      <c r="E53" s="5">
        <v>2</v>
      </c>
      <c r="F53" s="3" t="str">
        <f ca="1">VLOOKUP($B53&amp;"_"&amp;$E53,OFFSET([1]stages!$A$1,0,0,COUNTA([1]stages!$A:$A),MATCH(F$1,[1]stages!$2:$2,0)-MATCH("temp_stage",[1]stages!$2:$2,0)+1),MATCH(F$1,[1]stages!$2:$2,0)-MATCH("temp_stage",[1]stages!$2:$2,0)+1,FALSE)</f>
        <v>【ウィザード級】ティアマト襲来</v>
      </c>
      <c r="G53" s="3" t="str">
        <f ca="1">VLOOKUP($B53&amp;"_"&amp;$E53,OFFSET([1]stages!$A$1,0,0,COUNTA([1]stages!$A:$A),MATCH(G$1,[1]stages!$2:$2,0)-MATCH("temp_stage",[1]stages!$2:$2,0)+1),MATCH(G$1,[1]stages!$2:$2,0)-MATCH("temp_stage",[1]stages!$2:$2,0)+1,FALSE)</f>
        <v>降臨25</v>
      </c>
      <c r="H53" s="12" t="s">
        <v>14</v>
      </c>
      <c r="I53" s="5" t="s">
        <v>42</v>
      </c>
      <c r="J53" s="5">
        <v>1</v>
      </c>
      <c r="K53" s="5">
        <v>1000</v>
      </c>
      <c r="L53" s="5" t="s">
        <v>19</v>
      </c>
      <c r="M53" s="5">
        <v>1063</v>
      </c>
      <c r="N53" s="15" t="str">
        <f ca="1">IF(L53="unit",VLOOKUP($M53,OFFSET([2]characters!$A$1,0,0,COUNTA([2]characters!$A:$A),MATCH(N$1,[2]characters!$1:$1,0)-MATCH("character_id",[2]characters!$1:$1,0)+1),MATCH(N$1,[2]characters!$1:$1,0)-MATCH("character_id",[2]characters!$1:$1,0)+1,FALSE),"")</f>
        <v>ティアマト</v>
      </c>
      <c r="O53" s="5">
        <v>1</v>
      </c>
      <c r="P53" s="5">
        <v>1</v>
      </c>
      <c r="Q53" s="5">
        <v>1</v>
      </c>
      <c r="R53" s="5">
        <v>0</v>
      </c>
      <c r="S53" s="5">
        <v>0</v>
      </c>
      <c r="T53" s="5">
        <v>0</v>
      </c>
      <c r="U53" s="5">
        <v>0</v>
      </c>
      <c r="V53" s="5">
        <v>1</v>
      </c>
      <c r="W53" s="17" t="s">
        <v>32</v>
      </c>
      <c r="X53" s="18" t="s">
        <v>33</v>
      </c>
    </row>
    <row r="54" spans="1:24" x14ac:dyDescent="0.15">
      <c r="A54" s="14" t="str">
        <f t="shared" si="12"/>
        <v>40026_2_full_member</v>
      </c>
      <c r="B54" s="4">
        <v>40026</v>
      </c>
      <c r="C54" s="3" t="str">
        <f ca="1">VLOOKUP($B54,OFFSET([1]quests!$A$1,0,0,COUNTA([1]quests!$A:$A),MATCH(C$1,[1]quests!$1:$1,0)-MATCH($B$1,[1]quests!$1:$1,0)+1),MATCH(C$1,[1]quests!$1:$1,0)-MATCH($B$1,[1]quests!$1:$1,0)+1,FALSE)</f>
        <v>ミケランジェロ襲来！</v>
      </c>
      <c r="D54" s="3" t="str">
        <f ca="1">VLOOKUP($B54,OFFSET([1]quests!$A$1,0,0,COUNTA([1]quests!$A:$A),MATCH(D$1,[1]quests!$1:$1,0)-MATCH($B$1,[1]quests!$1:$1,0)+1),MATCH(D$1,[1]quests!$1:$1,0)-MATCH($B$1,[1]quests!$1:$1,0)+1,FALSE)</f>
        <v>降臨26</v>
      </c>
      <c r="E54" s="5">
        <v>2</v>
      </c>
      <c r="F54" s="3" t="str">
        <f ca="1">VLOOKUP($B54&amp;"_"&amp;$E54,OFFSET([1]stages!$A$1,0,0,COUNTA([1]stages!$A:$A),MATCH(F$1,[1]stages!$2:$2,0)-MATCH("temp_stage",[1]stages!$2:$2,0)+1),MATCH(F$1,[1]stages!$2:$2,0)-MATCH("temp_stage",[1]stages!$2:$2,0)+1,FALSE)</f>
        <v>【ウィザード級】ミケランジェロ襲来</v>
      </c>
      <c r="G54" s="3" t="str">
        <f ca="1">VLOOKUP($B54&amp;"_"&amp;$E54,OFFSET([1]stages!$A$1,0,0,COUNTA([1]stages!$A:$A),MATCH(G$1,[1]stages!$2:$2,0)-MATCH("temp_stage",[1]stages!$2:$2,0)+1),MATCH(G$1,[1]stages!$2:$2,0)-MATCH("temp_stage",[1]stages!$2:$2,0)+1,FALSE)</f>
        <v>降臨26</v>
      </c>
      <c r="H54" s="12" t="s">
        <v>14</v>
      </c>
      <c r="I54" s="5" t="s">
        <v>42</v>
      </c>
      <c r="J54" s="5">
        <v>1</v>
      </c>
      <c r="K54" s="5">
        <v>1000</v>
      </c>
      <c r="L54" s="5" t="s">
        <v>19</v>
      </c>
      <c r="M54" s="5">
        <v>1088</v>
      </c>
      <c r="N54" s="15" t="str">
        <f ca="1">IF(L54="unit",VLOOKUP($M54,OFFSET([2]characters!$A$1,0,0,COUNTA([2]characters!$A:$A),MATCH(N$1,[2]characters!$1:$1,0)-MATCH("character_id",[2]characters!$1:$1,0)+1),MATCH(N$1,[2]characters!$1:$1,0)-MATCH("character_id",[2]characters!$1:$1,0)+1,FALSE),"")</f>
        <v>ミケランジェロ</v>
      </c>
      <c r="O54" s="5">
        <v>1</v>
      </c>
      <c r="P54" s="5">
        <v>1</v>
      </c>
      <c r="Q54" s="5">
        <v>1</v>
      </c>
      <c r="R54" s="5">
        <v>0</v>
      </c>
      <c r="S54" s="5">
        <v>0</v>
      </c>
      <c r="T54" s="5">
        <v>0</v>
      </c>
      <c r="U54" s="5">
        <v>0</v>
      </c>
      <c r="V54" s="5">
        <v>1</v>
      </c>
      <c r="W54" s="17" t="s">
        <v>32</v>
      </c>
      <c r="X54" s="18" t="s">
        <v>33</v>
      </c>
    </row>
    <row r="55" spans="1:24" x14ac:dyDescent="0.15">
      <c r="A55" s="14" t="str">
        <f t="shared" si="12"/>
        <v>40027_2_full_member</v>
      </c>
      <c r="B55" s="4">
        <v>40027</v>
      </c>
      <c r="C55" s="3" t="str">
        <f ca="1">VLOOKUP($B55,OFFSET([1]quests!$A$1,0,0,COUNTA([1]quests!$A:$A),MATCH(C$1,[1]quests!$1:$1,0)-MATCH($B$1,[1]quests!$1:$1,0)+1),MATCH(C$1,[1]quests!$1:$1,0)-MATCH($B$1,[1]quests!$1:$1,0)+1,FALSE)</f>
        <v>コルキス襲来！</v>
      </c>
      <c r="D55" s="3" t="str">
        <f ca="1">VLOOKUP($B55,OFFSET([1]quests!$A$1,0,0,COUNTA([1]quests!$A:$A),MATCH(D$1,[1]quests!$1:$1,0)-MATCH($B$1,[1]quests!$1:$1,0)+1),MATCH(D$1,[1]quests!$1:$1,0)-MATCH($B$1,[1]quests!$1:$1,0)+1,FALSE)</f>
        <v>降臨27</v>
      </c>
      <c r="E55" s="5">
        <v>2</v>
      </c>
      <c r="F55" s="3" t="str">
        <f ca="1">VLOOKUP($B55&amp;"_"&amp;$E55,OFFSET([1]stages!$A$1,0,0,COUNTA([1]stages!$A:$A),MATCH(F$1,[1]stages!$2:$2,0)-MATCH("temp_stage",[1]stages!$2:$2,0)+1),MATCH(F$1,[1]stages!$2:$2,0)-MATCH("temp_stage",[1]stages!$2:$2,0)+1,FALSE)</f>
        <v>【ウィザード級】コルキス襲来</v>
      </c>
      <c r="G55" s="3" t="str">
        <f ca="1">VLOOKUP($B55&amp;"_"&amp;$E55,OFFSET([1]stages!$A$1,0,0,COUNTA([1]stages!$A:$A),MATCH(G$1,[1]stages!$2:$2,0)-MATCH("temp_stage",[1]stages!$2:$2,0)+1),MATCH(G$1,[1]stages!$2:$2,0)-MATCH("temp_stage",[1]stages!$2:$2,0)+1,FALSE)</f>
        <v>降臨27</v>
      </c>
      <c r="H55" s="12" t="s">
        <v>14</v>
      </c>
      <c r="I55" s="5" t="s">
        <v>42</v>
      </c>
      <c r="J55" s="5">
        <v>1</v>
      </c>
      <c r="K55" s="5">
        <v>1000</v>
      </c>
      <c r="L55" s="5" t="s">
        <v>19</v>
      </c>
      <c r="M55" s="5">
        <v>891</v>
      </c>
      <c r="N55" s="15" t="str">
        <f ca="1">IF(L55="unit",VLOOKUP($M55,OFFSET([2]characters!$A$1,0,0,COUNTA([2]characters!$A:$A),MATCH(N$1,[2]characters!$1:$1,0)-MATCH("character_id",[2]characters!$1:$1,0)+1),MATCH(N$1,[2]characters!$1:$1,0)-MATCH("character_id",[2]characters!$1:$1,0)+1,FALSE),"")</f>
        <v>コルキス</v>
      </c>
      <c r="O55" s="5">
        <v>1</v>
      </c>
      <c r="P55" s="5">
        <v>1</v>
      </c>
      <c r="Q55" s="5">
        <v>1</v>
      </c>
      <c r="R55" s="5">
        <v>0</v>
      </c>
      <c r="S55" s="5">
        <v>0</v>
      </c>
      <c r="T55" s="5">
        <v>0</v>
      </c>
      <c r="U55" s="5">
        <v>0</v>
      </c>
      <c r="V55" s="5">
        <v>1</v>
      </c>
      <c r="W55" s="17" t="s">
        <v>32</v>
      </c>
      <c r="X55" s="18" t="s">
        <v>33</v>
      </c>
    </row>
    <row r="56" spans="1:24" x14ac:dyDescent="0.15">
      <c r="A56" s="14" t="str">
        <f t="shared" si="12"/>
        <v>40028_2_full_member</v>
      </c>
      <c r="B56" s="4">
        <v>40028</v>
      </c>
      <c r="C56" s="3" t="str">
        <f ca="1">VLOOKUP($B56,OFFSET([1]quests!$A$1,0,0,COUNTA([1]quests!$A:$A),MATCH(C$1,[1]quests!$1:$1,0)-MATCH($B$1,[1]quests!$1:$1,0)+1),MATCH(C$1,[1]quests!$1:$1,0)-MATCH($B$1,[1]quests!$1:$1,0)+1,FALSE)</f>
        <v>ルピカ襲来！</v>
      </c>
      <c r="D56" s="3" t="str">
        <f ca="1">VLOOKUP($B56,OFFSET([1]quests!$A$1,0,0,COUNTA([1]quests!$A:$A),MATCH(D$1,[1]quests!$1:$1,0)-MATCH($B$1,[1]quests!$1:$1,0)+1),MATCH(D$1,[1]quests!$1:$1,0)-MATCH($B$1,[1]quests!$1:$1,0)+1,FALSE)</f>
        <v>降臨28</v>
      </c>
      <c r="E56" s="5">
        <v>2</v>
      </c>
      <c r="F56" s="3" t="str">
        <f ca="1">VLOOKUP($B56&amp;"_"&amp;$E56,OFFSET([1]stages!$A$1,0,0,COUNTA([1]stages!$A:$A),MATCH(F$1,[1]stages!$2:$2,0)-MATCH("temp_stage",[1]stages!$2:$2,0)+1),MATCH(F$1,[1]stages!$2:$2,0)-MATCH("temp_stage",[1]stages!$2:$2,0)+1,FALSE)</f>
        <v>【ウィザード級】ルピカ襲来</v>
      </c>
      <c r="G56" s="3" t="str">
        <f ca="1">VLOOKUP($B56&amp;"_"&amp;$E56,OFFSET([1]stages!$A$1,0,0,COUNTA([1]stages!$A:$A),MATCH(G$1,[1]stages!$2:$2,0)-MATCH("temp_stage",[1]stages!$2:$2,0)+1),MATCH(G$1,[1]stages!$2:$2,0)-MATCH("temp_stage",[1]stages!$2:$2,0)+1,FALSE)</f>
        <v>降臨28</v>
      </c>
      <c r="H56" s="12" t="s">
        <v>14</v>
      </c>
      <c r="I56" s="5" t="s">
        <v>42</v>
      </c>
      <c r="J56" s="5">
        <v>1</v>
      </c>
      <c r="K56" s="5">
        <v>1000</v>
      </c>
      <c r="L56" s="5" t="s">
        <v>19</v>
      </c>
      <c r="M56" s="5">
        <v>1098</v>
      </c>
      <c r="N56" s="15" t="str">
        <f ca="1">IF(L56="unit",VLOOKUP($M56,OFFSET([2]characters!$A$1,0,0,COUNTA([2]characters!$A:$A),MATCH(N$1,[2]characters!$1:$1,0)-MATCH("character_id",[2]characters!$1:$1,0)+1),MATCH(N$1,[2]characters!$1:$1,0)-MATCH("character_id",[2]characters!$1:$1,0)+1,FALSE),"")</f>
        <v>ルピカ</v>
      </c>
      <c r="O56" s="5">
        <v>1</v>
      </c>
      <c r="P56" s="5">
        <v>1</v>
      </c>
      <c r="Q56" s="5">
        <v>1</v>
      </c>
      <c r="R56" s="5">
        <v>0</v>
      </c>
      <c r="S56" s="5">
        <v>0</v>
      </c>
      <c r="T56" s="5">
        <v>0</v>
      </c>
      <c r="U56" s="5">
        <v>0</v>
      </c>
      <c r="V56" s="5">
        <v>1</v>
      </c>
      <c r="W56" s="17" t="s">
        <v>40</v>
      </c>
      <c r="X56" s="18" t="s">
        <v>41</v>
      </c>
    </row>
    <row r="57" spans="1:24" x14ac:dyDescent="0.15">
      <c r="A57" s="14" t="str">
        <f t="shared" ref="A57:A58" si="13">B57&amp;"_"&amp;E57&amp;"_"&amp;I57</f>
        <v>47001_2_full_member</v>
      </c>
      <c r="B57" s="4">
        <v>47001</v>
      </c>
      <c r="C57" s="3" t="str">
        <f ca="1">VLOOKUP($B57,OFFSET([1]quests!$A$1,0,0,COUNTA([1]quests!$A:$A),MATCH(C$1,[1]quests!$1:$1,0)-MATCH($B$1,[1]quests!$1:$1,0)+1),MATCH(C$1,[1]quests!$1:$1,0)-MATCH($B$1,[1]quests!$1:$1,0)+1,FALSE)</f>
        <v>彦星襲来！</v>
      </c>
      <c r="D57" s="3" t="str">
        <f ca="1">VLOOKUP($B57,OFFSET([1]quests!$A$1,0,0,COUNTA([1]quests!$A:$A),MATCH(D$1,[1]quests!$1:$1,0)-MATCH($B$1,[1]quests!$1:$1,0)+1),MATCH(D$1,[1]quests!$1:$1,0)-MATCH($B$1,[1]quests!$1:$1,0)+1,FALSE)</f>
        <v>季節イベント</v>
      </c>
      <c r="E57" s="5">
        <v>2</v>
      </c>
      <c r="F57" s="3" t="str">
        <f ca="1">VLOOKUP($B57&amp;"_"&amp;$E57,OFFSET([1]stages!$A$1,0,0,COUNTA([1]stages!$A:$A),MATCH(F$1,[1]stages!$2:$2,0)-MATCH("temp_stage",[1]stages!$2:$2,0)+1),MATCH(F$1,[1]stages!$2:$2,0)-MATCH("temp_stage",[1]stages!$2:$2,0)+1,FALSE)</f>
        <v>【ウィザード級】彦星襲来</v>
      </c>
      <c r="G57" s="3" t="str">
        <f ca="1">VLOOKUP($B57&amp;"_"&amp;$E57,OFFSET([1]stages!$A$1,0,0,COUNTA([1]stages!$A:$A),MATCH(G$1,[1]stages!$2:$2,0)-MATCH("temp_stage",[1]stages!$2:$2,0)+1),MATCH(G$1,[1]stages!$2:$2,0)-MATCH("temp_stage",[1]stages!$2:$2,0)+1,FALSE)</f>
        <v>季節イベント</v>
      </c>
      <c r="H57" s="12" t="s">
        <v>14</v>
      </c>
      <c r="I57" s="5" t="s">
        <v>42</v>
      </c>
      <c r="J57" s="5">
        <v>1</v>
      </c>
      <c r="K57" s="5">
        <v>1000</v>
      </c>
      <c r="L57" s="5" t="s">
        <v>19</v>
      </c>
      <c r="M57" s="5">
        <v>1043</v>
      </c>
      <c r="N57" s="15" t="str">
        <f ca="1">IF(L57="unit",VLOOKUP($M57,OFFSET([2]characters!$A$1,0,0,COUNTA([2]characters!$A:$A),MATCH(N$1,[2]characters!$1:$1,0)-MATCH("character_id",[2]characters!$1:$1,0)+1),MATCH(N$1,[2]characters!$1:$1,0)-MATCH("character_id",[2]characters!$1:$1,0)+1,FALSE),"")</f>
        <v>彦星</v>
      </c>
      <c r="O57" s="5">
        <v>1</v>
      </c>
      <c r="P57" s="5">
        <v>1</v>
      </c>
      <c r="Q57" s="5">
        <v>1</v>
      </c>
      <c r="R57" s="5">
        <v>0</v>
      </c>
      <c r="S57" s="5">
        <v>0</v>
      </c>
      <c r="T57" s="5">
        <v>0</v>
      </c>
      <c r="U57" s="5">
        <v>0</v>
      </c>
      <c r="V57" s="5">
        <v>1</v>
      </c>
      <c r="W57" s="17" t="s">
        <v>40</v>
      </c>
      <c r="X57" s="18" t="s">
        <v>41</v>
      </c>
    </row>
    <row r="58" spans="1:24" x14ac:dyDescent="0.15">
      <c r="A58" s="14" t="str">
        <f t="shared" si="13"/>
        <v>47002_2_full_member</v>
      </c>
      <c r="B58" s="4">
        <v>47002</v>
      </c>
      <c r="C58" s="3" t="str">
        <f ca="1">VLOOKUP($B58,OFFSET([1]quests!$A$1,0,0,COUNTA([1]quests!$A:$A),MATCH(C$1,[1]quests!$1:$1,0)-MATCH($B$1,[1]quests!$1:$1,0)+1),MATCH(C$1,[1]quests!$1:$1,0)-MATCH($B$1,[1]quests!$1:$1,0)+1,FALSE)</f>
        <v>夏☆襲来！</v>
      </c>
      <c r="D58" s="3" t="str">
        <f ca="1">VLOOKUP($B58,OFFSET([1]quests!$A$1,0,0,COUNTA([1]quests!$A:$A),MATCH(D$1,[1]quests!$1:$1,0)-MATCH($B$1,[1]quests!$1:$1,0)+1),MATCH(D$1,[1]quests!$1:$1,0)-MATCH($B$1,[1]quests!$1:$1,0)+1,FALSE)</f>
        <v>季節イベント</v>
      </c>
      <c r="E58" s="5">
        <v>2</v>
      </c>
      <c r="F58" s="3" t="str">
        <f ca="1">VLOOKUP($B58&amp;"_"&amp;$E58,OFFSET([1]stages!$A$1,0,0,COUNTA([1]stages!$A:$A),MATCH(F$1,[1]stages!$2:$2,0)-MATCH("temp_stage",[1]stages!$2:$2,0)+1),MATCH(F$1,[1]stages!$2:$2,0)-MATCH("temp_stage",[1]stages!$2:$2,0)+1,FALSE)</f>
        <v>【ウィザード級】夏☆襲来</v>
      </c>
      <c r="G58" s="3" t="str">
        <f ca="1">VLOOKUP($B58&amp;"_"&amp;$E58,OFFSET([1]stages!$A$1,0,0,COUNTA([1]stages!$A:$A),MATCH(G$1,[1]stages!$2:$2,0)-MATCH("temp_stage",[1]stages!$2:$2,0)+1),MATCH(G$1,[1]stages!$2:$2,0)-MATCH("temp_stage",[1]stages!$2:$2,0)+1,FALSE)</f>
        <v>季節イベント</v>
      </c>
      <c r="H58" s="12" t="s">
        <v>14</v>
      </c>
      <c r="I58" s="5" t="s">
        <v>42</v>
      </c>
      <c r="J58" s="5">
        <v>1</v>
      </c>
      <c r="K58" s="5">
        <v>1000</v>
      </c>
      <c r="L58" s="5" t="s">
        <v>19</v>
      </c>
      <c r="M58" s="5">
        <v>1053</v>
      </c>
      <c r="N58" s="15" t="str">
        <f ca="1">IF(L58="unit",VLOOKUP($M58,OFFSET([2]characters!$A$1,0,0,COUNTA([2]characters!$A:$A),MATCH(N$1,[2]characters!$1:$1,0)-MATCH("character_id",[2]characters!$1:$1,0)+1),MATCH(N$1,[2]characters!$1:$1,0)-MATCH("character_id",[2]characters!$1:$1,0)+1,FALSE),"")</f>
        <v>常夏の眩獣 麒麟</v>
      </c>
      <c r="O58" s="5">
        <v>1</v>
      </c>
      <c r="P58" s="5">
        <v>1</v>
      </c>
      <c r="Q58" s="5">
        <v>1</v>
      </c>
      <c r="R58" s="5">
        <v>0</v>
      </c>
      <c r="S58" s="5">
        <v>0</v>
      </c>
      <c r="T58" s="5">
        <v>0</v>
      </c>
      <c r="U58" s="5">
        <v>0</v>
      </c>
      <c r="V58" s="5">
        <v>1</v>
      </c>
      <c r="W58" s="17" t="s">
        <v>40</v>
      </c>
      <c r="X58" s="18" t="s">
        <v>41</v>
      </c>
    </row>
    <row r="59" spans="1:24" x14ac:dyDescent="0.15">
      <c r="A59" s="14" t="str">
        <f t="shared" ref="A59:A65" si="14">B59&amp;"_"&amp;E59&amp;"_"&amp;I59</f>
        <v>48004_2_full_member</v>
      </c>
      <c r="B59" s="20">
        <v>48004</v>
      </c>
      <c r="C59" s="3" t="str">
        <f ca="1">VLOOKUP($B59,OFFSET([1]quests!$A$1,0,0,COUNTA([1]quests!$A:$A),MATCH(C$1,[1]quests!$1:$1,0)-MATCH($B$1,[1]quests!$1:$1,0)+1),MATCH(C$1,[1]quests!$1:$1,0)-MATCH($B$1,[1]quests!$1:$1,0)+1,FALSE)</f>
        <v>蛟龍襲来！</v>
      </c>
      <c r="D59" s="3" t="str">
        <f ca="1">VLOOKUP($B59,OFFSET([1]quests!$A$1,0,0,COUNTA([1]quests!$A:$A),MATCH(D$1,[1]quests!$1:$1,0)-MATCH($B$1,[1]quests!$1:$1,0)+1),MATCH(D$1,[1]quests!$1:$1,0)-MATCH($B$1,[1]quests!$1:$1,0)+1,FALSE)</f>
        <v>台湾版降臨5</v>
      </c>
      <c r="E59" s="5">
        <v>2</v>
      </c>
      <c r="F59" s="3" t="str">
        <f ca="1">VLOOKUP($B59&amp;"_"&amp;$E59,OFFSET([1]stages!$A$1,0,0,COUNTA([1]stages!$A:$A),MATCH(F$1,[1]stages!$2:$2,0)-MATCH("temp_stage",[1]stages!$2:$2,0)+1),MATCH(F$1,[1]stages!$2:$2,0)-MATCH("temp_stage",[1]stages!$2:$2,0)+1,FALSE)</f>
        <v>【ウィザード級】蛟龍襲来</v>
      </c>
      <c r="G59" s="3" t="str">
        <f ca="1">VLOOKUP($B59&amp;"_"&amp;$E59,OFFSET([1]stages!$A$1,0,0,COUNTA([1]stages!$A:$A),MATCH(G$1,[1]stages!$2:$2,0)-MATCH("temp_stage",[1]stages!$2:$2,0)+1),MATCH(G$1,[1]stages!$2:$2,0)-MATCH("temp_stage",[1]stages!$2:$2,0)+1,FALSE)</f>
        <v>台湾版降臨5</v>
      </c>
      <c r="H59" s="12" t="s">
        <v>14</v>
      </c>
      <c r="I59" s="5" t="s">
        <v>42</v>
      </c>
      <c r="J59" s="5">
        <v>1</v>
      </c>
      <c r="K59" s="5">
        <v>1000</v>
      </c>
      <c r="L59" s="5" t="s">
        <v>19</v>
      </c>
      <c r="M59" s="5">
        <v>8003</v>
      </c>
      <c r="N59" s="15" t="str">
        <f ca="1">IF(L59="unit",VLOOKUP($M59,OFFSET([2]characters!$A$1,0,0,COUNTA([2]characters!$A:$A),MATCH(N$1,[2]characters!$1:$1,0)-MATCH("character_id",[2]characters!$1:$1,0)+1),MATCH(N$1,[2]characters!$1:$1,0)-MATCH("character_id",[2]characters!$1:$1,0)+1,FALSE),"")</f>
        <v>蛟龍</v>
      </c>
      <c r="O59" s="5">
        <v>1</v>
      </c>
      <c r="P59" s="5">
        <v>1</v>
      </c>
      <c r="Q59" s="5">
        <v>1</v>
      </c>
      <c r="R59" s="5">
        <v>0</v>
      </c>
      <c r="S59" s="5">
        <v>0</v>
      </c>
      <c r="T59" s="5">
        <v>0</v>
      </c>
      <c r="U59" s="5">
        <v>0</v>
      </c>
      <c r="V59" s="5">
        <v>1</v>
      </c>
      <c r="W59" s="17" t="s">
        <v>32</v>
      </c>
      <c r="X59" s="18" t="s">
        <v>33</v>
      </c>
    </row>
    <row r="60" spans="1:24" x14ac:dyDescent="0.15">
      <c r="A60" s="14" t="str">
        <f t="shared" si="14"/>
        <v>48005_2_full_member</v>
      </c>
      <c r="B60" s="20">
        <v>48005</v>
      </c>
      <c r="C60" s="3" t="str">
        <f ca="1">VLOOKUP($B60,OFFSET([1]quests!$A$1,0,0,COUNTA([1]quests!$A:$A),MATCH(C$1,[1]quests!$1:$1,0)-MATCH($B$1,[1]quests!$1:$1,0)+1),MATCH(C$1,[1]quests!$1:$1,0)-MATCH($B$1,[1]quests!$1:$1,0)+1,FALSE)</f>
        <v>孫悟空襲来！</v>
      </c>
      <c r="D60" s="3" t="str">
        <f ca="1">VLOOKUP($B60,OFFSET([1]quests!$A$1,0,0,COUNTA([1]quests!$A:$A),MATCH(D$1,[1]quests!$1:$1,0)-MATCH($B$1,[1]quests!$1:$1,0)+1),MATCH(D$1,[1]quests!$1:$1,0)-MATCH($B$1,[1]quests!$1:$1,0)+1,FALSE)</f>
        <v>台湾版降臨6</v>
      </c>
      <c r="E60" s="5">
        <v>2</v>
      </c>
      <c r="F60" s="3" t="str">
        <f ca="1">VLOOKUP($B60&amp;"_"&amp;$E60,OFFSET([1]stages!$A$1,0,0,COUNTA([1]stages!$A:$A),MATCH(F$1,[1]stages!$2:$2,0)-MATCH("temp_stage",[1]stages!$2:$2,0)+1),MATCH(F$1,[1]stages!$2:$2,0)-MATCH("temp_stage",[1]stages!$2:$2,0)+1,FALSE)</f>
        <v>【ウィザード級】孫悟空襲来</v>
      </c>
      <c r="G60" s="3" t="str">
        <f ca="1">VLOOKUP($B60&amp;"_"&amp;$E60,OFFSET([1]stages!$A$1,0,0,COUNTA([1]stages!$A:$A),MATCH(G$1,[1]stages!$2:$2,0)-MATCH("temp_stage",[1]stages!$2:$2,0)+1),MATCH(G$1,[1]stages!$2:$2,0)-MATCH("temp_stage",[1]stages!$2:$2,0)+1,FALSE)</f>
        <v>台湾版降臨6</v>
      </c>
      <c r="H60" s="12" t="s">
        <v>14</v>
      </c>
      <c r="I60" s="5" t="s">
        <v>42</v>
      </c>
      <c r="J60" s="5">
        <v>1</v>
      </c>
      <c r="K60" s="5">
        <v>1000</v>
      </c>
      <c r="L60" s="5" t="s">
        <v>19</v>
      </c>
      <c r="M60" s="5">
        <v>8007</v>
      </c>
      <c r="N60" s="15" t="str">
        <f ca="1">IF(L60="unit",VLOOKUP($M60,OFFSET([2]characters!$A$1,0,0,COUNTA([2]characters!$A:$A),MATCH(N$1,[2]characters!$1:$1,0)-MATCH("character_id",[2]characters!$1:$1,0)+1),MATCH(N$1,[2]characters!$1:$1,0)-MATCH("character_id",[2]characters!$1:$1,0)+1,FALSE),"")</f>
        <v>孫悟空</v>
      </c>
      <c r="O60" s="5">
        <v>1</v>
      </c>
      <c r="P60" s="5">
        <v>1</v>
      </c>
      <c r="Q60" s="5">
        <v>1</v>
      </c>
      <c r="R60" s="5">
        <v>0</v>
      </c>
      <c r="S60" s="5">
        <v>0</v>
      </c>
      <c r="T60" s="5">
        <v>0</v>
      </c>
      <c r="U60" s="5">
        <v>0</v>
      </c>
      <c r="V60" s="5">
        <v>1</v>
      </c>
      <c r="W60" s="17" t="s">
        <v>32</v>
      </c>
      <c r="X60" s="18" t="s">
        <v>33</v>
      </c>
    </row>
    <row r="61" spans="1:24" x14ac:dyDescent="0.15">
      <c r="A61" s="14" t="str">
        <f t="shared" si="14"/>
        <v>48003_2_full_member</v>
      </c>
      <c r="B61" s="4">
        <v>48003</v>
      </c>
      <c r="C61" s="3" t="str">
        <f ca="1">VLOOKUP($B61,OFFSET([1]quests!$A$1,0,0,COUNTA([1]quests!$A:$A),MATCH(C$1,[1]quests!$1:$1,0)-MATCH($B$1,[1]quests!$1:$1,0)+1),MATCH(C$1,[1]quests!$1:$1,0)-MATCH($B$1,[1]quests!$1:$1,0)+1,FALSE)</f>
        <v>月下老人襲来！</v>
      </c>
      <c r="D61" s="3" t="str">
        <f ca="1">VLOOKUP($B61,OFFSET([1]quests!$A$1,0,0,COUNTA([1]quests!$A:$A),MATCH(D$1,[1]quests!$1:$1,0)-MATCH($B$1,[1]quests!$1:$1,0)+1),MATCH(D$1,[1]quests!$1:$1,0)-MATCH($B$1,[1]quests!$1:$1,0)+1,FALSE)</f>
        <v>台湾版降臨4</v>
      </c>
      <c r="E61" s="5">
        <v>2</v>
      </c>
      <c r="F61" s="3" t="str">
        <f ca="1">VLOOKUP($B61&amp;"_"&amp;$E61,OFFSET([1]stages!$A$1,0,0,COUNTA([1]stages!$A:$A),MATCH(F$1,[1]stages!$2:$2,0)-MATCH("temp_stage",[1]stages!$2:$2,0)+1),MATCH(F$1,[1]stages!$2:$2,0)-MATCH("temp_stage",[1]stages!$2:$2,0)+1,FALSE)</f>
        <v>【ウィザード級】月下老人襲来</v>
      </c>
      <c r="G61" s="3" t="str">
        <f ca="1">VLOOKUP($B61&amp;"_"&amp;$E61,OFFSET([1]stages!$A$1,0,0,COUNTA([1]stages!$A:$A),MATCH(G$1,[1]stages!$2:$2,0)-MATCH("temp_stage",[1]stages!$2:$2,0)+1),MATCH(G$1,[1]stages!$2:$2,0)-MATCH("temp_stage",[1]stages!$2:$2,0)+1,FALSE)</f>
        <v>台湾版降臨4</v>
      </c>
      <c r="H61" s="12" t="s">
        <v>14</v>
      </c>
      <c r="I61" s="5" t="s">
        <v>42</v>
      </c>
      <c r="J61" s="5">
        <v>1</v>
      </c>
      <c r="K61" s="5">
        <v>1000</v>
      </c>
      <c r="L61" s="5" t="s">
        <v>19</v>
      </c>
      <c r="M61" s="5">
        <v>8011</v>
      </c>
      <c r="N61" s="15" t="str">
        <f ca="1">IF(L61="unit",VLOOKUP($M61,OFFSET([2]characters!$A$1,0,0,COUNTA([2]characters!$A:$A),MATCH(N$1,[2]characters!$1:$1,0)-MATCH("character_id",[2]characters!$1:$1,0)+1),MATCH(N$1,[2]characters!$1:$1,0)-MATCH("character_id",[2]characters!$1:$1,0)+1,FALSE),"")</f>
        <v>月下老人</v>
      </c>
      <c r="O61" s="5">
        <v>1</v>
      </c>
      <c r="P61" s="5">
        <v>1</v>
      </c>
      <c r="Q61" s="5">
        <v>1</v>
      </c>
      <c r="R61" s="5">
        <v>0</v>
      </c>
      <c r="S61" s="5">
        <v>0</v>
      </c>
      <c r="T61" s="5">
        <v>0</v>
      </c>
      <c r="U61" s="5">
        <v>0</v>
      </c>
      <c r="V61" s="5">
        <v>1</v>
      </c>
      <c r="W61" s="17" t="s">
        <v>32</v>
      </c>
      <c r="X61" s="18" t="s">
        <v>33</v>
      </c>
    </row>
    <row r="62" spans="1:24" x14ac:dyDescent="0.15">
      <c r="A62" s="14" t="str">
        <f t="shared" si="14"/>
        <v>48006_2_full_member</v>
      </c>
      <c r="B62" s="4">
        <v>48006</v>
      </c>
      <c r="C62" s="3" t="str">
        <f ca="1">VLOOKUP($B62,OFFSET([1]quests!$A$1,0,0,COUNTA([1]quests!$A:$A),MATCH(C$1,[1]quests!$1:$1,0)-MATCH($B$1,[1]quests!$1:$1,0)+1),MATCH(C$1,[1]quests!$1:$1,0)-MATCH($B$1,[1]quests!$1:$1,0)+1,FALSE)</f>
        <v>牛頭馬面襲来！</v>
      </c>
      <c r="D62" s="3" t="str">
        <f ca="1">VLOOKUP($B62,OFFSET([1]quests!$A$1,0,0,COUNTA([1]quests!$A:$A),MATCH(D$1,[1]quests!$1:$1,0)-MATCH($B$1,[1]quests!$1:$1,0)+1),MATCH(D$1,[1]quests!$1:$1,0)-MATCH($B$1,[1]quests!$1:$1,0)+1,FALSE)</f>
        <v>台湾版降臨7</v>
      </c>
      <c r="E62" s="5">
        <v>2</v>
      </c>
      <c r="F62" s="3" t="str">
        <f ca="1">VLOOKUP($B62&amp;"_"&amp;$E62,OFFSET([1]stages!$A$1,0,0,COUNTA([1]stages!$A:$A),MATCH(F$1,[1]stages!$2:$2,0)-MATCH("temp_stage",[1]stages!$2:$2,0)+1),MATCH(F$1,[1]stages!$2:$2,0)-MATCH("temp_stage",[1]stages!$2:$2,0)+1,FALSE)</f>
        <v>【ウィザード級】牛頭馬面襲来</v>
      </c>
      <c r="G62" s="3" t="str">
        <f ca="1">VLOOKUP($B62&amp;"_"&amp;$E62,OFFSET([1]stages!$A$1,0,0,COUNTA([1]stages!$A:$A),MATCH(G$1,[1]stages!$2:$2,0)-MATCH("temp_stage",[1]stages!$2:$2,0)+1),MATCH(G$1,[1]stages!$2:$2,0)-MATCH("temp_stage",[1]stages!$2:$2,0)+1,FALSE)</f>
        <v>台湾版降臨7</v>
      </c>
      <c r="H62" s="12" t="s">
        <v>14</v>
      </c>
      <c r="I62" s="5" t="s">
        <v>42</v>
      </c>
      <c r="J62" s="5">
        <v>1</v>
      </c>
      <c r="K62" s="5">
        <v>1000</v>
      </c>
      <c r="L62" s="5" t="s">
        <v>19</v>
      </c>
      <c r="M62" s="5">
        <v>8033</v>
      </c>
      <c r="N62" s="15" t="str">
        <f ca="1">IF(L62="unit",VLOOKUP($M62,OFFSET([2]characters!$A$1,0,0,COUNTA([2]characters!$A:$A),MATCH(N$1,[2]characters!$1:$1,0)-MATCH("character_id",[2]characters!$1:$1,0)+1),MATCH(N$1,[2]characters!$1:$1,0)-MATCH("character_id",[2]characters!$1:$1,0)+1,FALSE),"")</f>
        <v>牛頭馬面</v>
      </c>
      <c r="O62" s="5">
        <v>1</v>
      </c>
      <c r="P62" s="5">
        <v>1</v>
      </c>
      <c r="Q62" s="5">
        <v>1</v>
      </c>
      <c r="R62" s="5">
        <v>0</v>
      </c>
      <c r="S62" s="5">
        <v>0</v>
      </c>
      <c r="T62" s="5">
        <v>0</v>
      </c>
      <c r="U62" s="5">
        <v>0</v>
      </c>
      <c r="V62" s="5">
        <v>1</v>
      </c>
      <c r="W62" s="17" t="s">
        <v>40</v>
      </c>
      <c r="X62" s="18" t="s">
        <v>41</v>
      </c>
    </row>
    <row r="63" spans="1:24" x14ac:dyDescent="0.15">
      <c r="A63" s="14" t="str">
        <f t="shared" si="14"/>
        <v>51001_1_full_member</v>
      </c>
      <c r="B63" s="20">
        <v>51001</v>
      </c>
      <c r="C63" s="3" t="str">
        <f ca="1">VLOOKUP($B63,OFFSET([1]quests!$A$1,0,0,COUNTA([1]quests!$A:$A),MATCH(C$1,[1]quests!$1:$1,0)-MATCH($B$1,[1]quests!$1:$1,0)+1),MATCH(C$1,[1]quests!$1:$1,0)-MATCH($B$1,[1]quests!$1:$1,0)+1,FALSE)</f>
        <v>麒麟襲来！</v>
      </c>
      <c r="D63" s="3" t="str">
        <f ca="1">VLOOKUP($B63,OFFSET([1]quests!$A$1,0,0,COUNTA([1]quests!$A:$A),MATCH(D$1,[1]quests!$1:$1,0)-MATCH($B$1,[1]quests!$1:$1,0)+1),MATCH(D$1,[1]quests!$1:$1,0)-MATCH($B$1,[1]quests!$1:$1,0)+1,FALSE)</f>
        <v>超降臨1</v>
      </c>
      <c r="E63" s="5">
        <v>1</v>
      </c>
      <c r="F63" s="3" t="str">
        <f ca="1">VLOOKUP($B63&amp;"_"&amp;$E63,OFFSET([1]stages!$A$1,0,0,COUNTA([1]stages!$A:$A),MATCH(F$1,[1]stages!$2:$2,0)-MATCH("temp_stage",[1]stages!$2:$2,0)+1),MATCH(F$1,[1]stages!$2:$2,0)-MATCH("temp_stage",[1]stages!$2:$2,0)+1,FALSE)</f>
        <v xml:space="preserve">【超ウィザード級】麒麟襲来 </v>
      </c>
      <c r="G63" s="3" t="str">
        <f ca="1">VLOOKUP($B63&amp;"_"&amp;$E63,OFFSET([1]stages!$A$1,0,0,COUNTA([1]stages!$A:$A),MATCH(G$1,[1]stages!$2:$2,0)-MATCH("temp_stage",[1]stages!$2:$2,0)+1),MATCH(G$1,[1]stages!$2:$2,0)-MATCH("temp_stage",[1]stages!$2:$2,0)+1,FALSE)</f>
        <v>超降臨1</v>
      </c>
      <c r="H63" s="12" t="s">
        <v>14</v>
      </c>
      <c r="I63" s="5" t="s">
        <v>42</v>
      </c>
      <c r="J63" s="5">
        <v>1</v>
      </c>
      <c r="K63" s="5">
        <v>1000</v>
      </c>
      <c r="L63" s="5" t="s">
        <v>19</v>
      </c>
      <c r="M63" s="21">
        <v>432</v>
      </c>
      <c r="N63" s="15" t="str">
        <f ca="1">IF(L63="unit",VLOOKUP($M63,OFFSET([2]characters!$A$1,0,0,COUNTA([2]characters!$A:$A),MATCH(N$1,[2]characters!$1:$1,0)-MATCH("character_id",[2]characters!$1:$1,0)+1),MATCH(N$1,[2]characters!$1:$1,0)-MATCH("character_id",[2]characters!$1:$1,0)+1,FALSE),"")</f>
        <v>麒麟</v>
      </c>
      <c r="O63" s="5">
        <v>1</v>
      </c>
      <c r="P63" s="5">
        <v>1</v>
      </c>
      <c r="Q63" s="5">
        <v>1</v>
      </c>
      <c r="R63" s="5">
        <v>0</v>
      </c>
      <c r="S63" s="5">
        <v>0</v>
      </c>
      <c r="T63" s="5">
        <v>0</v>
      </c>
      <c r="U63" s="5">
        <v>0</v>
      </c>
      <c r="V63" s="5">
        <v>1</v>
      </c>
      <c r="W63" s="17" t="s">
        <v>32</v>
      </c>
      <c r="X63" s="18" t="s">
        <v>33</v>
      </c>
    </row>
    <row r="64" spans="1:24" x14ac:dyDescent="0.15">
      <c r="A64" s="14" t="str">
        <f t="shared" si="14"/>
        <v>51002_1_full_member</v>
      </c>
      <c r="B64" s="20">
        <v>51002</v>
      </c>
      <c r="C64" s="3" t="str">
        <f ca="1">VLOOKUP($B64,OFFSET([1]quests!$A$1,0,0,COUNTA([1]quests!$A:$A),MATCH(C$1,[1]quests!$1:$1,0)-MATCH($B$1,[1]quests!$1:$1,0)+1),MATCH(C$1,[1]quests!$1:$1,0)-MATCH($B$1,[1]quests!$1:$1,0)+1,FALSE)</f>
        <v>オーディン襲来！</v>
      </c>
      <c r="D64" s="3" t="str">
        <f ca="1">VLOOKUP($B64,OFFSET([1]quests!$A$1,0,0,COUNTA([1]quests!$A:$A),MATCH(D$1,[1]quests!$1:$1,0)-MATCH($B$1,[1]quests!$1:$1,0)+1),MATCH(D$1,[1]quests!$1:$1,0)-MATCH($B$1,[1]quests!$1:$1,0)+1,FALSE)</f>
        <v>超降臨2</v>
      </c>
      <c r="E64" s="5">
        <v>1</v>
      </c>
      <c r="F64" s="3" t="str">
        <f ca="1">VLOOKUP($B64&amp;"_"&amp;$E64,OFFSET([1]stages!$A$1,0,0,COUNTA([1]stages!$A:$A),MATCH(F$1,[1]stages!$2:$2,0)-MATCH("temp_stage",[1]stages!$2:$2,0)+1),MATCH(F$1,[1]stages!$2:$2,0)-MATCH("temp_stage",[1]stages!$2:$2,0)+1,FALSE)</f>
        <v>【超ウィザード級】オーディン襲来</v>
      </c>
      <c r="G64" s="3" t="str">
        <f ca="1">VLOOKUP($B64&amp;"_"&amp;$E64,OFFSET([1]stages!$A$1,0,0,COUNTA([1]stages!$A:$A),MATCH(G$1,[1]stages!$2:$2,0)-MATCH("temp_stage",[1]stages!$2:$2,0)+1),MATCH(G$1,[1]stages!$2:$2,0)-MATCH("temp_stage",[1]stages!$2:$2,0)+1,FALSE)</f>
        <v>超降臨2</v>
      </c>
      <c r="H64" s="12" t="s">
        <v>14</v>
      </c>
      <c r="I64" s="5" t="s">
        <v>42</v>
      </c>
      <c r="J64" s="5">
        <v>1</v>
      </c>
      <c r="K64" s="5">
        <v>1000</v>
      </c>
      <c r="L64" s="5" t="s">
        <v>19</v>
      </c>
      <c r="M64" s="21">
        <v>573</v>
      </c>
      <c r="N64" s="15" t="str">
        <f ca="1">IF(L64="unit",VLOOKUP($M64,OFFSET([2]characters!$A$1,0,0,COUNTA([2]characters!$A:$A),MATCH(N$1,[2]characters!$1:$1,0)-MATCH("character_id",[2]characters!$1:$1,0)+1),MATCH(N$1,[2]characters!$1:$1,0)-MATCH("character_id",[2]characters!$1:$1,0)+1,FALSE),"")</f>
        <v>オーディン</v>
      </c>
      <c r="O64" s="5">
        <v>1</v>
      </c>
      <c r="P64" s="5">
        <v>1</v>
      </c>
      <c r="Q64" s="5">
        <v>1</v>
      </c>
      <c r="R64" s="5">
        <v>0</v>
      </c>
      <c r="S64" s="5">
        <v>0</v>
      </c>
      <c r="T64" s="5">
        <v>0</v>
      </c>
      <c r="U64" s="5">
        <v>0</v>
      </c>
      <c r="V64" s="5">
        <v>1</v>
      </c>
      <c r="W64" s="17" t="s">
        <v>32</v>
      </c>
      <c r="X64" s="18" t="s">
        <v>33</v>
      </c>
    </row>
    <row r="65" spans="1:24" x14ac:dyDescent="0.15">
      <c r="A65" s="14" t="str">
        <f t="shared" si="14"/>
        <v>50003_1_full_member</v>
      </c>
      <c r="B65" s="20">
        <v>50003</v>
      </c>
      <c r="C65" s="3" t="str">
        <f ca="1">VLOOKUP($B65,OFFSET([1]quests!$A$1,0,0,COUNTA([1]quests!$A:$A),MATCH(C$1,[1]quests!$1:$1,0)-MATCH($B$1,[1]quests!$1:$1,0)+1),MATCH(C$1,[1]quests!$1:$1,0)-MATCH($B$1,[1]quests!$1:$1,0)+1,FALSE)</f>
        <v>織田信長襲来！</v>
      </c>
      <c r="D65" s="3" t="str">
        <f ca="1">VLOOKUP($B65,OFFSET([1]quests!$A$1,0,0,COUNTA([1]quests!$A:$A),MATCH(D$1,[1]quests!$1:$1,0)-MATCH($B$1,[1]quests!$1:$1,0)+1),MATCH(D$1,[1]quests!$1:$1,0)-MATCH($B$1,[1]quests!$1:$1,0)+1,FALSE)</f>
        <v>超降臨3</v>
      </c>
      <c r="E65" s="5">
        <v>1</v>
      </c>
      <c r="F65" s="3" t="str">
        <f ca="1">VLOOKUP($B65&amp;"_"&amp;$E65,OFFSET([1]stages!$A$1,0,0,COUNTA([1]stages!$A:$A),MATCH(F$1,[1]stages!$2:$2,0)-MATCH("temp_stage",[1]stages!$2:$2,0)+1),MATCH(F$1,[1]stages!$2:$2,0)-MATCH("temp_stage",[1]stages!$2:$2,0)+1,FALSE)</f>
        <v xml:space="preserve">【超ウィザード級】織田信長襲来 </v>
      </c>
      <c r="G65" s="3" t="str">
        <f ca="1">VLOOKUP($B65&amp;"_"&amp;$E65,OFFSET([1]stages!$A$1,0,0,COUNTA([1]stages!$A:$A),MATCH(G$1,[1]stages!$2:$2,0)-MATCH("temp_stage",[1]stages!$2:$2,0)+1),MATCH(G$1,[1]stages!$2:$2,0)-MATCH("temp_stage",[1]stages!$2:$2,0)+1,FALSE)</f>
        <v>超降臨3</v>
      </c>
      <c r="H65" s="12" t="s">
        <v>14</v>
      </c>
      <c r="I65" s="5" t="s">
        <v>42</v>
      </c>
      <c r="J65" s="5">
        <v>1</v>
      </c>
      <c r="K65" s="5">
        <v>1000</v>
      </c>
      <c r="L65" s="5" t="s">
        <v>19</v>
      </c>
      <c r="M65" s="21">
        <v>726</v>
      </c>
      <c r="N65" s="15" t="str">
        <f ca="1">IF(L65="unit",VLOOKUP($M65,OFFSET([2]characters!$A$1,0,0,COUNTA([2]characters!$A:$A),MATCH(N$1,[2]characters!$1:$1,0)-MATCH("character_id",[2]characters!$1:$1,0)+1),MATCH(N$1,[2]characters!$1:$1,0)-MATCH("character_id",[2]characters!$1:$1,0)+1,FALSE),"")</f>
        <v>織田信長</v>
      </c>
      <c r="O65" s="5">
        <v>1</v>
      </c>
      <c r="P65" s="5">
        <v>1</v>
      </c>
      <c r="Q65" s="5">
        <v>1</v>
      </c>
      <c r="R65" s="5">
        <v>0</v>
      </c>
      <c r="S65" s="5">
        <v>0</v>
      </c>
      <c r="T65" s="5">
        <v>0</v>
      </c>
      <c r="U65" s="5">
        <v>0</v>
      </c>
      <c r="V65" s="5">
        <v>1</v>
      </c>
      <c r="W65" s="17" t="s">
        <v>40</v>
      </c>
      <c r="X65" s="18" t="s">
        <v>41</v>
      </c>
    </row>
    <row r="66" spans="1:24" x14ac:dyDescent="0.15">
      <c r="A66" s="14" t="str">
        <f t="shared" ref="A66:A69" si="15">B66&amp;"_"&amp;E66&amp;"_"&amp;I66</f>
        <v>50004_1_full_member</v>
      </c>
      <c r="B66" s="20">
        <v>50004</v>
      </c>
      <c r="C66" s="3" t="str">
        <f ca="1">VLOOKUP($B66,OFFSET([1]quests!$A$1,0,0,COUNTA([1]quests!$A:$A),MATCH(C$1,[1]quests!$1:$1,0)-MATCH($B$1,[1]quests!$1:$1,0)+1),MATCH(C$1,[1]quests!$1:$1,0)-MATCH($B$1,[1]quests!$1:$1,0)+1,FALSE)</f>
        <v>ルシファー襲来！</v>
      </c>
      <c r="D66" s="3" t="str">
        <f ca="1">VLOOKUP($B66,OFFSET([1]quests!$A$1,0,0,COUNTA([1]quests!$A:$A),MATCH(D$1,[1]quests!$1:$1,0)-MATCH($B$1,[1]quests!$1:$1,0)+1),MATCH(D$1,[1]quests!$1:$1,0)-MATCH($B$1,[1]quests!$1:$1,0)+1,FALSE)</f>
        <v>超降臨4</v>
      </c>
      <c r="E66" s="5">
        <v>1</v>
      </c>
      <c r="F66" s="3" t="str">
        <f ca="1">VLOOKUP($B66&amp;"_"&amp;$E66,OFFSET([1]stages!$A$1,0,0,COUNTA([1]stages!$A:$A),MATCH(F$1,[1]stages!$2:$2,0)-MATCH("temp_stage",[1]stages!$2:$2,0)+1),MATCH(F$1,[1]stages!$2:$2,0)-MATCH("temp_stage",[1]stages!$2:$2,0)+1,FALSE)</f>
        <v xml:space="preserve">【超ウィザード級】ルシファー襲来 </v>
      </c>
      <c r="G66" s="3" t="str">
        <f ca="1">VLOOKUP($B66&amp;"_"&amp;$E66,OFFSET([1]stages!$A$1,0,0,COUNTA([1]stages!$A:$A),MATCH(G$1,[1]stages!$2:$2,0)-MATCH("temp_stage",[1]stages!$2:$2,0)+1),MATCH(G$1,[1]stages!$2:$2,0)-MATCH("temp_stage",[1]stages!$2:$2,0)+1,FALSE)</f>
        <v>超降臨4</v>
      </c>
      <c r="H66" s="12" t="s">
        <v>14</v>
      </c>
      <c r="I66" s="5" t="s">
        <v>42</v>
      </c>
      <c r="J66" s="5">
        <v>1</v>
      </c>
      <c r="K66" s="5">
        <v>1000</v>
      </c>
      <c r="L66" s="5" t="s">
        <v>19</v>
      </c>
      <c r="M66" s="21">
        <v>846</v>
      </c>
      <c r="N66" s="15" t="str">
        <f ca="1">IF(L66="unit",VLOOKUP($M66,OFFSET([2]characters!$A$1,0,0,COUNTA([2]characters!$A:$A),MATCH(N$1,[2]characters!$1:$1,0)-MATCH("character_id",[2]characters!$1:$1,0)+1),MATCH(N$1,[2]characters!$1:$1,0)-MATCH("character_id",[2]characters!$1:$1,0)+1,FALSE),"")</f>
        <v>ルシファー</v>
      </c>
      <c r="O66" s="5">
        <v>1</v>
      </c>
      <c r="P66" s="5">
        <v>1</v>
      </c>
      <c r="Q66" s="5">
        <v>1</v>
      </c>
      <c r="R66" s="5">
        <v>0</v>
      </c>
      <c r="S66" s="5">
        <v>0</v>
      </c>
      <c r="T66" s="5">
        <v>0</v>
      </c>
      <c r="U66" s="5">
        <v>0</v>
      </c>
      <c r="V66" s="5">
        <v>1</v>
      </c>
      <c r="W66" s="17" t="s">
        <v>32</v>
      </c>
      <c r="X66" s="18" t="s">
        <v>33</v>
      </c>
    </row>
    <row r="67" spans="1:24" x14ac:dyDescent="0.15">
      <c r="A67" s="14" t="str">
        <f t="shared" si="15"/>
        <v>50005_1_full_member</v>
      </c>
      <c r="B67" s="20">
        <v>50005</v>
      </c>
      <c r="C67" s="3" t="str">
        <f ca="1">VLOOKUP($B67,OFFSET([1]quests!$A$1,0,0,COUNTA([1]quests!$A:$A),MATCH(C$1,[1]quests!$1:$1,0)-MATCH($B$1,[1]quests!$1:$1,0)+1),MATCH(C$1,[1]quests!$1:$1,0)-MATCH($B$1,[1]quests!$1:$1,0)+1,FALSE)</f>
        <v>ゼウス襲来！</v>
      </c>
      <c r="D67" s="3" t="str">
        <f ca="1">VLOOKUP($B67,OFFSET([1]quests!$A$1,0,0,COUNTA([1]quests!$A:$A),MATCH(D$1,[1]quests!$1:$1,0)-MATCH($B$1,[1]quests!$1:$1,0)+1),MATCH(D$1,[1]quests!$1:$1,0)-MATCH($B$1,[1]quests!$1:$1,0)+1,FALSE)</f>
        <v>超降臨5</v>
      </c>
      <c r="E67" s="5">
        <v>1</v>
      </c>
      <c r="F67" s="3" t="str">
        <f ca="1">VLOOKUP($B67&amp;"_"&amp;$E67,OFFSET([1]stages!$A$1,0,0,COUNTA([1]stages!$A:$A),MATCH(F$1,[1]stages!$2:$2,0)-MATCH("temp_stage",[1]stages!$2:$2,0)+1),MATCH(F$1,[1]stages!$2:$2,0)-MATCH("temp_stage",[1]stages!$2:$2,0)+1,FALSE)</f>
        <v>【超ウィザード級】ゼウス襲来</v>
      </c>
      <c r="G67" s="3" t="str">
        <f ca="1">VLOOKUP($B67&amp;"_"&amp;$E67,OFFSET([1]stages!$A$1,0,0,COUNTA([1]stages!$A:$A),MATCH(G$1,[1]stages!$2:$2,0)-MATCH("temp_stage",[1]stages!$2:$2,0)+1),MATCH(G$1,[1]stages!$2:$2,0)-MATCH("temp_stage",[1]stages!$2:$2,0)+1,FALSE)</f>
        <v>超降臨5</v>
      </c>
      <c r="H67" s="12" t="s">
        <v>14</v>
      </c>
      <c r="I67" s="5" t="s">
        <v>42</v>
      </c>
      <c r="J67" s="5">
        <v>1</v>
      </c>
      <c r="K67" s="5">
        <v>1000</v>
      </c>
      <c r="L67" s="5" t="s">
        <v>19</v>
      </c>
      <c r="M67" s="21">
        <v>929</v>
      </c>
      <c r="N67" s="15" t="str">
        <f ca="1">IF(L67="unit",VLOOKUP($M67,OFFSET([2]characters!$A$1,0,0,COUNTA([2]characters!$A:$A),MATCH(N$1,[2]characters!$1:$1,0)-MATCH("character_id",[2]characters!$1:$1,0)+1),MATCH(N$1,[2]characters!$1:$1,0)-MATCH("character_id",[2]characters!$1:$1,0)+1,FALSE),"")</f>
        <v>ゼウス</v>
      </c>
      <c r="O67" s="5">
        <v>1</v>
      </c>
      <c r="P67" s="5">
        <v>1</v>
      </c>
      <c r="Q67" s="5">
        <v>1</v>
      </c>
      <c r="R67" s="5">
        <v>0</v>
      </c>
      <c r="S67" s="5">
        <v>0</v>
      </c>
      <c r="T67" s="5">
        <v>0</v>
      </c>
      <c r="U67" s="5">
        <v>0</v>
      </c>
      <c r="V67" s="5">
        <v>1</v>
      </c>
      <c r="W67" s="17" t="s">
        <v>32</v>
      </c>
      <c r="X67" s="18" t="s">
        <v>33</v>
      </c>
    </row>
    <row r="68" spans="1:24" x14ac:dyDescent="0.15">
      <c r="A68" s="14" t="str">
        <f t="shared" si="15"/>
        <v>50006_1_full_member</v>
      </c>
      <c r="B68" s="20">
        <v>50006</v>
      </c>
      <c r="C68" s="3" t="str">
        <f ca="1">VLOOKUP($B68,OFFSET([1]quests!$A$1,0,0,COUNTA([1]quests!$A:$A),MATCH(C$1,[1]quests!$1:$1,0)-MATCH($B$1,[1]quests!$1:$1,0)+1),MATCH(C$1,[1]quests!$1:$1,0)-MATCH($B$1,[1]quests!$1:$1,0)+1,FALSE)</f>
        <v>セト襲来！</v>
      </c>
      <c r="D68" s="3" t="str">
        <f ca="1">VLOOKUP($B68,OFFSET([1]quests!$A$1,0,0,COUNTA([1]quests!$A:$A),MATCH(D$1,[1]quests!$1:$1,0)-MATCH($B$1,[1]quests!$1:$1,0)+1),MATCH(D$1,[1]quests!$1:$1,0)-MATCH($B$1,[1]quests!$1:$1,0)+1,FALSE)</f>
        <v>超降臨6</v>
      </c>
      <c r="E68" s="5">
        <v>1</v>
      </c>
      <c r="F68" s="3" t="str">
        <f ca="1">VLOOKUP($B68&amp;"_"&amp;$E68,OFFSET([1]stages!$A$1,0,0,COUNTA([1]stages!$A:$A),MATCH(F$1,[1]stages!$2:$2,0)-MATCH("temp_stage",[1]stages!$2:$2,0)+1),MATCH(F$1,[1]stages!$2:$2,0)-MATCH("temp_stage",[1]stages!$2:$2,0)+1,FALSE)</f>
        <v>【超ウィザード級】セト襲来</v>
      </c>
      <c r="G68" s="3" t="str">
        <f ca="1">VLOOKUP($B68&amp;"_"&amp;$E68,OFFSET([1]stages!$A$1,0,0,COUNTA([1]stages!$A:$A),MATCH(G$1,[1]stages!$2:$2,0)-MATCH("temp_stage",[1]stages!$2:$2,0)+1),MATCH(G$1,[1]stages!$2:$2,0)-MATCH("temp_stage",[1]stages!$2:$2,0)+1,FALSE)</f>
        <v>超降臨6</v>
      </c>
      <c r="H68" s="12" t="s">
        <v>14</v>
      </c>
      <c r="I68" s="5" t="s">
        <v>42</v>
      </c>
      <c r="J68" s="5">
        <v>1</v>
      </c>
      <c r="K68" s="5">
        <v>1000</v>
      </c>
      <c r="L68" s="5" t="s">
        <v>19</v>
      </c>
      <c r="M68" s="21">
        <v>1010</v>
      </c>
      <c r="N68" s="15" t="str">
        <f ca="1">IF(L68="unit",VLOOKUP($M68,OFFSET([2]characters!$A$1,0,0,COUNTA([2]characters!$A:$A),MATCH(N$1,[2]characters!$1:$1,0)-MATCH("character_id",[2]characters!$1:$1,0)+1),MATCH(N$1,[2]characters!$1:$1,0)-MATCH("character_id",[2]characters!$1:$1,0)+1,FALSE),"")</f>
        <v>セト</v>
      </c>
      <c r="O68" s="5">
        <v>1</v>
      </c>
      <c r="P68" s="5">
        <v>1</v>
      </c>
      <c r="Q68" s="5">
        <v>1</v>
      </c>
      <c r="R68" s="5">
        <v>0</v>
      </c>
      <c r="S68" s="5">
        <v>0</v>
      </c>
      <c r="T68" s="5">
        <v>0</v>
      </c>
      <c r="U68" s="5">
        <v>0</v>
      </c>
      <c r="V68" s="5">
        <v>1</v>
      </c>
      <c r="W68" s="17" t="s">
        <v>32</v>
      </c>
      <c r="X68" s="18" t="s">
        <v>33</v>
      </c>
    </row>
    <row r="69" spans="1:24" x14ac:dyDescent="0.15">
      <c r="A69" s="14" t="str">
        <f t="shared" si="15"/>
        <v>50007_1_full_member</v>
      </c>
      <c r="B69" s="20">
        <v>50007</v>
      </c>
      <c r="C69" s="3" t="str">
        <f ca="1">VLOOKUP($B69,OFFSET([1]quests!$A$1,0,0,COUNTA([1]quests!$A:$A),MATCH(C$1,[1]quests!$1:$1,0)-MATCH($B$1,[1]quests!$1:$1,0)+1),MATCH(C$1,[1]quests!$1:$1,0)-MATCH($B$1,[1]quests!$1:$1,0)+1,FALSE)</f>
        <v>ギルガメッシュ襲来！</v>
      </c>
      <c r="D69" s="3" t="str">
        <f ca="1">VLOOKUP($B69,OFFSET([1]quests!$A$1,0,0,COUNTA([1]quests!$A:$A),MATCH(D$1,[1]quests!$1:$1,0)-MATCH($B$1,[1]quests!$1:$1,0)+1),MATCH(D$1,[1]quests!$1:$1,0)-MATCH($B$1,[1]quests!$1:$1,0)+1,FALSE)</f>
        <v>超降臨7</v>
      </c>
      <c r="E69" s="5">
        <v>1</v>
      </c>
      <c r="F69" s="3" t="str">
        <f ca="1">VLOOKUP($B69&amp;"_"&amp;$E69,OFFSET([1]stages!$A$1,0,0,COUNTA([1]stages!$A:$A),MATCH(F$1,[1]stages!$2:$2,0)-MATCH("temp_stage",[1]stages!$2:$2,0)+1),MATCH(F$1,[1]stages!$2:$2,0)-MATCH("temp_stage",[1]stages!$2:$2,0)+1,FALSE)</f>
        <v>【超ウィザ】ギルガメッシュ襲来</v>
      </c>
      <c r="G69" s="3" t="str">
        <f ca="1">VLOOKUP($B69&amp;"_"&amp;$E69,OFFSET([1]stages!$A$1,0,0,COUNTA([1]stages!$A:$A),MATCH(G$1,[1]stages!$2:$2,0)-MATCH("temp_stage",[1]stages!$2:$2,0)+1),MATCH(G$1,[1]stages!$2:$2,0)-MATCH("temp_stage",[1]stages!$2:$2,0)+1,FALSE)</f>
        <v>超降臨7</v>
      </c>
      <c r="H69" s="12" t="s">
        <v>14</v>
      </c>
      <c r="I69" s="5" t="s">
        <v>42</v>
      </c>
      <c r="J69" s="5">
        <v>1</v>
      </c>
      <c r="K69" s="5">
        <v>1000</v>
      </c>
      <c r="L69" s="5" t="s">
        <v>19</v>
      </c>
      <c r="M69" s="21">
        <v>1065</v>
      </c>
      <c r="N69" s="15" t="str">
        <f ca="1">IF(L69="unit",VLOOKUP($M69,OFFSET([2]characters!$A$1,0,0,COUNTA([2]characters!$A:$A),MATCH(N$1,[2]characters!$1:$1,0)-MATCH("character_id",[2]characters!$1:$1,0)+1),MATCH(N$1,[2]characters!$1:$1,0)-MATCH("character_id",[2]characters!$1:$1,0)+1,FALSE),"")</f>
        <v>ギルガメッシュ</v>
      </c>
      <c r="O69" s="5">
        <v>1</v>
      </c>
      <c r="P69" s="5">
        <v>1</v>
      </c>
      <c r="Q69" s="5">
        <v>1</v>
      </c>
      <c r="R69" s="5">
        <v>0</v>
      </c>
      <c r="S69" s="5">
        <v>0</v>
      </c>
      <c r="T69" s="5">
        <v>0</v>
      </c>
      <c r="U69" s="5">
        <v>0</v>
      </c>
      <c r="V69" s="5">
        <v>1</v>
      </c>
      <c r="W69" s="17" t="s">
        <v>40</v>
      </c>
      <c r="X69" s="18" t="s">
        <v>41</v>
      </c>
    </row>
    <row r="70" spans="1:24" x14ac:dyDescent="0.15">
      <c r="A70" s="14" t="str">
        <f t="shared" ref="A70:A80" si="16">B70&amp;"_"&amp;E70&amp;"_"&amp;I70</f>
        <v>11207_2_clear</v>
      </c>
      <c r="B70" s="4">
        <v>11207</v>
      </c>
      <c r="C70" s="3" t="str">
        <f ca="1">VLOOKUP($B70,OFFSET([1]quests!$A$1,0,0,COUNTA([1]quests!$A:$A),MATCH(C$1,[1]quests!$1:$1,0)-MATCH($B$1,[1]quests!$1:$1,0)+1),MATCH(C$1,[1]quests!$1:$1,0)-MATCH($B$1,[1]quests!$1:$1,0)+1,FALSE)</f>
        <v>果実達の大宴会</v>
      </c>
      <c r="D70" s="3">
        <f ca="1">VLOOKUP($B70,OFFSET([1]quests!$A$1,0,0,COUNTA([1]quests!$A:$A),MATCH(D$1,[1]quests!$1:$1,0)-MATCH($B$1,[1]quests!$1:$1,0)+1),MATCH(D$1,[1]quests!$1:$1,0)-MATCH($B$1,[1]quests!$1:$1,0)+1,FALSE)</f>
        <v>0</v>
      </c>
      <c r="E70" s="5">
        <v>2</v>
      </c>
      <c r="F70" s="3" t="str">
        <f ca="1">VLOOKUP($B70&amp;"_"&amp;$E70,OFFSET([1]stages!$A$1,0,0,COUNTA([1]stages!$A:$A),MATCH(F$1,[1]stages!$2:$2,0)-MATCH("temp_stage",[1]stages!$2:$2,0)+1),MATCH(F$1,[1]stages!$2:$2,0)-MATCH("temp_stage",[1]stages!$2:$2,0)+1,FALSE)</f>
        <v>【超級】果実達の大宴会</v>
      </c>
      <c r="G70" s="3">
        <f ca="1">VLOOKUP($B70&amp;"_"&amp;$E70,OFFSET([1]stages!$A$1,0,0,COUNTA([1]stages!$A:$A),MATCH(G$1,[1]stages!$2:$2,0)-MATCH("temp_stage",[1]stages!$2:$2,0)+1),MATCH(G$1,[1]stages!$2:$2,0)-MATCH("temp_stage",[1]stages!$2:$2,0)+1,FALSE)</f>
        <v>0</v>
      </c>
      <c r="H70" s="12" t="s">
        <v>43</v>
      </c>
      <c r="I70" s="5" t="s">
        <v>16</v>
      </c>
      <c r="J70" s="5">
        <v>1</v>
      </c>
      <c r="K70" s="5">
        <v>200</v>
      </c>
      <c r="L70" s="5" t="s">
        <v>19</v>
      </c>
      <c r="M70" s="5">
        <v>121</v>
      </c>
      <c r="N70" s="15" t="str">
        <f ca="1">IF(L70="unit",VLOOKUP($M70,OFFSET([2]characters!$A$1,0,0,COUNTA([2]characters!$A:$A),MATCH(N$1,[2]characters!$1:$1,0)-MATCH("character_id",[2]characters!$1:$1,0)+1),MATCH(N$1,[2]characters!$1:$1,0)-MATCH("character_id",[2]characters!$1:$1,0)+1,FALSE),"")</f>
        <v>攻めの果実</v>
      </c>
      <c r="O70" s="5">
        <v>1</v>
      </c>
      <c r="P70" s="5">
        <v>1</v>
      </c>
      <c r="Q70" s="5">
        <v>1</v>
      </c>
      <c r="R70" s="5">
        <v>0</v>
      </c>
      <c r="S70" s="5">
        <v>0</v>
      </c>
      <c r="T70" s="5">
        <v>0</v>
      </c>
      <c r="U70" s="5">
        <v>0</v>
      </c>
      <c r="V70" s="5">
        <v>1</v>
      </c>
      <c r="W70" s="17" t="s">
        <v>32</v>
      </c>
      <c r="X70" s="18" t="s">
        <v>33</v>
      </c>
    </row>
    <row r="71" spans="1:24" x14ac:dyDescent="0.15">
      <c r="A71" s="14" t="str">
        <f t="shared" si="16"/>
        <v>11207_2_clear</v>
      </c>
      <c r="B71" s="4">
        <v>11207</v>
      </c>
      <c r="C71" s="3" t="str">
        <f ca="1">VLOOKUP($B71,OFFSET([1]quests!$A$1,0,0,COUNTA([1]quests!$A:$A),MATCH(C$1,[1]quests!$1:$1,0)-MATCH($B$1,[1]quests!$1:$1,0)+1),MATCH(C$1,[1]quests!$1:$1,0)-MATCH($B$1,[1]quests!$1:$1,0)+1,FALSE)</f>
        <v>果実達の大宴会</v>
      </c>
      <c r="D71" s="3">
        <f ca="1">VLOOKUP($B71,OFFSET([1]quests!$A$1,0,0,COUNTA([1]quests!$A:$A),MATCH(D$1,[1]quests!$1:$1,0)-MATCH($B$1,[1]quests!$1:$1,0)+1),MATCH(D$1,[1]quests!$1:$1,0)-MATCH($B$1,[1]quests!$1:$1,0)+1,FALSE)</f>
        <v>0</v>
      </c>
      <c r="E71" s="5">
        <v>2</v>
      </c>
      <c r="F71" s="3" t="str">
        <f ca="1">VLOOKUP($B71&amp;"_"&amp;$E71,OFFSET([1]stages!$A$1,0,0,COUNTA([1]stages!$A:$A),MATCH(F$1,[1]stages!$2:$2,0)-MATCH("temp_stage",[1]stages!$2:$2,0)+1),MATCH(F$1,[1]stages!$2:$2,0)-MATCH("temp_stage",[1]stages!$2:$2,0)+1,FALSE)</f>
        <v>【超級】果実達の大宴会</v>
      </c>
      <c r="G71" s="3">
        <f ca="1">VLOOKUP($B71&amp;"_"&amp;$E71,OFFSET([1]stages!$A$1,0,0,COUNTA([1]stages!$A:$A),MATCH(G$1,[1]stages!$2:$2,0)-MATCH("temp_stage",[1]stages!$2:$2,0)+1),MATCH(G$1,[1]stages!$2:$2,0)-MATCH("temp_stage",[1]stages!$2:$2,0)+1,FALSE)</f>
        <v>0</v>
      </c>
      <c r="H71" s="12" t="s">
        <v>43</v>
      </c>
      <c r="I71" s="5" t="s">
        <v>16</v>
      </c>
      <c r="J71" s="5">
        <v>2</v>
      </c>
      <c r="K71" s="5">
        <v>200</v>
      </c>
      <c r="L71" s="5" t="s">
        <v>19</v>
      </c>
      <c r="M71" s="5">
        <v>122</v>
      </c>
      <c r="N71" s="15" t="str">
        <f ca="1">IF(L71="unit",VLOOKUP($M71,OFFSET([2]characters!$A$1,0,0,COUNTA([2]characters!$A:$A),MATCH(N$1,[2]characters!$1:$1,0)-MATCH("character_id",[2]characters!$1:$1,0)+1),MATCH(N$1,[2]characters!$1:$1,0)-MATCH("character_id",[2]characters!$1:$1,0)+1,FALSE),"")</f>
        <v>生命の果実</v>
      </c>
      <c r="O71" s="5">
        <v>1</v>
      </c>
      <c r="P71" s="5">
        <v>1</v>
      </c>
      <c r="Q71" s="5">
        <v>1</v>
      </c>
      <c r="R71" s="5">
        <v>0</v>
      </c>
      <c r="S71" s="5">
        <v>0</v>
      </c>
      <c r="T71" s="5">
        <v>0</v>
      </c>
      <c r="U71" s="5">
        <v>0</v>
      </c>
      <c r="V71" s="5">
        <v>1</v>
      </c>
      <c r="W71" s="17" t="s">
        <v>32</v>
      </c>
      <c r="X71" s="18" t="s">
        <v>33</v>
      </c>
    </row>
    <row r="72" spans="1:24" x14ac:dyDescent="0.15">
      <c r="A72" s="14" t="str">
        <f t="shared" si="16"/>
        <v>11207_2_clear</v>
      </c>
      <c r="B72" s="4">
        <v>11207</v>
      </c>
      <c r="C72" s="3" t="str">
        <f ca="1">VLOOKUP($B72,OFFSET([1]quests!$A$1,0,0,COUNTA([1]quests!$A:$A),MATCH(C$1,[1]quests!$1:$1,0)-MATCH($B$1,[1]quests!$1:$1,0)+1),MATCH(C$1,[1]quests!$1:$1,0)-MATCH($B$1,[1]quests!$1:$1,0)+1,FALSE)</f>
        <v>果実達の大宴会</v>
      </c>
      <c r="D72" s="3">
        <f ca="1">VLOOKUP($B72,OFFSET([1]quests!$A$1,0,0,COUNTA([1]quests!$A:$A),MATCH(D$1,[1]quests!$1:$1,0)-MATCH($B$1,[1]quests!$1:$1,0)+1),MATCH(D$1,[1]quests!$1:$1,0)-MATCH($B$1,[1]quests!$1:$1,0)+1,FALSE)</f>
        <v>0</v>
      </c>
      <c r="E72" s="5">
        <v>2</v>
      </c>
      <c r="F72" s="3" t="str">
        <f ca="1">VLOOKUP($B72&amp;"_"&amp;$E72,OFFSET([1]stages!$A$1,0,0,COUNTA([1]stages!$A:$A),MATCH(F$1,[1]stages!$2:$2,0)-MATCH("temp_stage",[1]stages!$2:$2,0)+1),MATCH(F$1,[1]stages!$2:$2,0)-MATCH("temp_stage",[1]stages!$2:$2,0)+1,FALSE)</f>
        <v>【超級】果実達の大宴会</v>
      </c>
      <c r="G72" s="3">
        <f ca="1">VLOOKUP($B72&amp;"_"&amp;$E72,OFFSET([1]stages!$A$1,0,0,COUNTA([1]stages!$A:$A),MATCH(G$1,[1]stages!$2:$2,0)-MATCH("temp_stage",[1]stages!$2:$2,0)+1),MATCH(G$1,[1]stages!$2:$2,0)-MATCH("temp_stage",[1]stages!$2:$2,0)+1,FALSE)</f>
        <v>0</v>
      </c>
      <c r="H72" s="12" t="s">
        <v>43</v>
      </c>
      <c r="I72" s="5" t="s">
        <v>16</v>
      </c>
      <c r="J72" s="5">
        <v>3</v>
      </c>
      <c r="K72" s="5">
        <v>200</v>
      </c>
      <c r="L72" s="5" t="s">
        <v>19</v>
      </c>
      <c r="M72" s="5">
        <v>123</v>
      </c>
      <c r="N72" s="15" t="str">
        <f ca="1">IF(L72="unit",VLOOKUP($M72,OFFSET([2]characters!$A$1,0,0,COUNTA([2]characters!$A:$A),MATCH(N$1,[2]characters!$1:$1,0)-MATCH("character_id",[2]characters!$1:$1,0)+1),MATCH(N$1,[2]characters!$1:$1,0)-MATCH("character_id",[2]characters!$1:$1,0)+1,FALSE),"")</f>
        <v>癒しの果実</v>
      </c>
      <c r="O72" s="5">
        <v>1</v>
      </c>
      <c r="P72" s="5">
        <v>1</v>
      </c>
      <c r="Q72" s="5">
        <v>1</v>
      </c>
      <c r="R72" s="5">
        <v>0</v>
      </c>
      <c r="S72" s="5">
        <v>0</v>
      </c>
      <c r="T72" s="5">
        <v>0</v>
      </c>
      <c r="U72" s="5">
        <v>0</v>
      </c>
      <c r="V72" s="5">
        <v>1</v>
      </c>
      <c r="W72" s="17" t="s">
        <v>32</v>
      </c>
      <c r="X72" s="18" t="s">
        <v>33</v>
      </c>
    </row>
    <row r="73" spans="1:24" x14ac:dyDescent="0.15">
      <c r="A73" s="14" t="str">
        <f t="shared" si="16"/>
        <v>11207_2_clear</v>
      </c>
      <c r="B73" s="4">
        <v>11207</v>
      </c>
      <c r="C73" s="3" t="str">
        <f ca="1">VLOOKUP($B73,OFFSET([1]quests!$A$1,0,0,COUNTA([1]quests!$A:$A),MATCH(C$1,[1]quests!$1:$1,0)-MATCH($B$1,[1]quests!$1:$1,0)+1),MATCH(C$1,[1]quests!$1:$1,0)-MATCH($B$1,[1]quests!$1:$1,0)+1,FALSE)</f>
        <v>果実達の大宴会</v>
      </c>
      <c r="D73" s="3">
        <f ca="1">VLOOKUP($B73,OFFSET([1]quests!$A$1,0,0,COUNTA([1]quests!$A:$A),MATCH(D$1,[1]quests!$1:$1,0)-MATCH($B$1,[1]quests!$1:$1,0)+1),MATCH(D$1,[1]quests!$1:$1,0)-MATCH($B$1,[1]quests!$1:$1,0)+1,FALSE)</f>
        <v>0</v>
      </c>
      <c r="E73" s="5">
        <v>2</v>
      </c>
      <c r="F73" s="3" t="str">
        <f ca="1">VLOOKUP($B73&amp;"_"&amp;$E73,OFFSET([1]stages!$A$1,0,0,COUNTA([1]stages!$A:$A),MATCH(F$1,[1]stages!$2:$2,0)-MATCH("temp_stage",[1]stages!$2:$2,0)+1),MATCH(F$1,[1]stages!$2:$2,0)-MATCH("temp_stage",[1]stages!$2:$2,0)+1,FALSE)</f>
        <v>【超級】果実達の大宴会</v>
      </c>
      <c r="G73" s="3">
        <f ca="1">VLOOKUP($B73&amp;"_"&amp;$E73,OFFSET([1]stages!$A$1,0,0,COUNTA([1]stages!$A:$A),MATCH(G$1,[1]stages!$2:$2,0)-MATCH("temp_stage",[1]stages!$2:$2,0)+1),MATCH(G$1,[1]stages!$2:$2,0)-MATCH("temp_stage",[1]stages!$2:$2,0)+1,FALSE)</f>
        <v>0</v>
      </c>
      <c r="H73" s="12" t="s">
        <v>43</v>
      </c>
      <c r="I73" s="5" t="s">
        <v>16</v>
      </c>
      <c r="J73" s="5">
        <v>4</v>
      </c>
      <c r="K73" s="5">
        <v>50</v>
      </c>
      <c r="L73" s="5" t="s">
        <v>19</v>
      </c>
      <c r="M73" s="5">
        <v>607</v>
      </c>
      <c r="N73" s="15" t="str">
        <f ca="1">IF(L73="unit",VLOOKUP($M73,OFFSET([2]characters!$A$1,0,0,COUNTA([2]characters!$A:$A),MATCH(N$1,[2]characters!$1:$1,0)-MATCH("character_id",[2]characters!$1:$1,0)+1),MATCH(N$1,[2]characters!$1:$1,0)-MATCH("character_id",[2]characters!$1:$1,0)+1,FALSE),"")</f>
        <v>メガ攻めの果実</v>
      </c>
      <c r="O73" s="5">
        <v>1</v>
      </c>
      <c r="P73" s="5">
        <v>1</v>
      </c>
      <c r="Q73" s="5">
        <v>1</v>
      </c>
      <c r="R73" s="5">
        <v>0</v>
      </c>
      <c r="S73" s="5">
        <v>0</v>
      </c>
      <c r="T73" s="5">
        <v>0</v>
      </c>
      <c r="U73" s="5">
        <v>0</v>
      </c>
      <c r="V73" s="5">
        <v>1</v>
      </c>
      <c r="W73" s="17" t="s">
        <v>32</v>
      </c>
      <c r="X73" s="18" t="s">
        <v>33</v>
      </c>
    </row>
    <row r="74" spans="1:24" x14ac:dyDescent="0.15">
      <c r="A74" s="14" t="str">
        <f t="shared" si="16"/>
        <v>11207_2_clear</v>
      </c>
      <c r="B74" s="4">
        <v>11207</v>
      </c>
      <c r="C74" s="3" t="str">
        <f ca="1">VLOOKUP($B74,OFFSET([1]quests!$A$1,0,0,COUNTA([1]quests!$A:$A),MATCH(C$1,[1]quests!$1:$1,0)-MATCH($B$1,[1]quests!$1:$1,0)+1),MATCH(C$1,[1]quests!$1:$1,0)-MATCH($B$1,[1]quests!$1:$1,0)+1,FALSE)</f>
        <v>果実達の大宴会</v>
      </c>
      <c r="D74" s="3">
        <f ca="1">VLOOKUP($B74,OFFSET([1]quests!$A$1,0,0,COUNTA([1]quests!$A:$A),MATCH(D$1,[1]quests!$1:$1,0)-MATCH($B$1,[1]quests!$1:$1,0)+1),MATCH(D$1,[1]quests!$1:$1,0)-MATCH($B$1,[1]quests!$1:$1,0)+1,FALSE)</f>
        <v>0</v>
      </c>
      <c r="E74" s="5">
        <v>2</v>
      </c>
      <c r="F74" s="3" t="str">
        <f ca="1">VLOOKUP($B74&amp;"_"&amp;$E74,OFFSET([1]stages!$A$1,0,0,COUNTA([1]stages!$A:$A),MATCH(F$1,[1]stages!$2:$2,0)-MATCH("temp_stage",[1]stages!$2:$2,0)+1),MATCH(F$1,[1]stages!$2:$2,0)-MATCH("temp_stage",[1]stages!$2:$2,0)+1,FALSE)</f>
        <v>【超級】果実達の大宴会</v>
      </c>
      <c r="G74" s="3">
        <f ca="1">VLOOKUP($B74&amp;"_"&amp;$E74,OFFSET([1]stages!$A$1,0,0,COUNTA([1]stages!$A:$A),MATCH(G$1,[1]stages!$2:$2,0)-MATCH("temp_stage",[1]stages!$2:$2,0)+1),MATCH(G$1,[1]stages!$2:$2,0)-MATCH("temp_stage",[1]stages!$2:$2,0)+1,FALSE)</f>
        <v>0</v>
      </c>
      <c r="H74" s="12" t="s">
        <v>43</v>
      </c>
      <c r="I74" s="5" t="s">
        <v>16</v>
      </c>
      <c r="J74" s="5">
        <v>5</v>
      </c>
      <c r="K74" s="5">
        <v>50</v>
      </c>
      <c r="L74" s="5" t="s">
        <v>19</v>
      </c>
      <c r="M74" s="5">
        <v>608</v>
      </c>
      <c r="N74" s="15" t="str">
        <f ca="1">IF(L74="unit",VLOOKUP($M74,OFFSET([2]characters!$A$1,0,0,COUNTA([2]characters!$A:$A),MATCH(N$1,[2]characters!$1:$1,0)-MATCH("character_id",[2]characters!$1:$1,0)+1),MATCH(N$1,[2]characters!$1:$1,0)-MATCH("character_id",[2]characters!$1:$1,0)+1,FALSE),"")</f>
        <v>メガ生命の果実</v>
      </c>
      <c r="O74" s="5">
        <v>1</v>
      </c>
      <c r="P74" s="5">
        <v>1</v>
      </c>
      <c r="Q74" s="5">
        <v>1</v>
      </c>
      <c r="R74" s="5">
        <v>0</v>
      </c>
      <c r="S74" s="5">
        <v>0</v>
      </c>
      <c r="T74" s="5">
        <v>0</v>
      </c>
      <c r="U74" s="5">
        <v>0</v>
      </c>
      <c r="V74" s="5">
        <v>1</v>
      </c>
      <c r="W74" s="17" t="s">
        <v>32</v>
      </c>
      <c r="X74" s="18" t="s">
        <v>33</v>
      </c>
    </row>
    <row r="75" spans="1:24" x14ac:dyDescent="0.15">
      <c r="A75" s="14" t="str">
        <f t="shared" si="16"/>
        <v>11207_2_clear</v>
      </c>
      <c r="B75" s="4">
        <v>11207</v>
      </c>
      <c r="C75" s="3" t="str">
        <f ca="1">VLOOKUP($B75,OFFSET([1]quests!$A$1,0,0,COUNTA([1]quests!$A:$A),MATCH(C$1,[1]quests!$1:$1,0)-MATCH($B$1,[1]quests!$1:$1,0)+1),MATCH(C$1,[1]quests!$1:$1,0)-MATCH($B$1,[1]quests!$1:$1,0)+1,FALSE)</f>
        <v>果実達の大宴会</v>
      </c>
      <c r="D75" s="3">
        <f ca="1">VLOOKUP($B75,OFFSET([1]quests!$A$1,0,0,COUNTA([1]quests!$A:$A),MATCH(D$1,[1]quests!$1:$1,0)-MATCH($B$1,[1]quests!$1:$1,0)+1),MATCH(D$1,[1]quests!$1:$1,0)-MATCH($B$1,[1]quests!$1:$1,0)+1,FALSE)</f>
        <v>0</v>
      </c>
      <c r="E75" s="5">
        <v>2</v>
      </c>
      <c r="F75" s="3" t="str">
        <f ca="1">VLOOKUP($B75&amp;"_"&amp;$E75,OFFSET([1]stages!$A$1,0,0,COUNTA([1]stages!$A:$A),MATCH(F$1,[1]stages!$2:$2,0)-MATCH("temp_stage",[1]stages!$2:$2,0)+1),MATCH(F$1,[1]stages!$2:$2,0)-MATCH("temp_stage",[1]stages!$2:$2,0)+1,FALSE)</f>
        <v>【超級】果実達の大宴会</v>
      </c>
      <c r="G75" s="3">
        <f ca="1">VLOOKUP($B75&amp;"_"&amp;$E75,OFFSET([1]stages!$A$1,0,0,COUNTA([1]stages!$A:$A),MATCH(G$1,[1]stages!$2:$2,0)-MATCH("temp_stage",[1]stages!$2:$2,0)+1),MATCH(G$1,[1]stages!$2:$2,0)-MATCH("temp_stage",[1]stages!$2:$2,0)+1,FALSE)</f>
        <v>0</v>
      </c>
      <c r="H75" s="12" t="s">
        <v>43</v>
      </c>
      <c r="I75" s="5" t="s">
        <v>16</v>
      </c>
      <c r="J75" s="5">
        <v>6</v>
      </c>
      <c r="K75" s="5">
        <v>50</v>
      </c>
      <c r="L75" s="5" t="s">
        <v>19</v>
      </c>
      <c r="M75" s="5">
        <v>609</v>
      </c>
      <c r="N75" s="15" t="str">
        <f ca="1">IF(L75="unit",VLOOKUP($M75,OFFSET([2]characters!$A$1,0,0,COUNTA([2]characters!$A:$A),MATCH(N$1,[2]characters!$1:$1,0)-MATCH("character_id",[2]characters!$1:$1,0)+1),MATCH(N$1,[2]characters!$1:$1,0)-MATCH("character_id",[2]characters!$1:$1,0)+1,FALSE),"")</f>
        <v>メガ癒しの果実</v>
      </c>
      <c r="O75" s="5">
        <v>1</v>
      </c>
      <c r="P75" s="5">
        <v>1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1</v>
      </c>
      <c r="W75" s="17" t="s">
        <v>32</v>
      </c>
      <c r="X75" s="18" t="s">
        <v>33</v>
      </c>
    </row>
    <row r="76" spans="1:24" x14ac:dyDescent="0.15">
      <c r="A76" s="14" t="str">
        <f t="shared" si="16"/>
        <v>11207_2_clear</v>
      </c>
      <c r="B76" s="4">
        <v>11207</v>
      </c>
      <c r="C76" s="3" t="str">
        <f ca="1">VLOOKUP($B76,OFFSET([1]quests!$A$1,0,0,COUNTA([1]quests!$A:$A),MATCH(C$1,[1]quests!$1:$1,0)-MATCH($B$1,[1]quests!$1:$1,0)+1),MATCH(C$1,[1]quests!$1:$1,0)-MATCH($B$1,[1]quests!$1:$1,0)+1,FALSE)</f>
        <v>果実達の大宴会</v>
      </c>
      <c r="D76" s="3">
        <f ca="1">VLOOKUP($B76,OFFSET([1]quests!$A$1,0,0,COUNTA([1]quests!$A:$A),MATCH(D$1,[1]quests!$1:$1,0)-MATCH($B$1,[1]quests!$1:$1,0)+1),MATCH(D$1,[1]quests!$1:$1,0)-MATCH($B$1,[1]quests!$1:$1,0)+1,FALSE)</f>
        <v>0</v>
      </c>
      <c r="E76" s="5">
        <v>2</v>
      </c>
      <c r="F76" s="3" t="str">
        <f ca="1">VLOOKUP($B76&amp;"_"&amp;$E76,OFFSET([1]stages!$A$1,0,0,COUNTA([1]stages!$A:$A),MATCH(F$1,[1]stages!$2:$2,0)-MATCH("temp_stage",[1]stages!$2:$2,0)+1),MATCH(F$1,[1]stages!$2:$2,0)-MATCH("temp_stage",[1]stages!$2:$2,0)+1,FALSE)</f>
        <v>【超級】果実達の大宴会</v>
      </c>
      <c r="G76" s="3">
        <f ca="1">VLOOKUP($B76&amp;"_"&amp;$E76,OFFSET([1]stages!$A$1,0,0,COUNTA([1]stages!$A:$A),MATCH(G$1,[1]stages!$2:$2,0)-MATCH("temp_stage",[1]stages!$2:$2,0)+1),MATCH(G$1,[1]stages!$2:$2,0)-MATCH("temp_stage",[1]stages!$2:$2,0)+1,FALSE)</f>
        <v>0</v>
      </c>
      <c r="H76" s="12" t="s">
        <v>43</v>
      </c>
      <c r="I76" s="5" t="s">
        <v>16</v>
      </c>
      <c r="J76" s="5">
        <v>7</v>
      </c>
      <c r="K76" s="5">
        <v>10</v>
      </c>
      <c r="L76" s="5" t="s">
        <v>19</v>
      </c>
      <c r="M76" s="5">
        <v>611</v>
      </c>
      <c r="N76" s="15" t="str">
        <f ca="1">IF(L76="unit",VLOOKUP($M76,OFFSET([2]characters!$A$1,0,0,COUNTA([2]characters!$A:$A),MATCH(N$1,[2]characters!$1:$1,0)-MATCH("character_id",[2]characters!$1:$1,0)+1),MATCH(N$1,[2]characters!$1:$1,0)-MATCH("character_id",[2]characters!$1:$1,0)+1,FALSE),"")</f>
        <v>ギガ攻めの果実</v>
      </c>
      <c r="O76" s="5">
        <v>1</v>
      </c>
      <c r="P76" s="5">
        <v>1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1</v>
      </c>
      <c r="W76" s="17" t="s">
        <v>32</v>
      </c>
      <c r="X76" s="18" t="s">
        <v>33</v>
      </c>
    </row>
    <row r="77" spans="1:24" x14ac:dyDescent="0.15">
      <c r="A77" s="14" t="str">
        <f t="shared" si="16"/>
        <v>11207_2_clear</v>
      </c>
      <c r="B77" s="4">
        <v>11207</v>
      </c>
      <c r="C77" s="3" t="str">
        <f ca="1">VLOOKUP($B77,OFFSET([1]quests!$A$1,0,0,COUNTA([1]quests!$A:$A),MATCH(C$1,[1]quests!$1:$1,0)-MATCH($B$1,[1]quests!$1:$1,0)+1),MATCH(C$1,[1]quests!$1:$1,0)-MATCH($B$1,[1]quests!$1:$1,0)+1,FALSE)</f>
        <v>果実達の大宴会</v>
      </c>
      <c r="D77" s="3">
        <f ca="1">VLOOKUP($B77,OFFSET([1]quests!$A$1,0,0,COUNTA([1]quests!$A:$A),MATCH(D$1,[1]quests!$1:$1,0)-MATCH($B$1,[1]quests!$1:$1,0)+1),MATCH(D$1,[1]quests!$1:$1,0)-MATCH($B$1,[1]quests!$1:$1,0)+1,FALSE)</f>
        <v>0</v>
      </c>
      <c r="E77" s="5">
        <v>2</v>
      </c>
      <c r="F77" s="3" t="str">
        <f ca="1">VLOOKUP($B77&amp;"_"&amp;$E77,OFFSET([1]stages!$A$1,0,0,COUNTA([1]stages!$A:$A),MATCH(F$1,[1]stages!$2:$2,0)-MATCH("temp_stage",[1]stages!$2:$2,0)+1),MATCH(F$1,[1]stages!$2:$2,0)-MATCH("temp_stage",[1]stages!$2:$2,0)+1,FALSE)</f>
        <v>【超級】果実達の大宴会</v>
      </c>
      <c r="G77" s="3">
        <f ca="1">VLOOKUP($B77&amp;"_"&amp;$E77,OFFSET([1]stages!$A$1,0,0,COUNTA([1]stages!$A:$A),MATCH(G$1,[1]stages!$2:$2,0)-MATCH("temp_stage",[1]stages!$2:$2,0)+1),MATCH(G$1,[1]stages!$2:$2,0)-MATCH("temp_stage",[1]stages!$2:$2,0)+1,FALSE)</f>
        <v>0</v>
      </c>
      <c r="H77" s="12" t="s">
        <v>43</v>
      </c>
      <c r="I77" s="5" t="s">
        <v>16</v>
      </c>
      <c r="J77" s="5">
        <v>8</v>
      </c>
      <c r="K77" s="5">
        <v>10</v>
      </c>
      <c r="L77" s="5" t="s">
        <v>19</v>
      </c>
      <c r="M77" s="5">
        <v>612</v>
      </c>
      <c r="N77" s="15" t="str">
        <f ca="1">IF(L77="unit",VLOOKUP($M77,OFFSET([2]characters!$A$1,0,0,COUNTA([2]characters!$A:$A),MATCH(N$1,[2]characters!$1:$1,0)-MATCH("character_id",[2]characters!$1:$1,0)+1),MATCH(N$1,[2]characters!$1:$1,0)-MATCH("character_id",[2]characters!$1:$1,0)+1,FALSE),"")</f>
        <v>ギガ生命の果実</v>
      </c>
      <c r="O77" s="5">
        <v>1</v>
      </c>
      <c r="P77" s="5">
        <v>1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W77" s="17" t="s">
        <v>32</v>
      </c>
      <c r="X77" s="18" t="s">
        <v>33</v>
      </c>
    </row>
    <row r="78" spans="1:24" x14ac:dyDescent="0.15">
      <c r="A78" s="14" t="str">
        <f t="shared" si="16"/>
        <v>11207_2_clear</v>
      </c>
      <c r="B78" s="4">
        <v>11207</v>
      </c>
      <c r="C78" s="3" t="str">
        <f ca="1">VLOOKUP($B78,OFFSET([1]quests!$A$1,0,0,COUNTA([1]quests!$A:$A),MATCH(C$1,[1]quests!$1:$1,0)-MATCH($B$1,[1]quests!$1:$1,0)+1),MATCH(C$1,[1]quests!$1:$1,0)-MATCH($B$1,[1]quests!$1:$1,0)+1,FALSE)</f>
        <v>果実達の大宴会</v>
      </c>
      <c r="D78" s="3">
        <f ca="1">VLOOKUP($B78,OFFSET([1]quests!$A$1,0,0,COUNTA([1]quests!$A:$A),MATCH(D$1,[1]quests!$1:$1,0)-MATCH($B$1,[1]quests!$1:$1,0)+1),MATCH(D$1,[1]quests!$1:$1,0)-MATCH($B$1,[1]quests!$1:$1,0)+1,FALSE)</f>
        <v>0</v>
      </c>
      <c r="E78" s="5">
        <v>2</v>
      </c>
      <c r="F78" s="3" t="str">
        <f ca="1">VLOOKUP($B78&amp;"_"&amp;$E78,OFFSET([1]stages!$A$1,0,0,COUNTA([1]stages!$A:$A),MATCH(F$1,[1]stages!$2:$2,0)-MATCH("temp_stage",[1]stages!$2:$2,0)+1),MATCH(F$1,[1]stages!$2:$2,0)-MATCH("temp_stage",[1]stages!$2:$2,0)+1,FALSE)</f>
        <v>【超級】果実達の大宴会</v>
      </c>
      <c r="G78" s="3">
        <f ca="1">VLOOKUP($B78&amp;"_"&amp;$E78,OFFSET([1]stages!$A$1,0,0,COUNTA([1]stages!$A:$A),MATCH(G$1,[1]stages!$2:$2,0)-MATCH("temp_stage",[1]stages!$2:$2,0)+1),MATCH(G$1,[1]stages!$2:$2,0)-MATCH("temp_stage",[1]stages!$2:$2,0)+1,FALSE)</f>
        <v>0</v>
      </c>
      <c r="H78" s="12" t="s">
        <v>43</v>
      </c>
      <c r="I78" s="5" t="s">
        <v>16</v>
      </c>
      <c r="J78" s="5">
        <v>9</v>
      </c>
      <c r="K78" s="5">
        <v>10</v>
      </c>
      <c r="L78" s="5" t="s">
        <v>19</v>
      </c>
      <c r="M78" s="5">
        <v>613</v>
      </c>
      <c r="N78" s="15" t="str">
        <f ca="1">IF(L78="unit",VLOOKUP($M78,OFFSET([2]characters!$A$1,0,0,COUNTA([2]characters!$A:$A),MATCH(N$1,[2]characters!$1:$1,0)-MATCH("character_id",[2]characters!$1:$1,0)+1),MATCH(N$1,[2]characters!$1:$1,0)-MATCH("character_id",[2]characters!$1:$1,0)+1,FALSE),"")</f>
        <v>ギガ癒しの果実</v>
      </c>
      <c r="O78" s="5">
        <v>1</v>
      </c>
      <c r="P78" s="5">
        <v>1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W78" s="17" t="s">
        <v>32</v>
      </c>
      <c r="X78" s="18" t="s">
        <v>33</v>
      </c>
    </row>
    <row r="79" spans="1:24" x14ac:dyDescent="0.15">
      <c r="A79" s="14" t="str">
        <f t="shared" si="16"/>
        <v>11207_2_clear</v>
      </c>
      <c r="B79" s="4">
        <v>11207</v>
      </c>
      <c r="C79" s="3" t="str">
        <f ca="1">VLOOKUP($B79,OFFSET([1]quests!$A$1,0,0,COUNTA([1]quests!$A:$A),MATCH(C$1,[1]quests!$1:$1,0)-MATCH($B$1,[1]quests!$1:$1,0)+1),MATCH(C$1,[1]quests!$1:$1,0)-MATCH($B$1,[1]quests!$1:$1,0)+1,FALSE)</f>
        <v>果実達の大宴会</v>
      </c>
      <c r="D79" s="3">
        <f ca="1">VLOOKUP($B79,OFFSET([1]quests!$A$1,0,0,COUNTA([1]quests!$A:$A),MATCH(D$1,[1]quests!$1:$1,0)-MATCH($B$1,[1]quests!$1:$1,0)+1),MATCH(D$1,[1]quests!$1:$1,0)-MATCH($B$1,[1]quests!$1:$1,0)+1,FALSE)</f>
        <v>0</v>
      </c>
      <c r="E79" s="5">
        <v>2</v>
      </c>
      <c r="F79" s="3" t="str">
        <f ca="1">VLOOKUP($B79&amp;"_"&amp;$E79,OFFSET([1]stages!$A$1,0,0,COUNTA([1]stages!$A:$A),MATCH(F$1,[1]stages!$2:$2,0)-MATCH("temp_stage",[1]stages!$2:$2,0)+1),MATCH(F$1,[1]stages!$2:$2,0)-MATCH("temp_stage",[1]stages!$2:$2,0)+1,FALSE)</f>
        <v>【超級】果実達の大宴会</v>
      </c>
      <c r="G79" s="3">
        <f ca="1">VLOOKUP($B79&amp;"_"&amp;$E79,OFFSET([1]stages!$A$1,0,0,COUNTA([1]stages!$A:$A),MATCH(G$1,[1]stages!$2:$2,0)-MATCH("temp_stage",[1]stages!$2:$2,0)+1),MATCH(G$1,[1]stages!$2:$2,0)-MATCH("temp_stage",[1]stages!$2:$2,0)+1,FALSE)</f>
        <v>0</v>
      </c>
      <c r="H79" s="12" t="s">
        <v>43</v>
      </c>
      <c r="I79" s="5" t="s">
        <v>16</v>
      </c>
      <c r="J79" s="5">
        <v>10</v>
      </c>
      <c r="K79" s="5">
        <v>170</v>
      </c>
      <c r="L79" s="5" t="s">
        <v>19</v>
      </c>
      <c r="M79" s="5">
        <v>125</v>
      </c>
      <c r="N79" s="15" t="str">
        <f ca="1">IF(L79="unit",VLOOKUP($M79,OFFSET([2]characters!$A$1,0,0,COUNTA([2]characters!$A:$A),MATCH(N$1,[2]characters!$1:$1,0)-MATCH("character_id",[2]characters!$1:$1,0)+1),MATCH(N$1,[2]characters!$1:$1,0)-MATCH("character_id",[2]characters!$1:$1,0)+1,FALSE),"")</f>
        <v>秘術の果実</v>
      </c>
      <c r="O79" s="5">
        <v>1</v>
      </c>
      <c r="P79" s="5">
        <v>1</v>
      </c>
      <c r="Q79" s="5">
        <v>1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W79" s="17" t="s">
        <v>32</v>
      </c>
      <c r="X79" s="18" t="s">
        <v>33</v>
      </c>
    </row>
    <row r="80" spans="1:24" x14ac:dyDescent="0.15">
      <c r="A80" s="14" t="str">
        <f t="shared" si="16"/>
        <v>11207_2_clear</v>
      </c>
      <c r="B80" s="4">
        <v>11207</v>
      </c>
      <c r="C80" s="3" t="str">
        <f ca="1">VLOOKUP($B80,OFFSET([1]quests!$A$1,0,0,COUNTA([1]quests!$A:$A),MATCH(C$1,[1]quests!$1:$1,0)-MATCH($B$1,[1]quests!$1:$1,0)+1),MATCH(C$1,[1]quests!$1:$1,0)-MATCH($B$1,[1]quests!$1:$1,0)+1,FALSE)</f>
        <v>果実達の大宴会</v>
      </c>
      <c r="D80" s="3">
        <f ca="1">VLOOKUP($B80,OFFSET([1]quests!$A$1,0,0,COUNTA([1]quests!$A:$A),MATCH(D$1,[1]quests!$1:$1,0)-MATCH($B$1,[1]quests!$1:$1,0)+1),MATCH(D$1,[1]quests!$1:$1,0)-MATCH($B$1,[1]quests!$1:$1,0)+1,FALSE)</f>
        <v>0</v>
      </c>
      <c r="E80" s="5">
        <v>2</v>
      </c>
      <c r="F80" s="3" t="str">
        <f ca="1">VLOOKUP($B80&amp;"_"&amp;$E80,OFFSET([1]stages!$A$1,0,0,COUNTA([1]stages!$A:$A),MATCH(F$1,[1]stages!$2:$2,0)-MATCH("temp_stage",[1]stages!$2:$2,0)+1),MATCH(F$1,[1]stages!$2:$2,0)-MATCH("temp_stage",[1]stages!$2:$2,0)+1,FALSE)</f>
        <v>【超級】果実達の大宴会</v>
      </c>
      <c r="G80" s="3">
        <f ca="1">VLOOKUP($B80&amp;"_"&amp;$E80,OFFSET([1]stages!$A$1,0,0,COUNTA([1]stages!$A:$A),MATCH(G$1,[1]stages!$2:$2,0)-MATCH("temp_stage",[1]stages!$2:$2,0)+1),MATCH(G$1,[1]stages!$2:$2,0)-MATCH("temp_stage",[1]stages!$2:$2,0)+1,FALSE)</f>
        <v>0</v>
      </c>
      <c r="H80" s="12" t="s">
        <v>43</v>
      </c>
      <c r="I80" s="5" t="s">
        <v>16</v>
      </c>
      <c r="J80" s="5">
        <v>11</v>
      </c>
      <c r="K80" s="5">
        <v>50</v>
      </c>
      <c r="L80" s="5" t="s">
        <v>19</v>
      </c>
      <c r="M80" s="5">
        <v>610</v>
      </c>
      <c r="N80" s="15" t="str">
        <f ca="1">IF(L80="unit",VLOOKUP($M80,OFFSET([2]characters!$A$1,0,0,COUNTA([2]characters!$A:$A),MATCH(N$1,[2]characters!$1:$1,0)-MATCH("character_id",[2]characters!$1:$1,0)+1),MATCH(N$1,[2]characters!$1:$1,0)-MATCH("character_id",[2]characters!$1:$1,0)+1,FALSE),"")</f>
        <v>メガ秘術の果実</v>
      </c>
      <c r="O80" s="5">
        <v>1</v>
      </c>
      <c r="P80" s="5">
        <v>1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W80" s="17" t="s">
        <v>32</v>
      </c>
      <c r="X80" s="18" t="s">
        <v>33</v>
      </c>
    </row>
    <row r="81" spans="1:24" x14ac:dyDescent="0.15">
      <c r="A81" s="14" t="str">
        <f t="shared" ref="A81:A82" si="17">B81&amp;"_"&amp;E81&amp;"_"&amp;I81</f>
        <v>1_4_clear</v>
      </c>
      <c r="B81" s="4">
        <v>1</v>
      </c>
      <c r="C81" s="3" t="str">
        <f ca="1">VLOOKUP($B81,OFFSET([1]quests!$A$1,0,0,COUNTA([1]quests!$A:$A),MATCH(C$1,[1]quests!$1:$1,0)-MATCH($B$1,[1]quests!$1:$1,0)+1),MATCH(C$1,[1]quests!$1:$1,0)-MATCH($B$1,[1]quests!$1:$1,0)+1,FALSE)</f>
        <v>1．ALICEの入り口</v>
      </c>
      <c r="D81" s="3" t="str">
        <f ca="1">VLOOKUP($B81,OFFSET([1]quests!$A$1,0,0,COUNTA([1]quests!$A:$A),MATCH(D$1,[1]quests!$1:$1,0)-MATCH($B$1,[1]quests!$1:$1,0)+1),MATCH(D$1,[1]quests!$1:$1,0)-MATCH($B$1,[1]quests!$1:$1,0)+1,FALSE)</f>
        <v>混色DL0</v>
      </c>
      <c r="E81" s="5">
        <v>4</v>
      </c>
      <c r="F81" s="3" t="str">
        <f ca="1">VLOOKUP($B81&amp;"_"&amp;$E81,OFFSET([1]stages!$A$1,0,0,COUNTA([1]stages!$A:$A),MATCH(F$1,[1]stages!$2:$2,0)-MATCH("temp_stage",[1]stages!$2:$2,0)+1),MATCH(F$1,[1]stages!$2:$2,0)-MATCH("temp_stage",[1]stages!$2:$2,0)+1,FALSE)</f>
        <v>1-4. 【1回のみ】ボーナスステージ</v>
      </c>
      <c r="G81" s="3" t="str">
        <f ca="1">VLOOKUP($B81&amp;"_"&amp;$E81,OFFSET([1]stages!$A$1,0,0,COUNTA([1]stages!$A:$A),MATCH(G$1,[1]stages!$2:$2,0)-MATCH("temp_stage",[1]stages!$2:$2,0)+1),MATCH(G$1,[1]stages!$2:$2,0)-MATCH("temp_stage",[1]stages!$2:$2,0)+1,FALSE)</f>
        <v>混色DL0</v>
      </c>
      <c r="H81" s="12" t="s">
        <v>43</v>
      </c>
      <c r="I81" s="5" t="s">
        <v>16</v>
      </c>
      <c r="J81" s="5">
        <v>1</v>
      </c>
      <c r="K81" s="5">
        <v>1000</v>
      </c>
      <c r="L81" s="5" t="s">
        <v>19</v>
      </c>
      <c r="M81" s="5">
        <v>631</v>
      </c>
      <c r="N81" s="15" t="str">
        <f ca="1">IF(L81="unit",VLOOKUP($M81,OFFSET([2]characters!$A$1,0,0,COUNTA([2]characters!$A:$A),MATCH(N$1,[2]characters!$1:$1,0)-MATCH("character_id",[2]characters!$1:$1,0)+1),MATCH(N$1,[2]characters!$1:$1,0)-MATCH("character_id",[2]characters!$1:$1,0)+1,FALSE),"")</f>
        <v>華恋なる宮護隊 パレ</v>
      </c>
      <c r="O81" s="5">
        <v>1</v>
      </c>
      <c r="P81" s="5">
        <v>40</v>
      </c>
      <c r="Q81" s="5">
        <v>1</v>
      </c>
      <c r="R81" s="5">
        <v>0</v>
      </c>
      <c r="S81" s="5">
        <v>0</v>
      </c>
      <c r="T81" s="5">
        <v>0</v>
      </c>
      <c r="U81" s="5">
        <v>0</v>
      </c>
      <c r="V81" s="5">
        <v>75</v>
      </c>
      <c r="W81" s="17" t="s">
        <v>32</v>
      </c>
      <c r="X81" s="18" t="s">
        <v>33</v>
      </c>
    </row>
    <row r="82" spans="1:24" x14ac:dyDescent="0.15">
      <c r="A82" s="14" t="str">
        <f t="shared" si="17"/>
        <v>3_4_clear</v>
      </c>
      <c r="B82" s="4">
        <v>3</v>
      </c>
      <c r="C82" s="3" t="str">
        <f ca="1">VLOOKUP($B82,OFFSET([1]quests!$A$1,0,0,COUNTA([1]quests!$A:$A),MATCH(C$1,[1]quests!$1:$1,0)-MATCH($B$1,[1]quests!$1:$1,0)+1),MATCH(C$1,[1]quests!$1:$1,0)-MATCH($B$1,[1]quests!$1:$1,0)+1,FALSE)</f>
        <v>3．グリーンモール</v>
      </c>
      <c r="D82" s="3" t="str">
        <f ca="1">VLOOKUP($B82,OFFSET([1]quests!$A$1,0,0,COUNTA([1]quests!$A:$A),MATCH(D$1,[1]quests!$1:$1,0)-MATCH($B$1,[1]quests!$1:$1,0)+1),MATCH(D$1,[1]quests!$1:$1,0)-MATCH($B$1,[1]quests!$1:$1,0)+1,FALSE)</f>
        <v>緑DL1</v>
      </c>
      <c r="E82" s="5">
        <v>4</v>
      </c>
      <c r="F82" s="3" t="str">
        <f ca="1">VLOOKUP($B82&amp;"_"&amp;$E82,OFFSET([1]stages!$A$1,0,0,COUNTA([1]stages!$A:$A),MATCH(F$1,[1]stages!$2:$2,0)-MATCH("temp_stage",[1]stages!$2:$2,0)+1),MATCH(F$1,[1]stages!$2:$2,0)-MATCH("temp_stage",[1]stages!$2:$2,0)+1,FALSE)</f>
        <v>3-4. 【1回のみ】ボーナスステージ</v>
      </c>
      <c r="G82" s="3" t="str">
        <f ca="1">VLOOKUP($B82&amp;"_"&amp;$E82,OFFSET([1]stages!$A$1,0,0,COUNTA([1]stages!$A:$A),MATCH(G$1,[1]stages!$2:$2,0)-MATCH("temp_stage",[1]stages!$2:$2,0)+1),MATCH(G$1,[1]stages!$2:$2,0)-MATCH("temp_stage",[1]stages!$2:$2,0)+1,FALSE)</f>
        <v>緑DL1</v>
      </c>
      <c r="H82" s="12" t="s">
        <v>43</v>
      </c>
      <c r="I82" s="5" t="s">
        <v>16</v>
      </c>
      <c r="J82" s="5">
        <v>1</v>
      </c>
      <c r="K82" s="5">
        <v>1000</v>
      </c>
      <c r="L82" s="5" t="s">
        <v>19</v>
      </c>
      <c r="M82" s="5">
        <v>569</v>
      </c>
      <c r="N82" s="15" t="str">
        <f ca="1">IF(L82="unit",VLOOKUP($M82,OFFSET([2]characters!$A$1,0,0,COUNTA([2]characters!$A:$A),MATCH(N$1,[2]characters!$1:$1,0)-MATCH("character_id",[2]characters!$1:$1,0)+1),MATCH(N$1,[2]characters!$1:$1,0)-MATCH("character_id",[2]characters!$1:$1,0)+1,FALSE),"")</f>
        <v>ハッピー102</v>
      </c>
      <c r="O82" s="5">
        <v>1</v>
      </c>
      <c r="P82" s="5">
        <v>80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W82" s="17" t="s">
        <v>32</v>
      </c>
      <c r="X82" s="18" t="s">
        <v>33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Microsoft Office ユーザー</cp:lastModifiedBy>
  <dcterms:created xsi:type="dcterms:W3CDTF">2013-10-07T08:00:17Z</dcterms:created>
  <dcterms:modified xsi:type="dcterms:W3CDTF">2017-03-09T11:54:33Z</dcterms:modified>
</cp:coreProperties>
</file>