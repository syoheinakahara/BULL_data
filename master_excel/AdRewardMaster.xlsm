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rinotakuya/BULL_data/master_excel/"/>
    </mc:Choice>
  </mc:AlternateContent>
  <bookViews>
    <workbookView xWindow="28800" yWindow="460" windowWidth="38400" windowHeight="21140" tabRatio="943" activeTab="1"/>
  </bookViews>
  <sheets>
    <sheet name="Sheet1" sheetId="107" r:id="rId1"/>
    <sheet name="output" sheetId="103" r:id="rId2"/>
    <sheet name="reward_conditions" sheetId="112" r:id="rId3"/>
    <sheet name="gifts" sheetId="116" r:id="rId4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12" i="116" l="1"/>
  <c r="R3" i="116"/>
  <c r="R4" i="116"/>
  <c r="R5" i="116"/>
  <c r="R6" i="116"/>
  <c r="R7" i="116"/>
  <c r="R8" i="116"/>
  <c r="R9" i="116"/>
  <c r="R10" i="116"/>
  <c r="R11" i="116"/>
  <c r="R2" i="116"/>
  <c r="P11" i="116"/>
  <c r="E5" i="103"/>
  <c r="E4" i="103"/>
  <c r="P3" i="116"/>
  <c r="P4" i="116"/>
  <c r="P5" i="116"/>
  <c r="P6" i="116"/>
  <c r="P7" i="116"/>
  <c r="P8" i="116"/>
  <c r="P9" i="116"/>
  <c r="P10" i="116"/>
  <c r="P2" i="116"/>
  <c r="B3" i="116"/>
  <c r="B4" i="116"/>
  <c r="B5" i="116"/>
  <c r="B6" i="116"/>
  <c r="B7" i="116"/>
  <c r="B8" i="116"/>
  <c r="B9" i="116"/>
  <c r="B10" i="116"/>
  <c r="B11" i="116"/>
  <c r="B12" i="116"/>
  <c r="E3" i="103"/>
  <c r="E2" i="103"/>
</calcChain>
</file>

<file path=xl/sharedStrings.xml><?xml version="1.0" encoding="utf-8"?>
<sst xmlns="http://schemas.openxmlformats.org/spreadsheetml/2006/main" count="131" uniqueCount="78">
  <si>
    <t>接頭語</t>
    <rPh sb="0" eb="3">
      <t>セットウゴ</t>
    </rPh>
    <phoneticPr fontId="38"/>
  </si>
  <si>
    <t>識別子</t>
    <rPh sb="0" eb="3">
      <t>シキベツシ</t>
    </rPh>
    <phoneticPr fontId="38"/>
  </si>
  <si>
    <t>形式</t>
    <rPh sb="0" eb="2">
      <t>ケイシキ</t>
    </rPh>
    <phoneticPr fontId="38"/>
  </si>
  <si>
    <t>出力ファイル名</t>
    <rPh sb="0" eb="2">
      <t>シュツリョク</t>
    </rPh>
    <rPh sb="6" eb="7">
      <t>メイ</t>
    </rPh>
    <phoneticPr fontId="38"/>
  </si>
  <si>
    <t>入力シート名</t>
    <rPh sb="0" eb="2">
      <t>ニュウリョク</t>
    </rPh>
    <rPh sb="5" eb="6">
      <t>メイ</t>
    </rPh>
    <phoneticPr fontId="38"/>
  </si>
  <si>
    <t>出力データ</t>
    <rPh sb="0" eb="2">
      <t>シュツリョク</t>
    </rPh>
    <phoneticPr fontId="38"/>
  </si>
  <si>
    <t>出力flg</t>
    <rPh sb="0" eb="2">
      <t>シュツリョク</t>
    </rPh>
    <phoneticPr fontId="38"/>
  </si>
  <si>
    <t>テーブルを増やしたい場合</t>
    <rPh sb="5" eb="6">
      <t>フ</t>
    </rPh>
    <rPh sb="10" eb="12">
      <t>バアイ</t>
    </rPh>
    <phoneticPr fontId="1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</si>
  <si>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</si>
  <si>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1"/>
  </si>
  <si>
    <t>３．outputシートで２で作ったtablesを指定する</t>
    <rPh sb="14" eb="15">
      <t>ツク</t>
    </rPh>
    <rPh sb="24" eb="26">
      <t>シテイ</t>
    </rPh>
    <phoneticPr fontId="11"/>
  </si>
  <si>
    <t>defense_plus</t>
  </si>
  <si>
    <t>bug</t>
  </si>
  <si>
    <t>attack_plus</t>
  </si>
  <si>
    <t>skill_level</t>
  </si>
  <si>
    <t>heal_plus</t>
  </si>
  <si>
    <t>level</t>
  </si>
  <si>
    <t>hp_plus</t>
  </si>
  <si>
    <t>.csv</t>
    <phoneticPr fontId="11"/>
  </si>
  <si>
    <t>gift_type</t>
  </si>
  <si>
    <t>reward_conditions</t>
    <phoneticPr fontId="11"/>
  </si>
  <si>
    <t>source</t>
  </si>
  <si>
    <t>source</t>
    <phoneticPr fontId="11"/>
  </si>
  <si>
    <t>reward_type</t>
  </si>
  <si>
    <t>reward_type</t>
    <phoneticPr fontId="11"/>
  </si>
  <si>
    <t>interval_hour</t>
  </si>
  <si>
    <t>interval_hour</t>
    <phoneticPr fontId="11"/>
  </si>
  <si>
    <t>adstir</t>
  </si>
  <si>
    <t>home</t>
  </si>
  <si>
    <t>quest</t>
  </si>
  <si>
    <t>reward_condition_gifts</t>
  </si>
  <si>
    <t>gift_id</t>
  </si>
  <si>
    <t>gift_id</t>
    <phoneticPr fontId="11"/>
  </si>
  <si>
    <t>weight</t>
    <phoneticPr fontId="11"/>
  </si>
  <si>
    <t>gift_value</t>
  </si>
  <si>
    <t>gift_count</t>
  </si>
  <si>
    <t>polygon</t>
  </si>
  <si>
    <t>item</t>
  </si>
  <si>
    <t>bit</t>
  </si>
  <si>
    <t>link</t>
  </si>
  <si>
    <t>unit</t>
  </si>
  <si>
    <t>gift_name</t>
    <phoneticPr fontId="11"/>
  </si>
  <si>
    <t>ポリゴン × 1</t>
    <phoneticPr fontId="11"/>
  </si>
  <si>
    <t>ポリゴン × 50</t>
    <phoneticPr fontId="11"/>
  </si>
  <si>
    <t>経験値キー × 1</t>
    <rPh sb="0" eb="3">
      <t>ケイケn</t>
    </rPh>
    <phoneticPr fontId="11"/>
  </si>
  <si>
    <t>ビットキー × 1</t>
    <phoneticPr fontId="11"/>
  </si>
  <si>
    <t>限界突破キー × 1</t>
    <rPh sb="0" eb="4">
      <t>ゲンカ</t>
    </rPh>
    <phoneticPr fontId="11"/>
  </si>
  <si>
    <t>メガ攻めの果実 × 1</t>
    <phoneticPr fontId="11"/>
  </si>
  <si>
    <t>メガ生命の果実 × 1</t>
    <phoneticPr fontId="11"/>
  </si>
  <si>
    <t>10万ビット</t>
    <rPh sb="2" eb="3">
      <t>マn</t>
    </rPh>
    <phoneticPr fontId="11"/>
  </si>
  <si>
    <t>500リンク</t>
    <phoneticPr fontId="11"/>
  </si>
  <si>
    <t>メガ癒しの果実 × 1</t>
    <rPh sb="2" eb="3">
      <t>イヤsh</t>
    </rPh>
    <phoneticPr fontId="11"/>
  </si>
  <si>
    <t>weight</t>
  </si>
  <si>
    <t>language</t>
  </si>
  <si>
    <t>title</t>
  </si>
  <si>
    <t>detail</t>
  </si>
  <si>
    <t>message</t>
  </si>
  <si>
    <t>null</t>
    <phoneticPr fontId="11"/>
  </si>
  <si>
    <t>ja</t>
    <phoneticPr fontId="11"/>
  </si>
  <si>
    <t>ハッピーくじ特典</t>
    <rPh sb="6" eb="8">
      <t>トクテn</t>
    </rPh>
    <phoneticPr fontId="11"/>
  </si>
  <si>
    <t>gifts_tmp_</t>
    <phoneticPr fontId="11"/>
  </si>
  <si>
    <t>.tmp</t>
    <phoneticPr fontId="38"/>
  </si>
  <si>
    <t>gift_type</t>
    <phoneticPr fontId="11"/>
  </si>
  <si>
    <t>gift_value</t>
    <phoneticPr fontId="11"/>
  </si>
  <si>
    <t>gift_count</t>
    <phoneticPr fontId="11"/>
  </si>
  <si>
    <t>gifts_i18n_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</si>
  <si>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</si>
  <si>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</si>
  <si>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</si>
  <si>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</si>
  <si>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ad</t>
    <phoneticPr fontId="11"/>
  </si>
  <si>
    <t>gifts</t>
    <phoneticPr fontId="38"/>
  </si>
  <si>
    <t>gifts</t>
    <phoneticPr fontId="11"/>
  </si>
  <si>
    <t>old</t>
    <phoneticPr fontId="11"/>
  </si>
  <si>
    <t>reward_condition_id</t>
    <phoneticPr fontId="11"/>
  </si>
  <si>
    <t>reward_conditions</t>
    <phoneticPr fontId="11"/>
  </si>
  <si>
    <t>ハッピーチケットピース × 1</t>
    <phoneticPr fontId="11"/>
  </si>
  <si>
    <t>ﾊｯﾋﾟｰﾁｹｯﾄﾋﾟｰｽ × 1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</si>
</sst>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1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6"/>
      <color theme="1"/>
      <name val="ＭＳ Ｐ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3631">
    <xf numFmtId="0" fontId="0" fillId="0" borderId="0"/>
    <xf numFmtId="0" fontId="10" fillId="0" borderId="0"/>
    <xf numFmtId="0" fontId="12" fillId="0" borderId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9" fillId="0" borderId="0"/>
    <xf numFmtId="0" fontId="16" fillId="3" borderId="2" applyNumberFormat="0" applyAlignment="0" applyProtection="0"/>
    <xf numFmtId="0" fontId="17" fillId="4" borderId="0" applyNumberFormat="0" applyBorder="0" applyAlignment="0" applyProtection="0"/>
    <xf numFmtId="0" fontId="18" fillId="5" borderId="3" applyNumberFormat="0" applyAlignment="0" applyProtection="0"/>
    <xf numFmtId="0" fontId="19" fillId="0" borderId="0" applyNumberFormat="0" applyFill="0" applyBorder="0" applyAlignment="0" applyProtection="0"/>
    <xf numFmtId="0" fontId="20" fillId="6" borderId="0" applyNumberFormat="0" applyBorder="0" applyAlignment="0" applyProtection="0"/>
    <xf numFmtId="0" fontId="21" fillId="7" borderId="4" applyNumberFormat="0" applyAlignment="0" applyProtection="0"/>
    <xf numFmtId="0" fontId="22" fillId="0" borderId="0" applyNumberFormat="0" applyFill="0" applyBorder="0" applyAlignment="0" applyProtection="0"/>
    <xf numFmtId="0" fontId="23" fillId="0" borderId="5" applyNumberFormat="0" applyFill="0" applyAlignment="0" applyProtection="0"/>
    <xf numFmtId="0" fontId="24" fillId="0" borderId="6" applyNumberFormat="0" applyFill="0" applyAlignment="0" applyProtection="0"/>
    <xf numFmtId="0" fontId="25" fillId="0" borderId="7" applyNumberFormat="0" applyFill="0" applyAlignment="0" applyProtection="0"/>
    <xf numFmtId="0" fontId="25" fillId="0" borderId="0" applyNumberFormat="0" applyFill="0" applyBorder="0" applyAlignment="0" applyProtection="0"/>
    <xf numFmtId="0" fontId="26" fillId="5" borderId="0" applyNumberFormat="0" applyBorder="0" applyAlignment="0" applyProtection="0"/>
    <xf numFmtId="0" fontId="26" fillId="4" borderId="0" applyNumberFormat="0" applyBorder="0" applyAlignment="0" applyProtection="0"/>
    <xf numFmtId="0" fontId="26" fillId="8" borderId="0" applyNumberFormat="0" applyBorder="0" applyAlignment="0" applyProtection="0"/>
    <xf numFmtId="0" fontId="26" fillId="5" borderId="0" applyNumberFormat="0" applyBorder="0" applyAlignment="0" applyProtection="0"/>
    <xf numFmtId="0" fontId="26" fillId="9" borderId="0" applyNumberFormat="0" applyBorder="0" applyAlignment="0" applyProtection="0"/>
    <xf numFmtId="0" fontId="26" fillId="3" borderId="0" applyNumberFormat="0" applyBorder="0" applyAlignment="0" applyProtection="0"/>
    <xf numFmtId="0" fontId="26" fillId="5" borderId="0" applyNumberFormat="0" applyBorder="0" applyAlignment="0" applyProtection="0"/>
    <xf numFmtId="0" fontId="26" fillId="10" borderId="0" applyNumberFormat="0" applyBorder="0" applyAlignment="0" applyProtection="0"/>
    <xf numFmtId="0" fontId="26" fillId="8" borderId="0" applyNumberFormat="0" applyBorder="0" applyAlignment="0" applyProtection="0"/>
    <xf numFmtId="0" fontId="26" fillId="5" borderId="0" applyNumberFormat="0" applyBorder="0" applyAlignment="0" applyProtection="0"/>
    <xf numFmtId="0" fontId="26" fillId="11" borderId="0" applyNumberFormat="0" applyBorder="0" applyAlignment="0" applyProtection="0"/>
    <xf numFmtId="0" fontId="26" fillId="4" borderId="0" applyNumberFormat="0" applyBorder="0" applyAlignment="0" applyProtection="0"/>
    <xf numFmtId="0" fontId="27" fillId="12" borderId="0" applyNumberFormat="0" applyBorder="0" applyAlignment="0" applyProtection="0"/>
    <xf numFmtId="0" fontId="27" fillId="10" borderId="0" applyNumberFormat="0" applyBorder="0" applyAlignment="0" applyProtection="0"/>
    <xf numFmtId="0" fontId="27" fillId="8" borderId="0" applyNumberFormat="0" applyBorder="0" applyAlignment="0" applyProtection="0"/>
    <xf numFmtId="0" fontId="27" fillId="5" borderId="0" applyNumberFormat="0" applyBorder="0" applyAlignment="0" applyProtection="0"/>
    <xf numFmtId="0" fontId="27" fillId="12" borderId="0" applyNumberFormat="0" applyBorder="0" applyAlignment="0" applyProtection="0"/>
    <xf numFmtId="0" fontId="27" fillId="4" borderId="0" applyNumberFormat="0" applyBorder="0" applyAlignment="0" applyProtection="0"/>
    <xf numFmtId="0" fontId="19" fillId="0" borderId="0" applyNumberFormat="0" applyFill="0" applyBorder="0" applyAlignment="0" applyProtection="0"/>
    <xf numFmtId="0" fontId="27" fillId="12" borderId="0" applyNumberFormat="0" applyBorder="0" applyAlignment="0" applyProtection="0"/>
    <xf numFmtId="0" fontId="27" fillId="13" borderId="0" applyNumberFormat="0" applyBorder="0" applyAlignment="0" applyProtection="0"/>
    <xf numFmtId="0" fontId="27" fillId="8" borderId="0" applyNumberFormat="0" applyBorder="0" applyAlignment="0" applyProtection="0"/>
    <xf numFmtId="0" fontId="27" fillId="14" borderId="0" applyNumberFormat="0" applyBorder="0" applyAlignment="0" applyProtection="0"/>
    <xf numFmtId="0" fontId="27" fillId="12" borderId="0" applyNumberFormat="0" applyBorder="0" applyAlignment="0" applyProtection="0"/>
    <xf numFmtId="0" fontId="27" fillId="10" borderId="0" applyNumberFormat="0" applyBorder="0" applyAlignment="0" applyProtection="0"/>
    <xf numFmtId="0" fontId="28" fillId="15" borderId="0" applyNumberFormat="0" applyBorder="0" applyAlignment="0" applyProtection="0"/>
    <xf numFmtId="0" fontId="17" fillId="4" borderId="0" applyNumberFormat="0" applyBorder="0" applyAlignment="0" applyProtection="0"/>
    <xf numFmtId="0" fontId="29" fillId="0" borderId="8" applyNumberFormat="0" applyFill="0" applyAlignment="0" applyProtection="0"/>
    <xf numFmtId="0" fontId="30" fillId="5" borderId="9" applyNumberFormat="0" applyAlignment="0" applyProtection="0"/>
    <xf numFmtId="0" fontId="30" fillId="16" borderId="9" applyNumberFormat="0" applyAlignment="0" applyProtection="0"/>
    <xf numFmtId="0" fontId="18" fillId="4" borderId="3" applyNumberFormat="0" applyAlignment="0" applyProtection="0"/>
    <xf numFmtId="0" fontId="31" fillId="0" borderId="10" applyNumberFormat="0" applyFill="0" applyAlignment="0" applyProtection="0"/>
    <xf numFmtId="0" fontId="32" fillId="16" borderId="3" applyNumberFormat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35" fillId="17" borderId="0" applyNumberFormat="0" applyBorder="0" applyAlignment="0" applyProtection="0"/>
    <xf numFmtId="0" fontId="36" fillId="18" borderId="0" applyNumberFormat="0" applyBorder="0" applyAlignment="0" applyProtection="0"/>
    <xf numFmtId="0" fontId="9" fillId="0" borderId="0"/>
    <xf numFmtId="0" fontId="37" fillId="18" borderId="0" applyNumberFormat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8" fillId="0" borderId="0"/>
    <xf numFmtId="0" fontId="39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7" fillId="0" borderId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</cellStyleXfs>
  <cellXfs count="34">
    <xf numFmtId="0" fontId="0" fillId="0" borderId="0" xfId="0"/>
    <xf numFmtId="0" fontId="13" fillId="19" borderId="1" xfId="2978" applyFont="1" applyFill="1" applyBorder="1"/>
    <xf numFmtId="0" fontId="8" fillId="19" borderId="1" xfId="2978" applyFill="1" applyBorder="1"/>
    <xf numFmtId="0" fontId="8" fillId="0" borderId="0" xfId="2978"/>
    <xf numFmtId="0" fontId="13" fillId="19" borderId="1" xfId="0" applyFont="1" applyFill="1" applyBorder="1"/>
    <xf numFmtId="0" fontId="6" fillId="2" borderId="1" xfId="19" applyFont="1" applyFill="1" applyBorder="1"/>
    <xf numFmtId="0" fontId="5" fillId="0" borderId="1" xfId="2978" applyFont="1" applyBorder="1"/>
    <xf numFmtId="0" fontId="5" fillId="0" borderId="1" xfId="2978" applyFont="1" applyFill="1" applyBorder="1"/>
    <xf numFmtId="0" fontId="5" fillId="2" borderId="1" xfId="19" applyFont="1" applyFill="1" applyBorder="1"/>
    <xf numFmtId="0" fontId="4" fillId="0" borderId="1" xfId="2978" applyFont="1" applyBorder="1"/>
    <xf numFmtId="0" fontId="4" fillId="2" borderId="1" xfId="19" applyFont="1" applyFill="1" applyBorder="1"/>
    <xf numFmtId="0" fontId="40" fillId="0" borderId="1" xfId="0" applyFont="1" applyBorder="1"/>
    <xf numFmtId="0" fontId="40" fillId="0" borderId="0" xfId="0" applyFont="1"/>
    <xf numFmtId="0" fontId="0" fillId="0" borderId="1" xfId="0" applyBorder="1"/>
    <xf numFmtId="0" fontId="0" fillId="20" borderId="1" xfId="0" applyFill="1" applyBorder="1"/>
    <xf numFmtId="0" fontId="0" fillId="21" borderId="1" xfId="0" applyFill="1" applyBorder="1"/>
    <xf numFmtId="0" fontId="8" fillId="0" borderId="1" xfId="2978" applyBorder="1"/>
    <xf numFmtId="0" fontId="3" fillId="0" borderId="1" xfId="2978" applyFont="1" applyBorder="1"/>
    <xf numFmtId="0" fontId="3" fillId="2" borderId="1" xfId="19" applyFont="1" applyFill="1" applyBorder="1"/>
    <xf numFmtId="0" fontId="3" fillId="0" borderId="1" xfId="2978" applyFont="1" applyFill="1" applyBorder="1"/>
    <xf numFmtId="0" fontId="0" fillId="2" borderId="1" xfId="0" applyFill="1" applyBorder="1"/>
    <xf numFmtId="0" fontId="8" fillId="19" borderId="12" xfId="2978" applyFill="1" applyBorder="1"/>
    <xf numFmtId="0" fontId="6" fillId="2" borderId="12" xfId="19" applyFont="1" applyFill="1" applyBorder="1"/>
    <xf numFmtId="0" fontId="8" fillId="0" borderId="0" xfId="2978" applyFill="1" applyBorder="1"/>
    <xf numFmtId="0" fontId="6" fillId="0" borderId="0" xfId="19" applyFont="1" applyFill="1" applyBorder="1"/>
    <xf numFmtId="0" fontId="8" fillId="0" borderId="13" xfId="2978" applyFill="1" applyBorder="1"/>
    <xf numFmtId="0" fontId="6" fillId="0" borderId="13" xfId="19" applyFont="1" applyFill="1" applyBorder="1"/>
    <xf numFmtId="0" fontId="0" fillId="2" borderId="12" xfId="0" applyFill="1" applyBorder="1"/>
    <xf numFmtId="0" fontId="8" fillId="2" borderId="1" xfId="2978" applyFill="1" applyBorder="1"/>
    <xf numFmtId="0" fontId="8" fillId="2" borderId="12" xfId="2978" applyFill="1" applyBorder="1"/>
    <xf numFmtId="0" fontId="0" fillId="0" borderId="1" xfId="0" applyBorder="1" applyAlignment="1">
      <alignment wrapText="1"/>
    </xf>
    <xf numFmtId="0" fontId="2" fillId="0" borderId="1" xfId="3036" applyFont="1" applyBorder="1"/>
    <xf numFmtId="0" fontId="1" fillId="0" borderId="1" xfId="2978" applyFont="1" applyFill="1" applyBorder="1"/>
    <xf numFmtId="0" fontId="1" fillId="2" borderId="1" xfId="19" applyFont="1" applyFill="1" applyBorder="1"/>
  </cellXfs>
  <cellStyles count="3631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22" sqref="E22"/>
    </sheetView>
  </sheetViews>
  <sheetFormatPr baseColWidth="12" defaultRowHeight="14" x14ac:dyDescent="0.15"/>
  <sheetData>
    <row r="1" spans="1:1" x14ac:dyDescent="0.15">
      <c r="A1" t="s">
        <v>7</v>
      </c>
    </row>
    <row r="2" spans="1:1" x14ac:dyDescent="0.15">
      <c r="A2" t="s">
        <v>8</v>
      </c>
    </row>
    <row r="3" spans="1:1" x14ac:dyDescent="0.15">
      <c r="A3" t="s">
        <v>9</v>
      </c>
    </row>
    <row r="4" spans="1:1" x14ac:dyDescent="0.15">
      <c r="A4" t="s">
        <v>10</v>
      </c>
    </row>
  </sheetData>
  <phoneticPr fontId="1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Z5"/>
  <sheetViews>
    <sheetView tabSelected="1" zoomScale="110" zoomScaleNormal="110" zoomScalePageLayoutView="110" workbookViewId="0">
      <selection activeCell="G4" sqref="G4"/>
    </sheetView>
  </sheetViews>
  <sheetFormatPr baseColWidth="12" defaultRowHeight="15" x14ac:dyDescent="0.15"/>
  <cols>
    <col min="1" max="1" width="8.796875" style="3" bestFit="1" customWidth="1"/>
    <col min="2" max="2" width="30.59765625" style="3" bestFit="1" customWidth="1"/>
    <col min="3" max="3" width="11.796875" style="3" bestFit="1" customWidth="1"/>
    <col min="4" max="4" width="13" style="3"/>
    <col min="5" max="5" width="40.19921875" style="3" bestFit="1" customWidth="1"/>
    <col min="6" max="6" width="26.3984375" style="3" bestFit="1" customWidth="1"/>
    <col min="7" max="7" width="25.796875" style="3" customWidth="1"/>
    <col min="8" max="8" width="13" style="3"/>
    <col min="9" max="9" width="24.59765625" style="3" customWidth="1"/>
    <col min="10" max="10" width="19.796875" style="3" customWidth="1"/>
    <col min="11" max="11" width="13" style="3"/>
    <col min="12" max="12" width="19.19921875" style="3" customWidth="1"/>
    <col min="13" max="21" width="13" style="3"/>
    <col min="22" max="26" width="13" style="23"/>
    <col min="27" max="16384" width="13" style="3"/>
  </cols>
  <sheetData>
    <row r="1" spans="1:26" x14ac:dyDescent="0.15">
      <c r="A1" s="4" t="s">
        <v>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/>
      <c r="I1" s="1"/>
      <c r="J1" s="1"/>
      <c r="K1" s="1"/>
      <c r="L1" s="2"/>
      <c r="M1" s="2"/>
      <c r="N1" s="2"/>
      <c r="O1" s="2"/>
      <c r="P1" s="2"/>
      <c r="Q1" s="2"/>
      <c r="R1" s="2"/>
      <c r="S1" s="2"/>
      <c r="T1" s="2"/>
      <c r="U1" s="21"/>
      <c r="V1" s="25"/>
    </row>
    <row r="2" spans="1:26" x14ac:dyDescent="0.15">
      <c r="A2" s="31" t="s">
        <v>73</v>
      </c>
      <c r="B2" s="9" t="s">
        <v>20</v>
      </c>
      <c r="C2" s="7"/>
      <c r="D2" s="6" t="s">
        <v>18</v>
      </c>
      <c r="E2" s="2" t="str">
        <f t="shared" ref="E2" si="0">B2&amp;C2&amp;D2</f>
        <v>reward_conditions.csv</v>
      </c>
      <c r="F2" s="32" t="s">
        <v>75</v>
      </c>
      <c r="G2" s="33" t="s">
        <v>74</v>
      </c>
      <c r="H2" s="10" t="s">
        <v>22</v>
      </c>
      <c r="I2" s="10" t="s">
        <v>24</v>
      </c>
      <c r="J2" s="10" t="s">
        <v>26</v>
      </c>
      <c r="K2" s="8"/>
      <c r="L2" s="8"/>
      <c r="M2" s="8"/>
      <c r="N2" s="5"/>
      <c r="O2" s="5"/>
      <c r="P2" s="5"/>
      <c r="Q2" s="5"/>
      <c r="R2" s="5"/>
      <c r="S2" s="5"/>
      <c r="T2" s="5"/>
      <c r="U2" s="22"/>
      <c r="V2" s="26"/>
      <c r="W2" s="24"/>
      <c r="X2" s="24"/>
      <c r="Y2" s="24"/>
      <c r="Z2" s="24"/>
    </row>
    <row r="3" spans="1:26" x14ac:dyDescent="0.15">
      <c r="A3" s="31" t="s">
        <v>73</v>
      </c>
      <c r="B3" s="9" t="s">
        <v>30</v>
      </c>
      <c r="C3" s="7"/>
      <c r="D3" s="6" t="s">
        <v>18</v>
      </c>
      <c r="E3" s="2" t="str">
        <f t="shared" ref="E3:E5" si="1">B3&amp;C3&amp;D3</f>
        <v>reward_condition_gifts.csv</v>
      </c>
      <c r="F3" s="19" t="s">
        <v>72</v>
      </c>
      <c r="G3" s="33" t="s">
        <v>74</v>
      </c>
      <c r="H3" s="10" t="s">
        <v>32</v>
      </c>
      <c r="I3" s="10" t="s">
        <v>33</v>
      </c>
      <c r="J3" s="10"/>
      <c r="K3" s="8"/>
      <c r="L3" s="8"/>
      <c r="M3" s="8"/>
      <c r="N3" s="5"/>
      <c r="O3" s="5"/>
      <c r="P3" s="5"/>
      <c r="Q3" s="5"/>
      <c r="R3" s="5"/>
      <c r="S3" s="5"/>
      <c r="T3" s="5"/>
      <c r="U3" s="22"/>
      <c r="V3" s="26"/>
      <c r="W3" s="24"/>
      <c r="X3" s="24"/>
      <c r="Y3" s="24"/>
      <c r="Z3" s="24"/>
    </row>
    <row r="4" spans="1:26" x14ac:dyDescent="0.15">
      <c r="A4" s="31" t="s">
        <v>73</v>
      </c>
      <c r="B4" s="16" t="s">
        <v>60</v>
      </c>
      <c r="C4" s="17" t="s">
        <v>70</v>
      </c>
      <c r="D4" s="16" t="s">
        <v>61</v>
      </c>
      <c r="E4" s="2" t="str">
        <f t="shared" si="1"/>
        <v>gifts_tmp_ad.tmp</v>
      </c>
      <c r="F4" s="17" t="s">
        <v>71</v>
      </c>
      <c r="G4" s="18" t="s">
        <v>32</v>
      </c>
      <c r="H4" s="18" t="s">
        <v>62</v>
      </c>
      <c r="I4" s="18" t="s">
        <v>63</v>
      </c>
      <c r="J4" s="18" t="s">
        <v>63</v>
      </c>
      <c r="K4" s="18" t="s">
        <v>63</v>
      </c>
      <c r="L4" s="18" t="s">
        <v>64</v>
      </c>
      <c r="M4" s="18" t="s">
        <v>64</v>
      </c>
      <c r="N4" s="18" t="s">
        <v>64</v>
      </c>
      <c r="O4" s="20" t="s">
        <v>11</v>
      </c>
      <c r="P4" s="20" t="s">
        <v>12</v>
      </c>
      <c r="Q4" s="20" t="s">
        <v>13</v>
      </c>
      <c r="R4" s="20" t="s">
        <v>14</v>
      </c>
      <c r="S4" s="20" t="s">
        <v>15</v>
      </c>
      <c r="T4" s="20" t="s">
        <v>16</v>
      </c>
      <c r="U4" s="27" t="s">
        <v>17</v>
      </c>
      <c r="V4" s="25"/>
    </row>
    <row r="5" spans="1:26" x14ac:dyDescent="0.15">
      <c r="A5" s="31" t="s">
        <v>73</v>
      </c>
      <c r="B5" s="16" t="s">
        <v>65</v>
      </c>
      <c r="C5" s="17" t="s">
        <v>70</v>
      </c>
      <c r="D5" s="16" t="s">
        <v>61</v>
      </c>
      <c r="E5" s="2" t="str">
        <f t="shared" si="1"/>
        <v>gifts_i18n_ad.tmp</v>
      </c>
      <c r="F5" s="17" t="s">
        <v>71</v>
      </c>
      <c r="G5" s="18" t="s">
        <v>32</v>
      </c>
      <c r="H5" s="18" t="s">
        <v>66</v>
      </c>
      <c r="I5" s="18" t="s">
        <v>67</v>
      </c>
      <c r="J5" s="18" t="s">
        <v>68</v>
      </c>
      <c r="K5" s="18" t="s">
        <v>69</v>
      </c>
      <c r="L5" s="18"/>
      <c r="M5" s="18"/>
      <c r="N5" s="18"/>
      <c r="O5" s="28"/>
      <c r="P5" s="28"/>
      <c r="Q5" s="28"/>
      <c r="R5" s="28"/>
      <c r="S5" s="28"/>
      <c r="T5" s="28"/>
      <c r="U5" s="29"/>
      <c r="V5" s="25"/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136"/>
  <sheetViews>
    <sheetView zoomScale="85" zoomScaleNormal="80" zoomScalePageLayoutView="80" workbookViewId="0">
      <selection activeCell="D2" sqref="D2"/>
    </sheetView>
  </sheetViews>
  <sheetFormatPr baseColWidth="12" defaultColWidth="37.19921875" defaultRowHeight="19" x14ac:dyDescent="0.15"/>
  <cols>
    <col min="1" max="1" width="13" style="12" bestFit="1" customWidth="1"/>
    <col min="2" max="2" width="15" style="12" bestFit="1" customWidth="1"/>
    <col min="3" max="3" width="20.796875" style="12" bestFit="1" customWidth="1"/>
    <col min="4" max="4" width="18.19921875" style="12" bestFit="1" customWidth="1"/>
    <col min="5" max="16384" width="37.19921875" style="12"/>
  </cols>
  <sheetData>
    <row r="1" spans="1:4" x14ac:dyDescent="0.15">
      <c r="A1" s="11" t="s">
        <v>74</v>
      </c>
      <c r="B1" s="11" t="s">
        <v>21</v>
      </c>
      <c r="C1" s="11" t="s">
        <v>23</v>
      </c>
      <c r="D1" s="11" t="s">
        <v>25</v>
      </c>
    </row>
    <row r="2" spans="1:4" x14ac:dyDescent="0.15">
      <c r="A2" s="11">
        <v>1</v>
      </c>
      <c r="B2" s="11" t="s">
        <v>27</v>
      </c>
      <c r="C2" s="12" t="s">
        <v>28</v>
      </c>
      <c r="D2" s="11">
        <v>4</v>
      </c>
    </row>
    <row r="3" spans="1:4" x14ac:dyDescent="0.15">
      <c r="A3" s="11">
        <v>2</v>
      </c>
      <c r="B3" s="11" t="s">
        <v>27</v>
      </c>
      <c r="C3" s="11" t="s">
        <v>29</v>
      </c>
      <c r="D3" s="11">
        <v>24</v>
      </c>
    </row>
    <row r="4" spans="1:4" x14ac:dyDescent="0.15">
      <c r="A4" s="11"/>
      <c r="B4" s="11"/>
      <c r="C4" s="11"/>
      <c r="D4" s="11"/>
    </row>
    <row r="5" spans="1:4" x14ac:dyDescent="0.15">
      <c r="A5" s="11"/>
      <c r="B5" s="11"/>
      <c r="C5" s="11"/>
      <c r="D5" s="11"/>
    </row>
    <row r="6" spans="1:4" x14ac:dyDescent="0.15">
      <c r="A6" s="11"/>
      <c r="B6" s="11"/>
      <c r="C6" s="11"/>
      <c r="D6" s="11"/>
    </row>
    <row r="7" spans="1:4" x14ac:dyDescent="0.15">
      <c r="A7" s="11"/>
      <c r="B7" s="11"/>
      <c r="C7" s="11"/>
      <c r="D7" s="11"/>
    </row>
    <row r="8" spans="1:4" x14ac:dyDescent="0.15">
      <c r="A8" s="11"/>
      <c r="B8" s="11"/>
      <c r="C8" s="11"/>
      <c r="D8" s="11"/>
    </row>
    <row r="9" spans="1:4" x14ac:dyDescent="0.15">
      <c r="A9" s="11"/>
      <c r="B9" s="11"/>
      <c r="C9" s="11"/>
      <c r="D9" s="11"/>
    </row>
    <row r="10" spans="1:4" x14ac:dyDescent="0.15">
      <c r="A10" s="11"/>
      <c r="B10" s="11"/>
      <c r="C10" s="11"/>
      <c r="D10" s="11"/>
    </row>
    <row r="11" spans="1:4" x14ac:dyDescent="0.15">
      <c r="A11" s="11"/>
      <c r="B11" s="11"/>
      <c r="C11" s="11"/>
      <c r="D11" s="11"/>
    </row>
    <row r="12" spans="1:4" x14ac:dyDescent="0.15">
      <c r="A12" s="11"/>
      <c r="B12" s="11"/>
      <c r="C12" s="11"/>
      <c r="D12" s="11"/>
    </row>
    <row r="13" spans="1:4" x14ac:dyDescent="0.15">
      <c r="A13" s="11"/>
      <c r="B13" s="11"/>
      <c r="C13" s="11"/>
      <c r="D13" s="11"/>
    </row>
    <row r="14" spans="1:4" x14ac:dyDescent="0.15">
      <c r="A14" s="11"/>
      <c r="B14" s="11"/>
      <c r="C14" s="11"/>
      <c r="D14" s="11"/>
    </row>
    <row r="15" spans="1:4" x14ac:dyDescent="0.15">
      <c r="A15" s="11"/>
      <c r="B15" s="11"/>
      <c r="C15" s="11"/>
      <c r="D15" s="11"/>
    </row>
    <row r="16" spans="1:4" x14ac:dyDescent="0.15">
      <c r="A16" s="11"/>
      <c r="B16" s="11"/>
      <c r="C16" s="11"/>
      <c r="D16" s="11"/>
    </row>
    <row r="17" spans="1:4" x14ac:dyDescent="0.15">
      <c r="A17" s="11"/>
      <c r="B17" s="11"/>
      <c r="C17" s="11"/>
      <c r="D17" s="11"/>
    </row>
    <row r="18" spans="1:4" x14ac:dyDescent="0.15">
      <c r="A18" s="11"/>
      <c r="B18" s="11"/>
      <c r="C18" s="11"/>
      <c r="D18" s="11"/>
    </row>
    <row r="19" spans="1:4" x14ac:dyDescent="0.15">
      <c r="A19" s="11"/>
      <c r="B19" s="11"/>
      <c r="C19" s="11"/>
      <c r="D19" s="11"/>
    </row>
    <row r="20" spans="1:4" x14ac:dyDescent="0.15">
      <c r="A20" s="11"/>
      <c r="B20" s="11"/>
      <c r="C20" s="11"/>
      <c r="D20" s="11"/>
    </row>
    <row r="21" spans="1:4" x14ac:dyDescent="0.15">
      <c r="A21" s="11"/>
      <c r="B21" s="11"/>
      <c r="C21" s="11"/>
      <c r="D21" s="11"/>
    </row>
    <row r="22" spans="1:4" x14ac:dyDescent="0.15">
      <c r="A22" s="11"/>
      <c r="B22" s="11"/>
      <c r="C22" s="11"/>
      <c r="D22" s="11"/>
    </row>
    <row r="23" spans="1:4" x14ac:dyDescent="0.15">
      <c r="A23" s="11"/>
      <c r="B23" s="11"/>
      <c r="C23" s="11"/>
      <c r="D23" s="11"/>
    </row>
    <row r="24" spans="1:4" x14ac:dyDescent="0.15">
      <c r="A24" s="11"/>
      <c r="B24" s="11"/>
      <c r="C24" s="11"/>
      <c r="D24" s="11"/>
    </row>
    <row r="25" spans="1:4" x14ac:dyDescent="0.15">
      <c r="A25" s="11"/>
      <c r="B25" s="11"/>
      <c r="C25" s="11"/>
      <c r="D25" s="11"/>
    </row>
    <row r="26" spans="1:4" x14ac:dyDescent="0.15">
      <c r="A26" s="11"/>
      <c r="B26" s="11"/>
      <c r="C26" s="11"/>
      <c r="D26" s="11"/>
    </row>
    <row r="27" spans="1:4" x14ac:dyDescent="0.15">
      <c r="A27" s="11"/>
      <c r="B27" s="11"/>
      <c r="C27" s="11"/>
      <c r="D27" s="11"/>
    </row>
    <row r="28" spans="1:4" x14ac:dyDescent="0.15">
      <c r="A28" s="11"/>
      <c r="B28" s="11"/>
      <c r="C28" s="11"/>
      <c r="D28" s="11"/>
    </row>
    <row r="29" spans="1:4" x14ac:dyDescent="0.15">
      <c r="A29" s="11"/>
      <c r="B29" s="11"/>
      <c r="C29" s="11"/>
      <c r="D29" s="11"/>
    </row>
    <row r="30" spans="1:4" x14ac:dyDescent="0.15">
      <c r="A30" s="11"/>
      <c r="B30" s="11"/>
      <c r="C30" s="11"/>
      <c r="D30" s="11"/>
    </row>
    <row r="31" spans="1:4" x14ac:dyDescent="0.15">
      <c r="A31" s="11"/>
      <c r="B31" s="11"/>
      <c r="C31" s="11"/>
      <c r="D31" s="11"/>
    </row>
    <row r="32" spans="1:4" x14ac:dyDescent="0.15">
      <c r="A32" s="11"/>
      <c r="B32" s="11"/>
      <c r="C32" s="11"/>
      <c r="D32" s="11"/>
    </row>
    <row r="33" spans="1:4" x14ac:dyDescent="0.15">
      <c r="A33" s="11"/>
      <c r="B33" s="11"/>
      <c r="C33" s="11"/>
      <c r="D33" s="11"/>
    </row>
    <row r="34" spans="1:4" x14ac:dyDescent="0.15">
      <c r="A34" s="11"/>
      <c r="B34" s="11"/>
      <c r="C34" s="11"/>
      <c r="D34" s="11"/>
    </row>
    <row r="35" spans="1:4" x14ac:dyDescent="0.15">
      <c r="A35" s="11"/>
      <c r="B35" s="11"/>
      <c r="C35" s="11"/>
      <c r="D35" s="11"/>
    </row>
    <row r="36" spans="1:4" x14ac:dyDescent="0.15">
      <c r="A36" s="11"/>
      <c r="B36" s="11"/>
      <c r="C36" s="11"/>
      <c r="D36" s="11"/>
    </row>
    <row r="37" spans="1:4" x14ac:dyDescent="0.15">
      <c r="A37" s="11"/>
      <c r="B37" s="11"/>
      <c r="C37" s="11"/>
      <c r="D37" s="11"/>
    </row>
    <row r="38" spans="1:4" x14ac:dyDescent="0.15">
      <c r="A38" s="11"/>
      <c r="B38" s="11"/>
      <c r="C38" s="11"/>
      <c r="D38" s="11"/>
    </row>
    <row r="39" spans="1:4" x14ac:dyDescent="0.15">
      <c r="A39" s="11"/>
      <c r="B39" s="11"/>
      <c r="C39" s="11"/>
      <c r="D39" s="11"/>
    </row>
    <row r="40" spans="1:4" x14ac:dyDescent="0.15">
      <c r="A40" s="11"/>
      <c r="B40" s="11"/>
      <c r="C40" s="11"/>
      <c r="D40" s="11"/>
    </row>
    <row r="41" spans="1:4" x14ac:dyDescent="0.15">
      <c r="A41" s="11"/>
      <c r="B41" s="11"/>
      <c r="C41" s="11"/>
      <c r="D41" s="11"/>
    </row>
    <row r="42" spans="1:4" x14ac:dyDescent="0.15">
      <c r="A42" s="11"/>
      <c r="B42" s="11"/>
      <c r="C42" s="11"/>
      <c r="D42" s="11"/>
    </row>
    <row r="43" spans="1:4" x14ac:dyDescent="0.15">
      <c r="A43" s="11"/>
      <c r="B43" s="11"/>
      <c r="C43" s="11"/>
      <c r="D43" s="11"/>
    </row>
    <row r="44" spans="1:4" x14ac:dyDescent="0.15">
      <c r="A44" s="11"/>
      <c r="B44" s="11"/>
      <c r="C44" s="11"/>
      <c r="D44" s="11"/>
    </row>
    <row r="45" spans="1:4" x14ac:dyDescent="0.15">
      <c r="A45" s="11"/>
      <c r="B45" s="11"/>
      <c r="C45" s="11"/>
      <c r="D45" s="11"/>
    </row>
    <row r="46" spans="1:4" x14ac:dyDescent="0.15">
      <c r="A46" s="11"/>
      <c r="B46" s="11"/>
      <c r="C46" s="11"/>
      <c r="D46" s="11"/>
    </row>
    <row r="47" spans="1:4" x14ac:dyDescent="0.15">
      <c r="A47" s="11"/>
      <c r="B47" s="11"/>
      <c r="C47" s="11"/>
      <c r="D47" s="11"/>
    </row>
    <row r="48" spans="1:4" x14ac:dyDescent="0.15">
      <c r="A48" s="11"/>
      <c r="B48" s="11"/>
      <c r="C48" s="11"/>
      <c r="D48" s="11"/>
    </row>
    <row r="49" spans="1:4" x14ac:dyDescent="0.15">
      <c r="A49" s="11"/>
      <c r="B49" s="11"/>
      <c r="C49" s="11"/>
      <c r="D49" s="11"/>
    </row>
    <row r="50" spans="1:4" x14ac:dyDescent="0.15">
      <c r="A50" s="11"/>
      <c r="B50" s="11"/>
      <c r="C50" s="11"/>
      <c r="D50" s="11"/>
    </row>
    <row r="51" spans="1:4" x14ac:dyDescent="0.15">
      <c r="A51" s="11"/>
      <c r="B51" s="11"/>
      <c r="C51" s="11"/>
      <c r="D51" s="11"/>
    </row>
    <row r="52" spans="1:4" x14ac:dyDescent="0.15">
      <c r="A52" s="11"/>
      <c r="B52" s="11"/>
      <c r="C52" s="11"/>
      <c r="D52" s="11"/>
    </row>
    <row r="53" spans="1:4" x14ac:dyDescent="0.15">
      <c r="A53" s="11"/>
      <c r="B53" s="11"/>
      <c r="C53" s="11"/>
      <c r="D53" s="11"/>
    </row>
    <row r="54" spans="1:4" x14ac:dyDescent="0.15">
      <c r="A54" s="11"/>
      <c r="B54" s="11"/>
      <c r="C54" s="11"/>
      <c r="D54" s="11"/>
    </row>
    <row r="55" spans="1:4" x14ac:dyDescent="0.15">
      <c r="A55" s="11"/>
      <c r="B55" s="11"/>
      <c r="C55" s="11"/>
      <c r="D55" s="11"/>
    </row>
    <row r="56" spans="1:4" x14ac:dyDescent="0.15">
      <c r="A56" s="11"/>
      <c r="B56" s="11"/>
      <c r="C56" s="11"/>
      <c r="D56" s="11"/>
    </row>
    <row r="57" spans="1:4" x14ac:dyDescent="0.15">
      <c r="A57" s="11"/>
      <c r="B57" s="11"/>
      <c r="C57" s="11"/>
      <c r="D57" s="11"/>
    </row>
    <row r="58" spans="1:4" x14ac:dyDescent="0.15">
      <c r="A58" s="11"/>
      <c r="B58" s="11"/>
      <c r="C58" s="11"/>
      <c r="D58" s="11"/>
    </row>
    <row r="59" spans="1:4" x14ac:dyDescent="0.15">
      <c r="A59" s="11"/>
      <c r="B59" s="11"/>
      <c r="C59" s="11"/>
      <c r="D59" s="11"/>
    </row>
    <row r="60" spans="1:4" x14ac:dyDescent="0.15">
      <c r="A60" s="11"/>
      <c r="B60" s="11"/>
      <c r="C60" s="11"/>
      <c r="D60" s="11"/>
    </row>
    <row r="61" spans="1:4" x14ac:dyDescent="0.15">
      <c r="A61" s="11"/>
      <c r="B61" s="11"/>
      <c r="C61" s="11"/>
      <c r="D61" s="11"/>
    </row>
    <row r="62" spans="1:4" x14ac:dyDescent="0.15">
      <c r="A62" s="11"/>
      <c r="B62" s="11"/>
      <c r="C62" s="11"/>
      <c r="D62" s="11"/>
    </row>
    <row r="63" spans="1:4" x14ac:dyDescent="0.15">
      <c r="A63" s="11"/>
      <c r="B63" s="11"/>
      <c r="C63" s="11"/>
      <c r="D63" s="11"/>
    </row>
    <row r="64" spans="1:4" x14ac:dyDescent="0.15">
      <c r="A64" s="11"/>
      <c r="B64" s="11"/>
      <c r="C64" s="11"/>
      <c r="D64" s="11"/>
    </row>
    <row r="65" spans="1:4" x14ac:dyDescent="0.15">
      <c r="A65" s="11"/>
      <c r="B65" s="11"/>
      <c r="C65" s="11"/>
      <c r="D65" s="11"/>
    </row>
    <row r="66" spans="1:4" x14ac:dyDescent="0.15">
      <c r="A66" s="11"/>
      <c r="B66" s="11"/>
      <c r="C66" s="11"/>
      <c r="D66" s="11"/>
    </row>
    <row r="67" spans="1:4" x14ac:dyDescent="0.15">
      <c r="A67" s="11"/>
      <c r="B67" s="11"/>
      <c r="C67" s="11"/>
      <c r="D67" s="11"/>
    </row>
    <row r="68" spans="1:4" x14ac:dyDescent="0.15">
      <c r="A68" s="11"/>
      <c r="B68" s="11"/>
      <c r="C68" s="11"/>
      <c r="D68" s="11"/>
    </row>
    <row r="69" spans="1:4" x14ac:dyDescent="0.15">
      <c r="A69" s="11"/>
      <c r="B69" s="11"/>
      <c r="C69" s="11"/>
      <c r="D69" s="11"/>
    </row>
    <row r="70" spans="1:4" x14ac:dyDescent="0.15">
      <c r="A70" s="11"/>
      <c r="B70" s="11"/>
      <c r="C70" s="11"/>
      <c r="D70" s="11"/>
    </row>
    <row r="71" spans="1:4" x14ac:dyDescent="0.15">
      <c r="A71" s="11"/>
      <c r="B71" s="11"/>
      <c r="C71" s="11"/>
      <c r="D71" s="11"/>
    </row>
    <row r="72" spans="1:4" x14ac:dyDescent="0.15">
      <c r="A72" s="11"/>
      <c r="B72" s="11"/>
      <c r="C72" s="11"/>
      <c r="D72" s="11"/>
    </row>
    <row r="73" spans="1:4" x14ac:dyDescent="0.15">
      <c r="A73" s="11"/>
      <c r="B73" s="11"/>
      <c r="C73" s="11"/>
      <c r="D73" s="11"/>
    </row>
    <row r="74" spans="1:4" x14ac:dyDescent="0.15">
      <c r="A74" s="11"/>
      <c r="B74" s="11"/>
      <c r="C74" s="11"/>
      <c r="D74" s="11"/>
    </row>
    <row r="75" spans="1:4" x14ac:dyDescent="0.15">
      <c r="A75" s="11"/>
      <c r="B75" s="11"/>
      <c r="C75" s="11"/>
      <c r="D75" s="11"/>
    </row>
    <row r="76" spans="1:4" x14ac:dyDescent="0.15">
      <c r="A76" s="11"/>
      <c r="B76" s="11"/>
      <c r="C76" s="11"/>
      <c r="D76" s="11"/>
    </row>
    <row r="77" spans="1:4" x14ac:dyDescent="0.15">
      <c r="A77" s="11"/>
      <c r="B77" s="11"/>
      <c r="C77" s="11"/>
      <c r="D77" s="11"/>
    </row>
    <row r="78" spans="1:4" x14ac:dyDescent="0.15">
      <c r="A78" s="11"/>
      <c r="B78" s="11"/>
      <c r="C78" s="11"/>
      <c r="D78" s="11"/>
    </row>
    <row r="79" spans="1:4" x14ac:dyDescent="0.15">
      <c r="A79" s="11"/>
      <c r="B79" s="11"/>
      <c r="C79" s="11"/>
      <c r="D79" s="11"/>
    </row>
    <row r="80" spans="1:4" x14ac:dyDescent="0.15">
      <c r="A80" s="11"/>
      <c r="B80" s="11"/>
      <c r="C80" s="11"/>
      <c r="D80" s="11"/>
    </row>
    <row r="81" spans="1:4" x14ac:dyDescent="0.15">
      <c r="A81" s="11"/>
      <c r="B81" s="11"/>
      <c r="C81" s="11"/>
      <c r="D81" s="11"/>
    </row>
    <row r="82" spans="1:4" x14ac:dyDescent="0.15">
      <c r="A82" s="11"/>
      <c r="B82" s="11"/>
      <c r="C82" s="11"/>
      <c r="D82" s="11"/>
    </row>
    <row r="83" spans="1:4" x14ac:dyDescent="0.15">
      <c r="A83" s="11"/>
      <c r="B83" s="11"/>
      <c r="C83" s="11"/>
      <c r="D83" s="11"/>
    </row>
    <row r="84" spans="1:4" x14ac:dyDescent="0.15">
      <c r="A84" s="11"/>
      <c r="B84" s="11"/>
      <c r="C84" s="11"/>
      <c r="D84" s="11"/>
    </row>
    <row r="85" spans="1:4" x14ac:dyDescent="0.15">
      <c r="A85" s="11"/>
      <c r="B85" s="11"/>
      <c r="C85" s="11"/>
      <c r="D85" s="11"/>
    </row>
    <row r="86" spans="1:4" x14ac:dyDescent="0.15">
      <c r="A86" s="11"/>
      <c r="B86" s="11"/>
      <c r="C86" s="11"/>
      <c r="D86" s="11"/>
    </row>
    <row r="87" spans="1:4" x14ac:dyDescent="0.15">
      <c r="A87" s="11"/>
      <c r="B87" s="11"/>
      <c r="C87" s="11"/>
      <c r="D87" s="11"/>
    </row>
    <row r="88" spans="1:4" x14ac:dyDescent="0.15">
      <c r="A88" s="11"/>
      <c r="B88" s="11"/>
      <c r="C88" s="11"/>
      <c r="D88" s="11"/>
    </row>
    <row r="89" spans="1:4" x14ac:dyDescent="0.15">
      <c r="A89" s="11"/>
      <c r="B89" s="11"/>
      <c r="C89" s="11"/>
      <c r="D89" s="11"/>
    </row>
    <row r="90" spans="1:4" x14ac:dyDescent="0.15">
      <c r="A90" s="11"/>
      <c r="B90" s="11"/>
      <c r="C90" s="11"/>
      <c r="D90" s="11"/>
    </row>
    <row r="91" spans="1:4" x14ac:dyDescent="0.15">
      <c r="A91" s="11"/>
      <c r="B91" s="11"/>
      <c r="C91" s="11"/>
      <c r="D91" s="11"/>
    </row>
    <row r="92" spans="1:4" x14ac:dyDescent="0.15">
      <c r="A92" s="11"/>
      <c r="B92" s="11"/>
      <c r="C92" s="11"/>
      <c r="D92" s="11"/>
    </row>
    <row r="93" spans="1:4" x14ac:dyDescent="0.15">
      <c r="A93" s="11"/>
      <c r="B93" s="11"/>
      <c r="C93" s="11"/>
      <c r="D93" s="11"/>
    </row>
    <row r="94" spans="1:4" x14ac:dyDescent="0.15">
      <c r="A94" s="11"/>
      <c r="B94" s="11"/>
      <c r="C94" s="11"/>
      <c r="D94" s="11"/>
    </row>
    <row r="95" spans="1:4" x14ac:dyDescent="0.15">
      <c r="A95" s="11"/>
      <c r="B95" s="11"/>
      <c r="C95" s="11"/>
      <c r="D95" s="11"/>
    </row>
    <row r="96" spans="1:4" x14ac:dyDescent="0.15">
      <c r="A96" s="11"/>
      <c r="B96" s="11"/>
      <c r="C96" s="11"/>
      <c r="D96" s="11"/>
    </row>
    <row r="97" spans="1:4" x14ac:dyDescent="0.15">
      <c r="A97" s="11"/>
      <c r="B97" s="11"/>
      <c r="C97" s="11"/>
      <c r="D97" s="11"/>
    </row>
    <row r="98" spans="1:4" x14ac:dyDescent="0.15">
      <c r="A98" s="11"/>
      <c r="B98" s="11"/>
      <c r="C98" s="11"/>
      <c r="D98" s="11"/>
    </row>
    <row r="99" spans="1:4" x14ac:dyDescent="0.15">
      <c r="A99" s="11"/>
      <c r="B99" s="11"/>
      <c r="C99" s="11"/>
      <c r="D99" s="11"/>
    </row>
    <row r="100" spans="1:4" x14ac:dyDescent="0.15">
      <c r="A100" s="11"/>
      <c r="B100" s="11"/>
      <c r="C100" s="11"/>
      <c r="D100" s="11"/>
    </row>
    <row r="101" spans="1:4" x14ac:dyDescent="0.15">
      <c r="A101" s="11"/>
      <c r="B101" s="11"/>
      <c r="C101" s="11"/>
      <c r="D101" s="11"/>
    </row>
    <row r="102" spans="1:4" x14ac:dyDescent="0.15">
      <c r="A102" s="11"/>
      <c r="B102" s="11"/>
      <c r="C102" s="11"/>
      <c r="D102" s="11"/>
    </row>
    <row r="103" spans="1:4" x14ac:dyDescent="0.15">
      <c r="A103" s="11"/>
      <c r="B103" s="11"/>
      <c r="C103" s="11"/>
      <c r="D103" s="11"/>
    </row>
    <row r="104" spans="1:4" x14ac:dyDescent="0.15">
      <c r="A104" s="11"/>
      <c r="B104" s="11"/>
      <c r="C104" s="11"/>
      <c r="D104" s="11"/>
    </row>
    <row r="105" spans="1:4" x14ac:dyDescent="0.15">
      <c r="A105" s="11"/>
      <c r="B105" s="11"/>
      <c r="C105" s="11"/>
      <c r="D105" s="11"/>
    </row>
    <row r="106" spans="1:4" x14ac:dyDescent="0.15">
      <c r="A106" s="11"/>
      <c r="B106" s="11"/>
      <c r="C106" s="11"/>
      <c r="D106" s="11"/>
    </row>
    <row r="107" spans="1:4" x14ac:dyDescent="0.15">
      <c r="A107" s="11"/>
      <c r="B107" s="11"/>
      <c r="C107" s="11"/>
      <c r="D107" s="11"/>
    </row>
    <row r="108" spans="1:4" x14ac:dyDescent="0.15">
      <c r="A108" s="11"/>
      <c r="B108" s="11"/>
      <c r="C108" s="11"/>
      <c r="D108" s="11"/>
    </row>
    <row r="109" spans="1:4" x14ac:dyDescent="0.15">
      <c r="A109" s="11"/>
      <c r="B109" s="11"/>
      <c r="C109" s="11"/>
      <c r="D109" s="11"/>
    </row>
    <row r="110" spans="1:4" x14ac:dyDescent="0.15">
      <c r="A110" s="11"/>
      <c r="B110" s="11"/>
      <c r="C110" s="11"/>
      <c r="D110" s="11"/>
    </row>
    <row r="111" spans="1:4" x14ac:dyDescent="0.15">
      <c r="A111" s="11"/>
      <c r="B111" s="11"/>
      <c r="C111" s="11"/>
      <c r="D111" s="11"/>
    </row>
    <row r="112" spans="1:4" x14ac:dyDescent="0.15">
      <c r="A112" s="11"/>
      <c r="B112" s="11"/>
      <c r="C112" s="11"/>
      <c r="D112" s="11"/>
    </row>
    <row r="113" spans="1:4" x14ac:dyDescent="0.15">
      <c r="A113" s="11"/>
      <c r="B113" s="11"/>
      <c r="C113" s="11"/>
      <c r="D113" s="11"/>
    </row>
    <row r="114" spans="1:4" x14ac:dyDescent="0.15">
      <c r="A114" s="11"/>
      <c r="B114" s="11"/>
      <c r="C114" s="11"/>
      <c r="D114" s="11"/>
    </row>
    <row r="115" spans="1:4" x14ac:dyDescent="0.15">
      <c r="A115" s="11"/>
      <c r="B115" s="11"/>
      <c r="C115" s="11"/>
      <c r="D115" s="11"/>
    </row>
    <row r="116" spans="1:4" x14ac:dyDescent="0.15">
      <c r="A116" s="11"/>
      <c r="B116" s="11"/>
      <c r="C116" s="11"/>
      <c r="D116" s="11"/>
    </row>
    <row r="117" spans="1:4" x14ac:dyDescent="0.15">
      <c r="A117" s="11"/>
      <c r="B117" s="11"/>
      <c r="C117" s="11"/>
      <c r="D117" s="11"/>
    </row>
    <row r="118" spans="1:4" x14ac:dyDescent="0.15">
      <c r="A118" s="11"/>
      <c r="B118" s="11"/>
      <c r="C118" s="11"/>
      <c r="D118" s="11"/>
    </row>
    <row r="119" spans="1:4" x14ac:dyDescent="0.15">
      <c r="A119" s="11"/>
      <c r="B119" s="11"/>
      <c r="C119" s="11"/>
      <c r="D119" s="11"/>
    </row>
    <row r="120" spans="1:4" x14ac:dyDescent="0.15">
      <c r="A120" s="11"/>
      <c r="B120" s="11"/>
      <c r="C120" s="11"/>
      <c r="D120" s="11"/>
    </row>
    <row r="121" spans="1:4" x14ac:dyDescent="0.15">
      <c r="A121" s="11"/>
      <c r="B121" s="11"/>
      <c r="C121" s="11"/>
      <c r="D121" s="11"/>
    </row>
    <row r="122" spans="1:4" x14ac:dyDescent="0.15">
      <c r="A122" s="11"/>
      <c r="B122" s="11"/>
      <c r="C122" s="11"/>
      <c r="D122" s="11"/>
    </row>
    <row r="123" spans="1:4" x14ac:dyDescent="0.15">
      <c r="A123" s="11"/>
      <c r="B123" s="11"/>
      <c r="C123" s="11"/>
      <c r="D123" s="11"/>
    </row>
    <row r="124" spans="1:4" x14ac:dyDescent="0.15">
      <c r="A124" s="11"/>
      <c r="B124" s="11"/>
      <c r="C124" s="11"/>
      <c r="D124" s="11"/>
    </row>
    <row r="125" spans="1:4" x14ac:dyDescent="0.15">
      <c r="A125" s="11"/>
      <c r="B125" s="11"/>
      <c r="C125" s="11"/>
      <c r="D125" s="11"/>
    </row>
    <row r="126" spans="1:4" x14ac:dyDescent="0.15">
      <c r="A126" s="11"/>
      <c r="B126" s="11"/>
      <c r="C126" s="11"/>
      <c r="D126" s="11"/>
    </row>
    <row r="127" spans="1:4" x14ac:dyDescent="0.15">
      <c r="A127" s="11"/>
      <c r="B127" s="11"/>
      <c r="C127" s="11"/>
      <c r="D127" s="11"/>
    </row>
    <row r="128" spans="1:4" x14ac:dyDescent="0.15">
      <c r="A128" s="11"/>
      <c r="B128" s="11"/>
      <c r="C128" s="11"/>
      <c r="D128" s="11"/>
    </row>
    <row r="129" spans="1:4" x14ac:dyDescent="0.15">
      <c r="A129" s="11"/>
      <c r="B129" s="11"/>
      <c r="C129" s="11"/>
      <c r="D129" s="11"/>
    </row>
    <row r="130" spans="1:4" x14ac:dyDescent="0.15">
      <c r="A130" s="11"/>
      <c r="B130" s="11"/>
      <c r="C130" s="11"/>
      <c r="D130" s="11"/>
    </row>
    <row r="131" spans="1:4" x14ac:dyDescent="0.15">
      <c r="A131" s="11"/>
      <c r="B131" s="11"/>
      <c r="C131" s="11"/>
      <c r="D131" s="11"/>
    </row>
    <row r="132" spans="1:4" x14ac:dyDescent="0.15">
      <c r="A132" s="11"/>
      <c r="B132" s="11"/>
      <c r="C132" s="11"/>
      <c r="D132" s="11"/>
    </row>
    <row r="133" spans="1:4" x14ac:dyDescent="0.15">
      <c r="A133" s="11"/>
      <c r="B133" s="11"/>
      <c r="C133" s="11"/>
      <c r="D133" s="11"/>
    </row>
    <row r="134" spans="1:4" x14ac:dyDescent="0.15">
      <c r="A134" s="11"/>
      <c r="B134" s="11"/>
      <c r="C134" s="11"/>
      <c r="D134" s="11"/>
    </row>
    <row r="135" spans="1:4" x14ac:dyDescent="0.15">
      <c r="A135" s="11"/>
      <c r="B135" s="11"/>
      <c r="C135" s="11"/>
      <c r="D135" s="11"/>
    </row>
    <row r="136" spans="1:4" x14ac:dyDescent="0.15">
      <c r="A136" s="11"/>
      <c r="B136" s="11"/>
      <c r="C136" s="11"/>
      <c r="D136" s="11"/>
    </row>
  </sheetData>
  <phoneticPr fontId="11"/>
  <dataValidations count="2">
    <dataValidation type="list" allowBlank="1" showInputMessage="1" showErrorMessage="1" sqref="B2:B136">
      <formula1>"fyber,adstir"</formula1>
    </dataValidation>
    <dataValidation type="list" allowBlank="1" showInputMessage="1" showErrorMessage="1" sqref="C2:C136">
      <formula1>"quest,home"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R12"/>
  <sheetViews>
    <sheetView workbookViewId="0">
      <selection activeCell="G3" sqref="G2:G12"/>
    </sheetView>
  </sheetViews>
  <sheetFormatPr baseColWidth="12" defaultRowHeight="14" x14ac:dyDescent="0.15"/>
  <cols>
    <col min="1" max="1" width="17.59765625" bestFit="1" customWidth="1"/>
    <col min="5" max="5" width="25" bestFit="1" customWidth="1"/>
    <col min="16" max="16" width="25" bestFit="1" customWidth="1"/>
    <col min="17" max="17" width="15.59765625" bestFit="1" customWidth="1"/>
    <col min="18" max="18" width="63.3984375" bestFit="1" customWidth="1"/>
  </cols>
  <sheetData>
    <row r="1" spans="1:18" x14ac:dyDescent="0.15">
      <c r="A1" s="14" t="s">
        <v>74</v>
      </c>
      <c r="B1" s="14" t="s">
        <v>31</v>
      </c>
      <c r="C1" s="14" t="s">
        <v>19</v>
      </c>
      <c r="D1" s="14" t="s">
        <v>34</v>
      </c>
      <c r="E1" s="15" t="s">
        <v>41</v>
      </c>
      <c r="F1" s="14" t="s">
        <v>35</v>
      </c>
      <c r="G1" s="14" t="s">
        <v>52</v>
      </c>
      <c r="H1" s="14" t="s">
        <v>16</v>
      </c>
      <c r="I1" s="14" t="s">
        <v>14</v>
      </c>
      <c r="J1" s="14" t="s">
        <v>17</v>
      </c>
      <c r="K1" s="14" t="s">
        <v>13</v>
      </c>
      <c r="L1" s="14" t="s">
        <v>15</v>
      </c>
      <c r="M1" s="14" t="s">
        <v>11</v>
      </c>
      <c r="N1" s="14" t="s">
        <v>12</v>
      </c>
      <c r="O1" s="14" t="s">
        <v>53</v>
      </c>
      <c r="P1" s="14" t="s">
        <v>54</v>
      </c>
      <c r="Q1" s="14" t="s">
        <v>55</v>
      </c>
      <c r="R1" s="14" t="s">
        <v>56</v>
      </c>
    </row>
    <row r="2" spans="1:18" ht="28" x14ac:dyDescent="0.15">
      <c r="A2" s="13">
        <v>1</v>
      </c>
      <c r="B2" s="13">
        <v>5000</v>
      </c>
      <c r="C2" s="13" t="s">
        <v>36</v>
      </c>
      <c r="D2" s="13">
        <v>1</v>
      </c>
      <c r="E2" s="15" t="s">
        <v>42</v>
      </c>
      <c r="F2" s="13" t="s">
        <v>57</v>
      </c>
      <c r="G2" s="13">
        <v>999990</v>
      </c>
      <c r="H2" s="13">
        <v>1</v>
      </c>
      <c r="I2" s="13">
        <v>1</v>
      </c>
      <c r="J2" s="13">
        <v>0</v>
      </c>
      <c r="K2" s="13">
        <v>0</v>
      </c>
      <c r="L2" s="13">
        <v>0</v>
      </c>
      <c r="M2" s="13">
        <v>0</v>
      </c>
      <c r="N2" s="13">
        <v>1</v>
      </c>
      <c r="O2" s="13" t="s">
        <v>58</v>
      </c>
      <c r="P2" s="13" t="str">
        <f>E2</f>
        <v>ポリゴン × 1</v>
      </c>
      <c r="Q2" s="13" t="s">
        <v>59</v>
      </c>
      <c r="R2" s="30" t="str">
        <f>CONCATENATE("ハッピーくじ特典として",CHAR(13),"『",P2,"』をプレゼント！")</f>
        <v>ハッピーくじ特典として_x000D_『ポリゴン × 1』をプレゼント！</v>
      </c>
    </row>
    <row r="3" spans="1:18" ht="28" x14ac:dyDescent="0.15">
      <c r="A3" s="13">
        <v>1</v>
      </c>
      <c r="B3" s="13">
        <f>B2+1</f>
        <v>5001</v>
      </c>
      <c r="C3" s="13" t="s">
        <v>36</v>
      </c>
      <c r="D3" s="13">
        <v>50</v>
      </c>
      <c r="E3" s="15" t="s">
        <v>43</v>
      </c>
      <c r="F3" s="13" t="s">
        <v>57</v>
      </c>
      <c r="G3" s="13">
        <v>10</v>
      </c>
      <c r="H3" s="13">
        <v>1</v>
      </c>
      <c r="I3" s="13">
        <v>1</v>
      </c>
      <c r="J3" s="13">
        <v>0</v>
      </c>
      <c r="K3" s="13">
        <v>0</v>
      </c>
      <c r="L3" s="13">
        <v>0</v>
      </c>
      <c r="M3" s="13">
        <v>0</v>
      </c>
      <c r="N3" s="13">
        <v>1</v>
      </c>
      <c r="O3" s="13" t="s">
        <v>58</v>
      </c>
      <c r="P3" s="13" t="str">
        <f t="shared" ref="P3:P11" si="0">E3</f>
        <v>ポリゴン × 50</v>
      </c>
      <c r="Q3" s="13" t="s">
        <v>59</v>
      </c>
      <c r="R3" s="30" t="str">
        <f t="shared" ref="R3:R11" si="1">CONCATENATE("ハッピーくじ特典として",CHAR(13),"『",P3,"』をプレゼント！")</f>
        <v>ハッピーくじ特典として_x000D_『ポリゴン × 50』をプレゼント！</v>
      </c>
    </row>
    <row r="4" spans="1:18" ht="28" x14ac:dyDescent="0.15">
      <c r="A4" s="13">
        <v>1</v>
      </c>
      <c r="B4" s="13">
        <f t="shared" ref="B4:B12" si="2">B3+1</f>
        <v>5002</v>
      </c>
      <c r="C4" s="13" t="s">
        <v>37</v>
      </c>
      <c r="D4" s="13">
        <v>2</v>
      </c>
      <c r="E4" s="15" t="s">
        <v>44</v>
      </c>
      <c r="F4" s="13">
        <v>1</v>
      </c>
      <c r="G4" s="13">
        <v>600000</v>
      </c>
      <c r="H4" s="13">
        <v>1</v>
      </c>
      <c r="I4" s="13">
        <v>1</v>
      </c>
      <c r="J4" s="13">
        <v>0</v>
      </c>
      <c r="K4" s="13">
        <v>0</v>
      </c>
      <c r="L4" s="13">
        <v>0</v>
      </c>
      <c r="M4" s="13">
        <v>0</v>
      </c>
      <c r="N4" s="13">
        <v>1</v>
      </c>
      <c r="O4" s="13" t="s">
        <v>58</v>
      </c>
      <c r="P4" s="13" t="str">
        <f t="shared" si="0"/>
        <v>経験値キー × 1</v>
      </c>
      <c r="Q4" s="13" t="s">
        <v>59</v>
      </c>
      <c r="R4" s="30" t="str">
        <f t="shared" si="1"/>
        <v>ハッピーくじ特典として_x000D_『経験値キー × 1』をプレゼント！</v>
      </c>
    </row>
    <row r="5" spans="1:18" ht="28" x14ac:dyDescent="0.15">
      <c r="A5" s="13">
        <v>1</v>
      </c>
      <c r="B5" s="13">
        <f t="shared" si="2"/>
        <v>5003</v>
      </c>
      <c r="C5" s="13" t="s">
        <v>37</v>
      </c>
      <c r="D5" s="13">
        <v>3</v>
      </c>
      <c r="E5" s="15" t="s">
        <v>45</v>
      </c>
      <c r="F5" s="13">
        <v>1</v>
      </c>
      <c r="G5" s="13">
        <v>600000</v>
      </c>
      <c r="H5" s="13">
        <v>1</v>
      </c>
      <c r="I5" s="13">
        <v>1</v>
      </c>
      <c r="J5" s="13">
        <v>0</v>
      </c>
      <c r="K5" s="13">
        <v>0</v>
      </c>
      <c r="L5" s="13">
        <v>0</v>
      </c>
      <c r="M5" s="13">
        <v>0</v>
      </c>
      <c r="N5" s="13">
        <v>1</v>
      </c>
      <c r="O5" s="13" t="s">
        <v>58</v>
      </c>
      <c r="P5" s="13" t="str">
        <f t="shared" si="0"/>
        <v>ビットキー × 1</v>
      </c>
      <c r="Q5" s="13" t="s">
        <v>59</v>
      </c>
      <c r="R5" s="30" t="str">
        <f t="shared" si="1"/>
        <v>ハッピーくじ特典として_x000D_『ビットキー × 1』をプレゼント！</v>
      </c>
    </row>
    <row r="6" spans="1:18" ht="28" x14ac:dyDescent="0.15">
      <c r="A6" s="13">
        <v>1</v>
      </c>
      <c r="B6" s="13">
        <f t="shared" si="2"/>
        <v>5004</v>
      </c>
      <c r="C6" s="13" t="s">
        <v>37</v>
      </c>
      <c r="D6" s="13">
        <v>4</v>
      </c>
      <c r="E6" s="15" t="s">
        <v>46</v>
      </c>
      <c r="F6" s="13">
        <v>1</v>
      </c>
      <c r="G6" s="13">
        <v>600000</v>
      </c>
      <c r="H6" s="13">
        <v>1</v>
      </c>
      <c r="I6" s="13">
        <v>1</v>
      </c>
      <c r="J6" s="13">
        <v>0</v>
      </c>
      <c r="K6" s="13">
        <v>0</v>
      </c>
      <c r="L6" s="13">
        <v>0</v>
      </c>
      <c r="M6" s="13">
        <v>0</v>
      </c>
      <c r="N6" s="13">
        <v>1</v>
      </c>
      <c r="O6" s="13" t="s">
        <v>58</v>
      </c>
      <c r="P6" s="13" t="str">
        <f t="shared" si="0"/>
        <v>限界突破キー × 1</v>
      </c>
      <c r="Q6" s="13" t="s">
        <v>59</v>
      </c>
      <c r="R6" s="30" t="str">
        <f t="shared" si="1"/>
        <v>ハッピーくじ特典として_x000D_『限界突破キー × 1』をプレゼント！</v>
      </c>
    </row>
    <row r="7" spans="1:18" ht="28" x14ac:dyDescent="0.15">
      <c r="A7" s="13">
        <v>1</v>
      </c>
      <c r="B7" s="13">
        <f t="shared" si="2"/>
        <v>5005</v>
      </c>
      <c r="C7" s="13" t="s">
        <v>38</v>
      </c>
      <c r="D7" s="13">
        <v>100000</v>
      </c>
      <c r="E7" s="15" t="s">
        <v>49</v>
      </c>
      <c r="F7" s="13" t="s">
        <v>57</v>
      </c>
      <c r="G7" s="13">
        <v>1000000</v>
      </c>
      <c r="H7" s="13">
        <v>1</v>
      </c>
      <c r="I7" s="13">
        <v>1</v>
      </c>
      <c r="J7" s="13">
        <v>0</v>
      </c>
      <c r="K7" s="13">
        <v>0</v>
      </c>
      <c r="L7" s="13">
        <v>0</v>
      </c>
      <c r="M7" s="13">
        <v>0</v>
      </c>
      <c r="N7" s="13">
        <v>1</v>
      </c>
      <c r="O7" s="13" t="s">
        <v>58</v>
      </c>
      <c r="P7" s="13" t="str">
        <f t="shared" si="0"/>
        <v>10万ビット</v>
      </c>
      <c r="Q7" s="13" t="s">
        <v>59</v>
      </c>
      <c r="R7" s="30" t="str">
        <f t="shared" si="1"/>
        <v>ハッピーくじ特典として_x000D_『10万ビット』をプレゼント！</v>
      </c>
    </row>
    <row r="8" spans="1:18" ht="28" x14ac:dyDescent="0.15">
      <c r="A8" s="13">
        <v>1</v>
      </c>
      <c r="B8" s="13">
        <f t="shared" si="2"/>
        <v>5006</v>
      </c>
      <c r="C8" s="13" t="s">
        <v>39</v>
      </c>
      <c r="D8" s="13">
        <v>500</v>
      </c>
      <c r="E8" s="15" t="s">
        <v>50</v>
      </c>
      <c r="F8" s="13" t="s">
        <v>57</v>
      </c>
      <c r="G8" s="13">
        <v>1000000</v>
      </c>
      <c r="H8" s="13">
        <v>1</v>
      </c>
      <c r="I8" s="13">
        <v>1</v>
      </c>
      <c r="J8" s="13">
        <v>0</v>
      </c>
      <c r="K8" s="13">
        <v>0</v>
      </c>
      <c r="L8" s="13">
        <v>0</v>
      </c>
      <c r="M8" s="13">
        <v>0</v>
      </c>
      <c r="N8" s="13">
        <v>1</v>
      </c>
      <c r="O8" s="13" t="s">
        <v>58</v>
      </c>
      <c r="P8" s="13" t="str">
        <f t="shared" si="0"/>
        <v>500リンク</v>
      </c>
      <c r="Q8" s="13" t="s">
        <v>59</v>
      </c>
      <c r="R8" s="30" t="str">
        <f t="shared" si="1"/>
        <v>ハッピーくじ特典として_x000D_『500リンク』をプレゼント！</v>
      </c>
    </row>
    <row r="9" spans="1:18" ht="28" x14ac:dyDescent="0.15">
      <c r="A9" s="13">
        <v>1</v>
      </c>
      <c r="B9" s="13">
        <f t="shared" si="2"/>
        <v>5007</v>
      </c>
      <c r="C9" s="13" t="s">
        <v>40</v>
      </c>
      <c r="D9" s="13">
        <v>607</v>
      </c>
      <c r="E9" s="15" t="s">
        <v>47</v>
      </c>
      <c r="F9" s="13">
        <v>1</v>
      </c>
      <c r="G9" s="13">
        <v>1000000</v>
      </c>
      <c r="H9" s="13">
        <v>1</v>
      </c>
      <c r="I9" s="13">
        <v>1</v>
      </c>
      <c r="J9" s="13">
        <v>0</v>
      </c>
      <c r="K9" s="13">
        <v>0</v>
      </c>
      <c r="L9" s="13">
        <v>0</v>
      </c>
      <c r="M9" s="13">
        <v>0</v>
      </c>
      <c r="N9" s="13">
        <v>1</v>
      </c>
      <c r="O9" s="13" t="s">
        <v>58</v>
      </c>
      <c r="P9" s="13" t="str">
        <f t="shared" si="0"/>
        <v>メガ攻めの果実 × 1</v>
      </c>
      <c r="Q9" s="13" t="s">
        <v>59</v>
      </c>
      <c r="R9" s="30" t="str">
        <f t="shared" si="1"/>
        <v>ハッピーくじ特典として_x000D_『メガ攻めの果実 × 1』をプレゼント！</v>
      </c>
    </row>
    <row r="10" spans="1:18" ht="28" x14ac:dyDescent="0.15">
      <c r="A10" s="13">
        <v>1</v>
      </c>
      <c r="B10" s="13">
        <f t="shared" si="2"/>
        <v>5008</v>
      </c>
      <c r="C10" s="13" t="s">
        <v>40</v>
      </c>
      <c r="D10" s="13">
        <v>608</v>
      </c>
      <c r="E10" s="15" t="s">
        <v>48</v>
      </c>
      <c r="F10" s="13">
        <v>1</v>
      </c>
      <c r="G10" s="13">
        <v>1000000</v>
      </c>
      <c r="H10" s="13">
        <v>1</v>
      </c>
      <c r="I10" s="13">
        <v>1</v>
      </c>
      <c r="J10" s="13">
        <v>0</v>
      </c>
      <c r="K10" s="13">
        <v>0</v>
      </c>
      <c r="L10" s="13">
        <v>0</v>
      </c>
      <c r="M10" s="13">
        <v>0</v>
      </c>
      <c r="N10" s="13">
        <v>1</v>
      </c>
      <c r="O10" s="13" t="s">
        <v>58</v>
      </c>
      <c r="P10" s="13" t="str">
        <f t="shared" si="0"/>
        <v>メガ生命の果実 × 1</v>
      </c>
      <c r="Q10" s="13" t="s">
        <v>59</v>
      </c>
      <c r="R10" s="30" t="str">
        <f t="shared" si="1"/>
        <v>ハッピーくじ特典として_x000D_『メガ生命の果実 × 1』をプレゼント！</v>
      </c>
    </row>
    <row r="11" spans="1:18" ht="28" x14ac:dyDescent="0.15">
      <c r="A11" s="13">
        <v>1</v>
      </c>
      <c r="B11" s="13">
        <f t="shared" si="2"/>
        <v>5009</v>
      </c>
      <c r="C11" s="13" t="s">
        <v>40</v>
      </c>
      <c r="D11" s="13">
        <v>609</v>
      </c>
      <c r="E11" s="15" t="s">
        <v>51</v>
      </c>
      <c r="F11" s="13">
        <v>1</v>
      </c>
      <c r="G11" s="13">
        <v>1000000</v>
      </c>
      <c r="H11" s="13">
        <v>1</v>
      </c>
      <c r="I11" s="13">
        <v>1</v>
      </c>
      <c r="J11" s="13">
        <v>0</v>
      </c>
      <c r="K11" s="13">
        <v>0</v>
      </c>
      <c r="L11" s="13">
        <v>0</v>
      </c>
      <c r="M11" s="13">
        <v>0</v>
      </c>
      <c r="N11" s="13">
        <v>1</v>
      </c>
      <c r="O11" s="13" t="s">
        <v>58</v>
      </c>
      <c r="P11" s="13" t="str">
        <f t="shared" si="0"/>
        <v>メガ癒しの果実 × 1</v>
      </c>
      <c r="Q11" s="13" t="s">
        <v>59</v>
      </c>
      <c r="R11" s="30" t="str">
        <f t="shared" si="1"/>
        <v>ハッピーくじ特典として_x000D_『メガ癒しの果実 × 1』をプレゼント！</v>
      </c>
    </row>
    <row r="12" spans="1:18" ht="28" x14ac:dyDescent="0.15">
      <c r="A12" s="13">
        <v>1</v>
      </c>
      <c r="B12" s="13">
        <f t="shared" si="2"/>
        <v>5010</v>
      </c>
      <c r="C12" s="13" t="s">
        <v>37</v>
      </c>
      <c r="D12" s="13">
        <v>909</v>
      </c>
      <c r="E12" s="15" t="s">
        <v>77</v>
      </c>
      <c r="F12" s="13">
        <v>1</v>
      </c>
      <c r="G12" s="13">
        <v>2200000</v>
      </c>
      <c r="H12" s="13">
        <v>1</v>
      </c>
      <c r="I12" s="13">
        <v>1</v>
      </c>
      <c r="J12" s="13">
        <v>0</v>
      </c>
      <c r="K12" s="13">
        <v>0</v>
      </c>
      <c r="L12" s="13">
        <v>0</v>
      </c>
      <c r="M12" s="13">
        <v>0</v>
      </c>
      <c r="N12" s="13">
        <v>1</v>
      </c>
      <c r="O12" s="13" t="s">
        <v>58</v>
      </c>
      <c r="P12" s="13" t="s">
        <v>76</v>
      </c>
      <c r="Q12" s="13" t="s">
        <v>59</v>
      </c>
      <c r="R12" s="30" t="str">
        <f>CONCATENATE("ハッピーくじ特典として",CHAR(13),"『",P12,"』をプレゼント！")</f>
        <v>ハッピーくじ特典として_x000D_『ハッピーチケットピース × 1』をプレゼント！</v>
      </c>
    </row>
  </sheetData>
  <phoneticPr fontId="11"/>
  <dataValidations disablePrompts="1" count="1">
    <dataValidation type="list" allowBlank="1" showInputMessage="1" showErrorMessage="1" sqref="C2:C12">
      <formula1>"unit,polygon,bit,link,item,ghost"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output</vt:lpstr>
      <vt:lpstr>reward_conditions</vt:lpstr>
      <vt:lpstr>gifts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2017-06-08T03:00:39Z</dcterms:modified>
</cp:coreProperties>
</file>