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5300" yWindow="680" windowWidth="23500" windowHeight="1490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8" l="1"/>
  <c r="D19" i="18"/>
  <c r="J16" i="11"/>
  <c r="O18" i="9"/>
  <c r="N18" i="9"/>
  <c r="M18" i="9"/>
  <c r="L18" i="9"/>
  <c r="K18" i="9"/>
  <c r="J18" i="9"/>
  <c r="I18" i="9"/>
  <c r="H18" i="9"/>
  <c r="G18" i="9"/>
  <c r="E18" i="9"/>
  <c r="D18" i="9"/>
  <c r="A18" i="9"/>
  <c r="J15" i="11"/>
  <c r="O17" i="9"/>
  <c r="N17" i="9"/>
  <c r="M17" i="9"/>
  <c r="L17" i="9"/>
  <c r="K17" i="9"/>
  <c r="J17" i="9"/>
  <c r="I17" i="9"/>
  <c r="H17" i="9"/>
  <c r="G17" i="9"/>
  <c r="E17" i="9"/>
  <c r="D17" i="9"/>
  <c r="A17" i="9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17" i="21"/>
  <c r="F17" i="21"/>
  <c r="G17" i="21"/>
  <c r="I17" i="21"/>
  <c r="J17" i="21"/>
  <c r="D17" i="21"/>
  <c r="C17" i="21"/>
  <c r="B27" i="21"/>
  <c r="I27" i="21"/>
  <c r="J27" i="21"/>
  <c r="G27" i="21"/>
  <c r="F27" i="21"/>
  <c r="D27" i="21"/>
  <c r="C27" i="21"/>
  <c r="L40" i="19"/>
  <c r="K40" i="19"/>
  <c r="B40" i="19"/>
  <c r="G40" i="19"/>
  <c r="F40" i="19"/>
  <c r="D40" i="19"/>
  <c r="C40" i="19"/>
  <c r="L39" i="19"/>
  <c r="K39" i="19"/>
  <c r="B39" i="19"/>
  <c r="G39" i="19"/>
  <c r="F39" i="19"/>
  <c r="D39" i="19"/>
  <c r="C39" i="19"/>
  <c r="L38" i="19"/>
  <c r="K38" i="19"/>
  <c r="B38" i="19"/>
  <c r="G38" i="19"/>
  <c r="F38" i="19"/>
  <c r="D38" i="19"/>
  <c r="C38" i="19"/>
  <c r="L37" i="19"/>
  <c r="K37" i="19"/>
  <c r="B37" i="19"/>
  <c r="G37" i="19"/>
  <c r="F37" i="19"/>
  <c r="D37" i="19"/>
  <c r="C37" i="19"/>
  <c r="L36" i="19"/>
  <c r="K36" i="19"/>
  <c r="B36" i="19"/>
  <c r="G36" i="19"/>
  <c r="F36" i="19"/>
  <c r="D36" i="19"/>
  <c r="C36" i="19"/>
  <c r="L35" i="19"/>
  <c r="K35" i="19"/>
  <c r="B35" i="19"/>
  <c r="G35" i="19"/>
  <c r="F35" i="19"/>
  <c r="D35" i="19"/>
  <c r="C35" i="19"/>
  <c r="L34" i="19"/>
  <c r="K34" i="19"/>
  <c r="B34" i="19"/>
  <c r="G34" i="19"/>
  <c r="F34" i="19"/>
  <c r="D34" i="19"/>
  <c r="C34" i="19"/>
  <c r="L33" i="19"/>
  <c r="K33" i="19"/>
  <c r="B33" i="19"/>
  <c r="G33" i="19"/>
  <c r="F33" i="19"/>
  <c r="D33" i="19"/>
  <c r="C33" i="19"/>
  <c r="L32" i="19"/>
  <c r="K32" i="19"/>
  <c r="B32" i="19"/>
  <c r="G32" i="19"/>
  <c r="F32" i="19"/>
  <c r="D32" i="19"/>
  <c r="C32" i="19"/>
  <c r="L31" i="19"/>
  <c r="K31" i="19"/>
  <c r="B31" i="19"/>
  <c r="G31" i="19"/>
  <c r="F31" i="19"/>
  <c r="D31" i="19"/>
  <c r="C31" i="19"/>
  <c r="L30" i="19"/>
  <c r="K30" i="19"/>
  <c r="B30" i="19"/>
  <c r="G30" i="19"/>
  <c r="F30" i="19"/>
  <c r="D30" i="19"/>
  <c r="C30" i="19"/>
  <c r="L29" i="19"/>
  <c r="K29" i="19"/>
  <c r="B29" i="19"/>
  <c r="G29" i="19"/>
  <c r="F29" i="19"/>
  <c r="D29" i="19"/>
  <c r="C29" i="19"/>
  <c r="L28" i="19"/>
  <c r="K28" i="19"/>
  <c r="B28" i="19"/>
  <c r="G28" i="19"/>
  <c r="F28" i="19"/>
  <c r="D28" i="19"/>
  <c r="C28" i="19"/>
  <c r="B5" i="21"/>
  <c r="I5" i="21"/>
  <c r="J5" i="21"/>
  <c r="G5" i="21"/>
  <c r="F5" i="21"/>
  <c r="D5" i="21"/>
  <c r="C5" i="21"/>
  <c r="B11" i="21"/>
  <c r="I11" i="21"/>
  <c r="J11" i="21"/>
  <c r="G11" i="21"/>
  <c r="F11" i="21"/>
  <c r="D11" i="21"/>
  <c r="C11" i="21"/>
  <c r="B21" i="21"/>
  <c r="I21" i="21"/>
  <c r="J21" i="21"/>
  <c r="G21" i="21"/>
  <c r="F21" i="21"/>
  <c r="D21" i="21"/>
  <c r="C21" i="21"/>
  <c r="B26" i="21"/>
  <c r="I26" i="21"/>
  <c r="J26" i="21"/>
  <c r="G26" i="21"/>
  <c r="F26" i="21"/>
  <c r="D26" i="21"/>
  <c r="C26" i="21"/>
  <c r="B16" i="21"/>
  <c r="I16" i="21"/>
  <c r="J16" i="21"/>
  <c r="G16" i="21"/>
  <c r="F16" i="21"/>
  <c r="D16" i="21"/>
  <c r="C16" i="21"/>
  <c r="B25" i="21"/>
  <c r="I25" i="21"/>
  <c r="J25" i="21"/>
  <c r="G25" i="21"/>
  <c r="F25" i="21"/>
  <c r="D25" i="21"/>
  <c r="C25" i="21"/>
  <c r="B24" i="21"/>
  <c r="I24" i="21"/>
  <c r="J24" i="21"/>
  <c r="G24" i="21"/>
  <c r="F24" i="21"/>
  <c r="D24" i="21"/>
  <c r="C24" i="21"/>
  <c r="B23" i="21"/>
  <c r="I23" i="21"/>
  <c r="J23" i="21"/>
  <c r="G23" i="21"/>
  <c r="F23" i="21"/>
  <c r="D23" i="21"/>
  <c r="C23" i="21"/>
  <c r="B22" i="21"/>
  <c r="I22" i="21"/>
  <c r="J22" i="21"/>
  <c r="G22" i="21"/>
  <c r="F22" i="21"/>
  <c r="D22" i="21"/>
  <c r="C22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17" i="11"/>
  <c r="O20" i="9"/>
  <c r="N20" i="9"/>
  <c r="M20" i="9"/>
  <c r="L20" i="9"/>
  <c r="K20" i="9"/>
  <c r="J20" i="9"/>
  <c r="I20" i="9"/>
  <c r="H20" i="9"/>
  <c r="G20" i="9"/>
  <c r="E20" i="9"/>
  <c r="D20" i="9"/>
  <c r="A20" i="9"/>
  <c r="M18" i="10"/>
  <c r="T18" i="10"/>
  <c r="W18" i="10"/>
  <c r="V18" i="10"/>
  <c r="X18" i="10"/>
  <c r="U18" i="10"/>
  <c r="Y18" i="10"/>
  <c r="M25" i="10"/>
  <c r="N25" i="10"/>
  <c r="Q25" i="10"/>
  <c r="P25" i="10"/>
  <c r="R25" i="10"/>
  <c r="O25" i="10"/>
  <c r="S25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AB26" i="1"/>
  <c r="AD26" i="1"/>
  <c r="AG26" i="1"/>
  <c r="AE26" i="1"/>
  <c r="AC26" i="1"/>
  <c r="E3" i="9"/>
  <c r="V26" i="1"/>
  <c r="Q26" i="1"/>
  <c r="P26" i="1"/>
  <c r="O26" i="1"/>
  <c r="N26" i="1"/>
  <c r="M26" i="1"/>
  <c r="H26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J26" i="1"/>
  <c r="I26" i="1"/>
  <c r="D26" i="1"/>
  <c r="F26" i="1"/>
  <c r="E26" i="1"/>
  <c r="A26" i="1"/>
  <c r="AB25" i="1"/>
  <c r="AD25" i="1"/>
  <c r="AG25" i="1"/>
  <c r="AE25" i="1"/>
  <c r="AC25" i="1"/>
  <c r="E2" i="9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15" i="1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J25" i="11"/>
  <c r="O28" i="9"/>
  <c r="N28" i="9"/>
  <c r="M28" i="9"/>
  <c r="L28" i="9"/>
  <c r="K28" i="9"/>
  <c r="J28" i="9"/>
  <c r="I28" i="9"/>
  <c r="H28" i="9"/>
  <c r="G28" i="9"/>
  <c r="E28" i="9"/>
  <c r="D28" i="9"/>
  <c r="A28" i="9"/>
  <c r="J24" i="11"/>
  <c r="O27" i="9"/>
  <c r="N27" i="9"/>
  <c r="M27" i="9"/>
  <c r="L27" i="9"/>
  <c r="K27" i="9"/>
  <c r="J27" i="9"/>
  <c r="I27" i="9"/>
  <c r="H27" i="9"/>
  <c r="G27" i="9"/>
  <c r="E27" i="9"/>
  <c r="D27" i="9"/>
  <c r="A27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E19" i="9"/>
  <c r="V33" i="1"/>
  <c r="E16" i="9"/>
  <c r="E15" i="9"/>
  <c r="V32" i="1"/>
  <c r="E14" i="9"/>
  <c r="V31" i="1"/>
  <c r="E6" i="9"/>
  <c r="V30" i="1"/>
  <c r="W29" i="1"/>
  <c r="V29" i="1"/>
  <c r="E5" i="9"/>
  <c r="V28" i="1"/>
  <c r="E4" i="9"/>
  <c r="V27" i="1"/>
  <c r="V24" i="1"/>
  <c r="V23" i="1"/>
  <c r="V22" i="1"/>
  <c r="V21" i="1"/>
  <c r="V20" i="1"/>
  <c r="V19" i="1"/>
  <c r="W18" i="1"/>
  <c r="V18" i="1"/>
  <c r="V17" i="1"/>
  <c r="V16" i="1"/>
  <c r="V13" i="1"/>
  <c r="V12" i="1"/>
  <c r="W8" i="1"/>
  <c r="V8" i="1"/>
  <c r="E26" i="9"/>
  <c r="E25" i="9"/>
  <c r="W5" i="7"/>
  <c r="E21" i="9"/>
  <c r="W4" i="7"/>
  <c r="W3" i="7"/>
  <c r="W2" i="7"/>
  <c r="J23" i="11"/>
  <c r="J22" i="11"/>
  <c r="O26" i="9"/>
  <c r="N26" i="9"/>
  <c r="M26" i="9"/>
  <c r="L26" i="9"/>
  <c r="K26" i="9"/>
  <c r="J26" i="9"/>
  <c r="I26" i="9"/>
  <c r="H26" i="9"/>
  <c r="G26" i="9"/>
  <c r="D26" i="9"/>
  <c r="A26" i="9"/>
  <c r="J21" i="11"/>
  <c r="O25" i="9"/>
  <c r="N25" i="9"/>
  <c r="M25" i="9"/>
  <c r="L25" i="9"/>
  <c r="K25" i="9"/>
  <c r="J25" i="9"/>
  <c r="I25" i="9"/>
  <c r="H25" i="9"/>
  <c r="G25" i="9"/>
  <c r="D25" i="9"/>
  <c r="A25" i="9"/>
  <c r="J12" i="11"/>
  <c r="J20" i="11"/>
  <c r="O24" i="9"/>
  <c r="N24" i="9"/>
  <c r="M24" i="9"/>
  <c r="L24" i="9"/>
  <c r="K24" i="9"/>
  <c r="J24" i="9"/>
  <c r="I24" i="9"/>
  <c r="H24" i="9"/>
  <c r="G24" i="9"/>
  <c r="E24" i="9"/>
  <c r="D24" i="9"/>
  <c r="A24" i="9"/>
  <c r="J19" i="11"/>
  <c r="O23" i="9"/>
  <c r="N23" i="9"/>
  <c r="M23" i="9"/>
  <c r="L23" i="9"/>
  <c r="K23" i="9"/>
  <c r="J23" i="9"/>
  <c r="I23" i="9"/>
  <c r="H23" i="9"/>
  <c r="G23" i="9"/>
  <c r="E23" i="9"/>
  <c r="D23" i="9"/>
  <c r="A23" i="9"/>
  <c r="J18" i="11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D21" i="9"/>
  <c r="A21" i="9"/>
  <c r="J11" i="11"/>
  <c r="O19" i="9"/>
  <c r="N19" i="9"/>
  <c r="M19" i="9"/>
  <c r="L19" i="9"/>
  <c r="K19" i="9"/>
  <c r="J19" i="9"/>
  <c r="I19" i="9"/>
  <c r="H19" i="9"/>
  <c r="G19" i="9"/>
  <c r="D19" i="9"/>
  <c r="A19" i="9"/>
  <c r="O16" i="9"/>
  <c r="N16" i="9"/>
  <c r="M16" i="9"/>
  <c r="L16" i="9"/>
  <c r="K16" i="9"/>
  <c r="J16" i="9"/>
  <c r="I16" i="9"/>
  <c r="H16" i="9"/>
  <c r="G16" i="9"/>
  <c r="D16" i="9"/>
  <c r="A16" i="9"/>
  <c r="O15" i="9"/>
  <c r="N15" i="9"/>
  <c r="M15" i="9"/>
  <c r="L15" i="9"/>
  <c r="K15" i="9"/>
  <c r="J15" i="9"/>
  <c r="I15" i="9"/>
  <c r="H15" i="9"/>
  <c r="G15" i="9"/>
  <c r="D15" i="9"/>
  <c r="A15" i="9"/>
  <c r="J14" i="11"/>
  <c r="O14" i="9"/>
  <c r="N14" i="9"/>
  <c r="M14" i="9"/>
  <c r="L14" i="9"/>
  <c r="K14" i="9"/>
  <c r="J14" i="9"/>
  <c r="I14" i="9"/>
  <c r="H14" i="9"/>
  <c r="G14" i="9"/>
  <c r="D14" i="9"/>
  <c r="A14" i="9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H2" i="1"/>
  <c r="H3" i="1"/>
  <c r="H6" i="1"/>
  <c r="H7" i="1"/>
  <c r="H8" i="1"/>
  <c r="H9" i="1"/>
  <c r="H10" i="1"/>
  <c r="H11" i="1"/>
  <c r="H12" i="1"/>
  <c r="H13" i="1"/>
  <c r="H16" i="1"/>
  <c r="H17" i="1"/>
  <c r="H18" i="1"/>
  <c r="H19" i="1"/>
  <c r="H20" i="1"/>
  <c r="H21" i="1"/>
  <c r="H22" i="1"/>
  <c r="H23" i="1"/>
  <c r="H24" i="1"/>
  <c r="H27" i="1"/>
  <c r="H28" i="1"/>
  <c r="H29" i="1"/>
  <c r="H30" i="1"/>
  <c r="H31" i="1"/>
  <c r="H32" i="1"/>
  <c r="H33" i="1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Y5" i="7"/>
  <c r="R5" i="7"/>
  <c r="Q5" i="7"/>
  <c r="P5" i="7"/>
  <c r="O5" i="7"/>
  <c r="N5" i="7"/>
  <c r="H5" i="7"/>
  <c r="J5" i="7"/>
  <c r="I5" i="7"/>
  <c r="D5" i="7"/>
  <c r="F5" i="7"/>
  <c r="E5" i="7"/>
  <c r="A5" i="7"/>
  <c r="R4" i="7"/>
  <c r="Q4" i="7"/>
  <c r="P4" i="7"/>
  <c r="O4" i="7"/>
  <c r="N4" i="7"/>
  <c r="H4" i="7"/>
  <c r="J4" i="7"/>
  <c r="I4" i="7"/>
  <c r="D4" i="7"/>
  <c r="F4" i="7"/>
  <c r="E4" i="7"/>
  <c r="A4" i="7"/>
  <c r="H16" i="2"/>
  <c r="E16" i="2"/>
  <c r="D16" i="2"/>
  <c r="H15" i="2"/>
  <c r="E15" i="2"/>
  <c r="D15" i="2"/>
  <c r="H14" i="2"/>
  <c r="E14" i="2"/>
  <c r="D14" i="2"/>
  <c r="H13" i="2"/>
  <c r="E13" i="2"/>
  <c r="D13" i="2"/>
  <c r="H12" i="2"/>
  <c r="E12" i="2"/>
  <c r="D12" i="2"/>
  <c r="AD33" i="1"/>
  <c r="AG33" i="1"/>
  <c r="AE33" i="1"/>
  <c r="AC33" i="1"/>
  <c r="AA33" i="1"/>
  <c r="Q33" i="1"/>
  <c r="P33" i="1"/>
  <c r="O33" i="1"/>
  <c r="N33" i="1"/>
  <c r="M33" i="1"/>
  <c r="J33" i="1"/>
  <c r="I33" i="1"/>
  <c r="D33" i="1"/>
  <c r="F33" i="1"/>
  <c r="E33" i="1"/>
  <c r="A33" i="1"/>
  <c r="AB32" i="1"/>
  <c r="AD32" i="1"/>
  <c r="AG32" i="1"/>
  <c r="AE32" i="1"/>
  <c r="AC32" i="1"/>
  <c r="Q32" i="1"/>
  <c r="P32" i="1"/>
  <c r="O32" i="1"/>
  <c r="N32" i="1"/>
  <c r="M32" i="1"/>
  <c r="J32" i="1"/>
  <c r="I32" i="1"/>
  <c r="D32" i="1"/>
  <c r="F32" i="1"/>
  <c r="E32" i="1"/>
  <c r="A32" i="1"/>
  <c r="AB31" i="1"/>
  <c r="AD31" i="1"/>
  <c r="AG31" i="1"/>
  <c r="AE31" i="1"/>
  <c r="AC31" i="1"/>
  <c r="Q31" i="1"/>
  <c r="P31" i="1"/>
  <c r="O31" i="1"/>
  <c r="N31" i="1"/>
  <c r="M31" i="1"/>
  <c r="J31" i="1"/>
  <c r="I31" i="1"/>
  <c r="D31" i="1"/>
  <c r="F31" i="1"/>
  <c r="E31" i="1"/>
  <c r="A31" i="1"/>
  <c r="AB30" i="1"/>
  <c r="AD30" i="1"/>
  <c r="AG30" i="1"/>
  <c r="AE30" i="1"/>
  <c r="AC30" i="1"/>
  <c r="Q30" i="1"/>
  <c r="P30" i="1"/>
  <c r="O30" i="1"/>
  <c r="N30" i="1"/>
  <c r="M30" i="1"/>
  <c r="J30" i="1"/>
  <c r="I30" i="1"/>
  <c r="D30" i="1"/>
  <c r="F30" i="1"/>
  <c r="E30" i="1"/>
  <c r="A30" i="1"/>
  <c r="AB29" i="1"/>
  <c r="AD29" i="1"/>
  <c r="AG29" i="1"/>
  <c r="AE29" i="1"/>
  <c r="AC29" i="1"/>
  <c r="Q29" i="1"/>
  <c r="P29" i="1"/>
  <c r="O29" i="1"/>
  <c r="N29" i="1"/>
  <c r="M29" i="1"/>
  <c r="J29" i="1"/>
  <c r="I29" i="1"/>
  <c r="D29" i="1"/>
  <c r="F29" i="1"/>
  <c r="E29" i="1"/>
  <c r="A29" i="1"/>
  <c r="AB28" i="1"/>
  <c r="AD28" i="1"/>
  <c r="AG28" i="1"/>
  <c r="AE28" i="1"/>
  <c r="AC28" i="1"/>
  <c r="Q28" i="1"/>
  <c r="P28" i="1"/>
  <c r="O28" i="1"/>
  <c r="N28" i="1"/>
  <c r="M28" i="1"/>
  <c r="J28" i="1"/>
  <c r="I28" i="1"/>
  <c r="D28" i="1"/>
  <c r="F28" i="1"/>
  <c r="E28" i="1"/>
  <c r="A28" i="1"/>
  <c r="AB27" i="1"/>
  <c r="AD27" i="1"/>
  <c r="AG27" i="1"/>
  <c r="AE27" i="1"/>
  <c r="AC27" i="1"/>
  <c r="AA27" i="1"/>
  <c r="Q27" i="1"/>
  <c r="P27" i="1"/>
  <c r="O27" i="1"/>
  <c r="N27" i="1"/>
  <c r="M27" i="1"/>
  <c r="J27" i="1"/>
  <c r="I27" i="1"/>
  <c r="D27" i="1"/>
  <c r="F27" i="1"/>
  <c r="E27" i="1"/>
  <c r="A27" i="1"/>
  <c r="AB24" i="1"/>
  <c r="AD24" i="1"/>
  <c r="AG24" i="1"/>
  <c r="AE24" i="1"/>
  <c r="AC24" i="1"/>
  <c r="AA24" i="1"/>
  <c r="Q24" i="1"/>
  <c r="P24" i="1"/>
  <c r="O24" i="1"/>
  <c r="N24" i="1"/>
  <c r="M24" i="1"/>
  <c r="J24" i="1"/>
  <c r="I24" i="1"/>
  <c r="D24" i="1"/>
  <c r="F24" i="1"/>
  <c r="E24" i="1"/>
  <c r="A24" i="1"/>
  <c r="AB23" i="1"/>
  <c r="AD23" i="1"/>
  <c r="AG23" i="1"/>
  <c r="AE23" i="1"/>
  <c r="AC23" i="1"/>
  <c r="AA23" i="1"/>
  <c r="Q23" i="1"/>
  <c r="P23" i="1"/>
  <c r="O23" i="1"/>
  <c r="N23" i="1"/>
  <c r="M23" i="1"/>
  <c r="J23" i="1"/>
  <c r="I23" i="1"/>
  <c r="D23" i="1"/>
  <c r="F23" i="1"/>
  <c r="E23" i="1"/>
  <c r="A23" i="1"/>
  <c r="AA22" i="1"/>
  <c r="AB20" i="1"/>
  <c r="AD20" i="1"/>
  <c r="AG20" i="1"/>
  <c r="AE20" i="1"/>
  <c r="AC20" i="1"/>
  <c r="Q20" i="1"/>
  <c r="P20" i="1"/>
  <c r="O20" i="1"/>
  <c r="N20" i="1"/>
  <c r="M20" i="1"/>
  <c r="J20" i="1"/>
  <c r="I20" i="1"/>
  <c r="D20" i="1"/>
  <c r="F20" i="1"/>
  <c r="E20" i="1"/>
  <c r="A20" i="1"/>
  <c r="E11" i="9"/>
  <c r="Y3" i="7"/>
  <c r="R3" i="7"/>
  <c r="Q3" i="7"/>
  <c r="P3" i="7"/>
  <c r="O3" i="7"/>
  <c r="N3" i="7"/>
  <c r="H3" i="7"/>
  <c r="J3" i="7"/>
  <c r="I3" i="7"/>
  <c r="D3" i="7"/>
  <c r="F3" i="7"/>
  <c r="E3" i="7"/>
  <c r="A3" i="7"/>
  <c r="H11" i="2"/>
  <c r="E11" i="2"/>
  <c r="D11" i="2"/>
  <c r="H10" i="2"/>
  <c r="E10" i="2"/>
  <c r="D10" i="2"/>
  <c r="H9" i="2"/>
  <c r="E9" i="2"/>
  <c r="D9" i="2"/>
  <c r="H8" i="2"/>
  <c r="E8" i="2"/>
  <c r="D8" i="2"/>
  <c r="H7" i="2"/>
  <c r="E7" i="2"/>
  <c r="D7" i="2"/>
  <c r="AD22" i="1"/>
  <c r="AG22" i="1"/>
  <c r="AE22" i="1"/>
  <c r="AC22" i="1"/>
  <c r="E12" i="9"/>
  <c r="E13" i="9"/>
  <c r="Q22" i="1"/>
  <c r="P22" i="1"/>
  <c r="O22" i="1"/>
  <c r="N22" i="1"/>
  <c r="M22" i="1"/>
  <c r="J22" i="1"/>
  <c r="I22" i="1"/>
  <c r="D22" i="1"/>
  <c r="F22" i="1"/>
  <c r="E22" i="1"/>
  <c r="A22" i="1"/>
  <c r="AB21" i="1"/>
  <c r="AD21" i="1"/>
  <c r="AG21" i="1"/>
  <c r="AE21" i="1"/>
  <c r="AC21" i="1"/>
  <c r="Q21" i="1"/>
  <c r="P21" i="1"/>
  <c r="O21" i="1"/>
  <c r="N21" i="1"/>
  <c r="M21" i="1"/>
  <c r="J21" i="1"/>
  <c r="I21" i="1"/>
  <c r="D21" i="1"/>
  <c r="F21" i="1"/>
  <c r="E21" i="1"/>
  <c r="A21" i="1"/>
  <c r="AB19" i="1"/>
  <c r="AD19" i="1"/>
  <c r="AG19" i="1"/>
  <c r="AE19" i="1"/>
  <c r="AC19" i="1"/>
  <c r="E7" i="9"/>
  <c r="Q19" i="1"/>
  <c r="P19" i="1"/>
  <c r="O19" i="1"/>
  <c r="N19" i="1"/>
  <c r="M19" i="1"/>
  <c r="J19" i="1"/>
  <c r="I19" i="1"/>
  <c r="D19" i="1"/>
  <c r="F19" i="1"/>
  <c r="E19" i="1"/>
  <c r="A19" i="1"/>
  <c r="AB18" i="1"/>
  <c r="AD18" i="1"/>
  <c r="AG18" i="1"/>
  <c r="AE18" i="1"/>
  <c r="AC18" i="1"/>
  <c r="Q18" i="1"/>
  <c r="P18" i="1"/>
  <c r="O18" i="1"/>
  <c r="N18" i="1"/>
  <c r="M18" i="1"/>
  <c r="J18" i="1"/>
  <c r="I18" i="1"/>
  <c r="D18" i="1"/>
  <c r="F18" i="1"/>
  <c r="E18" i="1"/>
  <c r="A18" i="1"/>
  <c r="AB17" i="1"/>
  <c r="AD17" i="1"/>
  <c r="AG17" i="1"/>
  <c r="AE17" i="1"/>
  <c r="AC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AA16" i="1"/>
  <c r="Q16" i="1"/>
  <c r="P16" i="1"/>
  <c r="O16" i="1"/>
  <c r="N16" i="1"/>
  <c r="M16" i="1"/>
  <c r="J16" i="1"/>
  <c r="I16" i="1"/>
  <c r="D16" i="1"/>
  <c r="F16" i="1"/>
  <c r="E16" i="1"/>
  <c r="A16" i="1"/>
  <c r="AB13" i="1"/>
  <c r="AD13" i="1"/>
  <c r="AG13" i="1"/>
  <c r="AE13" i="1"/>
  <c r="AC13" i="1"/>
  <c r="AA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AA12" i="1"/>
  <c r="Q12" i="1"/>
  <c r="P12" i="1"/>
  <c r="O12" i="1"/>
  <c r="N12" i="1"/>
  <c r="M12" i="1"/>
  <c r="J12" i="1"/>
  <c r="I12" i="1"/>
  <c r="D12" i="1"/>
  <c r="F12" i="1"/>
  <c r="E12" i="1"/>
  <c r="A12" i="1"/>
  <c r="J13" i="11"/>
  <c r="O13" i="9"/>
  <c r="N13" i="9"/>
  <c r="M13" i="9"/>
  <c r="L13" i="9"/>
  <c r="K13" i="9"/>
  <c r="J13" i="9"/>
  <c r="I13" i="9"/>
  <c r="H13" i="9"/>
  <c r="G13" i="9"/>
  <c r="D13" i="9"/>
  <c r="A13" i="9"/>
  <c r="O12" i="9"/>
  <c r="N12" i="9"/>
  <c r="M12" i="9"/>
  <c r="L12" i="9"/>
  <c r="K12" i="9"/>
  <c r="J12" i="9"/>
  <c r="I12" i="9"/>
  <c r="H12" i="9"/>
  <c r="G12" i="9"/>
  <c r="D12" i="9"/>
  <c r="A12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O11" i="9"/>
  <c r="N11" i="9"/>
  <c r="M11" i="9"/>
  <c r="L11" i="9"/>
  <c r="K11" i="9"/>
  <c r="J11" i="9"/>
  <c r="I11" i="9"/>
  <c r="H11" i="9"/>
  <c r="G11" i="9"/>
  <c r="D11" i="9"/>
  <c r="A11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D7" i="9"/>
  <c r="A7" i="9"/>
  <c r="J6" i="11"/>
  <c r="O6" i="9"/>
  <c r="N6" i="9"/>
  <c r="M6" i="9"/>
  <c r="L6" i="9"/>
  <c r="K6" i="9"/>
  <c r="J6" i="9"/>
  <c r="I6" i="9"/>
  <c r="H6" i="9"/>
  <c r="G6" i="9"/>
  <c r="D6" i="9"/>
  <c r="A6" i="9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J5" i="11"/>
  <c r="O5" i="9"/>
  <c r="N5" i="9"/>
  <c r="M5" i="9"/>
  <c r="L5" i="9"/>
  <c r="K5" i="9"/>
  <c r="J5" i="9"/>
  <c r="I5" i="9"/>
  <c r="H5" i="9"/>
  <c r="G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V11" i="1"/>
  <c r="V10" i="1"/>
  <c r="V9" i="1"/>
  <c r="V7" i="1"/>
  <c r="V6" i="1"/>
  <c r="V3" i="1"/>
  <c r="V2" i="1"/>
  <c r="J3" i="11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3" i="9"/>
  <c r="N3" i="9"/>
  <c r="M3" i="9"/>
  <c r="L3" i="9"/>
  <c r="K3" i="9"/>
  <c r="J3" i="9"/>
  <c r="I3" i="9"/>
  <c r="H3" i="9"/>
  <c r="G3" i="9"/>
  <c r="D3" i="9"/>
  <c r="A3" i="9"/>
  <c r="AD11" i="1"/>
  <c r="AG11" i="1"/>
  <c r="AE11" i="1"/>
  <c r="AC11" i="1"/>
  <c r="AA11" i="1"/>
  <c r="Q11" i="1"/>
  <c r="P11" i="1"/>
  <c r="O11" i="1"/>
  <c r="N11" i="1"/>
  <c r="M11" i="1"/>
  <c r="J11" i="1"/>
  <c r="I11" i="1"/>
  <c r="D11" i="1"/>
  <c r="F11" i="1"/>
  <c r="E11" i="1"/>
  <c r="A11" i="1"/>
  <c r="AB10" i="1"/>
  <c r="AD10" i="1"/>
  <c r="AG10" i="1"/>
  <c r="AE10" i="1"/>
  <c r="AC10" i="1"/>
  <c r="Q10" i="1"/>
  <c r="P10" i="1"/>
  <c r="O10" i="1"/>
  <c r="N10" i="1"/>
  <c r="M10" i="1"/>
  <c r="J10" i="1"/>
  <c r="I10" i="1"/>
  <c r="D10" i="1"/>
  <c r="F10" i="1"/>
  <c r="E10" i="1"/>
  <c r="A10" i="1"/>
  <c r="AB9" i="1"/>
  <c r="AD9" i="1"/>
  <c r="AG9" i="1"/>
  <c r="AE9" i="1"/>
  <c r="AC9" i="1"/>
  <c r="AA9" i="1"/>
  <c r="Q9" i="1"/>
  <c r="P9" i="1"/>
  <c r="O9" i="1"/>
  <c r="N9" i="1"/>
  <c r="M9" i="1"/>
  <c r="J9" i="1"/>
  <c r="I9" i="1"/>
  <c r="D9" i="1"/>
  <c r="F9" i="1"/>
  <c r="E9" i="1"/>
  <c r="A9" i="1"/>
  <c r="AB8" i="1"/>
  <c r="AD8" i="1"/>
  <c r="AG8" i="1"/>
  <c r="AE8" i="1"/>
  <c r="AC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AA6" i="1"/>
  <c r="Q6" i="1"/>
  <c r="P6" i="1"/>
  <c r="O6" i="1"/>
  <c r="N6" i="1"/>
  <c r="M6" i="1"/>
  <c r="J6" i="1"/>
  <c r="I6" i="1"/>
  <c r="D6" i="1"/>
  <c r="F6" i="1"/>
  <c r="E6" i="1"/>
  <c r="A6" i="1"/>
  <c r="AA2" i="1"/>
  <c r="A2" i="1"/>
  <c r="D2" i="1"/>
  <c r="E2" i="1"/>
  <c r="F2" i="1"/>
  <c r="I2" i="1"/>
  <c r="J2" i="1"/>
  <c r="M2" i="1"/>
  <c r="N2" i="1"/>
  <c r="O2" i="1"/>
  <c r="P2" i="1"/>
  <c r="Q2" i="1"/>
  <c r="AB2" i="1"/>
  <c r="AC2" i="1"/>
  <c r="AD2" i="1"/>
  <c r="AE2" i="1"/>
  <c r="AG2" i="1"/>
  <c r="AA3" i="1"/>
  <c r="A3" i="1"/>
  <c r="D3" i="1"/>
  <c r="E3" i="1"/>
  <c r="F3" i="1"/>
  <c r="I3" i="1"/>
  <c r="J3" i="1"/>
  <c r="M3" i="1"/>
  <c r="N3" i="1"/>
  <c r="O3" i="1"/>
  <c r="P3" i="1"/>
  <c r="Q3" i="1"/>
  <c r="AB3" i="1"/>
  <c r="AC3" i="1"/>
  <c r="AD3" i="1"/>
  <c r="AE3" i="1"/>
  <c r="AG3" i="1"/>
  <c r="H6" i="2"/>
  <c r="E6" i="2"/>
  <c r="D6" i="2"/>
  <c r="H5" i="2"/>
  <c r="E5" i="2"/>
  <c r="D5" i="2"/>
  <c r="H4" i="2"/>
  <c r="E4" i="2"/>
  <c r="D4" i="2"/>
  <c r="H3" i="2"/>
  <c r="E3" i="2"/>
  <c r="D3" i="2"/>
  <c r="H2" i="2"/>
  <c r="E2" i="2"/>
  <c r="D2" i="2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9"/>
  <c r="A2" i="7"/>
  <c r="I2" i="7"/>
  <c r="D2" i="7"/>
  <c r="F2" i="7"/>
  <c r="E2" i="7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<sst xmlns="http://schemas.openxmlformats.org/spreadsheetml/2006/main" count="892" uniqueCount="315">
  <si>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</si>
  <si>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</si>
  <si>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</si>
  <si>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</si>
  <si>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</si>
  <si>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</si>
  <si>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</si>
  <si>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</si>
  <si>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</si>
  <si>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</si>
  <si>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</si>
  <si>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</si>
  <si>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</si>
  <si>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</si>
  <si>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</si>
  <si>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</si>
  <si>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</si>
  <si>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</si>
  <si>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</si>
  <si>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</si>
  <si>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</si>
  <si>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</si>
  <si>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</si>
  <si>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</si>
  <si>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</si>
  <si>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</si>
  <si>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</si>
  <si>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</si>
  <si>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</si>
  <si>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</si>
  <si>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</si>
  <si>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</si>
  <si>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</si>
  <si>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</si>
  <si>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</si>
  <si>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</si>
  <si>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</si>
  <si>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</si>
  <si>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</si>
  <si>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</si>
  <si>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</si>
  <si>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</si>
  <si>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</si>
  <si>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</si>
  <si>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</si>
  <si>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</si>
  <si>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</si>
  <si>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</si>
  <si>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</si>
  <si>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</si>
  <si>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</si>
  <si>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</si>
  <si>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</si>
  <si>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</si>
  <si>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</si>
  <si>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</si>
  <si>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</si>
  <si>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</si>
  <si>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</si>
  <si>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</si>
  <si>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</si>
  <si>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</si>
  <si>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</si>
  <si>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</si>
  <si>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</si>
  <si>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</si>
  <si>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</si>
  <si>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</si>
  <si>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</si>
  <si>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</si>
  <si>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</si>
  <si>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</si>
  <si>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</si>
  <si>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</si>
  <si>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</si>
  <si>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</si>
  <si>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</si>
  <si>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</si>
  <si>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</si>
  <si>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</si>
  <si>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</si>
  <si>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</si>
  <si>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</si>
  <si>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</si>
  <si>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</si>
  <si>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</si>
  <si>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</si>
  <si>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</si>
  <si>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</si>
  <si>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</si>
  <si>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</si>
  <si>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</si>
  <si>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</si>
  <si>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</si>
  <si>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</si>
  <si>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</si>
  <si>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</si>
  <si>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</si>
  <si>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</si>
  <si>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</si>
  <si>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</si>
  <si>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</si>
  <si>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</si>
  <si>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</si>
  <si>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</si>
  <si>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</si>
  <si>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</si>
  <si>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</si>
  <si>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</si>
  <si>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</si>
  <si>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</si>
  <si>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</si>
  <si>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</si>
  <si>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</si>
  <si>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</si>
  <si>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</si>
  <si>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</si>
  <si>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</si>
  <si>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</si>
  <si>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</si>
  <si>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</si>
  <si>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</si>
  <si>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</si>
  <si>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</si>
  <si>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</si>
  <si>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</si>
  <si>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</si>
  <si>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</si>
  <si>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</si>
  <si>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</si>
  <si>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</si>
  <si>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</si>
  <si>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</si>
  <si>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</si>
  <si>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</si>
  <si>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</si>
  <si>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</si>
  <si>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</si>
  <si>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</si>
  <si>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</si>
  <si>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</si>
  <si>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</si>
  <si>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</si>
  <si>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</si>
  <si>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</si>
  <si>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</si>
  <si>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</si>
  <si>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</si>
  <si>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</si>
  <si>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</si>
  <si>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</si>
  <si>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</si>
  <si>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</si>
  <si>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</si>
  <si>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</si>
  <si>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</si>
  <si>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</si>
  <si>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</si>
  <si>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</si>
  <si>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</si>
  <si>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</si>
  <si>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</si>
  <si>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</si>
  <si>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</si>
  <si>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</si>
  <si>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</si>
  <si>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</si>
  <si>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</si>
  <si>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</si>
  <si>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</si>
  <si>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</si>
  <si>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</si>
  <si>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</si>
  <si>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</si>
  <si>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</si>
  <si>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</si>
  <si>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</si>
  <si>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</si>
  <si>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</si>
  <si>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</si>
  <si>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</si>
  <si>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</si>
  <si>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</si>
  <si>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</si>
  <si>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</si>
  <si>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</si>
  <si>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</si>
  <si>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</si>
  <si>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</si>
  <si>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</si>
  <si>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</si>
  <si>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</si>
  <si>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</si>
  <si>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</si>
  <si>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</si>
  <si>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</si>
  <si>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</si>
  <si>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</si>
  <si>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</si>
  <si>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</si>
  <si>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</si>
  <si>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</si>
  <si>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</si>
  <si>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</si>
  <si>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</si>
  <si>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</si>
  <si>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</si>
  <si>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</si>
  <si>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</si>
  <si>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</si>
  <si>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</si>
  <si>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</si>
  <si>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</si>
  <si>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</si>
  <si>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[effect:rush, count:2, val:0.6]</t>
    <phoneticPr fontId="5"/>
  </si>
  <si>
    <t>ja</t>
    <phoneticPr fontId="5"/>
  </si>
  <si>
    <t>2回連続攻撃</t>
    <rPh sb="1" eb="2">
      <t>カイ</t>
    </rPh>
    <rPh sb="2" eb="6">
      <t>レンゾクコウゲキ</t>
    </rPh>
    <phoneticPr fontId="5"/>
  </si>
  <si>
    <t>null</t>
    <phoneticPr fontId="5"/>
  </si>
  <si>
    <t>[effect:charge, status:attack, val:3.0, animation:enemy_charge]</t>
    <phoneticPr fontId="5"/>
  </si>
  <si>
    <t>デジタルマジック</t>
    <phoneticPr fontId="5"/>
  </si>
  <si>
    <t>次のターン超強力な攻撃</t>
    <phoneticPr fontId="5"/>
  </si>
  <si>
    <t>スピードスター</t>
    <phoneticPr fontId="5"/>
  </si>
  <si>
    <t>ハイパーリラックス</t>
    <phoneticPr fontId="5"/>
  </si>
  <si>
    <t>火酒</t>
    <phoneticPr fontId="5"/>
  </si>
  <si>
    <t>深山の芽吹き</t>
    <phoneticPr fontId="5"/>
  </si>
  <si>
    <t>灼熱の火炎</t>
    <phoneticPr fontId="5"/>
  </si>
  <si>
    <t>渓谷の霧雨</t>
    <phoneticPr fontId="5"/>
  </si>
  <si>
    <t>炎華の香り・永代</t>
    <phoneticPr fontId="5"/>
  </si>
  <si>
    <t>炎華の香り・真打</t>
    <phoneticPr fontId="5"/>
  </si>
  <si>
    <t>[effect:virus, turn:-1, rate:1.0, val:0.22, animation:enemy_virus]</t>
    <phoneticPr fontId="5"/>
  </si>
  <si>
    <t>null</t>
    <phoneticPr fontId="5"/>
  </si>
  <si>
    <t>[effect:degrade_unit, target:unit_all, turn:-1, status:heal, val:1.0, calc:mul, animation:degrade_unit_all_heal]</t>
    <phoneticPr fontId="5"/>
  </si>
  <si>
    <t>神代の呪詛</t>
    <phoneticPr fontId="5"/>
  </si>
  <si>
    <t>神をも燃やす天の炎</t>
    <phoneticPr fontId="5"/>
  </si>
  <si>
    <t>[effect:damage_anti_tribe, target:unit_one, tribe:god, val1:3.0, val2:1.0]</t>
    <phoneticPr fontId="5"/>
  </si>
  <si>
    <t>岩戸隠れ</t>
    <phoneticPr fontId="5"/>
  </si>
  <si>
    <t>old</t>
    <phoneticPr fontId="5"/>
  </si>
  <si>
    <t>old</t>
    <phoneticPr fontId="5"/>
  </si>
  <si>
    <t>解除するまで回復力が100％DOWN</t>
    <phoneticPr fontId="5"/>
  </si>
  <si>
    <t>アラミタマ</t>
    <phoneticPr fontId="5"/>
  </si>
  <si>
    <t>神降りの緋儀</t>
    <rPh sb="0" eb="2">
      <t>カミオ</t>
    </rPh>
    <rPh sb="4" eb="6">
      <t>higi</t>
    </rPh>
    <phoneticPr fontId="5"/>
  </si>
  <si>
    <t>祓い給へ</t>
    <rPh sb="0" eb="1">
      <t>ハラ</t>
    </rPh>
    <rPh sb="2" eb="3">
      <t>タマ</t>
    </rPh>
    <phoneticPr fontId="5"/>
  </si>
  <si>
    <t>清め給へ</t>
    <rPh sb="0" eb="1">
      <t>キヨ</t>
    </rPh>
    <rPh sb="2" eb="3">
      <t>タマ</t>
    </rPh>
    <phoneticPr fontId="5"/>
  </si>
  <si>
    <t>高禍原</t>
    <rPh sb="0" eb="3">
      <t>タカマガハラ</t>
    </rPh>
    <phoneticPr fontId="5"/>
  </si>
  <si>
    <t>赤パネル吸収攻撃</t>
    <rPh sb="0" eb="1">
      <t>アカ</t>
    </rPh>
    <rPh sb="4" eb="8">
      <t>キュウシュウコウゲキ</t>
    </rPh>
    <phoneticPr fontId="5"/>
  </si>
  <si>
    <t>単体攻撃&amp;青パネルを8個プロテクト</t>
    <rPh sb="0" eb="5">
      <t>タンt</t>
    </rPh>
    <rPh sb="5" eb="6">
      <t>アオ</t>
    </rPh>
    <rPh sb="11" eb="12">
      <t>コ</t>
    </rPh>
    <phoneticPr fontId="5"/>
  </si>
  <si>
    <t>解除するまで防御力超大UP＆攻撃力UP</t>
    <rPh sb="10" eb="11">
      <t>ダイ</t>
    </rPh>
    <phoneticPr fontId="5"/>
  </si>
  <si>
    <t>3ターン攻撃力超大UP</t>
    <rPh sb="7" eb="9">
      <t>チョウダイ</t>
    </rPh>
    <phoneticPr fontId="5"/>
  </si>
  <si>
    <t>null</t>
    <phoneticPr fontId="5"/>
  </si>
  <si>
    <t>天叢雲之神剣</t>
    <phoneticPr fontId="5"/>
  </si>
  <si>
    <t>青パネルを吸収して全体攻撃</t>
    <rPh sb="0" eb="1">
      <t>アオ</t>
    </rPh>
    <phoneticPr fontId="5"/>
  </si>
  <si>
    <t>[effect:critical, val:1],[effect:panel_freeze, target:block_blue, count:8]</t>
    <phoneticPr fontId="5"/>
  </si>
  <si>
    <t>全体攻撃&amp;種族ゴッドのユニットに大ダメージ！</t>
    <rPh sb="0" eb="4">
      <t>ゼンタイコウゲキ</t>
    </rPh>
    <phoneticPr fontId="5"/>
  </si>
  <si>
    <t>解除するまで毎ターンダメージを受ける！</t>
    <rPh sb="6" eb="7">
      <t>マイ</t>
    </rPh>
    <rPh sb="15" eb="16">
      <t>ウ</t>
    </rPh>
    <phoneticPr fontId="5"/>
  </si>
  <si>
    <t>種族ゴッドのユニットに大ダメージ！</t>
    <phoneticPr fontId="5"/>
  </si>
  <si>
    <t>5ターンの間ダメージを受ける！</t>
    <phoneticPr fontId="5"/>
  </si>
  <si>
    <t>解除するまで毎ターンダメージを受ける！</t>
    <phoneticPr fontId="5"/>
  </si>
  <si>
    <t>[effect:virus, turn:5, rate:1.0, val:0.33, animation:enemy_virus]</t>
    <phoneticPr fontId="5"/>
  </si>
  <si>
    <t>[effect:damage_anti_tribe, target:unit_all, tribe:god, val1:6.0, val2:0.3]</t>
    <phoneticPr fontId="5"/>
  </si>
  <si>
    <t>[effect:enhance_enemy, target:enemy_all, turn:3, status:attack, val:1.2, animation:enemy_enhance_enemy]</t>
    <phoneticPr fontId="5"/>
  </si>
  <si>
    <t>[effect:spread, val:0.25],[effect:hungup, target:unit_all, turn:1, rate:1, animation:hungup01]</t>
    <phoneticPr fontId="5"/>
  </si>
  <si>
    <t>全体攻撃&amp;1ターンスキルバインド</t>
    <rPh sb="0" eb="4">
      <t>ゼンタイコウゲキ</t>
    </rPh>
    <phoneticPr fontId="5"/>
  </si>
  <si>
    <t>[effect:break_attack, val:0.15, lowest_val:1000, count:8, block:block_red, target:unit_one]</t>
    <phoneticPr fontId="5"/>
  </si>
  <si>
    <t>null</t>
    <phoneticPr fontId="5"/>
  </si>
  <si>
    <t>[effect:enhance_enemy, target:enemy_all, turn:-1, status:defense, val:5000, calc:add, animation:enemy_enhance_enemy],[effect:enhance_enemy, target:enemy_all, turn:-1, status:attack, val:0.4, calc:mul, animation:enemy_enhance_enemy]</t>
    <phoneticPr fontId="5"/>
  </si>
  <si>
    <t>戸隠山落とし</t>
    <rPh sb="0" eb="3">
      <t>トガクシヤマ</t>
    </rPh>
    <rPh sb="3" eb="4">
      <t>オ</t>
    </rPh>
    <phoneticPr fontId="5"/>
  </si>
  <si>
    <t>神威古譚</t>
    <phoneticPr fontId="5"/>
  </si>
  <si>
    <t>4ターン防御力&amp;攻撃力激烈UP＋2ターン暗闇状態</t>
    <rPh sb="11" eb="13">
      <t>ゲキレツ</t>
    </rPh>
    <rPh sb="20" eb="24">
      <t>クラヤミジョウタイ</t>
    </rPh>
    <phoneticPr fontId="5"/>
  </si>
  <si>
    <t>[effect:break_attack, val:0.04, lowest_val:0.2, count:8, block:block_blue, target:unit_all]</t>
    <phoneticPr fontId="5"/>
  </si>
  <si>
    <t>[effect:virus, turn:-1, rate:1.0, val:0.25, animation:enemy_virus]</t>
    <phoneticPr fontId="5"/>
  </si>
  <si>
    <t>[effect:enhance_enemy, target:enemy_all, turn:4, status:defense, val:20000, calc:add, animation:enemy_enhance_enemy],[effect:enhance_enemy, target:enemy_all, turn:4, status:attack, val:1, calc:mul, animation:enemy_enhance_enemy],[effect:dark, target:unit_all, turn:2, animation:enemy_dark],[effect:fix_speed, target:myself, turn:2]</t>
    <phoneticPr fontId="5"/>
  </si>
  <si>
    <t>[effect:spread, val:5]</t>
    <phoneticPr fontId="5"/>
  </si>
  <si>
    <t>天石窟「磐戸籠り」</t>
    <rPh sb="6" eb="7">
      <t>コモ</t>
    </rPh>
    <phoneticPr fontId="5"/>
  </si>
  <si>
    <t>単体攻撃&amp;1体のみスキルを3ターン使えなくする！</t>
    <rPh sb="0" eb="2">
      <t>タンタイ</t>
    </rPh>
    <rPh sb="2" eb="4">
      <t>ゼンタイコウゲキ</t>
    </rPh>
    <rPh sb="6" eb="7">
      <t>taiンo</t>
    </rPh>
    <phoneticPr fontId="5"/>
  </si>
  <si>
    <t>[effect:critical, val:0.5],[effect:hungup, target:unit_one, turn:3, rate:1.0, animation:enemy_hungup]</t>
    <phoneticPr fontId="5"/>
  </si>
  <si>
    <t>[effect:damage_anti_color, target:unit_one, color:red, val1:2.0, val2:1.0],[effect:dark, target:unit_all, turn:1, animation:enemy_dark]</t>
    <phoneticPr fontId="5"/>
  </si>
  <si>
    <t>赤属性ユニットに大ダメージ&amp;1ターン暗闇状態</t>
    <rPh sb="18" eb="22">
      <t>クラヤミジョウタイ</t>
    </rPh>
    <phoneticPr fontId="5"/>
  </si>
  <si>
    <t>黄属性の敵に大ダメージ&amp;小回復</t>
    <rPh sb="12" eb="13">
      <t>ショウ</t>
    </rPh>
    <rPh sb="13" eb="15">
      <t>カイフク</t>
    </rPh>
    <phoneticPr fontId="5"/>
  </si>
  <si>
    <t>[effect:damage_anti_color, target:unit_one, color:green, val1:2.0, val2:1.0],[effect:freq_turn, target:myself, turn:1, val:1, animation:enemy_freq_turn]</t>
    <phoneticPr fontId="5"/>
  </si>
  <si>
    <t>緑属性の敵に大ダメージ&amp;行動頻度UP</t>
    <rPh sb="12" eb="14">
      <t>コウドウ</t>
    </rPh>
    <rPh sb="14" eb="16">
      <t>ヒンド</t>
    </rPh>
    <phoneticPr fontId="5"/>
  </si>
  <si>
    <t>[effect:enhance_enemy, target:enemy_all, turn:6, status:attack, val:0.2, calc:mul, animation:enemy_enhance_enemy],[effect:enhance_enemy, target:enemy_all, turn:6, status:defense, val:2000, calc:add, animation:enemy_enhance_enemy]</t>
    <phoneticPr fontId="5"/>
  </si>
  <si>
    <t>6ターンの間攻撃力UP&amp;防御力UP</t>
    <rPh sb="5" eb="6">
      <t>アイダ</t>
    </rPh>
    <rPh sb="6" eb="9">
      <t>コウゲキリョク</t>
    </rPh>
    <rPh sb="12" eb="15">
      <t>ボウギョリョク</t>
    </rPh>
    <phoneticPr fontId="5"/>
  </si>
  <si>
    <t>大岩が降ってきて全体に大ダメージ！</t>
    <rPh sb="0" eb="1">
      <t>オオ</t>
    </rPh>
    <rPh sb="1" eb="2">
      <t>キョガン</t>
    </rPh>
    <rPh sb="3" eb="4">
      <t>フ</t>
    </rPh>
    <rPh sb="8" eb="10">
      <t>ゼンタイ</t>
    </rPh>
    <rPh sb="11" eb="12">
      <t>ダイ</t>
    </rPh>
    <phoneticPr fontId="5"/>
  </si>
  <si>
    <t>強大な力で山のような大岩をこちらへと投げ飛ばす！
　　　　2ターン後に即死級大ダメージ！！</t>
    <rPh sb="0" eb="2">
      <t>キョウダイ</t>
    </rPh>
    <rPh sb="3" eb="4">
      <t>チカラ</t>
    </rPh>
    <rPh sb="5" eb="6">
      <t>ヤマ</t>
    </rPh>
    <rPh sb="10" eb="11">
      <t>オオ</t>
    </rPh>
    <rPh sb="11" eb="12">
      <t>キョガン</t>
    </rPh>
    <rPh sb="18" eb="19">
      <t>ナ</t>
    </rPh>
    <rPh sb="20" eb="21">
      <t>ト</t>
    </rPh>
    <rPh sb="33" eb="34">
      <t>ゴ</t>
    </rPh>
    <rPh sb="35" eb="38">
      <t>ソクシキュウ</t>
    </rPh>
    <rPh sb="38" eb="39">
      <t>ダイ</t>
    </rPh>
    <phoneticPr fontId="5"/>
  </si>
  <si>
    <t>神の威光で全ユニットの攻撃力を3ターンDOWN</t>
    <rPh sb="0" eb="1">
      <t>カミ</t>
    </rPh>
    <rPh sb="2" eb="4">
      <t>イコウニヨ</t>
    </rPh>
    <rPh sb="5" eb="6">
      <t>ゼン</t>
    </rPh>
    <rPh sb="11" eb="13">
      <t>コウゲキリョキ</t>
    </rPh>
    <rPh sb="13" eb="14">
      <t>リョク</t>
    </rPh>
    <phoneticPr fontId="5"/>
  </si>
  <si>
    <t>[effect:enemy_message, val1:2, val2:3]</t>
    <phoneticPr fontId="5"/>
  </si>
  <si>
    <t>[effect:enemy_message, val1:2, val2:2],[effect:degrade_unit, target:unit_all, turn:3, status:attack, val:0.8, calc:mul]</t>
    <phoneticPr fontId="5"/>
  </si>
  <si>
    <t>思い知らせてあげましょう
　真の絶望というものを</t>
    <rPh sb="0" eb="1">
      <t>オモ</t>
    </rPh>
    <rPh sb="2" eb="3">
      <t>シ</t>
    </rPh>
    <phoneticPr fontId="5"/>
  </si>
  <si>
    <t>そろそろ終わりにしましょう・・・</t>
    <phoneticPr fontId="5"/>
  </si>
  <si>
    <t>チェン・リーは50%の確率で敵全体の
攻撃力を超大UPさせてきます
攻撃を集中させて早めに倒しましょう</t>
    <rPh sb="11" eb="13">
      <t>カクリツ</t>
    </rPh>
    <rPh sb="14" eb="17">
      <t>テキゼンタイ</t>
    </rPh>
    <rPh sb="19" eb="22">
      <t>コウゲキリョク</t>
    </rPh>
    <rPh sb="23" eb="25">
      <t>チョウダイ</t>
    </rPh>
    <rPh sb="34" eb="36">
      <t>コウゲキ</t>
    </rPh>
    <rPh sb="37" eb="39">
      <t>シュウチュウ</t>
    </rPh>
    <rPh sb="42" eb="43">
      <t>ハヤ</t>
    </rPh>
    <rPh sb="45" eb="46">
      <t>タオ</t>
    </rPh>
    <phoneticPr fontId="5"/>
  </si>
  <si>
    <t>old</t>
    <phoneticPr fontId="5"/>
  </si>
  <si>
    <t>old</t>
    <phoneticPr fontId="5"/>
  </si>
  <si>
    <t>old</t>
    <phoneticPr fontId="5"/>
  </si>
  <si>
    <t>2ゲージ目のアマテラスは3ターン毎に
青パネルを吸収して攻撃してきます
青パネルを多く残さないようにしましょう</t>
    <rPh sb="4" eb="5">
      <t>メ</t>
    </rPh>
    <rPh sb="16" eb="17">
      <t>ゴト</t>
    </rPh>
    <rPh sb="19" eb="20">
      <t>アオ</t>
    </rPh>
    <rPh sb="24" eb="26">
      <t>キュウシュウ</t>
    </rPh>
    <rPh sb="28" eb="30">
      <t>コウゲキ</t>
    </rPh>
    <rPh sb="36" eb="37">
      <t>アオ</t>
    </rPh>
    <rPh sb="41" eb="42">
      <t>オオ</t>
    </rPh>
    <rPh sb="43" eb="44">
      <t>ノコ</t>
    </rPh>
    <phoneticPr fontId="5"/>
  </si>
  <si>
    <t>3ゲージ目のアマテラスは2ターン目に
全ユニットをウィルス状態にしてきます
ウィルス解除スキルを使いましょう</t>
    <rPh sb="16" eb="17">
      <t>メ</t>
    </rPh>
    <rPh sb="19" eb="20">
      <t>ゼン</t>
    </rPh>
    <rPh sb="29" eb="31">
      <t>ジョウタイ</t>
    </rPh>
    <rPh sb="42" eb="44">
      <t>カイジョ</t>
    </rPh>
    <rPh sb="48" eb="49">
      <t>ツカ</t>
    </rPh>
    <phoneticPr fontId="5"/>
  </si>
  <si>
    <t>夕霧は全ユニットをウィルス状態にする
スキルを使ってきます
ウィルス解除スキルを使いましょう</t>
    <rPh sb="0" eb="2">
      <t>ユウギリ</t>
    </rPh>
    <rPh sb="3" eb="4">
      <t>ゼン</t>
    </rPh>
    <rPh sb="13" eb="15">
      <t>ジョウタイ</t>
    </rPh>
    <rPh sb="23" eb="24">
      <t>ツカ</t>
    </rPh>
    <rPh sb="34" eb="36">
      <t>カイジョ</t>
    </rPh>
    <rPh sb="40" eb="41">
      <t>ツカ</t>
    </rPh>
    <phoneticPr fontId="5"/>
  </si>
  <si>
    <t>3ゲージ目のアマテラスは4ターン目に
即死級攻撃の準備をします
次にアマテラスが行動する前に倒しましょう</t>
    <rPh sb="16" eb="17">
      <t>メ</t>
    </rPh>
    <rPh sb="19" eb="24">
      <t>ソクシコウゲキ</t>
    </rPh>
    <rPh sb="25" eb="27">
      <t>ジュンビ</t>
    </rPh>
    <rPh sb="32" eb="33">
      <t>ツギ</t>
    </rPh>
    <rPh sb="40" eb="42">
      <t>コウドウ</t>
    </rPh>
    <rPh sb="44" eb="45">
      <t>マエ</t>
    </rPh>
    <rPh sb="46" eb="47">
      <t>タオ</t>
    </rPh>
    <phoneticPr fontId="5"/>
  </si>
  <si>
    <t>卑弥呼はHPが一定値以下になると
こちらの回復力を下げてきます
回復力を上げるスキルを使いましょう</t>
    <rPh sb="0" eb="3">
      <t>ヒミコ</t>
    </rPh>
    <rPh sb="7" eb="9">
      <t>イッテイイジョウ</t>
    </rPh>
    <rPh sb="9" eb="10">
      <t>ti</t>
    </rPh>
    <rPh sb="10" eb="12">
      <t>イカ</t>
    </rPh>
    <rPh sb="21" eb="24">
      <t>カイフクリョク</t>
    </rPh>
    <rPh sb="25" eb="26">
      <t>サ</t>
    </rPh>
    <rPh sb="32" eb="35">
      <t>カイフクリョク</t>
    </rPh>
    <rPh sb="36" eb="37">
      <t>ア</t>
    </rPh>
    <rPh sb="43" eb="44">
      <t>ツカ</t>
    </rPh>
    <phoneticPr fontId="5"/>
  </si>
  <si>
    <t>マーロンは頻繁にこちらのスキルを使えなく
するスキルを使ってきます
なるべくマーロンから倒してみましょう</t>
    <rPh sb="5" eb="7">
      <t>ヒンパン</t>
    </rPh>
    <rPh sb="16" eb="17">
      <t>ツカ</t>
    </rPh>
    <rPh sb="27" eb="28">
      <t>ツカ</t>
    </rPh>
    <rPh sb="44" eb="45">
      <t>タオ</t>
    </rPh>
    <phoneticPr fontId="5"/>
  </si>
  <si>
    <t>null</t>
    <phoneticPr fontId="5"/>
  </si>
  <si>
    <t>link</t>
    <phoneticPr fontId="5"/>
  </si>
  <si>
    <t>unit</t>
    <phoneticPr fontId="5"/>
  </si>
  <si>
    <t>old</t>
    <phoneticPr fontId="5"/>
  </si>
  <si>
    <t>解除するまで回復力超大DOWN</t>
    <rPh sb="9" eb="11">
      <t>チョウダイ</t>
    </rPh>
    <phoneticPr fontId="5"/>
  </si>
  <si>
    <t>[effect:degrade_unit, target:unit_all, turn:-1, status:heal, val:0.5, calc:mul, animation:degrade_unit_all_heal],[effect:fix_speed, target:myself, turn:2]</t>
    <phoneticPr fontId="5"/>
  </si>
  <si>
    <t>八百万の呪怨</t>
    <rPh sb="0" eb="3">
      <t>ヤオヨロズ</t>
    </rPh>
    <rPh sb="4" eb="6">
      <t>ジュオン</t>
    </rPh>
    <phoneticPr fontId="5"/>
  </si>
  <si>
    <t>[effect:damage_anti_color, target:unit_one, color:yellow, val1:2.0, val2:1.0],[effect:heal, target:myself, val:0.07, animation:enemy_heal]</t>
    <phoneticPr fontId="5"/>
  </si>
  <si>
    <t>8ターンの間回復力&amp;パネルタップ回数を超大DOWN</t>
    <rPh sb="5" eb="6">
      <t>アイダ</t>
    </rPh>
    <rPh sb="19" eb="21">
      <t>チョウダイ</t>
    </rPh>
    <phoneticPr fontId="5"/>
  </si>
  <si>
    <t>[effect:degrade_unit, target:unit_all, turn:8, status:heal, val:0.5, calc:mul, animation:degrade_unit_all_heal],[effect:degrade_unit, target:unit_all, turn:8, status:action, val:4, calc:add, animation:enemy_tap_down],[effect:fix_speed, target:myself, turn:2],[effect:enemy_message, val2:3]</t>
    <phoneticPr fontId="5"/>
  </si>
  <si>
    <t>夕霧は青属性以外のユニットに対して威力大
になる技を数種類使い分けてきます
青属性のユニットを揃えていきましょう</t>
    <rPh sb="0" eb="2">
      <t>ユウギリ</t>
    </rPh>
    <rPh sb="3" eb="6">
      <t>アオゾクセイ</t>
    </rPh>
    <rPh sb="6" eb="8">
      <t>イガイ</t>
    </rPh>
    <rPh sb="14" eb="15">
      <t>タイ</t>
    </rPh>
    <rPh sb="17" eb="19">
      <t>イリョク</t>
    </rPh>
    <rPh sb="19" eb="20">
      <t>ダイ</t>
    </rPh>
    <rPh sb="24" eb="25">
      <t>ワザ</t>
    </rPh>
    <rPh sb="26" eb="29">
      <t>スウシュルイ</t>
    </rPh>
    <rPh sb="29" eb="30">
      <t>ツカ</t>
    </rPh>
    <rPh sb="31" eb="32">
      <t>ワ</t>
    </rPh>
    <rPh sb="47" eb="48">
      <t>ソロ</t>
    </rPh>
    <phoneticPr fontId="5"/>
  </si>
  <si>
    <t>アマテラスは種族ゴッドのユニットに対して
大ダメージになるスキルを使ってきます
種族ゴッドのユニットを外して挑みましょう</t>
    <rPh sb="6" eb="8">
      <t>シュゾク</t>
    </rPh>
    <rPh sb="17" eb="18">
      <t>タイ</t>
    </rPh>
    <rPh sb="21" eb="22">
      <t>ダイイリョク</t>
    </rPh>
    <rPh sb="33" eb="34">
      <t>ツカ</t>
    </rPh>
    <rPh sb="40" eb="42">
      <t>シュゾク</t>
    </rPh>
    <rPh sb="51" eb="52">
      <t>ハズ</t>
    </rPh>
    <rPh sb="54" eb="55">
      <t>チョウセン</t>
    </rPh>
    <phoneticPr fontId="5"/>
  </si>
  <si>
    <t>アマテラスは種族ゴッドのユニットに対して
大ダメージになるスキルを使用してきます
種族ゴッドのユニットを外して挑みましょう</t>
    <rPh sb="6" eb="8">
      <t>シュゾク</t>
    </rPh>
    <rPh sb="17" eb="18">
      <t>タイ</t>
    </rPh>
    <rPh sb="21" eb="22">
      <t>ダイイリョク</t>
    </rPh>
    <rPh sb="33" eb="35">
      <t>シヨウ</t>
    </rPh>
    <rPh sb="41" eb="43">
      <t>シュゾク</t>
    </rPh>
    <rPh sb="52" eb="53">
      <t>ハズ</t>
    </rPh>
    <rPh sb="55" eb="56">
      <t>イドミマショウ</t>
    </rPh>
    <phoneticPr fontId="5"/>
  </si>
  <si>
    <t>3ゲージ目のアマテラスは最初に4ターン
防御力を上げるスキルを使ってきます
4ターン経過するまでは盤面を整えましょう</t>
    <rPh sb="42" eb="44">
      <t>ケイカ</t>
    </rPh>
    <rPh sb="49" eb="51">
      <t>バンメン</t>
    </rPh>
    <rPh sb="52" eb="53">
      <t>トトノエマショウ</t>
    </rPh>
    <phoneticPr fontId="5"/>
  </si>
  <si>
    <t>夕霧は青属性以外のユニットに対して威力大
になる技を数種類使い分けてきます
青属性のユニットを揃えていきましょう</t>
    <rPh sb="0" eb="2">
      <t>ユウギリ</t>
    </rPh>
    <rPh sb="3" eb="6">
      <t>アオゾクセイ</t>
    </rPh>
    <rPh sb="6" eb="8">
      <t>イガイ</t>
    </rPh>
    <rPh sb="14" eb="15">
      <t>タイ</t>
    </rPh>
    <rPh sb="17" eb="20">
      <t>イリョクダイ</t>
    </rPh>
    <rPh sb="24" eb="25">
      <t>ワザ</t>
    </rPh>
    <rPh sb="26" eb="29">
      <t>スウシュルイ</t>
    </rPh>
    <rPh sb="29" eb="30">
      <t>ツカ</t>
    </rPh>
    <rPh sb="31" eb="32">
      <t>ワ</t>
    </rPh>
    <rPh sb="47" eb="48">
      <t>ソロ</t>
    </rPh>
    <phoneticPr fontId="5"/>
  </si>
  <si>
    <t>3ゲージ目のアマテラスは最初に4ターン
防御力を上げるスキルを使ってきます
4ターン経過するまでは盤面を整えましょう</t>
    <rPh sb="49" eb="51">
      <t>バンメｎ</t>
    </rPh>
    <rPh sb="52" eb="53">
      <t>トトノエマショウ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</si>
</sst>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92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31" borderId="7" xfId="0" applyFont="1" applyFill="1" applyBorder="1" applyAlignment="1">
      <alignment horizontal="center" vertical="center"/>
    </xf>
    <xf numFmtId="0" fontId="4" fillId="0" borderId="7" xfId="433" applyFont="1" applyFill="1" applyBorder="1" applyAlignment="1">
      <alignment horizontal="right" vertical="center"/>
    </xf>
    <xf numFmtId="0" fontId="6" fillId="32" borderId="3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4" fillId="33" borderId="7" xfId="0" applyFont="1" applyFill="1" applyBorder="1" applyAlignment="1">
      <alignment horizontal="center" vertical="center"/>
    </xf>
    <xf numFmtId="0" fontId="4" fillId="34" borderId="7" xfId="0" applyFont="1" applyFill="1" applyBorder="1" applyAlignment="1">
      <alignment horizontal="center" vertical="center"/>
    </xf>
    <xf numFmtId="0" fontId="16" fillId="33" borderId="7" xfId="0" applyFont="1" applyFill="1" applyBorder="1" applyAlignment="1">
      <alignment vertical="center"/>
    </xf>
    <xf numFmtId="0" fontId="28" fillId="3" borderId="7" xfId="0" applyFont="1" applyFill="1" applyBorder="1"/>
    <xf numFmtId="0" fontId="30" fillId="3" borderId="7" xfId="0" applyFont="1" applyFill="1" applyBorder="1"/>
    <xf numFmtId="0" fontId="31" fillId="3" borderId="7" xfId="0" applyFont="1" applyFill="1" applyBorder="1"/>
    <xf numFmtId="38" fontId="16" fillId="3" borderId="7" xfId="628" applyFont="1" applyFill="1" applyBorder="1" applyAlignment="1"/>
    <xf numFmtId="0" fontId="4" fillId="34" borderId="1" xfId="0" applyFont="1" applyFill="1" applyBorder="1" applyAlignment="1">
      <alignment horizontal="center" vertical="center"/>
    </xf>
    <xf numFmtId="0" fontId="4" fillId="35" borderId="7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center" vertical="center"/>
    </xf>
    <xf numFmtId="0" fontId="16" fillId="34" borderId="7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4" fillId="0" borderId="7" xfId="615" applyFont="1" applyBorder="1"/>
    <xf numFmtId="0" fontId="30" fillId="33" borderId="7" xfId="0" applyFont="1" applyFill="1" applyBorder="1"/>
    <xf numFmtId="0" fontId="30" fillId="34" borderId="7" xfId="0" applyFont="1" applyFill="1" applyBorder="1"/>
    <xf numFmtId="0" fontId="30" fillId="35" borderId="7" xfId="0" applyFont="1" applyFill="1" applyBorder="1"/>
    <xf numFmtId="0" fontId="4" fillId="15" borderId="7" xfId="0" applyFont="1" applyFill="1" applyBorder="1" applyAlignment="1">
      <alignment horizontal="right" vertical="center"/>
    </xf>
    <xf numFmtId="0" fontId="0" fillId="0" borderId="23" xfId="0" applyBorder="1"/>
    <xf numFmtId="0" fontId="27" fillId="0" borderId="23" xfId="0" applyFont="1" applyFill="1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27" fillId="15" borderId="7" xfId="0" applyFont="1" applyFill="1" applyBorder="1"/>
    <xf numFmtId="0" fontId="0" fillId="0" borderId="12" xfId="0" applyBorder="1"/>
    <xf numFmtId="0" fontId="27" fillId="0" borderId="12" xfId="0" applyFont="1" applyFill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15" borderId="23" xfId="0" applyFont="1" applyFill="1" applyBorder="1"/>
  </cellXfs>
  <cellStyles count="92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赤字強調" xfId="431"/>
    <cellStyle name="青字強調" xfId="430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30038</v>
          </cell>
        </row>
        <row r="155">
          <cell r="A155">
            <v>39001</v>
          </cell>
        </row>
        <row r="156">
          <cell r="A156">
            <v>39002</v>
          </cell>
        </row>
        <row r="157">
          <cell r="A157">
            <v>39003</v>
          </cell>
        </row>
        <row r="158">
          <cell r="A158">
            <v>39004</v>
          </cell>
        </row>
        <row r="159">
          <cell r="A159">
            <v>39005</v>
          </cell>
        </row>
        <row r="160">
          <cell r="A160">
            <v>39006</v>
          </cell>
        </row>
        <row r="161">
          <cell r="A161">
            <v>40001</v>
          </cell>
        </row>
        <row r="162">
          <cell r="A162">
            <v>40002</v>
          </cell>
        </row>
        <row r="163">
          <cell r="A163">
            <v>40003</v>
          </cell>
        </row>
        <row r="164">
          <cell r="A164">
            <v>40004</v>
          </cell>
        </row>
        <row r="165">
          <cell r="A165">
            <v>40005</v>
          </cell>
        </row>
        <row r="166">
          <cell r="A166">
            <v>40006</v>
          </cell>
        </row>
        <row r="167">
          <cell r="A167">
            <v>40007</v>
          </cell>
        </row>
        <row r="168">
          <cell r="A168">
            <v>40008</v>
          </cell>
        </row>
        <row r="169">
          <cell r="A169">
            <v>40009</v>
          </cell>
        </row>
        <row r="170">
          <cell r="A170">
            <v>40010</v>
          </cell>
        </row>
        <row r="171">
          <cell r="A171">
            <v>40011</v>
          </cell>
        </row>
        <row r="172">
          <cell r="A172">
            <v>40012</v>
          </cell>
        </row>
        <row r="173">
          <cell r="A173">
            <v>40013</v>
          </cell>
        </row>
        <row r="174">
          <cell r="A174">
            <v>40014</v>
          </cell>
        </row>
        <row r="175">
          <cell r="A175">
            <v>40015</v>
          </cell>
        </row>
        <row r="176">
          <cell r="A176">
            <v>40016</v>
          </cell>
        </row>
        <row r="177">
          <cell r="A177">
            <v>40017</v>
          </cell>
        </row>
        <row r="178">
          <cell r="A178">
            <v>40018</v>
          </cell>
        </row>
        <row r="179">
          <cell r="A179">
            <v>40019</v>
          </cell>
        </row>
        <row r="180">
          <cell r="A180">
            <v>40021</v>
          </cell>
        </row>
        <row r="181">
          <cell r="A181">
            <v>40022</v>
          </cell>
        </row>
        <row r="182">
          <cell r="A182">
            <v>48001</v>
          </cell>
        </row>
        <row r="183">
          <cell r="A183">
            <v>48002</v>
          </cell>
        </row>
        <row r="184">
          <cell r="A184">
            <v>41001</v>
          </cell>
        </row>
        <row r="185">
          <cell r="A185">
            <v>41002</v>
          </cell>
        </row>
        <row r="186">
          <cell r="A186">
            <v>41003</v>
          </cell>
        </row>
        <row r="187">
          <cell r="A187">
            <v>41004</v>
          </cell>
        </row>
        <row r="188">
          <cell r="A188">
            <v>41005</v>
          </cell>
        </row>
        <row r="189">
          <cell r="A189">
            <v>41006</v>
          </cell>
        </row>
        <row r="190">
          <cell r="A190">
            <v>41007</v>
          </cell>
        </row>
        <row r="191">
          <cell r="A191">
            <v>41008</v>
          </cell>
        </row>
        <row r="192">
          <cell r="A192">
            <v>41009</v>
          </cell>
        </row>
        <row r="193">
          <cell r="A193">
            <v>41010</v>
          </cell>
        </row>
        <row r="194">
          <cell r="A194">
            <v>41011</v>
          </cell>
        </row>
        <row r="195">
          <cell r="A195">
            <v>41012</v>
          </cell>
        </row>
        <row r="196">
          <cell r="A196">
            <v>41013</v>
          </cell>
        </row>
        <row r="197">
          <cell r="A197">
            <v>47001</v>
          </cell>
        </row>
        <row r="198">
          <cell r="A198">
            <v>47002</v>
          </cell>
        </row>
        <row r="199">
          <cell r="A199">
            <v>49001</v>
          </cell>
        </row>
        <row r="200">
          <cell r="A200">
            <v>49002</v>
          </cell>
        </row>
        <row r="201">
          <cell r="A201">
            <v>49003</v>
          </cell>
        </row>
        <row r="202">
          <cell r="A202">
            <v>49004</v>
          </cell>
        </row>
        <row r="203">
          <cell r="A203">
            <v>49005</v>
          </cell>
        </row>
        <row r="204">
          <cell r="A204">
            <v>49006</v>
          </cell>
        </row>
        <row r="205">
          <cell r="A205">
            <v>50001</v>
          </cell>
        </row>
        <row r="206">
          <cell r="A206">
            <v>50002</v>
          </cell>
        </row>
        <row r="207">
          <cell r="A207">
            <v>50003</v>
          </cell>
        </row>
        <row r="208">
          <cell r="A208">
            <v>50004</v>
          </cell>
        </row>
        <row r="209">
          <cell r="A209">
            <v>50005</v>
          </cell>
        </row>
        <row r="210">
          <cell r="A210">
            <v>51001</v>
          </cell>
        </row>
        <row r="211">
          <cell r="A211">
            <v>51002</v>
          </cell>
        </row>
        <row r="212">
          <cell r="A212">
            <v>60001</v>
          </cell>
        </row>
        <row r="213">
          <cell r="A213">
            <v>60002</v>
          </cell>
        </row>
        <row r="214">
          <cell r="A214">
            <v>60003</v>
          </cell>
        </row>
        <row r="215">
          <cell r="A215">
            <v>60004</v>
          </cell>
        </row>
        <row r="216">
          <cell r="A216">
            <v>60005</v>
          </cell>
        </row>
        <row r="217">
          <cell r="A217">
            <v>60006</v>
          </cell>
        </row>
        <row r="218">
          <cell r="A218">
            <v>60007</v>
          </cell>
        </row>
        <row r="219">
          <cell r="A219">
            <v>60010</v>
          </cell>
        </row>
        <row r="220">
          <cell r="A220">
            <v>60011</v>
          </cell>
        </row>
        <row r="221">
          <cell r="A221">
            <v>61011</v>
          </cell>
        </row>
        <row r="222">
          <cell r="A222">
            <v>60012</v>
          </cell>
        </row>
        <row r="223">
          <cell r="A223">
            <v>60013</v>
          </cell>
        </row>
        <row r="224">
          <cell r="A224">
            <v>65534</v>
          </cell>
        </row>
        <row r="225">
          <cell r="A225">
            <v>65535</v>
          </cell>
        </row>
        <row r="226">
          <cell r="A226">
            <v>60021</v>
          </cell>
        </row>
        <row r="227">
          <cell r="A227">
            <v>60022</v>
          </cell>
        </row>
        <row r="228">
          <cell r="A228">
            <v>60023</v>
          </cell>
        </row>
        <row r="229">
          <cell r="A22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30038_1</v>
          </cell>
        </row>
        <row r="524">
          <cell r="A524" t="str">
            <v>30038_2</v>
          </cell>
        </row>
        <row r="525">
          <cell r="A525" t="str">
            <v>30038_3</v>
          </cell>
        </row>
        <row r="526">
          <cell r="A526" t="str">
            <v>39001_1</v>
          </cell>
        </row>
        <row r="527">
          <cell r="A527" t="str">
            <v>39001_2</v>
          </cell>
        </row>
        <row r="528">
          <cell r="A528" t="str">
            <v>39001_3</v>
          </cell>
        </row>
        <row r="529">
          <cell r="A529" t="str">
            <v>39001_4</v>
          </cell>
        </row>
        <row r="530">
          <cell r="A530" t="str">
            <v>39001_5</v>
          </cell>
        </row>
        <row r="531">
          <cell r="A531" t="str">
            <v>39002_1</v>
          </cell>
        </row>
        <row r="532">
          <cell r="A532" t="str">
            <v>39002_2</v>
          </cell>
        </row>
        <row r="533">
          <cell r="A533" t="str">
            <v>39002_3</v>
          </cell>
        </row>
        <row r="534">
          <cell r="A534" t="str">
            <v>39002_4</v>
          </cell>
        </row>
        <row r="535">
          <cell r="A535" t="str">
            <v>39003_1</v>
          </cell>
        </row>
        <row r="536">
          <cell r="A536" t="str">
            <v>39003_2</v>
          </cell>
        </row>
        <row r="537">
          <cell r="A537" t="str">
            <v>39003_3</v>
          </cell>
        </row>
        <row r="538">
          <cell r="A538" t="str">
            <v>39003_4</v>
          </cell>
        </row>
        <row r="539">
          <cell r="A539" t="str">
            <v>39004_1</v>
          </cell>
        </row>
        <row r="540">
          <cell r="A540" t="str">
            <v>39004_2</v>
          </cell>
        </row>
        <row r="541">
          <cell r="A541" t="str">
            <v>39004_3</v>
          </cell>
        </row>
        <row r="542">
          <cell r="A542" t="str">
            <v>39004_4</v>
          </cell>
        </row>
        <row r="543">
          <cell r="A543" t="str">
            <v>39005_1</v>
          </cell>
        </row>
        <row r="544">
          <cell r="A544" t="str">
            <v>39005_2</v>
          </cell>
        </row>
        <row r="545">
          <cell r="A545" t="str">
            <v>39005_3</v>
          </cell>
        </row>
        <row r="546">
          <cell r="A546" t="str">
            <v>39005_4</v>
          </cell>
        </row>
        <row r="547">
          <cell r="A547" t="str">
            <v>39005_5</v>
          </cell>
        </row>
        <row r="548">
          <cell r="A548" t="str">
            <v>39006_1</v>
          </cell>
        </row>
        <row r="549">
          <cell r="A549" t="str">
            <v>39006_2</v>
          </cell>
        </row>
        <row r="550">
          <cell r="A550" t="str">
            <v>39006_3</v>
          </cell>
        </row>
        <row r="551">
          <cell r="A551" t="str">
            <v>39006_4</v>
          </cell>
        </row>
        <row r="552">
          <cell r="A552" t="str">
            <v>40001_1</v>
          </cell>
        </row>
        <row r="553">
          <cell r="A553" t="str">
            <v>40002_1</v>
          </cell>
        </row>
        <row r="554">
          <cell r="A554" t="str">
            <v>40002_2</v>
          </cell>
        </row>
        <row r="555">
          <cell r="A555" t="str">
            <v>40002_3</v>
          </cell>
        </row>
        <row r="556">
          <cell r="A556" t="str">
            <v>40003_1</v>
          </cell>
        </row>
        <row r="557">
          <cell r="A557" t="str">
            <v>40004_1</v>
          </cell>
        </row>
        <row r="558">
          <cell r="A558" t="str">
            <v>40005_1</v>
          </cell>
        </row>
        <row r="559">
          <cell r="A559" t="str">
            <v>40006_1</v>
          </cell>
        </row>
        <row r="560">
          <cell r="A560" t="str">
            <v>40007_1</v>
          </cell>
        </row>
        <row r="561">
          <cell r="A561" t="str">
            <v>40008_1</v>
          </cell>
        </row>
        <row r="562">
          <cell r="A562" t="str">
            <v>40009_1</v>
          </cell>
        </row>
        <row r="563">
          <cell r="A563" t="str">
            <v>40010_1</v>
          </cell>
        </row>
        <row r="564">
          <cell r="A564" t="str">
            <v>40011_1</v>
          </cell>
        </row>
        <row r="565">
          <cell r="A565" t="str">
            <v>40012_1</v>
          </cell>
        </row>
        <row r="566">
          <cell r="A566" t="str">
            <v>40013_1</v>
          </cell>
        </row>
        <row r="567">
          <cell r="A567" t="str">
            <v>40014_1</v>
          </cell>
        </row>
        <row r="568">
          <cell r="A568" t="str">
            <v>40015_1</v>
          </cell>
        </row>
        <row r="569">
          <cell r="A569" t="str">
            <v>40016_1</v>
          </cell>
        </row>
        <row r="570">
          <cell r="A570" t="str">
            <v>40016_2</v>
          </cell>
        </row>
        <row r="571">
          <cell r="A571" t="str">
            <v>40017_1</v>
          </cell>
        </row>
        <row r="572">
          <cell r="A572" t="str">
            <v>40017_2</v>
          </cell>
        </row>
        <row r="573">
          <cell r="A573" t="str">
            <v>40017_3</v>
          </cell>
        </row>
        <row r="574">
          <cell r="A574" t="str">
            <v>40018_1</v>
          </cell>
        </row>
        <row r="575">
          <cell r="A575" t="str">
            <v>40018_2</v>
          </cell>
        </row>
        <row r="576">
          <cell r="A576" t="str">
            <v>40018_3</v>
          </cell>
        </row>
        <row r="577">
          <cell r="A577" t="str">
            <v>40019_1</v>
          </cell>
        </row>
        <row r="578">
          <cell r="A578" t="str">
            <v>40019_2</v>
          </cell>
        </row>
        <row r="579">
          <cell r="A579" t="str">
            <v>40019_3</v>
          </cell>
        </row>
        <row r="580">
          <cell r="A580" t="str">
            <v>40021_1</v>
          </cell>
        </row>
        <row r="581">
          <cell r="A581" t="str">
            <v>40021_2</v>
          </cell>
        </row>
        <row r="582">
          <cell r="A582" t="str">
            <v>40022_1</v>
          </cell>
        </row>
        <row r="583">
          <cell r="A583" t="str">
            <v>40022_2</v>
          </cell>
        </row>
        <row r="584">
          <cell r="A584" t="str">
            <v>48001_1</v>
          </cell>
        </row>
        <row r="585">
          <cell r="A585" t="str">
            <v>48002_1</v>
          </cell>
        </row>
        <row r="586">
          <cell r="A586" t="str">
            <v>48002_2</v>
          </cell>
        </row>
        <row r="587">
          <cell r="A587" t="str">
            <v>48002_3</v>
          </cell>
        </row>
        <row r="588">
          <cell r="A588" t="str">
            <v>41001_1</v>
          </cell>
        </row>
        <row r="589">
          <cell r="A589" t="str">
            <v>41001_2</v>
          </cell>
        </row>
        <row r="590">
          <cell r="A590" t="str">
            <v>41001_3</v>
          </cell>
        </row>
        <row r="591">
          <cell r="A591" t="str">
            <v>41002_1</v>
          </cell>
        </row>
        <row r="592">
          <cell r="A592" t="str">
            <v>41002_2</v>
          </cell>
        </row>
        <row r="593">
          <cell r="A593" t="str">
            <v>41002_3</v>
          </cell>
        </row>
        <row r="594">
          <cell r="A594" t="str">
            <v>41003_1</v>
          </cell>
        </row>
        <row r="595">
          <cell r="A595" t="str">
            <v>41003_2</v>
          </cell>
        </row>
        <row r="596">
          <cell r="A596" t="str">
            <v>41003_3</v>
          </cell>
        </row>
        <row r="597">
          <cell r="A597" t="str">
            <v>41004_1</v>
          </cell>
        </row>
        <row r="598">
          <cell r="A598" t="str">
            <v>41004_2</v>
          </cell>
        </row>
        <row r="599">
          <cell r="A599" t="str">
            <v>41004_3</v>
          </cell>
        </row>
        <row r="600">
          <cell r="A600" t="str">
            <v>41005_1</v>
          </cell>
        </row>
        <row r="601">
          <cell r="A601" t="str">
            <v>41005_2</v>
          </cell>
        </row>
        <row r="602">
          <cell r="A602" t="str">
            <v>41005_3</v>
          </cell>
        </row>
        <row r="603">
          <cell r="A603" t="str">
            <v>41006_1</v>
          </cell>
        </row>
        <row r="604">
          <cell r="A604" t="str">
            <v>41006_2</v>
          </cell>
        </row>
        <row r="605">
          <cell r="A605" t="str">
            <v>41006_3</v>
          </cell>
        </row>
        <row r="606">
          <cell r="A606" t="str">
            <v>41007_1</v>
          </cell>
        </row>
        <row r="607">
          <cell r="A607" t="str">
            <v>41007_2</v>
          </cell>
        </row>
        <row r="608">
          <cell r="A608" t="str">
            <v>41007_3</v>
          </cell>
        </row>
        <row r="609">
          <cell r="A609" t="str">
            <v>41008_1</v>
          </cell>
        </row>
        <row r="610">
          <cell r="A610" t="str">
            <v>41008_2</v>
          </cell>
        </row>
        <row r="611">
          <cell r="A611" t="str">
            <v>41008_3</v>
          </cell>
        </row>
        <row r="612">
          <cell r="A612" t="str">
            <v>41009_1</v>
          </cell>
        </row>
        <row r="613">
          <cell r="A613" t="str">
            <v>41009_2</v>
          </cell>
        </row>
        <row r="614">
          <cell r="A614" t="str">
            <v>41009_3</v>
          </cell>
        </row>
        <row r="615">
          <cell r="A615" t="str">
            <v>41010_1</v>
          </cell>
        </row>
        <row r="616">
          <cell r="A616" t="str">
            <v>41010_2</v>
          </cell>
        </row>
        <row r="617">
          <cell r="A617" t="str">
            <v>41010_3</v>
          </cell>
        </row>
        <row r="618">
          <cell r="A618" t="str">
            <v>41011_1</v>
          </cell>
        </row>
        <row r="619">
          <cell r="A619" t="str">
            <v>41011_2</v>
          </cell>
        </row>
        <row r="620">
          <cell r="A620" t="str">
            <v>41012_1</v>
          </cell>
        </row>
        <row r="621">
          <cell r="A621" t="str">
            <v>41012_2</v>
          </cell>
        </row>
        <row r="622">
          <cell r="A622" t="str">
            <v>41013_1</v>
          </cell>
        </row>
        <row r="623">
          <cell r="A623" t="str">
            <v>41013_2</v>
          </cell>
        </row>
        <row r="624">
          <cell r="A624" t="str">
            <v>47001_1</v>
          </cell>
        </row>
        <row r="625">
          <cell r="A625" t="str">
            <v>47001_2</v>
          </cell>
        </row>
        <row r="626">
          <cell r="A626" t="str">
            <v>47002_1</v>
          </cell>
        </row>
        <row r="627">
          <cell r="A627" t="str">
            <v>47002_2</v>
          </cell>
        </row>
        <row r="628">
          <cell r="A628" t="str">
            <v>49001_1</v>
          </cell>
        </row>
        <row r="629">
          <cell r="A629" t="str">
            <v>49002_1</v>
          </cell>
        </row>
        <row r="630">
          <cell r="A630" t="str">
            <v>49002_2</v>
          </cell>
        </row>
        <row r="631">
          <cell r="A631" t="str">
            <v>49003_1</v>
          </cell>
        </row>
        <row r="632">
          <cell r="A632" t="str">
            <v>49003_2</v>
          </cell>
        </row>
        <row r="633">
          <cell r="A633" t="str">
            <v>49004_1</v>
          </cell>
        </row>
        <row r="634">
          <cell r="A634" t="str">
            <v>49004_2</v>
          </cell>
        </row>
        <row r="635">
          <cell r="A635" t="str">
            <v>49004_3</v>
          </cell>
        </row>
        <row r="636">
          <cell r="A636" t="str">
            <v>49005_1</v>
          </cell>
        </row>
        <row r="637">
          <cell r="A637" t="str">
            <v>49006_1</v>
          </cell>
        </row>
        <row r="638">
          <cell r="A638" t="str">
            <v>49006_2</v>
          </cell>
        </row>
        <row r="639">
          <cell r="A639" t="str">
            <v>50001_1</v>
          </cell>
        </row>
        <row r="640">
          <cell r="A640" t="str">
            <v>50002_1</v>
          </cell>
        </row>
        <row r="641">
          <cell r="A641" t="str">
            <v>50003_1</v>
          </cell>
        </row>
        <row r="642">
          <cell r="A642" t="str">
            <v>50004_1</v>
          </cell>
        </row>
        <row r="643">
          <cell r="A643" t="str">
            <v>50005_1</v>
          </cell>
        </row>
        <row r="644">
          <cell r="A644" t="str">
            <v>51001_1</v>
          </cell>
        </row>
        <row r="645">
          <cell r="A645" t="str">
            <v>51002_1</v>
          </cell>
        </row>
        <row r="646">
          <cell r="A646" t="str">
            <v>60001_1</v>
          </cell>
        </row>
        <row r="647">
          <cell r="A647" t="str">
            <v>60002_1</v>
          </cell>
        </row>
        <row r="648">
          <cell r="A648" t="str">
            <v>60002_2</v>
          </cell>
        </row>
        <row r="649">
          <cell r="A649" t="str">
            <v>60003_1</v>
          </cell>
        </row>
        <row r="650">
          <cell r="A650" t="str">
            <v>60003_2</v>
          </cell>
        </row>
        <row r="651">
          <cell r="A651" t="str">
            <v>60003_3</v>
          </cell>
        </row>
        <row r="652">
          <cell r="A652" t="str">
            <v>60004_1</v>
          </cell>
        </row>
        <row r="653">
          <cell r="A653" t="str">
            <v>60005_1</v>
          </cell>
        </row>
        <row r="654">
          <cell r="A654" t="str">
            <v>60006_1</v>
          </cell>
        </row>
        <row r="655">
          <cell r="A655" t="str">
            <v>60006_2</v>
          </cell>
        </row>
        <row r="656">
          <cell r="A656" t="str">
            <v>60006_3</v>
          </cell>
        </row>
        <row r="657">
          <cell r="A657" t="str">
            <v>60007_1</v>
          </cell>
        </row>
        <row r="658">
          <cell r="A658" t="str">
            <v>60007_2</v>
          </cell>
        </row>
        <row r="659">
          <cell r="A659" t="str">
            <v>60007_3</v>
          </cell>
        </row>
        <row r="660">
          <cell r="A660" t="str">
            <v>60010_1</v>
          </cell>
        </row>
        <row r="661">
          <cell r="A661" t="str">
            <v>60011_1</v>
          </cell>
        </row>
        <row r="662">
          <cell r="A662" t="str">
            <v>60011_2</v>
          </cell>
        </row>
        <row r="663">
          <cell r="A663" t="str">
            <v>61011_1</v>
          </cell>
        </row>
        <row r="664">
          <cell r="A664" t="str">
            <v>60012_1</v>
          </cell>
        </row>
        <row r="665">
          <cell r="A665" t="str">
            <v>60013_1</v>
          </cell>
        </row>
        <row r="666">
          <cell r="A666" t="str">
            <v>60013_2</v>
          </cell>
        </row>
        <row r="667">
          <cell r="A667" t="str">
            <v>60013_3</v>
          </cell>
        </row>
        <row r="668">
          <cell r="A668" t="str">
            <v>65535_1</v>
          </cell>
        </row>
        <row r="669">
          <cell r="A669" t="str">
            <v>65535_2</v>
          </cell>
        </row>
        <row r="670">
          <cell r="A670" t="str">
            <v>65535_3</v>
          </cell>
        </row>
        <row r="671">
          <cell r="A671" t="str">
            <v>65535_4</v>
          </cell>
        </row>
        <row r="672">
          <cell r="A672" t="str">
            <v>65535_5</v>
          </cell>
        </row>
        <row r="673">
          <cell r="A673" t="str">
            <v>65535_6</v>
          </cell>
        </row>
        <row r="674">
          <cell r="A674" t="str">
            <v>65535_7</v>
          </cell>
        </row>
        <row r="675">
          <cell r="A675" t="str">
            <v>65535_8</v>
          </cell>
        </row>
        <row r="676">
          <cell r="A676" t="str">
            <v>60021_3</v>
          </cell>
        </row>
        <row r="677">
          <cell r="A677" t="str">
            <v>60022_3</v>
          </cell>
        </row>
        <row r="678">
          <cell r="A678" t="str">
            <v>60023_3</v>
          </cell>
        </row>
        <row r="679">
          <cell r="A679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15" sqref="B1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131</v>
      </c>
      <c r="B1" s="53" t="s">
        <v>101</v>
      </c>
      <c r="C1" s="53" t="s">
        <v>102</v>
      </c>
      <c r="D1" s="53" t="s">
        <v>103</v>
      </c>
      <c r="E1" s="53" t="s">
        <v>104</v>
      </c>
      <c r="F1" s="53" t="s">
        <v>105</v>
      </c>
      <c r="G1" s="53" t="s">
        <v>106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</row>
    <row r="2" spans="1:30" x14ac:dyDescent="0.15">
      <c r="A2" s="59" t="s">
        <v>236</v>
      </c>
      <c r="B2" s="55" t="s">
        <v>107</v>
      </c>
      <c r="C2" s="60">
        <v>41001</v>
      </c>
      <c r="D2" s="55" t="s">
        <v>108</v>
      </c>
      <c r="E2" s="54" t="str">
        <f>B2&amp;C2&amp;D2</f>
        <v>floors_41001.tmp</v>
      </c>
      <c r="F2" s="55" t="s">
        <v>109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</row>
    <row r="3" spans="1:30" x14ac:dyDescent="0.15">
      <c r="A3" s="59" t="s">
        <v>236</v>
      </c>
      <c r="B3" s="55" t="s">
        <v>110</v>
      </c>
      <c r="C3" s="60">
        <v>41001</v>
      </c>
      <c r="D3" s="55" t="s">
        <v>108</v>
      </c>
      <c r="E3" s="54" t="str">
        <f>B3&amp;C3&amp;D3</f>
        <v>enemy_habitats_41001.tmp</v>
      </c>
      <c r="F3" s="55" t="s">
        <v>111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179</v>
      </c>
    </row>
    <row r="4" spans="1:30" x14ac:dyDescent="0.15">
      <c r="A4" s="59" t="s">
        <v>236</v>
      </c>
      <c r="B4" s="55" t="s">
        <v>112</v>
      </c>
      <c r="C4" s="60">
        <v>41001</v>
      </c>
      <c r="D4" s="55" t="s">
        <v>108</v>
      </c>
      <c r="E4" s="54" t="str">
        <f>B4&amp;C4&amp;D4</f>
        <v>enemy_habitat_S_41001.tmp</v>
      </c>
      <c r="F4" s="55" t="s">
        <v>113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</row>
    <row r="5" spans="1:30" x14ac:dyDescent="0.15">
      <c r="A5" s="59" t="s">
        <v>236</v>
      </c>
      <c r="B5" s="55" t="s">
        <v>114</v>
      </c>
      <c r="C5" s="60">
        <v>41001</v>
      </c>
      <c r="D5" s="55" t="s">
        <v>108</v>
      </c>
      <c r="E5" s="54" t="str">
        <f>B5&amp;C5&amp;D5</f>
        <v>enemy_skill_sets_41001.tmp</v>
      </c>
      <c r="F5" s="55" t="s">
        <v>115</v>
      </c>
      <c r="G5" s="57" t="s">
        <v>22</v>
      </c>
      <c r="H5" s="57" t="s">
        <v>100</v>
      </c>
      <c r="I5" s="57" t="s">
        <v>95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</row>
    <row r="6" spans="1:30" x14ac:dyDescent="0.15">
      <c r="A6" s="59" t="s">
        <v>236</v>
      </c>
      <c r="B6" s="55" t="s">
        <v>116</v>
      </c>
      <c r="C6" s="60">
        <v>41001</v>
      </c>
      <c r="D6" s="55" t="s">
        <v>117</v>
      </c>
      <c r="E6" s="54" t="str">
        <f t="shared" ref="E6:E10" si="0">B6&amp;C6&amp;D6</f>
        <v>enemy_skills_tmp_41001.tmp</v>
      </c>
      <c r="F6" s="55" t="s">
        <v>91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</row>
    <row r="7" spans="1:30" x14ac:dyDescent="0.15">
      <c r="A7" s="59" t="s">
        <v>236</v>
      </c>
      <c r="B7" s="55" t="s">
        <v>118</v>
      </c>
      <c r="C7" s="60">
        <v>41001</v>
      </c>
      <c r="D7" s="55" t="s">
        <v>108</v>
      </c>
      <c r="E7" s="54" t="str">
        <f>B7&amp;C7&amp;D7</f>
        <v>enemy_skills_i18n_41001.tmp</v>
      </c>
      <c r="F7" s="55" t="s">
        <v>119</v>
      </c>
      <c r="G7" s="56" t="s">
        <v>79</v>
      </c>
      <c r="H7" s="56" t="s">
        <v>92</v>
      </c>
      <c r="I7" s="56" t="s">
        <v>93</v>
      </c>
      <c r="J7" s="56" t="s">
        <v>94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</row>
    <row r="8" spans="1:30" x14ac:dyDescent="0.15">
      <c r="A8" s="59" t="s">
        <v>237</v>
      </c>
      <c r="B8" s="55" t="s">
        <v>120</v>
      </c>
      <c r="C8" s="60">
        <v>41001</v>
      </c>
      <c r="D8" s="55" t="s">
        <v>121</v>
      </c>
      <c r="E8" s="54" t="str">
        <f t="shared" si="0"/>
        <v>enemy_skill_triggers_41001.tmp</v>
      </c>
      <c r="F8" s="55" t="s">
        <v>122</v>
      </c>
      <c r="G8" s="56" t="s">
        <v>95</v>
      </c>
      <c r="H8" s="56" t="s">
        <v>96</v>
      </c>
      <c r="I8" s="56" t="s">
        <v>97</v>
      </c>
      <c r="J8" s="56" t="s">
        <v>98</v>
      </c>
      <c r="K8" s="56" t="s">
        <v>123</v>
      </c>
      <c r="L8" s="56" t="s">
        <v>99</v>
      </c>
      <c r="M8" s="56" t="s">
        <v>124</v>
      </c>
      <c r="N8" s="56" t="s">
        <v>125</v>
      </c>
      <c r="O8" s="56" t="s">
        <v>126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</row>
    <row r="9" spans="1:30" x14ac:dyDescent="0.15">
      <c r="A9" s="59" t="s">
        <v>302</v>
      </c>
      <c r="B9" s="65" t="s">
        <v>178</v>
      </c>
      <c r="C9" s="60">
        <v>41001</v>
      </c>
      <c r="D9" s="65" t="s">
        <v>172</v>
      </c>
      <c r="E9" s="66" t="str">
        <f t="shared" si="0"/>
        <v>stage_bug_bonuses_41001.tmp</v>
      </c>
      <c r="F9" s="65" t="s">
        <v>173</v>
      </c>
      <c r="G9" s="62" t="s">
        <v>151</v>
      </c>
      <c r="H9" s="62" t="s">
        <v>174</v>
      </c>
      <c r="I9" s="62" t="s">
        <v>175</v>
      </c>
      <c r="J9" s="64" t="s">
        <v>176</v>
      </c>
      <c r="K9" s="62" t="s">
        <v>177</v>
      </c>
      <c r="L9" s="62" t="s">
        <v>157</v>
      </c>
      <c r="M9" s="62" t="s">
        <v>158</v>
      </c>
      <c r="N9" s="62" t="s">
        <v>159</v>
      </c>
      <c r="O9" s="62" t="s">
        <v>160</v>
      </c>
      <c r="P9" s="62" t="s">
        <v>161</v>
      </c>
      <c r="Q9" s="62" t="s">
        <v>162</v>
      </c>
      <c r="R9" s="62" t="s">
        <v>163</v>
      </c>
      <c r="S9" s="62" t="s">
        <v>164</v>
      </c>
      <c r="T9" s="62" t="s">
        <v>165</v>
      </c>
      <c r="U9" s="62" t="s">
        <v>166</v>
      </c>
      <c r="V9" s="62" t="s">
        <v>167</v>
      </c>
      <c r="W9" s="62" t="s">
        <v>168</v>
      </c>
    </row>
    <row r="10" spans="1:30" s="74" customFormat="1" x14ac:dyDescent="0.15">
      <c r="A10" s="59" t="s">
        <v>290</v>
      </c>
      <c r="B10" s="65" t="s">
        <v>202</v>
      </c>
      <c r="C10" s="60">
        <v>41001</v>
      </c>
      <c r="D10" s="65" t="s">
        <v>181</v>
      </c>
      <c r="E10" s="66" t="str">
        <f t="shared" si="0"/>
        <v>stage_hints_data_c_41001.tmp</v>
      </c>
      <c r="F10" s="65" t="s">
        <v>210</v>
      </c>
      <c r="G10" s="71" t="s">
        <v>182</v>
      </c>
      <c r="H10" s="71" t="s">
        <v>174</v>
      </c>
      <c r="I10" s="72" t="s">
        <v>183</v>
      </c>
      <c r="J10" s="64" t="s">
        <v>184</v>
      </c>
      <c r="K10" s="73" t="s">
        <v>185</v>
      </c>
    </row>
    <row r="11" spans="1:30" s="74" customFormat="1" x14ac:dyDescent="0.15">
      <c r="A11" s="59" t="s">
        <v>291</v>
      </c>
      <c r="B11" s="65" t="s">
        <v>203</v>
      </c>
      <c r="C11" s="60">
        <v>41001</v>
      </c>
      <c r="D11" s="65" t="s">
        <v>172</v>
      </c>
      <c r="E11" s="66" t="str">
        <f t="shared" ref="E11:E12" si="1">B11&amp;C11&amp;D11</f>
        <v>stage_hints_data_f_41001.tmp</v>
      </c>
      <c r="F11" s="65" t="s">
        <v>212</v>
      </c>
      <c r="G11" s="71" t="s">
        <v>182</v>
      </c>
      <c r="H11" s="71" t="s">
        <v>174</v>
      </c>
      <c r="I11" s="72" t="s">
        <v>183</v>
      </c>
      <c r="J11" s="64" t="s">
        <v>184</v>
      </c>
      <c r="K11" s="73" t="s">
        <v>185</v>
      </c>
    </row>
    <row r="12" spans="1:30" s="74" customFormat="1" x14ac:dyDescent="0.15">
      <c r="A12" s="111" t="s">
        <v>292</v>
      </c>
      <c r="B12" s="65" t="s">
        <v>204</v>
      </c>
      <c r="C12" s="60">
        <v>41001</v>
      </c>
      <c r="D12" s="65" t="s">
        <v>172</v>
      </c>
      <c r="E12" s="66" t="str">
        <f t="shared" si="1"/>
        <v>stage_hints_i18n_41001.tmp</v>
      </c>
      <c r="F12" s="65" t="s">
        <v>213</v>
      </c>
      <c r="G12" s="72" t="s">
        <v>205</v>
      </c>
      <c r="H12" s="89" t="s">
        <v>206</v>
      </c>
      <c r="I12" s="71" t="s">
        <v>207</v>
      </c>
      <c r="J12" s="90" t="s">
        <v>208</v>
      </c>
      <c r="K12" s="73" t="s">
        <v>209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workbookViewId="0">
      <pane ySplit="1" topLeftCell="A2" activePane="bottomLeft" state="frozen"/>
      <selection activeCell="V2" sqref="V2:X34"/>
      <selection pane="bottomLeft" activeCell="J9" sqref="J9:K9"/>
    </sheetView>
  </sheetViews>
  <sheetFormatPr baseColWidth="12" defaultColWidth="13" defaultRowHeight="21" customHeight="1" outlineLevelCol="1" x14ac:dyDescent="0.15"/>
  <cols>
    <col min="1" max="1" width="8.83203125" style="17" bestFit="1" customWidth="1"/>
    <col min="2" max="2" width="5" style="17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7" customWidth="1" outlineLevel="1"/>
    <col min="8" max="8" width="19.832031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30</v>
      </c>
      <c r="B1" s="14" t="s">
        <v>36</v>
      </c>
      <c r="C1" s="1" t="s">
        <v>0</v>
      </c>
      <c r="D1" s="2" t="s">
        <v>18</v>
      </c>
      <c r="E1" s="13" t="s">
        <v>33</v>
      </c>
      <c r="F1" s="1" t="s">
        <v>1</v>
      </c>
      <c r="G1" s="21" t="s">
        <v>32</v>
      </c>
      <c r="H1" s="13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4" t="str">
        <f>G2&amp;"-"&amp;I2</f>
        <v>41001_1-1</v>
      </c>
      <c r="B2" s="14" t="str">
        <f>IF(COUNTIF(enemy_habitats!$H:$H,A2),"OK","NG")</f>
        <v>OK</v>
      </c>
      <c r="C2" s="91">
        <v>41001</v>
      </c>
      <c r="D2" s="16" t="str">
        <f ca="1">VLOOKUP($C2,OFFSET([2]quests!$A$1,0,0,COUNTA([2]quests!$A:$A),MATCH(D$1,[2]quests!$1:$1,0)-MATCH($C$1,[2]quests!$1:$1,0)+1),MATCH(D$1,[2]quests!$1:$1,0)-MATCH($C$1,[2]quests!$1:$1,0)+1,FALSE)</f>
        <v>アマテラス襲来！</v>
      </c>
      <c r="E2" s="16" t="str">
        <f ca="1">VLOOKUP($C2,OFFSET([2]quests!$A$1,0,0,COUNTA([2]quests!$A:$A),MATCH(E$1,[2]quests!$1:$1,0)-MATCH($C$1,[2]quests!$1:$1,0)+1),MATCH(E$1,[2]quests!$1:$1,0)-MATCH($C$1,[2]quests!$1:$1,0)+1,FALSE)</f>
        <v>降臨1</v>
      </c>
      <c r="F2" s="92">
        <v>1</v>
      </c>
      <c r="G2" s="21" t="str">
        <f>C2&amp;"_"&amp;F2</f>
        <v>41001_1</v>
      </c>
      <c r="H2" s="13" t="str">
        <f ca="1">VLOOKUP($G2,OFFSET([2]stages!$A$1,0,0,COUNTA([2]stages!$A:$A),MATCH(H$1,[2]stages!$2:$2,0)-MATCH($G$1,[2]stages!$2:$2,0)+1),MATCH(H$1,[2]stages!$2:$2,0)-MATCH($G$1,[2]stages!$2:$2,0)+1,FALSE)</f>
        <v>【超絶級】アマテラス襲来</v>
      </c>
      <c r="I2" s="92">
        <v>1</v>
      </c>
      <c r="J2" s="36">
        <v>60</v>
      </c>
      <c r="K2" s="36">
        <v>60</v>
      </c>
    </row>
    <row r="3" spans="1:11" ht="21" customHeight="1" x14ac:dyDescent="0.15">
      <c r="A3" s="14" t="str">
        <f t="shared" ref="A3:A6" si="0">G3&amp;"-"&amp;I3</f>
        <v>41001_1-2</v>
      </c>
      <c r="B3" s="14" t="str">
        <f>IF(COUNTIF(enemy_habitats!$H:$H,A3),"OK","NG")</f>
        <v>OK</v>
      </c>
      <c r="C3" s="91">
        <v>41001</v>
      </c>
      <c r="D3" s="16" t="str">
        <f ca="1">VLOOKUP($C3,OFFSET([2]quests!$A$1,0,0,COUNTA([2]quests!$A:$A),MATCH(D$1,[2]quests!$1:$1,0)-MATCH($C$1,[2]quests!$1:$1,0)+1),MATCH(D$1,[2]quests!$1:$1,0)-MATCH($C$1,[2]quests!$1:$1,0)+1,FALSE)</f>
        <v>アマテラス襲来！</v>
      </c>
      <c r="E3" s="16" t="str">
        <f ca="1">VLOOKUP($C3,OFFSET([2]quests!$A$1,0,0,COUNTA([2]quests!$A:$A),MATCH(E$1,[2]quests!$1:$1,0)-MATCH($C$1,[2]quests!$1:$1,0)+1),MATCH(E$1,[2]quests!$1:$1,0)-MATCH($C$1,[2]quests!$1:$1,0)+1,FALSE)</f>
        <v>降臨1</v>
      </c>
      <c r="F3" s="92">
        <v>1</v>
      </c>
      <c r="G3" s="21" t="str">
        <f t="shared" ref="G3:G6" si="1">C3&amp;"_"&amp;F3</f>
        <v>41001_1</v>
      </c>
      <c r="H3" s="13" t="str">
        <f ca="1">VLOOKUP($G3,OFFSET([2]stages!$A$1,0,0,COUNTA([2]stages!$A:$A),MATCH(H$1,[2]stages!$2:$2,0)-MATCH($G$1,[2]stages!$2:$2,0)+1),MATCH(H$1,[2]stages!$2:$2,0)-MATCH($G$1,[2]stages!$2:$2,0)+1,FALSE)</f>
        <v>【超絶級】アマテラス襲来</v>
      </c>
      <c r="I3" s="92">
        <v>2</v>
      </c>
      <c r="J3" s="36">
        <v>45</v>
      </c>
      <c r="K3" s="36">
        <v>45</v>
      </c>
    </row>
    <row r="4" spans="1:11" ht="21" customHeight="1" x14ac:dyDescent="0.15">
      <c r="A4" s="14" t="str">
        <f t="shared" si="0"/>
        <v>41001_1-3</v>
      </c>
      <c r="B4" s="14" t="str">
        <f>IF(COUNTIF(enemy_habitats!$H:$H,A4),"OK","NG")</f>
        <v>OK</v>
      </c>
      <c r="C4" s="91">
        <v>41001</v>
      </c>
      <c r="D4" s="16" t="str">
        <f ca="1">VLOOKUP($C4,OFFSET([2]quests!$A$1,0,0,COUNTA([2]quests!$A:$A),MATCH(D$1,[2]quests!$1:$1,0)-MATCH($C$1,[2]quests!$1:$1,0)+1),MATCH(D$1,[2]quests!$1:$1,0)-MATCH($C$1,[2]quests!$1:$1,0)+1,FALSE)</f>
        <v>アマテラス襲来！</v>
      </c>
      <c r="E4" s="16" t="str">
        <f ca="1">VLOOKUP($C4,OFFSET([2]quests!$A$1,0,0,COUNTA([2]quests!$A:$A),MATCH(E$1,[2]quests!$1:$1,0)-MATCH($C$1,[2]quests!$1:$1,0)+1),MATCH(E$1,[2]quests!$1:$1,0)-MATCH($C$1,[2]quests!$1:$1,0)+1,FALSE)</f>
        <v>降臨1</v>
      </c>
      <c r="F4" s="92">
        <v>1</v>
      </c>
      <c r="G4" s="21" t="str">
        <f t="shared" si="1"/>
        <v>41001_1</v>
      </c>
      <c r="H4" s="13" t="str">
        <f ca="1">VLOOKUP($G4,OFFSET([2]stages!$A$1,0,0,COUNTA([2]stages!$A:$A),MATCH(H$1,[2]stages!$2:$2,0)-MATCH($G$1,[2]stages!$2:$2,0)+1),MATCH(H$1,[2]stages!$2:$2,0)-MATCH($G$1,[2]stages!$2:$2,0)+1,FALSE)</f>
        <v>【超絶級】アマテラス襲来</v>
      </c>
      <c r="I4" s="92">
        <v>3</v>
      </c>
      <c r="J4" s="36">
        <v>30</v>
      </c>
      <c r="K4" s="36">
        <v>30</v>
      </c>
    </row>
    <row r="5" spans="1:11" ht="21" customHeight="1" x14ac:dyDescent="0.15">
      <c r="A5" s="14" t="str">
        <f t="shared" si="0"/>
        <v>41001_1-4</v>
      </c>
      <c r="B5" s="14" t="str">
        <f>IF(COUNTIF(enemy_habitats!$H:$H,A5),"OK","NG")</f>
        <v>OK</v>
      </c>
      <c r="C5" s="91">
        <v>41001</v>
      </c>
      <c r="D5" s="16" t="str">
        <f ca="1">VLOOKUP($C5,OFFSET([2]quests!$A$1,0,0,COUNTA([2]quests!$A:$A),MATCH(D$1,[2]quests!$1:$1,0)-MATCH($C$1,[2]quests!$1:$1,0)+1),MATCH(D$1,[2]quests!$1:$1,0)-MATCH($C$1,[2]quests!$1:$1,0)+1,FALSE)</f>
        <v>アマテラス襲来！</v>
      </c>
      <c r="E5" s="16" t="str">
        <f ca="1">VLOOKUP($C5,OFFSET([2]quests!$A$1,0,0,COUNTA([2]quests!$A:$A),MATCH(E$1,[2]quests!$1:$1,0)-MATCH($C$1,[2]quests!$1:$1,0)+1),MATCH(E$1,[2]quests!$1:$1,0)-MATCH($C$1,[2]quests!$1:$1,0)+1,FALSE)</f>
        <v>降臨1</v>
      </c>
      <c r="F5" s="92">
        <v>1</v>
      </c>
      <c r="G5" s="21" t="str">
        <f t="shared" si="1"/>
        <v>41001_1</v>
      </c>
      <c r="H5" s="13" t="str">
        <f ca="1">VLOOKUP($G5,OFFSET([2]stages!$A$1,0,0,COUNTA([2]stages!$A:$A),MATCH(H$1,[2]stages!$2:$2,0)-MATCH($G$1,[2]stages!$2:$2,0)+1),MATCH(H$1,[2]stages!$2:$2,0)-MATCH($G$1,[2]stages!$2:$2,0)+1,FALSE)</f>
        <v>【超絶級】アマテラス襲来</v>
      </c>
      <c r="I5" s="92">
        <v>4</v>
      </c>
      <c r="J5" s="36">
        <v>60</v>
      </c>
      <c r="K5" s="36">
        <v>60</v>
      </c>
    </row>
    <row r="6" spans="1:11" ht="21" customHeight="1" x14ac:dyDescent="0.15">
      <c r="A6" s="14" t="str">
        <f t="shared" si="0"/>
        <v>41001_1-5</v>
      </c>
      <c r="B6" s="14" t="str">
        <f>IF(COUNTIF(enemy_habitats!$H:$H,A6),"OK","NG")</f>
        <v>OK</v>
      </c>
      <c r="C6" s="91">
        <v>41001</v>
      </c>
      <c r="D6" s="16" t="str">
        <f ca="1">VLOOKUP($C6,OFFSET([2]quests!$A$1,0,0,COUNTA([2]quests!$A:$A),MATCH(D$1,[2]quests!$1:$1,0)-MATCH($C$1,[2]quests!$1:$1,0)+1),MATCH(D$1,[2]quests!$1:$1,0)-MATCH($C$1,[2]quests!$1:$1,0)+1,FALSE)</f>
        <v>アマテラス襲来！</v>
      </c>
      <c r="E6" s="16" t="str">
        <f ca="1">VLOOKUP($C6,OFFSET([2]quests!$A$1,0,0,COUNTA([2]quests!$A:$A),MATCH(E$1,[2]quests!$1:$1,0)-MATCH($C$1,[2]quests!$1:$1,0)+1),MATCH(E$1,[2]quests!$1:$1,0)-MATCH($C$1,[2]quests!$1:$1,0)+1,FALSE)</f>
        <v>降臨1</v>
      </c>
      <c r="F6" s="92">
        <v>1</v>
      </c>
      <c r="G6" s="21" t="str">
        <f t="shared" si="1"/>
        <v>41001_1</v>
      </c>
      <c r="H6" s="13" t="str">
        <f ca="1">VLOOKUP($G6,OFFSET([2]stages!$A$1,0,0,COUNTA([2]stages!$A:$A),MATCH(H$1,[2]stages!$2:$2,0)-MATCH($G$1,[2]stages!$2:$2,0)+1),MATCH(H$1,[2]stages!$2:$2,0)-MATCH($G$1,[2]stages!$2:$2,0)+1,FALSE)</f>
        <v>【超絶級】アマテラス襲来</v>
      </c>
      <c r="I6" s="92">
        <v>5</v>
      </c>
      <c r="J6" s="36">
        <v>60</v>
      </c>
      <c r="K6" s="36">
        <v>60</v>
      </c>
    </row>
    <row r="7" spans="1:11" ht="21" customHeight="1" x14ac:dyDescent="0.15">
      <c r="A7" s="14" t="str">
        <f>G7&amp;"-"&amp;I7</f>
        <v>41001_2-1</v>
      </c>
      <c r="B7" s="14" t="str">
        <f>IF(COUNTIF(enemy_habitats!$H:$H,A7),"OK","NG")</f>
        <v>OK</v>
      </c>
      <c r="C7" s="91">
        <v>41001</v>
      </c>
      <c r="D7" s="16" t="str">
        <f ca="1">VLOOKUP($C7,OFFSET([2]quests!$A$1,0,0,COUNTA([2]quests!$A:$A),MATCH(D$1,[2]quests!$1:$1,0)-MATCH($C$1,[2]quests!$1:$1,0)+1),MATCH(D$1,[2]quests!$1:$1,0)-MATCH($C$1,[2]quests!$1:$1,0)+1,FALSE)</f>
        <v>アマテラス襲来！</v>
      </c>
      <c r="E7" s="16" t="str">
        <f ca="1">VLOOKUP($C7,OFFSET([2]quests!$A$1,0,0,COUNTA([2]quests!$A:$A),MATCH(E$1,[2]quests!$1:$1,0)-MATCH($C$1,[2]quests!$1:$1,0)+1),MATCH(E$1,[2]quests!$1:$1,0)-MATCH($C$1,[2]quests!$1:$1,0)+1,FALSE)</f>
        <v>降臨1</v>
      </c>
      <c r="F7" s="92">
        <v>2</v>
      </c>
      <c r="G7" s="21" t="str">
        <f>C7&amp;"_"&amp;F7</f>
        <v>41001_2</v>
      </c>
      <c r="H7" s="13" t="str">
        <f ca="1">VLOOKUP($G7,OFFSET([2]stages!$A$1,0,0,COUNTA([2]stages!$A:$A),MATCH(H$1,[2]stages!$2:$2,0)-MATCH($G$1,[2]stages!$2:$2,0)+1),MATCH(H$1,[2]stages!$2:$2,0)-MATCH($G$1,[2]stages!$2:$2,0)+1,FALSE)</f>
        <v>【ウィザード級】アマテラス襲来</v>
      </c>
      <c r="I7" s="92">
        <v>1</v>
      </c>
      <c r="J7" s="36">
        <v>60</v>
      </c>
      <c r="K7" s="36">
        <v>60</v>
      </c>
    </row>
    <row r="8" spans="1:11" ht="21" customHeight="1" x14ac:dyDescent="0.15">
      <c r="A8" s="14" t="str">
        <f t="shared" ref="A8:A11" si="2">G8&amp;"-"&amp;I8</f>
        <v>41001_2-2</v>
      </c>
      <c r="B8" s="14" t="str">
        <f>IF(COUNTIF(enemy_habitats!$H:$H,A8),"OK","NG")</f>
        <v>OK</v>
      </c>
      <c r="C8" s="91">
        <v>41001</v>
      </c>
      <c r="D8" s="16" t="str">
        <f ca="1">VLOOKUP($C8,OFFSET([2]quests!$A$1,0,0,COUNTA([2]quests!$A:$A),MATCH(D$1,[2]quests!$1:$1,0)-MATCH($C$1,[2]quests!$1:$1,0)+1),MATCH(D$1,[2]quests!$1:$1,0)-MATCH($C$1,[2]quests!$1:$1,0)+1,FALSE)</f>
        <v>アマテラス襲来！</v>
      </c>
      <c r="E8" s="16" t="str">
        <f ca="1">VLOOKUP($C8,OFFSET([2]quests!$A$1,0,0,COUNTA([2]quests!$A:$A),MATCH(E$1,[2]quests!$1:$1,0)-MATCH($C$1,[2]quests!$1:$1,0)+1),MATCH(E$1,[2]quests!$1:$1,0)-MATCH($C$1,[2]quests!$1:$1,0)+1,FALSE)</f>
        <v>降臨1</v>
      </c>
      <c r="F8" s="92">
        <v>2</v>
      </c>
      <c r="G8" s="21" t="str">
        <f t="shared" ref="G8:G11" si="3">C8&amp;"_"&amp;F8</f>
        <v>41001_2</v>
      </c>
      <c r="H8" s="13" t="str">
        <f ca="1">VLOOKUP($G8,OFFSET([2]stages!$A$1,0,0,COUNTA([2]stages!$A:$A),MATCH(H$1,[2]stages!$2:$2,0)-MATCH($G$1,[2]stages!$2:$2,0)+1),MATCH(H$1,[2]stages!$2:$2,0)-MATCH($G$1,[2]stages!$2:$2,0)+1,FALSE)</f>
        <v>【ウィザード級】アマテラス襲来</v>
      </c>
      <c r="I8" s="92">
        <v>2</v>
      </c>
      <c r="J8" s="36">
        <v>45</v>
      </c>
      <c r="K8" s="36">
        <v>45</v>
      </c>
    </row>
    <row r="9" spans="1:11" ht="21" customHeight="1" x14ac:dyDescent="0.15">
      <c r="A9" s="14" t="str">
        <f t="shared" si="2"/>
        <v>41001_2-3</v>
      </c>
      <c r="B9" s="14" t="str">
        <f>IF(COUNTIF(enemy_habitats!$H:$H,A9),"OK","NG")</f>
        <v>OK</v>
      </c>
      <c r="C9" s="91">
        <v>41001</v>
      </c>
      <c r="D9" s="16" t="str">
        <f ca="1">VLOOKUP($C9,OFFSET([2]quests!$A$1,0,0,COUNTA([2]quests!$A:$A),MATCH(D$1,[2]quests!$1:$1,0)-MATCH($C$1,[2]quests!$1:$1,0)+1),MATCH(D$1,[2]quests!$1:$1,0)-MATCH($C$1,[2]quests!$1:$1,0)+1,FALSE)</f>
        <v>アマテラス襲来！</v>
      </c>
      <c r="E9" s="16" t="str">
        <f ca="1">VLOOKUP($C9,OFFSET([2]quests!$A$1,0,0,COUNTA([2]quests!$A:$A),MATCH(E$1,[2]quests!$1:$1,0)-MATCH($C$1,[2]quests!$1:$1,0)+1),MATCH(E$1,[2]quests!$1:$1,0)-MATCH($C$1,[2]quests!$1:$1,0)+1,FALSE)</f>
        <v>降臨1</v>
      </c>
      <c r="F9" s="92">
        <v>2</v>
      </c>
      <c r="G9" s="21" t="str">
        <f t="shared" si="3"/>
        <v>41001_2</v>
      </c>
      <c r="H9" s="13" t="str">
        <f ca="1">VLOOKUP($G9,OFFSET([2]stages!$A$1,0,0,COUNTA([2]stages!$A:$A),MATCH(H$1,[2]stages!$2:$2,0)-MATCH($G$1,[2]stages!$2:$2,0)+1),MATCH(H$1,[2]stages!$2:$2,0)-MATCH($G$1,[2]stages!$2:$2,0)+1,FALSE)</f>
        <v>【ウィザード級】アマテラス襲来</v>
      </c>
      <c r="I9" s="92">
        <v>3</v>
      </c>
      <c r="J9" s="36">
        <v>60</v>
      </c>
      <c r="K9" s="36">
        <v>60</v>
      </c>
    </row>
    <row r="10" spans="1:11" ht="21" customHeight="1" x14ac:dyDescent="0.15">
      <c r="A10" s="14" t="str">
        <f t="shared" si="2"/>
        <v>41001_2-4</v>
      </c>
      <c r="B10" s="14" t="str">
        <f>IF(COUNTIF(enemy_habitats!$H:$H,A10),"OK","NG")</f>
        <v>OK</v>
      </c>
      <c r="C10" s="91">
        <v>41001</v>
      </c>
      <c r="D10" s="16" t="str">
        <f ca="1">VLOOKUP($C10,OFFSET([2]quests!$A$1,0,0,COUNTA([2]quests!$A:$A),MATCH(D$1,[2]quests!$1:$1,0)-MATCH($C$1,[2]quests!$1:$1,0)+1),MATCH(D$1,[2]quests!$1:$1,0)-MATCH($C$1,[2]quests!$1:$1,0)+1,FALSE)</f>
        <v>アマテラス襲来！</v>
      </c>
      <c r="E10" s="16" t="str">
        <f ca="1">VLOOKUP($C10,OFFSET([2]quests!$A$1,0,0,COUNTA([2]quests!$A:$A),MATCH(E$1,[2]quests!$1:$1,0)-MATCH($C$1,[2]quests!$1:$1,0)+1),MATCH(E$1,[2]quests!$1:$1,0)-MATCH($C$1,[2]quests!$1:$1,0)+1,FALSE)</f>
        <v>降臨1</v>
      </c>
      <c r="F10" s="92">
        <v>2</v>
      </c>
      <c r="G10" s="21" t="str">
        <f t="shared" si="3"/>
        <v>41001_2</v>
      </c>
      <c r="H10" s="13" t="str">
        <f ca="1">VLOOKUP($G10,OFFSET([2]stages!$A$1,0,0,COUNTA([2]stages!$A:$A),MATCH(H$1,[2]stages!$2:$2,0)-MATCH($G$1,[2]stages!$2:$2,0)+1),MATCH(H$1,[2]stages!$2:$2,0)-MATCH($G$1,[2]stages!$2:$2,0)+1,FALSE)</f>
        <v>【ウィザード級】アマテラス襲来</v>
      </c>
      <c r="I10" s="92">
        <v>4</v>
      </c>
      <c r="J10" s="36">
        <v>60</v>
      </c>
      <c r="K10" s="36">
        <v>60</v>
      </c>
    </row>
    <row r="11" spans="1:11" ht="21" customHeight="1" x14ac:dyDescent="0.15">
      <c r="A11" s="14" t="str">
        <f t="shared" si="2"/>
        <v>41001_2-5</v>
      </c>
      <c r="B11" s="14" t="str">
        <f>IF(COUNTIF(enemy_habitats!$H:$H,A11),"OK","NG")</f>
        <v>OK</v>
      </c>
      <c r="C11" s="91">
        <v>41001</v>
      </c>
      <c r="D11" s="16" t="str">
        <f ca="1">VLOOKUP($C11,OFFSET([2]quests!$A$1,0,0,COUNTA([2]quests!$A:$A),MATCH(D$1,[2]quests!$1:$1,0)-MATCH($C$1,[2]quests!$1:$1,0)+1),MATCH(D$1,[2]quests!$1:$1,0)-MATCH($C$1,[2]quests!$1:$1,0)+1,FALSE)</f>
        <v>アマテラス襲来！</v>
      </c>
      <c r="E11" s="16" t="str">
        <f ca="1">VLOOKUP($C11,OFFSET([2]quests!$A$1,0,0,COUNTA([2]quests!$A:$A),MATCH(E$1,[2]quests!$1:$1,0)-MATCH($C$1,[2]quests!$1:$1,0)+1),MATCH(E$1,[2]quests!$1:$1,0)-MATCH($C$1,[2]quests!$1:$1,0)+1,FALSE)</f>
        <v>降臨1</v>
      </c>
      <c r="F11" s="92">
        <v>2</v>
      </c>
      <c r="G11" s="21" t="str">
        <f t="shared" si="3"/>
        <v>41001_2</v>
      </c>
      <c r="H11" s="13" t="str">
        <f ca="1">VLOOKUP($G11,OFFSET([2]stages!$A$1,0,0,COUNTA([2]stages!$A:$A),MATCH(H$1,[2]stages!$2:$2,0)-MATCH($G$1,[2]stages!$2:$2,0)+1),MATCH(H$1,[2]stages!$2:$2,0)-MATCH($G$1,[2]stages!$2:$2,0)+1,FALSE)</f>
        <v>【ウィザード級】アマテラス襲来</v>
      </c>
      <c r="I11" s="92">
        <v>5</v>
      </c>
      <c r="J11" s="36">
        <v>60</v>
      </c>
      <c r="K11" s="36">
        <v>60</v>
      </c>
    </row>
    <row r="12" spans="1:11" ht="21" customHeight="1" x14ac:dyDescent="0.15">
      <c r="A12" s="14" t="str">
        <f>G12&amp;"-"&amp;I12</f>
        <v>41001_3-1</v>
      </c>
      <c r="B12" s="14" t="str">
        <f>IF(COUNTIF(enemy_habitats!$H:$H,A12),"OK","NG")</f>
        <v>OK</v>
      </c>
      <c r="C12" s="91">
        <v>41001</v>
      </c>
      <c r="D12" s="16" t="str">
        <f ca="1">VLOOKUP($C12,OFFSET([2]quests!$A$1,0,0,COUNTA([2]quests!$A:$A),MATCH(D$1,[2]quests!$1:$1,0)-MATCH($C$1,[2]quests!$1:$1,0)+1),MATCH(D$1,[2]quests!$1:$1,0)-MATCH($C$1,[2]quests!$1:$1,0)+1,FALSE)</f>
        <v>アマテラス襲来！</v>
      </c>
      <c r="E12" s="16" t="str">
        <f ca="1">VLOOKUP($C12,OFFSET([2]quests!$A$1,0,0,COUNTA([2]quests!$A:$A),MATCH(E$1,[2]quests!$1:$1,0)-MATCH($C$1,[2]quests!$1:$1,0)+1),MATCH(E$1,[2]quests!$1:$1,0)-MATCH($C$1,[2]quests!$1:$1,0)+1,FALSE)</f>
        <v>降臨1</v>
      </c>
      <c r="F12" s="92">
        <v>3</v>
      </c>
      <c r="G12" s="21" t="str">
        <f>C12&amp;"_"&amp;F12</f>
        <v>41001_3</v>
      </c>
      <c r="H12" s="13" t="str">
        <f ca="1">VLOOKUP($G12,OFFSET([2]stages!$A$1,0,0,COUNTA([2]stages!$A:$A),MATCH(H$1,[2]stages!$2:$2,0)-MATCH($G$1,[2]stages!$2:$2,0)+1),MATCH(H$1,[2]stages!$2:$2,0)-MATCH($G$1,[2]stages!$2:$2,0)+1,FALSE)</f>
        <v>【ノーコンテニュー】アマテラス襲来</v>
      </c>
      <c r="I12" s="92">
        <v>1</v>
      </c>
      <c r="J12" s="36">
        <v>60</v>
      </c>
      <c r="K12" s="36">
        <v>60</v>
      </c>
    </row>
    <row r="13" spans="1:11" ht="21" customHeight="1" x14ac:dyDescent="0.15">
      <c r="A13" s="14" t="str">
        <f t="shared" ref="A13:A16" si="4">G13&amp;"-"&amp;I13</f>
        <v>41001_3-2</v>
      </c>
      <c r="B13" s="14" t="str">
        <f>IF(COUNTIF(enemy_habitats!$H:$H,A13),"OK","NG")</f>
        <v>OK</v>
      </c>
      <c r="C13" s="91">
        <v>41001</v>
      </c>
      <c r="D13" s="16" t="str">
        <f ca="1">VLOOKUP($C13,OFFSET([2]quests!$A$1,0,0,COUNTA([2]quests!$A:$A),MATCH(D$1,[2]quests!$1:$1,0)-MATCH($C$1,[2]quests!$1:$1,0)+1),MATCH(D$1,[2]quests!$1:$1,0)-MATCH($C$1,[2]quests!$1:$1,0)+1,FALSE)</f>
        <v>アマテラス襲来！</v>
      </c>
      <c r="E13" s="16" t="str">
        <f ca="1">VLOOKUP($C13,OFFSET([2]quests!$A$1,0,0,COUNTA([2]quests!$A:$A),MATCH(E$1,[2]quests!$1:$1,0)-MATCH($C$1,[2]quests!$1:$1,0)+1),MATCH(E$1,[2]quests!$1:$1,0)-MATCH($C$1,[2]quests!$1:$1,0)+1,FALSE)</f>
        <v>降臨1</v>
      </c>
      <c r="F13" s="92">
        <v>3</v>
      </c>
      <c r="G13" s="21" t="str">
        <f t="shared" ref="G13:G16" si="5">C13&amp;"_"&amp;F13</f>
        <v>41001_3</v>
      </c>
      <c r="H13" s="13" t="str">
        <f ca="1">VLOOKUP($G13,OFFSET([2]stages!$A$1,0,0,COUNTA([2]stages!$A:$A),MATCH(H$1,[2]stages!$2:$2,0)-MATCH($G$1,[2]stages!$2:$2,0)+1),MATCH(H$1,[2]stages!$2:$2,0)-MATCH($G$1,[2]stages!$2:$2,0)+1,FALSE)</f>
        <v>【ノーコンテニュー】アマテラス襲来</v>
      </c>
      <c r="I13" s="92">
        <v>2</v>
      </c>
      <c r="J13" s="36">
        <v>45</v>
      </c>
      <c r="K13" s="36">
        <v>45</v>
      </c>
    </row>
    <row r="14" spans="1:11" ht="21" customHeight="1" x14ac:dyDescent="0.15">
      <c r="A14" s="14" t="str">
        <f t="shared" si="4"/>
        <v>41001_3-3</v>
      </c>
      <c r="B14" s="14" t="str">
        <f>IF(COUNTIF(enemy_habitats!$H:$H,A14),"OK","NG")</f>
        <v>OK</v>
      </c>
      <c r="C14" s="91">
        <v>41001</v>
      </c>
      <c r="D14" s="16" t="str">
        <f ca="1">VLOOKUP($C14,OFFSET([2]quests!$A$1,0,0,COUNTA([2]quests!$A:$A),MATCH(D$1,[2]quests!$1:$1,0)-MATCH($C$1,[2]quests!$1:$1,0)+1),MATCH(D$1,[2]quests!$1:$1,0)-MATCH($C$1,[2]quests!$1:$1,0)+1,FALSE)</f>
        <v>アマテラス襲来！</v>
      </c>
      <c r="E14" s="16" t="str">
        <f ca="1">VLOOKUP($C14,OFFSET([2]quests!$A$1,0,0,COUNTA([2]quests!$A:$A),MATCH(E$1,[2]quests!$1:$1,0)-MATCH($C$1,[2]quests!$1:$1,0)+1),MATCH(E$1,[2]quests!$1:$1,0)-MATCH($C$1,[2]quests!$1:$1,0)+1,FALSE)</f>
        <v>降臨1</v>
      </c>
      <c r="F14" s="92">
        <v>3</v>
      </c>
      <c r="G14" s="21" t="str">
        <f t="shared" si="5"/>
        <v>41001_3</v>
      </c>
      <c r="H14" s="13" t="str">
        <f ca="1">VLOOKUP($G14,OFFSET([2]stages!$A$1,0,0,COUNTA([2]stages!$A:$A),MATCH(H$1,[2]stages!$2:$2,0)-MATCH($G$1,[2]stages!$2:$2,0)+1),MATCH(H$1,[2]stages!$2:$2,0)-MATCH($G$1,[2]stages!$2:$2,0)+1,FALSE)</f>
        <v>【ノーコンテニュー】アマテラス襲来</v>
      </c>
      <c r="I14" s="92">
        <v>3</v>
      </c>
      <c r="J14" s="36">
        <v>60</v>
      </c>
      <c r="K14" s="36">
        <v>60</v>
      </c>
    </row>
    <row r="15" spans="1:11" ht="21" customHeight="1" x14ac:dyDescent="0.15">
      <c r="A15" s="14" t="str">
        <f t="shared" si="4"/>
        <v>41001_3-4</v>
      </c>
      <c r="B15" s="14" t="str">
        <f>IF(COUNTIF(enemy_habitats!$H:$H,A15),"OK","NG")</f>
        <v>OK</v>
      </c>
      <c r="C15" s="91">
        <v>41001</v>
      </c>
      <c r="D15" s="16" t="str">
        <f ca="1">VLOOKUP($C15,OFFSET([2]quests!$A$1,0,0,COUNTA([2]quests!$A:$A),MATCH(D$1,[2]quests!$1:$1,0)-MATCH($C$1,[2]quests!$1:$1,0)+1),MATCH(D$1,[2]quests!$1:$1,0)-MATCH($C$1,[2]quests!$1:$1,0)+1,FALSE)</f>
        <v>アマテラス襲来！</v>
      </c>
      <c r="E15" s="16" t="str">
        <f ca="1">VLOOKUP($C15,OFFSET([2]quests!$A$1,0,0,COUNTA([2]quests!$A:$A),MATCH(E$1,[2]quests!$1:$1,0)-MATCH($C$1,[2]quests!$1:$1,0)+1),MATCH(E$1,[2]quests!$1:$1,0)-MATCH($C$1,[2]quests!$1:$1,0)+1,FALSE)</f>
        <v>降臨1</v>
      </c>
      <c r="F15" s="92">
        <v>3</v>
      </c>
      <c r="G15" s="21" t="str">
        <f t="shared" si="5"/>
        <v>41001_3</v>
      </c>
      <c r="H15" s="13" t="str">
        <f ca="1">VLOOKUP($G15,OFFSET([2]stages!$A$1,0,0,COUNTA([2]stages!$A:$A),MATCH(H$1,[2]stages!$2:$2,0)-MATCH($G$1,[2]stages!$2:$2,0)+1),MATCH(H$1,[2]stages!$2:$2,0)-MATCH($G$1,[2]stages!$2:$2,0)+1,FALSE)</f>
        <v>【ノーコンテニュー】アマテラス襲来</v>
      </c>
      <c r="I15" s="92">
        <v>4</v>
      </c>
      <c r="J15" s="36">
        <v>60</v>
      </c>
      <c r="K15" s="36">
        <v>60</v>
      </c>
    </row>
    <row r="16" spans="1:11" ht="21" customHeight="1" x14ac:dyDescent="0.15">
      <c r="A16" s="14" t="str">
        <f t="shared" si="4"/>
        <v>41001_3-5</v>
      </c>
      <c r="B16" s="14" t="str">
        <f>IF(COUNTIF(enemy_habitats!$H:$H,A16),"OK","NG")</f>
        <v>OK</v>
      </c>
      <c r="C16" s="91">
        <v>41001</v>
      </c>
      <c r="D16" s="16" t="str">
        <f ca="1">VLOOKUP($C16,OFFSET([2]quests!$A$1,0,0,COUNTA([2]quests!$A:$A),MATCH(D$1,[2]quests!$1:$1,0)-MATCH($C$1,[2]quests!$1:$1,0)+1),MATCH(D$1,[2]quests!$1:$1,0)-MATCH($C$1,[2]quests!$1:$1,0)+1,FALSE)</f>
        <v>アマテラス襲来！</v>
      </c>
      <c r="E16" s="16" t="str">
        <f ca="1">VLOOKUP($C16,OFFSET([2]quests!$A$1,0,0,COUNTA([2]quests!$A:$A),MATCH(E$1,[2]quests!$1:$1,0)-MATCH($C$1,[2]quests!$1:$1,0)+1),MATCH(E$1,[2]quests!$1:$1,0)-MATCH($C$1,[2]quests!$1:$1,0)+1,FALSE)</f>
        <v>降臨1</v>
      </c>
      <c r="F16" s="92">
        <v>3</v>
      </c>
      <c r="G16" s="21" t="str">
        <f t="shared" si="5"/>
        <v>41001_3</v>
      </c>
      <c r="H16" s="13" t="str">
        <f ca="1">VLOOKUP($G16,OFFSET([2]stages!$A$1,0,0,COUNTA([2]stages!$A:$A),MATCH(H$1,[2]stages!$2:$2,0)-MATCH($G$1,[2]stages!$2:$2,0)+1),MATCH(H$1,[2]stages!$2:$2,0)-MATCH($G$1,[2]stages!$2:$2,0)+1,FALSE)</f>
        <v>【ノーコンテニュー】アマテラス襲来</v>
      </c>
      <c r="I16" s="92">
        <v>5</v>
      </c>
      <c r="J16" s="36">
        <v>60</v>
      </c>
      <c r="K16" s="36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3"/>
  <sheetViews>
    <sheetView showGridLines="0" zoomScale="75" zoomScaleNormal="75" zoomScalePageLayoutView="75" workbookViewId="0">
      <pane xSplit="17" ySplit="1" topLeftCell="Y7" activePane="bottomRight" state="frozen"/>
      <selection pane="topRight" activeCell="N1" sqref="N1"/>
      <selection pane="bottomLeft" activeCell="A2" sqref="A2"/>
      <selection pane="bottomRight" activeCell="W10" sqref="W10"/>
    </sheetView>
  </sheetViews>
  <sheetFormatPr baseColWidth="12" defaultColWidth="13" defaultRowHeight="21" customHeight="1" outlineLevelCol="1" x14ac:dyDescent="0.15"/>
  <cols>
    <col min="1" max="1" width="15.83203125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23" style="3" hidden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1" bestFit="1" customWidth="1" outlineLevel="1"/>
    <col min="30" max="30" width="8" style="12" bestFit="1" customWidth="1" outlineLevel="1"/>
    <col min="31" max="31" width="12" style="12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24" t="s">
        <v>50</v>
      </c>
      <c r="U1" s="24" t="s">
        <v>52</v>
      </c>
      <c r="V1" s="27" t="s">
        <v>31</v>
      </c>
      <c r="W1" s="26" t="s">
        <v>4</v>
      </c>
      <c r="X1" s="26" t="s">
        <v>5</v>
      </c>
      <c r="Y1" s="26" t="s">
        <v>6</v>
      </c>
      <c r="Z1" s="26" t="s">
        <v>7</v>
      </c>
      <c r="AA1" s="26" t="s">
        <v>8</v>
      </c>
      <c r="AB1" s="31" t="s">
        <v>9</v>
      </c>
      <c r="AC1" s="32" t="s">
        <v>16</v>
      </c>
      <c r="AD1" s="32" t="s">
        <v>17</v>
      </c>
      <c r="AE1" s="32" t="s">
        <v>27</v>
      </c>
      <c r="AF1" s="31" t="s">
        <v>10</v>
      </c>
      <c r="AG1" s="26" t="s">
        <v>11</v>
      </c>
      <c r="AH1" s="26" t="s">
        <v>12</v>
      </c>
      <c r="AI1" s="26" t="s">
        <v>38</v>
      </c>
      <c r="AJ1" s="26" t="s">
        <v>40</v>
      </c>
      <c r="AK1" s="26" t="s">
        <v>42</v>
      </c>
      <c r="AL1" s="26" t="s">
        <v>44</v>
      </c>
      <c r="AM1" s="26" t="s">
        <v>46</v>
      </c>
      <c r="AN1" s="34" t="s">
        <v>180</v>
      </c>
    </row>
    <row r="2" spans="1:40" ht="21" customHeight="1" x14ac:dyDescent="0.15">
      <c r="A2" s="14" t="str">
        <f t="shared" ref="A2:A22" ca="1" si="0">B2&amp;"_"&amp;C2&amp;"-"&amp;G2&amp;"/"&amp;L2&amp;"&lt;lv"&amp;R2&amp;"&gt;s"&amp;AA2</f>
        <v>41001_1-1/63&lt;lv70&gt;s2</v>
      </c>
      <c r="B2" s="20">
        <v>41001</v>
      </c>
      <c r="C2" s="97">
        <v>1</v>
      </c>
      <c r="D2" s="2" t="str">
        <f t="shared" ref="D2:D22" si="1">B2&amp;"_"&amp;C2</f>
        <v>41001_1</v>
      </c>
      <c r="E2" s="4" t="str">
        <f ca="1">VLOOKUP($B2,OFFSET([2]quests!$A$1,0,0,COUNTA([2]quests!$A:$A),MATCH(E$1,[2]quests!$1:$1,0)-MATCH($B$1,[2]quests!$1:$1,0)+1),MATCH(E$1,[2]quests!$1:$1,0)-MATCH($B$1,[2]quests!$1:$1,0)+1,FALSE)</f>
        <v>アマテラス襲来！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【超絶級】アマテラス襲来</v>
      </c>
      <c r="G2" s="93">
        <v>1</v>
      </c>
      <c r="H2" s="13" t="str">
        <f t="shared" ref="H2:H22" si="2">B2&amp;"_"&amp;C2&amp;"-"&amp;G2</f>
        <v>41001_1-1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53</v>
      </c>
      <c r="L2" s="94">
        <v>63</v>
      </c>
      <c r="M2" s="15" t="str">
        <f ca="1">VLOOKUP($L2,OFFSET([3]enemies!$A$1,0,0,COUNTA([3]enemies!$A:$A),MATCH(M$1,[3]enemies!$1:$1,0)-MATCH($L$1,[3]enemies!$1:$1,0)+1),MATCH(M$1,[3]enemies!$1:$1,0)-MATCH($L$1,[3]enemies!$1:$1,0)+1,FALSE)</f>
        <v>トニー</v>
      </c>
      <c r="N2" s="15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5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5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5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70</v>
      </c>
      <c r="S2" s="23">
        <v>1.2</v>
      </c>
      <c r="T2" s="23">
        <v>0.8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2" s="95">
        <v>41001001</v>
      </c>
      <c r="X2" s="6">
        <v>1</v>
      </c>
      <c r="Y2" s="6">
        <v>100</v>
      </c>
      <c r="Z2" s="6">
        <v>0</v>
      </c>
      <c r="AA2" s="15">
        <f ca="1">VLOOKUP($L2,OFFSET([3]enemies!$A$1,0,0,COUNTA([3]enemies!$A:$A),MATCH(AA$1,[3]enemies!$1:$1,0)-MATCH($L$1,[3]enemies!$1:$1,0)+1),MATCH(AA$1,[3]enemies!$1:$1,0)-MATCH($L$1,[3]enemies!$1:$1,0)+1,FALSE)</f>
        <v>2</v>
      </c>
      <c r="AB2" s="22">
        <f t="shared" ref="AB2:AB10" si="3">L2</f>
        <v>63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2">
        <f t="shared" ref="AG2:AG22" ca="1" si="4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7">
        <v>1</v>
      </c>
    </row>
    <row r="3" spans="1:40" ht="21" customHeight="1" x14ac:dyDescent="0.15">
      <c r="A3" s="14" t="str">
        <f t="shared" ca="1" si="0"/>
        <v>41001_1-1/39&lt;lv70&gt;s3</v>
      </c>
      <c r="B3" s="20">
        <v>41001</v>
      </c>
      <c r="C3" s="97">
        <v>1</v>
      </c>
      <c r="D3" s="2" t="str">
        <f t="shared" si="1"/>
        <v>41001_1</v>
      </c>
      <c r="E3" s="4" t="str">
        <f ca="1">VLOOKUP($B3,OFFSET([2]quests!$A$1,0,0,COUNTA([2]quests!$A:$A),MATCH(E$1,[2]quests!$1:$1,0)-MATCH($B$1,[2]quests!$1:$1,0)+1),MATCH(E$1,[2]quests!$1:$1,0)-MATCH($B$1,[2]quests!$1:$1,0)+1,FALSE)</f>
        <v>アマテラス襲来！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【超絶級】アマテラス襲来</v>
      </c>
      <c r="G3" s="93">
        <v>1</v>
      </c>
      <c r="H3" s="13" t="str">
        <f t="shared" si="2"/>
        <v>41001_1-1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53</v>
      </c>
      <c r="L3" s="94">
        <v>39</v>
      </c>
      <c r="M3" s="15" t="str">
        <f ca="1">VLOOKUP($L3,OFFSET([3]enemies!$A$1,0,0,COUNTA([3]enemies!$A:$A),MATCH(M$1,[3]enemies!$1:$1,0)-MATCH($L$1,[3]enemies!$1:$1,0)+1),MATCH(M$1,[3]enemies!$1:$1,0)-MATCH($L$1,[3]enemies!$1:$1,0)+1,FALSE)</f>
        <v>マーロン</v>
      </c>
      <c r="N3" s="15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5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5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5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70</v>
      </c>
      <c r="S3" s="23">
        <v>1.2</v>
      </c>
      <c r="T3" s="23">
        <v>0.8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単体攻撃&amp;1体のみスキルを3ターン使えなくする！</v>
      </c>
      <c r="W3" s="95">
        <v>41001002</v>
      </c>
      <c r="X3" s="6">
        <v>1</v>
      </c>
      <c r="Y3" s="6">
        <v>100</v>
      </c>
      <c r="Z3" s="6">
        <v>0</v>
      </c>
      <c r="AA3" s="15">
        <f ca="1">VLOOKUP($L3,OFFSET([3]enemies!$A$1,0,0,COUNTA([3]enemies!$A:$A),MATCH(AA$1,[3]enemies!$1:$1,0)-MATCH($L$1,[3]enemies!$1:$1,0)+1),MATCH(AA$1,[3]enemies!$1:$1,0)-MATCH($L$1,[3]enemies!$1:$1,0)+1,FALSE)</f>
        <v>3</v>
      </c>
      <c r="AB3" s="22">
        <f t="shared" si="3"/>
        <v>39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マーロン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7">
        <v>1</v>
      </c>
      <c r="AG3" s="22">
        <f t="shared" ca="1" si="4"/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7">
        <v>1</v>
      </c>
    </row>
    <row r="4" spans="1:40" ht="21" customHeight="1" x14ac:dyDescent="0.15">
      <c r="A4" s="14" t="str">
        <f t="shared" ref="A4:A5" si="5">B4&amp;"_"&amp;C4&amp;"-"&amp;G4&amp;"/"&amp;L4&amp;"&lt;lv"&amp;R4&amp;"&gt;s"&amp;AA4</f>
        <v>41001_1-1/63&lt;lv69&gt;s3</v>
      </c>
      <c r="B4" s="20">
        <v>41001</v>
      </c>
      <c r="C4" s="97">
        <v>1</v>
      </c>
      <c r="D4" s="2" t="str">
        <f t="shared" ref="D4:D5" si="6">B4&amp;"_"&amp;C4</f>
        <v>41001_1</v>
      </c>
      <c r="E4" s="4" t="str">
        <f ca="1">VLOOKUP($B4,OFFSET([2]quests!$A$1,0,0,COUNTA([2]quests!$A:$A),MATCH(E$1,[2]quests!$1:$1,0)-MATCH($B$1,[2]quests!$1:$1,0)+1),MATCH(E$1,[2]quests!$1:$1,0)-MATCH($B$1,[2]quests!$1:$1,0)+1,FALSE)</f>
        <v>アマテラス襲来！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【超絶級】アマテラス襲来</v>
      </c>
      <c r="G4" s="93">
        <v>1</v>
      </c>
      <c r="H4" s="13" t="str">
        <f t="shared" ref="H4:H5" si="7">B4&amp;"_"&amp;C4&amp;"-"&amp;G4</f>
        <v>41001_1-1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 t="s">
        <v>53</v>
      </c>
      <c r="L4" s="94">
        <v>63</v>
      </c>
      <c r="M4" s="15" t="str">
        <f ca="1">VLOOKUP($L4,OFFSET([3]enemies!$A$1,0,0,COUNTA([3]enemies!$A:$A),MATCH(M$1,[3]enemies!$1:$1,0)-MATCH($L$1,[3]enemies!$1:$1,0)+1),MATCH(M$1,[3]enemies!$1:$1,0)-MATCH($L$1,[3]enemies!$1:$1,0)+1,FALSE)</f>
        <v>トニー</v>
      </c>
      <c r="N4" s="15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5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5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5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69</v>
      </c>
      <c r="S4" s="23">
        <v>1.2</v>
      </c>
      <c r="T4" s="23">
        <v>0.8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4" s="95">
        <v>41001001</v>
      </c>
      <c r="X4" s="6">
        <v>1</v>
      </c>
      <c r="Y4" s="6">
        <v>100</v>
      </c>
      <c r="Z4" s="6">
        <v>0</v>
      </c>
      <c r="AA4" s="109">
        <v>3</v>
      </c>
      <c r="AB4" s="22">
        <f t="shared" ref="AB4:AB5" si="8">L4</f>
        <v>63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2">
        <f t="shared" ref="AG4:AG5" ca="1" si="9">AD4</f>
        <v>2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7">
        <v>1</v>
      </c>
    </row>
    <row r="5" spans="1:40" ht="21" customHeight="1" x14ac:dyDescent="0.15">
      <c r="A5" s="14" t="str">
        <f t="shared" si="5"/>
        <v>41001_1-1/39&lt;lv69&gt;s4</v>
      </c>
      <c r="B5" s="20">
        <v>41001</v>
      </c>
      <c r="C5" s="97">
        <v>1</v>
      </c>
      <c r="D5" s="2" t="str">
        <f t="shared" si="6"/>
        <v>41001_1</v>
      </c>
      <c r="E5" s="4" t="str">
        <f ca="1">VLOOKUP($B5,OFFSET([2]quests!$A$1,0,0,COUNTA([2]quests!$A:$A),MATCH(E$1,[2]quests!$1:$1,0)-MATCH($B$1,[2]quests!$1:$1,0)+1),MATCH(E$1,[2]quests!$1:$1,0)-MATCH($B$1,[2]quests!$1:$1,0)+1,FALSE)</f>
        <v>アマテラス襲来！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【超絶級】アマテラス襲来</v>
      </c>
      <c r="G5" s="93">
        <v>1</v>
      </c>
      <c r="H5" s="13" t="str">
        <f t="shared" si="7"/>
        <v>41001_1-1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53</v>
      </c>
      <c r="L5" s="94">
        <v>39</v>
      </c>
      <c r="M5" s="15" t="str">
        <f ca="1">VLOOKUP($L5,OFFSET([3]enemies!$A$1,0,0,COUNTA([3]enemies!$A:$A),MATCH(M$1,[3]enemies!$1:$1,0)-MATCH($L$1,[3]enemies!$1:$1,0)+1),MATCH(M$1,[3]enemies!$1:$1,0)-MATCH($L$1,[3]enemies!$1:$1,0)+1,FALSE)</f>
        <v>マーロン</v>
      </c>
      <c r="N5" s="15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5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5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5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69</v>
      </c>
      <c r="S5" s="23">
        <v>1.2</v>
      </c>
      <c r="T5" s="23">
        <v>0.8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単体攻撃&amp;1体のみスキルを3ターン使えなくする！</v>
      </c>
      <c r="W5" s="95">
        <v>41001002</v>
      </c>
      <c r="X5" s="6">
        <v>1</v>
      </c>
      <c r="Y5" s="6">
        <v>100</v>
      </c>
      <c r="Z5" s="6">
        <v>0</v>
      </c>
      <c r="AA5" s="109">
        <v>4</v>
      </c>
      <c r="AB5" s="22">
        <f t="shared" si="8"/>
        <v>39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マーロン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7">
        <v>1</v>
      </c>
      <c r="AG5" s="22">
        <f t="shared" ca="1" si="9"/>
        <v>2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7">
        <v>1</v>
      </c>
    </row>
    <row r="6" spans="1:40" ht="21" customHeight="1" x14ac:dyDescent="0.15">
      <c r="A6" s="14" t="str">
        <f t="shared" ca="1" si="0"/>
        <v>41001_1-2/33&lt;lv70&gt;s2</v>
      </c>
      <c r="B6" s="20">
        <v>41001</v>
      </c>
      <c r="C6" s="97">
        <v>1</v>
      </c>
      <c r="D6" s="2" t="str">
        <f t="shared" si="1"/>
        <v>41001_1</v>
      </c>
      <c r="E6" s="4" t="str">
        <f ca="1">VLOOKUP($B6,OFFSET([2]quests!$A$1,0,0,COUNTA([2]quests!$A:$A),MATCH(E$1,[2]quests!$1:$1,0)-MATCH($B$1,[2]quests!$1:$1,0)+1),MATCH(E$1,[2]quests!$1:$1,0)-MATCH($B$1,[2]quests!$1:$1,0)+1,FALSE)</f>
        <v>アマテラス襲来！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【超絶級】アマテラス襲来</v>
      </c>
      <c r="G6" s="93">
        <v>2</v>
      </c>
      <c r="H6" s="13" t="str">
        <f t="shared" si="2"/>
        <v>41001_1-2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6" t="s">
        <v>53</v>
      </c>
      <c r="L6" s="94">
        <v>33</v>
      </c>
      <c r="M6" s="15" t="str">
        <f ca="1">VLOOKUP($L6,OFFSET([3]enemies!$A$1,0,0,COUNTA([3]enemies!$A:$A),MATCH(M$1,[3]enemies!$1:$1,0)-MATCH($L$1,[3]enemies!$1:$1,0)+1),MATCH(M$1,[3]enemies!$1:$1,0)-MATCH($L$1,[3]enemies!$1:$1,0)+1,FALSE)</f>
        <v>ゴクウ</v>
      </c>
      <c r="N6" s="15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5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5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5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70</v>
      </c>
      <c r="S6" s="23">
        <v>1.5</v>
      </c>
      <c r="T6" s="23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次のターン超強力な攻撃</v>
      </c>
      <c r="W6" s="95">
        <v>41001003</v>
      </c>
      <c r="X6" s="6">
        <v>1</v>
      </c>
      <c r="Y6" s="6">
        <v>100</v>
      </c>
      <c r="Z6" s="6">
        <v>0</v>
      </c>
      <c r="AA6" s="15">
        <f ca="1">VLOOKUP($L6,OFFSET([3]enemies!$A$1,0,0,COUNTA([3]enemies!$A:$A),MATCH(AA$1,[3]enemies!$1:$1,0)-MATCH($L$1,[3]enemies!$1:$1,0)+1),MATCH(AA$1,[3]enemies!$1:$1,0)-MATCH($L$1,[3]enemies!$1:$1,0)+1,FALSE)</f>
        <v>2</v>
      </c>
      <c r="AB6" s="22">
        <f t="shared" si="3"/>
        <v>33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2">
        <f t="shared" ca="1" si="4"/>
        <v>2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7">
        <v>1</v>
      </c>
    </row>
    <row r="7" spans="1:40" ht="21" customHeight="1" x14ac:dyDescent="0.15">
      <c r="A7" s="14" t="str">
        <f t="shared" si="0"/>
        <v>41001_1-2/57&lt;lv70&gt;s3</v>
      </c>
      <c r="B7" s="20">
        <v>41001</v>
      </c>
      <c r="C7" s="97">
        <v>1</v>
      </c>
      <c r="D7" s="2" t="str">
        <f t="shared" si="1"/>
        <v>41001_1</v>
      </c>
      <c r="E7" s="4" t="str">
        <f ca="1">VLOOKUP($B7,OFFSET([2]quests!$A$1,0,0,COUNTA([2]quests!$A:$A),MATCH(E$1,[2]quests!$1:$1,0)-MATCH($B$1,[2]quests!$1:$1,0)+1),MATCH(E$1,[2]quests!$1:$1,0)-MATCH($B$1,[2]quests!$1:$1,0)+1,FALSE)</f>
        <v>アマテラス襲来！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【超絶級】アマテラス襲来</v>
      </c>
      <c r="G7" s="93">
        <v>2</v>
      </c>
      <c r="H7" s="13" t="str">
        <f t="shared" si="2"/>
        <v>41001_1-2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6" t="s">
        <v>53</v>
      </c>
      <c r="L7" s="94">
        <v>57</v>
      </c>
      <c r="M7" s="15" t="str">
        <f ca="1">VLOOKUP($L7,OFFSET([3]enemies!$A$1,0,0,COUNTA([3]enemies!$A:$A),MATCH(M$1,[3]enemies!$1:$1,0)-MATCH($L$1,[3]enemies!$1:$1,0)+1),MATCH(M$1,[3]enemies!$1:$1,0)-MATCH($L$1,[3]enemies!$1:$1,0)+1,FALSE)</f>
        <v>チェン・リー</v>
      </c>
      <c r="N7" s="15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5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5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5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70</v>
      </c>
      <c r="S7" s="23">
        <v>1.5</v>
      </c>
      <c r="T7" s="23">
        <v>1.2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3ターン攻撃力超大UP</v>
      </c>
      <c r="W7" s="95">
        <v>41001004</v>
      </c>
      <c r="X7" s="6">
        <v>1</v>
      </c>
      <c r="Y7" s="6">
        <v>100</v>
      </c>
      <c r="Z7" s="6">
        <v>0</v>
      </c>
      <c r="AA7" s="109">
        <v>3</v>
      </c>
      <c r="AB7" s="22">
        <f t="shared" si="3"/>
        <v>57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チェン・リー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7">
        <v>1</v>
      </c>
      <c r="AG7" s="22">
        <f t="shared" ca="1" si="4"/>
        <v>2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7">
        <v>1</v>
      </c>
    </row>
    <row r="8" spans="1:40" ht="21" customHeight="1" x14ac:dyDescent="0.15">
      <c r="A8" s="14" t="str">
        <f t="shared" si="0"/>
        <v>41001_1-2/41&lt;lv70&gt;s2</v>
      </c>
      <c r="B8" s="20">
        <v>41001</v>
      </c>
      <c r="C8" s="97">
        <v>1</v>
      </c>
      <c r="D8" s="2" t="str">
        <f t="shared" si="1"/>
        <v>41001_1</v>
      </c>
      <c r="E8" s="4" t="str">
        <f ca="1">VLOOKUP($B8,OFFSET([2]quests!$A$1,0,0,COUNTA([2]quests!$A:$A),MATCH(E$1,[2]quests!$1:$1,0)-MATCH($B$1,[2]quests!$1:$1,0)+1),MATCH(E$1,[2]quests!$1:$1,0)-MATCH($B$1,[2]quests!$1:$1,0)+1,FALSE)</f>
        <v>アマテラス襲来！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【超絶級】アマテラス襲来</v>
      </c>
      <c r="G8" s="93">
        <v>2</v>
      </c>
      <c r="H8" s="13" t="str">
        <f t="shared" si="2"/>
        <v>41001_1-2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36" t="s">
        <v>53</v>
      </c>
      <c r="L8" s="94">
        <v>41</v>
      </c>
      <c r="M8" s="15" t="str">
        <f ca="1">VLOOKUP($L8,OFFSET([3]enemies!$A$1,0,0,COUNTA([3]enemies!$A:$A),MATCH(M$1,[3]enemies!$1:$1,0)-MATCH($L$1,[3]enemies!$1:$1,0)+1),MATCH(M$1,[3]enemies!$1:$1,0)-MATCH($L$1,[3]enemies!$1:$1,0)+1,FALSE)</f>
        <v>ヒュウガ</v>
      </c>
      <c r="N8" s="15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5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5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5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70</v>
      </c>
      <c r="S8" s="23">
        <v>1.5</v>
      </c>
      <c r="T8" s="23">
        <v>1</v>
      </c>
      <c r="U8" s="5">
        <v>0</v>
      </c>
      <c r="V8" s="4" t="e">
        <f ca="1">VLOOKUP($W8,OFFSET(enemy_skill_sets!$B$1,0,0,COUNTA(enemy_skill_sets!$B:$B),MATCH(M$1,enemy_skill_sets!$1:$1,0)-MATCH($W$1,enemy_skill_sets!$1:$1,0)+2),MATCH(M$1,enemy_skill_sets!$1:$1,0)-MATCH($W$1,enemy_skill_sets!$1:$1,0)+2,FALSE)</f>
        <v>#N/A</v>
      </c>
      <c r="W8" s="4">
        <f ca="1">VLOOKUP($L8,OFFSET([3]enemies!$A$1,0,0,COUNTA([3]enemies!$A:$A),MATCH(W$1,[3]enemies!$1:$1,0)-MATCH($L$1,[3]enemies!$1:$1,0)+1),MATCH(W$1,[3]enemies!$1:$1,0)-MATCH($L$1,[3]enemies!$1:$1,0)+1,FALSE)</f>
        <v>0</v>
      </c>
      <c r="X8" s="6">
        <v>1</v>
      </c>
      <c r="Y8" s="6">
        <v>100</v>
      </c>
      <c r="Z8" s="6">
        <v>0</v>
      </c>
      <c r="AA8" s="109">
        <v>2</v>
      </c>
      <c r="AB8" s="22">
        <f t="shared" si="3"/>
        <v>41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ヒュウガ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7">
        <v>1</v>
      </c>
      <c r="AG8" s="22">
        <f t="shared" ca="1" si="4"/>
        <v>2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7">
        <v>1</v>
      </c>
    </row>
    <row r="9" spans="1:40" ht="21" customHeight="1" x14ac:dyDescent="0.15">
      <c r="A9" s="14" t="str">
        <f t="shared" ca="1" si="0"/>
        <v>41001_1-3/135&lt;lv70&gt;s3</v>
      </c>
      <c r="B9" s="20">
        <v>41001</v>
      </c>
      <c r="C9" s="97">
        <v>1</v>
      </c>
      <c r="D9" s="2" t="str">
        <f t="shared" si="1"/>
        <v>41001_1</v>
      </c>
      <c r="E9" s="4" t="str">
        <f ca="1">VLOOKUP($B9,OFFSET([2]quests!$A$1,0,0,COUNTA([2]quests!$A:$A),MATCH(E$1,[2]quests!$1:$1,0)-MATCH($B$1,[2]quests!$1:$1,0)+1),MATCH(E$1,[2]quests!$1:$1,0)-MATCH($B$1,[2]quests!$1:$1,0)+1,FALSE)</f>
        <v>アマテラス襲来！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【超絶級】アマテラス襲来</v>
      </c>
      <c r="G9" s="93">
        <v>3</v>
      </c>
      <c r="H9" s="13" t="str">
        <f t="shared" si="2"/>
        <v>41001_1-3</v>
      </c>
      <c r="I9" s="4">
        <f ca="1">VLOOKUP($H9,OFFSET(floors!$A$1,0,0,COUNTA(floors!$A:$A),MATCH(I$1,floors!$1:$1,0)-MATCH($H$1,floors!$1:$1,0)+1),MATCH(I$1,floors!$1:$1,0)-MATCH($H$1,floors!$1:$1,0)+1,FALSE)</f>
        <v>30</v>
      </c>
      <c r="J9" s="4">
        <f ca="1">VLOOKUP($H9,OFFSET(floors!$A$1,0,0,COUNTA(floors!$A:$A),MATCH(J$1,floors!$1:$1,0)-MATCH($H$1,floors!$1:$1,0)+1),MATCH(J$1,floors!$1:$1,0)-MATCH($H$1,floors!$1:$1,0)+1,FALSE)</f>
        <v>30</v>
      </c>
      <c r="K9" s="36" t="s">
        <v>53</v>
      </c>
      <c r="L9" s="94">
        <v>135</v>
      </c>
      <c r="M9" s="15" t="str">
        <f ca="1">VLOOKUP($L9,OFFSET([3]enemies!$A$1,0,0,COUNTA([3]enemies!$A:$A),MATCH(M$1,[3]enemies!$1:$1,0)-MATCH($L$1,[3]enemies!$1:$1,0)+1),MATCH(M$1,[3]enemies!$1:$1,0)-MATCH($L$1,[3]enemies!$1:$1,0)+1,FALSE)</f>
        <v>京の炎華夕霧</v>
      </c>
      <c r="N9" s="15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5" t="str">
        <f ca="1">VLOOKUP($L9,OFFSET([4]characters!$A$1,0,0,COUNTA([4]characters!$A:$A),MATCH(O$1,[4]characters!$1:$1,0)-MATCH($L$1,[4]characters!$1:$1,0)+1),MATCH(O$1,[4]characters!$1:$1,0)-MATCH($L$1,[4]characters!$1:$1,0)+1,FALSE)</f>
        <v>PremiumW</v>
      </c>
      <c r="P9" s="15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5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70</v>
      </c>
      <c r="S9" s="23">
        <v>2</v>
      </c>
      <c r="T9" s="23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赤属性ユニットに大ダメージ&amp;1ターン暗闇状態</v>
      </c>
      <c r="W9" s="95">
        <v>41001005</v>
      </c>
      <c r="X9" s="6">
        <v>1</v>
      </c>
      <c r="Y9" s="6">
        <v>100</v>
      </c>
      <c r="Z9" s="6">
        <v>1</v>
      </c>
      <c r="AA9" s="15">
        <f ca="1">VLOOKUP($L9,OFFSET([3]enemies!$A$1,0,0,COUNTA([3]enemies!$A:$A),MATCH(AA$1,[3]enemies!$1:$1,0)-MATCH($L$1,[3]enemies!$1:$1,0)+1),MATCH(AA$1,[3]enemies!$1:$1,0)-MATCH($L$1,[3]enemies!$1:$1,0)+1,FALSE)</f>
        <v>3</v>
      </c>
      <c r="AB9" s="22">
        <f t="shared" si="3"/>
        <v>135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京の炎華夕霧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9" s="7">
        <v>1</v>
      </c>
      <c r="AG9" s="22">
        <f t="shared" ca="1" si="4"/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7">
        <v>1</v>
      </c>
    </row>
    <row r="10" spans="1:40" ht="21" customHeight="1" x14ac:dyDescent="0.15">
      <c r="A10" s="14" t="str">
        <f t="shared" si="0"/>
        <v>41001_1-4/192&lt;lv70&gt;s1</v>
      </c>
      <c r="B10" s="20">
        <v>41001</v>
      </c>
      <c r="C10" s="97">
        <v>1</v>
      </c>
      <c r="D10" s="2" t="str">
        <f t="shared" si="1"/>
        <v>41001_1</v>
      </c>
      <c r="E10" s="4" t="str">
        <f ca="1">VLOOKUP($B10,OFFSET([2]quests!$A$1,0,0,COUNTA([2]quests!$A:$A),MATCH(E$1,[2]quests!$1:$1,0)-MATCH($B$1,[2]quests!$1:$1,0)+1),MATCH(E$1,[2]quests!$1:$1,0)-MATCH($B$1,[2]quests!$1:$1,0)+1,FALSE)</f>
        <v>アマテラス襲来！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【超絶級】アマテラス襲来</v>
      </c>
      <c r="G10" s="93">
        <v>4</v>
      </c>
      <c r="H10" s="13" t="str">
        <f t="shared" si="2"/>
        <v>41001_1-4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6" t="s">
        <v>53</v>
      </c>
      <c r="L10" s="94">
        <v>192</v>
      </c>
      <c r="M10" s="15" t="str">
        <f ca="1">VLOOKUP($L10,OFFSET([3]enemies!$A$1,0,0,COUNTA([3]enemies!$A:$A),MATCH(M$1,[3]enemies!$1:$1,0)-MATCH($L$1,[3]enemies!$1:$1,0)+1),MATCH(M$1,[3]enemies!$1:$1,0)-MATCH($L$1,[3]enemies!$1:$1,0)+1,FALSE)</f>
        <v>荘厳なる始祖帝 卑弥呼</v>
      </c>
      <c r="N10" s="15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5" t="str">
        <f ca="1">VLOOKUP($L10,OFFSET([4]characters!$A$1,0,0,COUNTA([4]characters!$A:$A),MATCH(O$1,[4]characters!$1:$1,0)-MATCH($L$1,[4]characters!$1:$1,0)+1),MATCH(O$1,[4]characters!$1:$1,0)-MATCH($L$1,[4]characters!$1:$1,0)+1,FALSE)</f>
        <v>PremiumN</v>
      </c>
      <c r="P10" s="15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5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70</v>
      </c>
      <c r="S10" s="23">
        <v>1.5</v>
      </c>
      <c r="T10" s="23">
        <v>0.8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6ターンの間攻撃力UP&amp;防御力UP</v>
      </c>
      <c r="W10" s="95">
        <v>41001109</v>
      </c>
      <c r="X10" s="6">
        <v>1</v>
      </c>
      <c r="Y10" s="6">
        <v>100</v>
      </c>
      <c r="Z10" s="6">
        <v>1</v>
      </c>
      <c r="AA10" s="95">
        <v>1</v>
      </c>
      <c r="AB10" s="22">
        <f t="shared" si="3"/>
        <v>192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荘厳なる始祖帝 卑弥呼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10" s="7">
        <v>1</v>
      </c>
      <c r="AG10" s="22">
        <f t="shared" ca="1" si="4"/>
        <v>5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7">
        <v>1</v>
      </c>
    </row>
    <row r="11" spans="1:40" ht="21" customHeight="1" x14ac:dyDescent="0.15">
      <c r="A11" s="14" t="str">
        <f t="shared" ca="1" si="0"/>
        <v>41001_1-5/279&lt;lv70&gt;s2</v>
      </c>
      <c r="B11" s="20">
        <v>41001</v>
      </c>
      <c r="C11" s="97">
        <v>1</v>
      </c>
      <c r="D11" s="2" t="str">
        <f t="shared" si="1"/>
        <v>41001_1</v>
      </c>
      <c r="E11" s="4" t="str">
        <f ca="1">VLOOKUP($B11,OFFSET([2]quests!$A$1,0,0,COUNTA([2]quests!$A:$A),MATCH(E$1,[2]quests!$1:$1,0)-MATCH($B$1,[2]quests!$1:$1,0)+1),MATCH(E$1,[2]quests!$1:$1,0)-MATCH($B$1,[2]quests!$1:$1,0)+1,FALSE)</f>
        <v>アマテラス襲来！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【超絶級】アマテラス襲来</v>
      </c>
      <c r="G11" s="93">
        <v>5</v>
      </c>
      <c r="H11" s="13" t="str">
        <f t="shared" si="2"/>
        <v>41001_1-5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6" t="s">
        <v>53</v>
      </c>
      <c r="L11" s="94">
        <v>279</v>
      </c>
      <c r="M11" s="15" t="str">
        <f ca="1">VLOOKUP($L11,OFFSET([3]enemies!$A$1,0,0,COUNTA([3]enemies!$A:$A),MATCH(M$1,[3]enemies!$1:$1,0)-MATCH($L$1,[3]enemies!$1:$1,0)+1),MATCH(M$1,[3]enemies!$1:$1,0)-MATCH($L$1,[3]enemies!$1:$1,0)+1,FALSE)</f>
        <v>統空大神 アマテラス</v>
      </c>
      <c r="N11" s="15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5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5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5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70</v>
      </c>
      <c r="S11" s="23">
        <v>3</v>
      </c>
      <c r="T11" s="23">
        <v>1.1000000000000001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種族ゴッドのユニットに大ダメージ！</v>
      </c>
      <c r="W11" s="95">
        <v>41001007</v>
      </c>
      <c r="X11" s="6">
        <v>1</v>
      </c>
      <c r="Y11" s="6">
        <v>100</v>
      </c>
      <c r="Z11" s="6">
        <v>1</v>
      </c>
      <c r="AA11" s="15">
        <f ca="1">VLOOKUP($L11,OFFSET([3]enemies!$A$1,0,0,COUNTA([3]enemies!$A:$A),MATCH(AA$1,[3]enemies!$1:$1,0)-MATCH($L$1,[3]enemies!$1:$1,0)+1),MATCH(AA$1,[3]enemies!$1:$1,0)-MATCH($L$1,[3]enemies!$1:$1,0)+1,FALSE)</f>
        <v>2</v>
      </c>
      <c r="AB11" s="96">
        <v>278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アマテラス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4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1" s="7">
        <v>1</v>
      </c>
      <c r="AG11" s="22">
        <f t="shared" ca="1" si="4"/>
        <v>4</v>
      </c>
      <c r="AH11" s="8">
        <v>15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7">
        <v>1</v>
      </c>
    </row>
    <row r="12" spans="1:40" ht="21" customHeight="1" x14ac:dyDescent="0.15">
      <c r="A12" s="14" t="str">
        <f t="shared" ca="1" si="0"/>
        <v>41001_2-1/63&lt;lv80&gt;s2</v>
      </c>
      <c r="B12" s="20">
        <v>41001</v>
      </c>
      <c r="C12" s="98">
        <v>2</v>
      </c>
      <c r="D12" s="2" t="str">
        <f t="shared" si="1"/>
        <v>41001_2</v>
      </c>
      <c r="E12" s="4" t="str">
        <f ca="1">VLOOKUP($B12,OFFSET([2]quests!$A$1,0,0,COUNTA([2]quests!$A:$A),MATCH(E$1,[2]quests!$1:$1,0)-MATCH($B$1,[2]quests!$1:$1,0)+1),MATCH(E$1,[2]quests!$1:$1,0)-MATCH($B$1,[2]quests!$1:$1,0)+1,FALSE)</f>
        <v>アマテラス襲来！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【ウィザード級】アマテラス襲来</v>
      </c>
      <c r="G12" s="93">
        <v>1</v>
      </c>
      <c r="H12" s="13" t="str">
        <f t="shared" si="2"/>
        <v>41001_2-1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6" t="s">
        <v>53</v>
      </c>
      <c r="L12" s="94">
        <v>63</v>
      </c>
      <c r="M12" s="15" t="str">
        <f ca="1">VLOOKUP($L12,OFFSET([3]enemies!$A$1,0,0,COUNTA([3]enemies!$A:$A),MATCH(M$1,[3]enemies!$1:$1,0)-MATCH($L$1,[3]enemies!$1:$1,0)+1),MATCH(M$1,[3]enemies!$1:$1,0)-MATCH($L$1,[3]enemies!$1:$1,0)+1,FALSE)</f>
        <v>トニー</v>
      </c>
      <c r="N12" s="15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5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5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5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80</v>
      </c>
      <c r="S12" s="23">
        <v>1.5</v>
      </c>
      <c r="T12" s="23">
        <v>1.2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12" s="95">
        <v>41001001</v>
      </c>
      <c r="X12" s="6">
        <v>1</v>
      </c>
      <c r="Y12" s="6">
        <v>100</v>
      </c>
      <c r="Z12" s="6">
        <v>0</v>
      </c>
      <c r="AA12" s="15">
        <f ca="1">VLOOKUP($L12,OFFSET([3]enemies!$A$1,0,0,COUNTA([3]enemies!$A:$A),MATCH(AA$1,[3]enemies!$1:$1,0)-MATCH($L$1,[3]enemies!$1:$1,0)+1),MATCH(AA$1,[3]enemies!$1:$1,0)-MATCH($L$1,[3]enemies!$1:$1,0)+1,FALSE)</f>
        <v>2</v>
      </c>
      <c r="AB12" s="22">
        <f t="shared" ref="AB12:AB21" si="10">L12</f>
        <v>63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7">
        <v>1</v>
      </c>
      <c r="AG12" s="22">
        <f t="shared" ca="1" si="4"/>
        <v>2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7">
        <v>1</v>
      </c>
    </row>
    <row r="13" spans="1:40" ht="21" customHeight="1" x14ac:dyDescent="0.15">
      <c r="A13" s="14" t="str">
        <f t="shared" ca="1" si="0"/>
        <v>41001_2-1/39&lt;lv80&gt;s3</v>
      </c>
      <c r="B13" s="20">
        <v>41001</v>
      </c>
      <c r="C13" s="98">
        <v>2</v>
      </c>
      <c r="D13" s="2" t="str">
        <f t="shared" si="1"/>
        <v>41001_2</v>
      </c>
      <c r="E13" s="4" t="str">
        <f ca="1">VLOOKUP($B13,OFFSET([2]quests!$A$1,0,0,COUNTA([2]quests!$A:$A),MATCH(E$1,[2]quests!$1:$1,0)-MATCH($B$1,[2]quests!$1:$1,0)+1),MATCH(E$1,[2]quests!$1:$1,0)-MATCH($B$1,[2]quests!$1:$1,0)+1,FALSE)</f>
        <v>アマテラス襲来！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【ウィザード級】アマテラス襲来</v>
      </c>
      <c r="G13" s="93">
        <v>1</v>
      </c>
      <c r="H13" s="13" t="str">
        <f t="shared" si="2"/>
        <v>41001_2-1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6" t="s">
        <v>53</v>
      </c>
      <c r="L13" s="94">
        <v>39</v>
      </c>
      <c r="M13" s="15" t="str">
        <f ca="1">VLOOKUP($L13,OFFSET([3]enemies!$A$1,0,0,COUNTA([3]enemies!$A:$A),MATCH(M$1,[3]enemies!$1:$1,0)-MATCH($L$1,[3]enemies!$1:$1,0)+1),MATCH(M$1,[3]enemies!$1:$1,0)-MATCH($L$1,[3]enemies!$1:$1,0)+1,FALSE)</f>
        <v>マーロン</v>
      </c>
      <c r="N13" s="15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5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5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5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80</v>
      </c>
      <c r="S13" s="23">
        <v>1.5</v>
      </c>
      <c r="T13" s="23">
        <v>1.2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単体攻撃&amp;1体のみスキルを3ターン使えなくする！</v>
      </c>
      <c r="W13" s="95">
        <v>41001002</v>
      </c>
      <c r="X13" s="6">
        <v>1</v>
      </c>
      <c r="Y13" s="6">
        <v>100</v>
      </c>
      <c r="Z13" s="6">
        <v>0</v>
      </c>
      <c r="AA13" s="15">
        <f ca="1">VLOOKUP($L13,OFFSET([3]enemies!$A$1,0,0,COUNTA([3]enemies!$A:$A),MATCH(AA$1,[3]enemies!$1:$1,0)-MATCH($L$1,[3]enemies!$1:$1,0)+1),MATCH(AA$1,[3]enemies!$1:$1,0)-MATCH($L$1,[3]enemies!$1:$1,0)+1,FALSE)</f>
        <v>3</v>
      </c>
      <c r="AB13" s="22">
        <f t="shared" si="10"/>
        <v>39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マーロン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" s="7">
        <v>1</v>
      </c>
      <c r="AG13" s="22">
        <f t="shared" ca="1" si="4"/>
        <v>2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7">
        <v>1</v>
      </c>
    </row>
    <row r="14" spans="1:40" ht="21" customHeight="1" x14ac:dyDescent="0.15">
      <c r="A14" s="14" t="str">
        <f t="shared" ref="A14:A15" si="11">B14&amp;"_"&amp;C14&amp;"-"&amp;G14&amp;"/"&amp;L14&amp;"&lt;lv"&amp;R14&amp;"&gt;s"&amp;AA14</f>
        <v>41001_2-1/63&lt;lv79&gt;s3</v>
      </c>
      <c r="B14" s="20">
        <v>41001</v>
      </c>
      <c r="C14" s="98">
        <v>2</v>
      </c>
      <c r="D14" s="2" t="str">
        <f t="shared" ref="D14:D15" si="12">B14&amp;"_"&amp;C14</f>
        <v>41001_2</v>
      </c>
      <c r="E14" s="4" t="str">
        <f ca="1">VLOOKUP($B14,OFFSET([2]quests!$A$1,0,0,COUNTA([2]quests!$A:$A),MATCH(E$1,[2]quests!$1:$1,0)-MATCH($B$1,[2]quests!$1:$1,0)+1),MATCH(E$1,[2]quests!$1:$1,0)-MATCH($B$1,[2]quests!$1:$1,0)+1,FALSE)</f>
        <v>アマテラス襲来！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【ウィザード級】アマテラス襲来</v>
      </c>
      <c r="G14" s="93">
        <v>1</v>
      </c>
      <c r="H14" s="13" t="str">
        <f t="shared" ref="H14:H15" si="13">B14&amp;"_"&amp;C14&amp;"-"&amp;G14</f>
        <v>41001_2-1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6" t="s">
        <v>53</v>
      </c>
      <c r="L14" s="94">
        <v>63</v>
      </c>
      <c r="M14" s="15" t="str">
        <f ca="1">VLOOKUP($L14,OFFSET([3]enemies!$A$1,0,0,COUNTA([3]enemies!$A:$A),MATCH(M$1,[3]enemies!$1:$1,0)-MATCH($L$1,[3]enemies!$1:$1,0)+1),MATCH(M$1,[3]enemies!$1:$1,0)-MATCH($L$1,[3]enemies!$1:$1,0)+1,FALSE)</f>
        <v>トニー</v>
      </c>
      <c r="N14" s="15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5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5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5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79</v>
      </c>
      <c r="S14" s="23">
        <v>1.5</v>
      </c>
      <c r="T14" s="23">
        <v>1.2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14" s="95">
        <v>41001001</v>
      </c>
      <c r="X14" s="6">
        <v>1</v>
      </c>
      <c r="Y14" s="6">
        <v>100</v>
      </c>
      <c r="Z14" s="6">
        <v>0</v>
      </c>
      <c r="AA14" s="109">
        <v>3</v>
      </c>
      <c r="AB14" s="22">
        <f t="shared" ref="AB14:AB15" si="14">L14</f>
        <v>63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7">
        <v>1</v>
      </c>
      <c r="AG14" s="22">
        <f t="shared" ref="AG14:AG15" ca="1" si="15">AD14</f>
        <v>2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7">
        <v>1</v>
      </c>
    </row>
    <row r="15" spans="1:40" ht="21" customHeight="1" x14ac:dyDescent="0.15">
      <c r="A15" s="14" t="str">
        <f t="shared" si="11"/>
        <v>41001_2-1/39&lt;lv79&gt;s4</v>
      </c>
      <c r="B15" s="20">
        <v>41001</v>
      </c>
      <c r="C15" s="98">
        <v>2</v>
      </c>
      <c r="D15" s="2" t="str">
        <f t="shared" si="12"/>
        <v>41001_2</v>
      </c>
      <c r="E15" s="4" t="str">
        <f ca="1">VLOOKUP($B15,OFFSET([2]quests!$A$1,0,0,COUNTA([2]quests!$A:$A),MATCH(E$1,[2]quests!$1:$1,0)-MATCH($B$1,[2]quests!$1:$1,0)+1),MATCH(E$1,[2]quests!$1:$1,0)-MATCH($B$1,[2]quests!$1:$1,0)+1,FALSE)</f>
        <v>アマテラス襲来！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【ウィザード級】アマテラス襲来</v>
      </c>
      <c r="G15" s="93">
        <v>1</v>
      </c>
      <c r="H15" s="13" t="str">
        <f t="shared" si="13"/>
        <v>41001_2-1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6" t="s">
        <v>53</v>
      </c>
      <c r="L15" s="94">
        <v>39</v>
      </c>
      <c r="M15" s="15" t="str">
        <f ca="1">VLOOKUP($L15,OFFSET([3]enemies!$A$1,0,0,COUNTA([3]enemies!$A:$A),MATCH(M$1,[3]enemies!$1:$1,0)-MATCH($L$1,[3]enemies!$1:$1,0)+1),MATCH(M$1,[3]enemies!$1:$1,0)-MATCH($L$1,[3]enemies!$1:$1,0)+1,FALSE)</f>
        <v>マーロン</v>
      </c>
      <c r="N15" s="15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5" t="str">
        <f ca="1">VLOOKUP($L15,OFFSET([4]characters!$A$1,0,0,COUNTA([4]characters!$A:$A),MATCH(O$1,[4]characters!$1:$1,0)-MATCH($L$1,[4]characters!$1:$1,0)+1),MATCH(O$1,[4]characters!$1:$1,0)-MATCH($L$1,[4]characters!$1:$1,0)+1,FALSE)</f>
        <v>Drop1S</v>
      </c>
      <c r="P15" s="15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5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79</v>
      </c>
      <c r="S15" s="23">
        <v>1.5</v>
      </c>
      <c r="T15" s="23">
        <v>1.2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単体攻撃&amp;1体のみスキルを3ターン使えなくする！</v>
      </c>
      <c r="W15" s="95">
        <v>41001002</v>
      </c>
      <c r="X15" s="6">
        <v>1</v>
      </c>
      <c r="Y15" s="6">
        <v>100</v>
      </c>
      <c r="Z15" s="6">
        <v>0</v>
      </c>
      <c r="AA15" s="109">
        <v>4</v>
      </c>
      <c r="AB15" s="22">
        <f t="shared" si="14"/>
        <v>39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マーロン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" s="7">
        <v>1</v>
      </c>
      <c r="AG15" s="22">
        <f t="shared" ca="1" si="15"/>
        <v>2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7">
        <v>1</v>
      </c>
    </row>
    <row r="16" spans="1:40" ht="21" customHeight="1" x14ac:dyDescent="0.15">
      <c r="A16" s="14" t="str">
        <f t="shared" ca="1" si="0"/>
        <v>41001_2-2/33&lt;lv80&gt;s2</v>
      </c>
      <c r="B16" s="20">
        <v>41001</v>
      </c>
      <c r="C16" s="98">
        <v>2</v>
      </c>
      <c r="D16" s="2" t="str">
        <f t="shared" si="1"/>
        <v>41001_2</v>
      </c>
      <c r="E16" s="4" t="str">
        <f ca="1">VLOOKUP($B16,OFFSET([2]quests!$A$1,0,0,COUNTA([2]quests!$A:$A),MATCH(E$1,[2]quests!$1:$1,0)-MATCH($B$1,[2]quests!$1:$1,0)+1),MATCH(E$1,[2]quests!$1:$1,0)-MATCH($B$1,[2]quests!$1:$1,0)+1,FALSE)</f>
        <v>アマテラス襲来！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【ウィザード級】アマテラス襲来</v>
      </c>
      <c r="G16" s="93">
        <v>2</v>
      </c>
      <c r="H16" s="13" t="str">
        <f t="shared" si="2"/>
        <v>41001_2-2</v>
      </c>
      <c r="I16" s="4">
        <f ca="1">VLOOKUP($H16,OFFSET(floors!$A$1,0,0,COUNTA(floors!$A:$A),MATCH(I$1,floors!$1:$1,0)-MATCH($H$1,floors!$1:$1,0)+1),MATCH(I$1,floors!$1:$1,0)-MATCH($H$1,floors!$1:$1,0)+1,FALSE)</f>
        <v>45</v>
      </c>
      <c r="J16" s="4">
        <f ca="1">VLOOKUP($H16,OFFSET(floors!$A$1,0,0,COUNTA(floors!$A:$A),MATCH(J$1,floors!$1:$1,0)-MATCH($H$1,floors!$1:$1,0)+1),MATCH(J$1,floors!$1:$1,0)-MATCH($H$1,floors!$1:$1,0)+1,FALSE)</f>
        <v>45</v>
      </c>
      <c r="K16" s="36" t="s">
        <v>53</v>
      </c>
      <c r="L16" s="94">
        <v>33</v>
      </c>
      <c r="M16" s="15" t="str">
        <f ca="1">VLOOKUP($L16,OFFSET([3]enemies!$A$1,0,0,COUNTA([3]enemies!$A:$A),MATCH(M$1,[3]enemies!$1:$1,0)-MATCH($L$1,[3]enemies!$1:$1,0)+1),MATCH(M$1,[3]enemies!$1:$1,0)-MATCH($L$1,[3]enemies!$1:$1,0)+1,FALSE)</f>
        <v>ゴクウ</v>
      </c>
      <c r="N16" s="15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5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5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5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80</v>
      </c>
      <c r="S16" s="23">
        <v>1.7</v>
      </c>
      <c r="T16" s="23">
        <v>1.6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次のターン超強力な攻撃</v>
      </c>
      <c r="W16" s="95">
        <v>41001003</v>
      </c>
      <c r="X16" s="6">
        <v>1</v>
      </c>
      <c r="Y16" s="6">
        <v>100</v>
      </c>
      <c r="Z16" s="6">
        <v>0</v>
      </c>
      <c r="AA16" s="15">
        <f ca="1">VLOOKUP($L16,OFFSET([3]enemies!$A$1,0,0,COUNTA([3]enemies!$A:$A),MATCH(AA$1,[3]enemies!$1:$1,0)-MATCH($L$1,[3]enemies!$1:$1,0)+1),MATCH(AA$1,[3]enemies!$1:$1,0)-MATCH($L$1,[3]enemies!$1:$1,0)+1,FALSE)</f>
        <v>2</v>
      </c>
      <c r="AB16" s="22">
        <f t="shared" si="10"/>
        <v>33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7">
        <v>1</v>
      </c>
      <c r="AG16" s="22">
        <f t="shared" ca="1" si="4"/>
        <v>2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7">
        <v>1</v>
      </c>
    </row>
    <row r="17" spans="1:40" ht="21" customHeight="1" x14ac:dyDescent="0.15">
      <c r="A17" s="14" t="str">
        <f t="shared" si="0"/>
        <v>41001_2-2/57&lt;lv80&gt;s3</v>
      </c>
      <c r="B17" s="20">
        <v>41001</v>
      </c>
      <c r="C17" s="98">
        <v>2</v>
      </c>
      <c r="D17" s="2" t="str">
        <f t="shared" si="1"/>
        <v>41001_2</v>
      </c>
      <c r="E17" s="4" t="str">
        <f ca="1">VLOOKUP($B17,OFFSET([2]quests!$A$1,0,0,COUNTA([2]quests!$A:$A),MATCH(E$1,[2]quests!$1:$1,0)-MATCH($B$1,[2]quests!$1:$1,0)+1),MATCH(E$1,[2]quests!$1:$1,0)-MATCH($B$1,[2]quests!$1:$1,0)+1,FALSE)</f>
        <v>アマテラス襲来！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【ウィザード級】アマテラス襲来</v>
      </c>
      <c r="G17" s="93">
        <v>2</v>
      </c>
      <c r="H17" s="13" t="str">
        <f t="shared" si="2"/>
        <v>41001_2-2</v>
      </c>
      <c r="I17" s="4">
        <f ca="1">VLOOKUP($H17,OFFSET(floors!$A$1,0,0,COUNTA(floors!$A:$A),MATCH(I$1,floors!$1:$1,0)-MATCH($H$1,floors!$1:$1,0)+1),MATCH(I$1,floors!$1:$1,0)-MATCH($H$1,floors!$1:$1,0)+1,FALSE)</f>
        <v>45</v>
      </c>
      <c r="J17" s="4">
        <f ca="1">VLOOKUP($H17,OFFSET(floors!$A$1,0,0,COUNTA(floors!$A:$A),MATCH(J$1,floors!$1:$1,0)-MATCH($H$1,floors!$1:$1,0)+1),MATCH(J$1,floors!$1:$1,0)-MATCH($H$1,floors!$1:$1,0)+1,FALSE)</f>
        <v>45</v>
      </c>
      <c r="K17" s="36" t="s">
        <v>53</v>
      </c>
      <c r="L17" s="94">
        <v>57</v>
      </c>
      <c r="M17" s="15" t="str">
        <f ca="1">VLOOKUP($L17,OFFSET([3]enemies!$A$1,0,0,COUNTA([3]enemies!$A:$A),MATCH(M$1,[3]enemies!$1:$1,0)-MATCH($L$1,[3]enemies!$1:$1,0)+1),MATCH(M$1,[3]enemies!$1:$1,0)-MATCH($L$1,[3]enemies!$1:$1,0)+1,FALSE)</f>
        <v>チェン・リー</v>
      </c>
      <c r="N17" s="15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5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5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5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80</v>
      </c>
      <c r="S17" s="23">
        <v>1.9</v>
      </c>
      <c r="T17" s="23">
        <v>1.2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3ターン攻撃力超大UP</v>
      </c>
      <c r="W17" s="95">
        <v>41001004</v>
      </c>
      <c r="X17" s="6">
        <v>1</v>
      </c>
      <c r="Y17" s="6">
        <v>100</v>
      </c>
      <c r="Z17" s="6">
        <v>0</v>
      </c>
      <c r="AA17" s="109">
        <v>3</v>
      </c>
      <c r="AB17" s="22">
        <f t="shared" si="10"/>
        <v>57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チェン・リー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Drop1N</v>
      </c>
      <c r="AF17" s="7">
        <v>1</v>
      </c>
      <c r="AG17" s="22">
        <f t="shared" ca="1" si="4"/>
        <v>2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7">
        <v>1</v>
      </c>
    </row>
    <row r="18" spans="1:40" ht="21" customHeight="1" x14ac:dyDescent="0.15">
      <c r="A18" s="14" t="str">
        <f t="shared" si="0"/>
        <v>41001_2-2/41&lt;lv80&gt;s2</v>
      </c>
      <c r="B18" s="20">
        <v>41001</v>
      </c>
      <c r="C18" s="98">
        <v>2</v>
      </c>
      <c r="D18" s="2" t="str">
        <f t="shared" si="1"/>
        <v>41001_2</v>
      </c>
      <c r="E18" s="4" t="str">
        <f ca="1">VLOOKUP($B18,OFFSET([2]quests!$A$1,0,0,COUNTA([2]quests!$A:$A),MATCH(E$1,[2]quests!$1:$1,0)-MATCH($B$1,[2]quests!$1:$1,0)+1),MATCH(E$1,[2]quests!$1:$1,0)-MATCH($B$1,[2]quests!$1:$1,0)+1,FALSE)</f>
        <v>アマテラス襲来！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【ウィザード級】アマテラス襲来</v>
      </c>
      <c r="G18" s="93">
        <v>2</v>
      </c>
      <c r="H18" s="13" t="str">
        <f t="shared" si="2"/>
        <v>41001_2-2</v>
      </c>
      <c r="I18" s="4">
        <f ca="1">VLOOKUP($H18,OFFSET(floors!$A$1,0,0,COUNTA(floors!$A:$A),MATCH(I$1,floors!$1:$1,0)-MATCH($H$1,floors!$1:$1,0)+1),MATCH(I$1,floors!$1:$1,0)-MATCH($H$1,floors!$1:$1,0)+1,FALSE)</f>
        <v>45</v>
      </c>
      <c r="J18" s="4">
        <f ca="1">VLOOKUP($H18,OFFSET(floors!$A$1,0,0,COUNTA(floors!$A:$A),MATCH(J$1,floors!$1:$1,0)-MATCH($H$1,floors!$1:$1,0)+1),MATCH(J$1,floors!$1:$1,0)-MATCH($H$1,floors!$1:$1,0)+1,FALSE)</f>
        <v>45</v>
      </c>
      <c r="K18" s="36" t="s">
        <v>53</v>
      </c>
      <c r="L18" s="94">
        <v>41</v>
      </c>
      <c r="M18" s="15" t="str">
        <f ca="1">VLOOKUP($L18,OFFSET([3]enemies!$A$1,0,0,COUNTA([3]enemies!$A:$A),MATCH(M$1,[3]enemies!$1:$1,0)-MATCH($L$1,[3]enemies!$1:$1,0)+1),MATCH(M$1,[3]enemies!$1:$1,0)-MATCH($L$1,[3]enemies!$1:$1,0)+1,FALSE)</f>
        <v>ヒュウガ</v>
      </c>
      <c r="N18" s="15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5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5" t="str">
        <f ca="1">VLOOKUP($L18,OFFSET([3]enemies!$A$1,0,0,COUNTA([3]enemies!$A:$A),MATCH(P$1,[3]enemies!$1:$1,0)-MATCH($L$1,[3]enemies!$1:$1,0)+1),MATCH(P$1,[3]enemies!$1:$1,0)-MATCH($L$1,[3]enemies!$1:$1,0)+1,FALSE)</f>
        <v>dragon</v>
      </c>
      <c r="Q18" s="15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80</v>
      </c>
      <c r="S18" s="23">
        <v>1.7</v>
      </c>
      <c r="T18" s="23">
        <v>1.3</v>
      </c>
      <c r="U18" s="5">
        <v>0</v>
      </c>
      <c r="V18" s="4" t="e">
        <f ca="1">VLOOKUP($W18,OFFSET(enemy_skill_sets!$B$1,0,0,COUNTA(enemy_skill_sets!$B:$B),MATCH(M$1,enemy_skill_sets!$1:$1,0)-MATCH($W$1,enemy_skill_sets!$1:$1,0)+2),MATCH(M$1,enemy_skill_sets!$1:$1,0)-MATCH($W$1,enemy_skill_sets!$1:$1,0)+2,FALSE)</f>
        <v>#N/A</v>
      </c>
      <c r="W18" s="4">
        <f ca="1">VLOOKUP($L18,OFFSET([3]enemies!$A$1,0,0,COUNTA([3]enemies!$A:$A),MATCH(W$1,[3]enemies!$1:$1,0)-MATCH($L$1,[3]enemies!$1:$1,0)+1),MATCH(W$1,[3]enemies!$1:$1,0)-MATCH($L$1,[3]enemies!$1:$1,0)+1,FALSE)</f>
        <v>0</v>
      </c>
      <c r="X18" s="6">
        <v>1</v>
      </c>
      <c r="Y18" s="6">
        <v>100</v>
      </c>
      <c r="Z18" s="6">
        <v>0</v>
      </c>
      <c r="AA18" s="109">
        <v>2</v>
      </c>
      <c r="AB18" s="22">
        <f t="shared" si="10"/>
        <v>41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ヒュウガ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7">
        <v>1</v>
      </c>
      <c r="AG18" s="22">
        <f t="shared" ca="1" si="4"/>
        <v>2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7">
        <v>1</v>
      </c>
    </row>
    <row r="19" spans="1:40" ht="21" customHeight="1" x14ac:dyDescent="0.15">
      <c r="A19" s="14" t="str">
        <f t="shared" si="0"/>
        <v>41001_2-3/135&lt;lv80&gt;s2</v>
      </c>
      <c r="B19" s="20">
        <v>41001</v>
      </c>
      <c r="C19" s="98">
        <v>2</v>
      </c>
      <c r="D19" s="2" t="str">
        <f t="shared" si="1"/>
        <v>41001_2</v>
      </c>
      <c r="E19" s="4" t="str">
        <f ca="1">VLOOKUP($B19,OFFSET([2]quests!$A$1,0,0,COUNTA([2]quests!$A:$A),MATCH(E$1,[2]quests!$1:$1,0)-MATCH($B$1,[2]quests!$1:$1,0)+1),MATCH(E$1,[2]quests!$1:$1,0)-MATCH($B$1,[2]quests!$1:$1,0)+1,FALSE)</f>
        <v>アマテラス襲来！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【ウィザード級】アマテラス襲来</v>
      </c>
      <c r="G19" s="93">
        <v>3</v>
      </c>
      <c r="H19" s="13" t="str">
        <f t="shared" si="2"/>
        <v>41001_2-3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6" t="s">
        <v>53</v>
      </c>
      <c r="L19" s="94">
        <v>135</v>
      </c>
      <c r="M19" s="15" t="str">
        <f ca="1">VLOOKUP($L19,OFFSET([3]enemies!$A$1,0,0,COUNTA([3]enemies!$A:$A),MATCH(M$1,[3]enemies!$1:$1,0)-MATCH($L$1,[3]enemies!$1:$1,0)+1),MATCH(M$1,[3]enemies!$1:$1,0)-MATCH($L$1,[3]enemies!$1:$1,0)+1,FALSE)</f>
        <v>京の炎華夕霧</v>
      </c>
      <c r="N19" s="15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5" t="str">
        <f ca="1">VLOOKUP($L19,OFFSET([4]characters!$A$1,0,0,COUNTA([4]characters!$A:$A),MATCH(O$1,[4]characters!$1:$1,0)-MATCH($L$1,[4]characters!$1:$1,0)+1),MATCH(O$1,[4]characters!$1:$1,0)-MATCH($L$1,[4]characters!$1:$1,0)+1,FALSE)</f>
        <v>PremiumW</v>
      </c>
      <c r="P19" s="15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5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80</v>
      </c>
      <c r="S19" s="23">
        <v>2</v>
      </c>
      <c r="T19" s="23">
        <v>1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赤属性ユニットに大ダメージ&amp;1ターン暗闇状態</v>
      </c>
      <c r="W19" s="95">
        <v>41001005</v>
      </c>
      <c r="X19" s="6">
        <v>1</v>
      </c>
      <c r="Y19" s="6">
        <v>100</v>
      </c>
      <c r="Z19" s="6">
        <v>1</v>
      </c>
      <c r="AA19" s="95">
        <v>2</v>
      </c>
      <c r="AB19" s="22">
        <f t="shared" si="10"/>
        <v>135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京の炎華夕霧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9" s="7">
        <v>1</v>
      </c>
      <c r="AG19" s="22">
        <f t="shared" ca="1" si="4"/>
        <v>4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7">
        <v>1</v>
      </c>
    </row>
    <row r="20" spans="1:40" ht="21" customHeight="1" x14ac:dyDescent="0.15">
      <c r="A20" s="14" t="str">
        <f t="shared" ref="A20" si="16">B20&amp;"_"&amp;C20&amp;"-"&amp;G20&amp;"/"&amp;L20&amp;"&lt;lv"&amp;R20&amp;"&gt;s"&amp;AA20</f>
        <v>41001_2-3/370&lt;lv80&gt;s1</v>
      </c>
      <c r="B20" s="20">
        <v>41001</v>
      </c>
      <c r="C20" s="98">
        <v>2</v>
      </c>
      <c r="D20" s="2" t="str">
        <f t="shared" ref="D20" si="17">B20&amp;"_"&amp;C20</f>
        <v>41001_2</v>
      </c>
      <c r="E20" s="4" t="str">
        <f ca="1">VLOOKUP($B20,OFFSET([2]quests!$A$1,0,0,COUNTA([2]quests!$A:$A),MATCH(E$1,[2]quests!$1:$1,0)-MATCH($B$1,[2]quests!$1:$1,0)+1),MATCH(E$1,[2]quests!$1:$1,0)-MATCH($B$1,[2]quests!$1:$1,0)+1,FALSE)</f>
        <v>アマテラス襲来！</v>
      </c>
      <c r="F20" s="4" t="str">
        <f ca="1">VLOOKUP($D20,OFFSET([2]stages!$A$1,0,0,COUNTA([2]stages!$A:$A),MATCH(F$1,[2]stages!$2:$2,0)-MATCH($D$1,[2]stages!$2:$2,0)+1),MATCH(F$1,[2]stages!$2:$2,0)-MATCH($D$1,[2]stages!$2:$2,0)+1,FALSE)</f>
        <v>【ウィザード級】アマテラス襲来</v>
      </c>
      <c r="G20" s="93">
        <v>3</v>
      </c>
      <c r="H20" s="13" t="str">
        <f t="shared" ref="H20" si="18">B20&amp;"_"&amp;C20&amp;"-"&amp;G20</f>
        <v>41001_2-3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6" t="s">
        <v>53</v>
      </c>
      <c r="L20" s="94">
        <v>370</v>
      </c>
      <c r="M20" s="15" t="str">
        <f ca="1">VLOOKUP($L20,OFFSET([3]enemies!$A$1,0,0,COUNTA([3]enemies!$A:$A),MATCH(M$1,[3]enemies!$1:$1,0)-MATCH($L$1,[3]enemies!$1:$1,0)+1),MATCH(M$1,[3]enemies!$1:$1,0)-MATCH($L$1,[3]enemies!$1:$1,0)+1,FALSE)</f>
        <v>タイチ</v>
      </c>
      <c r="N20" s="15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15" t="str">
        <f ca="1">VLOOKUP($L20,OFFSET([4]characters!$A$1,0,0,COUNTA([4]characters!$A:$A),MATCH(O$1,[4]characters!$1:$1,0)-MATCH($L$1,[4]characters!$1:$1,0)+1),MATCH(O$1,[4]characters!$1:$1,0)-MATCH($L$1,[4]characters!$1:$1,0)+1,FALSE)</f>
        <v>Drop1S</v>
      </c>
      <c r="P20" s="15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5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80</v>
      </c>
      <c r="S20" s="23">
        <v>2.2000000000000002</v>
      </c>
      <c r="T20" s="23">
        <v>1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20" s="95">
        <v>41001008</v>
      </c>
      <c r="X20" s="6">
        <v>2</v>
      </c>
      <c r="Y20" s="6">
        <v>100</v>
      </c>
      <c r="Z20" s="6">
        <v>0</v>
      </c>
      <c r="AA20" s="95">
        <v>1</v>
      </c>
      <c r="AB20" s="22">
        <f t="shared" ref="AB20" si="19">L20</f>
        <v>370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Drop1S</v>
      </c>
      <c r="AF20" s="7">
        <v>1</v>
      </c>
      <c r="AG20" s="22">
        <f t="shared" ref="AG20" ca="1" si="20">AD20</f>
        <v>2</v>
      </c>
      <c r="AH20" s="8">
        <v>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7">
        <v>1</v>
      </c>
    </row>
    <row r="21" spans="1:40" ht="21" customHeight="1" x14ac:dyDescent="0.15">
      <c r="A21" s="14" t="str">
        <f t="shared" si="0"/>
        <v>41001_2-4/192&lt;lv80&gt;s2</v>
      </c>
      <c r="B21" s="20">
        <v>41001</v>
      </c>
      <c r="C21" s="98">
        <v>2</v>
      </c>
      <c r="D21" s="2" t="str">
        <f t="shared" si="1"/>
        <v>41001_2</v>
      </c>
      <c r="E21" s="4" t="str">
        <f ca="1">VLOOKUP($B21,OFFSET([2]quests!$A$1,0,0,COUNTA([2]quests!$A:$A),MATCH(E$1,[2]quests!$1:$1,0)-MATCH($B$1,[2]quests!$1:$1,0)+1),MATCH(E$1,[2]quests!$1:$1,0)-MATCH($B$1,[2]quests!$1:$1,0)+1,FALSE)</f>
        <v>アマテラス襲来！</v>
      </c>
      <c r="F21" s="4" t="str">
        <f ca="1">VLOOKUP($D21,OFFSET([2]stages!$A$1,0,0,COUNTA([2]stages!$A:$A),MATCH(F$1,[2]stages!$2:$2,0)-MATCH($D$1,[2]stages!$2:$2,0)+1),MATCH(F$1,[2]stages!$2:$2,0)-MATCH($D$1,[2]stages!$2:$2,0)+1,FALSE)</f>
        <v>【ウィザード級】アマテラス襲来</v>
      </c>
      <c r="G21" s="93">
        <v>4</v>
      </c>
      <c r="H21" s="13" t="str">
        <f t="shared" si="2"/>
        <v>41001_2-4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6" t="s">
        <v>53</v>
      </c>
      <c r="L21" s="94">
        <v>192</v>
      </c>
      <c r="M21" s="15" t="str">
        <f ca="1">VLOOKUP($L21,OFFSET([3]enemies!$A$1,0,0,COUNTA([3]enemies!$A:$A),MATCH(M$1,[3]enemies!$1:$1,0)-MATCH($L$1,[3]enemies!$1:$1,0)+1),MATCH(M$1,[3]enemies!$1:$1,0)-MATCH($L$1,[3]enemies!$1:$1,0)+1,FALSE)</f>
        <v>荘厳なる始祖帝 卑弥呼</v>
      </c>
      <c r="N21" s="15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15" t="str">
        <f ca="1">VLOOKUP($L21,OFFSET([4]characters!$A$1,0,0,COUNTA([4]characters!$A:$A),MATCH(O$1,[4]characters!$1:$1,0)-MATCH($L$1,[4]characters!$1:$1,0)+1),MATCH(O$1,[4]characters!$1:$1,0)-MATCH($L$1,[4]characters!$1:$1,0)+1,FALSE)</f>
        <v>PremiumN</v>
      </c>
      <c r="P21" s="15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15">
        <f ca="1">VLOOKUP($L21,OFFSET([3]enemies!$A$1,0,0,COUNTA([3]enemies!$A:$A),MATCH(Q$1,[3]enemies!$1:$1,0)-MATCH($L$1,[3]enemies!$1:$1,0)+1),MATCH(Q$1,[3]enemies!$1:$1,0)-MATCH($L$1,[3]enemies!$1:$1,0)+1,FALSE)</f>
        <v>60</v>
      </c>
      <c r="R21" s="5">
        <v>80</v>
      </c>
      <c r="S21" s="23">
        <v>1.5</v>
      </c>
      <c r="T21" s="23">
        <v>1</v>
      </c>
      <c r="U21" s="5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6ターンの間攻撃力UP&amp;防御力UP</v>
      </c>
      <c r="W21" s="95">
        <v>41001009</v>
      </c>
      <c r="X21" s="6">
        <v>1</v>
      </c>
      <c r="Y21" s="6">
        <v>100</v>
      </c>
      <c r="Z21" s="6">
        <v>1</v>
      </c>
      <c r="AA21" s="95">
        <v>2</v>
      </c>
      <c r="AB21" s="22">
        <f t="shared" si="10"/>
        <v>192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荘厳なる始祖帝 卑弥呼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5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21" s="7">
        <v>1</v>
      </c>
      <c r="AG21" s="22">
        <f t="shared" ca="1" si="4"/>
        <v>5</v>
      </c>
      <c r="AH21" s="8">
        <v>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7">
        <v>1</v>
      </c>
    </row>
    <row r="22" spans="1:40" ht="21" customHeight="1" x14ac:dyDescent="0.15">
      <c r="A22" s="14" t="str">
        <f t="shared" ca="1" si="0"/>
        <v>41001_2-5/279&lt;lv80&gt;s2</v>
      </c>
      <c r="B22" s="20">
        <v>41001</v>
      </c>
      <c r="C22" s="98">
        <v>2</v>
      </c>
      <c r="D22" s="2" t="str">
        <f t="shared" si="1"/>
        <v>41001_2</v>
      </c>
      <c r="E22" s="4" t="str">
        <f ca="1">VLOOKUP($B22,OFFSET([2]quests!$A$1,0,0,COUNTA([2]quests!$A:$A),MATCH(E$1,[2]quests!$1:$1,0)-MATCH($B$1,[2]quests!$1:$1,0)+1),MATCH(E$1,[2]quests!$1:$1,0)-MATCH($B$1,[2]quests!$1:$1,0)+1,FALSE)</f>
        <v>アマテラス襲来！</v>
      </c>
      <c r="F22" s="4" t="str">
        <f ca="1">VLOOKUP($D22,OFFSET([2]stages!$A$1,0,0,COUNTA([2]stages!$A:$A),MATCH(F$1,[2]stages!$2:$2,0)-MATCH($D$1,[2]stages!$2:$2,0)+1),MATCH(F$1,[2]stages!$2:$2,0)-MATCH($D$1,[2]stages!$2:$2,0)+1,FALSE)</f>
        <v>【ウィザード級】アマテラス襲来</v>
      </c>
      <c r="G22" s="93">
        <v>5</v>
      </c>
      <c r="H22" s="13" t="str">
        <f t="shared" si="2"/>
        <v>41001_2-5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6">
        <v>1</v>
      </c>
      <c r="L22" s="94">
        <v>279</v>
      </c>
      <c r="M22" s="15" t="str">
        <f ca="1">VLOOKUP($L22,OFFSET([3]enemies!$A$1,0,0,COUNTA([3]enemies!$A:$A),MATCH(M$1,[3]enemies!$1:$1,0)-MATCH($L$1,[3]enemies!$1:$1,0)+1),MATCH(M$1,[3]enemies!$1:$1,0)-MATCH($L$1,[3]enemies!$1:$1,0)+1,FALSE)</f>
        <v>統空大神 アマテラス</v>
      </c>
      <c r="N22" s="15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5" t="str">
        <f ca="1">VLOOKUP($L22,OFFSET([4]characters!$A$1,0,0,COUNTA([4]characters!$A:$A),MATCH(O$1,[4]characters!$1:$1,0)-MATCH($L$1,[4]characters!$1:$1,0)+1),MATCH(O$1,[4]characters!$1:$1,0)-MATCH($L$1,[4]characters!$1:$1,0)+1,FALSE)</f>
        <v>DropWizS</v>
      </c>
      <c r="P22" s="15" t="str">
        <f ca="1">VLOOKUP($L22,OFFSET([3]enemies!$A$1,0,0,COUNTA([3]enemies!$A:$A),MATCH(P$1,[3]enemies!$1:$1,0)-MATCH($L$1,[3]enemies!$1:$1,0)+1),MATCH(P$1,[3]enemies!$1:$1,0)-MATCH($L$1,[3]enemies!$1:$1,0)+1,FALSE)</f>
        <v>god</v>
      </c>
      <c r="Q22" s="15">
        <f ca="1">VLOOKUP($L22,OFFSET([3]enemies!$A$1,0,0,COUNTA([3]enemies!$A:$A),MATCH(Q$1,[3]enemies!$1:$1,0)-MATCH($L$1,[3]enemies!$1:$1,0)+1),MATCH(Q$1,[3]enemies!$1:$1,0)-MATCH($L$1,[3]enemies!$1:$1,0)+1,FALSE)</f>
        <v>60</v>
      </c>
      <c r="R22" s="5">
        <v>80</v>
      </c>
      <c r="S22" s="23">
        <v>1.9</v>
      </c>
      <c r="T22" s="23">
        <v>1.1000000000000001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種族ゴッドのユニットに大ダメージ！</v>
      </c>
      <c r="W22" s="95">
        <v>41001010</v>
      </c>
      <c r="X22" s="6">
        <v>1</v>
      </c>
      <c r="Y22" s="6">
        <v>100</v>
      </c>
      <c r="Z22" s="6">
        <v>1</v>
      </c>
      <c r="AA22" s="15">
        <f ca="1">VLOOKUP($L22,OFFSET([3]enemies!$A$1,0,0,COUNTA([3]enemies!$A:$A),MATCH(AA$1,[3]enemies!$1:$1,0)-MATCH($L$1,[3]enemies!$1:$1,0)+1),MATCH(AA$1,[3]enemies!$1:$1,0)-MATCH($L$1,[3]enemies!$1:$1,0)+1,FALSE)</f>
        <v>2</v>
      </c>
      <c r="AB22" s="96">
        <v>278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アマテラス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2" s="7">
        <v>1</v>
      </c>
      <c r="AG22" s="22">
        <f t="shared" ca="1" si="4"/>
        <v>4</v>
      </c>
      <c r="AH22" s="8">
        <v>30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7">
        <v>1</v>
      </c>
    </row>
    <row r="23" spans="1:40" ht="21" customHeight="1" x14ac:dyDescent="0.15">
      <c r="A23" s="14" t="str">
        <f t="shared" ref="A23:A33" ca="1" si="21">B23&amp;"_"&amp;C23&amp;"-"&amp;G23&amp;"/"&amp;L23&amp;"&lt;lv"&amp;R23&amp;"&gt;s"&amp;AA23</f>
        <v>41001_3-1/63&lt;lv80&gt;s2</v>
      </c>
      <c r="B23" s="20">
        <v>41001</v>
      </c>
      <c r="C23" s="105">
        <v>3</v>
      </c>
      <c r="D23" s="2" t="str">
        <f t="shared" ref="D23:D33" si="22">B23&amp;"_"&amp;C23</f>
        <v>41001_3</v>
      </c>
      <c r="E23" s="4" t="str">
        <f ca="1">VLOOKUP($B23,OFFSET([2]quests!$A$1,0,0,COUNTA([2]quests!$A:$A),MATCH(E$1,[2]quests!$1:$1,0)-MATCH($B$1,[2]quests!$1:$1,0)+1),MATCH(E$1,[2]quests!$1:$1,0)-MATCH($B$1,[2]quests!$1:$1,0)+1,FALSE)</f>
        <v>アマテラス襲来！</v>
      </c>
      <c r="F23" s="4" t="str">
        <f ca="1">VLOOKUP($D23,OFFSET([2]stages!$A$1,0,0,COUNTA([2]stages!$A:$A),MATCH(F$1,[2]stages!$2:$2,0)-MATCH($D$1,[2]stages!$2:$2,0)+1),MATCH(F$1,[2]stages!$2:$2,0)-MATCH($D$1,[2]stages!$2:$2,0)+1,FALSE)</f>
        <v>【ノーコンテニュー】アマテラス襲来</v>
      </c>
      <c r="G23" s="93">
        <v>1</v>
      </c>
      <c r="H23" s="13" t="str">
        <f t="shared" ref="H23:H33" si="23">B23&amp;"_"&amp;C23&amp;"-"&amp;G23</f>
        <v>41001_3-1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6" t="s">
        <v>53</v>
      </c>
      <c r="L23" s="94">
        <v>63</v>
      </c>
      <c r="M23" s="15" t="str">
        <f ca="1">VLOOKUP($L23,OFFSET([3]enemies!$A$1,0,0,COUNTA([3]enemies!$A:$A),MATCH(M$1,[3]enemies!$1:$1,0)-MATCH($L$1,[3]enemies!$1:$1,0)+1),MATCH(M$1,[3]enemies!$1:$1,0)-MATCH($L$1,[3]enemies!$1:$1,0)+1,FALSE)</f>
        <v>トニー</v>
      </c>
      <c r="N23" s="15" t="str">
        <f ca="1">VLOOKUP($L23,OFFSET([3]enemies!$A$1,0,0,COUNTA([3]enemies!$A:$A),MATCH(N$1,[3]enemies!$1:$1,0)-MATCH($L$1,[3]enemies!$1:$1,0)+1),MATCH(N$1,[3]enemies!$1:$1,0)-MATCH($L$1,[3]enemies!$1:$1,0)+1,FALSE)</f>
        <v>yellow</v>
      </c>
      <c r="O23" s="15" t="str">
        <f ca="1">VLOOKUP($L23,OFFSET([4]characters!$A$1,0,0,COUNTA([4]characters!$A:$A),MATCH(O$1,[4]characters!$1:$1,0)-MATCH($L$1,[4]characters!$1:$1,0)+1),MATCH(O$1,[4]characters!$1:$1,0)-MATCH($L$1,[4]characters!$1:$1,0)+1,FALSE)</f>
        <v>Drop1N</v>
      </c>
      <c r="P23" s="15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5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80</v>
      </c>
      <c r="S23" s="23">
        <v>1.5</v>
      </c>
      <c r="T23" s="23">
        <v>1.2</v>
      </c>
      <c r="U23" s="5">
        <v>0</v>
      </c>
      <c r="V23" s="4" t="str">
        <f ca="1">VLOOKUP($W23,OFFSET(enemy_skill_sets!$B$1,0,0,COUNTA(enemy_skill_sets!$B:$B),MATCH(M$1,enemy_skill_sets!$1:$1,0)-MATCH($W$1,enemy_skill_sets!$1:$1,0)+2),MATCH(M$1,enemy_skill_sets!$1:$1,0)-MATCH($W$1,enemy_skill_sets!$1:$1,0)+2,FALSE)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23" s="95">
        <v>41001001</v>
      </c>
      <c r="X23" s="6">
        <v>1</v>
      </c>
      <c r="Y23" s="6">
        <v>100</v>
      </c>
      <c r="Z23" s="6">
        <v>0</v>
      </c>
      <c r="AA23" s="15">
        <f ca="1">VLOOKUP($L23,OFFSET([3]enemies!$A$1,0,0,COUNTA([3]enemies!$A:$A),MATCH(AA$1,[3]enemies!$1:$1,0)-MATCH($L$1,[3]enemies!$1:$1,0)+1),MATCH(AA$1,[3]enemies!$1:$1,0)-MATCH($L$1,[3]enemies!$1:$1,0)+1,FALSE)</f>
        <v>2</v>
      </c>
      <c r="AB23" s="22">
        <f t="shared" ref="AB23:AB32" si="24">L23</f>
        <v>63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Drop1N</v>
      </c>
      <c r="AF23" s="7">
        <v>1</v>
      </c>
      <c r="AG23" s="22">
        <f t="shared" ref="AG23:AG33" ca="1" si="25">AD23</f>
        <v>2</v>
      </c>
      <c r="AH23" s="8">
        <v>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7">
        <v>1</v>
      </c>
    </row>
    <row r="24" spans="1:40" ht="21" customHeight="1" x14ac:dyDescent="0.15">
      <c r="A24" s="14" t="str">
        <f t="shared" ca="1" si="21"/>
        <v>41001_3-1/39&lt;lv80&gt;s3</v>
      </c>
      <c r="B24" s="20">
        <v>41001</v>
      </c>
      <c r="C24" s="105">
        <v>3</v>
      </c>
      <c r="D24" s="2" t="str">
        <f t="shared" si="22"/>
        <v>41001_3</v>
      </c>
      <c r="E24" s="4" t="str">
        <f ca="1">VLOOKUP($B24,OFFSET([2]quests!$A$1,0,0,COUNTA([2]quests!$A:$A),MATCH(E$1,[2]quests!$1:$1,0)-MATCH($B$1,[2]quests!$1:$1,0)+1),MATCH(E$1,[2]quests!$1:$1,0)-MATCH($B$1,[2]quests!$1:$1,0)+1,FALSE)</f>
        <v>アマテラス襲来！</v>
      </c>
      <c r="F24" s="4" t="str">
        <f ca="1">VLOOKUP($D24,OFFSET([2]stages!$A$1,0,0,COUNTA([2]stages!$A:$A),MATCH(F$1,[2]stages!$2:$2,0)-MATCH($D$1,[2]stages!$2:$2,0)+1),MATCH(F$1,[2]stages!$2:$2,0)-MATCH($D$1,[2]stages!$2:$2,0)+1,FALSE)</f>
        <v>【ノーコンテニュー】アマテラス襲来</v>
      </c>
      <c r="G24" s="93">
        <v>1</v>
      </c>
      <c r="H24" s="13" t="str">
        <f t="shared" si="23"/>
        <v>41001_3-1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6" t="s">
        <v>53</v>
      </c>
      <c r="L24" s="94">
        <v>39</v>
      </c>
      <c r="M24" s="15" t="str">
        <f ca="1">VLOOKUP($L24,OFFSET([3]enemies!$A$1,0,0,COUNTA([3]enemies!$A:$A),MATCH(M$1,[3]enemies!$1:$1,0)-MATCH($L$1,[3]enemies!$1:$1,0)+1),MATCH(M$1,[3]enemies!$1:$1,0)-MATCH($L$1,[3]enemies!$1:$1,0)+1,FALSE)</f>
        <v>マーロン</v>
      </c>
      <c r="N24" s="15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5" t="str">
        <f ca="1">VLOOKUP($L24,OFFSET([4]characters!$A$1,0,0,COUNTA([4]characters!$A:$A),MATCH(O$1,[4]characters!$1:$1,0)-MATCH($L$1,[4]characters!$1:$1,0)+1),MATCH(O$1,[4]characters!$1:$1,0)-MATCH($L$1,[4]characters!$1:$1,0)+1,FALSE)</f>
        <v>Drop1S</v>
      </c>
      <c r="P24" s="15" t="str">
        <f ca="1">VLOOKUP($L24,OFFSET([3]enemies!$A$1,0,0,COUNTA([3]enemies!$A:$A),MATCH(P$1,[3]enemies!$1:$1,0)-MATCH($L$1,[3]enemies!$1:$1,0)+1),MATCH(P$1,[3]enemies!$1:$1,0)-MATCH($L$1,[3]enemies!$1:$1,0)+1,FALSE)</f>
        <v>human</v>
      </c>
      <c r="Q24" s="15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80</v>
      </c>
      <c r="S24" s="23">
        <v>1.5</v>
      </c>
      <c r="T24" s="23">
        <v>1.2</v>
      </c>
      <c r="U24" s="5">
        <v>0</v>
      </c>
      <c r="V24" s="4" t="str">
        <f ca="1">VLOOKUP($W24,OFFSET(enemy_skill_sets!$B$1,0,0,COUNTA(enemy_skill_sets!$B:$B),MATCH(M$1,enemy_skill_sets!$1:$1,0)-MATCH($W$1,enemy_skill_sets!$1:$1,0)+2),MATCH(M$1,enemy_skill_sets!$1:$1,0)-MATCH($W$1,enemy_skill_sets!$1:$1,0)+2,FALSE)</f>
        <v>単体攻撃&amp;1体のみスキルを3ターン使えなくする！</v>
      </c>
      <c r="W24" s="95">
        <v>41001002</v>
      </c>
      <c r="X24" s="6">
        <v>1</v>
      </c>
      <c r="Y24" s="6">
        <v>100</v>
      </c>
      <c r="Z24" s="6">
        <v>0</v>
      </c>
      <c r="AA24" s="15">
        <f ca="1">VLOOKUP($L24,OFFSET([3]enemies!$A$1,0,0,COUNTA([3]enemies!$A:$A),MATCH(AA$1,[3]enemies!$1:$1,0)-MATCH($L$1,[3]enemies!$1:$1,0)+1),MATCH(AA$1,[3]enemies!$1:$1,0)-MATCH($L$1,[3]enemies!$1:$1,0)+1,FALSE)</f>
        <v>3</v>
      </c>
      <c r="AB24" s="22">
        <f t="shared" si="24"/>
        <v>39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マーロン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2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Drop1S</v>
      </c>
      <c r="AF24" s="7">
        <v>1</v>
      </c>
      <c r="AG24" s="22">
        <f t="shared" ca="1" si="25"/>
        <v>2</v>
      </c>
      <c r="AH24" s="8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7">
        <v>1</v>
      </c>
    </row>
    <row r="25" spans="1:40" ht="21" customHeight="1" x14ac:dyDescent="0.15">
      <c r="A25" s="14" t="str">
        <f t="shared" ref="A25:A26" si="26">B25&amp;"_"&amp;C25&amp;"-"&amp;G25&amp;"/"&amp;L25&amp;"&lt;lv"&amp;R25&amp;"&gt;s"&amp;AA25</f>
        <v>41001_3-1/63&lt;lv79&gt;s3</v>
      </c>
      <c r="B25" s="20">
        <v>41001</v>
      </c>
      <c r="C25" s="105">
        <v>3</v>
      </c>
      <c r="D25" s="2" t="str">
        <f t="shared" ref="D25:D26" si="27">B25&amp;"_"&amp;C25</f>
        <v>41001_3</v>
      </c>
      <c r="E25" s="4" t="str">
        <f ca="1">VLOOKUP($B25,OFFSET([2]quests!$A$1,0,0,COUNTA([2]quests!$A:$A),MATCH(E$1,[2]quests!$1:$1,0)-MATCH($B$1,[2]quests!$1:$1,0)+1),MATCH(E$1,[2]quests!$1:$1,0)-MATCH($B$1,[2]quests!$1:$1,0)+1,FALSE)</f>
        <v>アマテラス襲来！</v>
      </c>
      <c r="F25" s="4" t="str">
        <f ca="1">VLOOKUP($D25,OFFSET([2]stages!$A$1,0,0,COUNTA([2]stages!$A:$A),MATCH(F$1,[2]stages!$2:$2,0)-MATCH($D$1,[2]stages!$2:$2,0)+1),MATCH(F$1,[2]stages!$2:$2,0)-MATCH($D$1,[2]stages!$2:$2,0)+1,FALSE)</f>
        <v>【ノーコンテニュー】アマテラス襲来</v>
      </c>
      <c r="G25" s="93">
        <v>1</v>
      </c>
      <c r="H25" s="13" t="str">
        <f t="shared" ref="H25:H26" si="28">B25&amp;"_"&amp;C25&amp;"-"&amp;G25</f>
        <v>41001_3-1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6" t="s">
        <v>53</v>
      </c>
      <c r="L25" s="94">
        <v>63</v>
      </c>
      <c r="M25" s="15" t="str">
        <f ca="1">VLOOKUP($L25,OFFSET([3]enemies!$A$1,0,0,COUNTA([3]enemies!$A:$A),MATCH(M$1,[3]enemies!$1:$1,0)-MATCH($L$1,[3]enemies!$1:$1,0)+1),MATCH(M$1,[3]enemies!$1:$1,0)-MATCH($L$1,[3]enemies!$1:$1,0)+1,FALSE)</f>
        <v>トニー</v>
      </c>
      <c r="N25" s="15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5" t="str">
        <f ca="1">VLOOKUP($L25,OFFSET([4]characters!$A$1,0,0,COUNTA([4]characters!$A:$A),MATCH(O$1,[4]characters!$1:$1,0)-MATCH($L$1,[4]characters!$1:$1,0)+1),MATCH(O$1,[4]characters!$1:$1,0)-MATCH($L$1,[4]characters!$1:$1,0)+1,FALSE)</f>
        <v>Drop1N</v>
      </c>
      <c r="P25" s="15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5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79</v>
      </c>
      <c r="S25" s="23">
        <v>1.5</v>
      </c>
      <c r="T25" s="23">
        <v>1.2</v>
      </c>
      <c r="U25" s="5">
        <v>0</v>
      </c>
      <c r="V25" s="4" t="str">
        <f ca="1">VLOOKUP($W25,OFFSET(enemy_skill_sets!$B$1,0,0,COUNTA(enemy_skill_sets!$B:$B),MATCH(M$1,enemy_skill_sets!$1:$1,0)-MATCH($W$1,enemy_skill_sets!$1:$1,0)+2),MATCH(M$1,enemy_skill_sets!$1:$1,0)-MATCH($W$1,enemy_skill_sets!$1:$1,0)+2,FALSE)</f>
        <v>2回連続攻撃</v>
      </c>
      <c r="W25" s="95">
        <v>41001001</v>
      </c>
      <c r="X25" s="6">
        <v>1</v>
      </c>
      <c r="Y25" s="6">
        <v>100</v>
      </c>
      <c r="Z25" s="6">
        <v>0</v>
      </c>
      <c r="AA25" s="109">
        <v>3</v>
      </c>
      <c r="AB25" s="22">
        <f t="shared" ref="AB25:AB26" si="29">L25</f>
        <v>63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トニー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Drop1N</v>
      </c>
      <c r="AF25" s="7">
        <v>1</v>
      </c>
      <c r="AG25" s="22">
        <f t="shared" ref="AG25:AG26" ca="1" si="30">AD25</f>
        <v>2</v>
      </c>
      <c r="AH25" s="8">
        <v>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7">
        <v>1</v>
      </c>
    </row>
    <row r="26" spans="1:40" ht="21" customHeight="1" x14ac:dyDescent="0.15">
      <c r="A26" s="14" t="str">
        <f t="shared" si="26"/>
        <v>41001_3-1/39&lt;lv79&gt;s4</v>
      </c>
      <c r="B26" s="20">
        <v>41001</v>
      </c>
      <c r="C26" s="105">
        <v>3</v>
      </c>
      <c r="D26" s="2" t="str">
        <f t="shared" si="27"/>
        <v>41001_3</v>
      </c>
      <c r="E26" s="4" t="str">
        <f ca="1">VLOOKUP($B26,OFFSET([2]quests!$A$1,0,0,COUNTA([2]quests!$A:$A),MATCH(E$1,[2]quests!$1:$1,0)-MATCH($B$1,[2]quests!$1:$1,0)+1),MATCH(E$1,[2]quests!$1:$1,0)-MATCH($B$1,[2]quests!$1:$1,0)+1,FALSE)</f>
        <v>アマテラス襲来！</v>
      </c>
      <c r="F26" s="4" t="str">
        <f ca="1">VLOOKUP($D26,OFFSET([2]stages!$A$1,0,0,COUNTA([2]stages!$A:$A),MATCH(F$1,[2]stages!$2:$2,0)-MATCH($D$1,[2]stages!$2:$2,0)+1),MATCH(F$1,[2]stages!$2:$2,0)-MATCH($D$1,[2]stages!$2:$2,0)+1,FALSE)</f>
        <v>【ノーコンテニュー】アマテラス襲来</v>
      </c>
      <c r="G26" s="93">
        <v>1</v>
      </c>
      <c r="H26" s="13" t="str">
        <f t="shared" si="28"/>
        <v>41001_3-1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6" t="s">
        <v>53</v>
      </c>
      <c r="L26" s="94">
        <v>39</v>
      </c>
      <c r="M26" s="15" t="str">
        <f ca="1">VLOOKUP($L26,OFFSET([3]enemies!$A$1,0,0,COUNTA([3]enemies!$A:$A),MATCH(M$1,[3]enemies!$1:$1,0)-MATCH($L$1,[3]enemies!$1:$1,0)+1),MATCH(M$1,[3]enemies!$1:$1,0)-MATCH($L$1,[3]enemies!$1:$1,0)+1,FALSE)</f>
        <v>マーロン</v>
      </c>
      <c r="N26" s="15" t="str">
        <f ca="1">VLOOKUP($L26,OFFSET([3]enemies!$A$1,0,0,COUNTA([3]enemies!$A:$A),MATCH(N$1,[3]enemies!$1:$1,0)-MATCH($L$1,[3]enemies!$1:$1,0)+1),MATCH(N$1,[3]enemies!$1:$1,0)-MATCH($L$1,[3]enemies!$1:$1,0)+1,FALSE)</f>
        <v>yellow</v>
      </c>
      <c r="O26" s="15" t="str">
        <f ca="1">VLOOKUP($L26,OFFSET([4]characters!$A$1,0,0,COUNTA([4]characters!$A:$A),MATCH(O$1,[4]characters!$1:$1,0)-MATCH($L$1,[4]characters!$1:$1,0)+1),MATCH(O$1,[4]characters!$1:$1,0)-MATCH($L$1,[4]characters!$1:$1,0)+1,FALSE)</f>
        <v>Drop1S</v>
      </c>
      <c r="P26" s="15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5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79</v>
      </c>
      <c r="S26" s="23">
        <v>1.5</v>
      </c>
      <c r="T26" s="23">
        <v>1.2</v>
      </c>
      <c r="U26" s="5">
        <v>0</v>
      </c>
      <c r="V26" s="4" t="str">
        <f ca="1">VLOOKUP($W26,OFFSET(enemy_skill_sets!$B$1,0,0,COUNTA(enemy_skill_sets!$B:$B),MATCH(M$1,enemy_skill_sets!$1:$1,0)-MATCH($W$1,enemy_skill_sets!$1:$1,0)+2),MATCH(M$1,enemy_skill_sets!$1:$1,0)-MATCH($W$1,enemy_skill_sets!$1:$1,0)+2,FALSE)</f>
        <v>単体攻撃&amp;1体のみスキルを3ターン使えなくする！</v>
      </c>
      <c r="W26" s="95">
        <v>41001002</v>
      </c>
      <c r="X26" s="6">
        <v>1</v>
      </c>
      <c r="Y26" s="6">
        <v>100</v>
      </c>
      <c r="Z26" s="6">
        <v>0</v>
      </c>
      <c r="AA26" s="109">
        <v>4</v>
      </c>
      <c r="AB26" s="22">
        <f t="shared" si="29"/>
        <v>39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マーロン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2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Drop1S</v>
      </c>
      <c r="AF26" s="7">
        <v>1</v>
      </c>
      <c r="AG26" s="22">
        <f t="shared" ca="1" si="30"/>
        <v>2</v>
      </c>
      <c r="AH26" s="8">
        <v>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7">
        <v>1</v>
      </c>
    </row>
    <row r="27" spans="1:40" ht="21" customHeight="1" x14ac:dyDescent="0.15">
      <c r="A27" s="14" t="str">
        <f t="shared" ca="1" si="21"/>
        <v>41001_3-2/33&lt;lv80&gt;s2</v>
      </c>
      <c r="B27" s="20">
        <v>41001</v>
      </c>
      <c r="C27" s="105">
        <v>3</v>
      </c>
      <c r="D27" s="2" t="str">
        <f t="shared" si="22"/>
        <v>41001_3</v>
      </c>
      <c r="E27" s="4" t="str">
        <f ca="1">VLOOKUP($B27,OFFSET([2]quests!$A$1,0,0,COUNTA([2]quests!$A:$A),MATCH(E$1,[2]quests!$1:$1,0)-MATCH($B$1,[2]quests!$1:$1,0)+1),MATCH(E$1,[2]quests!$1:$1,0)-MATCH($B$1,[2]quests!$1:$1,0)+1,FALSE)</f>
        <v>アマテラス襲来！</v>
      </c>
      <c r="F27" s="4" t="str">
        <f ca="1">VLOOKUP($D27,OFFSET([2]stages!$A$1,0,0,COUNTA([2]stages!$A:$A),MATCH(F$1,[2]stages!$2:$2,0)-MATCH($D$1,[2]stages!$2:$2,0)+1),MATCH(F$1,[2]stages!$2:$2,0)-MATCH($D$1,[2]stages!$2:$2,0)+1,FALSE)</f>
        <v>【ノーコンテニュー】アマテラス襲来</v>
      </c>
      <c r="G27" s="93">
        <v>2</v>
      </c>
      <c r="H27" s="13" t="str">
        <f t="shared" si="23"/>
        <v>41001_3-2</v>
      </c>
      <c r="I27" s="4">
        <f ca="1">VLOOKUP($H27,OFFSET(floors!$A$1,0,0,COUNTA(floors!$A:$A),MATCH(I$1,floors!$1:$1,0)-MATCH($H$1,floors!$1:$1,0)+1),MATCH(I$1,floors!$1:$1,0)-MATCH($H$1,floors!$1:$1,0)+1,FALSE)</f>
        <v>45</v>
      </c>
      <c r="J27" s="4">
        <f ca="1">VLOOKUP($H27,OFFSET(floors!$A$1,0,0,COUNTA(floors!$A:$A),MATCH(J$1,floors!$1:$1,0)-MATCH($H$1,floors!$1:$1,0)+1),MATCH(J$1,floors!$1:$1,0)-MATCH($H$1,floors!$1:$1,0)+1,FALSE)</f>
        <v>45</v>
      </c>
      <c r="K27" s="36" t="s">
        <v>53</v>
      </c>
      <c r="L27" s="94">
        <v>33</v>
      </c>
      <c r="M27" s="15" t="str">
        <f ca="1">VLOOKUP($L27,OFFSET([3]enemies!$A$1,0,0,COUNTA([3]enemies!$A:$A),MATCH(M$1,[3]enemies!$1:$1,0)-MATCH($L$1,[3]enemies!$1:$1,0)+1),MATCH(M$1,[3]enemies!$1:$1,0)-MATCH($L$1,[3]enemies!$1:$1,0)+1,FALSE)</f>
        <v>ゴクウ</v>
      </c>
      <c r="N27" s="15" t="str">
        <f ca="1">VLOOKUP($L27,OFFSET([3]enemies!$A$1,0,0,COUNTA([3]enemies!$A:$A),MATCH(N$1,[3]enemies!$1:$1,0)-MATCH($L$1,[3]enemies!$1:$1,0)+1),MATCH(N$1,[3]enemies!$1:$1,0)-MATCH($L$1,[3]enemies!$1:$1,0)+1,FALSE)</f>
        <v>red</v>
      </c>
      <c r="O27" s="15" t="str">
        <f ca="1">VLOOKUP($L27,OFFSET([4]characters!$A$1,0,0,COUNTA([4]characters!$A:$A),MATCH(O$1,[4]characters!$1:$1,0)-MATCH($L$1,[4]characters!$1:$1,0)+1),MATCH(O$1,[4]characters!$1:$1,0)-MATCH($L$1,[4]characters!$1:$1,0)+1,FALSE)</f>
        <v>Drop1S</v>
      </c>
      <c r="P27" s="15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15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80</v>
      </c>
      <c r="S27" s="23">
        <v>1.7</v>
      </c>
      <c r="T27" s="23">
        <v>1.6</v>
      </c>
      <c r="U27" s="5">
        <v>0</v>
      </c>
      <c r="V27" s="4" t="str">
        <f ca="1">VLOOKUP($W27,OFFSET(enemy_skill_sets!$B$1,0,0,COUNTA(enemy_skill_sets!$B:$B),MATCH(M$1,enemy_skill_sets!$1:$1,0)-MATCH($W$1,enemy_skill_sets!$1:$1,0)+2),MATCH(M$1,enemy_skill_sets!$1:$1,0)-MATCH($W$1,enemy_skill_sets!$1:$1,0)+2,FALSE)</f>
        <v>次のターン超強力な攻撃</v>
      </c>
      <c r="W27" s="95">
        <v>41001003</v>
      </c>
      <c r="X27" s="6">
        <v>1</v>
      </c>
      <c r="Y27" s="6">
        <v>100</v>
      </c>
      <c r="Z27" s="6">
        <v>0</v>
      </c>
      <c r="AA27" s="15">
        <f ca="1">VLOOKUP($L27,OFFSET([3]enemies!$A$1,0,0,COUNTA([3]enemies!$A:$A),MATCH(AA$1,[3]enemies!$1:$1,0)-MATCH($L$1,[3]enemies!$1:$1,0)+1),MATCH(AA$1,[3]enemies!$1:$1,0)-MATCH($L$1,[3]enemies!$1:$1,0)+1,FALSE)</f>
        <v>2</v>
      </c>
      <c r="AB27" s="22">
        <f t="shared" si="24"/>
        <v>33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2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Drop1S</v>
      </c>
      <c r="AF27" s="7">
        <v>1</v>
      </c>
      <c r="AG27" s="22">
        <f t="shared" ca="1" si="25"/>
        <v>2</v>
      </c>
      <c r="AH27" s="8">
        <v>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7">
        <v>1</v>
      </c>
    </row>
    <row r="28" spans="1:40" ht="21" customHeight="1" x14ac:dyDescent="0.15">
      <c r="A28" s="14" t="str">
        <f t="shared" si="21"/>
        <v>41001_3-2/57&lt;lv80&gt;s3</v>
      </c>
      <c r="B28" s="20">
        <v>41001</v>
      </c>
      <c r="C28" s="105">
        <v>3</v>
      </c>
      <c r="D28" s="2" t="str">
        <f t="shared" si="22"/>
        <v>41001_3</v>
      </c>
      <c r="E28" s="4" t="str">
        <f ca="1">VLOOKUP($B28,OFFSET([2]quests!$A$1,0,0,COUNTA([2]quests!$A:$A),MATCH(E$1,[2]quests!$1:$1,0)-MATCH($B$1,[2]quests!$1:$1,0)+1),MATCH(E$1,[2]quests!$1:$1,0)-MATCH($B$1,[2]quests!$1:$1,0)+1,FALSE)</f>
        <v>アマテラス襲来！</v>
      </c>
      <c r="F28" s="4" t="str">
        <f ca="1">VLOOKUP($D28,OFFSET([2]stages!$A$1,0,0,COUNTA([2]stages!$A:$A),MATCH(F$1,[2]stages!$2:$2,0)-MATCH($D$1,[2]stages!$2:$2,0)+1),MATCH(F$1,[2]stages!$2:$2,0)-MATCH($D$1,[2]stages!$2:$2,0)+1,FALSE)</f>
        <v>【ノーコンテニュー】アマテラス襲来</v>
      </c>
      <c r="G28" s="93">
        <v>2</v>
      </c>
      <c r="H28" s="13" t="str">
        <f t="shared" si="23"/>
        <v>41001_3-2</v>
      </c>
      <c r="I28" s="4">
        <f ca="1">VLOOKUP($H28,OFFSET(floors!$A$1,0,0,COUNTA(floors!$A:$A),MATCH(I$1,floors!$1:$1,0)-MATCH($H$1,floors!$1:$1,0)+1),MATCH(I$1,floors!$1:$1,0)-MATCH($H$1,floors!$1:$1,0)+1,FALSE)</f>
        <v>45</v>
      </c>
      <c r="J28" s="4">
        <f ca="1">VLOOKUP($H28,OFFSET(floors!$A$1,0,0,COUNTA(floors!$A:$A),MATCH(J$1,floors!$1:$1,0)-MATCH($H$1,floors!$1:$1,0)+1),MATCH(J$1,floors!$1:$1,0)-MATCH($H$1,floors!$1:$1,0)+1,FALSE)</f>
        <v>45</v>
      </c>
      <c r="K28" s="36" t="s">
        <v>53</v>
      </c>
      <c r="L28" s="94">
        <v>57</v>
      </c>
      <c r="M28" s="15" t="str">
        <f ca="1">VLOOKUP($L28,OFFSET([3]enemies!$A$1,0,0,COUNTA([3]enemies!$A:$A),MATCH(M$1,[3]enemies!$1:$1,0)-MATCH($L$1,[3]enemies!$1:$1,0)+1),MATCH(M$1,[3]enemies!$1:$1,0)-MATCH($L$1,[3]enemies!$1:$1,0)+1,FALSE)</f>
        <v>チェン・リー</v>
      </c>
      <c r="N28" s="15" t="str">
        <f ca="1">VLOOKUP($L28,OFFSET([3]enemies!$A$1,0,0,COUNTA([3]enemies!$A:$A),MATCH(N$1,[3]enemies!$1:$1,0)-MATCH($L$1,[3]enemies!$1:$1,0)+1),MATCH(N$1,[3]enemies!$1:$1,0)-MATCH($L$1,[3]enemies!$1:$1,0)+1,FALSE)</f>
        <v>red</v>
      </c>
      <c r="O28" s="15" t="str">
        <f ca="1">VLOOKUP($L28,OFFSET([4]characters!$A$1,0,0,COUNTA([4]characters!$A:$A),MATCH(O$1,[4]characters!$1:$1,0)-MATCH($L$1,[4]characters!$1:$1,0)+1),MATCH(O$1,[4]characters!$1:$1,0)-MATCH($L$1,[4]characters!$1:$1,0)+1,FALSE)</f>
        <v>Drop1N</v>
      </c>
      <c r="P28" s="15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5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80</v>
      </c>
      <c r="S28" s="23">
        <v>1.9</v>
      </c>
      <c r="T28" s="23">
        <v>1.2</v>
      </c>
      <c r="U28" s="5">
        <v>0</v>
      </c>
      <c r="V28" s="4" t="str">
        <f ca="1">VLOOKUP($W28,OFFSET(enemy_skill_sets!$B$1,0,0,COUNTA(enemy_skill_sets!$B:$B),MATCH(M$1,enemy_skill_sets!$1:$1,0)-MATCH($W$1,enemy_skill_sets!$1:$1,0)+2),MATCH(M$1,enemy_skill_sets!$1:$1,0)-MATCH($W$1,enemy_skill_sets!$1:$1,0)+2,FALSE)</f>
        <v>3ターン攻撃力超大UP</v>
      </c>
      <c r="W28" s="95">
        <v>41001004</v>
      </c>
      <c r="X28" s="6">
        <v>1</v>
      </c>
      <c r="Y28" s="6">
        <v>100</v>
      </c>
      <c r="Z28" s="6">
        <v>0</v>
      </c>
      <c r="AA28" s="109">
        <v>3</v>
      </c>
      <c r="AB28" s="22">
        <f t="shared" si="24"/>
        <v>57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チェン・リー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2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Drop1N</v>
      </c>
      <c r="AF28" s="7">
        <v>1</v>
      </c>
      <c r="AG28" s="22">
        <f t="shared" ca="1" si="25"/>
        <v>2</v>
      </c>
      <c r="AH28" s="8">
        <v>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7">
        <v>1</v>
      </c>
    </row>
    <row r="29" spans="1:40" ht="21" customHeight="1" x14ac:dyDescent="0.15">
      <c r="A29" s="14" t="str">
        <f t="shared" si="21"/>
        <v>41001_3-2/41&lt;lv80&gt;s2</v>
      </c>
      <c r="B29" s="20">
        <v>41001</v>
      </c>
      <c r="C29" s="105">
        <v>3</v>
      </c>
      <c r="D29" s="2" t="str">
        <f t="shared" si="22"/>
        <v>41001_3</v>
      </c>
      <c r="E29" s="4" t="str">
        <f ca="1">VLOOKUP($B29,OFFSET([2]quests!$A$1,0,0,COUNTA([2]quests!$A:$A),MATCH(E$1,[2]quests!$1:$1,0)-MATCH($B$1,[2]quests!$1:$1,0)+1),MATCH(E$1,[2]quests!$1:$1,0)-MATCH($B$1,[2]quests!$1:$1,0)+1,FALSE)</f>
        <v>アマテラス襲来！</v>
      </c>
      <c r="F29" s="4" t="str">
        <f ca="1">VLOOKUP($D29,OFFSET([2]stages!$A$1,0,0,COUNTA([2]stages!$A:$A),MATCH(F$1,[2]stages!$2:$2,0)-MATCH($D$1,[2]stages!$2:$2,0)+1),MATCH(F$1,[2]stages!$2:$2,0)-MATCH($D$1,[2]stages!$2:$2,0)+1,FALSE)</f>
        <v>【ノーコンテニュー】アマテラス襲来</v>
      </c>
      <c r="G29" s="93">
        <v>2</v>
      </c>
      <c r="H29" s="13" t="str">
        <f t="shared" si="23"/>
        <v>41001_3-2</v>
      </c>
      <c r="I29" s="4">
        <f ca="1">VLOOKUP($H29,OFFSET(floors!$A$1,0,0,COUNTA(floors!$A:$A),MATCH(I$1,floors!$1:$1,0)-MATCH($H$1,floors!$1:$1,0)+1),MATCH(I$1,floors!$1:$1,0)-MATCH($H$1,floors!$1:$1,0)+1,FALSE)</f>
        <v>45</v>
      </c>
      <c r="J29" s="4">
        <f ca="1">VLOOKUP($H29,OFFSET(floors!$A$1,0,0,COUNTA(floors!$A:$A),MATCH(J$1,floors!$1:$1,0)-MATCH($H$1,floors!$1:$1,0)+1),MATCH(J$1,floors!$1:$1,0)-MATCH($H$1,floors!$1:$1,0)+1,FALSE)</f>
        <v>45</v>
      </c>
      <c r="K29" s="36" t="s">
        <v>53</v>
      </c>
      <c r="L29" s="94">
        <v>41</v>
      </c>
      <c r="M29" s="15" t="str">
        <f ca="1">VLOOKUP($L29,OFFSET([3]enemies!$A$1,0,0,COUNTA([3]enemies!$A:$A),MATCH(M$1,[3]enemies!$1:$1,0)-MATCH($L$1,[3]enemies!$1:$1,0)+1),MATCH(M$1,[3]enemies!$1:$1,0)-MATCH($L$1,[3]enemies!$1:$1,0)+1,FALSE)</f>
        <v>ヒュウガ</v>
      </c>
      <c r="N29" s="15" t="str">
        <f ca="1">VLOOKUP($L29,OFFSET([3]enemies!$A$1,0,0,COUNTA([3]enemies!$A:$A),MATCH(N$1,[3]enemies!$1:$1,0)-MATCH($L$1,[3]enemies!$1:$1,0)+1),MATCH(N$1,[3]enemies!$1:$1,0)-MATCH($L$1,[3]enemies!$1:$1,0)+1,FALSE)</f>
        <v>red</v>
      </c>
      <c r="O29" s="15" t="str">
        <f ca="1">VLOOKUP($L29,OFFSET([4]characters!$A$1,0,0,COUNTA([4]characters!$A:$A),MATCH(O$1,[4]characters!$1:$1,0)-MATCH($L$1,[4]characters!$1:$1,0)+1),MATCH(O$1,[4]characters!$1:$1,0)-MATCH($L$1,[4]characters!$1:$1,0)+1,FALSE)</f>
        <v>Drop1N</v>
      </c>
      <c r="P29" s="15" t="str">
        <f ca="1">VLOOKUP($L29,OFFSET([3]enemies!$A$1,0,0,COUNTA([3]enemies!$A:$A),MATCH(P$1,[3]enemies!$1:$1,0)-MATCH($L$1,[3]enemies!$1:$1,0)+1),MATCH(P$1,[3]enemies!$1:$1,0)-MATCH($L$1,[3]enemies!$1:$1,0)+1,FALSE)</f>
        <v>dragon</v>
      </c>
      <c r="Q29" s="15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80</v>
      </c>
      <c r="S29" s="23">
        <v>1.7</v>
      </c>
      <c r="T29" s="23">
        <v>1.3</v>
      </c>
      <c r="U29" s="5">
        <v>0</v>
      </c>
      <c r="V29" s="4" t="e">
        <f ca="1">VLOOKUP($W29,OFFSET(enemy_skill_sets!$B$1,0,0,COUNTA(enemy_skill_sets!$B:$B),MATCH(M$1,enemy_skill_sets!$1:$1,0)-MATCH($W$1,enemy_skill_sets!$1:$1,0)+2),MATCH(M$1,enemy_skill_sets!$1:$1,0)-MATCH($W$1,enemy_skill_sets!$1:$1,0)+2,FALSE)</f>
        <v>#N/A</v>
      </c>
      <c r="W29" s="4">
        <f ca="1">VLOOKUP($L29,OFFSET([3]enemies!$A$1,0,0,COUNTA([3]enemies!$A:$A),MATCH(W$1,[3]enemies!$1:$1,0)-MATCH($L$1,[3]enemies!$1:$1,0)+1),MATCH(W$1,[3]enemies!$1:$1,0)-MATCH($L$1,[3]enemies!$1:$1,0)+1,FALSE)</f>
        <v>0</v>
      </c>
      <c r="X29" s="6">
        <v>1</v>
      </c>
      <c r="Y29" s="6">
        <v>100</v>
      </c>
      <c r="Z29" s="6">
        <v>0</v>
      </c>
      <c r="AA29" s="109">
        <v>2</v>
      </c>
      <c r="AB29" s="22">
        <f t="shared" si="24"/>
        <v>41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ヒュウガ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2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Drop1N</v>
      </c>
      <c r="AF29" s="7">
        <v>1</v>
      </c>
      <c r="AG29" s="22">
        <f t="shared" ca="1" si="25"/>
        <v>2</v>
      </c>
      <c r="AH29" s="8">
        <v>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67">
        <v>1</v>
      </c>
    </row>
    <row r="30" spans="1:40" ht="21" customHeight="1" x14ac:dyDescent="0.15">
      <c r="A30" s="14" t="str">
        <f t="shared" si="21"/>
        <v>41001_3-3/135&lt;lv80&gt;s2</v>
      </c>
      <c r="B30" s="20">
        <v>41001</v>
      </c>
      <c r="C30" s="105">
        <v>3</v>
      </c>
      <c r="D30" s="2" t="str">
        <f t="shared" si="22"/>
        <v>41001_3</v>
      </c>
      <c r="E30" s="4" t="str">
        <f ca="1">VLOOKUP($B30,OFFSET([2]quests!$A$1,0,0,COUNTA([2]quests!$A:$A),MATCH(E$1,[2]quests!$1:$1,0)-MATCH($B$1,[2]quests!$1:$1,0)+1),MATCH(E$1,[2]quests!$1:$1,0)-MATCH($B$1,[2]quests!$1:$1,0)+1,FALSE)</f>
        <v>アマテラス襲来！</v>
      </c>
      <c r="F30" s="4" t="str">
        <f ca="1">VLOOKUP($D30,OFFSET([2]stages!$A$1,0,0,COUNTA([2]stages!$A:$A),MATCH(F$1,[2]stages!$2:$2,0)-MATCH($D$1,[2]stages!$2:$2,0)+1),MATCH(F$1,[2]stages!$2:$2,0)-MATCH($D$1,[2]stages!$2:$2,0)+1,FALSE)</f>
        <v>【ノーコンテニュー】アマテラス襲来</v>
      </c>
      <c r="G30" s="93">
        <v>3</v>
      </c>
      <c r="H30" s="13" t="str">
        <f t="shared" si="23"/>
        <v>41001_3-3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6" t="s">
        <v>53</v>
      </c>
      <c r="L30" s="94">
        <v>135</v>
      </c>
      <c r="M30" s="15" t="str">
        <f ca="1">VLOOKUP($L30,OFFSET([3]enemies!$A$1,0,0,COUNTA([3]enemies!$A:$A),MATCH(M$1,[3]enemies!$1:$1,0)-MATCH($L$1,[3]enemies!$1:$1,0)+1),MATCH(M$1,[3]enemies!$1:$1,0)-MATCH($L$1,[3]enemies!$1:$1,0)+1,FALSE)</f>
        <v>京の炎華夕霧</v>
      </c>
      <c r="N30" s="15" t="str">
        <f ca="1">VLOOKUP($L30,OFFSET([3]enemies!$A$1,0,0,COUNTA([3]enemies!$A:$A),MATCH(N$1,[3]enemies!$1:$1,0)-MATCH($L$1,[3]enemies!$1:$1,0)+1),MATCH(N$1,[3]enemies!$1:$1,0)-MATCH($L$1,[3]enemies!$1:$1,0)+1,FALSE)</f>
        <v>red</v>
      </c>
      <c r="O30" s="15" t="str">
        <f ca="1">VLOOKUP($L30,OFFSET([4]characters!$A$1,0,0,COUNTA([4]characters!$A:$A),MATCH(O$1,[4]characters!$1:$1,0)-MATCH($L$1,[4]characters!$1:$1,0)+1),MATCH(O$1,[4]characters!$1:$1,0)-MATCH($L$1,[4]characters!$1:$1,0)+1,FALSE)</f>
        <v>PremiumW</v>
      </c>
      <c r="P30" s="15" t="str">
        <f ca="1">VLOOKUP($L30,OFFSET([3]enemies!$A$1,0,0,COUNTA([3]enemies!$A:$A),MATCH(P$1,[3]enemies!$1:$1,0)-MATCH($L$1,[3]enemies!$1:$1,0)+1),MATCH(P$1,[3]enemies!$1:$1,0)-MATCH($L$1,[3]enemies!$1:$1,0)+1,FALSE)</f>
        <v>human</v>
      </c>
      <c r="Q30" s="15">
        <f ca="1">VLOOKUP($L30,OFFSET([3]enemies!$A$1,0,0,COUNTA([3]enemies!$A:$A),MATCH(Q$1,[3]enemies!$1:$1,0)-MATCH($L$1,[3]enemies!$1:$1,0)+1),MATCH(Q$1,[3]enemies!$1:$1,0)-MATCH($L$1,[3]enemies!$1:$1,0)+1,FALSE)</f>
        <v>30</v>
      </c>
      <c r="R30" s="5">
        <v>80</v>
      </c>
      <c r="S30" s="23">
        <v>2</v>
      </c>
      <c r="T30" s="23">
        <v>1</v>
      </c>
      <c r="U30" s="5">
        <v>0</v>
      </c>
      <c r="V30" s="4" t="str">
        <f ca="1">VLOOKUP($W30,OFFSET(enemy_skill_sets!$B$1,0,0,COUNTA(enemy_skill_sets!$B:$B),MATCH(M$1,enemy_skill_sets!$1:$1,0)-MATCH($W$1,enemy_skill_sets!$1:$1,0)+2),MATCH(M$1,enemy_skill_sets!$1:$1,0)-MATCH($W$1,enemy_skill_sets!$1:$1,0)+2,FALSE)</f>
        <v>赤属性ユニットに大ダメージ&amp;1ターン暗闇状態</v>
      </c>
      <c r="W30" s="95">
        <v>41001005</v>
      </c>
      <c r="X30" s="6">
        <v>1</v>
      </c>
      <c r="Y30" s="6">
        <v>100</v>
      </c>
      <c r="Z30" s="6">
        <v>1</v>
      </c>
      <c r="AA30" s="95">
        <v>2</v>
      </c>
      <c r="AB30" s="22">
        <f t="shared" si="24"/>
        <v>135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京の炎華夕霧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4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30" s="7">
        <v>1</v>
      </c>
      <c r="AG30" s="22">
        <f t="shared" ca="1" si="25"/>
        <v>4</v>
      </c>
      <c r="AH30" s="8">
        <v>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  <c r="AN30" s="67">
        <v>1</v>
      </c>
    </row>
    <row r="31" spans="1:40" ht="21" customHeight="1" x14ac:dyDescent="0.15">
      <c r="A31" s="14" t="str">
        <f t="shared" si="21"/>
        <v>41001_3-3/370&lt;lv80&gt;s1</v>
      </c>
      <c r="B31" s="20">
        <v>41001</v>
      </c>
      <c r="C31" s="105">
        <v>3</v>
      </c>
      <c r="D31" s="2" t="str">
        <f t="shared" si="22"/>
        <v>41001_3</v>
      </c>
      <c r="E31" s="4" t="str">
        <f ca="1">VLOOKUP($B31,OFFSET([2]quests!$A$1,0,0,COUNTA([2]quests!$A:$A),MATCH(E$1,[2]quests!$1:$1,0)-MATCH($B$1,[2]quests!$1:$1,0)+1),MATCH(E$1,[2]quests!$1:$1,0)-MATCH($B$1,[2]quests!$1:$1,0)+1,FALSE)</f>
        <v>アマテラス襲来！</v>
      </c>
      <c r="F31" s="4" t="str">
        <f ca="1">VLOOKUP($D31,OFFSET([2]stages!$A$1,0,0,COUNTA([2]stages!$A:$A),MATCH(F$1,[2]stages!$2:$2,0)-MATCH($D$1,[2]stages!$2:$2,0)+1),MATCH(F$1,[2]stages!$2:$2,0)-MATCH($D$1,[2]stages!$2:$2,0)+1,FALSE)</f>
        <v>【ノーコンテニュー】アマテラス襲来</v>
      </c>
      <c r="G31" s="93">
        <v>3</v>
      </c>
      <c r="H31" s="13" t="str">
        <f t="shared" si="23"/>
        <v>41001_3-3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6" t="s">
        <v>53</v>
      </c>
      <c r="L31" s="94">
        <v>370</v>
      </c>
      <c r="M31" s="15" t="str">
        <f ca="1">VLOOKUP($L31,OFFSET([3]enemies!$A$1,0,0,COUNTA([3]enemies!$A:$A),MATCH(M$1,[3]enemies!$1:$1,0)-MATCH($L$1,[3]enemies!$1:$1,0)+1),MATCH(M$1,[3]enemies!$1:$1,0)-MATCH($L$1,[3]enemies!$1:$1,0)+1,FALSE)</f>
        <v>タイチ</v>
      </c>
      <c r="N31" s="15" t="str">
        <f ca="1">VLOOKUP($L31,OFFSET([3]enemies!$A$1,0,0,COUNTA([3]enemies!$A:$A),MATCH(N$1,[3]enemies!$1:$1,0)-MATCH($L$1,[3]enemies!$1:$1,0)+1),MATCH(N$1,[3]enemies!$1:$1,0)-MATCH($L$1,[3]enemies!$1:$1,0)+1,FALSE)</f>
        <v>red</v>
      </c>
      <c r="O31" s="15" t="str">
        <f ca="1">VLOOKUP($L31,OFFSET([4]characters!$A$1,0,0,COUNTA([4]characters!$A:$A),MATCH(O$1,[4]characters!$1:$1,0)-MATCH($L$1,[4]characters!$1:$1,0)+1),MATCH(O$1,[4]characters!$1:$1,0)-MATCH($L$1,[4]characters!$1:$1,0)+1,FALSE)</f>
        <v>Drop1S</v>
      </c>
      <c r="P31" s="15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5">
        <f ca="1">VLOOKUP($L31,OFFSET([3]enemies!$A$1,0,0,COUNTA([3]enemies!$A:$A),MATCH(Q$1,[3]enemies!$1:$1,0)-MATCH($L$1,[3]enemies!$1:$1,0)+1),MATCH(Q$1,[3]enemies!$1:$1,0)-MATCH($L$1,[3]enemies!$1:$1,0)+1,FALSE)</f>
        <v>15</v>
      </c>
      <c r="R31" s="5">
        <v>80</v>
      </c>
      <c r="S31" s="23">
        <v>2.2000000000000002</v>
      </c>
      <c r="T31" s="23">
        <v>1</v>
      </c>
      <c r="U31" s="5">
        <v>0</v>
      </c>
      <c r="V31" s="4" t="str">
        <f ca="1">VLOOKUP($W31,OFFSET(enemy_skill_sets!$B$1,0,0,COUNTA(enemy_skill_sets!$B:$B),MATCH(M$1,enemy_skill_sets!$1:$1,0)-MATCH($W$1,enemy_skill_sets!$1:$1,0)+2),MATCH(M$1,enemy_skill_sets!$1:$1,0)-MATCH($W$1,enemy_skill_sets!$1:$1,0)+2,FALSE)</f>
        <v>赤パネル吸収攻撃</v>
      </c>
      <c r="W31" s="95">
        <v>41001008</v>
      </c>
      <c r="X31" s="6">
        <v>2</v>
      </c>
      <c r="Y31" s="6">
        <v>100</v>
      </c>
      <c r="Z31" s="6">
        <v>0</v>
      </c>
      <c r="AA31" s="95">
        <v>1</v>
      </c>
      <c r="AB31" s="22">
        <f t="shared" si="24"/>
        <v>370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タイチ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2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Drop1S</v>
      </c>
      <c r="AF31" s="7">
        <v>1</v>
      </c>
      <c r="AG31" s="22">
        <f t="shared" ca="1" si="25"/>
        <v>2</v>
      </c>
      <c r="AH31" s="8">
        <v>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  <c r="AN31" s="67">
        <v>1</v>
      </c>
    </row>
    <row r="32" spans="1:40" ht="21" customHeight="1" x14ac:dyDescent="0.15">
      <c r="A32" s="14" t="str">
        <f t="shared" si="21"/>
        <v>41001_3-4/192&lt;lv80&gt;s2</v>
      </c>
      <c r="B32" s="20">
        <v>41001</v>
      </c>
      <c r="C32" s="105">
        <v>3</v>
      </c>
      <c r="D32" s="2" t="str">
        <f t="shared" si="22"/>
        <v>41001_3</v>
      </c>
      <c r="E32" s="4" t="str">
        <f ca="1">VLOOKUP($B32,OFFSET([2]quests!$A$1,0,0,COUNTA([2]quests!$A:$A),MATCH(E$1,[2]quests!$1:$1,0)-MATCH($B$1,[2]quests!$1:$1,0)+1),MATCH(E$1,[2]quests!$1:$1,0)-MATCH($B$1,[2]quests!$1:$1,0)+1,FALSE)</f>
        <v>アマテラス襲来！</v>
      </c>
      <c r="F32" s="4" t="str">
        <f ca="1">VLOOKUP($D32,OFFSET([2]stages!$A$1,0,0,COUNTA([2]stages!$A:$A),MATCH(F$1,[2]stages!$2:$2,0)-MATCH($D$1,[2]stages!$2:$2,0)+1),MATCH(F$1,[2]stages!$2:$2,0)-MATCH($D$1,[2]stages!$2:$2,0)+1,FALSE)</f>
        <v>【ノーコンテニュー】アマテラス襲来</v>
      </c>
      <c r="G32" s="93">
        <v>4</v>
      </c>
      <c r="H32" s="13" t="str">
        <f t="shared" si="23"/>
        <v>41001_3-4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6" t="s">
        <v>53</v>
      </c>
      <c r="L32" s="94">
        <v>192</v>
      </c>
      <c r="M32" s="15" t="str">
        <f ca="1">VLOOKUP($L32,OFFSET([3]enemies!$A$1,0,0,COUNTA([3]enemies!$A:$A),MATCH(M$1,[3]enemies!$1:$1,0)-MATCH($L$1,[3]enemies!$1:$1,0)+1),MATCH(M$1,[3]enemies!$1:$1,0)-MATCH($L$1,[3]enemies!$1:$1,0)+1,FALSE)</f>
        <v>荘厳なる始祖帝 卑弥呼</v>
      </c>
      <c r="N32" s="15" t="str">
        <f ca="1">VLOOKUP($L32,OFFSET([3]enemies!$A$1,0,0,COUNTA([3]enemies!$A:$A),MATCH(N$1,[3]enemies!$1:$1,0)-MATCH($L$1,[3]enemies!$1:$1,0)+1),MATCH(N$1,[3]enemies!$1:$1,0)-MATCH($L$1,[3]enemies!$1:$1,0)+1,FALSE)</f>
        <v>red</v>
      </c>
      <c r="O32" s="15" t="str">
        <f ca="1">VLOOKUP($L32,OFFSET([4]characters!$A$1,0,0,COUNTA([4]characters!$A:$A),MATCH(O$1,[4]characters!$1:$1,0)-MATCH($L$1,[4]characters!$1:$1,0)+1),MATCH(O$1,[4]characters!$1:$1,0)-MATCH($L$1,[4]characters!$1:$1,0)+1,FALSE)</f>
        <v>PremiumN</v>
      </c>
      <c r="P32" s="15" t="str">
        <f ca="1">VLOOKUP($L32,OFFSET([3]enemies!$A$1,0,0,COUNTA([3]enemies!$A:$A),MATCH(P$1,[3]enemies!$1:$1,0)-MATCH($L$1,[3]enemies!$1:$1,0)+1),MATCH(P$1,[3]enemies!$1:$1,0)-MATCH($L$1,[3]enemies!$1:$1,0)+1,FALSE)</f>
        <v>human</v>
      </c>
      <c r="Q32" s="15">
        <f ca="1">VLOOKUP($L32,OFFSET([3]enemies!$A$1,0,0,COUNTA([3]enemies!$A:$A),MATCH(Q$1,[3]enemies!$1:$1,0)-MATCH($L$1,[3]enemies!$1:$1,0)+1),MATCH(Q$1,[3]enemies!$1:$1,0)-MATCH($L$1,[3]enemies!$1:$1,0)+1,FALSE)</f>
        <v>60</v>
      </c>
      <c r="R32" s="5">
        <v>80</v>
      </c>
      <c r="S32" s="23">
        <v>1.5</v>
      </c>
      <c r="T32" s="23">
        <v>1</v>
      </c>
      <c r="U32" s="5">
        <v>0</v>
      </c>
      <c r="V32" s="4" t="str">
        <f ca="1">VLOOKUP($W32,OFFSET(enemy_skill_sets!$B$1,0,0,COUNTA(enemy_skill_sets!$B:$B),MATCH(M$1,enemy_skill_sets!$1:$1,0)-MATCH($W$1,enemy_skill_sets!$1:$1,0)+2),MATCH(M$1,enemy_skill_sets!$1:$1,0)-MATCH($W$1,enemy_skill_sets!$1:$1,0)+2,FALSE)</f>
        <v>6ターンの間攻撃力UP&amp;防御力UP</v>
      </c>
      <c r="W32" s="95">
        <v>41001009</v>
      </c>
      <c r="X32" s="6">
        <v>1</v>
      </c>
      <c r="Y32" s="6">
        <v>100</v>
      </c>
      <c r="Z32" s="6">
        <v>1</v>
      </c>
      <c r="AA32" s="109">
        <v>2</v>
      </c>
      <c r="AB32" s="22">
        <f t="shared" si="24"/>
        <v>192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荘厳なる始祖帝 卑弥呼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5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32" s="7">
        <v>1</v>
      </c>
      <c r="AG32" s="22">
        <f t="shared" ca="1" si="25"/>
        <v>5</v>
      </c>
      <c r="AH32" s="8">
        <v>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  <c r="AN32" s="67">
        <v>1</v>
      </c>
    </row>
    <row r="33" spans="1:40" ht="21" customHeight="1" x14ac:dyDescent="0.15">
      <c r="A33" s="14" t="str">
        <f t="shared" ca="1" si="21"/>
        <v>41001_3-5/279&lt;lv80&gt;s2</v>
      </c>
      <c r="B33" s="20">
        <v>41001</v>
      </c>
      <c r="C33" s="105">
        <v>3</v>
      </c>
      <c r="D33" s="2" t="str">
        <f t="shared" si="22"/>
        <v>41001_3</v>
      </c>
      <c r="E33" s="4" t="str">
        <f ca="1">VLOOKUP($B33,OFFSET([2]quests!$A$1,0,0,COUNTA([2]quests!$A:$A),MATCH(E$1,[2]quests!$1:$1,0)-MATCH($B$1,[2]quests!$1:$1,0)+1),MATCH(E$1,[2]quests!$1:$1,0)-MATCH($B$1,[2]quests!$1:$1,0)+1,FALSE)</f>
        <v>アマテラス襲来！</v>
      </c>
      <c r="F33" s="4" t="str">
        <f ca="1">VLOOKUP($D33,OFFSET([2]stages!$A$1,0,0,COUNTA([2]stages!$A:$A),MATCH(F$1,[2]stages!$2:$2,0)-MATCH($D$1,[2]stages!$2:$2,0)+1),MATCH(F$1,[2]stages!$2:$2,0)-MATCH($D$1,[2]stages!$2:$2,0)+1,FALSE)</f>
        <v>【ノーコンテニュー】アマテラス襲来</v>
      </c>
      <c r="G33" s="93">
        <v>5</v>
      </c>
      <c r="H33" s="13" t="str">
        <f t="shared" si="23"/>
        <v>41001_3-5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36">
        <v>2</v>
      </c>
      <c r="L33" s="94">
        <v>279</v>
      </c>
      <c r="M33" s="15" t="str">
        <f ca="1">VLOOKUP($L33,OFFSET([3]enemies!$A$1,0,0,COUNTA([3]enemies!$A:$A),MATCH(M$1,[3]enemies!$1:$1,0)-MATCH($L$1,[3]enemies!$1:$1,0)+1),MATCH(M$1,[3]enemies!$1:$1,0)-MATCH($L$1,[3]enemies!$1:$1,0)+1,FALSE)</f>
        <v>統空大神 アマテラス</v>
      </c>
      <c r="N33" s="15" t="str">
        <f ca="1">VLOOKUP($L33,OFFSET([3]enemies!$A$1,0,0,COUNTA([3]enemies!$A:$A),MATCH(N$1,[3]enemies!$1:$1,0)-MATCH($L$1,[3]enemies!$1:$1,0)+1),MATCH(N$1,[3]enemies!$1:$1,0)-MATCH($L$1,[3]enemies!$1:$1,0)+1,FALSE)</f>
        <v>red</v>
      </c>
      <c r="O33" s="15" t="str">
        <f ca="1">VLOOKUP($L33,OFFSET([4]characters!$A$1,0,0,COUNTA([4]characters!$A:$A),MATCH(O$1,[4]characters!$1:$1,0)-MATCH($L$1,[4]characters!$1:$1,0)+1),MATCH(O$1,[4]characters!$1:$1,0)-MATCH($L$1,[4]characters!$1:$1,0)+1,FALSE)</f>
        <v>DropWizS</v>
      </c>
      <c r="P33" s="15" t="str">
        <f ca="1">VLOOKUP($L33,OFFSET([3]enemies!$A$1,0,0,COUNTA([3]enemies!$A:$A),MATCH(P$1,[3]enemies!$1:$1,0)-MATCH($L$1,[3]enemies!$1:$1,0)+1),MATCH(P$1,[3]enemies!$1:$1,0)-MATCH($L$1,[3]enemies!$1:$1,0)+1,FALSE)</f>
        <v>god</v>
      </c>
      <c r="Q33" s="15">
        <f ca="1">VLOOKUP($L33,OFFSET([3]enemies!$A$1,0,0,COUNTA([3]enemies!$A:$A),MATCH(Q$1,[3]enemies!$1:$1,0)-MATCH($L$1,[3]enemies!$1:$1,0)+1),MATCH(Q$1,[3]enemies!$1:$1,0)-MATCH($L$1,[3]enemies!$1:$1,0)+1,FALSE)</f>
        <v>60</v>
      </c>
      <c r="R33" s="5">
        <v>80</v>
      </c>
      <c r="S33" s="23">
        <v>1.9</v>
      </c>
      <c r="T33" s="23">
        <v>1.1000000000000001</v>
      </c>
      <c r="U33" s="5">
        <v>0</v>
      </c>
      <c r="V33" s="4" t="str">
        <f ca="1">VLOOKUP($W33,OFFSET(enemy_skill_sets!$B$1,0,0,COUNTA(enemy_skill_sets!$B:$B),MATCH(M$1,enemy_skill_sets!$1:$1,0)-MATCH($W$1,enemy_skill_sets!$1:$1,0)+2),MATCH(M$1,enemy_skill_sets!$1:$1,0)-MATCH($W$1,enemy_skill_sets!$1:$1,0)+2,FALSE)</f>
        <v>種族ゴッドのユニットに大ダメージ！</v>
      </c>
      <c r="W33" s="95">
        <v>41001010</v>
      </c>
      <c r="X33" s="6">
        <v>1</v>
      </c>
      <c r="Y33" s="6">
        <v>100</v>
      </c>
      <c r="Z33" s="6">
        <v>1</v>
      </c>
      <c r="AA33" s="15">
        <f ca="1">VLOOKUP($L33,OFFSET([3]enemies!$A$1,0,0,COUNTA([3]enemies!$A:$A),MATCH(AA$1,[3]enemies!$1:$1,0)-MATCH($L$1,[3]enemies!$1:$1,0)+1),MATCH(AA$1,[3]enemies!$1:$1,0)-MATCH($L$1,[3]enemies!$1:$1,0)+1,FALSE)</f>
        <v>2</v>
      </c>
      <c r="AB33" s="96">
        <v>278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アマテラス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4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33" s="7">
        <v>1</v>
      </c>
      <c r="AG33" s="22">
        <f t="shared" ca="1" si="25"/>
        <v>4</v>
      </c>
      <c r="AH33" s="8">
        <v>100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  <c r="AN33" s="67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K30" sqref="K30"/>
    </sheetView>
  </sheetViews>
  <sheetFormatPr baseColWidth="12" defaultColWidth="13" defaultRowHeight="21" customHeight="1" outlineLevelCol="1" x14ac:dyDescent="0.15"/>
  <cols>
    <col min="1" max="1" width="17" style="17" bestFit="1" customWidth="1"/>
    <col min="2" max="2" width="10.83203125" style="3" bestFit="1" customWidth="1"/>
    <col min="3" max="3" width="10.6640625" style="3" bestFit="1" customWidth="1" collapsed="1"/>
    <col min="4" max="4" width="13" style="12" hidden="1" customWidth="1" outlineLevel="1"/>
    <col min="5" max="5" width="11.6640625" style="3" hidden="1" customWidth="1" outlineLevel="1"/>
    <col min="6" max="6" width="22.832031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55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24" t="s">
        <v>50</v>
      </c>
      <c r="V1" s="24" t="s">
        <v>52</v>
      </c>
      <c r="W1" s="26" t="s">
        <v>130</v>
      </c>
      <c r="X1" s="27" t="s">
        <v>129</v>
      </c>
      <c r="Y1" s="26" t="s">
        <v>8</v>
      </c>
    </row>
    <row r="2" spans="1:25" ht="21" customHeight="1" x14ac:dyDescent="0.15">
      <c r="A2" s="14" t="str">
        <f>B2&amp;"_"&amp;C2&amp;"-"&amp;G2&amp;"/"&amp;M2&amp;"&lt;lv"&amp;S2&amp;"&gt;sq"&amp;K2&amp;"st"&amp;L2</f>
        <v>41001_2-5/810&lt;lv80&gt;sq1st2</v>
      </c>
      <c r="B2" s="20">
        <v>41001</v>
      </c>
      <c r="C2" s="104">
        <v>2</v>
      </c>
      <c r="D2" s="2" t="str">
        <f>B2&amp;"_"&amp;C2</f>
        <v>41001_2</v>
      </c>
      <c r="E2" s="4" t="str">
        <f ca="1">VLOOKUP($B2,OFFSET([2]quests!$A$1,0,0,COUNTA([2]quests!$A:$A),MATCH(E$1,[2]quests!$1:$1,0)-MATCH($B$1,[2]quests!$1:$1,0)+1),MATCH(E$1,[2]quests!$1:$1,0)-MATCH($B$1,[2]quests!$1:$1,0)+1,FALSE)</f>
        <v>アマテラス襲来！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【ウィザード級】アマテラス襲来</v>
      </c>
      <c r="G2" s="19">
        <v>5</v>
      </c>
      <c r="H2" s="13" t="str">
        <f>B2&amp;"_"&amp;C2&amp;"-"&amp;G2</f>
        <v>41001_2-5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>
        <v>1</v>
      </c>
      <c r="L2" s="36">
        <v>2</v>
      </c>
      <c r="M2" s="18">
        <v>810</v>
      </c>
      <c r="N2" s="15" t="str">
        <f ca="1">VLOOKUP($M2,OFFSET([3]enemies!$A$1,0,0,COUNTA([3]enemies!$A:$A),MATCH(N$1,[3]enemies!$1:$1,0)-MATCH($M$1,[3]enemies!$1:$1,0)+1),MATCH(N$1,[3]enemies!$1:$1,0)-MATCH($M$1,[3]enemies!$1:$1,0)+1,FALSE)</f>
        <v>君臨大御神 アマテラス</v>
      </c>
      <c r="O2" s="15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5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5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5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3">
        <v>2.1</v>
      </c>
      <c r="U2" s="23">
        <v>0.9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神の威光で全ユニットの攻撃力を3ターンDOWN</v>
      </c>
      <c r="X2" s="95">
        <v>41001011</v>
      </c>
      <c r="Y2" s="108">
        <v>1</v>
      </c>
    </row>
    <row r="3" spans="1:25" ht="21" customHeight="1" x14ac:dyDescent="0.15">
      <c r="A3" s="14" t="str">
        <f>B3&amp;"_"&amp;C3&amp;"-"&amp;G3&amp;"/"&amp;M3&amp;"&lt;lv"&amp;S3&amp;"&gt;sq"&amp;K3&amp;"st"&amp;L3</f>
        <v>41001_2-5/810&lt;lv80&gt;sq1st3</v>
      </c>
      <c r="B3" s="20">
        <v>41001</v>
      </c>
      <c r="C3" s="104">
        <v>2</v>
      </c>
      <c r="D3" s="2" t="str">
        <f>B3&amp;"_"&amp;C3</f>
        <v>41001_2</v>
      </c>
      <c r="E3" s="4" t="str">
        <f ca="1">VLOOKUP($B3,OFFSET([2]quests!$A$1,0,0,COUNTA([2]quests!$A:$A),MATCH(E$1,[2]quests!$1:$1,0)-MATCH($B$1,[2]quests!$1:$1,0)+1),MATCH(E$1,[2]quests!$1:$1,0)-MATCH($B$1,[2]quests!$1:$1,0)+1,FALSE)</f>
        <v>アマテラス襲来！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【ウィザード級】アマテラス襲来</v>
      </c>
      <c r="G3" s="19">
        <v>5</v>
      </c>
      <c r="H3" s="13" t="str">
        <f>B3&amp;"_"&amp;C3&amp;"-"&amp;G3</f>
        <v>41001_2-5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1</v>
      </c>
      <c r="L3" s="36">
        <v>3</v>
      </c>
      <c r="M3" s="18">
        <v>810</v>
      </c>
      <c r="N3" s="15" t="str">
        <f ca="1">VLOOKUP($M3,OFFSET([3]enemies!$A$1,0,0,COUNTA([3]enemies!$A:$A),MATCH(N$1,[3]enemies!$1:$1,0)-MATCH($M$1,[3]enemies!$1:$1,0)+1),MATCH(N$1,[3]enemies!$1:$1,0)-MATCH($M$1,[3]enemies!$1:$1,0)+1,FALSE)</f>
        <v>君臨大御神 アマテラス</v>
      </c>
      <c r="O3" s="15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5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5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5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3">
        <v>2</v>
      </c>
      <c r="U3" s="23">
        <v>1.1000000000000001</v>
      </c>
      <c r="V3" s="5">
        <v>0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4ターン防御力&amp;攻撃力激烈UP＋2ターン暗闇状態</v>
      </c>
      <c r="X3" s="95">
        <v>41001012</v>
      </c>
      <c r="Y3" s="68">
        <f ca="1">VLOOKUP($M3,OFFSET([3]enemies!$A$1,0,0,COUNTA([3]enemies!$A:$A),MATCH(Y$1,[3]enemies!$1:$1,0)-MATCH($M$1,[3]enemies!$1:$1,0)+1),MATCH(Y$1,[3]enemies!$1:$1,0)-MATCH($M$1,[3]enemies!$1:$1,0)+1,FALSE)</f>
        <v>2</v>
      </c>
    </row>
    <row r="4" spans="1:25" ht="21" customHeight="1" x14ac:dyDescent="0.15">
      <c r="A4" s="14" t="str">
        <f>B4&amp;"_"&amp;C4&amp;"-"&amp;G4&amp;"/"&amp;M4&amp;"&lt;lv"&amp;S4&amp;"&gt;sq"&amp;K4&amp;"st"&amp;L4</f>
        <v>41001_3-5/810&lt;lv80&gt;sq2st2</v>
      </c>
      <c r="B4" s="20">
        <v>41001</v>
      </c>
      <c r="C4" s="106">
        <v>3</v>
      </c>
      <c r="D4" s="2" t="str">
        <f>B4&amp;"_"&amp;C4</f>
        <v>41001_3</v>
      </c>
      <c r="E4" s="4" t="str">
        <f ca="1">VLOOKUP($B4,OFFSET([2]quests!$A$1,0,0,COUNTA([2]quests!$A:$A),MATCH(E$1,[2]quests!$1:$1,0)-MATCH($B$1,[2]quests!$1:$1,0)+1),MATCH(E$1,[2]quests!$1:$1,0)-MATCH($B$1,[2]quests!$1:$1,0)+1,FALSE)</f>
        <v>アマテラス襲来！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【ノーコンテニュー】アマテラス襲来</v>
      </c>
      <c r="G4" s="19">
        <v>5</v>
      </c>
      <c r="H4" s="13" t="str">
        <f>B4&amp;"_"&amp;C4&amp;"-"&amp;G4</f>
        <v>41001_3-5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2</v>
      </c>
      <c r="L4" s="36">
        <v>2</v>
      </c>
      <c r="M4" s="18">
        <v>810</v>
      </c>
      <c r="N4" s="15" t="str">
        <f ca="1">VLOOKUP($M4,OFFSET([3]enemies!$A$1,0,0,COUNTA([3]enemies!$A:$A),MATCH(N$1,[3]enemies!$1:$1,0)-MATCH($M$1,[3]enemies!$1:$1,0)+1),MATCH(N$1,[3]enemies!$1:$1,0)-MATCH($M$1,[3]enemies!$1:$1,0)+1,FALSE)</f>
        <v>君臨大御神 アマテラス</v>
      </c>
      <c r="O4" s="15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5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5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5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3">
        <v>2.1</v>
      </c>
      <c r="U4" s="23">
        <v>0.9</v>
      </c>
      <c r="V4" s="5">
        <v>0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神の威光で全ユニットの攻撃力を3ターンDOWN</v>
      </c>
      <c r="X4" s="95">
        <v>41001011</v>
      </c>
      <c r="Y4" s="108">
        <v>1</v>
      </c>
    </row>
    <row r="5" spans="1:25" ht="21" customHeight="1" x14ac:dyDescent="0.15">
      <c r="A5" s="14" t="str">
        <f>B5&amp;"_"&amp;C5&amp;"-"&amp;G5&amp;"/"&amp;M5&amp;"&lt;lv"&amp;S5&amp;"&gt;sq"&amp;K5&amp;"st"&amp;L5</f>
        <v>41001_3-5/810&lt;lv80&gt;sq2st3</v>
      </c>
      <c r="B5" s="20">
        <v>41001</v>
      </c>
      <c r="C5" s="106">
        <v>3</v>
      </c>
      <c r="D5" s="2" t="str">
        <f>B5&amp;"_"&amp;C5</f>
        <v>41001_3</v>
      </c>
      <c r="E5" s="4" t="str">
        <f ca="1">VLOOKUP($B5,OFFSET([2]quests!$A$1,0,0,COUNTA([2]quests!$A:$A),MATCH(E$1,[2]quests!$1:$1,0)-MATCH($B$1,[2]quests!$1:$1,0)+1),MATCH(E$1,[2]quests!$1:$1,0)-MATCH($B$1,[2]quests!$1:$1,0)+1,FALSE)</f>
        <v>アマテラス襲来！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【ノーコンテニュー】アマテラス襲来</v>
      </c>
      <c r="G5" s="19">
        <v>5</v>
      </c>
      <c r="H5" s="13" t="str">
        <f>B5&amp;"_"&amp;C5&amp;"-"&amp;G5</f>
        <v>41001_3-5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>
        <v>2</v>
      </c>
      <c r="L5" s="36">
        <v>3</v>
      </c>
      <c r="M5" s="18">
        <v>810</v>
      </c>
      <c r="N5" s="15" t="str">
        <f ca="1">VLOOKUP($M5,OFFSET([3]enemies!$A$1,0,0,COUNTA([3]enemies!$A:$A),MATCH(N$1,[3]enemies!$1:$1,0)-MATCH($M$1,[3]enemies!$1:$1,0)+1),MATCH(N$1,[3]enemies!$1:$1,0)-MATCH($M$1,[3]enemies!$1:$1,0)+1,FALSE)</f>
        <v>君臨大御神 アマテラス</v>
      </c>
      <c r="O5" s="15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5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5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5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3">
        <v>2</v>
      </c>
      <c r="U5" s="23">
        <v>1.1000000000000001</v>
      </c>
      <c r="V5" s="5">
        <v>0</v>
      </c>
      <c r="W5" s="4" t="str">
        <f ca="1">VLOOKUP($X5,OFFSET(enemy_skill_sets!$B$1,0,0,COUNTA(enemy_skill_sets!$B:$B),MATCH(N$1,enemy_skill_sets!$1:$1,0)-MATCH($X$1,enemy_skill_sets!$1:$1,0)+2),MATCH(N$1,enemy_skill_sets!$1:$1,0)-MATCH($X$1,enemy_skill_sets!$1:$1,0)+2,FALSE)</f>
        <v>4ターン防御力&amp;攻撃力激烈UP＋2ターン暗闇状態</v>
      </c>
      <c r="X5" s="95">
        <v>41001012</v>
      </c>
      <c r="Y5" s="68">
        <f ca="1">VLOOKUP($M5,OFFSET([3]enemies!$A$1,0,0,COUNTA([3]enemies!$A:$A),MATCH(Y$1,[3]enemies!$1:$1,0)-MATCH($M$1,[3]enemies!$1:$1,0)+1),MATCH(Y$1,[3]enemies!$1:$1,0)-MATCH($M$1,[3]enemies!$1:$1,0)+1,FALSE)</f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6"/>
  <sheetViews>
    <sheetView showGridLines="0" zoomScale="75" zoomScaleNormal="75" zoomScalePageLayoutView="75" workbookViewId="0">
      <pane ySplit="1" topLeftCell="A2" activePane="bottomLeft" state="frozenSplit"/>
      <selection pane="bottomLeft" activeCell="C27" sqref="C27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79</v>
      </c>
      <c r="B1" s="38" t="s">
        <v>80</v>
      </c>
      <c r="C1" s="38" t="s">
        <v>81</v>
      </c>
      <c r="D1" s="38" t="s">
        <v>127</v>
      </c>
      <c r="E1" s="38" t="s">
        <v>82</v>
      </c>
      <c r="F1" s="38" t="s">
        <v>83</v>
      </c>
      <c r="G1" s="39" t="s">
        <v>133</v>
      </c>
      <c r="H1" s="39" t="s">
        <v>139</v>
      </c>
      <c r="I1" s="39" t="s">
        <v>141</v>
      </c>
      <c r="J1" s="39" t="s">
        <v>140</v>
      </c>
      <c r="K1" s="39" t="s">
        <v>142</v>
      </c>
      <c r="L1" s="39" t="s">
        <v>134</v>
      </c>
      <c r="M1" s="39" t="s">
        <v>132</v>
      </c>
      <c r="N1" s="39" t="s">
        <v>135</v>
      </c>
      <c r="O1" s="39" t="s">
        <v>143</v>
      </c>
      <c r="P1" s="39" t="s">
        <v>144</v>
      </c>
      <c r="Q1" s="39" t="s">
        <v>145</v>
      </c>
      <c r="R1" s="39" t="s">
        <v>146</v>
      </c>
      <c r="S1" s="39" t="s">
        <v>136</v>
      </c>
      <c r="T1" s="39" t="s">
        <v>137</v>
      </c>
      <c r="U1" s="39" t="s">
        <v>147</v>
      </c>
      <c r="V1" s="39" t="s">
        <v>148</v>
      </c>
      <c r="W1" s="39" t="s">
        <v>149</v>
      </c>
      <c r="X1" s="39" t="s">
        <v>150</v>
      </c>
      <c r="Y1" s="39" t="s">
        <v>138</v>
      </c>
      <c r="Z1" s="39" t="s">
        <v>76</v>
      </c>
      <c r="AA1" s="39" t="s">
        <v>77</v>
      </c>
      <c r="AB1" s="39" t="s">
        <v>78</v>
      </c>
    </row>
    <row r="2" spans="1:28" ht="21" customHeight="1" x14ac:dyDescent="0.15">
      <c r="A2" s="99">
        <v>41001001</v>
      </c>
      <c r="B2" s="45" t="s">
        <v>214</v>
      </c>
      <c r="C2" s="48">
        <v>3</v>
      </c>
      <c r="D2" s="48" t="s">
        <v>215</v>
      </c>
      <c r="E2" s="49" t="s">
        <v>221</v>
      </c>
      <c r="F2" s="49" t="s">
        <v>216</v>
      </c>
      <c r="G2" s="61" t="str">
        <f t="shared" ref="G2:G13" si="0">IFERROR(LEFT(B2,FIND("],",B2)),B2)</f>
        <v>[effect:rush, count:2, val:0.6]</v>
      </c>
      <c r="H2" s="61">
        <f t="shared" ref="H2:H13" si="1">FIND("effect:",G2)+7</f>
        <v>9</v>
      </c>
      <c r="I2" s="61">
        <f t="shared" ref="I2:I13" si="2">IFERROR(FIND(",",G2),LEN(G2))</f>
        <v>13</v>
      </c>
      <c r="J2" s="61" t="e">
        <f t="shared" ref="J2:J13" si="3">FIND("target:",G2)+7</f>
        <v>#VALUE!</v>
      </c>
      <c r="K2" s="61">
        <f t="shared" ref="K2:K13" si="4">FIND(",",G2,I2+1)</f>
        <v>22</v>
      </c>
      <c r="L2" s="61" t="str">
        <f>IFERROR(VLOOKUP(MID(G2,J2,K2-J2),[5]skilldef!$C:$D,2,FALSE),"-") &amp; " / " &amp; IFERROR(VLOOKUP(MID(G2,H2,I2-H2),[5]skilldef!$A:$B,2,FALSE),"-")</f>
        <v>- / 連続攻撃</v>
      </c>
      <c r="M2" s="61" t="str">
        <f t="shared" ref="M2:M13" si="5">IFERROR(RIGHT(B2,LEN(B2)-FIND("],",B2)-1),"none")</f>
        <v>none</v>
      </c>
      <c r="N2" s="46" t="str">
        <f t="shared" ref="N2:N4" si="6">IFERROR(LEFT(M2,FIND("],",M2)+S12),M2)</f>
        <v>none</v>
      </c>
      <c r="O2" s="61" t="e">
        <f t="shared" ref="O2:O13" si="7">FIND("effect:",N2)+7</f>
        <v>#VALUE!</v>
      </c>
      <c r="P2" s="61">
        <f t="shared" ref="P2:P13" si="8">IFERROR(FIND(",",N2),LEN(N2))</f>
        <v>4</v>
      </c>
      <c r="Q2" s="61" t="e">
        <f t="shared" ref="Q2:Q13" si="9">FIND("target:",N2)+7</f>
        <v>#VALUE!</v>
      </c>
      <c r="R2" s="61" t="e">
        <f t="shared" ref="R2:R13" si="10">FIND(",",N2,P2+1)</f>
        <v>#VALUE!</v>
      </c>
      <c r="S2" s="61" t="str">
        <f>IFERROR(VLOOKUP(MID(N2,Q2,R2-Q2),[5]skilldef!$C:$D,2,FALSE),"-") &amp; " / " &amp; IFERROR(VLOOKUP(MID(N2,O2,P2-O2),[5]skilldef!$A:$B,2,FALSE),"-")</f>
        <v>- / -</v>
      </c>
      <c r="T2" s="46" t="str">
        <f t="shared" ref="T2:T13" si="11">IFERROR(RIGHT(M2,LEN(M2)-FIND("],",M2)-1),"none")</f>
        <v>none</v>
      </c>
      <c r="U2" s="61" t="e">
        <f t="shared" ref="U2:U13" si="12">FIND("effect:",T2)+7</f>
        <v>#VALUE!</v>
      </c>
      <c r="V2" s="61">
        <f t="shared" ref="V2:V13" si="13">IFERROR(FIND(",",T2),LEN(T2))</f>
        <v>4</v>
      </c>
      <c r="W2" s="61" t="e">
        <f t="shared" ref="W2:W13" si="14">FIND("target:",T2)+7</f>
        <v>#VALUE!</v>
      </c>
      <c r="X2" s="61" t="e">
        <f t="shared" ref="X2:X13" si="15"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8"/>
      <c r="AA2" s="50"/>
      <c r="AB2" s="48"/>
    </row>
    <row r="3" spans="1:28" ht="21" customHeight="1" x14ac:dyDescent="0.15">
      <c r="A3" s="99">
        <v>41001002</v>
      </c>
      <c r="B3" s="45" t="s">
        <v>274</v>
      </c>
      <c r="C3" s="48">
        <v>3</v>
      </c>
      <c r="D3" s="48" t="s">
        <v>128</v>
      </c>
      <c r="E3" s="49" t="s">
        <v>219</v>
      </c>
      <c r="F3" s="49" t="s">
        <v>273</v>
      </c>
      <c r="G3" s="61" t="str">
        <f t="shared" si="0"/>
        <v>[effect:critical, val:0.5]</v>
      </c>
      <c r="H3" s="61">
        <f t="shared" si="1"/>
        <v>9</v>
      </c>
      <c r="I3" s="61">
        <f t="shared" si="2"/>
        <v>17</v>
      </c>
      <c r="J3" s="61" t="e">
        <f t="shared" si="3"/>
        <v>#VALUE!</v>
      </c>
      <c r="K3" s="61" t="e">
        <f t="shared" si="4"/>
        <v>#VALUE!</v>
      </c>
      <c r="L3" s="61" t="str">
        <f>IFERROR(VLOOKUP(MID(G3,J3,K3-J3),[5]skilldef!$C:$D,2,FALSE),"-") &amp; " / " &amp; IFERROR(VLOOKUP(MID(G3,H3,I3-H3),[5]skilldef!$A:$B,2,FALSE),"-")</f>
        <v>- / 大攻撃</v>
      </c>
      <c r="M3" s="61" t="str">
        <f t="shared" si="5"/>
        <v>[effect:hungup, target:unit_one, turn:3, rate:1.0, animation:enemy_hungup]</v>
      </c>
      <c r="N3" s="46" t="str">
        <f t="shared" si="6"/>
        <v>[effect:hungup, target:unit_one, turn:3, rate:1.0, animation:enemy_hungup]</v>
      </c>
      <c r="O3" s="61">
        <f t="shared" si="7"/>
        <v>9</v>
      </c>
      <c r="P3" s="61">
        <f t="shared" si="8"/>
        <v>15</v>
      </c>
      <c r="Q3" s="61">
        <f t="shared" si="9"/>
        <v>24</v>
      </c>
      <c r="R3" s="61">
        <f t="shared" si="10"/>
        <v>32</v>
      </c>
      <c r="S3" s="61" t="str">
        <f>IFERROR(VLOOKUP(MID(N3,Q3,R3-Q3),[5]skilldef!$C:$D,2,FALSE),"-") &amp; " / " &amp; IFERROR(VLOOKUP(MID(N3,O3,P3-O3),[5]skilldef!$A:$B,2,FALSE),"-")</f>
        <v>味方単体に / ハングアップ</v>
      </c>
      <c r="T3" s="46" t="str">
        <f t="shared" si="11"/>
        <v>none</v>
      </c>
      <c r="U3" s="61" t="e">
        <f t="shared" si="12"/>
        <v>#VALUE!</v>
      </c>
      <c r="V3" s="61">
        <f t="shared" si="13"/>
        <v>4</v>
      </c>
      <c r="W3" s="61" t="e">
        <f t="shared" si="14"/>
        <v>#VALUE!</v>
      </c>
      <c r="X3" s="61" t="e">
        <f t="shared" si="15"/>
        <v>#VALUE!</v>
      </c>
      <c r="Y3" s="61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</row>
    <row r="4" spans="1:28" ht="21" customHeight="1" x14ac:dyDescent="0.15">
      <c r="A4" s="99">
        <v>41001003</v>
      </c>
      <c r="B4" s="45" t="s">
        <v>218</v>
      </c>
      <c r="C4" s="48">
        <v>3</v>
      </c>
      <c r="D4" s="48" t="s">
        <v>128</v>
      </c>
      <c r="E4" s="49" t="s">
        <v>222</v>
      </c>
      <c r="F4" s="49" t="s">
        <v>220</v>
      </c>
      <c r="G4" s="61" t="str">
        <f t="shared" si="0"/>
        <v>[effect:charge, status:attack, val:3.0, animation:enemy_charge]</v>
      </c>
      <c r="H4" s="61">
        <f t="shared" si="1"/>
        <v>9</v>
      </c>
      <c r="I4" s="61">
        <f t="shared" si="2"/>
        <v>15</v>
      </c>
      <c r="J4" s="61" t="e">
        <f t="shared" si="3"/>
        <v>#VALUE!</v>
      </c>
      <c r="K4" s="61">
        <f t="shared" si="4"/>
        <v>30</v>
      </c>
      <c r="L4" s="61" t="str">
        <f>IFERROR(VLOOKUP(MID(G4,J4,K4-J4),[5]skilldef!$C:$D,2,FALSE),"-") &amp; " / " &amp; IFERROR(VLOOKUP(MID(G4,H4,I4-H4),[5]skilldef!$A:$B,2,FALSE),"-")</f>
        <v>- / 溜め</v>
      </c>
      <c r="M4" s="61" t="str">
        <f t="shared" si="5"/>
        <v>none</v>
      </c>
      <c r="N4" s="46" t="str">
        <f t="shared" si="6"/>
        <v>none</v>
      </c>
      <c r="O4" s="61" t="e">
        <f t="shared" si="7"/>
        <v>#VALUE!</v>
      </c>
      <c r="P4" s="61">
        <f t="shared" si="8"/>
        <v>4</v>
      </c>
      <c r="Q4" s="61" t="e">
        <f t="shared" si="9"/>
        <v>#VALUE!</v>
      </c>
      <c r="R4" s="61" t="e">
        <f t="shared" si="10"/>
        <v>#VALUE!</v>
      </c>
      <c r="S4" s="61" t="str">
        <f>IFERROR(VLOOKUP(MID(N4,Q4,R4-Q4),[5]skilldef!$C:$D,2,FALSE),"-") &amp; " / " &amp; IFERROR(VLOOKUP(MID(N4,O4,P4-O4),[5]skilldef!$A:$B,2,FALSE),"-")</f>
        <v>- / -</v>
      </c>
      <c r="T4" s="46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</row>
    <row r="5" spans="1:28" ht="21" customHeight="1" x14ac:dyDescent="0.15">
      <c r="A5" s="99">
        <v>41001004</v>
      </c>
      <c r="B5" s="45" t="s">
        <v>259</v>
      </c>
      <c r="C5" s="48">
        <v>3</v>
      </c>
      <c r="D5" s="48" t="s">
        <v>128</v>
      </c>
      <c r="E5" s="49" t="s">
        <v>223</v>
      </c>
      <c r="F5" s="49" t="s">
        <v>247</v>
      </c>
      <c r="G5" s="61" t="str">
        <f t="shared" si="0"/>
        <v>[effect:enhance_enemy, target:enemy_all, turn:3, status:attack, val:1.2, animation:enemy_enhance_enemy]</v>
      </c>
      <c r="H5" s="61">
        <f t="shared" si="1"/>
        <v>9</v>
      </c>
      <c r="I5" s="61">
        <f t="shared" si="2"/>
        <v>22</v>
      </c>
      <c r="J5" s="61">
        <f t="shared" si="3"/>
        <v>31</v>
      </c>
      <c r="K5" s="61">
        <f t="shared" si="4"/>
        <v>40</v>
      </c>
      <c r="L5" s="61" t="str">
        <f>IFERROR(VLOOKUP(MID(G5,J5,K5-J5),[5]skilldef!$C:$D,2,FALSE),"-") &amp; " / " &amp; IFERROR(VLOOKUP(MID(G5,H5,I5-H5),[5]skilldef!$A:$B,2,FALSE),"-")</f>
        <v>敵全体に / ステータス強化</v>
      </c>
      <c r="M5" s="61" t="str">
        <f t="shared" si="5"/>
        <v>none</v>
      </c>
      <c r="N5" s="46" t="str">
        <f>IFERROR(LEFT(M5,FIND("],",M5)+#REF!),M5)</f>
        <v>none</v>
      </c>
      <c r="O5" s="61" t="e">
        <f t="shared" si="7"/>
        <v>#VALUE!</v>
      </c>
      <c r="P5" s="61">
        <f t="shared" si="8"/>
        <v>4</v>
      </c>
      <c r="Q5" s="61" t="e">
        <f t="shared" si="9"/>
        <v>#VALUE!</v>
      </c>
      <c r="R5" s="61" t="e">
        <f t="shared" si="10"/>
        <v>#VALUE!</v>
      </c>
      <c r="S5" s="61" t="str">
        <f>IFERROR(VLOOKUP(MID(N5,Q5,R5-Q5),[5]skilldef!$C:$D,2,FALSE),"-") &amp; " / " &amp; IFERROR(VLOOKUP(MID(N5,O5,P5-O5),[5]skilldef!$A:$B,2,FALSE),"-")</f>
        <v>- / -</v>
      </c>
      <c r="T5" s="46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IFERROR(VLOOKUP(MID(T5,W5,X5-W5),[5]skilldef!$C:$D,2,FALSE),"-") &amp; " / " &amp; IFERROR(VLOOKUP(MID(T5,U5,V5-U5),[5]skilldef!$A:$B,2,FALSE),"-")</f>
        <v>- / -</v>
      </c>
      <c r="Z5" s="48"/>
      <c r="AA5" s="50"/>
      <c r="AB5" s="48"/>
    </row>
    <row r="6" spans="1:28" ht="21" customHeight="1" x14ac:dyDescent="0.15">
      <c r="A6" s="99">
        <v>41001005</v>
      </c>
      <c r="B6" s="45" t="s">
        <v>275</v>
      </c>
      <c r="C6" s="48">
        <v>3</v>
      </c>
      <c r="D6" s="48" t="s">
        <v>128</v>
      </c>
      <c r="E6" s="49" t="s">
        <v>226</v>
      </c>
      <c r="F6" s="49" t="s">
        <v>276</v>
      </c>
      <c r="G6" s="61" t="str">
        <f t="shared" si="0"/>
        <v>[effect:damage_anti_color, target:unit_one, color:red, val1:2.0, val2:1.0]</v>
      </c>
      <c r="H6" s="61">
        <f t="shared" si="1"/>
        <v>9</v>
      </c>
      <c r="I6" s="61">
        <f t="shared" si="2"/>
        <v>26</v>
      </c>
      <c r="J6" s="61">
        <f t="shared" si="3"/>
        <v>35</v>
      </c>
      <c r="K6" s="61">
        <f t="shared" si="4"/>
        <v>43</v>
      </c>
      <c r="L6" s="61" t="str">
        <f>IFERROR(VLOOKUP(MID(G6,J6,K6-J6),[5]skilldef!$C:$D,2,FALSE),"-") &amp; " / " &amp; IFERROR(VLOOKUP(MID(G6,H6,I6-H6),[5]skilldef!$A:$B,2,FALSE),"-")</f>
        <v>味方単体に / 属性キラー</v>
      </c>
      <c r="M6" s="61" t="str">
        <f t="shared" si="5"/>
        <v>[effect:dark, target:unit_all, turn:1, animation:enemy_dark]</v>
      </c>
      <c r="N6" s="46" t="str">
        <f>IFERROR(LEFT(M6,FIND("],",M6)+S15),M6)</f>
        <v>[effect:dark, target:unit_all, turn:1, animation:enemy_dark]</v>
      </c>
      <c r="O6" s="61">
        <f t="shared" si="7"/>
        <v>9</v>
      </c>
      <c r="P6" s="61">
        <f t="shared" si="8"/>
        <v>13</v>
      </c>
      <c r="Q6" s="61">
        <f t="shared" si="9"/>
        <v>22</v>
      </c>
      <c r="R6" s="61">
        <f t="shared" si="10"/>
        <v>30</v>
      </c>
      <c r="S6" s="61" t="str">
        <f>IFERROR(VLOOKUP(MID(N6,Q6,R6-Q6),[5]skilldef!$C:$D,2,FALSE),"-") &amp; " / " &amp; IFERROR(VLOOKUP(MID(N6,O6,P6-O6),[5]skilldef!$A:$B,2,FALSE),"-")</f>
        <v>味方全体に / 暗黒</v>
      </c>
      <c r="T6" s="46" t="str">
        <f t="shared" si="11"/>
        <v>none</v>
      </c>
      <c r="U6" s="61" t="e">
        <f t="shared" si="12"/>
        <v>#VALUE!</v>
      </c>
      <c r="V6" s="61">
        <f t="shared" si="13"/>
        <v>4</v>
      </c>
      <c r="W6" s="61" t="e">
        <f t="shared" si="14"/>
        <v>#VALUE!</v>
      </c>
      <c r="X6" s="61" t="e">
        <f t="shared" si="15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8"/>
      <c r="AA6" s="50"/>
      <c r="AB6" s="48"/>
    </row>
    <row r="7" spans="1:28" ht="21" customHeight="1" x14ac:dyDescent="0.15">
      <c r="A7" s="99">
        <v>41001006</v>
      </c>
      <c r="B7" s="45" t="s">
        <v>306</v>
      </c>
      <c r="C7" s="48">
        <v>3</v>
      </c>
      <c r="D7" s="48" t="s">
        <v>128</v>
      </c>
      <c r="E7" s="49" t="s">
        <v>224</v>
      </c>
      <c r="F7" s="49" t="s">
        <v>277</v>
      </c>
      <c r="G7" s="61" t="str">
        <f t="shared" si="0"/>
        <v>[effect:damage_anti_color, target:unit_one, color:yellow, val1:2.0, val2:1.0]</v>
      </c>
      <c r="H7" s="61">
        <f t="shared" si="1"/>
        <v>9</v>
      </c>
      <c r="I7" s="61">
        <f t="shared" si="2"/>
        <v>26</v>
      </c>
      <c r="J7" s="61">
        <f t="shared" si="3"/>
        <v>35</v>
      </c>
      <c r="K7" s="61">
        <f t="shared" si="4"/>
        <v>43</v>
      </c>
      <c r="L7" s="61" t="str">
        <f>IFERROR(VLOOKUP(MID(G7,J7,K7-J7),[5]skilldef!$C:$D,2,FALSE),"-") &amp; " / " &amp; IFERROR(VLOOKUP(MID(G7,H7,I7-H7),[5]skilldef!$A:$B,2,FALSE),"-")</f>
        <v>味方単体に / 属性キラー</v>
      </c>
      <c r="M7" s="61" t="str">
        <f t="shared" si="5"/>
        <v>[effect:heal, target:myself, val:0.07, animation:enemy_heal]</v>
      </c>
      <c r="N7" s="46" t="str">
        <f>IFERROR(LEFT(M7,FIND("],",M7)+#REF!),M7)</f>
        <v>[effect:heal, target:myself, val:0.07, animation:enemy_heal]</v>
      </c>
      <c r="O7" s="61">
        <f t="shared" si="7"/>
        <v>9</v>
      </c>
      <c r="P7" s="61">
        <f t="shared" si="8"/>
        <v>13</v>
      </c>
      <c r="Q7" s="61">
        <f t="shared" si="9"/>
        <v>22</v>
      </c>
      <c r="R7" s="61">
        <f t="shared" si="10"/>
        <v>28</v>
      </c>
      <c r="S7" s="61" t="str">
        <f>IFERROR(VLOOKUP(MID(N7,Q7,R7-Q7),[5]skilldef!$C:$D,2,FALSE),"-") &amp; " / " &amp; IFERROR(VLOOKUP(MID(N7,O7,P7-O7),[5]skilldef!$A:$B,2,FALSE),"-")</f>
        <v>自分自身に / 回復</v>
      </c>
      <c r="T7" s="46" t="str">
        <f t="shared" si="11"/>
        <v>none</v>
      </c>
      <c r="U7" s="61" t="e">
        <f t="shared" si="12"/>
        <v>#VALUE!</v>
      </c>
      <c r="V7" s="61">
        <f t="shared" si="13"/>
        <v>4</v>
      </c>
      <c r="W7" s="61" t="e">
        <f t="shared" si="14"/>
        <v>#VALUE!</v>
      </c>
      <c r="X7" s="61" t="e">
        <f t="shared" si="15"/>
        <v>#VALUE!</v>
      </c>
      <c r="Y7" s="61" t="str">
        <f>IFERROR(VLOOKUP(MID(T7,W7,X7-W7),[5]skilldef!$C:$D,2,FALSE),"-") &amp; " / " &amp; IFERROR(VLOOKUP(MID(T7,U7,V7-U7),[5]skilldef!$A:$B,2,FALSE),"-")</f>
        <v>- / -</v>
      </c>
      <c r="Z7" s="48"/>
      <c r="AA7" s="50"/>
      <c r="AB7" s="48"/>
    </row>
    <row r="8" spans="1:28" ht="21" customHeight="1" x14ac:dyDescent="0.15">
      <c r="A8" s="99">
        <v>41001007</v>
      </c>
      <c r="B8" s="45" t="s">
        <v>278</v>
      </c>
      <c r="C8" s="48">
        <v>3</v>
      </c>
      <c r="D8" s="48" t="s">
        <v>128</v>
      </c>
      <c r="E8" s="49" t="s">
        <v>225</v>
      </c>
      <c r="F8" s="49" t="s">
        <v>279</v>
      </c>
      <c r="G8" s="61" t="str">
        <f t="shared" si="0"/>
        <v>[effect:damage_anti_color, target:unit_one, color:green, val1:2.0, val2:1.0]</v>
      </c>
      <c r="H8" s="61">
        <f t="shared" si="1"/>
        <v>9</v>
      </c>
      <c r="I8" s="61">
        <f t="shared" si="2"/>
        <v>26</v>
      </c>
      <c r="J8" s="61">
        <f t="shared" si="3"/>
        <v>35</v>
      </c>
      <c r="K8" s="61">
        <f t="shared" si="4"/>
        <v>43</v>
      </c>
      <c r="L8" s="61" t="str">
        <f>IFERROR(VLOOKUP(MID(G8,J8,K8-J8),[5]skilldef!$C:$D,2,FALSE),"-") &amp; " / " &amp; IFERROR(VLOOKUP(MID(G8,H8,I8-H8),[5]skilldef!$A:$B,2,FALSE),"-")</f>
        <v>味方単体に / 属性キラー</v>
      </c>
      <c r="M8" s="61" t="str">
        <f t="shared" si="5"/>
        <v>[effect:freq_turn, target:myself, turn:1, val:1, animation:enemy_freq_turn]</v>
      </c>
      <c r="N8" s="46" t="str">
        <f t="shared" ref="N8:N13" si="16">IFERROR(LEFT(M8,FIND("],",M8)+S19),M8)</f>
        <v>[effect:freq_turn, target:myself, turn:1, val:1, animation:enemy_freq_turn]</v>
      </c>
      <c r="O8" s="61">
        <f t="shared" si="7"/>
        <v>9</v>
      </c>
      <c r="P8" s="61">
        <f t="shared" si="8"/>
        <v>18</v>
      </c>
      <c r="Q8" s="61">
        <f t="shared" si="9"/>
        <v>27</v>
      </c>
      <c r="R8" s="61">
        <f t="shared" si="10"/>
        <v>33</v>
      </c>
      <c r="S8" s="61" t="str">
        <f>IFERROR(VLOOKUP(MID(N8,Q8,R8-Q8),[5]skilldef!$C:$D,2,FALSE),"-") &amp; " / " &amp; IFERROR(VLOOKUP(MID(N8,O8,P8-O8),[5]skilldef!$A:$B,2,FALSE),"-")</f>
        <v>自分自身に / 攻撃頻度がUP</v>
      </c>
      <c r="T8" s="46" t="str">
        <f t="shared" si="11"/>
        <v>none</v>
      </c>
      <c r="U8" s="61" t="e">
        <f t="shared" si="12"/>
        <v>#VALUE!</v>
      </c>
      <c r="V8" s="61">
        <f t="shared" si="13"/>
        <v>4</v>
      </c>
      <c r="W8" s="61" t="e">
        <f t="shared" si="14"/>
        <v>#VALUE!</v>
      </c>
      <c r="X8" s="61" t="e">
        <f t="shared" si="15"/>
        <v>#VALUE!</v>
      </c>
      <c r="Y8" s="61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</row>
    <row r="9" spans="1:28" ht="21" customHeight="1" x14ac:dyDescent="0.15">
      <c r="A9" s="99">
        <v>41001008</v>
      </c>
      <c r="B9" s="45" t="s">
        <v>229</v>
      </c>
      <c r="C9" s="48">
        <v>3</v>
      </c>
      <c r="D9" s="48" t="s">
        <v>128</v>
      </c>
      <c r="E9" s="49" t="s">
        <v>227</v>
      </c>
      <c r="F9" s="49" t="s">
        <v>256</v>
      </c>
      <c r="G9" s="61" t="str">
        <f t="shared" si="0"/>
        <v>[effect:virus, turn:-1, rate:1.0, val:0.22, animation:enemy_virus]</v>
      </c>
      <c r="H9" s="61">
        <f t="shared" si="1"/>
        <v>9</v>
      </c>
      <c r="I9" s="61">
        <f t="shared" si="2"/>
        <v>14</v>
      </c>
      <c r="J9" s="61" t="e">
        <f t="shared" si="3"/>
        <v>#VALUE!</v>
      </c>
      <c r="K9" s="61">
        <f t="shared" si="4"/>
        <v>23</v>
      </c>
      <c r="L9" s="61" t="str">
        <f>IFERROR(VLOOKUP(MID(G9,J9,K9-J9),[5]skilldef!$C:$D,2,FALSE),"-") &amp; " / " &amp; IFERROR(VLOOKUP(MID(G9,H9,I9-H9),[5]skilldef!$A:$B,2,FALSE),"-")</f>
        <v>- / ウィルス</v>
      </c>
      <c r="M9" s="61" t="str">
        <f t="shared" si="5"/>
        <v>none</v>
      </c>
      <c r="N9" s="46" t="str">
        <f t="shared" si="16"/>
        <v>none</v>
      </c>
      <c r="O9" s="61" t="e">
        <f t="shared" si="7"/>
        <v>#VALUE!</v>
      </c>
      <c r="P9" s="61">
        <f t="shared" si="8"/>
        <v>4</v>
      </c>
      <c r="Q9" s="61" t="e">
        <f t="shared" si="9"/>
        <v>#VALUE!</v>
      </c>
      <c r="R9" s="61" t="e">
        <f t="shared" si="10"/>
        <v>#VALUE!</v>
      </c>
      <c r="S9" s="61" t="str">
        <f>IFERROR(VLOOKUP(MID(N9,Q9,R9-Q9),[5]skilldef!$C:$D,2,FALSE),"-") &amp; " / " &amp; IFERROR(VLOOKUP(MID(N9,O9,P9-O9),[5]skilldef!$A:$B,2,FALSE),"-")</f>
        <v>- / -</v>
      </c>
      <c r="T9" s="46" t="str">
        <f t="shared" si="11"/>
        <v>none</v>
      </c>
      <c r="U9" s="61" t="e">
        <f t="shared" si="12"/>
        <v>#VALUE!</v>
      </c>
      <c r="V9" s="61">
        <f t="shared" si="13"/>
        <v>4</v>
      </c>
      <c r="W9" s="61" t="e">
        <f t="shared" si="14"/>
        <v>#VALUE!</v>
      </c>
      <c r="X9" s="61" t="e">
        <f t="shared" si="15"/>
        <v>#VALUE!</v>
      </c>
      <c r="Y9" s="61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</row>
    <row r="10" spans="1:28" ht="21" customHeight="1" x14ac:dyDescent="0.15">
      <c r="A10" s="99">
        <v>41001009</v>
      </c>
      <c r="B10" s="45" t="s">
        <v>257</v>
      </c>
      <c r="C10" s="48">
        <v>3</v>
      </c>
      <c r="D10" s="48" t="s">
        <v>128</v>
      </c>
      <c r="E10" s="49" t="s">
        <v>228</v>
      </c>
      <c r="F10" s="49" t="s">
        <v>255</v>
      </c>
      <c r="G10" s="61" t="str">
        <f t="shared" si="0"/>
        <v>[effect:virus, turn:5, rate:1.0, val:0.33, animation:enemy_virus]</v>
      </c>
      <c r="H10" s="61">
        <f t="shared" si="1"/>
        <v>9</v>
      </c>
      <c r="I10" s="61">
        <f t="shared" si="2"/>
        <v>14</v>
      </c>
      <c r="J10" s="61" t="e">
        <f t="shared" si="3"/>
        <v>#VALUE!</v>
      </c>
      <c r="K10" s="61">
        <f t="shared" si="4"/>
        <v>22</v>
      </c>
      <c r="L10" s="61" t="str">
        <f>IFERROR(VLOOKUP(MID(G10,J10,K10-J10),[5]skilldef!$C:$D,2,FALSE),"-") &amp; " / " &amp; IFERROR(VLOOKUP(MID(G10,H10,I10-H10),[5]skilldef!$A:$B,2,FALSE),"-")</f>
        <v>- / ウィルス</v>
      </c>
      <c r="M10" s="61" t="str">
        <f t="shared" si="5"/>
        <v>none</v>
      </c>
      <c r="N10" s="46" t="str">
        <f t="shared" si="16"/>
        <v>none</v>
      </c>
      <c r="O10" s="61" t="e">
        <f t="shared" si="7"/>
        <v>#VALUE!</v>
      </c>
      <c r="P10" s="61">
        <f t="shared" si="8"/>
        <v>4</v>
      </c>
      <c r="Q10" s="61" t="e">
        <f t="shared" si="9"/>
        <v>#VALUE!</v>
      </c>
      <c r="R10" s="61" t="e">
        <f t="shared" si="10"/>
        <v>#VALUE!</v>
      </c>
      <c r="S10" s="61" t="str">
        <f>IFERROR(VLOOKUP(MID(N10,Q10,R10-Q10),[5]skilldef!$C:$D,2,FALSE),"-") &amp; " / " &amp; IFERROR(VLOOKUP(MID(N10,O10,P10-O10),[5]skilldef!$A:$B,2,FALSE),"-")</f>
        <v>- / -</v>
      </c>
      <c r="T10" s="46" t="str">
        <f t="shared" si="11"/>
        <v>none</v>
      </c>
      <c r="U10" s="61" t="e">
        <f t="shared" si="12"/>
        <v>#VALUE!</v>
      </c>
      <c r="V10" s="61">
        <f t="shared" si="13"/>
        <v>4</v>
      </c>
      <c r="W10" s="61" t="e">
        <f t="shared" si="14"/>
        <v>#VALUE!</v>
      </c>
      <c r="X10" s="61" t="e">
        <f t="shared" si="15"/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8"/>
      <c r="AA10" s="50"/>
      <c r="AB10" s="48"/>
    </row>
    <row r="11" spans="1:28" ht="21" customHeight="1" x14ac:dyDescent="0.15">
      <c r="A11" s="99">
        <v>41001010</v>
      </c>
      <c r="B11" s="45" t="s">
        <v>231</v>
      </c>
      <c r="C11" s="48">
        <v>3</v>
      </c>
      <c r="D11" s="48" t="s">
        <v>128</v>
      </c>
      <c r="E11" s="49" t="s">
        <v>232</v>
      </c>
      <c r="F11" s="49" t="s">
        <v>238</v>
      </c>
      <c r="G11" s="61" t="str">
        <f t="shared" si="0"/>
        <v>[effect:degrade_unit, target:unit_all, turn:-1, status:heal, val:1.0, calc:mul, animation:degrade_unit_all_heal]</v>
      </c>
      <c r="H11" s="61">
        <f t="shared" si="1"/>
        <v>9</v>
      </c>
      <c r="I11" s="61">
        <f t="shared" si="2"/>
        <v>21</v>
      </c>
      <c r="J11" s="61">
        <f t="shared" si="3"/>
        <v>30</v>
      </c>
      <c r="K11" s="61">
        <f t="shared" si="4"/>
        <v>38</v>
      </c>
      <c r="L11" s="61" t="str">
        <f>IFERROR(VLOOKUP(MID(G11,J11,K11-J11),[5]skilldef!$C:$D,2,FALSE),"-") &amp; " / " &amp; IFERROR(VLOOKUP(MID(G11,H11,I11-H11),[5]skilldef!$A:$B,2,FALSE),"-")</f>
        <v>味方全体に / ステータスDOWN</v>
      </c>
      <c r="M11" s="61" t="str">
        <f t="shared" si="5"/>
        <v>none</v>
      </c>
      <c r="N11" s="46" t="str">
        <f t="shared" si="16"/>
        <v>none</v>
      </c>
      <c r="O11" s="61" t="e">
        <f t="shared" si="7"/>
        <v>#VALUE!</v>
      </c>
      <c r="P11" s="61">
        <f t="shared" si="8"/>
        <v>4</v>
      </c>
      <c r="Q11" s="61" t="e">
        <f t="shared" si="9"/>
        <v>#VALUE!</v>
      </c>
      <c r="R11" s="61" t="e">
        <f t="shared" si="10"/>
        <v>#VALUE!</v>
      </c>
      <c r="S11" s="61" t="str">
        <f>IFERROR(VLOOKUP(MID(N11,Q11,R11-Q11),[5]skilldef!$C:$D,2,FALSE),"-") &amp; " / " &amp; IFERROR(VLOOKUP(MID(N11,O11,P11-O11),[5]skilldef!$A:$B,2,FALSE),"-")</f>
        <v>- / -</v>
      </c>
      <c r="T11" s="46" t="str">
        <f t="shared" si="11"/>
        <v>none</v>
      </c>
      <c r="U11" s="61" t="e">
        <f t="shared" si="12"/>
        <v>#VALUE!</v>
      </c>
      <c r="V11" s="61">
        <f t="shared" si="13"/>
        <v>4</v>
      </c>
      <c r="W11" s="61" t="e">
        <f t="shared" si="14"/>
        <v>#VALUE!</v>
      </c>
      <c r="X11" s="61" t="e">
        <f t="shared" si="15"/>
        <v>#VALUE!</v>
      </c>
      <c r="Y11" s="61" t="str">
        <f>IFERROR(VLOOKUP(MID(T11,W11,X11-W11),[5]skilldef!$C:$D,2,FALSE),"-") &amp; " / " &amp; IFERROR(VLOOKUP(MID(T11,U11,V11-U11),[5]skilldef!$A:$B,2,FALSE),"-")</f>
        <v>- / -</v>
      </c>
      <c r="Z11" s="48"/>
      <c r="AA11" s="50"/>
      <c r="AB11" s="48"/>
    </row>
    <row r="12" spans="1:28" ht="21" customHeight="1" x14ac:dyDescent="0.15">
      <c r="A12" s="99">
        <v>41001011</v>
      </c>
      <c r="B12" s="45" t="s">
        <v>234</v>
      </c>
      <c r="C12" s="48">
        <v>3</v>
      </c>
      <c r="D12" s="48" t="s">
        <v>128</v>
      </c>
      <c r="E12" s="49" t="s">
        <v>233</v>
      </c>
      <c r="F12" s="49" t="s">
        <v>254</v>
      </c>
      <c r="G12" s="61" t="str">
        <f t="shared" si="0"/>
        <v>[effect:damage_anti_tribe, target:unit_one, tribe:god, val1:3.0, val2:1.0]</v>
      </c>
      <c r="H12" s="61">
        <f t="shared" si="1"/>
        <v>9</v>
      </c>
      <c r="I12" s="61">
        <f t="shared" si="2"/>
        <v>26</v>
      </c>
      <c r="J12" s="61">
        <f t="shared" si="3"/>
        <v>35</v>
      </c>
      <c r="K12" s="61">
        <f t="shared" si="4"/>
        <v>43</v>
      </c>
      <c r="L12" s="61" t="str">
        <f>IFERROR(VLOOKUP(MID(G12,J12,K12-J12),[5]skilldef!$C:$D,2,FALSE),"-") &amp; " / " &amp; IFERROR(VLOOKUP(MID(G12,H12,I12-H12),[5]skilldef!$A:$B,2,FALSE),"-")</f>
        <v>味方単体に / 種族キラー</v>
      </c>
      <c r="M12" s="61" t="str">
        <f t="shared" si="5"/>
        <v>none</v>
      </c>
      <c r="N12" s="46" t="str">
        <f t="shared" si="16"/>
        <v>none</v>
      </c>
      <c r="O12" s="61" t="e">
        <f t="shared" si="7"/>
        <v>#VALUE!</v>
      </c>
      <c r="P12" s="61">
        <f t="shared" si="8"/>
        <v>4</v>
      </c>
      <c r="Q12" s="61" t="e">
        <f t="shared" si="9"/>
        <v>#VALUE!</v>
      </c>
      <c r="R12" s="61" t="e">
        <f t="shared" si="10"/>
        <v>#VALUE!</v>
      </c>
      <c r="S12" s="61" t="str">
        <f>IFERROR(VLOOKUP(MID(N12,Q12,R12-Q12),[5]skilldef!$C:$D,2,FALSE),"-") &amp; " / " &amp; IFERROR(VLOOKUP(MID(N12,O12,P12-O12),[5]skilldef!$A:$B,2,FALSE),"-")</f>
        <v>- / -</v>
      </c>
      <c r="T12" s="46" t="str">
        <f t="shared" si="11"/>
        <v>none</v>
      </c>
      <c r="U12" s="61" t="e">
        <f t="shared" si="12"/>
        <v>#VALUE!</v>
      </c>
      <c r="V12" s="61">
        <f t="shared" si="13"/>
        <v>4</v>
      </c>
      <c r="W12" s="61" t="e">
        <f t="shared" si="14"/>
        <v>#VALUE!</v>
      </c>
      <c r="X12" s="61" t="e">
        <f t="shared" si="15"/>
        <v>#VALUE!</v>
      </c>
      <c r="Y12" s="61" t="str">
        <f>IFERROR(VLOOKUP(MID(T12,W12,X12-W12),[5]skilldef!$C:$D,2,FALSE),"-") &amp; " / " &amp; IFERROR(VLOOKUP(MID(T12,U12,V12-U12),[5]skilldef!$A:$B,2,FALSE),"-")</f>
        <v>- / -</v>
      </c>
      <c r="Z12" s="48"/>
      <c r="AA12" s="50"/>
      <c r="AB12" s="48"/>
    </row>
    <row r="13" spans="1:28" ht="21" customHeight="1" x14ac:dyDescent="0.15">
      <c r="A13" s="99">
        <v>41001012</v>
      </c>
      <c r="B13" s="45" t="s">
        <v>264</v>
      </c>
      <c r="C13" s="48">
        <v>3</v>
      </c>
      <c r="D13" s="48" t="s">
        <v>128</v>
      </c>
      <c r="E13" s="49" t="s">
        <v>235</v>
      </c>
      <c r="F13" s="49" t="s">
        <v>246</v>
      </c>
      <c r="G13" s="61" t="str">
        <f t="shared" si="0"/>
        <v>[effect:enhance_enemy, target:enemy_all, turn:-1, status:defense, val:5000, calc:add, animation:enemy_enhance_enemy]</v>
      </c>
      <c r="H13" s="61">
        <f t="shared" si="1"/>
        <v>9</v>
      </c>
      <c r="I13" s="61">
        <f t="shared" si="2"/>
        <v>22</v>
      </c>
      <c r="J13" s="61">
        <f t="shared" si="3"/>
        <v>31</v>
      </c>
      <c r="K13" s="61">
        <f t="shared" si="4"/>
        <v>40</v>
      </c>
      <c r="L13" s="61" t="str">
        <f>IFERROR(VLOOKUP(MID(G13,J13,K13-J13),[5]skilldef!$C:$D,2,FALSE),"-") &amp; " / " &amp; IFERROR(VLOOKUP(MID(G13,H13,I13-H13),[5]skilldef!$A:$B,2,FALSE),"-")</f>
        <v>敵全体に / ステータス強化</v>
      </c>
      <c r="M13" s="61" t="str">
        <f t="shared" si="5"/>
        <v>[effect:enhance_enemy, target:enemy_all, turn:-1, status:attack, val:0.4, calc:mul, animation:enemy_enhance_enemy]</v>
      </c>
      <c r="N13" s="46" t="str">
        <f t="shared" si="16"/>
        <v>[effect:enhance_enemy, target:enemy_all, turn:-1, status:attack, val:0.4, calc:mul, animation:enemy_enhance_enemy]</v>
      </c>
      <c r="O13" s="61">
        <f t="shared" si="7"/>
        <v>9</v>
      </c>
      <c r="P13" s="61">
        <f t="shared" si="8"/>
        <v>22</v>
      </c>
      <c r="Q13" s="61">
        <f t="shared" si="9"/>
        <v>31</v>
      </c>
      <c r="R13" s="61">
        <f t="shared" si="10"/>
        <v>40</v>
      </c>
      <c r="S13" s="61" t="str">
        <f>IFERROR(VLOOKUP(MID(N13,Q13,R13-Q13),[5]skilldef!$C:$D,2,FALSE),"-") &amp; " / " &amp; IFERROR(VLOOKUP(MID(N13,O13,P13-O13),[5]skilldef!$A:$B,2,FALSE),"-")</f>
        <v>敵全体に / ステータス強化</v>
      </c>
      <c r="T13" s="46" t="str">
        <f t="shared" si="11"/>
        <v>none</v>
      </c>
      <c r="U13" s="61" t="e">
        <f t="shared" si="12"/>
        <v>#VALUE!</v>
      </c>
      <c r="V13" s="61">
        <f t="shared" si="13"/>
        <v>4</v>
      </c>
      <c r="W13" s="61" t="e">
        <f t="shared" si="14"/>
        <v>#VALUE!</v>
      </c>
      <c r="X13" s="61" t="e">
        <f t="shared" si="15"/>
        <v>#VALUE!</v>
      </c>
      <c r="Y13" s="61" t="str">
        <f>IFERROR(VLOOKUP(MID(T13,W13,X13-W13),[5]skilldef!$C:$D,2,FALSE),"-") &amp; " / " &amp; IFERROR(VLOOKUP(MID(T13,U13,V13-U13),[5]skilldef!$A:$B,2,FALSE),"-")</f>
        <v>- / -</v>
      </c>
      <c r="Z13" s="48"/>
      <c r="AA13" s="50"/>
      <c r="AB13" s="48"/>
    </row>
    <row r="14" spans="1:28" ht="21" customHeight="1" x14ac:dyDescent="0.15">
      <c r="A14" s="107">
        <v>41001013</v>
      </c>
      <c r="B14" s="45" t="s">
        <v>262</v>
      </c>
      <c r="C14" s="48">
        <v>3</v>
      </c>
      <c r="D14" s="48" t="s">
        <v>128</v>
      </c>
      <c r="E14" s="49" t="s">
        <v>239</v>
      </c>
      <c r="F14" s="49" t="s">
        <v>244</v>
      </c>
      <c r="G14" s="61" t="str">
        <f t="shared" ref="G14:G24" si="17">IFERROR(LEFT(B14,FIND("],",B14)),B14)</f>
        <v>[effect:break_attack, val:0.15, lowest_val:1000, count:8, block:block_red, target:unit_one]</v>
      </c>
      <c r="H14" s="61">
        <f t="shared" ref="H14:H24" si="18">FIND("effect:",G14)+7</f>
        <v>9</v>
      </c>
      <c r="I14" s="61">
        <f t="shared" ref="I14:I24" si="19">IFERROR(FIND(",",G14),LEN(G14))</f>
        <v>21</v>
      </c>
      <c r="J14" s="61">
        <f t="shared" ref="J14:J24" si="20">FIND("target:",G14)+7</f>
        <v>83</v>
      </c>
      <c r="K14" s="61">
        <f t="shared" ref="K14:K24" si="21">FIND(",",G14,I14+1)</f>
        <v>31</v>
      </c>
      <c r="L14" s="61" t="str">
        <f>IFERROR(VLOOKUP(MID(G14,J14,K14-J14),[5]skilldef!$C:$D,2,FALSE),"-") &amp; " / " &amp; IFERROR(VLOOKUP(MID(G14,H14,I14-H14),[5]skilldef!$A:$B,2,FALSE),"-")</f>
        <v>- / -</v>
      </c>
      <c r="M14" s="61" t="str">
        <f t="shared" ref="M14:M24" si="22">IFERROR(RIGHT(B14,LEN(B14)-FIND("],",B14)-1),"none")</f>
        <v>none</v>
      </c>
      <c r="N14" s="46" t="str">
        <f>IFERROR(LEFT(M14,FIND("],",M14)+#REF!),M14)</f>
        <v>none</v>
      </c>
      <c r="O14" s="61" t="e">
        <f t="shared" ref="O14:O24" si="23">FIND("effect:",N14)+7</f>
        <v>#VALUE!</v>
      </c>
      <c r="P14" s="61">
        <f t="shared" ref="P14:P24" si="24">IFERROR(FIND(",",N14),LEN(N14))</f>
        <v>4</v>
      </c>
      <c r="Q14" s="61" t="e">
        <f t="shared" ref="Q14:Q24" si="25">FIND("target:",N14)+7</f>
        <v>#VALUE!</v>
      </c>
      <c r="R14" s="61" t="e">
        <f t="shared" ref="R14:R24" si="26">FIND(",",N14,P14+1)</f>
        <v>#VALUE!</v>
      </c>
      <c r="S14" s="61" t="str">
        <f>IFERROR(VLOOKUP(MID(N14,Q14,R14-Q14),[5]skilldef!$C:$D,2,FALSE),"-") &amp; " / " &amp; IFERROR(VLOOKUP(MID(N14,O14,P14-O14),[5]skilldef!$A:$B,2,FALSE),"-")</f>
        <v>- / -</v>
      </c>
      <c r="T14" s="46" t="str">
        <f t="shared" ref="T14:T24" si="27">IFERROR(RIGHT(M14,LEN(M14)-FIND("],",M14)-1),"none")</f>
        <v>none</v>
      </c>
      <c r="U14" s="61" t="e">
        <f t="shared" ref="U14:U24" si="28">FIND("effect:",T14)+7</f>
        <v>#VALUE!</v>
      </c>
      <c r="V14" s="61">
        <f t="shared" ref="V14:V24" si="29">IFERROR(FIND(",",T14),LEN(T14))</f>
        <v>4</v>
      </c>
      <c r="W14" s="61" t="e">
        <f t="shared" ref="W14:W24" si="30">FIND("target:",T14)+7</f>
        <v>#VALUE!</v>
      </c>
      <c r="X14" s="61" t="e">
        <f t="shared" ref="X14:X24" si="31">FIND(",",T14,V14+1)</f>
        <v>#VALUE!</v>
      </c>
      <c r="Y14" s="61" t="str">
        <f>IFERROR(VLOOKUP(MID(T14,W14,X14-W14),[5]skilldef!$C:$D,2,FALSE),"-") &amp; " / " &amp; IFERROR(VLOOKUP(MID(T14,U14,V14-U14),[5]skilldef!$A:$B,2,FALSE),"-")</f>
        <v>- / -</v>
      </c>
      <c r="Z14" s="48"/>
      <c r="AA14" s="50"/>
      <c r="AB14" s="48"/>
    </row>
    <row r="15" spans="1:28" ht="21" customHeight="1" x14ac:dyDescent="0.15">
      <c r="A15" s="107">
        <v>41001014</v>
      </c>
      <c r="B15" s="45" t="s">
        <v>280</v>
      </c>
      <c r="C15" s="48">
        <v>3</v>
      </c>
      <c r="D15" s="48" t="s">
        <v>128</v>
      </c>
      <c r="E15" s="49" t="s">
        <v>240</v>
      </c>
      <c r="F15" s="49" t="s">
        <v>281</v>
      </c>
      <c r="G15" s="61" t="str">
        <f t="shared" si="17"/>
        <v>[effect:enhance_enemy, target:enemy_all, turn:6, status:attack, val:0.2, calc:mul, animation:enemy_enhance_enemy]</v>
      </c>
      <c r="H15" s="61">
        <f t="shared" si="18"/>
        <v>9</v>
      </c>
      <c r="I15" s="61">
        <f t="shared" si="19"/>
        <v>22</v>
      </c>
      <c r="J15" s="61">
        <f t="shared" si="20"/>
        <v>31</v>
      </c>
      <c r="K15" s="61">
        <f t="shared" si="21"/>
        <v>40</v>
      </c>
      <c r="L15" s="61" t="str">
        <f>IFERROR(VLOOKUP(MID(G15,J15,K15-J15),[5]skilldef!$C:$D,2,FALSE),"-") &amp; " / " &amp; IFERROR(VLOOKUP(MID(G15,H15,I15-H15),[5]skilldef!$A:$B,2,FALSE),"-")</f>
        <v>敵全体に / ステータス強化</v>
      </c>
      <c r="M15" s="61" t="str">
        <f t="shared" si="22"/>
        <v>[effect:enhance_enemy, target:enemy_all, turn:6, status:defense, val:2000, calc:add, animation:enemy_enhance_enemy]</v>
      </c>
      <c r="N15" s="46" t="str">
        <f>IFERROR(LEFT(M15,FIND("],",M15)+#REF!),M15)</f>
        <v>[effect:enhance_enemy, target:enemy_all, turn:6, status:defense, val:2000, calc:add, animation:enemy_enhance_enemy]</v>
      </c>
      <c r="O15" s="61">
        <f t="shared" si="23"/>
        <v>9</v>
      </c>
      <c r="P15" s="61">
        <f t="shared" si="24"/>
        <v>22</v>
      </c>
      <c r="Q15" s="61">
        <f t="shared" si="25"/>
        <v>31</v>
      </c>
      <c r="R15" s="61">
        <f t="shared" si="26"/>
        <v>40</v>
      </c>
      <c r="S15" s="61" t="str">
        <f>IFERROR(VLOOKUP(MID(N15,Q15,R15-Q15),[5]skilldef!$C:$D,2,FALSE),"-") &amp; " / " &amp; IFERROR(VLOOKUP(MID(N15,O15,P15-O15),[5]skilldef!$A:$B,2,FALSE),"-")</f>
        <v>敵全体に / ステータス強化</v>
      </c>
      <c r="T15" s="46" t="str">
        <f t="shared" si="27"/>
        <v>none</v>
      </c>
      <c r="U15" s="61" t="e">
        <f t="shared" si="28"/>
        <v>#VALUE!</v>
      </c>
      <c r="V15" s="61">
        <f t="shared" si="29"/>
        <v>4</v>
      </c>
      <c r="W15" s="61" t="e">
        <f t="shared" si="30"/>
        <v>#VALUE!</v>
      </c>
      <c r="X15" s="61" t="e">
        <f t="shared" si="31"/>
        <v>#VALUE!</v>
      </c>
      <c r="Y15" s="61" t="str">
        <f>IFERROR(VLOOKUP(MID(T15,W15,X15-W15),[5]skilldef!$C:$D,2,FALSE),"-") &amp; " / " &amp; IFERROR(VLOOKUP(MID(T15,U15,V15-U15),[5]skilldef!$A:$B,2,FALSE),"-")</f>
        <v>- / -</v>
      </c>
      <c r="Z15" s="48"/>
      <c r="AA15" s="50"/>
      <c r="AB15" s="48"/>
    </row>
    <row r="16" spans="1:28" ht="21" customHeight="1" x14ac:dyDescent="0.15">
      <c r="A16" s="107">
        <v>41001015</v>
      </c>
      <c r="B16" s="45" t="s">
        <v>308</v>
      </c>
      <c r="C16" s="48">
        <v>3</v>
      </c>
      <c r="D16" s="48" t="s">
        <v>128</v>
      </c>
      <c r="E16" s="49" t="s">
        <v>305</v>
      </c>
      <c r="F16" s="49" t="s">
        <v>307</v>
      </c>
      <c r="G16" s="61" t="str">
        <f t="shared" si="17"/>
        <v>[effect:degrade_unit, target:unit_all, turn:8, status:heal, val:0.5, calc:mul, animation:degrade_unit_all_heal]</v>
      </c>
      <c r="H16" s="61">
        <f t="shared" si="18"/>
        <v>9</v>
      </c>
      <c r="I16" s="61">
        <f t="shared" si="19"/>
        <v>21</v>
      </c>
      <c r="J16" s="61">
        <f t="shared" si="20"/>
        <v>30</v>
      </c>
      <c r="K16" s="61">
        <f t="shared" si="21"/>
        <v>38</v>
      </c>
      <c r="L16" s="61" t="str">
        <f>IFERROR(VLOOKUP(MID(G16,J16,K16-J16),[5]skilldef!$C:$D,2,FALSE),"-") &amp; " / " &amp; IFERROR(VLOOKUP(MID(G16,H16,I16-H16),[5]skilldef!$A:$B,2,FALSE),"-")</f>
        <v>味方全体に / ステータスDOWN</v>
      </c>
      <c r="M16" s="61" t="str">
        <f t="shared" si="22"/>
        <v>[effect:degrade_unit, target:unit_all, turn:8, status:action, val:4, calc:add, animation:enemy_tap_down],[effect:fix_speed, target:myself, turn:2],[effect:enemy_message, val2:3]</v>
      </c>
      <c r="N16" s="46" t="str">
        <f>IFERROR(LEFT(M16,FIND("],",M16)+S26),M16)</f>
        <v>[effect:degrade_unit, target:unit_all, turn:8, status:action, val:4, calc:add, animation:enemy_tap_down],[effect:fix_speed, target:myself, turn:2],[effect:enemy_message, val2:3]</v>
      </c>
      <c r="O16" s="61">
        <f t="shared" si="23"/>
        <v>9</v>
      </c>
      <c r="P16" s="61">
        <f t="shared" si="24"/>
        <v>21</v>
      </c>
      <c r="Q16" s="61">
        <f t="shared" si="25"/>
        <v>30</v>
      </c>
      <c r="R16" s="61">
        <f t="shared" si="26"/>
        <v>38</v>
      </c>
      <c r="S16" s="61" t="str">
        <f>IFERROR(VLOOKUP(MID(N16,Q16,R16-Q16),[5]skilldef!$C:$D,2,FALSE),"-") &amp; " / " &amp; IFERROR(VLOOKUP(MID(N16,O16,P16-O16),[5]skilldef!$A:$B,2,FALSE),"-")</f>
        <v>味方全体に / ステータスDOWN</v>
      </c>
      <c r="T16" s="46" t="str">
        <f t="shared" si="27"/>
        <v>[effect:fix_speed, target:myself, turn:2],[effect:enemy_message, val2:3]</v>
      </c>
      <c r="U16" s="61">
        <f t="shared" si="28"/>
        <v>9</v>
      </c>
      <c r="V16" s="61">
        <f t="shared" si="29"/>
        <v>18</v>
      </c>
      <c r="W16" s="61">
        <f t="shared" si="30"/>
        <v>27</v>
      </c>
      <c r="X16" s="61">
        <f t="shared" si="31"/>
        <v>33</v>
      </c>
      <c r="Y16" s="61" t="str">
        <f>IFERROR(VLOOKUP(MID(T16,W16,X16-W16),[5]skilldef!$C:$D,2,FALSE),"-") &amp; " / " &amp; IFERROR(VLOOKUP(MID(T16,U16,V16-U16),[5]skilldef!$A:$B,2,FALSE),"-")</f>
        <v>自分自身に / 行動値設定</v>
      </c>
      <c r="Z16" s="48"/>
      <c r="AA16" s="50"/>
      <c r="AB16" s="48"/>
    </row>
    <row r="17" spans="1:28" ht="21" customHeight="1" x14ac:dyDescent="0.15">
      <c r="A17" s="107">
        <v>41001115</v>
      </c>
      <c r="B17" s="45" t="s">
        <v>304</v>
      </c>
      <c r="C17" s="48">
        <v>3</v>
      </c>
      <c r="D17" s="48" t="s">
        <v>128</v>
      </c>
      <c r="E17" s="49" t="s">
        <v>232</v>
      </c>
      <c r="F17" s="49" t="s">
        <v>303</v>
      </c>
      <c r="G17" s="61" t="str">
        <f t="shared" ref="G17" si="32">IFERROR(LEFT(B17,FIND("],",B17)),B17)</f>
        <v>[effect:degrade_unit, target:unit_all, turn:-1, status:heal, val:0.5, calc:mul, animation:degrade_unit_all_heal]</v>
      </c>
      <c r="H17" s="61">
        <f t="shared" ref="H17" si="33">FIND("effect:",G17)+7</f>
        <v>9</v>
      </c>
      <c r="I17" s="61">
        <f t="shared" ref="I17" si="34">IFERROR(FIND(",",G17),LEN(G17))</f>
        <v>21</v>
      </c>
      <c r="J17" s="61">
        <f t="shared" ref="J17" si="35">FIND("target:",G17)+7</f>
        <v>30</v>
      </c>
      <c r="K17" s="61">
        <f t="shared" ref="K17" si="36">FIND(",",G17,I17+1)</f>
        <v>38</v>
      </c>
      <c r="L17" s="61" t="str">
        <f>IFERROR(VLOOKUP(MID(G17,J17,K17-J17),[5]skilldef!$C:$D,2,FALSE),"-") &amp; " / " &amp; IFERROR(VLOOKUP(MID(G17,H17,I17-H17),[5]skilldef!$A:$B,2,FALSE),"-")</f>
        <v>味方全体に / ステータスDOWN</v>
      </c>
      <c r="M17" s="61" t="str">
        <f t="shared" ref="M17" si="37">IFERROR(RIGHT(B17,LEN(B17)-FIND("],",B17)-1),"none")</f>
        <v>[effect:fix_speed, target:myself, turn:2]</v>
      </c>
      <c r="N17" s="46" t="str">
        <f>IFERROR(LEFT(M17,FIND("],",M17)+S27),M17)</f>
        <v>[effect:fix_speed, target:myself, turn:2]</v>
      </c>
      <c r="O17" s="61">
        <f t="shared" ref="O17" si="38">FIND("effect:",N17)+7</f>
        <v>9</v>
      </c>
      <c r="P17" s="61">
        <f t="shared" ref="P17" si="39">IFERROR(FIND(",",N17),LEN(N17))</f>
        <v>18</v>
      </c>
      <c r="Q17" s="61">
        <f t="shared" ref="Q17" si="40">FIND("target:",N17)+7</f>
        <v>27</v>
      </c>
      <c r="R17" s="61">
        <f t="shared" ref="R17" si="41">FIND(",",N17,P17+1)</f>
        <v>33</v>
      </c>
      <c r="S17" s="61" t="str">
        <f>IFERROR(VLOOKUP(MID(N17,Q17,R17-Q17),[5]skilldef!$C:$D,2,FALSE),"-") &amp; " / " &amp; IFERROR(VLOOKUP(MID(N17,O17,P17-O17),[5]skilldef!$A:$B,2,FALSE),"-")</f>
        <v>自分自身に / 行動値設定</v>
      </c>
      <c r="T17" s="46" t="str">
        <f t="shared" ref="T17" si="42">IFERROR(RIGHT(M17,LEN(M17)-FIND("],",M17)-1),"none")</f>
        <v>none</v>
      </c>
      <c r="U17" s="61" t="e">
        <f t="shared" ref="U17" si="43">FIND("effect:",T17)+7</f>
        <v>#VALUE!</v>
      </c>
      <c r="V17" s="61">
        <f t="shared" ref="V17" si="44">IFERROR(FIND(",",T17),LEN(T17))</f>
        <v>4</v>
      </c>
      <c r="W17" s="61" t="e">
        <f t="shared" ref="W17" si="45">FIND("target:",T17)+7</f>
        <v>#VALUE!</v>
      </c>
      <c r="X17" s="61" t="e">
        <f t="shared" ref="X17" si="46">FIND(",",T17,V17+1)</f>
        <v>#VALUE!</v>
      </c>
      <c r="Y17" s="61" t="str">
        <f>IFERROR(VLOOKUP(MID(T17,W17,X17-W17),[5]skilldef!$C:$D,2,FALSE),"-") &amp; " / " &amp; IFERROR(VLOOKUP(MID(T17,U17,V17-U17),[5]skilldef!$A:$B,2,FALSE),"-")</f>
        <v>- / -</v>
      </c>
      <c r="Z17" s="48"/>
      <c r="AA17" s="50"/>
      <c r="AB17" s="48"/>
    </row>
    <row r="18" spans="1:28" ht="21" customHeight="1" x14ac:dyDescent="0.15">
      <c r="A18" s="107">
        <v>41001016</v>
      </c>
      <c r="B18" s="45" t="s">
        <v>286</v>
      </c>
      <c r="C18" s="48">
        <v>3</v>
      </c>
      <c r="D18" s="48" t="s">
        <v>128</v>
      </c>
      <c r="E18" s="49" t="s">
        <v>288</v>
      </c>
      <c r="F18" s="49" t="s">
        <v>284</v>
      </c>
      <c r="G18" s="61" t="str">
        <f t="shared" ref="G18" si="47">IFERROR(LEFT(B18,FIND("],",B18)),B18)</f>
        <v>[effect:enemy_message, val1:2, val2:2]</v>
      </c>
      <c r="H18" s="61">
        <f t="shared" ref="H18" si="48">FIND("effect:",G18)+7</f>
        <v>9</v>
      </c>
      <c r="I18" s="61">
        <f t="shared" ref="I18" si="49">IFERROR(FIND(",",G18),LEN(G18))</f>
        <v>22</v>
      </c>
      <c r="J18" s="61" t="e">
        <f t="shared" ref="J18" si="50">FIND("target:",G18)+7</f>
        <v>#VALUE!</v>
      </c>
      <c r="K18" s="61">
        <f t="shared" ref="K18" si="51">FIND(",",G18,I18+1)</f>
        <v>30</v>
      </c>
      <c r="L18" s="61" t="str">
        <f>IFERROR(VLOOKUP(MID(G18,J18,K18-J18),[5]skilldef!$C:$D,2,FALSE),"-") &amp; " / " &amp; IFERROR(VLOOKUP(MID(G18,H18,I18-H18),[5]skilldef!$A:$B,2,FALSE),"-")</f>
        <v>- / -</v>
      </c>
      <c r="M18" s="61" t="str">
        <f t="shared" ref="M18" si="52">IFERROR(RIGHT(B18,LEN(B18)-FIND("],",B18)-1),"none")</f>
        <v>[effect:degrade_unit, target:unit_all, turn:3, status:attack, val:0.8, calc:mul]</v>
      </c>
      <c r="N18" s="46" t="str">
        <f>IFERROR(LEFT(M18,FIND("],",M18)+S25),M18)</f>
        <v>[effect:degrade_unit, target:unit_all, turn:3, status:attack, val:0.8, calc:mul]</v>
      </c>
      <c r="O18" s="61">
        <f t="shared" ref="O18" si="53">FIND("effect:",N18)+7</f>
        <v>9</v>
      </c>
      <c r="P18" s="61">
        <f t="shared" ref="P18" si="54">IFERROR(FIND(",",N18),LEN(N18))</f>
        <v>21</v>
      </c>
      <c r="Q18" s="61">
        <f t="shared" ref="Q18" si="55">FIND("target:",N18)+7</f>
        <v>30</v>
      </c>
      <c r="R18" s="61">
        <f t="shared" ref="R18" si="56">FIND(",",N18,P18+1)</f>
        <v>38</v>
      </c>
      <c r="S18" s="61" t="str">
        <f>IFERROR(VLOOKUP(MID(N18,Q18,R18-Q18),[5]skilldef!$C:$D,2,FALSE),"-") &amp; " / " &amp; IFERROR(VLOOKUP(MID(N18,O18,P18-O18),[5]skilldef!$A:$B,2,FALSE),"-")</f>
        <v>味方全体に / ステータスDOWN</v>
      </c>
      <c r="T18" s="46" t="str">
        <f t="shared" ref="T18" si="57">IFERROR(RIGHT(M18,LEN(M18)-FIND("],",M18)-1),"none")</f>
        <v>none</v>
      </c>
      <c r="U18" s="61" t="e">
        <f t="shared" ref="U18" si="58">FIND("effect:",T18)+7</f>
        <v>#VALUE!</v>
      </c>
      <c r="V18" s="61">
        <f t="shared" ref="V18" si="59">IFERROR(FIND(",",T18),LEN(T18))</f>
        <v>4</v>
      </c>
      <c r="W18" s="61" t="e">
        <f t="shared" ref="W18" si="60">FIND("target:",T18)+7</f>
        <v>#VALUE!</v>
      </c>
      <c r="X18" s="61" t="e">
        <f t="shared" ref="X18" si="61">FIND(",",T18,V18+1)</f>
        <v>#VALUE!</v>
      </c>
      <c r="Y18" s="61" t="str">
        <f>IFERROR(VLOOKUP(MID(T18,W18,X18-W18),[5]skilldef!$C:$D,2,FALSE),"-") &amp; " / " &amp; IFERROR(VLOOKUP(MID(T18,U18,V18-U18),[5]skilldef!$A:$B,2,FALSE),"-")</f>
        <v>- / -</v>
      </c>
      <c r="Z18" s="48"/>
      <c r="AA18" s="50"/>
      <c r="AB18" s="48"/>
    </row>
    <row r="19" spans="1:28" ht="21" customHeight="1" x14ac:dyDescent="0.15">
      <c r="A19" s="107">
        <v>41001017</v>
      </c>
      <c r="B19" s="45" t="s">
        <v>260</v>
      </c>
      <c r="C19" s="48">
        <v>3</v>
      </c>
      <c r="D19" s="48" t="s">
        <v>128</v>
      </c>
      <c r="E19" s="49" t="s">
        <v>266</v>
      </c>
      <c r="F19" s="49" t="s">
        <v>261</v>
      </c>
      <c r="G19" s="61" t="str">
        <f t="shared" si="17"/>
        <v>[effect:spread, val:0.25]</v>
      </c>
      <c r="H19" s="61">
        <f t="shared" si="18"/>
        <v>9</v>
      </c>
      <c r="I19" s="61">
        <f t="shared" si="19"/>
        <v>15</v>
      </c>
      <c r="J19" s="61" t="e">
        <f t="shared" si="20"/>
        <v>#VALUE!</v>
      </c>
      <c r="K19" s="61" t="e">
        <f t="shared" si="21"/>
        <v>#VALUE!</v>
      </c>
      <c r="L19" s="61" t="str">
        <f>IFERROR(VLOOKUP(MID(G19,J19,K19-J19),[5]skilldef!$C:$D,2,FALSE),"-") &amp; " / " &amp; IFERROR(VLOOKUP(MID(G19,H19,I19-H19),[5]skilldef!$A:$B,2,FALSE),"-")</f>
        <v>- / 全体攻撃</v>
      </c>
      <c r="M19" s="61" t="str">
        <f t="shared" si="22"/>
        <v>[effect:hungup, target:unit_all, turn:1, rate:1, animation:hungup01]</v>
      </c>
      <c r="N19" s="46" t="str">
        <f>IFERROR(LEFT(M19,FIND("],",M19)+S26),M19)</f>
        <v>[effect:hungup, target:unit_all, turn:1, rate:1, animation:hungup01]</v>
      </c>
      <c r="O19" s="61">
        <f t="shared" si="23"/>
        <v>9</v>
      </c>
      <c r="P19" s="61">
        <f t="shared" si="24"/>
        <v>15</v>
      </c>
      <c r="Q19" s="61">
        <f t="shared" si="25"/>
        <v>24</v>
      </c>
      <c r="R19" s="61">
        <f t="shared" si="26"/>
        <v>32</v>
      </c>
      <c r="S19" s="61" t="str">
        <f>IFERROR(VLOOKUP(MID(N19,Q19,R19-Q19),[5]skilldef!$C:$D,2,FALSE),"-") &amp; " / " &amp; IFERROR(VLOOKUP(MID(N19,O19,P19-O19),[5]skilldef!$A:$B,2,FALSE),"-")</f>
        <v>味方全体に / ハングアップ</v>
      </c>
      <c r="T19" s="46" t="str">
        <f t="shared" si="27"/>
        <v>none</v>
      </c>
      <c r="U19" s="61" t="e">
        <f t="shared" si="28"/>
        <v>#VALUE!</v>
      </c>
      <c r="V19" s="61">
        <f t="shared" si="29"/>
        <v>4</v>
      </c>
      <c r="W19" s="61" t="e">
        <f t="shared" si="30"/>
        <v>#VALUE!</v>
      </c>
      <c r="X19" s="61" t="e">
        <f t="shared" si="31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8"/>
      <c r="AA19" s="50"/>
      <c r="AB19" s="48"/>
    </row>
    <row r="20" spans="1:28" ht="21" customHeight="1" x14ac:dyDescent="0.15">
      <c r="A20" s="107">
        <v>41001018</v>
      </c>
      <c r="B20" s="45" t="s">
        <v>251</v>
      </c>
      <c r="C20" s="48">
        <v>3</v>
      </c>
      <c r="D20" s="48" t="s">
        <v>128</v>
      </c>
      <c r="E20" s="49" t="s">
        <v>241</v>
      </c>
      <c r="F20" s="49" t="s">
        <v>245</v>
      </c>
      <c r="G20" s="61" t="str">
        <f t="shared" si="17"/>
        <v>[effect:critical, val:1]</v>
      </c>
      <c r="H20" s="61">
        <f t="shared" si="18"/>
        <v>9</v>
      </c>
      <c r="I20" s="61">
        <f t="shared" si="19"/>
        <v>17</v>
      </c>
      <c r="J20" s="61" t="e">
        <f t="shared" si="20"/>
        <v>#VALUE!</v>
      </c>
      <c r="K20" s="61" t="e">
        <f t="shared" si="21"/>
        <v>#VALUE!</v>
      </c>
      <c r="L20" s="61" t="str">
        <f>IFERROR(VLOOKUP(MID(G20,J20,K20-J20),[5]skilldef!$C:$D,2,FALSE),"-") &amp; " / " &amp; IFERROR(VLOOKUP(MID(G20,H20,I20-H20),[5]skilldef!$A:$B,2,FALSE),"-")</f>
        <v>- / 大攻撃</v>
      </c>
      <c r="M20" s="61" t="str">
        <f t="shared" si="22"/>
        <v>[effect:panel_freeze, target:block_blue, count:8]</v>
      </c>
      <c r="N20" s="46" t="str">
        <f>IFERROR(LEFT(M20,FIND("],",M20)+S27),M20)</f>
        <v>[effect:panel_freeze, target:block_blue, count:8]</v>
      </c>
      <c r="O20" s="61">
        <f t="shared" si="23"/>
        <v>9</v>
      </c>
      <c r="P20" s="61">
        <f t="shared" si="24"/>
        <v>21</v>
      </c>
      <c r="Q20" s="61">
        <f t="shared" si="25"/>
        <v>30</v>
      </c>
      <c r="R20" s="61">
        <f t="shared" si="26"/>
        <v>40</v>
      </c>
      <c r="S20" s="61" t="str">
        <f>IFERROR(VLOOKUP(MID(N20,Q20,R20-Q20),[5]skilldef!$C:$D,2,FALSE),"-") &amp; " / " &amp; IFERROR(VLOOKUP(MID(N20,O20,P20-O20),[5]skilldef!$A:$B,2,FALSE),"-")</f>
        <v>青パネルを / -</v>
      </c>
      <c r="T20" s="46" t="str">
        <f t="shared" si="27"/>
        <v>none</v>
      </c>
      <c r="U20" s="61" t="e">
        <f t="shared" si="28"/>
        <v>#VALUE!</v>
      </c>
      <c r="V20" s="61">
        <f t="shared" si="29"/>
        <v>4</v>
      </c>
      <c r="W20" s="61" t="e">
        <f t="shared" si="30"/>
        <v>#VALUE!</v>
      </c>
      <c r="X20" s="61" t="e">
        <f t="shared" si="31"/>
        <v>#VALUE!</v>
      </c>
      <c r="Y20" s="61" t="str">
        <f>IFERROR(VLOOKUP(MID(T20,W20,X20-W20),[5]skilldef!$C:$D,2,FALSE),"-") &amp; " / " &amp; IFERROR(VLOOKUP(MID(T20,U20,V20-U20),[5]skilldef!$A:$B,2,FALSE),"-")</f>
        <v>- / -</v>
      </c>
      <c r="Z20" s="48"/>
      <c r="AA20" s="50"/>
      <c r="AB20" s="48"/>
    </row>
    <row r="21" spans="1:28" ht="21" customHeight="1" x14ac:dyDescent="0.15">
      <c r="A21" s="107">
        <v>41001019</v>
      </c>
      <c r="B21" s="45" t="s">
        <v>268</v>
      </c>
      <c r="C21" s="48">
        <v>3</v>
      </c>
      <c r="D21" s="48" t="s">
        <v>128</v>
      </c>
      <c r="E21" s="49" t="s">
        <v>242</v>
      </c>
      <c r="F21" s="49" t="s">
        <v>250</v>
      </c>
      <c r="G21" s="61" t="str">
        <f t="shared" si="17"/>
        <v>[effect:break_attack, val:0.04, lowest_val:0.2, count:8, block:block_blue, target:unit_all]</v>
      </c>
      <c r="H21" s="61">
        <f t="shared" si="18"/>
        <v>9</v>
      </c>
      <c r="I21" s="61">
        <f t="shared" si="19"/>
        <v>21</v>
      </c>
      <c r="J21" s="61">
        <f t="shared" si="20"/>
        <v>83</v>
      </c>
      <c r="K21" s="61">
        <f t="shared" si="21"/>
        <v>31</v>
      </c>
      <c r="L21" s="61" t="str">
        <f>IFERROR(VLOOKUP(MID(G21,J21,K21-J21),[5]skilldef!$C:$D,2,FALSE),"-") &amp; " / " &amp; IFERROR(VLOOKUP(MID(G21,H21,I21-H21),[5]skilldef!$A:$B,2,FALSE),"-")</f>
        <v>- / -</v>
      </c>
      <c r="M21" s="61" t="str">
        <f t="shared" si="22"/>
        <v>none</v>
      </c>
      <c r="N21" s="46" t="str">
        <f>IFERROR(LEFT(M21,FIND("],",M21)+S28),M21)</f>
        <v>none</v>
      </c>
      <c r="O21" s="61" t="e">
        <f t="shared" si="23"/>
        <v>#VALUE!</v>
      </c>
      <c r="P21" s="61">
        <f t="shared" si="24"/>
        <v>4</v>
      </c>
      <c r="Q21" s="61" t="e">
        <f t="shared" si="25"/>
        <v>#VALUE!</v>
      </c>
      <c r="R21" s="61" t="e">
        <f t="shared" si="26"/>
        <v>#VALUE!</v>
      </c>
      <c r="S21" s="61" t="str">
        <f>IFERROR(VLOOKUP(MID(N21,Q21,R21-Q21),[5]skilldef!$C:$D,2,FALSE),"-") &amp; " / " &amp; IFERROR(VLOOKUP(MID(N21,O21,P21-O21),[5]skilldef!$A:$B,2,FALSE),"-")</f>
        <v>- / -</v>
      </c>
      <c r="T21" s="46" t="str">
        <f t="shared" si="27"/>
        <v>none</v>
      </c>
      <c r="U21" s="61" t="e">
        <f t="shared" si="28"/>
        <v>#VALUE!</v>
      </c>
      <c r="V21" s="61">
        <f t="shared" si="29"/>
        <v>4</v>
      </c>
      <c r="W21" s="61" t="e">
        <f t="shared" si="30"/>
        <v>#VALUE!</v>
      </c>
      <c r="X21" s="61" t="e">
        <f t="shared" si="31"/>
        <v>#VALUE!</v>
      </c>
      <c r="Y21" s="61" t="str">
        <f>IFERROR(VLOOKUP(MID(T21,W21,X21-W21),[5]skilldef!$C:$D,2,FALSE),"-") &amp; " / " &amp; IFERROR(VLOOKUP(MID(T21,U21,V21-U21),[5]skilldef!$A:$B,2,FALSE),"-")</f>
        <v>- / -</v>
      </c>
      <c r="Z21" s="48"/>
      <c r="AA21" s="50"/>
      <c r="AB21" s="48"/>
    </row>
    <row r="22" spans="1:28" ht="21" customHeight="1" x14ac:dyDescent="0.15">
      <c r="A22" s="107">
        <v>41001020</v>
      </c>
      <c r="B22" s="45" t="s">
        <v>258</v>
      </c>
      <c r="C22" s="48">
        <v>3</v>
      </c>
      <c r="D22" s="48" t="s">
        <v>128</v>
      </c>
      <c r="E22" s="49" t="s">
        <v>249</v>
      </c>
      <c r="F22" s="49" t="s">
        <v>252</v>
      </c>
      <c r="G22" s="61" t="str">
        <f t="shared" si="17"/>
        <v>[effect:damage_anti_tribe, target:unit_all, tribe:god, val1:6.0, val2:0.3]</v>
      </c>
      <c r="H22" s="61">
        <f t="shared" si="18"/>
        <v>9</v>
      </c>
      <c r="I22" s="61">
        <f t="shared" si="19"/>
        <v>26</v>
      </c>
      <c r="J22" s="61">
        <f t="shared" si="20"/>
        <v>35</v>
      </c>
      <c r="K22" s="61">
        <f t="shared" si="21"/>
        <v>43</v>
      </c>
      <c r="L22" s="61" t="str">
        <f>IFERROR(VLOOKUP(MID(G22,J22,K22-J22),[5]skilldef!$C:$D,2,FALSE),"-") &amp; " / " &amp; IFERROR(VLOOKUP(MID(G22,H22,I22-H22),[5]skilldef!$A:$B,2,FALSE),"-")</f>
        <v>味方全体に / 種族キラー</v>
      </c>
      <c r="M22" s="61" t="str">
        <f t="shared" si="22"/>
        <v>none</v>
      </c>
      <c r="N22" s="46" t="str">
        <f>IFERROR(LEFT(M22,FIND("],",M22)+S30),M22)</f>
        <v>none</v>
      </c>
      <c r="O22" s="61" t="e">
        <f t="shared" si="23"/>
        <v>#VALUE!</v>
      </c>
      <c r="P22" s="61">
        <f t="shared" si="24"/>
        <v>4</v>
      </c>
      <c r="Q22" s="61" t="e">
        <f t="shared" si="25"/>
        <v>#VALUE!</v>
      </c>
      <c r="R22" s="61" t="e">
        <f t="shared" si="26"/>
        <v>#VALUE!</v>
      </c>
      <c r="S22" s="61" t="str">
        <f>IFERROR(VLOOKUP(MID(N22,Q22,R22-Q22),[5]skilldef!$C:$D,2,FALSE),"-") &amp; " / " &amp; IFERROR(VLOOKUP(MID(N22,O22,P22-O22),[5]skilldef!$A:$B,2,FALSE),"-")</f>
        <v>- / -</v>
      </c>
      <c r="T22" s="46" t="str">
        <f t="shared" si="27"/>
        <v>none</v>
      </c>
      <c r="U22" s="61" t="e">
        <f t="shared" si="28"/>
        <v>#VALUE!</v>
      </c>
      <c r="V22" s="61">
        <f t="shared" si="29"/>
        <v>4</v>
      </c>
      <c r="W22" s="61" t="e">
        <f t="shared" si="30"/>
        <v>#VALUE!</v>
      </c>
      <c r="X22" s="61" t="e">
        <f t="shared" si="31"/>
        <v>#VALUE!</v>
      </c>
      <c r="Y22" s="61" t="str">
        <f>IFERROR(VLOOKUP(MID(T22,W22,X22-W22),[5]skilldef!$C:$D,2,FALSE),"-") &amp; " / " &amp; IFERROR(VLOOKUP(MID(T22,U22,V22-U22),[5]skilldef!$A:$B,2,FALSE),"-")</f>
        <v>- / -</v>
      </c>
      <c r="Z22" s="48"/>
      <c r="AA22" s="50"/>
      <c r="AB22" s="48"/>
    </row>
    <row r="23" spans="1:28" ht="21" customHeight="1" x14ac:dyDescent="0.15">
      <c r="A23" s="107">
        <v>41001021</v>
      </c>
      <c r="B23" s="45" t="s">
        <v>270</v>
      </c>
      <c r="C23" s="48">
        <v>3</v>
      </c>
      <c r="D23" s="48" t="s">
        <v>128</v>
      </c>
      <c r="E23" s="49" t="s">
        <v>272</v>
      </c>
      <c r="F23" s="49" t="s">
        <v>267</v>
      </c>
      <c r="G23" s="61" t="str">
        <f t="shared" si="17"/>
        <v>[effect:enhance_enemy, target:enemy_all, turn:4, status:defense, val:20000, calc:add, animation:enemy_enhance_enemy]</v>
      </c>
      <c r="H23" s="61">
        <f t="shared" si="18"/>
        <v>9</v>
      </c>
      <c r="I23" s="61">
        <f t="shared" si="19"/>
        <v>22</v>
      </c>
      <c r="J23" s="61">
        <f t="shared" si="20"/>
        <v>31</v>
      </c>
      <c r="K23" s="61">
        <f t="shared" si="21"/>
        <v>40</v>
      </c>
      <c r="L23" s="61" t="str">
        <f>IFERROR(VLOOKUP(MID(G23,J23,K23-J23),[5]skilldef!$C:$D,2,FALSE),"-") &amp; " / " &amp; IFERROR(VLOOKUP(MID(G23,H23,I23-H23),[5]skilldef!$A:$B,2,FALSE),"-")</f>
        <v>敵全体に / ステータス強化</v>
      </c>
      <c r="M23" s="61" t="str">
        <f t="shared" si="22"/>
        <v>[effect:enhance_enemy, target:enemy_all, turn:4, status:attack, val:1, calc:mul, animation:enemy_enhance_enemy],[effect:dark, target:unit_all, turn:2, animation:enemy_dark],[effect:fix_speed, target:myself, turn:2]</v>
      </c>
      <c r="N23" s="46" t="str">
        <f>IFERROR(LEFT(M23,FIND("],",M23)+S31),M23)</f>
        <v>[effect:enhance_enemy, target:enemy_all, turn:4, status:attack, val:1, calc:mul, animation:enemy_enhance_enemy]</v>
      </c>
      <c r="O23" s="61">
        <f t="shared" si="23"/>
        <v>9</v>
      </c>
      <c r="P23" s="61">
        <f t="shared" si="24"/>
        <v>22</v>
      </c>
      <c r="Q23" s="61">
        <f t="shared" si="25"/>
        <v>31</v>
      </c>
      <c r="R23" s="61">
        <f t="shared" si="26"/>
        <v>40</v>
      </c>
      <c r="S23" s="61" t="str">
        <f>IFERROR(VLOOKUP(MID(N23,Q23,R23-Q23),[5]skilldef!$C:$D,2,FALSE),"-") &amp; " / " &amp; IFERROR(VLOOKUP(MID(N23,O23,P23-O23),[5]skilldef!$A:$B,2,FALSE),"-")</f>
        <v>敵全体に / ステータス強化</v>
      </c>
      <c r="T23" s="46" t="str">
        <f t="shared" si="27"/>
        <v>[effect:dark, target:unit_all, turn:2, animation:enemy_dark],[effect:fix_speed, target:myself, turn:2]</v>
      </c>
      <c r="U23" s="61">
        <f t="shared" si="28"/>
        <v>9</v>
      </c>
      <c r="V23" s="61">
        <f t="shared" si="29"/>
        <v>13</v>
      </c>
      <c r="W23" s="61">
        <f t="shared" si="30"/>
        <v>22</v>
      </c>
      <c r="X23" s="61">
        <f t="shared" si="31"/>
        <v>30</v>
      </c>
      <c r="Y23" s="61" t="str">
        <f>IFERROR(VLOOKUP(MID(T23,W23,X23-W23),[5]skilldef!$C:$D,2,FALSE),"-") &amp; " / " &amp; IFERROR(VLOOKUP(MID(T23,U23,V23-U23),[5]skilldef!$A:$B,2,FALSE),"-")</f>
        <v>味方全体に / 暗黒</v>
      </c>
      <c r="Z23" s="48"/>
      <c r="AA23" s="50"/>
      <c r="AB23" s="48"/>
    </row>
    <row r="24" spans="1:28" ht="21" customHeight="1" x14ac:dyDescent="0.15">
      <c r="A24" s="107">
        <v>41001022</v>
      </c>
      <c r="B24" s="45" t="s">
        <v>269</v>
      </c>
      <c r="C24" s="48">
        <v>3</v>
      </c>
      <c r="D24" s="48" t="s">
        <v>128</v>
      </c>
      <c r="E24" s="49" t="s">
        <v>243</v>
      </c>
      <c r="F24" s="49" t="s">
        <v>253</v>
      </c>
      <c r="G24" s="61" t="str">
        <f t="shared" si="17"/>
        <v>[effect:virus, turn:-1, rate:1.0, val:0.25, animation:enemy_virus]</v>
      </c>
      <c r="H24" s="61">
        <f t="shared" si="18"/>
        <v>9</v>
      </c>
      <c r="I24" s="61">
        <f t="shared" si="19"/>
        <v>14</v>
      </c>
      <c r="J24" s="61" t="e">
        <f t="shared" si="20"/>
        <v>#VALUE!</v>
      </c>
      <c r="K24" s="61">
        <f t="shared" si="21"/>
        <v>23</v>
      </c>
      <c r="L24" s="61" t="str">
        <f>IFERROR(VLOOKUP(MID(G24,J24,K24-J24),[5]skilldef!$C:$D,2,FALSE),"-") &amp; " / " &amp; IFERROR(VLOOKUP(MID(G24,H24,I24-H24),[5]skilldef!$A:$B,2,FALSE),"-")</f>
        <v>- / ウィルス</v>
      </c>
      <c r="M24" s="61" t="str">
        <f t="shared" si="22"/>
        <v>none</v>
      </c>
      <c r="N24" s="46" t="str">
        <f>IFERROR(LEFT(M24,FIND("],",M24)+S31),M24)</f>
        <v>none</v>
      </c>
      <c r="O24" s="61" t="e">
        <f t="shared" si="23"/>
        <v>#VALUE!</v>
      </c>
      <c r="P24" s="61">
        <f t="shared" si="24"/>
        <v>4</v>
      </c>
      <c r="Q24" s="61" t="e">
        <f t="shared" si="25"/>
        <v>#VALUE!</v>
      </c>
      <c r="R24" s="61" t="e">
        <f t="shared" si="26"/>
        <v>#VALUE!</v>
      </c>
      <c r="S24" s="61" t="str">
        <f>IFERROR(VLOOKUP(MID(N24,Q24,R24-Q24),[5]skilldef!$C:$D,2,FALSE),"-") &amp; " / " &amp; IFERROR(VLOOKUP(MID(N24,O24,P24-O24),[5]skilldef!$A:$B,2,FALSE),"-")</f>
        <v>- / -</v>
      </c>
      <c r="T24" s="46" t="str">
        <f t="shared" si="27"/>
        <v>none</v>
      </c>
      <c r="U24" s="61" t="e">
        <f t="shared" si="28"/>
        <v>#VALUE!</v>
      </c>
      <c r="V24" s="61">
        <f t="shared" si="29"/>
        <v>4</v>
      </c>
      <c r="W24" s="61" t="e">
        <f t="shared" si="30"/>
        <v>#VALUE!</v>
      </c>
      <c r="X24" s="61" t="e">
        <f t="shared" si="31"/>
        <v>#VALUE!</v>
      </c>
      <c r="Y24" s="61" t="str">
        <f>IFERROR(VLOOKUP(MID(T24,W24,X24-W24),[5]skilldef!$C:$D,2,FALSE),"-") &amp; " / " &amp; IFERROR(VLOOKUP(MID(T24,U24,V24-U24),[5]skilldef!$A:$B,2,FALSE),"-")</f>
        <v>- / -</v>
      </c>
      <c r="Z24" s="48"/>
      <c r="AA24" s="50"/>
      <c r="AB24" s="48"/>
    </row>
    <row r="25" spans="1:28" ht="21" customHeight="1" x14ac:dyDescent="0.15">
      <c r="A25" s="107">
        <v>41001023</v>
      </c>
      <c r="B25" s="45" t="s">
        <v>285</v>
      </c>
      <c r="C25" s="48">
        <v>3</v>
      </c>
      <c r="D25" s="48" t="s">
        <v>128</v>
      </c>
      <c r="E25" s="49" t="s">
        <v>287</v>
      </c>
      <c r="F25" s="49" t="s">
        <v>283</v>
      </c>
      <c r="G25" s="61" t="str">
        <f t="shared" ref="G25" si="62">IFERROR(LEFT(B25,FIND("],",B25)),B25)</f>
        <v>[effect:enemy_message, val1:2, val2:3]</v>
      </c>
      <c r="H25" s="61">
        <f t="shared" ref="H25" si="63">FIND("effect:",G25)+7</f>
        <v>9</v>
      </c>
      <c r="I25" s="61">
        <f t="shared" ref="I25" si="64">IFERROR(FIND(",",G25),LEN(G25))</f>
        <v>22</v>
      </c>
      <c r="J25" s="61" t="e">
        <f t="shared" ref="J25" si="65">FIND("target:",G25)+7</f>
        <v>#VALUE!</v>
      </c>
      <c r="K25" s="61">
        <f t="shared" ref="K25" si="66">FIND(",",G25,I25+1)</f>
        <v>30</v>
      </c>
      <c r="L25" s="61" t="str">
        <f>IFERROR(VLOOKUP(MID(G25,J25,K25-J25),[5]skilldef!$C:$D,2,FALSE),"-") &amp; " / " &amp; IFERROR(VLOOKUP(MID(G25,H25,I25-H25),[5]skilldef!$A:$B,2,FALSE),"-")</f>
        <v>- / -</v>
      </c>
      <c r="M25" s="61" t="str">
        <f t="shared" ref="M25" si="67">IFERROR(RIGHT(B25,LEN(B25)-FIND("],",B25)-1),"none")</f>
        <v>none</v>
      </c>
      <c r="N25" s="46" t="str">
        <f>IFERROR(LEFT(M25,FIND("],",M25)+S33),M25)</f>
        <v>none</v>
      </c>
      <c r="O25" s="61" t="e">
        <f t="shared" ref="O25" si="68">FIND("effect:",N25)+7</f>
        <v>#VALUE!</v>
      </c>
      <c r="P25" s="61">
        <f t="shared" ref="P25" si="69">IFERROR(FIND(",",N25),LEN(N25))</f>
        <v>4</v>
      </c>
      <c r="Q25" s="61" t="e">
        <f t="shared" ref="Q25" si="70">FIND("target:",N25)+7</f>
        <v>#VALUE!</v>
      </c>
      <c r="R25" s="61" t="e">
        <f t="shared" ref="R25" si="71">FIND(",",N25,P25+1)</f>
        <v>#VALUE!</v>
      </c>
      <c r="S25" s="61" t="str">
        <f>IFERROR(VLOOKUP(MID(N25,Q25,R25-Q25),[5]skilldef!$C:$D,2,FALSE),"-") &amp; " / " &amp; IFERROR(VLOOKUP(MID(N25,O25,P25-O25),[5]skilldef!$A:$B,2,FALSE),"-")</f>
        <v>- / -</v>
      </c>
      <c r="T25" s="46" t="str">
        <f t="shared" ref="T25" si="72">IFERROR(RIGHT(M25,LEN(M25)-FIND("],",M25)-1),"none")</f>
        <v>none</v>
      </c>
      <c r="U25" s="61" t="e">
        <f t="shared" ref="U25" si="73">FIND("effect:",T25)+7</f>
        <v>#VALUE!</v>
      </c>
      <c r="V25" s="61">
        <f t="shared" ref="V25" si="74">IFERROR(FIND(",",T25),LEN(T25))</f>
        <v>4</v>
      </c>
      <c r="W25" s="61" t="e">
        <f t="shared" ref="W25" si="75">FIND("target:",T25)+7</f>
        <v>#VALUE!</v>
      </c>
      <c r="X25" s="61" t="e">
        <f t="shared" ref="X25" si="76">FIND(",",T25,V25+1)</f>
        <v>#VALUE!</v>
      </c>
      <c r="Y25" s="61" t="str">
        <f>IFERROR(VLOOKUP(MID(T25,W25,X25-W25),[5]skilldef!$C:$D,2,FALSE),"-") &amp; " / " &amp; IFERROR(VLOOKUP(MID(T25,U25,V25-U25),[5]skilldef!$A:$B,2,FALSE),"-")</f>
        <v>- / -</v>
      </c>
      <c r="Z25" s="48"/>
      <c r="AA25" s="50"/>
      <c r="AB25" s="48"/>
    </row>
    <row r="26" spans="1:28" ht="21" customHeight="1" x14ac:dyDescent="0.15">
      <c r="A26" s="107">
        <v>41001024</v>
      </c>
      <c r="B26" s="45" t="s">
        <v>271</v>
      </c>
      <c r="C26" s="48">
        <v>3</v>
      </c>
      <c r="D26" s="48" t="s">
        <v>128</v>
      </c>
      <c r="E26" s="49" t="s">
        <v>265</v>
      </c>
      <c r="F26" s="49" t="s">
        <v>282</v>
      </c>
      <c r="G26" s="61" t="str">
        <f t="shared" ref="G26" si="77">IFERROR(LEFT(B26,FIND("],",B26)),B26)</f>
        <v>[effect:spread, val:5]</v>
      </c>
      <c r="H26" s="61">
        <f t="shared" ref="H26" si="78">FIND("effect:",G26)+7</f>
        <v>9</v>
      </c>
      <c r="I26" s="61">
        <f t="shared" ref="I26" si="79">IFERROR(FIND(",",G26),LEN(G26))</f>
        <v>15</v>
      </c>
      <c r="J26" s="61" t="e">
        <f t="shared" ref="J26" si="80">FIND("target:",G26)+7</f>
        <v>#VALUE!</v>
      </c>
      <c r="K26" s="61" t="e">
        <f t="shared" ref="K26" si="81">FIND(",",G26,I26+1)</f>
        <v>#VALUE!</v>
      </c>
      <c r="L26" s="61" t="str">
        <f>IFERROR(VLOOKUP(MID(G26,J26,K26-J26),[5]skilldef!$C:$D,2,FALSE),"-") &amp; " / " &amp; IFERROR(VLOOKUP(MID(G26,H26,I26-H26),[5]skilldef!$A:$B,2,FALSE),"-")</f>
        <v>- / 全体攻撃</v>
      </c>
      <c r="M26" s="61" t="str">
        <f t="shared" ref="M26" si="82">IFERROR(RIGHT(B26,LEN(B26)-FIND("],",B26)-1),"none")</f>
        <v>none</v>
      </c>
      <c r="N26" s="46" t="str">
        <f>IFERROR(LEFT(M26,FIND("],",M26)+S34),M26)</f>
        <v>none</v>
      </c>
      <c r="O26" s="61" t="e">
        <f t="shared" ref="O26" si="83">FIND("effect:",N26)+7</f>
        <v>#VALUE!</v>
      </c>
      <c r="P26" s="61">
        <f t="shared" ref="P26" si="84">IFERROR(FIND(",",N26),LEN(N26))</f>
        <v>4</v>
      </c>
      <c r="Q26" s="61" t="e">
        <f t="shared" ref="Q26" si="85">FIND("target:",N26)+7</f>
        <v>#VALUE!</v>
      </c>
      <c r="R26" s="61" t="e">
        <f t="shared" ref="R26" si="86">FIND(",",N26,P26+1)</f>
        <v>#VALUE!</v>
      </c>
      <c r="S26" s="61" t="str">
        <f>IFERROR(VLOOKUP(MID(N26,Q26,R26-Q26),[5]skilldef!$C:$D,2,FALSE),"-") &amp; " / " &amp; IFERROR(VLOOKUP(MID(N26,O26,P26-O26),[5]skilldef!$A:$B,2,FALSE),"-")</f>
        <v>- / -</v>
      </c>
      <c r="T26" s="46" t="str">
        <f t="shared" ref="T26" si="87">IFERROR(RIGHT(M26,LEN(M26)-FIND("],",M26)-1),"none")</f>
        <v>none</v>
      </c>
      <c r="U26" s="61" t="e">
        <f t="shared" ref="U26" si="88">FIND("effect:",T26)+7</f>
        <v>#VALUE!</v>
      </c>
      <c r="V26" s="61">
        <f t="shared" ref="V26" si="89">IFERROR(FIND(",",T26),LEN(T26))</f>
        <v>4</v>
      </c>
      <c r="W26" s="61" t="e">
        <f t="shared" ref="W26" si="90">FIND("target:",T26)+7</f>
        <v>#VALUE!</v>
      </c>
      <c r="X26" s="61" t="e">
        <f t="shared" ref="X26" si="91">FIND(",",T26,V26+1)</f>
        <v>#VALUE!</v>
      </c>
      <c r="Y26" s="61" t="str">
        <f>IFERROR(VLOOKUP(MID(T26,W26,X26-W26),[5]skilldef!$C:$D,2,FALSE),"-") &amp; " / " &amp; IFERROR(VLOOKUP(MID(T26,U26,V26-U26),[5]skilldef!$A:$B,2,FALSE),"-")</f>
        <v>- / -</v>
      </c>
      <c r="Z26" s="48"/>
      <c r="AA26" s="50"/>
      <c r="AB26" s="48"/>
    </row>
  </sheetData>
  <autoFilter ref="A1:AB1"/>
  <phoneticPr fontId="5"/>
  <pageMargins left="0.75" right="0.75" top="1" bottom="1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5"/>
  <sheetViews>
    <sheetView showGridLines="0" zoomScale="75" zoomScaleNormal="75" zoomScalePageLayoutView="75" workbookViewId="0">
      <pane ySplit="1" topLeftCell="A2" activePane="bottomLeft" state="frozenSplit"/>
      <selection pane="bottomLeft" activeCell="A17" sqref="A17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1" t="s">
        <v>71</v>
      </c>
      <c r="G1" s="51" t="s">
        <v>72</v>
      </c>
      <c r="H1" s="40" t="s">
        <v>73</v>
      </c>
      <c r="I1" s="40" t="s">
        <v>74</v>
      </c>
      <c r="J1" s="40" t="s">
        <v>75</v>
      </c>
      <c r="K1" s="52" t="s">
        <v>88</v>
      </c>
    </row>
    <row r="2" spans="1:11" ht="21" customHeight="1" x14ac:dyDescent="0.15">
      <c r="A2" s="99">
        <v>41001001</v>
      </c>
      <c r="B2" s="45">
        <v>0</v>
      </c>
      <c r="C2" s="45" t="s">
        <v>89</v>
      </c>
      <c r="D2" s="45">
        <v>50</v>
      </c>
      <c r="E2" s="45" t="s">
        <v>217</v>
      </c>
      <c r="F2" s="45" t="s">
        <v>90</v>
      </c>
      <c r="G2" s="45">
        <v>2</v>
      </c>
      <c r="H2" s="45" t="s">
        <v>90</v>
      </c>
      <c r="I2" s="45" t="s">
        <v>90</v>
      </c>
      <c r="J2" s="46">
        <f t="shared" ref="J2" si="0">D2</f>
        <v>50</v>
      </c>
    </row>
    <row r="3" spans="1:11" ht="21" customHeight="1" x14ac:dyDescent="0.15">
      <c r="A3" s="99">
        <v>41001002</v>
      </c>
      <c r="B3" s="45">
        <v>0</v>
      </c>
      <c r="C3" s="45" t="s">
        <v>89</v>
      </c>
      <c r="D3" s="45">
        <v>70</v>
      </c>
      <c r="E3" s="45" t="s">
        <v>217</v>
      </c>
      <c r="F3" s="45" t="s">
        <v>90</v>
      </c>
      <c r="G3" s="45">
        <v>2</v>
      </c>
      <c r="H3" s="45" t="s">
        <v>90</v>
      </c>
      <c r="I3" s="45" t="s">
        <v>90</v>
      </c>
      <c r="J3" s="46">
        <f t="shared" ref="J3" si="1">D3</f>
        <v>70</v>
      </c>
    </row>
    <row r="4" spans="1:11" ht="21" customHeight="1" x14ac:dyDescent="0.15">
      <c r="A4" s="99">
        <v>41001003</v>
      </c>
      <c r="B4" s="45">
        <v>0</v>
      </c>
      <c r="C4" s="45" t="s">
        <v>89</v>
      </c>
      <c r="D4" s="45">
        <v>50</v>
      </c>
      <c r="E4" s="45" t="s">
        <v>217</v>
      </c>
      <c r="F4" s="45" t="s">
        <v>90</v>
      </c>
      <c r="G4" s="45">
        <v>1</v>
      </c>
      <c r="H4" s="45" t="s">
        <v>90</v>
      </c>
      <c r="I4" s="45" t="s">
        <v>90</v>
      </c>
      <c r="J4" s="46">
        <f t="shared" ref="J4" si="2">D4</f>
        <v>50</v>
      </c>
    </row>
    <row r="5" spans="1:11" ht="21" customHeight="1" x14ac:dyDescent="0.15">
      <c r="A5" s="99">
        <v>41001004</v>
      </c>
      <c r="B5" s="45">
        <v>0</v>
      </c>
      <c r="C5" s="45" t="s">
        <v>89</v>
      </c>
      <c r="D5" s="45">
        <v>50</v>
      </c>
      <c r="E5" s="45" t="s">
        <v>217</v>
      </c>
      <c r="F5" s="45" t="s">
        <v>90</v>
      </c>
      <c r="G5" s="45">
        <v>1</v>
      </c>
      <c r="H5" s="45" t="s">
        <v>90</v>
      </c>
      <c r="I5" s="45" t="s">
        <v>90</v>
      </c>
      <c r="J5" s="46">
        <f t="shared" ref="J5" si="3">D5</f>
        <v>50</v>
      </c>
    </row>
    <row r="6" spans="1:11" ht="21" customHeight="1" x14ac:dyDescent="0.15">
      <c r="A6" s="99">
        <v>41001005</v>
      </c>
      <c r="B6" s="45">
        <v>0</v>
      </c>
      <c r="C6" s="45" t="s">
        <v>89</v>
      </c>
      <c r="D6" s="45">
        <v>40</v>
      </c>
      <c r="E6" s="45" t="s">
        <v>217</v>
      </c>
      <c r="F6" s="45" t="s">
        <v>90</v>
      </c>
      <c r="G6" s="45" t="s">
        <v>217</v>
      </c>
      <c r="H6" s="45" t="s">
        <v>90</v>
      </c>
      <c r="I6" s="45" t="s">
        <v>90</v>
      </c>
      <c r="J6" s="46">
        <f t="shared" ref="J6:J10" si="4">D6</f>
        <v>40</v>
      </c>
    </row>
    <row r="7" spans="1:11" ht="21" customHeight="1" x14ac:dyDescent="0.15">
      <c r="A7" s="99">
        <v>41001006</v>
      </c>
      <c r="B7" s="45">
        <v>0</v>
      </c>
      <c r="C7" s="45" t="s">
        <v>89</v>
      </c>
      <c r="D7" s="45">
        <v>40</v>
      </c>
      <c r="E7" s="45" t="s">
        <v>217</v>
      </c>
      <c r="F7" s="45" t="s">
        <v>90</v>
      </c>
      <c r="G7" s="45" t="s">
        <v>230</v>
      </c>
      <c r="H7" s="45" t="s">
        <v>90</v>
      </c>
      <c r="I7" s="45" t="s">
        <v>90</v>
      </c>
      <c r="J7" s="46">
        <f t="shared" si="4"/>
        <v>40</v>
      </c>
    </row>
    <row r="8" spans="1:11" ht="21" customHeight="1" x14ac:dyDescent="0.15">
      <c r="A8" s="99">
        <v>41001007</v>
      </c>
      <c r="B8" s="45">
        <v>0</v>
      </c>
      <c r="C8" s="45" t="s">
        <v>89</v>
      </c>
      <c r="D8" s="45">
        <v>40</v>
      </c>
      <c r="E8" s="45" t="s">
        <v>217</v>
      </c>
      <c r="F8" s="45" t="s">
        <v>90</v>
      </c>
      <c r="G8" s="45" t="s">
        <v>230</v>
      </c>
      <c r="H8" s="45" t="s">
        <v>90</v>
      </c>
      <c r="I8" s="45" t="s">
        <v>90</v>
      </c>
      <c r="J8" s="46">
        <f t="shared" si="4"/>
        <v>40</v>
      </c>
    </row>
    <row r="9" spans="1:11" ht="21" customHeight="1" x14ac:dyDescent="0.15">
      <c r="A9" s="99">
        <v>41001008</v>
      </c>
      <c r="B9" s="45">
        <v>1</v>
      </c>
      <c r="C9" s="45" t="s">
        <v>89</v>
      </c>
      <c r="D9" s="45">
        <v>100</v>
      </c>
      <c r="E9" s="45" t="s">
        <v>217</v>
      </c>
      <c r="F9" s="45" t="s">
        <v>90</v>
      </c>
      <c r="G9" s="45">
        <v>1</v>
      </c>
      <c r="H9" s="45" t="s">
        <v>90</v>
      </c>
      <c r="I9" s="45" t="s">
        <v>90</v>
      </c>
      <c r="J9" s="46">
        <f t="shared" si="4"/>
        <v>100</v>
      </c>
    </row>
    <row r="10" spans="1:11" ht="21" customHeight="1" x14ac:dyDescent="0.15">
      <c r="A10" s="99">
        <v>41001009</v>
      </c>
      <c r="B10" s="45">
        <v>0</v>
      </c>
      <c r="C10" s="45" t="s">
        <v>89</v>
      </c>
      <c r="D10" s="45">
        <v>100</v>
      </c>
      <c r="E10" s="45">
        <v>40</v>
      </c>
      <c r="F10" s="45" t="s">
        <v>90</v>
      </c>
      <c r="G10" s="45">
        <v>1</v>
      </c>
      <c r="H10" s="45" t="s">
        <v>90</v>
      </c>
      <c r="I10" s="45" t="s">
        <v>90</v>
      </c>
      <c r="J10" s="46">
        <f t="shared" si="4"/>
        <v>100</v>
      </c>
    </row>
    <row r="11" spans="1:11" ht="21" customHeight="1" x14ac:dyDescent="0.15">
      <c r="A11" s="99">
        <v>41001010</v>
      </c>
      <c r="B11" s="45">
        <v>0</v>
      </c>
      <c r="C11" s="45" t="s">
        <v>89</v>
      </c>
      <c r="D11" s="45">
        <v>100</v>
      </c>
      <c r="E11" s="45">
        <v>50</v>
      </c>
      <c r="F11" s="45" t="s">
        <v>90</v>
      </c>
      <c r="G11" s="45">
        <v>1</v>
      </c>
      <c r="H11" s="45" t="s">
        <v>90</v>
      </c>
      <c r="I11" s="45" t="s">
        <v>90</v>
      </c>
      <c r="J11" s="46">
        <f t="shared" ref="J11:J12" si="5">D11</f>
        <v>100</v>
      </c>
    </row>
    <row r="12" spans="1:11" ht="21" customHeight="1" x14ac:dyDescent="0.15">
      <c r="A12" s="99">
        <v>41001011</v>
      </c>
      <c r="B12" s="45">
        <v>0</v>
      </c>
      <c r="C12" s="45" t="s">
        <v>89</v>
      </c>
      <c r="D12" s="45">
        <v>50</v>
      </c>
      <c r="E12" s="45" t="s">
        <v>217</v>
      </c>
      <c r="F12" s="45" t="s">
        <v>90</v>
      </c>
      <c r="G12" s="45" t="s">
        <v>217</v>
      </c>
      <c r="H12" s="45" t="s">
        <v>90</v>
      </c>
      <c r="I12" s="45" t="s">
        <v>90</v>
      </c>
      <c r="J12" s="46">
        <f t="shared" si="5"/>
        <v>50</v>
      </c>
    </row>
    <row r="13" spans="1:11" ht="21" customHeight="1" x14ac:dyDescent="0.15">
      <c r="A13" s="99">
        <v>41001012</v>
      </c>
      <c r="B13" s="45">
        <v>0</v>
      </c>
      <c r="C13" s="45" t="s">
        <v>89</v>
      </c>
      <c r="D13" s="45">
        <v>100</v>
      </c>
      <c r="E13" s="45">
        <v>40</v>
      </c>
      <c r="F13" s="45" t="s">
        <v>90</v>
      </c>
      <c r="G13" s="45">
        <v>1</v>
      </c>
      <c r="H13" s="45" t="s">
        <v>90</v>
      </c>
      <c r="I13" s="45" t="s">
        <v>90</v>
      </c>
      <c r="J13" s="46">
        <f t="shared" ref="J13:J23" si="6">D13</f>
        <v>100</v>
      </c>
    </row>
    <row r="14" spans="1:11" ht="21" customHeight="1" x14ac:dyDescent="0.15">
      <c r="A14" s="107">
        <v>41001013</v>
      </c>
      <c r="B14" s="45">
        <v>0</v>
      </c>
      <c r="C14" s="45" t="s">
        <v>89</v>
      </c>
      <c r="D14" s="45">
        <v>50</v>
      </c>
      <c r="E14" s="45" t="s">
        <v>217</v>
      </c>
      <c r="F14" s="45" t="s">
        <v>90</v>
      </c>
      <c r="G14" s="45" t="s">
        <v>263</v>
      </c>
      <c r="H14" s="45">
        <v>2</v>
      </c>
      <c r="I14" s="45" t="s">
        <v>90</v>
      </c>
      <c r="J14" s="46">
        <f t="shared" si="6"/>
        <v>50</v>
      </c>
    </row>
    <row r="15" spans="1:11" ht="21" customHeight="1" x14ac:dyDescent="0.15">
      <c r="A15" s="107">
        <v>41001014</v>
      </c>
      <c r="B15" s="45">
        <v>1</v>
      </c>
      <c r="C15" s="45" t="s">
        <v>89</v>
      </c>
      <c r="D15" s="45">
        <v>100</v>
      </c>
      <c r="E15" s="45" t="s">
        <v>217</v>
      </c>
      <c r="F15" s="45" t="s">
        <v>90</v>
      </c>
      <c r="G15" s="45">
        <v>1</v>
      </c>
      <c r="H15" s="45" t="s">
        <v>90</v>
      </c>
      <c r="I15" s="45" t="s">
        <v>90</v>
      </c>
      <c r="J15" s="46">
        <f t="shared" si="6"/>
        <v>100</v>
      </c>
    </row>
    <row r="16" spans="1:11" ht="21" customHeight="1" x14ac:dyDescent="0.15">
      <c r="A16" s="107">
        <v>41001015</v>
      </c>
      <c r="B16" s="45">
        <v>0</v>
      </c>
      <c r="C16" s="45" t="s">
        <v>53</v>
      </c>
      <c r="D16" s="45">
        <v>100</v>
      </c>
      <c r="E16" s="45">
        <v>30</v>
      </c>
      <c r="F16" s="45" t="s">
        <v>53</v>
      </c>
      <c r="G16" s="45">
        <v>1</v>
      </c>
      <c r="H16" s="45" t="s">
        <v>53</v>
      </c>
      <c r="I16" s="45" t="s">
        <v>53</v>
      </c>
      <c r="J16" s="46">
        <f t="shared" si="6"/>
        <v>100</v>
      </c>
    </row>
    <row r="17" spans="1:10" ht="21" customHeight="1" x14ac:dyDescent="0.15">
      <c r="A17" s="107">
        <v>41001016</v>
      </c>
      <c r="B17" s="45">
        <v>1</v>
      </c>
      <c r="C17" s="45" t="s">
        <v>89</v>
      </c>
      <c r="D17" s="45">
        <v>100</v>
      </c>
      <c r="E17" s="45" t="s">
        <v>89</v>
      </c>
      <c r="F17" s="45" t="s">
        <v>89</v>
      </c>
      <c r="G17" s="45">
        <v>1</v>
      </c>
      <c r="H17" s="45" t="s">
        <v>89</v>
      </c>
      <c r="I17" s="45" t="s">
        <v>89</v>
      </c>
      <c r="J17" s="46">
        <f t="shared" ref="J17" si="7">D17</f>
        <v>100</v>
      </c>
    </row>
    <row r="18" spans="1:10" ht="21" customHeight="1" x14ac:dyDescent="0.15">
      <c r="A18" s="107">
        <v>41001017</v>
      </c>
      <c r="B18" s="45">
        <v>0</v>
      </c>
      <c r="C18" s="45" t="s">
        <v>89</v>
      </c>
      <c r="D18" s="45">
        <v>30</v>
      </c>
      <c r="E18" s="45" t="s">
        <v>217</v>
      </c>
      <c r="F18" s="45" t="s">
        <v>90</v>
      </c>
      <c r="G18" s="45" t="s">
        <v>217</v>
      </c>
      <c r="H18" s="45" t="s">
        <v>90</v>
      </c>
      <c r="I18" s="45" t="s">
        <v>90</v>
      </c>
      <c r="J18" s="46">
        <f t="shared" si="6"/>
        <v>30</v>
      </c>
    </row>
    <row r="19" spans="1:10" ht="21" customHeight="1" x14ac:dyDescent="0.15">
      <c r="A19" s="107">
        <v>41001018</v>
      </c>
      <c r="B19" s="45">
        <v>0</v>
      </c>
      <c r="C19" s="45" t="s">
        <v>89</v>
      </c>
      <c r="D19" s="45">
        <v>50</v>
      </c>
      <c r="E19" s="45" t="s">
        <v>217</v>
      </c>
      <c r="F19" s="45" t="s">
        <v>90</v>
      </c>
      <c r="G19" s="45">
        <v>3</v>
      </c>
      <c r="H19" s="45" t="s">
        <v>90</v>
      </c>
      <c r="I19" s="45" t="s">
        <v>90</v>
      </c>
      <c r="J19" s="46">
        <f t="shared" si="6"/>
        <v>50</v>
      </c>
    </row>
    <row r="20" spans="1:10" ht="21" customHeight="1" x14ac:dyDescent="0.15">
      <c r="A20" s="107">
        <v>41001019</v>
      </c>
      <c r="B20" s="45">
        <v>0</v>
      </c>
      <c r="C20" s="45" t="s">
        <v>89</v>
      </c>
      <c r="D20" s="45">
        <v>100</v>
      </c>
      <c r="E20" s="45" t="s">
        <v>217</v>
      </c>
      <c r="F20" s="45" t="s">
        <v>90</v>
      </c>
      <c r="G20" s="45">
        <v>3</v>
      </c>
      <c r="H20" s="45">
        <v>3</v>
      </c>
      <c r="I20" s="45" t="s">
        <v>90</v>
      </c>
      <c r="J20" s="46">
        <f t="shared" si="6"/>
        <v>100</v>
      </c>
    </row>
    <row r="21" spans="1:10" ht="21" customHeight="1" x14ac:dyDescent="0.15">
      <c r="A21" s="107">
        <v>41001020</v>
      </c>
      <c r="B21" s="45">
        <v>0</v>
      </c>
      <c r="C21" s="45" t="s">
        <v>89</v>
      </c>
      <c r="D21" s="45">
        <v>100</v>
      </c>
      <c r="E21" s="45">
        <v>30</v>
      </c>
      <c r="F21" s="45" t="s">
        <v>90</v>
      </c>
      <c r="G21" s="45">
        <v>1</v>
      </c>
      <c r="H21" s="45">
        <v>1</v>
      </c>
      <c r="I21" s="45" t="s">
        <v>90</v>
      </c>
      <c r="J21" s="46">
        <f t="shared" si="6"/>
        <v>100</v>
      </c>
    </row>
    <row r="22" spans="1:10" ht="21" customHeight="1" x14ac:dyDescent="0.15">
      <c r="A22" s="107">
        <v>41001021</v>
      </c>
      <c r="B22" s="45">
        <v>1</v>
      </c>
      <c r="C22" s="45" t="s">
        <v>89</v>
      </c>
      <c r="D22" s="45">
        <v>100</v>
      </c>
      <c r="E22" s="45" t="s">
        <v>248</v>
      </c>
      <c r="F22" s="45" t="s">
        <v>90</v>
      </c>
      <c r="G22" s="45">
        <v>1</v>
      </c>
      <c r="H22" s="45" t="s">
        <v>90</v>
      </c>
      <c r="I22" s="45" t="s">
        <v>90</v>
      </c>
      <c r="J22" s="46">
        <f t="shared" si="6"/>
        <v>100</v>
      </c>
    </row>
    <row r="23" spans="1:10" ht="21" customHeight="1" x14ac:dyDescent="0.15">
      <c r="A23" s="107">
        <v>41001022</v>
      </c>
      <c r="B23" s="45">
        <v>0</v>
      </c>
      <c r="C23" s="45" t="s">
        <v>89</v>
      </c>
      <c r="D23" s="45">
        <v>100</v>
      </c>
      <c r="E23" s="45" t="s">
        <v>248</v>
      </c>
      <c r="F23" s="45" t="s">
        <v>90</v>
      </c>
      <c r="G23" s="45">
        <v>1</v>
      </c>
      <c r="H23" s="45">
        <v>1</v>
      </c>
      <c r="I23" s="45" t="s">
        <v>90</v>
      </c>
      <c r="J23" s="46">
        <f t="shared" si="6"/>
        <v>100</v>
      </c>
    </row>
    <row r="24" spans="1:10" ht="21" customHeight="1" x14ac:dyDescent="0.15">
      <c r="A24" s="107">
        <v>41001023</v>
      </c>
      <c r="B24" s="45">
        <v>0</v>
      </c>
      <c r="C24" s="45" t="s">
        <v>53</v>
      </c>
      <c r="D24" s="45">
        <v>100</v>
      </c>
      <c r="E24" s="45" t="s">
        <v>53</v>
      </c>
      <c r="F24" s="45" t="s">
        <v>53</v>
      </c>
      <c r="G24" s="45">
        <v>1</v>
      </c>
      <c r="H24" s="45">
        <v>2</v>
      </c>
      <c r="I24" s="45" t="s">
        <v>53</v>
      </c>
      <c r="J24" s="46">
        <f t="shared" ref="J24:J25" si="8">D24</f>
        <v>100</v>
      </c>
    </row>
    <row r="25" spans="1:10" ht="21" customHeight="1" x14ac:dyDescent="0.15">
      <c r="A25" s="107">
        <v>41001024</v>
      </c>
      <c r="B25" s="45">
        <v>0</v>
      </c>
      <c r="C25" s="45" t="s">
        <v>53</v>
      </c>
      <c r="D25" s="45">
        <v>100</v>
      </c>
      <c r="E25" s="45" t="s">
        <v>53</v>
      </c>
      <c r="F25" s="45" t="s">
        <v>53</v>
      </c>
      <c r="G25" s="45">
        <v>1</v>
      </c>
      <c r="H25" s="45">
        <v>3</v>
      </c>
      <c r="I25" s="45" t="s">
        <v>53</v>
      </c>
      <c r="J25" s="46">
        <f t="shared" si="8"/>
        <v>100</v>
      </c>
    </row>
  </sheetData>
  <autoFilter ref="A1:G1"/>
  <phoneticPr fontId="5"/>
  <conditionalFormatting sqref="K26:K1048576 K1:K2">
    <cfRule type="duplicateValues" dxfId="23" priority="30"/>
  </conditionalFormatting>
  <conditionalFormatting sqref="K3">
    <cfRule type="duplicateValues" dxfId="22" priority="29"/>
  </conditionalFormatting>
  <conditionalFormatting sqref="K4">
    <cfRule type="duplicateValues" dxfId="21" priority="28"/>
  </conditionalFormatting>
  <conditionalFormatting sqref="K5">
    <cfRule type="duplicateValues" dxfId="20" priority="27"/>
  </conditionalFormatting>
  <conditionalFormatting sqref="K6">
    <cfRule type="duplicateValues" dxfId="19" priority="26"/>
  </conditionalFormatting>
  <conditionalFormatting sqref="K7">
    <cfRule type="duplicateValues" dxfId="18" priority="25"/>
  </conditionalFormatting>
  <conditionalFormatting sqref="K8">
    <cfRule type="duplicateValues" dxfId="17" priority="24"/>
  </conditionalFormatting>
  <conditionalFormatting sqref="K9">
    <cfRule type="duplicateValues" dxfId="16" priority="23"/>
  </conditionalFormatting>
  <conditionalFormatting sqref="K10">
    <cfRule type="duplicateValues" dxfId="15" priority="22"/>
  </conditionalFormatting>
  <conditionalFormatting sqref="K11">
    <cfRule type="duplicateValues" dxfId="14" priority="20"/>
  </conditionalFormatting>
  <conditionalFormatting sqref="K12">
    <cfRule type="duplicateValues" dxfId="13" priority="19"/>
  </conditionalFormatting>
  <conditionalFormatting sqref="K13">
    <cfRule type="duplicateValues" dxfId="12" priority="18"/>
  </conditionalFormatting>
  <conditionalFormatting sqref="K14">
    <cfRule type="duplicateValues" dxfId="11" priority="17"/>
  </conditionalFormatting>
  <conditionalFormatting sqref="K15">
    <cfRule type="duplicateValues" dxfId="10" priority="15"/>
  </conditionalFormatting>
  <conditionalFormatting sqref="K18">
    <cfRule type="duplicateValues" dxfId="9" priority="13"/>
  </conditionalFormatting>
  <conditionalFormatting sqref="K19">
    <cfRule type="duplicateValues" dxfId="8" priority="12"/>
  </conditionalFormatting>
  <conditionalFormatting sqref="K20">
    <cfRule type="duplicateValues" dxfId="7" priority="11"/>
  </conditionalFormatting>
  <conditionalFormatting sqref="K21">
    <cfRule type="duplicateValues" dxfId="6" priority="10"/>
  </conditionalFormatting>
  <conditionalFormatting sqref="K22">
    <cfRule type="duplicateValues" dxfId="5" priority="9"/>
  </conditionalFormatting>
  <conditionalFormatting sqref="K23">
    <cfRule type="duplicateValues" dxfId="4" priority="8"/>
  </conditionalFormatting>
  <conditionalFormatting sqref="K16">
    <cfRule type="duplicateValues" dxfId="3" priority="4"/>
  </conditionalFormatting>
  <conditionalFormatting sqref="K24">
    <cfRule type="duplicateValues" dxfId="2" priority="3"/>
  </conditionalFormatting>
  <conditionalFormatting sqref="K25">
    <cfRule type="duplicateValues" dxfId="1" priority="2"/>
  </conditionalFormatting>
  <conditionalFormatting sqref="K17">
    <cfRule type="duplicateValues" dxfId="0" priority="1"/>
  </conditionalFormatting>
  <printOptions gridLines="1"/>
  <pageMargins left="0.75" right="0.75" top="1" bottom="1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8"/>
  <sheetViews>
    <sheetView showGridLines="0" zoomScale="75" zoomScaleNormal="75" zoomScalePageLayoutView="75" workbookViewId="0">
      <pane xSplit="5" ySplit="1" topLeftCell="F2" activePane="bottomRight" state="frozen"/>
      <selection pane="topRight"/>
      <selection pane="bottomLeft"/>
      <selection pane="bottomRight" activeCell="E16" sqref="E16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" si="0">B2&amp;"_"&amp;C2</f>
        <v>41001001_41001001</v>
      </c>
      <c r="B2" s="99">
        <v>41001001</v>
      </c>
      <c r="C2" s="99">
        <v>41001001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スピードスター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" s="99">
        <v>41001001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5"/>
      <c r="Q2" s="45"/>
      <c r="R2" s="45"/>
    </row>
    <row r="3" spans="1:18" ht="21" customHeight="1" x14ac:dyDescent="0.15">
      <c r="A3" s="37" t="str">
        <f t="shared" ref="A3" si="1">B3&amp;"_"&amp;C3</f>
        <v>41001002_41001002</v>
      </c>
      <c r="B3" s="99">
        <v>41001002</v>
      </c>
      <c r="C3" s="99">
        <v>41001002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デジタルマジック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単体攻撃&amp;1体のみスキルを3ターン使えなくする！</v>
      </c>
      <c r="F3" s="99">
        <v>41001002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" s="45"/>
      <c r="Q3" s="45"/>
      <c r="R3" s="45"/>
    </row>
    <row r="4" spans="1:18" ht="21" customHeight="1" x14ac:dyDescent="0.15">
      <c r="A4" s="37" t="str">
        <f t="shared" ref="A4" si="2">B4&amp;"_"&amp;C4</f>
        <v>41001003_41001003</v>
      </c>
      <c r="B4" s="99">
        <v>41001003</v>
      </c>
      <c r="C4" s="99">
        <v>41001003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ハイパーリラックス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次のターン超強力な攻撃</v>
      </c>
      <c r="F4" s="99">
        <v>41001003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5"/>
      <c r="Q4" s="45"/>
      <c r="R4" s="45"/>
    </row>
    <row r="5" spans="1:18" ht="21" customHeight="1" x14ac:dyDescent="0.15">
      <c r="A5" s="37" t="str">
        <f t="shared" ref="A5" si="3">B5&amp;"_"&amp;C5</f>
        <v>41001004_41001004</v>
      </c>
      <c r="B5" s="99">
        <v>41001004</v>
      </c>
      <c r="C5" s="99">
        <v>41001004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火酒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3ターン攻撃力超大UP</v>
      </c>
      <c r="F5" s="99">
        <v>41001004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5"/>
      <c r="Q5" s="45"/>
      <c r="R5" s="45"/>
    </row>
    <row r="6" spans="1:18" ht="21" customHeight="1" x14ac:dyDescent="0.15">
      <c r="A6" s="37" t="str">
        <f t="shared" ref="A6:A10" si="4">B6&amp;"_"&amp;C6</f>
        <v>41001005_41001005</v>
      </c>
      <c r="B6" s="99">
        <v>41001005</v>
      </c>
      <c r="C6" s="99">
        <v>41001005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渓谷の霧雨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赤属性ユニットに大ダメージ&amp;1ターン暗闇状態</v>
      </c>
      <c r="F6" s="99">
        <v>41001005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" s="45"/>
      <c r="Q6" s="45"/>
      <c r="R6" s="45"/>
    </row>
    <row r="7" spans="1:18" ht="21" customHeight="1" x14ac:dyDescent="0.15">
      <c r="A7" s="37" t="str">
        <f t="shared" si="4"/>
        <v>41001005_41001006</v>
      </c>
      <c r="B7" s="99">
        <v>41001005</v>
      </c>
      <c r="C7" s="99">
        <v>41001006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深山の芽吹き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黄属性の敵に大ダメージ&amp;小回復</v>
      </c>
      <c r="F7" s="99">
        <v>41001006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" s="45"/>
      <c r="Q7" s="45"/>
      <c r="R7" s="45"/>
    </row>
    <row r="8" spans="1:18" ht="21" customHeight="1" x14ac:dyDescent="0.15">
      <c r="A8" s="37" t="str">
        <f t="shared" si="4"/>
        <v>41001005_41001007</v>
      </c>
      <c r="B8" s="99">
        <v>41001005</v>
      </c>
      <c r="C8" s="99">
        <v>41001007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灼熱の火炎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緑属性の敵に大ダメージ&amp;行動頻度UP</v>
      </c>
      <c r="F8" s="99">
        <v>41001007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" s="45"/>
      <c r="Q8" s="45"/>
      <c r="R8" s="45"/>
    </row>
    <row r="9" spans="1:18" ht="21" customHeight="1" x14ac:dyDescent="0.15">
      <c r="A9" s="37" t="str">
        <f t="shared" si="4"/>
        <v>41001005_41001008</v>
      </c>
      <c r="B9" s="99">
        <v>41001005</v>
      </c>
      <c r="C9" s="99">
        <v>41001008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炎華の香り・永代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解除するまで毎ターンダメージを受ける！</v>
      </c>
      <c r="F9" s="99">
        <v>41001008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6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4"/>
        <v>41001005_41001009</v>
      </c>
      <c r="B10" s="99">
        <v>41001005</v>
      </c>
      <c r="C10" s="99">
        <v>41001009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炎華の香り・真打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5ターンの間ダメージを受ける！</v>
      </c>
      <c r="F10" s="99">
        <v>41001009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ref="A11" si="5">B11&amp;"_"&amp;C11</f>
        <v>41001006_41001010</v>
      </c>
      <c r="B11" s="99">
        <v>41001006</v>
      </c>
      <c r="C11" s="99">
        <v>41001010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神代の呪詛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解除するまで回復力が100％DOWN</v>
      </c>
      <c r="F11" s="99">
        <v>41001010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ref="A12:A13" si="6">B12&amp;"_"&amp;C12</f>
        <v>41001007_41001011</v>
      </c>
      <c r="B12" s="99">
        <v>41001007</v>
      </c>
      <c r="C12" s="99">
        <v>41001011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神をも燃やす天の炎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種族ゴッドのユニットに大ダメージ！</v>
      </c>
      <c r="F12" s="99">
        <v>41001011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" s="45"/>
      <c r="Q12" s="45"/>
      <c r="R12" s="45"/>
    </row>
    <row r="13" spans="1:18" ht="21" customHeight="1" x14ac:dyDescent="0.15">
      <c r="A13" s="37" t="str">
        <f t="shared" si="6"/>
        <v>41001007_41001012</v>
      </c>
      <c r="B13" s="99">
        <v>41001007</v>
      </c>
      <c r="C13" s="99">
        <v>41001012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岩戸隠れ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解除するまで防御力超大UP＆攻撃力UP</v>
      </c>
      <c r="F13" s="99">
        <v>41001012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ref="A14" si="7">B14&amp;"_"&amp;C14</f>
        <v>41001008_41001013</v>
      </c>
      <c r="B14" s="107">
        <v>41001008</v>
      </c>
      <c r="C14" s="107">
        <v>41001013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アラミタマ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14" s="107">
        <v>41001013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6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5"/>
      <c r="Q14" s="45"/>
      <c r="R14" s="45"/>
    </row>
    <row r="15" spans="1:18" ht="21" customHeight="1" x14ac:dyDescent="0.15">
      <c r="A15" s="37" t="str">
        <f t="shared" ref="A15" si="8">B15&amp;"_"&amp;C15</f>
        <v>41001009_41001014</v>
      </c>
      <c r="B15" s="107">
        <v>41001009</v>
      </c>
      <c r="C15" s="107">
        <v>41001014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神降りの緋儀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6ターンの間攻撃力UP&amp;防御力UP</v>
      </c>
      <c r="F15" s="107">
        <v>41001014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6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ref="A16:A20" si="9">B16&amp;"_"&amp;C16</f>
        <v>41001009_41001015</v>
      </c>
      <c r="B16" s="107">
        <v>41001009</v>
      </c>
      <c r="C16" s="107">
        <v>41001015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八百万の呪怨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8ターンの間回復力&amp;パネルタップ回数を超大DOWN</v>
      </c>
      <c r="F16" s="107">
        <v>41001015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9"/>
        <v>41001109_41001014</v>
      </c>
      <c r="B17" s="107">
        <v>41001109</v>
      </c>
      <c r="C17" s="107">
        <v>41001014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神降りの緋儀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6ターンの間攻撃力UP&amp;防御力UP</v>
      </c>
      <c r="F17" s="107">
        <v>41001014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6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ref="A18" si="10">B18&amp;"_"&amp;C18</f>
        <v>41001109_41001115</v>
      </c>
      <c r="B18" s="107">
        <v>41001109</v>
      </c>
      <c r="C18" s="107">
        <v>41001115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神代の呪詛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解除するまで回復力超大DOWN</v>
      </c>
      <c r="F18" s="107">
        <v>41001015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9"/>
        <v>41001010_41001011</v>
      </c>
      <c r="B19" s="107">
        <v>41001010</v>
      </c>
      <c r="C19" s="99">
        <v>41001011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神をも燃やす天の炎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種族ゴッドのユニットに大ダメージ！</v>
      </c>
      <c r="F19" s="99">
        <v>41001011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9" s="45"/>
      <c r="Q19" s="45"/>
      <c r="R19" s="45"/>
    </row>
    <row r="20" spans="1:18" ht="21" customHeight="1" x14ac:dyDescent="0.15">
      <c r="A20" s="37" t="str">
        <f t="shared" si="9"/>
        <v>41001011_41001016</v>
      </c>
      <c r="B20" s="107">
        <v>41001011</v>
      </c>
      <c r="C20" s="107">
        <v>41001016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そろそろ終わりにしましょう・・・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神の威光で全ユニットの攻撃力を3ターンDOWN</v>
      </c>
      <c r="F20" s="107">
        <v>41001016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6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ref="A21" si="11">B21&amp;"_"&amp;C21</f>
        <v>41001011_41001017</v>
      </c>
      <c r="B21" s="107">
        <v>41001011</v>
      </c>
      <c r="C21" s="107">
        <v>41001017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神威古譚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全体攻撃&amp;1ターンスキルバインド</v>
      </c>
      <c r="F21" s="107">
        <v>41001017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1" s="45"/>
      <c r="Q21" s="45"/>
      <c r="R21" s="45"/>
    </row>
    <row r="22" spans="1:18" ht="21" customHeight="1" x14ac:dyDescent="0.15">
      <c r="A22" s="37" t="str">
        <f t="shared" ref="A22" si="12">B22&amp;"_"&amp;C22</f>
        <v>41001011_41001018</v>
      </c>
      <c r="B22" s="107">
        <v>41001011</v>
      </c>
      <c r="C22" s="107">
        <v>41001018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祓い給へ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単体攻撃&amp;青パネルを8個プロテクト</v>
      </c>
      <c r="F22" s="107">
        <v>41001018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2" s="4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5"/>
      <c r="Q22" s="45"/>
      <c r="R22" s="45"/>
    </row>
    <row r="23" spans="1:18" ht="21" customHeight="1" x14ac:dyDescent="0.15">
      <c r="A23" s="37" t="str">
        <f t="shared" ref="A23" si="13">B23&amp;"_"&amp;C23</f>
        <v>41001011_41001019</v>
      </c>
      <c r="B23" s="107">
        <v>41001011</v>
      </c>
      <c r="C23" s="107">
        <v>41001019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清め給へ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23" s="107">
        <v>41001019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46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ht="21" customHeight="1" x14ac:dyDescent="0.15">
      <c r="A24" s="37" t="str">
        <f t="shared" ref="A24" si="14">B24&amp;"_"&amp;C24</f>
        <v>41001011_41001020</v>
      </c>
      <c r="B24" s="107">
        <v>41001011</v>
      </c>
      <c r="C24" s="107">
        <v>41001020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天叢雲之神剣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全体攻撃&amp;種族ゴッドのユニットに大ダメージ！</v>
      </c>
      <c r="F24" s="107">
        <v>41001020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6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ht="21" customHeight="1" x14ac:dyDescent="0.15">
      <c r="A25" s="37" t="str">
        <f t="shared" ref="A25" si="15">B25&amp;"_"&amp;C25</f>
        <v>41001012_41001021</v>
      </c>
      <c r="B25" s="107">
        <v>41001012</v>
      </c>
      <c r="C25" s="107">
        <v>41001021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天石窟「磐戸籠り」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4ターン防御力&amp;攻撃力激烈UP＋2ターン暗闇状態</v>
      </c>
      <c r="F25" s="107">
        <v>41001021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6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ref="A26" si="16">B26&amp;"_"&amp;C26</f>
        <v>41001012_41001022</v>
      </c>
      <c r="B26" s="107">
        <v>41001012</v>
      </c>
      <c r="C26" s="107">
        <v>41001022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高禍原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解除するまで毎ターンダメージを受ける！</v>
      </c>
      <c r="F26" s="107">
        <v>41001022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6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ht="21" customHeight="1" x14ac:dyDescent="0.15">
      <c r="A27" s="37" t="str">
        <f t="shared" ref="A27:A28" si="17">B27&amp;"_"&amp;C27</f>
        <v>41001012_41001023</v>
      </c>
      <c r="B27" s="107">
        <v>41001012</v>
      </c>
      <c r="C27" s="107">
        <v>41001023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思い知らせてあげましょう_x000D_　真の絶望というものを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強大な力で山のような大岩をこちらへと投げ飛ばす！_x000D_　　　　2ターン後に即死級大ダメージ！！</v>
      </c>
      <c r="F27" s="107">
        <v>41001023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6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ht="21" customHeight="1" x14ac:dyDescent="0.15">
      <c r="A28" s="37" t="str">
        <f t="shared" si="17"/>
        <v>41001012_41001024</v>
      </c>
      <c r="B28" s="107">
        <v>41001012</v>
      </c>
      <c r="C28" s="107">
        <v>41001024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戸隠山落とし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大岩が降ってきて全体に大ダメージ！</v>
      </c>
      <c r="F28" s="107">
        <v>41001024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6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</sheetData>
  <autoFilter ref="A1:R1"/>
  <phoneticPr fontId="5"/>
  <pageMargins left="0.75" right="0.75" top="1" bottom="1" header="0.3" footer="0.3"/>
  <pageSetup paperSize="9" orientation="portrait" horizontalDpi="0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6"/>
  <sheetViews>
    <sheetView tabSelected="1" zoomScale="84" workbookViewId="0">
      <selection activeCell="P13" sqref="P1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151</v>
      </c>
      <c r="B1" s="62" t="s">
        <v>152</v>
      </c>
      <c r="C1" s="63" t="s">
        <v>153</v>
      </c>
      <c r="D1" s="70" t="s">
        <v>154</v>
      </c>
      <c r="E1" s="64" t="s">
        <v>155</v>
      </c>
      <c r="F1" s="62" t="s">
        <v>156</v>
      </c>
      <c r="G1" s="62" t="s">
        <v>157</v>
      </c>
      <c r="H1" s="62" t="s">
        <v>158</v>
      </c>
      <c r="I1" s="62" t="s">
        <v>159</v>
      </c>
      <c r="J1" s="62" t="s">
        <v>160</v>
      </c>
      <c r="K1" s="62" t="s">
        <v>161</v>
      </c>
      <c r="L1" s="62" t="s">
        <v>162</v>
      </c>
      <c r="M1" s="62" t="s">
        <v>163</v>
      </c>
      <c r="N1" s="62" t="s">
        <v>164</v>
      </c>
      <c r="O1" s="62" t="s">
        <v>165</v>
      </c>
      <c r="P1" s="62" t="s">
        <v>166</v>
      </c>
      <c r="Q1" s="62" t="s">
        <v>167</v>
      </c>
      <c r="R1" s="62" t="s">
        <v>168</v>
      </c>
    </row>
    <row r="2" spans="1:18" x14ac:dyDescent="0.15">
      <c r="A2" s="55">
        <v>41001</v>
      </c>
      <c r="B2" s="80">
        <v>1</v>
      </c>
      <c r="C2" s="69" t="str">
        <f>A2&amp; "_"&amp;B2</f>
        <v>41001_1</v>
      </c>
      <c r="D2" s="16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0">
        <v>1</v>
      </c>
      <c r="F2" s="80" t="s">
        <v>169</v>
      </c>
      <c r="G2" s="80">
        <v>40000</v>
      </c>
      <c r="H2" s="80" t="s">
        <v>299</v>
      </c>
      <c r="I2" s="80">
        <v>1</v>
      </c>
      <c r="J2" s="80">
        <v>1</v>
      </c>
      <c r="K2" s="80">
        <v>0</v>
      </c>
      <c r="L2" s="80">
        <v>0</v>
      </c>
      <c r="M2" s="80">
        <v>0</v>
      </c>
      <c r="N2" s="80">
        <v>0</v>
      </c>
      <c r="O2" s="80">
        <v>1</v>
      </c>
      <c r="P2" s="80">
        <v>150</v>
      </c>
      <c r="Q2" s="80" t="s">
        <v>170</v>
      </c>
      <c r="R2" s="80" t="s">
        <v>171</v>
      </c>
    </row>
    <row r="3" spans="1:18" x14ac:dyDescent="0.15">
      <c r="A3" s="55">
        <v>41001</v>
      </c>
      <c r="B3" s="80">
        <v>1</v>
      </c>
      <c r="C3" s="69" t="str">
        <f t="shared" ref="C3:C11" si="0">A3&amp; "_"&amp;B3</f>
        <v>41001_1</v>
      </c>
      <c r="D3" s="16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0">
        <v>2</v>
      </c>
      <c r="F3" s="80" t="s">
        <v>300</v>
      </c>
      <c r="G3" s="80">
        <v>30</v>
      </c>
      <c r="H3" s="80" t="s">
        <v>299</v>
      </c>
      <c r="I3" s="80">
        <v>1</v>
      </c>
      <c r="J3" s="80">
        <v>1</v>
      </c>
      <c r="K3" s="80">
        <v>0</v>
      </c>
      <c r="L3" s="80">
        <v>0</v>
      </c>
      <c r="M3" s="80">
        <v>0</v>
      </c>
      <c r="N3" s="80">
        <v>0</v>
      </c>
      <c r="O3" s="80">
        <v>1</v>
      </c>
      <c r="P3" s="80">
        <v>150</v>
      </c>
      <c r="Q3" s="80" t="s">
        <v>170</v>
      </c>
      <c r="R3" s="80" t="s">
        <v>171</v>
      </c>
    </row>
    <row r="4" spans="1:18" x14ac:dyDescent="0.15">
      <c r="A4" s="55">
        <v>41001</v>
      </c>
      <c r="B4" s="80">
        <v>1</v>
      </c>
      <c r="C4" s="69" t="str">
        <f t="shared" si="0"/>
        <v>41001_1</v>
      </c>
      <c r="D4" s="16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0">
        <v>3</v>
      </c>
      <c r="F4" s="80" t="s">
        <v>301</v>
      </c>
      <c r="G4" s="115">
        <v>333</v>
      </c>
      <c r="H4" s="80">
        <v>1</v>
      </c>
      <c r="I4" s="80">
        <v>1</v>
      </c>
      <c r="J4" s="80">
        <v>1</v>
      </c>
      <c r="K4" s="80">
        <v>0</v>
      </c>
      <c r="L4" s="80">
        <v>0</v>
      </c>
      <c r="M4" s="80">
        <v>0</v>
      </c>
      <c r="N4" s="80">
        <v>0</v>
      </c>
      <c r="O4" s="80">
        <v>1</v>
      </c>
      <c r="P4" s="80">
        <v>28</v>
      </c>
      <c r="Q4" s="80" t="s">
        <v>170</v>
      </c>
      <c r="R4" s="80" t="s">
        <v>171</v>
      </c>
    </row>
    <row r="5" spans="1:18" x14ac:dyDescent="0.15">
      <c r="A5" s="55">
        <v>41001</v>
      </c>
      <c r="B5" s="80">
        <v>1</v>
      </c>
      <c r="C5" s="69" t="str">
        <f t="shared" si="0"/>
        <v>41001_1</v>
      </c>
      <c r="D5" s="16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0">
        <v>4</v>
      </c>
      <c r="F5" s="80" t="s">
        <v>301</v>
      </c>
      <c r="G5" s="115">
        <v>334</v>
      </c>
      <c r="H5" s="80">
        <v>1</v>
      </c>
      <c r="I5" s="80">
        <v>1</v>
      </c>
      <c r="J5" s="80">
        <v>1</v>
      </c>
      <c r="K5" s="80">
        <v>0</v>
      </c>
      <c r="L5" s="80">
        <v>0</v>
      </c>
      <c r="M5" s="80">
        <v>0</v>
      </c>
      <c r="N5" s="80">
        <v>0</v>
      </c>
      <c r="O5" s="80">
        <v>1</v>
      </c>
      <c r="P5" s="80">
        <v>112</v>
      </c>
      <c r="Q5" s="80" t="s">
        <v>170</v>
      </c>
      <c r="R5" s="80" t="s">
        <v>171</v>
      </c>
    </row>
    <row r="6" spans="1:18" x14ac:dyDescent="0.15">
      <c r="A6" s="55">
        <v>41001</v>
      </c>
      <c r="B6" s="80">
        <v>1</v>
      </c>
      <c r="C6" s="69" t="str">
        <f t="shared" si="0"/>
        <v>41001_1</v>
      </c>
      <c r="D6" s="16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0">
        <v>5</v>
      </c>
      <c r="F6" s="80" t="s">
        <v>301</v>
      </c>
      <c r="G6" s="80">
        <v>121</v>
      </c>
      <c r="H6" s="80">
        <v>1</v>
      </c>
      <c r="I6" s="80">
        <v>1</v>
      </c>
      <c r="J6" s="80">
        <v>1</v>
      </c>
      <c r="K6" s="80">
        <v>0</v>
      </c>
      <c r="L6" s="80">
        <v>0</v>
      </c>
      <c r="M6" s="80">
        <v>0</v>
      </c>
      <c r="N6" s="80">
        <v>0</v>
      </c>
      <c r="O6" s="80">
        <v>1</v>
      </c>
      <c r="P6" s="80">
        <v>100</v>
      </c>
      <c r="Q6" s="80" t="s">
        <v>170</v>
      </c>
      <c r="R6" s="80" t="s">
        <v>171</v>
      </c>
    </row>
    <row r="7" spans="1:18" x14ac:dyDescent="0.15">
      <c r="A7" s="55">
        <v>41001</v>
      </c>
      <c r="B7" s="80">
        <v>1</v>
      </c>
      <c r="C7" s="69" t="str">
        <f t="shared" si="0"/>
        <v>41001_1</v>
      </c>
      <c r="D7" s="16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0">
        <v>6</v>
      </c>
      <c r="F7" s="80" t="s">
        <v>301</v>
      </c>
      <c r="G7" s="80">
        <v>122</v>
      </c>
      <c r="H7" s="80">
        <v>1</v>
      </c>
      <c r="I7" s="80">
        <v>1</v>
      </c>
      <c r="J7" s="80">
        <v>1</v>
      </c>
      <c r="K7" s="80">
        <v>0</v>
      </c>
      <c r="L7" s="80">
        <v>0</v>
      </c>
      <c r="M7" s="80">
        <v>0</v>
      </c>
      <c r="N7" s="80">
        <v>0</v>
      </c>
      <c r="O7" s="80">
        <v>1</v>
      </c>
      <c r="P7" s="80">
        <v>100</v>
      </c>
      <c r="Q7" s="80" t="s">
        <v>170</v>
      </c>
      <c r="R7" s="80" t="s">
        <v>171</v>
      </c>
    </row>
    <row r="8" spans="1:18" x14ac:dyDescent="0.15">
      <c r="A8" s="55">
        <v>41001</v>
      </c>
      <c r="B8" s="80">
        <v>1</v>
      </c>
      <c r="C8" s="69" t="str">
        <f t="shared" si="0"/>
        <v>41001_1</v>
      </c>
      <c r="D8" s="16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0">
        <v>7</v>
      </c>
      <c r="F8" s="80" t="s">
        <v>301</v>
      </c>
      <c r="G8" s="80">
        <v>123</v>
      </c>
      <c r="H8" s="80">
        <v>1</v>
      </c>
      <c r="I8" s="80">
        <v>1</v>
      </c>
      <c r="J8" s="80">
        <v>1</v>
      </c>
      <c r="K8" s="80">
        <v>0</v>
      </c>
      <c r="L8" s="80">
        <v>0</v>
      </c>
      <c r="M8" s="80">
        <v>0</v>
      </c>
      <c r="N8" s="80">
        <v>0</v>
      </c>
      <c r="O8" s="80">
        <v>1</v>
      </c>
      <c r="P8" s="80">
        <v>100</v>
      </c>
      <c r="Q8" s="80" t="s">
        <v>170</v>
      </c>
      <c r="R8" s="80" t="s">
        <v>171</v>
      </c>
    </row>
    <row r="9" spans="1:18" x14ac:dyDescent="0.15">
      <c r="A9" s="55">
        <v>41001</v>
      </c>
      <c r="B9" s="80">
        <v>1</v>
      </c>
      <c r="C9" s="69" t="str">
        <f t="shared" si="0"/>
        <v>41001_1</v>
      </c>
      <c r="D9" s="16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0">
        <v>8</v>
      </c>
      <c r="F9" s="80" t="s">
        <v>301</v>
      </c>
      <c r="G9" s="80">
        <v>125</v>
      </c>
      <c r="H9" s="80">
        <v>1</v>
      </c>
      <c r="I9" s="80">
        <v>1</v>
      </c>
      <c r="J9" s="80">
        <v>1</v>
      </c>
      <c r="K9" s="80">
        <v>0</v>
      </c>
      <c r="L9" s="80">
        <v>0</v>
      </c>
      <c r="M9" s="80">
        <v>0</v>
      </c>
      <c r="N9" s="80">
        <v>0</v>
      </c>
      <c r="O9" s="80">
        <v>1</v>
      </c>
      <c r="P9" s="80">
        <v>10</v>
      </c>
      <c r="Q9" s="80" t="s">
        <v>170</v>
      </c>
      <c r="R9" s="80" t="s">
        <v>171</v>
      </c>
    </row>
    <row r="10" spans="1:18" x14ac:dyDescent="0.15">
      <c r="A10" s="55">
        <v>41001</v>
      </c>
      <c r="B10" s="80">
        <v>1</v>
      </c>
      <c r="C10" s="69" t="str">
        <f t="shared" si="0"/>
        <v>41001_1</v>
      </c>
      <c r="D10" s="16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0">
        <v>9</v>
      </c>
      <c r="F10" s="80" t="s">
        <v>301</v>
      </c>
      <c r="G10" s="120">
        <v>278</v>
      </c>
      <c r="H10" s="80">
        <v>1</v>
      </c>
      <c r="I10" s="80">
        <v>1</v>
      </c>
      <c r="J10" s="80">
        <v>1</v>
      </c>
      <c r="K10" s="80">
        <v>0</v>
      </c>
      <c r="L10" s="80">
        <v>0</v>
      </c>
      <c r="M10" s="80">
        <v>0</v>
      </c>
      <c r="N10" s="80">
        <v>0</v>
      </c>
      <c r="O10" s="80">
        <v>1</v>
      </c>
      <c r="P10" s="80">
        <v>100</v>
      </c>
      <c r="Q10" s="80" t="s">
        <v>170</v>
      </c>
      <c r="R10" s="80" t="s">
        <v>171</v>
      </c>
    </row>
    <row r="11" spans="1:18" ht="16" thickBot="1" x14ac:dyDescent="0.2">
      <c r="A11" s="116">
        <v>41001</v>
      </c>
      <c r="B11" s="117">
        <v>1</v>
      </c>
      <c r="C11" s="118" t="str">
        <f t="shared" si="0"/>
        <v>41001_1</v>
      </c>
      <c r="D11" s="119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7">
        <v>10</v>
      </c>
      <c r="F11" s="117" t="s">
        <v>301</v>
      </c>
      <c r="G11" s="117">
        <v>348</v>
      </c>
      <c r="H11" s="117">
        <v>1</v>
      </c>
      <c r="I11" s="117">
        <v>1</v>
      </c>
      <c r="J11" s="117">
        <v>1</v>
      </c>
      <c r="K11" s="117">
        <v>0</v>
      </c>
      <c r="L11" s="117">
        <v>0</v>
      </c>
      <c r="M11" s="117">
        <v>0</v>
      </c>
      <c r="N11" s="117">
        <v>0</v>
      </c>
      <c r="O11" s="117">
        <v>1</v>
      </c>
      <c r="P11" s="117">
        <v>150</v>
      </c>
      <c r="Q11" s="117" t="s">
        <v>170</v>
      </c>
      <c r="R11" s="117" t="s">
        <v>171</v>
      </c>
    </row>
    <row r="12" spans="1:18" x14ac:dyDescent="0.15">
      <c r="A12" s="55">
        <v>41001</v>
      </c>
      <c r="B12" s="80">
        <v>2</v>
      </c>
      <c r="C12" s="69" t="str">
        <f t="shared" ref="C12:C18" si="1">A12&amp; "_"&amp;B12</f>
        <v>41001_2</v>
      </c>
      <c r="D12" s="1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0">
        <v>1</v>
      </c>
      <c r="F12" s="80" t="s">
        <v>301</v>
      </c>
      <c r="G12" s="80">
        <v>334</v>
      </c>
      <c r="H12" s="80">
        <v>1</v>
      </c>
      <c r="I12" s="80">
        <v>1</v>
      </c>
      <c r="J12" s="80">
        <v>1</v>
      </c>
      <c r="K12" s="80">
        <v>0</v>
      </c>
      <c r="L12" s="80">
        <v>0</v>
      </c>
      <c r="M12" s="80">
        <v>0</v>
      </c>
      <c r="N12" s="80">
        <v>0</v>
      </c>
      <c r="O12" s="80">
        <v>1</v>
      </c>
      <c r="P12" s="80">
        <v>50</v>
      </c>
      <c r="Q12" s="80" t="s">
        <v>170</v>
      </c>
      <c r="R12" s="80" t="s">
        <v>171</v>
      </c>
    </row>
    <row r="13" spans="1:18" x14ac:dyDescent="0.15">
      <c r="A13" s="55">
        <v>41001</v>
      </c>
      <c r="B13" s="80">
        <v>2</v>
      </c>
      <c r="C13" s="69" t="str">
        <f t="shared" si="1"/>
        <v>41001_2</v>
      </c>
      <c r="D13" s="16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0">
        <v>2</v>
      </c>
      <c r="F13" s="80" t="s">
        <v>301</v>
      </c>
      <c r="G13" s="115">
        <v>348</v>
      </c>
      <c r="H13" s="80">
        <v>1</v>
      </c>
      <c r="I13" s="80">
        <v>1</v>
      </c>
      <c r="J13" s="80">
        <v>1</v>
      </c>
      <c r="K13" s="80">
        <v>0</v>
      </c>
      <c r="L13" s="80">
        <v>0</v>
      </c>
      <c r="M13" s="80">
        <v>0</v>
      </c>
      <c r="N13" s="80">
        <v>0</v>
      </c>
      <c r="O13" s="80">
        <v>1</v>
      </c>
      <c r="P13" s="80">
        <v>120</v>
      </c>
      <c r="Q13" s="80" t="s">
        <v>170</v>
      </c>
      <c r="R13" s="80" t="s">
        <v>171</v>
      </c>
    </row>
    <row r="14" spans="1:18" x14ac:dyDescent="0.15">
      <c r="A14" s="55">
        <v>41001</v>
      </c>
      <c r="B14" s="80">
        <v>2</v>
      </c>
      <c r="C14" s="69" t="str">
        <f t="shared" si="1"/>
        <v>41001_2</v>
      </c>
      <c r="D14" s="16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0">
        <v>3</v>
      </c>
      <c r="F14" s="80" t="s">
        <v>301</v>
      </c>
      <c r="G14" s="80">
        <v>607</v>
      </c>
      <c r="H14" s="80">
        <v>1</v>
      </c>
      <c r="I14" s="80">
        <v>1</v>
      </c>
      <c r="J14" s="80">
        <v>1</v>
      </c>
      <c r="K14" s="80">
        <v>0</v>
      </c>
      <c r="L14" s="80">
        <v>0</v>
      </c>
      <c r="M14" s="80">
        <v>0</v>
      </c>
      <c r="N14" s="80">
        <v>0</v>
      </c>
      <c r="O14" s="80">
        <v>1</v>
      </c>
      <c r="P14" s="80">
        <v>100</v>
      </c>
      <c r="Q14" s="80" t="s">
        <v>170</v>
      </c>
      <c r="R14" s="80" t="s">
        <v>171</v>
      </c>
    </row>
    <row r="15" spans="1:18" x14ac:dyDescent="0.15">
      <c r="A15" s="55">
        <v>41001</v>
      </c>
      <c r="B15" s="80">
        <v>2</v>
      </c>
      <c r="C15" s="69" t="str">
        <f t="shared" si="1"/>
        <v>41001_2</v>
      </c>
      <c r="D15" s="16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0">
        <v>4</v>
      </c>
      <c r="F15" s="80" t="s">
        <v>301</v>
      </c>
      <c r="G15" s="80">
        <v>608</v>
      </c>
      <c r="H15" s="80">
        <v>1</v>
      </c>
      <c r="I15" s="80">
        <v>1</v>
      </c>
      <c r="J15" s="80">
        <v>1</v>
      </c>
      <c r="K15" s="80">
        <v>0</v>
      </c>
      <c r="L15" s="80">
        <v>0</v>
      </c>
      <c r="M15" s="80">
        <v>0</v>
      </c>
      <c r="N15" s="80">
        <v>0</v>
      </c>
      <c r="O15" s="80">
        <v>1</v>
      </c>
      <c r="P15" s="80">
        <v>100</v>
      </c>
      <c r="Q15" s="80" t="s">
        <v>170</v>
      </c>
      <c r="R15" s="80" t="s">
        <v>171</v>
      </c>
    </row>
    <row r="16" spans="1:18" x14ac:dyDescent="0.15">
      <c r="A16" s="55">
        <v>41001</v>
      </c>
      <c r="B16" s="80">
        <v>2</v>
      </c>
      <c r="C16" s="69" t="str">
        <f t="shared" si="1"/>
        <v>41001_2</v>
      </c>
      <c r="D16" s="16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0">
        <v>5</v>
      </c>
      <c r="F16" s="80" t="s">
        <v>301</v>
      </c>
      <c r="G16" s="80">
        <v>609</v>
      </c>
      <c r="H16" s="80">
        <v>1</v>
      </c>
      <c r="I16" s="80">
        <v>1</v>
      </c>
      <c r="J16" s="80">
        <v>1</v>
      </c>
      <c r="K16" s="80">
        <v>0</v>
      </c>
      <c r="L16" s="80">
        <v>0</v>
      </c>
      <c r="M16" s="80">
        <v>0</v>
      </c>
      <c r="N16" s="80">
        <v>0</v>
      </c>
      <c r="O16" s="80">
        <v>1</v>
      </c>
      <c r="P16" s="80">
        <v>100</v>
      </c>
      <c r="Q16" s="80" t="s">
        <v>170</v>
      </c>
      <c r="R16" s="80" t="s">
        <v>171</v>
      </c>
    </row>
    <row r="17" spans="1:18" x14ac:dyDescent="0.15">
      <c r="A17" s="55">
        <v>41001</v>
      </c>
      <c r="B17" s="80">
        <v>2</v>
      </c>
      <c r="C17" s="69" t="str">
        <f t="shared" si="1"/>
        <v>41001_2</v>
      </c>
      <c r="D17" s="16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0">
        <v>6</v>
      </c>
      <c r="F17" s="80" t="s">
        <v>301</v>
      </c>
      <c r="G17" s="80">
        <v>125</v>
      </c>
      <c r="H17" s="80">
        <v>1</v>
      </c>
      <c r="I17" s="80">
        <v>1</v>
      </c>
      <c r="J17" s="80">
        <v>1</v>
      </c>
      <c r="K17" s="80">
        <v>0</v>
      </c>
      <c r="L17" s="80">
        <v>0</v>
      </c>
      <c r="M17" s="80">
        <v>0</v>
      </c>
      <c r="N17" s="80">
        <v>0</v>
      </c>
      <c r="O17" s="80">
        <v>1</v>
      </c>
      <c r="P17" s="80">
        <v>30</v>
      </c>
      <c r="Q17" s="80" t="s">
        <v>170</v>
      </c>
      <c r="R17" s="80" t="s">
        <v>171</v>
      </c>
    </row>
    <row r="18" spans="1:18" ht="16" thickBot="1" x14ac:dyDescent="0.2">
      <c r="A18" s="116">
        <v>41001</v>
      </c>
      <c r="B18" s="117">
        <v>2</v>
      </c>
      <c r="C18" s="118" t="str">
        <f t="shared" si="1"/>
        <v>41001_2</v>
      </c>
      <c r="D18" s="119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17">
        <v>7</v>
      </c>
      <c r="F18" s="117" t="s">
        <v>301</v>
      </c>
      <c r="G18" s="125">
        <v>278</v>
      </c>
      <c r="H18" s="117">
        <v>1</v>
      </c>
      <c r="I18" s="117">
        <v>1</v>
      </c>
      <c r="J18" s="117">
        <v>1</v>
      </c>
      <c r="K18" s="117">
        <v>0</v>
      </c>
      <c r="L18" s="117">
        <v>0</v>
      </c>
      <c r="M18" s="117">
        <v>0</v>
      </c>
      <c r="N18" s="117">
        <v>0</v>
      </c>
      <c r="O18" s="117">
        <v>1</v>
      </c>
      <c r="P18" s="117">
        <v>500</v>
      </c>
      <c r="Q18" s="117" t="s">
        <v>170</v>
      </c>
      <c r="R18" s="117" t="s">
        <v>171</v>
      </c>
    </row>
    <row r="19" spans="1:18" x14ac:dyDescent="0.15">
      <c r="A19" s="121">
        <v>41001</v>
      </c>
      <c r="B19" s="122">
        <v>3</v>
      </c>
      <c r="C19" s="123" t="str">
        <f>A19&amp; "_"&amp;B19</f>
        <v>41001_3</v>
      </c>
      <c r="D19" s="124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22">
        <v>1</v>
      </c>
      <c r="F19" s="80" t="s">
        <v>169</v>
      </c>
      <c r="G19" s="80">
        <v>40000</v>
      </c>
      <c r="H19" s="80" t="s">
        <v>53</v>
      </c>
      <c r="I19" s="80">
        <v>1</v>
      </c>
      <c r="J19" s="80">
        <v>1</v>
      </c>
      <c r="K19" s="80">
        <v>0</v>
      </c>
      <c r="L19" s="80">
        <v>0</v>
      </c>
      <c r="M19" s="80">
        <v>0</v>
      </c>
      <c r="N19" s="80">
        <v>0</v>
      </c>
      <c r="O19" s="80">
        <v>1</v>
      </c>
      <c r="P19" s="80">
        <v>150</v>
      </c>
      <c r="Q19" s="122" t="s">
        <v>170</v>
      </c>
      <c r="R19" s="122" t="s">
        <v>171</v>
      </c>
    </row>
    <row r="20" spans="1:18" x14ac:dyDescent="0.15">
      <c r="A20" s="55">
        <v>41001</v>
      </c>
      <c r="B20" s="80">
        <v>3</v>
      </c>
      <c r="C20" s="69" t="str">
        <f t="shared" ref="C20:C26" si="2">A20&amp; "_"&amp;B20</f>
        <v>41001_3</v>
      </c>
      <c r="D20" s="16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0">
        <v>2</v>
      </c>
      <c r="F20" s="80" t="s">
        <v>301</v>
      </c>
      <c r="G20" s="80">
        <v>334</v>
      </c>
      <c r="H20" s="80">
        <v>1</v>
      </c>
      <c r="I20" s="80">
        <v>1</v>
      </c>
      <c r="J20" s="80">
        <v>1</v>
      </c>
      <c r="K20" s="80">
        <v>0</v>
      </c>
      <c r="L20" s="80">
        <v>0</v>
      </c>
      <c r="M20" s="80">
        <v>0</v>
      </c>
      <c r="N20" s="80">
        <v>0</v>
      </c>
      <c r="O20" s="80">
        <v>1</v>
      </c>
      <c r="P20" s="80">
        <v>150</v>
      </c>
      <c r="Q20" s="80" t="s">
        <v>170</v>
      </c>
      <c r="R20" s="80" t="s">
        <v>171</v>
      </c>
    </row>
    <row r="21" spans="1:18" x14ac:dyDescent="0.15">
      <c r="A21" s="55">
        <v>41001</v>
      </c>
      <c r="B21" s="80">
        <v>3</v>
      </c>
      <c r="C21" s="69" t="str">
        <f t="shared" si="2"/>
        <v>41001_3</v>
      </c>
      <c r="D21" s="16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0">
        <v>3</v>
      </c>
      <c r="F21" s="80" t="s">
        <v>301</v>
      </c>
      <c r="G21" s="115">
        <v>348</v>
      </c>
      <c r="H21" s="80">
        <v>1</v>
      </c>
      <c r="I21" s="80">
        <v>1</v>
      </c>
      <c r="J21" s="80">
        <v>1</v>
      </c>
      <c r="K21" s="80">
        <v>0</v>
      </c>
      <c r="L21" s="80">
        <v>0</v>
      </c>
      <c r="M21" s="80">
        <v>0</v>
      </c>
      <c r="N21" s="80">
        <v>0</v>
      </c>
      <c r="O21" s="80">
        <v>1</v>
      </c>
      <c r="P21" s="80">
        <v>120</v>
      </c>
      <c r="Q21" s="80" t="s">
        <v>170</v>
      </c>
      <c r="R21" s="80" t="s">
        <v>171</v>
      </c>
    </row>
    <row r="22" spans="1:18" x14ac:dyDescent="0.15">
      <c r="A22" s="55">
        <v>41001</v>
      </c>
      <c r="B22" s="80">
        <v>3</v>
      </c>
      <c r="C22" s="69" t="str">
        <f t="shared" si="2"/>
        <v>41001_3</v>
      </c>
      <c r="D22" s="16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80">
        <v>4</v>
      </c>
      <c r="F22" s="80" t="s">
        <v>301</v>
      </c>
      <c r="G22" s="80">
        <v>607</v>
      </c>
      <c r="H22" s="80">
        <v>1</v>
      </c>
      <c r="I22" s="80">
        <v>1</v>
      </c>
      <c r="J22" s="80">
        <v>1</v>
      </c>
      <c r="K22" s="80">
        <v>0</v>
      </c>
      <c r="L22" s="80">
        <v>0</v>
      </c>
      <c r="M22" s="80">
        <v>0</v>
      </c>
      <c r="N22" s="80">
        <v>0</v>
      </c>
      <c r="O22" s="80">
        <v>1</v>
      </c>
      <c r="P22" s="80">
        <v>100</v>
      </c>
      <c r="Q22" s="80" t="s">
        <v>170</v>
      </c>
      <c r="R22" s="80" t="s">
        <v>171</v>
      </c>
    </row>
    <row r="23" spans="1:18" x14ac:dyDescent="0.15">
      <c r="A23" s="55">
        <v>41001</v>
      </c>
      <c r="B23" s="80">
        <v>3</v>
      </c>
      <c r="C23" s="69" t="str">
        <f t="shared" si="2"/>
        <v>41001_3</v>
      </c>
      <c r="D23" s="16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80">
        <v>5</v>
      </c>
      <c r="F23" s="80" t="s">
        <v>301</v>
      </c>
      <c r="G23" s="80">
        <v>608</v>
      </c>
      <c r="H23" s="80">
        <v>1</v>
      </c>
      <c r="I23" s="80">
        <v>1</v>
      </c>
      <c r="J23" s="80">
        <v>1</v>
      </c>
      <c r="K23" s="80">
        <v>0</v>
      </c>
      <c r="L23" s="80">
        <v>0</v>
      </c>
      <c r="M23" s="80">
        <v>0</v>
      </c>
      <c r="N23" s="80">
        <v>0</v>
      </c>
      <c r="O23" s="80">
        <v>1</v>
      </c>
      <c r="P23" s="80">
        <v>100</v>
      </c>
      <c r="Q23" s="80" t="s">
        <v>170</v>
      </c>
      <c r="R23" s="80" t="s">
        <v>171</v>
      </c>
    </row>
    <row r="24" spans="1:18" x14ac:dyDescent="0.15">
      <c r="A24" s="55">
        <v>41001</v>
      </c>
      <c r="B24" s="80">
        <v>3</v>
      </c>
      <c r="C24" s="69" t="str">
        <f t="shared" si="2"/>
        <v>41001_3</v>
      </c>
      <c r="D24" s="16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0">
        <v>6</v>
      </c>
      <c r="F24" s="80" t="s">
        <v>301</v>
      </c>
      <c r="G24" s="80">
        <v>609</v>
      </c>
      <c r="H24" s="80">
        <v>1</v>
      </c>
      <c r="I24" s="80">
        <v>1</v>
      </c>
      <c r="J24" s="80">
        <v>1</v>
      </c>
      <c r="K24" s="80">
        <v>0</v>
      </c>
      <c r="L24" s="80">
        <v>0</v>
      </c>
      <c r="M24" s="80">
        <v>0</v>
      </c>
      <c r="N24" s="80">
        <v>0</v>
      </c>
      <c r="O24" s="80">
        <v>1</v>
      </c>
      <c r="P24" s="80">
        <v>100</v>
      </c>
      <c r="Q24" s="80" t="s">
        <v>170</v>
      </c>
      <c r="R24" s="80" t="s">
        <v>171</v>
      </c>
    </row>
    <row r="25" spans="1:18" x14ac:dyDescent="0.15">
      <c r="A25" s="55">
        <v>41001</v>
      </c>
      <c r="B25" s="80">
        <v>3</v>
      </c>
      <c r="C25" s="69" t="str">
        <f t="shared" si="2"/>
        <v>41001_3</v>
      </c>
      <c r="D25" s="16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0">
        <v>7</v>
      </c>
      <c r="F25" s="80" t="s">
        <v>301</v>
      </c>
      <c r="G25" s="80">
        <v>125</v>
      </c>
      <c r="H25" s="80">
        <v>1</v>
      </c>
      <c r="I25" s="80">
        <v>1</v>
      </c>
      <c r="J25" s="80">
        <v>1</v>
      </c>
      <c r="K25" s="80">
        <v>0</v>
      </c>
      <c r="L25" s="80">
        <v>0</v>
      </c>
      <c r="M25" s="80">
        <v>0</v>
      </c>
      <c r="N25" s="80">
        <v>0</v>
      </c>
      <c r="O25" s="80">
        <v>1</v>
      </c>
      <c r="P25" s="80">
        <v>30</v>
      </c>
      <c r="Q25" s="80" t="s">
        <v>170</v>
      </c>
      <c r="R25" s="80" t="s">
        <v>171</v>
      </c>
    </row>
    <row r="26" spans="1:18" ht="16" thickBot="1" x14ac:dyDescent="0.2">
      <c r="A26" s="55">
        <v>41001</v>
      </c>
      <c r="B26" s="80">
        <v>3</v>
      </c>
      <c r="C26" s="69" t="str">
        <f t="shared" si="2"/>
        <v>41001_3</v>
      </c>
      <c r="D26" s="16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0">
        <v>8</v>
      </c>
      <c r="F26" s="117" t="s">
        <v>301</v>
      </c>
      <c r="G26" s="125">
        <v>278</v>
      </c>
      <c r="H26" s="117">
        <v>1</v>
      </c>
      <c r="I26" s="117">
        <v>1</v>
      </c>
      <c r="J26" s="117">
        <v>1</v>
      </c>
      <c r="K26" s="117">
        <v>0</v>
      </c>
      <c r="L26" s="117">
        <v>0</v>
      </c>
      <c r="M26" s="117">
        <v>0</v>
      </c>
      <c r="N26" s="117">
        <v>0</v>
      </c>
      <c r="O26" s="117">
        <v>1</v>
      </c>
      <c r="P26" s="117">
        <v>250</v>
      </c>
      <c r="Q26" s="80" t="s">
        <v>170</v>
      </c>
      <c r="R26" s="80" t="s">
        <v>171</v>
      </c>
    </row>
  </sheetData>
  <phoneticPr fontId="5"/>
  <dataValidations count="1">
    <dataValidation type="list" allowBlank="1" showInputMessage="1" showErrorMessage="1" sqref="F2:F26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16" activePane="bottomLeft" state="frozen"/>
      <selection pane="bottomLeft" activeCell="O13" sqref="O13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188</v>
      </c>
      <c r="B1" s="71" t="s">
        <v>189</v>
      </c>
      <c r="C1" s="76" t="s">
        <v>190</v>
      </c>
      <c r="D1" s="76" t="s">
        <v>33</v>
      </c>
      <c r="E1" s="71" t="s">
        <v>191</v>
      </c>
      <c r="F1" s="76" t="s">
        <v>192</v>
      </c>
      <c r="G1" s="76" t="s">
        <v>33</v>
      </c>
      <c r="H1" s="71" t="s">
        <v>193</v>
      </c>
      <c r="I1" s="87" t="s">
        <v>195</v>
      </c>
      <c r="J1" s="78" t="s">
        <v>127</v>
      </c>
      <c r="K1" s="77" t="s">
        <v>187</v>
      </c>
      <c r="L1" s="88" t="s">
        <v>186</v>
      </c>
      <c r="M1" s="79" t="s">
        <v>196</v>
      </c>
    </row>
    <row r="2" spans="1:13" x14ac:dyDescent="0.15">
      <c r="A2" s="80" t="s">
        <v>201</v>
      </c>
      <c r="B2" s="100">
        <f>floors!$C$2</f>
        <v>41001</v>
      </c>
      <c r="C2" s="81" t="str">
        <f ca="1">VLOOKUP($B2,OFFSET([2]quests!$A$1,0,0,COUNTA([2]quests!$A:$A),MATCH(C$1,[2]quests!$1:$1,0)-MATCH($B$1,[2]quests!$1:$1,0)+1),MATCH(C$1,[2]quests!$1:$1,0)-MATCH($B$1,[2]quests!$1:$1,0)+1,FALSE)</f>
        <v>アマテラス襲来！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降臨1</v>
      </c>
      <c r="E2" s="84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【超絶級】アマテラス襲来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3">
        <v>0</v>
      </c>
      <c r="I2">
        <v>12</v>
      </c>
      <c r="J2" s="82" t="s">
        <v>198</v>
      </c>
      <c r="K2" s="102" t="str">
        <f>VLOOKUP(I2,[6]stage_hints!$A:$C,3,FALSE)</f>
        <v>ユニットのお気に入り登録</v>
      </c>
      <c r="L2" s="103" t="str">
        <f>VLOOKUP(I2,[6]stage_hints!$A:$D,4,FALSE)</f>
        <v>大事なユニットを誤って消さないように_x000D_フォルダから「お気に入り登録」しましょう</v>
      </c>
      <c r="M2" s="55" t="s">
        <v>211</v>
      </c>
    </row>
    <row r="3" spans="1:13" x14ac:dyDescent="0.15">
      <c r="A3" s="80" t="s">
        <v>201</v>
      </c>
      <c r="B3" s="100">
        <f>floors!$C$2</f>
        <v>41001</v>
      </c>
      <c r="C3" s="81" t="str">
        <f ca="1">VLOOKUP($B3,OFFSET([2]quests!$A$1,0,0,COUNTA([2]quests!$A:$A),MATCH(C$1,[2]quests!$1:$1,0)-MATCH($B$1,[2]quests!$1:$1,0)+1),MATCH(C$1,[2]quests!$1:$1,0)-MATCH($B$1,[2]quests!$1:$1,0)+1,FALSE)</f>
        <v>アマテラス襲来！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降臨1</v>
      </c>
      <c r="E3" s="84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【超絶級】アマテラス襲来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3">
        <v>0</v>
      </c>
      <c r="I3">
        <v>17</v>
      </c>
      <c r="J3" s="82" t="s">
        <v>198</v>
      </c>
      <c r="K3" s="102" t="str">
        <f>VLOOKUP(I3,[6]stage_hints!$A:$C,3,FALSE)</f>
        <v>リンクガチャ</v>
      </c>
      <c r="L3" s="103" t="str">
        <f>VLOOKUP(I3,[6]stage_hints!$A:$D,4,FALSE)</f>
        <v>無料のリンクガチャを回して_x000D_経験値素材や売却素材を獲得しましょう</v>
      </c>
      <c r="M3" s="55" t="s">
        <v>211</v>
      </c>
    </row>
    <row r="4" spans="1:13" x14ac:dyDescent="0.15">
      <c r="A4" s="80" t="s">
        <v>201</v>
      </c>
      <c r="B4" s="100">
        <f>floors!$C$2</f>
        <v>41001</v>
      </c>
      <c r="C4" s="81" t="str">
        <f ca="1">VLOOKUP($B4,OFFSET([2]quests!$A$1,0,0,COUNTA([2]quests!$A:$A),MATCH(C$1,[2]quests!$1:$1,0)-MATCH($B$1,[2]quests!$1:$1,0)+1),MATCH(C$1,[2]quests!$1:$1,0)-MATCH($B$1,[2]quests!$1:$1,0)+1,FALSE)</f>
        <v>アマテラス襲来！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降臨1</v>
      </c>
      <c r="E4" s="84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【超絶級】アマテラス襲来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3">
        <v>0</v>
      </c>
      <c r="I4">
        <v>19</v>
      </c>
      <c r="J4" s="82" t="s">
        <v>198</v>
      </c>
      <c r="K4" s="102" t="str">
        <f>VLOOKUP(I4,[6]stage_hints!$A:$C,3,FALSE)</f>
        <v>ソロ専用チャレンジタワー</v>
      </c>
      <c r="L4" s="103" t="str">
        <f>VLOOKUP(I4,[6]stage_hints!$A:$D,4,FALSE)</f>
        <v>ソロ専用の「チャレンジタワー」では_x000D_各フロアごとにクリア報酬がもらえます</v>
      </c>
      <c r="M4" s="55" t="s">
        <v>211</v>
      </c>
    </row>
    <row r="5" spans="1:13" x14ac:dyDescent="0.15">
      <c r="A5" s="80" t="s">
        <v>201</v>
      </c>
      <c r="B5" s="100">
        <f>floors!$C$2</f>
        <v>41001</v>
      </c>
      <c r="C5" s="81" t="str">
        <f ca="1">VLOOKUP($B5,OFFSET([2]quests!$A$1,0,0,COUNTA([2]quests!$A:$A),MATCH(C$1,[2]quests!$1:$1,0)-MATCH($B$1,[2]quests!$1:$1,0)+1),MATCH(C$1,[2]quests!$1:$1,0)-MATCH($B$1,[2]quests!$1:$1,0)+1,FALSE)</f>
        <v>アマテラス襲来！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降臨1</v>
      </c>
      <c r="E5" s="84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【超絶級】アマテラス襲来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3">
        <v>0</v>
      </c>
      <c r="I5">
        <v>21</v>
      </c>
      <c r="J5" s="82" t="s">
        <v>198</v>
      </c>
      <c r="K5" s="102" t="str">
        <f>VLOOKUP(I5,[6]stage_hints!$A:$C,3,FALSE)</f>
        <v>スキルを有効に</v>
      </c>
      <c r="L5" s="103" t="str">
        <f>VLOOKUP(I5,[6]stage_hints!$A:$D,4,FALSE)</f>
        <v>ターン経過でユニットのスキルが使えます_x000D_強力スキルでバトルを有利に進めましょう</v>
      </c>
      <c r="M5" s="55" t="s">
        <v>211</v>
      </c>
    </row>
    <row r="6" spans="1:13" x14ac:dyDescent="0.15">
      <c r="A6" s="80" t="s">
        <v>201</v>
      </c>
      <c r="B6" s="100">
        <f>floors!$C$2</f>
        <v>41001</v>
      </c>
      <c r="C6" s="81" t="str">
        <f ca="1">VLOOKUP($B6,OFFSET([2]quests!$A$1,0,0,COUNTA([2]quests!$A:$A),MATCH(C$1,[2]quests!$1:$1,0)-MATCH($B$1,[2]quests!$1:$1,0)+1),MATCH(C$1,[2]quests!$1:$1,0)-MATCH($B$1,[2]quests!$1:$1,0)+1,FALSE)</f>
        <v>アマテラス襲来！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降臨1</v>
      </c>
      <c r="E6" s="84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【超絶級】アマテラス襲来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3">
        <v>0</v>
      </c>
      <c r="I6">
        <v>29</v>
      </c>
      <c r="J6" s="82" t="s">
        <v>198</v>
      </c>
      <c r="K6" s="102" t="str">
        <f>VLOOKUP(I6,[6]stage_hints!$A:$C,3,FALSE)</f>
        <v>「バグ」のメリット</v>
      </c>
      <c r="L6" s="103" t="str">
        <f>VLOOKUP(I6,[6]stage_hints!$A:$D,4,FALSE)</f>
        <v>ユニットの「バグ」を増やすと_x000D_報酬をもらえる確率がアップします</v>
      </c>
      <c r="M6" s="55" t="s">
        <v>211</v>
      </c>
    </row>
    <row r="7" spans="1:13" x14ac:dyDescent="0.15">
      <c r="A7" s="80" t="s">
        <v>201</v>
      </c>
      <c r="B7" s="100">
        <f>floors!$C$2</f>
        <v>41001</v>
      </c>
      <c r="C7" s="81" t="str">
        <f ca="1">VLOOKUP($B7,OFFSET([2]quests!$A$1,0,0,COUNTA([2]quests!$A:$A),MATCH(C$1,[2]quests!$1:$1,0)-MATCH($B$1,[2]quests!$1:$1,0)+1),MATCH(C$1,[2]quests!$1:$1,0)-MATCH($B$1,[2]quests!$1:$1,0)+1,FALSE)</f>
        <v>アマテラス襲来！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降臨1</v>
      </c>
      <c r="E7" s="84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【超絶級】アマテラス襲来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3">
        <v>0</v>
      </c>
      <c r="I7">
        <v>30</v>
      </c>
      <c r="J7" s="82" t="s">
        <v>198</v>
      </c>
      <c r="K7" s="102" t="str">
        <f>VLOOKUP(I7,[6]stage_hints!$A:$C,3,FALSE)</f>
        <v>「バグ」の増やし方</v>
      </c>
      <c r="L7" s="103" t="str">
        <f>VLOOKUP(I7,[6]stage_hints!$A:$D,4,FALSE)</f>
        <v>同じユニット同士を強化で合成すると_x000D_「バグ」を増やすことができます</v>
      </c>
      <c r="M7" s="55" t="s">
        <v>211</v>
      </c>
    </row>
    <row r="8" spans="1:13" x14ac:dyDescent="0.15">
      <c r="A8" s="80" t="s">
        <v>201</v>
      </c>
      <c r="B8" s="100">
        <f>floors!$C$2</f>
        <v>41001</v>
      </c>
      <c r="C8" s="81" t="str">
        <f ca="1">VLOOKUP($B8,OFFSET([2]quests!$A$1,0,0,COUNTA([2]quests!$A:$A),MATCH(C$1,[2]quests!$1:$1,0)-MATCH($B$1,[2]quests!$1:$1,0)+1),MATCH(C$1,[2]quests!$1:$1,0)-MATCH($B$1,[2]quests!$1:$1,0)+1,FALSE)</f>
        <v>アマテラス襲来！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降臨1</v>
      </c>
      <c r="E8" s="84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【超絶級】アマテラス襲来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3">
        <v>0</v>
      </c>
      <c r="I8">
        <v>32</v>
      </c>
      <c r="J8" s="82" t="s">
        <v>198</v>
      </c>
      <c r="K8" s="102" t="str">
        <f>VLOOKUP(I8,[6]stage_hints!$A:$C,3,FALSE)</f>
        <v>敵の連続攻撃には</v>
      </c>
      <c r="L8" s="103" t="str">
        <f>VLOOKUP(I8,[6]stage_hints!$A:$D,4,FALSE)</f>
        <v>カウンタースキルを持つユニットがいれば_x000D_ダメージ回数分の反撃ができます</v>
      </c>
      <c r="M8" s="55" t="s">
        <v>211</v>
      </c>
    </row>
    <row r="9" spans="1:13" x14ac:dyDescent="0.15">
      <c r="A9" s="80" t="s">
        <v>201</v>
      </c>
      <c r="B9" s="100">
        <f>floors!$C$2</f>
        <v>41001</v>
      </c>
      <c r="C9" s="81" t="str">
        <f ca="1">VLOOKUP($B9,OFFSET([2]quests!$A$1,0,0,COUNTA([2]quests!$A:$A),MATCH(C$1,[2]quests!$1:$1,0)-MATCH($B$1,[2]quests!$1:$1,0)+1),MATCH(C$1,[2]quests!$1:$1,0)-MATCH($B$1,[2]quests!$1:$1,0)+1,FALSE)</f>
        <v>アマテラス襲来！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降臨1</v>
      </c>
      <c r="E9" s="84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【超絶級】アマテラス襲来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3">
        <v>0</v>
      </c>
      <c r="I9">
        <v>33</v>
      </c>
      <c r="J9" s="82" t="s">
        <v>198</v>
      </c>
      <c r="K9" s="102" t="str">
        <f>VLOOKUP(I9,[6]stage_hints!$A:$C,3,FALSE)</f>
        <v>敵のカウンター攻撃には</v>
      </c>
      <c r="L9" s="103" t="str">
        <f>VLOOKUP(I9,[6]stage_hints!$A:$D,4,FALSE)</f>
        <v>カウンターブレイクスキルを持っていれば_x000D_敵のカウンターを解除して攻撃ができます</v>
      </c>
      <c r="M9" s="55" t="s">
        <v>211</v>
      </c>
    </row>
    <row r="10" spans="1:13" x14ac:dyDescent="0.15">
      <c r="A10" s="80" t="s">
        <v>201</v>
      </c>
      <c r="B10" s="100">
        <f>floors!$C$2</f>
        <v>41001</v>
      </c>
      <c r="C10" s="81" t="str">
        <f ca="1">VLOOKUP($B10,OFFSET([2]quests!$A$1,0,0,COUNTA([2]quests!$A:$A),MATCH(C$1,[2]quests!$1:$1,0)-MATCH($B$1,[2]quests!$1:$1,0)+1),MATCH(C$1,[2]quests!$1:$1,0)-MATCH($B$1,[2]quests!$1:$1,0)+1,FALSE)</f>
        <v>アマテラス襲来！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84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【超絶級】アマテラス襲来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3">
        <v>0</v>
      </c>
      <c r="I10">
        <v>34</v>
      </c>
      <c r="J10" s="82" t="s">
        <v>198</v>
      </c>
      <c r="K10" s="102" t="str">
        <f>VLOOKUP(I10,[6]stage_hints!$A:$C,3,FALSE)</f>
        <v>ステータスをスキルで下げられたら</v>
      </c>
      <c r="L10" s="103" t="str">
        <f>VLOOKUP(I10,[6]stage_hints!$A:$D,4,FALSE)</f>
        <v>ステータスダウンのスキルを受けたら_x000D_ステータスアップスキルで上書きしましょう</v>
      </c>
      <c r="M10" s="55" t="s">
        <v>211</v>
      </c>
    </row>
    <row r="11" spans="1:13" x14ac:dyDescent="0.15">
      <c r="A11" s="80" t="s">
        <v>201</v>
      </c>
      <c r="B11" s="100">
        <f>floors!$C$2</f>
        <v>41001</v>
      </c>
      <c r="C11" s="81" t="str">
        <f ca="1">VLOOKUP($B11,OFFSET([2]quests!$A$1,0,0,COUNTA([2]quests!$A:$A),MATCH(C$1,[2]quests!$1:$1,0)-MATCH($B$1,[2]quests!$1:$1,0)+1),MATCH(C$1,[2]quests!$1:$1,0)-MATCH($B$1,[2]quests!$1:$1,0)+1,FALSE)</f>
        <v>アマテラス襲来！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84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【超絶級】アマテラス襲来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3">
        <v>0</v>
      </c>
      <c r="I11">
        <v>35</v>
      </c>
      <c r="J11" s="82" t="s">
        <v>198</v>
      </c>
      <c r="K11" s="102" t="str">
        <f>VLOOKUP(I11,[6]stage_hints!$A:$C,3,FALSE)</f>
        <v>敵のステータスがスキルで上がったら</v>
      </c>
      <c r="L11" s="103" t="str">
        <f>VLOOKUP(I11,[6]stage_hints!$A:$D,4,FALSE)</f>
        <v>敵のステータスがスキルでアップしたときは_x000D_ステータスダウンスキルで上書きしましょう</v>
      </c>
      <c r="M11" s="55" t="s">
        <v>211</v>
      </c>
    </row>
    <row r="12" spans="1:13" x14ac:dyDescent="0.15">
      <c r="A12" s="80" t="s">
        <v>201</v>
      </c>
      <c r="B12" s="100">
        <f>floors!$C$2</f>
        <v>41001</v>
      </c>
      <c r="C12" s="81" t="str">
        <f ca="1">VLOOKUP($B12,OFFSET([2]quests!$A$1,0,0,COUNTA([2]quests!$A:$A),MATCH(C$1,[2]quests!$1:$1,0)-MATCH($B$1,[2]quests!$1:$1,0)+1),MATCH(C$1,[2]quests!$1:$1,0)-MATCH($B$1,[2]quests!$1:$1,0)+1,FALSE)</f>
        <v>アマテラス襲来！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84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【超絶級】アマテラス襲来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3">
        <v>0</v>
      </c>
      <c r="I12">
        <v>36</v>
      </c>
      <c r="J12" s="82" t="s">
        <v>198</v>
      </c>
      <c r="K12" s="102" t="str">
        <f>VLOOKUP(I12,[6]stage_hints!$A:$C,3,FALSE)</f>
        <v>チャレンジタワーのボス</v>
      </c>
      <c r="L12" s="103" t="str">
        <f>VLOOKUP(I12,[6]stage_hints!$A:$D,4,FALSE)</f>
        <v>チャレンジタワーでのみ登場するボスは_x000D_一定確率で獲得することができます</v>
      </c>
      <c r="M12" s="55" t="s">
        <v>211</v>
      </c>
    </row>
    <row r="13" spans="1:13" x14ac:dyDescent="0.15">
      <c r="A13" s="80" t="s">
        <v>201</v>
      </c>
      <c r="B13" s="100">
        <f>floors!$C$2</f>
        <v>41001</v>
      </c>
      <c r="C13" s="81" t="str">
        <f ca="1">VLOOKUP($B13,OFFSET([2]quests!$A$1,0,0,COUNTA([2]quests!$A:$A),MATCH(C$1,[2]quests!$1:$1,0)-MATCH($B$1,[2]quests!$1:$1,0)+1),MATCH(C$1,[2]quests!$1:$1,0)-MATCH($B$1,[2]quests!$1:$1,0)+1,FALSE)</f>
        <v>アマテラス襲来！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84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【超絶級】アマテラス襲来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3">
        <v>0</v>
      </c>
      <c r="I13">
        <v>37</v>
      </c>
      <c r="J13" s="82" t="s">
        <v>198</v>
      </c>
      <c r="K13" s="102" t="str">
        <f>VLOOKUP(I13,[6]stage_hints!$A:$C,3,FALSE)</f>
        <v>限界突破値の引き継ぎ</v>
      </c>
      <c r="L13" s="103" t="str">
        <f>VLOOKUP(I13,[6]stage_hints!$A:$D,4,FALSE)</f>
        <v>同じユニットを強化で合成すると_x000D_限界突破値を引き継げます（覚醒前後も可）</v>
      </c>
      <c r="M13" s="55" t="s">
        <v>211</v>
      </c>
    </row>
    <row r="14" spans="1:13" x14ac:dyDescent="0.15">
      <c r="A14" s="80" t="s">
        <v>201</v>
      </c>
      <c r="B14" s="100">
        <f>floors!$C$2</f>
        <v>41001</v>
      </c>
      <c r="C14" s="81" t="str">
        <f ca="1">VLOOKUP($B14,OFFSET([2]quests!$A$1,0,0,COUNTA([2]quests!$A:$A),MATCH(C$1,[2]quests!$1:$1,0)-MATCH($B$1,[2]quests!$1:$1,0)+1),MATCH(C$1,[2]quests!$1:$1,0)-MATCH($B$1,[2]quests!$1:$1,0)+1,FALSE)</f>
        <v>アマテラス襲来！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84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【超絶級】アマテラス襲来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3">
        <v>0</v>
      </c>
      <c r="I14">
        <v>39</v>
      </c>
      <c r="J14" s="82" t="s">
        <v>198</v>
      </c>
      <c r="K14" s="102" t="str">
        <f>VLOOKUP(I14,[6]stage_hints!$A:$C,3,FALSE)</f>
        <v>システム適合者を確認</v>
      </c>
      <c r="L14" s="103" t="str">
        <f>VLOOKUP(I14,[6]stage_hints!$A:$D,4,FALSE)</f>
        <v>ALICEが「アナタ」を呼んでいます</v>
      </c>
      <c r="M14" s="55" t="s">
        <v>211</v>
      </c>
    </row>
    <row r="15" spans="1:13" x14ac:dyDescent="0.15">
      <c r="A15" s="80" t="s">
        <v>201</v>
      </c>
      <c r="B15" s="100">
        <f>floors!$C$2</f>
        <v>41001</v>
      </c>
      <c r="C15" s="81" t="str">
        <f ca="1">VLOOKUP($B15,OFFSET([2]quests!$A$1,0,0,COUNTA([2]quests!$A:$A),MATCH(C$1,[2]quests!$1:$1,0)-MATCH($B$1,[2]quests!$1:$1,0)+1),MATCH(C$1,[2]quests!$1:$1,0)-MATCH($B$1,[2]quests!$1:$1,0)+1,FALSE)</f>
        <v>アマテラス襲来！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84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3">
        <v>0</v>
      </c>
      <c r="I15">
        <v>12</v>
      </c>
      <c r="J15" s="82" t="s">
        <v>198</v>
      </c>
      <c r="K15" s="102" t="str">
        <f>VLOOKUP(I15,[6]stage_hints!$A:$C,3,FALSE)</f>
        <v>ユニットのお気に入り登録</v>
      </c>
      <c r="L15" s="103" t="str">
        <f>VLOOKUP(I15,[6]stage_hints!$A:$D,4,FALSE)</f>
        <v>大事なユニットを誤って消さないように_x000D_フォルダから「お気に入り登録」しましょう</v>
      </c>
      <c r="M15" s="55" t="s">
        <v>211</v>
      </c>
    </row>
    <row r="16" spans="1:13" x14ac:dyDescent="0.15">
      <c r="A16" s="80" t="s">
        <v>201</v>
      </c>
      <c r="B16" s="100">
        <f>floors!$C$2</f>
        <v>41001</v>
      </c>
      <c r="C16" s="81" t="str">
        <f ca="1">VLOOKUP($B16,OFFSET([2]quests!$A$1,0,0,COUNTA([2]quests!$A:$A),MATCH(C$1,[2]quests!$1:$1,0)-MATCH($B$1,[2]quests!$1:$1,0)+1),MATCH(C$1,[2]quests!$1:$1,0)-MATCH($B$1,[2]quests!$1:$1,0)+1,FALSE)</f>
        <v>アマテラス襲来！</v>
      </c>
      <c r="D16" s="81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84">
        <v>2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3">
        <v>0</v>
      </c>
      <c r="I16">
        <v>17</v>
      </c>
      <c r="J16" s="82" t="s">
        <v>198</v>
      </c>
      <c r="K16" s="102" t="str">
        <f>VLOOKUP(I16,[6]stage_hints!$A:$C,3,FALSE)</f>
        <v>リンクガチャ</v>
      </c>
      <c r="L16" s="103" t="str">
        <f>VLOOKUP(I16,[6]stage_hints!$A:$D,4,FALSE)</f>
        <v>無料のリンクガチャを回して_x000D_経験値素材や売却素材を獲得しましょう</v>
      </c>
      <c r="M16" s="55" t="s">
        <v>211</v>
      </c>
    </row>
    <row r="17" spans="1:13" x14ac:dyDescent="0.15">
      <c r="A17" s="80" t="s">
        <v>201</v>
      </c>
      <c r="B17" s="100">
        <f>floors!$C$2</f>
        <v>41001</v>
      </c>
      <c r="C17" s="81" t="str">
        <f ca="1">VLOOKUP($B17,OFFSET([2]quests!$A$1,0,0,COUNTA([2]quests!$A:$A),MATCH(C$1,[2]quests!$1:$1,0)-MATCH($B$1,[2]quests!$1:$1,0)+1),MATCH(C$1,[2]quests!$1:$1,0)-MATCH($B$1,[2]quests!$1:$1,0)+1,FALSE)</f>
        <v>アマテラス襲来！</v>
      </c>
      <c r="D17" s="81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84">
        <v>2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3">
        <v>0</v>
      </c>
      <c r="I17">
        <v>19</v>
      </c>
      <c r="J17" s="82" t="s">
        <v>198</v>
      </c>
      <c r="K17" s="102" t="str">
        <f>VLOOKUP(I17,[6]stage_hints!$A:$C,3,FALSE)</f>
        <v>ソロ専用チャレンジタワー</v>
      </c>
      <c r="L17" s="103" t="str">
        <f>VLOOKUP(I17,[6]stage_hints!$A:$D,4,FALSE)</f>
        <v>ソロ専用の「チャレンジタワー」では_x000D_各フロアごとにクリア報酬がもらえます</v>
      </c>
      <c r="M17" s="55" t="s">
        <v>211</v>
      </c>
    </row>
    <row r="18" spans="1:13" x14ac:dyDescent="0.15">
      <c r="A18" s="80" t="s">
        <v>201</v>
      </c>
      <c r="B18" s="100">
        <f>floors!$C$2</f>
        <v>41001</v>
      </c>
      <c r="C18" s="81" t="str">
        <f ca="1">VLOOKUP($B18,OFFSET([2]quests!$A$1,0,0,COUNTA([2]quests!$A:$A),MATCH(C$1,[2]quests!$1:$1,0)-MATCH($B$1,[2]quests!$1:$1,0)+1),MATCH(C$1,[2]quests!$1:$1,0)-MATCH($B$1,[2]quests!$1:$1,0)+1,FALSE)</f>
        <v>アマテラス襲来！</v>
      </c>
      <c r="D18" s="81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84">
        <v>2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3">
        <v>0</v>
      </c>
      <c r="I18">
        <v>21</v>
      </c>
      <c r="J18" s="82" t="s">
        <v>198</v>
      </c>
      <c r="K18" s="102" t="str">
        <f>VLOOKUP(I18,[6]stage_hints!$A:$C,3,FALSE)</f>
        <v>スキルを有効に</v>
      </c>
      <c r="L18" s="103" t="str">
        <f>VLOOKUP(I18,[6]stage_hints!$A:$D,4,FALSE)</f>
        <v>ターン経過でユニットのスキルが使えます_x000D_強力スキルでバトルを有利に進めましょう</v>
      </c>
      <c r="M18" s="55" t="s">
        <v>211</v>
      </c>
    </row>
    <row r="19" spans="1:13" x14ac:dyDescent="0.15">
      <c r="A19" s="80" t="s">
        <v>201</v>
      </c>
      <c r="B19" s="100">
        <f>floors!$C$2</f>
        <v>41001</v>
      </c>
      <c r="C19" s="81" t="str">
        <f ca="1">VLOOKUP($B19,OFFSET([2]quests!$A$1,0,0,COUNTA([2]quests!$A:$A),MATCH(C$1,[2]quests!$1:$1,0)-MATCH($B$1,[2]quests!$1:$1,0)+1),MATCH(C$1,[2]quests!$1:$1,0)-MATCH($B$1,[2]quests!$1:$1,0)+1,FALSE)</f>
        <v>アマテラス襲来！</v>
      </c>
      <c r="D19" s="81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84">
        <v>2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3">
        <v>0</v>
      </c>
      <c r="I19">
        <v>29</v>
      </c>
      <c r="J19" s="82" t="s">
        <v>198</v>
      </c>
      <c r="K19" s="102" t="str">
        <f>VLOOKUP(I19,[6]stage_hints!$A:$C,3,FALSE)</f>
        <v>「バグ」のメリット</v>
      </c>
      <c r="L19" s="103" t="str">
        <f>VLOOKUP(I19,[6]stage_hints!$A:$D,4,FALSE)</f>
        <v>ユニットの「バグ」を増やすと_x000D_報酬をもらえる確率がアップします</v>
      </c>
      <c r="M19" s="55" t="s">
        <v>211</v>
      </c>
    </row>
    <row r="20" spans="1:13" x14ac:dyDescent="0.15">
      <c r="A20" s="80" t="s">
        <v>201</v>
      </c>
      <c r="B20" s="100">
        <f>floors!$C$2</f>
        <v>41001</v>
      </c>
      <c r="C20" s="81" t="str">
        <f ca="1">VLOOKUP($B20,OFFSET([2]quests!$A$1,0,0,COUNTA([2]quests!$A:$A),MATCH(C$1,[2]quests!$1:$1,0)-MATCH($B$1,[2]quests!$1:$1,0)+1),MATCH(C$1,[2]quests!$1:$1,0)-MATCH($B$1,[2]quests!$1:$1,0)+1,FALSE)</f>
        <v>アマテラス襲来！</v>
      </c>
      <c r="D20" s="81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84">
        <v>2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3">
        <v>0</v>
      </c>
      <c r="I20">
        <v>30</v>
      </c>
      <c r="J20" s="82" t="s">
        <v>198</v>
      </c>
      <c r="K20" s="102" t="str">
        <f>VLOOKUP(I20,[6]stage_hints!$A:$C,3,FALSE)</f>
        <v>「バグ」の増やし方</v>
      </c>
      <c r="L20" s="103" t="str">
        <f>VLOOKUP(I20,[6]stage_hints!$A:$D,4,FALSE)</f>
        <v>同じユニット同士を強化で合成すると_x000D_「バグ」を増やすことができます</v>
      </c>
      <c r="M20" s="55" t="s">
        <v>211</v>
      </c>
    </row>
    <row r="21" spans="1:13" x14ac:dyDescent="0.15">
      <c r="A21" s="80" t="s">
        <v>201</v>
      </c>
      <c r="B21" s="100">
        <f>floors!$C$2</f>
        <v>41001</v>
      </c>
      <c r="C21" s="81" t="str">
        <f ca="1">VLOOKUP($B21,OFFSET([2]quests!$A$1,0,0,COUNTA([2]quests!$A:$A),MATCH(C$1,[2]quests!$1:$1,0)-MATCH($B$1,[2]quests!$1:$1,0)+1),MATCH(C$1,[2]quests!$1:$1,0)-MATCH($B$1,[2]quests!$1:$1,0)+1,FALSE)</f>
        <v>アマテラス襲来！</v>
      </c>
      <c r="D21" s="81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84">
        <v>2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3">
        <v>0</v>
      </c>
      <c r="I21">
        <v>32</v>
      </c>
      <c r="J21" s="82" t="s">
        <v>198</v>
      </c>
      <c r="K21" s="102" t="str">
        <f>VLOOKUP(I21,[6]stage_hints!$A:$C,3,FALSE)</f>
        <v>敵の連続攻撃には</v>
      </c>
      <c r="L21" s="103" t="str">
        <f>VLOOKUP(I21,[6]stage_hints!$A:$D,4,FALSE)</f>
        <v>カウンタースキルを持つユニットがいれば_x000D_ダメージ回数分の反撃ができます</v>
      </c>
      <c r="M21" s="55" t="s">
        <v>211</v>
      </c>
    </row>
    <row r="22" spans="1:13" x14ac:dyDescent="0.15">
      <c r="A22" s="80" t="s">
        <v>201</v>
      </c>
      <c r="B22" s="100">
        <f>floors!$C$2</f>
        <v>41001</v>
      </c>
      <c r="C22" s="81" t="str">
        <f ca="1">VLOOKUP($B22,OFFSET([2]quests!$A$1,0,0,COUNTA([2]quests!$A:$A),MATCH(C$1,[2]quests!$1:$1,0)-MATCH($B$1,[2]quests!$1:$1,0)+1),MATCH(C$1,[2]quests!$1:$1,0)-MATCH($B$1,[2]quests!$1:$1,0)+1,FALSE)</f>
        <v>アマテラス襲来！</v>
      </c>
      <c r="D22" s="81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84">
        <v>2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3">
        <v>0</v>
      </c>
      <c r="I22">
        <v>33</v>
      </c>
      <c r="J22" s="82" t="s">
        <v>198</v>
      </c>
      <c r="K22" s="102" t="str">
        <f>VLOOKUP(I22,[6]stage_hints!$A:$C,3,FALSE)</f>
        <v>敵のカウンター攻撃には</v>
      </c>
      <c r="L22" s="103" t="str">
        <f>VLOOKUP(I22,[6]stage_hints!$A:$D,4,FALSE)</f>
        <v>カウンターブレイクスキルを持っていれば_x000D_敵のカウンターを解除して攻撃ができます</v>
      </c>
      <c r="M22" s="55" t="s">
        <v>211</v>
      </c>
    </row>
    <row r="23" spans="1:13" x14ac:dyDescent="0.15">
      <c r="A23" s="80" t="s">
        <v>201</v>
      </c>
      <c r="B23" s="100">
        <f>floors!$C$2</f>
        <v>41001</v>
      </c>
      <c r="C23" s="81" t="str">
        <f ca="1">VLOOKUP($B23,OFFSET([2]quests!$A$1,0,0,COUNTA([2]quests!$A:$A),MATCH(C$1,[2]quests!$1:$1,0)-MATCH($B$1,[2]quests!$1:$1,0)+1),MATCH(C$1,[2]quests!$1:$1,0)-MATCH($B$1,[2]quests!$1:$1,0)+1,FALSE)</f>
        <v>アマテラス襲来！</v>
      </c>
      <c r="D23" s="81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84">
        <v>2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83">
        <v>0</v>
      </c>
      <c r="I23">
        <v>34</v>
      </c>
      <c r="J23" s="82" t="s">
        <v>198</v>
      </c>
      <c r="K23" s="102" t="str">
        <f>VLOOKUP(I23,[6]stage_hints!$A:$C,3,FALSE)</f>
        <v>ステータスをスキルで下げられたら</v>
      </c>
      <c r="L23" s="103" t="str">
        <f>VLOOKUP(I23,[6]stage_hints!$A:$D,4,FALSE)</f>
        <v>ステータスダウンのスキルを受けたら_x000D_ステータスアップスキルで上書きしましょう</v>
      </c>
      <c r="M23" s="55" t="s">
        <v>211</v>
      </c>
    </row>
    <row r="24" spans="1:13" x14ac:dyDescent="0.15">
      <c r="A24" s="80" t="s">
        <v>201</v>
      </c>
      <c r="B24" s="100">
        <f>floors!$C$2</f>
        <v>41001</v>
      </c>
      <c r="C24" s="81" t="str">
        <f ca="1">VLOOKUP($B24,OFFSET([2]quests!$A$1,0,0,COUNTA([2]quests!$A:$A),MATCH(C$1,[2]quests!$1:$1,0)-MATCH($B$1,[2]quests!$1:$1,0)+1),MATCH(C$1,[2]quests!$1:$1,0)-MATCH($B$1,[2]quests!$1:$1,0)+1,FALSE)</f>
        <v>アマテラス襲来！</v>
      </c>
      <c r="D24" s="81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84">
        <v>2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83">
        <v>0</v>
      </c>
      <c r="I24">
        <v>35</v>
      </c>
      <c r="J24" s="82" t="s">
        <v>198</v>
      </c>
      <c r="K24" s="102" t="str">
        <f>VLOOKUP(I24,[6]stage_hints!$A:$C,3,FALSE)</f>
        <v>敵のステータスがスキルで上がったら</v>
      </c>
      <c r="L24" s="103" t="str">
        <f>VLOOKUP(I24,[6]stage_hints!$A:$D,4,FALSE)</f>
        <v>敵のステータスがスキルでアップしたときは_x000D_ステータスダウンスキルで上書きしましょう</v>
      </c>
      <c r="M24" s="55" t="s">
        <v>211</v>
      </c>
    </row>
    <row r="25" spans="1:13" x14ac:dyDescent="0.15">
      <c r="A25" s="80" t="s">
        <v>201</v>
      </c>
      <c r="B25" s="100">
        <f>floors!$C$2</f>
        <v>41001</v>
      </c>
      <c r="C25" s="81" t="str">
        <f ca="1">VLOOKUP($B25,OFFSET([2]quests!$A$1,0,0,COUNTA([2]quests!$A:$A),MATCH(C$1,[2]quests!$1:$1,0)-MATCH($B$1,[2]quests!$1:$1,0)+1),MATCH(C$1,[2]quests!$1:$1,0)-MATCH($B$1,[2]quests!$1:$1,0)+1,FALSE)</f>
        <v>アマテラス襲来！</v>
      </c>
      <c r="D25" s="81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84">
        <v>2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83">
        <v>0</v>
      </c>
      <c r="I25">
        <v>36</v>
      </c>
      <c r="J25" s="82" t="s">
        <v>198</v>
      </c>
      <c r="K25" s="102" t="str">
        <f>VLOOKUP(I25,[6]stage_hints!$A:$C,3,FALSE)</f>
        <v>チャレンジタワーのボス</v>
      </c>
      <c r="L25" s="103" t="str">
        <f>VLOOKUP(I25,[6]stage_hints!$A:$D,4,FALSE)</f>
        <v>チャレンジタワーでのみ登場するボスは_x000D_一定確率で獲得することができます</v>
      </c>
      <c r="M25" s="55" t="s">
        <v>211</v>
      </c>
    </row>
    <row r="26" spans="1:13" x14ac:dyDescent="0.15">
      <c r="A26" s="80" t="s">
        <v>201</v>
      </c>
      <c r="B26" s="100">
        <f>floors!$C$2</f>
        <v>41001</v>
      </c>
      <c r="C26" s="81" t="str">
        <f ca="1">VLOOKUP($B26,OFFSET([2]quests!$A$1,0,0,COUNTA([2]quests!$A:$A),MATCH(C$1,[2]quests!$1:$1,0)-MATCH($B$1,[2]quests!$1:$1,0)+1),MATCH(C$1,[2]quests!$1:$1,0)-MATCH($B$1,[2]quests!$1:$1,0)+1,FALSE)</f>
        <v>アマテラス襲来！</v>
      </c>
      <c r="D26" s="81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84">
        <v>2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83">
        <v>0</v>
      </c>
      <c r="I26">
        <v>37</v>
      </c>
      <c r="J26" s="82" t="s">
        <v>198</v>
      </c>
      <c r="K26" s="102" t="str">
        <f>VLOOKUP(I26,[6]stage_hints!$A:$C,3,FALSE)</f>
        <v>限界突破値の引き継ぎ</v>
      </c>
      <c r="L26" s="103" t="str">
        <f>VLOOKUP(I26,[6]stage_hints!$A:$D,4,FALSE)</f>
        <v>同じユニットを強化で合成すると_x000D_限界突破値を引き継げます（覚醒前後も可）</v>
      </c>
      <c r="M26" s="55" t="s">
        <v>211</v>
      </c>
    </row>
    <row r="27" spans="1:13" x14ac:dyDescent="0.15">
      <c r="A27" s="80" t="s">
        <v>201</v>
      </c>
      <c r="B27" s="100">
        <f>floors!$C$2</f>
        <v>41001</v>
      </c>
      <c r="C27" s="81" t="str">
        <f ca="1">VLOOKUP($B27,OFFSET([2]quests!$A$1,0,0,COUNTA([2]quests!$A:$A),MATCH(C$1,[2]quests!$1:$1,0)-MATCH($B$1,[2]quests!$1:$1,0)+1),MATCH(C$1,[2]quests!$1:$1,0)-MATCH($B$1,[2]quests!$1:$1,0)+1,FALSE)</f>
        <v>アマテラス襲来！</v>
      </c>
      <c r="D27" s="81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84">
        <v>2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83">
        <v>0</v>
      </c>
      <c r="I27">
        <v>39</v>
      </c>
      <c r="J27" s="82" t="s">
        <v>198</v>
      </c>
      <c r="K27" s="102" t="str">
        <f>VLOOKUP(I27,[6]stage_hints!$A:$C,3,FALSE)</f>
        <v>システム適合者を確認</v>
      </c>
      <c r="L27" s="103" t="str">
        <f>VLOOKUP(I27,[6]stage_hints!$A:$D,4,FALSE)</f>
        <v>ALICEが「アナタ」を呼んでいます</v>
      </c>
      <c r="M27" s="55" t="s">
        <v>211</v>
      </c>
    </row>
    <row r="28" spans="1:13" x14ac:dyDescent="0.15">
      <c r="A28" s="80" t="s">
        <v>201</v>
      </c>
      <c r="B28" s="100">
        <f>floors!$C$2</f>
        <v>41001</v>
      </c>
      <c r="C28" s="81" t="str">
        <f ca="1">VLOOKUP($B28,OFFSET([2]quests!$A$1,0,0,COUNTA([2]quests!$A:$A),MATCH(C$1,[2]quests!$1:$1,0)-MATCH($B$1,[2]quests!$1:$1,0)+1),MATCH(C$1,[2]quests!$1:$1,0)-MATCH($B$1,[2]quests!$1:$1,0)+1,FALSE)</f>
        <v>アマテラス襲来！</v>
      </c>
      <c r="D28" s="81" t="str">
        <f ca="1">VLOOKUP($B28,OFFSET([2]quests!$A$1,0,0,COUNTA([2]quests!$A:$A),MATCH(D$1,[2]quests!$1:$1,0)-MATCH($B$1,[2]quests!$1:$1,0)+1),MATCH(D$1,[2]quests!$1:$1,0)-MATCH($B$1,[2]quests!$1:$1,0)+1,FALSE)</f>
        <v>降臨1</v>
      </c>
      <c r="E28" s="84">
        <v>3</v>
      </c>
      <c r="F28" s="81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28" s="81" t="str">
        <f ca="1">VLOOKUP($B28&amp;"_"&amp;$E28,OFFSET([2]stages!$A$1,0,0,COUNTA([2]stages!$A:$A),MATCH(G$1,[2]stages!$2:$2,0)-MATCH("temp_stage",[2]stages!$2:$2,0)+1),MATCH(G$1,[2]stages!$2:$2,0)-MATCH("temp_stage",[2]stages!$2:$2,0)+1,FALSE)</f>
        <v>降臨1</v>
      </c>
      <c r="H28" s="83">
        <v>0</v>
      </c>
      <c r="I28">
        <v>12</v>
      </c>
      <c r="J28" s="82" t="s">
        <v>128</v>
      </c>
      <c r="K28" s="102" t="str">
        <f>VLOOKUP(I28,[6]stage_hints!$A:$C,3,FALSE)</f>
        <v>ユニットのお気に入り登録</v>
      </c>
      <c r="L28" s="103" t="str">
        <f>VLOOKUP(I28,[6]stage_hints!$A:$D,4,FALSE)</f>
        <v>大事なユニットを誤って消さないように_x000D_フォルダから「お気に入り登録」しましょう</v>
      </c>
      <c r="M28" s="55" t="s">
        <v>200</v>
      </c>
    </row>
    <row r="29" spans="1:13" x14ac:dyDescent="0.15">
      <c r="A29" s="80" t="s">
        <v>201</v>
      </c>
      <c r="B29" s="100">
        <f>floors!$C$2</f>
        <v>41001</v>
      </c>
      <c r="C29" s="81" t="str">
        <f ca="1">VLOOKUP($B29,OFFSET([2]quests!$A$1,0,0,COUNTA([2]quests!$A:$A),MATCH(C$1,[2]quests!$1:$1,0)-MATCH($B$1,[2]quests!$1:$1,0)+1),MATCH(C$1,[2]quests!$1:$1,0)-MATCH($B$1,[2]quests!$1:$1,0)+1,FALSE)</f>
        <v>アマテラス襲来！</v>
      </c>
      <c r="D29" s="81" t="str">
        <f ca="1">VLOOKUP($B29,OFFSET([2]quests!$A$1,0,0,COUNTA([2]quests!$A:$A),MATCH(D$1,[2]quests!$1:$1,0)-MATCH($B$1,[2]quests!$1:$1,0)+1),MATCH(D$1,[2]quests!$1:$1,0)-MATCH($B$1,[2]quests!$1:$1,0)+1,FALSE)</f>
        <v>降臨1</v>
      </c>
      <c r="E29" s="84">
        <v>3</v>
      </c>
      <c r="F29" s="81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29" s="81" t="str">
        <f ca="1">VLOOKUP($B29&amp;"_"&amp;$E29,OFFSET([2]stages!$A$1,0,0,COUNTA([2]stages!$A:$A),MATCH(G$1,[2]stages!$2:$2,0)-MATCH("temp_stage",[2]stages!$2:$2,0)+1),MATCH(G$1,[2]stages!$2:$2,0)-MATCH("temp_stage",[2]stages!$2:$2,0)+1,FALSE)</f>
        <v>降臨1</v>
      </c>
      <c r="H29" s="83">
        <v>0</v>
      </c>
      <c r="I29">
        <v>17</v>
      </c>
      <c r="J29" s="82" t="s">
        <v>128</v>
      </c>
      <c r="K29" s="102" t="str">
        <f>VLOOKUP(I29,[6]stage_hints!$A:$C,3,FALSE)</f>
        <v>リンクガチャ</v>
      </c>
      <c r="L29" s="103" t="str">
        <f>VLOOKUP(I29,[6]stage_hints!$A:$D,4,FALSE)</f>
        <v>無料のリンクガチャを回して_x000D_経験値素材や売却素材を獲得しましょう</v>
      </c>
      <c r="M29" s="55" t="s">
        <v>200</v>
      </c>
    </row>
    <row r="30" spans="1:13" x14ac:dyDescent="0.15">
      <c r="A30" s="80" t="s">
        <v>201</v>
      </c>
      <c r="B30" s="100">
        <f>floors!$C$2</f>
        <v>41001</v>
      </c>
      <c r="C30" s="81" t="str">
        <f ca="1">VLOOKUP($B30,OFFSET([2]quests!$A$1,0,0,COUNTA([2]quests!$A:$A),MATCH(C$1,[2]quests!$1:$1,0)-MATCH($B$1,[2]quests!$1:$1,0)+1),MATCH(C$1,[2]quests!$1:$1,0)-MATCH($B$1,[2]quests!$1:$1,0)+1,FALSE)</f>
        <v>アマテラス襲来！</v>
      </c>
      <c r="D30" s="81" t="str">
        <f ca="1">VLOOKUP($B30,OFFSET([2]quests!$A$1,0,0,COUNTA([2]quests!$A:$A),MATCH(D$1,[2]quests!$1:$1,0)-MATCH($B$1,[2]quests!$1:$1,0)+1),MATCH(D$1,[2]quests!$1:$1,0)-MATCH($B$1,[2]quests!$1:$1,0)+1,FALSE)</f>
        <v>降臨1</v>
      </c>
      <c r="E30" s="84">
        <v>3</v>
      </c>
      <c r="F30" s="81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30" s="81" t="str">
        <f ca="1">VLOOKUP($B30&amp;"_"&amp;$E30,OFFSET([2]stages!$A$1,0,0,COUNTA([2]stages!$A:$A),MATCH(G$1,[2]stages!$2:$2,0)-MATCH("temp_stage",[2]stages!$2:$2,0)+1),MATCH(G$1,[2]stages!$2:$2,0)-MATCH("temp_stage",[2]stages!$2:$2,0)+1,FALSE)</f>
        <v>降臨1</v>
      </c>
      <c r="H30" s="83">
        <v>0</v>
      </c>
      <c r="I30">
        <v>19</v>
      </c>
      <c r="J30" s="82" t="s">
        <v>128</v>
      </c>
      <c r="K30" s="102" t="str">
        <f>VLOOKUP(I30,[6]stage_hints!$A:$C,3,FALSE)</f>
        <v>ソロ専用チャレンジタワー</v>
      </c>
      <c r="L30" s="103" t="str">
        <f>VLOOKUP(I30,[6]stage_hints!$A:$D,4,FALSE)</f>
        <v>ソロ専用の「チャレンジタワー」では_x000D_各フロアごとにクリア報酬がもらえます</v>
      </c>
      <c r="M30" s="55" t="s">
        <v>200</v>
      </c>
    </row>
    <row r="31" spans="1:13" x14ac:dyDescent="0.15">
      <c r="A31" s="80" t="s">
        <v>201</v>
      </c>
      <c r="B31" s="100">
        <f>floors!$C$2</f>
        <v>41001</v>
      </c>
      <c r="C31" s="81" t="str">
        <f ca="1">VLOOKUP($B31,OFFSET([2]quests!$A$1,0,0,COUNTA([2]quests!$A:$A),MATCH(C$1,[2]quests!$1:$1,0)-MATCH($B$1,[2]quests!$1:$1,0)+1),MATCH(C$1,[2]quests!$1:$1,0)-MATCH($B$1,[2]quests!$1:$1,0)+1,FALSE)</f>
        <v>アマテラス襲来！</v>
      </c>
      <c r="D31" s="81" t="str">
        <f ca="1">VLOOKUP($B31,OFFSET([2]quests!$A$1,0,0,COUNTA([2]quests!$A:$A),MATCH(D$1,[2]quests!$1:$1,0)-MATCH($B$1,[2]quests!$1:$1,0)+1),MATCH(D$1,[2]quests!$1:$1,0)-MATCH($B$1,[2]quests!$1:$1,0)+1,FALSE)</f>
        <v>降臨1</v>
      </c>
      <c r="E31" s="84">
        <v>3</v>
      </c>
      <c r="F31" s="81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31" s="81" t="str">
        <f ca="1">VLOOKUP($B31&amp;"_"&amp;$E31,OFFSET([2]stages!$A$1,0,0,COUNTA([2]stages!$A:$A),MATCH(G$1,[2]stages!$2:$2,0)-MATCH("temp_stage",[2]stages!$2:$2,0)+1),MATCH(G$1,[2]stages!$2:$2,0)-MATCH("temp_stage",[2]stages!$2:$2,0)+1,FALSE)</f>
        <v>降臨1</v>
      </c>
      <c r="H31" s="83">
        <v>0</v>
      </c>
      <c r="I31">
        <v>21</v>
      </c>
      <c r="J31" s="82" t="s">
        <v>128</v>
      </c>
      <c r="K31" s="102" t="str">
        <f>VLOOKUP(I31,[6]stage_hints!$A:$C,3,FALSE)</f>
        <v>スキルを有効に</v>
      </c>
      <c r="L31" s="103" t="str">
        <f>VLOOKUP(I31,[6]stage_hints!$A:$D,4,FALSE)</f>
        <v>ターン経過でユニットのスキルが使えます_x000D_強力スキルでバトルを有利に進めましょう</v>
      </c>
      <c r="M31" s="55" t="s">
        <v>200</v>
      </c>
    </row>
    <row r="32" spans="1:13" x14ac:dyDescent="0.15">
      <c r="A32" s="80" t="s">
        <v>201</v>
      </c>
      <c r="B32" s="100">
        <f>floors!$C$2</f>
        <v>41001</v>
      </c>
      <c r="C32" s="81" t="str">
        <f ca="1">VLOOKUP($B32,OFFSET([2]quests!$A$1,0,0,COUNTA([2]quests!$A:$A),MATCH(C$1,[2]quests!$1:$1,0)-MATCH($B$1,[2]quests!$1:$1,0)+1),MATCH(C$1,[2]quests!$1:$1,0)-MATCH($B$1,[2]quests!$1:$1,0)+1,FALSE)</f>
        <v>アマテラス襲来！</v>
      </c>
      <c r="D32" s="81" t="str">
        <f ca="1">VLOOKUP($B32,OFFSET([2]quests!$A$1,0,0,COUNTA([2]quests!$A:$A),MATCH(D$1,[2]quests!$1:$1,0)-MATCH($B$1,[2]quests!$1:$1,0)+1),MATCH(D$1,[2]quests!$1:$1,0)-MATCH($B$1,[2]quests!$1:$1,0)+1,FALSE)</f>
        <v>降臨1</v>
      </c>
      <c r="E32" s="84">
        <v>3</v>
      </c>
      <c r="F32" s="81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32" s="81" t="str">
        <f ca="1">VLOOKUP($B32&amp;"_"&amp;$E32,OFFSET([2]stages!$A$1,0,0,COUNTA([2]stages!$A:$A),MATCH(G$1,[2]stages!$2:$2,0)-MATCH("temp_stage",[2]stages!$2:$2,0)+1),MATCH(G$1,[2]stages!$2:$2,0)-MATCH("temp_stage",[2]stages!$2:$2,0)+1,FALSE)</f>
        <v>降臨1</v>
      </c>
      <c r="H32" s="83">
        <v>0</v>
      </c>
      <c r="I32">
        <v>29</v>
      </c>
      <c r="J32" s="82" t="s">
        <v>128</v>
      </c>
      <c r="K32" s="102" t="str">
        <f>VLOOKUP(I32,[6]stage_hints!$A:$C,3,FALSE)</f>
        <v>「バグ」のメリット</v>
      </c>
      <c r="L32" s="103" t="str">
        <f>VLOOKUP(I32,[6]stage_hints!$A:$D,4,FALSE)</f>
        <v>ユニットの「バグ」を増やすと_x000D_報酬をもらえる確率がアップします</v>
      </c>
      <c r="M32" s="55" t="s">
        <v>200</v>
      </c>
    </row>
    <row r="33" spans="1:13" x14ac:dyDescent="0.15">
      <c r="A33" s="80" t="s">
        <v>201</v>
      </c>
      <c r="B33" s="100">
        <f>floors!$C$2</f>
        <v>41001</v>
      </c>
      <c r="C33" s="81" t="str">
        <f ca="1">VLOOKUP($B33,OFFSET([2]quests!$A$1,0,0,COUNTA([2]quests!$A:$A),MATCH(C$1,[2]quests!$1:$1,0)-MATCH($B$1,[2]quests!$1:$1,0)+1),MATCH(C$1,[2]quests!$1:$1,0)-MATCH($B$1,[2]quests!$1:$1,0)+1,FALSE)</f>
        <v>アマテラス襲来！</v>
      </c>
      <c r="D33" s="81" t="str">
        <f ca="1">VLOOKUP($B33,OFFSET([2]quests!$A$1,0,0,COUNTA([2]quests!$A:$A),MATCH(D$1,[2]quests!$1:$1,0)-MATCH($B$1,[2]quests!$1:$1,0)+1),MATCH(D$1,[2]quests!$1:$1,0)-MATCH($B$1,[2]quests!$1:$1,0)+1,FALSE)</f>
        <v>降臨1</v>
      </c>
      <c r="E33" s="84">
        <v>3</v>
      </c>
      <c r="F33" s="81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33" s="81" t="str">
        <f ca="1">VLOOKUP($B33&amp;"_"&amp;$E33,OFFSET([2]stages!$A$1,0,0,COUNTA([2]stages!$A:$A),MATCH(G$1,[2]stages!$2:$2,0)-MATCH("temp_stage",[2]stages!$2:$2,0)+1),MATCH(G$1,[2]stages!$2:$2,0)-MATCH("temp_stage",[2]stages!$2:$2,0)+1,FALSE)</f>
        <v>降臨1</v>
      </c>
      <c r="H33" s="83">
        <v>0</v>
      </c>
      <c r="I33">
        <v>30</v>
      </c>
      <c r="J33" s="82" t="s">
        <v>128</v>
      </c>
      <c r="K33" s="102" t="str">
        <f>VLOOKUP(I33,[6]stage_hints!$A:$C,3,FALSE)</f>
        <v>「バグ」の増やし方</v>
      </c>
      <c r="L33" s="103" t="str">
        <f>VLOOKUP(I33,[6]stage_hints!$A:$D,4,FALSE)</f>
        <v>同じユニット同士を強化で合成すると_x000D_「バグ」を増やすことができます</v>
      </c>
      <c r="M33" s="55" t="s">
        <v>200</v>
      </c>
    </row>
    <row r="34" spans="1:13" x14ac:dyDescent="0.15">
      <c r="A34" s="80" t="s">
        <v>201</v>
      </c>
      <c r="B34" s="100">
        <f>floors!$C$2</f>
        <v>41001</v>
      </c>
      <c r="C34" s="81" t="str">
        <f ca="1">VLOOKUP($B34,OFFSET([2]quests!$A$1,0,0,COUNTA([2]quests!$A:$A),MATCH(C$1,[2]quests!$1:$1,0)-MATCH($B$1,[2]quests!$1:$1,0)+1),MATCH(C$1,[2]quests!$1:$1,0)-MATCH($B$1,[2]quests!$1:$1,0)+1,FALSE)</f>
        <v>アマテラス襲来！</v>
      </c>
      <c r="D34" s="81" t="str">
        <f ca="1">VLOOKUP($B34,OFFSET([2]quests!$A$1,0,0,COUNTA([2]quests!$A:$A),MATCH(D$1,[2]quests!$1:$1,0)-MATCH($B$1,[2]quests!$1:$1,0)+1),MATCH(D$1,[2]quests!$1:$1,0)-MATCH($B$1,[2]quests!$1:$1,0)+1,FALSE)</f>
        <v>降臨1</v>
      </c>
      <c r="E34" s="84">
        <v>3</v>
      </c>
      <c r="F34" s="81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34" s="81" t="str">
        <f ca="1">VLOOKUP($B34&amp;"_"&amp;$E34,OFFSET([2]stages!$A$1,0,0,COUNTA([2]stages!$A:$A),MATCH(G$1,[2]stages!$2:$2,0)-MATCH("temp_stage",[2]stages!$2:$2,0)+1),MATCH(G$1,[2]stages!$2:$2,0)-MATCH("temp_stage",[2]stages!$2:$2,0)+1,FALSE)</f>
        <v>降臨1</v>
      </c>
      <c r="H34" s="83">
        <v>0</v>
      </c>
      <c r="I34">
        <v>32</v>
      </c>
      <c r="J34" s="82" t="s">
        <v>128</v>
      </c>
      <c r="K34" s="102" t="str">
        <f>VLOOKUP(I34,[6]stage_hints!$A:$C,3,FALSE)</f>
        <v>敵の連続攻撃には</v>
      </c>
      <c r="L34" s="103" t="str">
        <f>VLOOKUP(I34,[6]stage_hints!$A:$D,4,FALSE)</f>
        <v>カウンタースキルを持つユニットがいれば_x000D_ダメージ回数分の反撃ができます</v>
      </c>
      <c r="M34" s="55" t="s">
        <v>200</v>
      </c>
    </row>
    <row r="35" spans="1:13" x14ac:dyDescent="0.15">
      <c r="A35" s="80" t="s">
        <v>201</v>
      </c>
      <c r="B35" s="100">
        <f>floors!$C$2</f>
        <v>41001</v>
      </c>
      <c r="C35" s="81" t="str">
        <f ca="1">VLOOKUP($B35,OFFSET([2]quests!$A$1,0,0,COUNTA([2]quests!$A:$A),MATCH(C$1,[2]quests!$1:$1,0)-MATCH($B$1,[2]quests!$1:$1,0)+1),MATCH(C$1,[2]quests!$1:$1,0)-MATCH($B$1,[2]quests!$1:$1,0)+1,FALSE)</f>
        <v>アマテラス襲来！</v>
      </c>
      <c r="D35" s="81" t="str">
        <f ca="1">VLOOKUP($B35,OFFSET([2]quests!$A$1,0,0,COUNTA([2]quests!$A:$A),MATCH(D$1,[2]quests!$1:$1,0)-MATCH($B$1,[2]quests!$1:$1,0)+1),MATCH(D$1,[2]quests!$1:$1,0)-MATCH($B$1,[2]quests!$1:$1,0)+1,FALSE)</f>
        <v>降臨1</v>
      </c>
      <c r="E35" s="84">
        <v>3</v>
      </c>
      <c r="F35" s="81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35" s="81" t="str">
        <f ca="1">VLOOKUP($B35&amp;"_"&amp;$E35,OFFSET([2]stages!$A$1,0,0,COUNTA([2]stages!$A:$A),MATCH(G$1,[2]stages!$2:$2,0)-MATCH("temp_stage",[2]stages!$2:$2,0)+1),MATCH(G$1,[2]stages!$2:$2,0)-MATCH("temp_stage",[2]stages!$2:$2,0)+1,FALSE)</f>
        <v>降臨1</v>
      </c>
      <c r="H35" s="83">
        <v>0</v>
      </c>
      <c r="I35">
        <v>33</v>
      </c>
      <c r="J35" s="82" t="s">
        <v>128</v>
      </c>
      <c r="K35" s="102" t="str">
        <f>VLOOKUP(I35,[6]stage_hints!$A:$C,3,FALSE)</f>
        <v>敵のカウンター攻撃には</v>
      </c>
      <c r="L35" s="103" t="str">
        <f>VLOOKUP(I35,[6]stage_hints!$A:$D,4,FALSE)</f>
        <v>カウンターブレイクスキルを持っていれば_x000D_敵のカウンターを解除して攻撃ができます</v>
      </c>
      <c r="M35" s="55" t="s">
        <v>200</v>
      </c>
    </row>
    <row r="36" spans="1:13" x14ac:dyDescent="0.15">
      <c r="A36" s="80" t="s">
        <v>201</v>
      </c>
      <c r="B36" s="100">
        <f>floors!$C$2</f>
        <v>41001</v>
      </c>
      <c r="C36" s="81" t="str">
        <f ca="1">VLOOKUP($B36,OFFSET([2]quests!$A$1,0,0,COUNTA([2]quests!$A:$A),MATCH(C$1,[2]quests!$1:$1,0)-MATCH($B$1,[2]quests!$1:$1,0)+1),MATCH(C$1,[2]quests!$1:$1,0)-MATCH($B$1,[2]quests!$1:$1,0)+1,FALSE)</f>
        <v>アマテラス襲来！</v>
      </c>
      <c r="D36" s="81" t="str">
        <f ca="1">VLOOKUP($B36,OFFSET([2]quests!$A$1,0,0,COUNTA([2]quests!$A:$A),MATCH(D$1,[2]quests!$1:$1,0)-MATCH($B$1,[2]quests!$1:$1,0)+1),MATCH(D$1,[2]quests!$1:$1,0)-MATCH($B$1,[2]quests!$1:$1,0)+1,FALSE)</f>
        <v>降臨1</v>
      </c>
      <c r="E36" s="84">
        <v>3</v>
      </c>
      <c r="F36" s="81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36" s="81" t="str">
        <f ca="1">VLOOKUP($B36&amp;"_"&amp;$E36,OFFSET([2]stages!$A$1,0,0,COUNTA([2]stages!$A:$A),MATCH(G$1,[2]stages!$2:$2,0)-MATCH("temp_stage",[2]stages!$2:$2,0)+1),MATCH(G$1,[2]stages!$2:$2,0)-MATCH("temp_stage",[2]stages!$2:$2,0)+1,FALSE)</f>
        <v>降臨1</v>
      </c>
      <c r="H36" s="83">
        <v>0</v>
      </c>
      <c r="I36">
        <v>34</v>
      </c>
      <c r="J36" s="82" t="s">
        <v>128</v>
      </c>
      <c r="K36" s="102" t="str">
        <f>VLOOKUP(I36,[6]stage_hints!$A:$C,3,FALSE)</f>
        <v>ステータスをスキルで下げられたら</v>
      </c>
      <c r="L36" s="103" t="str">
        <f>VLOOKUP(I36,[6]stage_hints!$A:$D,4,FALSE)</f>
        <v>ステータスダウンのスキルを受けたら_x000D_ステータスアップスキルで上書きしましょう</v>
      </c>
      <c r="M36" s="55" t="s">
        <v>200</v>
      </c>
    </row>
    <row r="37" spans="1:13" x14ac:dyDescent="0.15">
      <c r="A37" s="80" t="s">
        <v>201</v>
      </c>
      <c r="B37" s="100">
        <f>floors!$C$2</f>
        <v>41001</v>
      </c>
      <c r="C37" s="81" t="str">
        <f ca="1">VLOOKUP($B37,OFFSET([2]quests!$A$1,0,0,COUNTA([2]quests!$A:$A),MATCH(C$1,[2]quests!$1:$1,0)-MATCH($B$1,[2]quests!$1:$1,0)+1),MATCH(C$1,[2]quests!$1:$1,0)-MATCH($B$1,[2]quests!$1:$1,0)+1,FALSE)</f>
        <v>アマテラス襲来！</v>
      </c>
      <c r="D37" s="81" t="str">
        <f ca="1">VLOOKUP($B37,OFFSET([2]quests!$A$1,0,0,COUNTA([2]quests!$A:$A),MATCH(D$1,[2]quests!$1:$1,0)-MATCH($B$1,[2]quests!$1:$1,0)+1),MATCH(D$1,[2]quests!$1:$1,0)-MATCH($B$1,[2]quests!$1:$1,0)+1,FALSE)</f>
        <v>降臨1</v>
      </c>
      <c r="E37" s="84">
        <v>3</v>
      </c>
      <c r="F37" s="81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37" s="81" t="str">
        <f ca="1">VLOOKUP($B37&amp;"_"&amp;$E37,OFFSET([2]stages!$A$1,0,0,COUNTA([2]stages!$A:$A),MATCH(G$1,[2]stages!$2:$2,0)-MATCH("temp_stage",[2]stages!$2:$2,0)+1),MATCH(G$1,[2]stages!$2:$2,0)-MATCH("temp_stage",[2]stages!$2:$2,0)+1,FALSE)</f>
        <v>降臨1</v>
      </c>
      <c r="H37" s="83">
        <v>0</v>
      </c>
      <c r="I37">
        <v>35</v>
      </c>
      <c r="J37" s="82" t="s">
        <v>128</v>
      </c>
      <c r="K37" s="102" t="str">
        <f>VLOOKUP(I37,[6]stage_hints!$A:$C,3,FALSE)</f>
        <v>敵のステータスがスキルで上がったら</v>
      </c>
      <c r="L37" s="103" t="str">
        <f>VLOOKUP(I37,[6]stage_hints!$A:$D,4,FALSE)</f>
        <v>敵のステータスがスキルでアップしたときは_x000D_ステータスダウンスキルで上書きしましょう</v>
      </c>
      <c r="M37" s="55" t="s">
        <v>200</v>
      </c>
    </row>
    <row r="38" spans="1:13" x14ac:dyDescent="0.15">
      <c r="A38" s="80" t="s">
        <v>201</v>
      </c>
      <c r="B38" s="100">
        <f>floors!$C$2</f>
        <v>41001</v>
      </c>
      <c r="C38" s="81" t="str">
        <f ca="1">VLOOKUP($B38,OFFSET([2]quests!$A$1,0,0,COUNTA([2]quests!$A:$A),MATCH(C$1,[2]quests!$1:$1,0)-MATCH($B$1,[2]quests!$1:$1,0)+1),MATCH(C$1,[2]quests!$1:$1,0)-MATCH($B$1,[2]quests!$1:$1,0)+1,FALSE)</f>
        <v>アマテラス襲来！</v>
      </c>
      <c r="D38" s="81" t="str">
        <f ca="1">VLOOKUP($B38,OFFSET([2]quests!$A$1,0,0,COUNTA([2]quests!$A:$A),MATCH(D$1,[2]quests!$1:$1,0)-MATCH($B$1,[2]quests!$1:$1,0)+1),MATCH(D$1,[2]quests!$1:$1,0)-MATCH($B$1,[2]quests!$1:$1,0)+1,FALSE)</f>
        <v>降臨1</v>
      </c>
      <c r="E38" s="84">
        <v>3</v>
      </c>
      <c r="F38" s="81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38" s="81" t="str">
        <f ca="1">VLOOKUP($B38&amp;"_"&amp;$E38,OFFSET([2]stages!$A$1,0,0,COUNTA([2]stages!$A:$A),MATCH(G$1,[2]stages!$2:$2,0)-MATCH("temp_stage",[2]stages!$2:$2,0)+1),MATCH(G$1,[2]stages!$2:$2,0)-MATCH("temp_stage",[2]stages!$2:$2,0)+1,FALSE)</f>
        <v>降臨1</v>
      </c>
      <c r="H38" s="83">
        <v>0</v>
      </c>
      <c r="I38">
        <v>36</v>
      </c>
      <c r="J38" s="82" t="s">
        <v>128</v>
      </c>
      <c r="K38" s="102" t="str">
        <f>VLOOKUP(I38,[6]stage_hints!$A:$C,3,FALSE)</f>
        <v>チャレンジタワーのボス</v>
      </c>
      <c r="L38" s="103" t="str">
        <f>VLOOKUP(I38,[6]stage_hints!$A:$D,4,FALSE)</f>
        <v>チャレンジタワーでのみ登場するボスは_x000D_一定確率で獲得することができます</v>
      </c>
      <c r="M38" s="55" t="s">
        <v>200</v>
      </c>
    </row>
    <row r="39" spans="1:13" x14ac:dyDescent="0.15">
      <c r="A39" s="80" t="s">
        <v>201</v>
      </c>
      <c r="B39" s="100">
        <f>floors!$C$2</f>
        <v>41001</v>
      </c>
      <c r="C39" s="81" t="str">
        <f ca="1">VLOOKUP($B39,OFFSET([2]quests!$A$1,0,0,COUNTA([2]quests!$A:$A),MATCH(C$1,[2]quests!$1:$1,0)-MATCH($B$1,[2]quests!$1:$1,0)+1),MATCH(C$1,[2]quests!$1:$1,0)-MATCH($B$1,[2]quests!$1:$1,0)+1,FALSE)</f>
        <v>アマテラス襲来！</v>
      </c>
      <c r="D39" s="81" t="str">
        <f ca="1">VLOOKUP($B39,OFFSET([2]quests!$A$1,0,0,COUNTA([2]quests!$A:$A),MATCH(D$1,[2]quests!$1:$1,0)-MATCH($B$1,[2]quests!$1:$1,0)+1),MATCH(D$1,[2]quests!$1:$1,0)-MATCH($B$1,[2]quests!$1:$1,0)+1,FALSE)</f>
        <v>降臨1</v>
      </c>
      <c r="E39" s="84">
        <v>3</v>
      </c>
      <c r="F39" s="81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39" s="81" t="str">
        <f ca="1">VLOOKUP($B39&amp;"_"&amp;$E39,OFFSET([2]stages!$A$1,0,0,COUNTA([2]stages!$A:$A),MATCH(G$1,[2]stages!$2:$2,0)-MATCH("temp_stage",[2]stages!$2:$2,0)+1),MATCH(G$1,[2]stages!$2:$2,0)-MATCH("temp_stage",[2]stages!$2:$2,0)+1,FALSE)</f>
        <v>降臨1</v>
      </c>
      <c r="H39" s="83">
        <v>0</v>
      </c>
      <c r="I39">
        <v>37</v>
      </c>
      <c r="J39" s="82" t="s">
        <v>128</v>
      </c>
      <c r="K39" s="102" t="str">
        <f>VLOOKUP(I39,[6]stage_hints!$A:$C,3,FALSE)</f>
        <v>限界突破値の引き継ぎ</v>
      </c>
      <c r="L39" s="103" t="str">
        <f>VLOOKUP(I39,[6]stage_hints!$A:$D,4,FALSE)</f>
        <v>同じユニットを強化で合成すると_x000D_限界突破値を引き継げます（覚醒前後も可）</v>
      </c>
      <c r="M39" s="55" t="s">
        <v>200</v>
      </c>
    </row>
    <row r="40" spans="1:13" x14ac:dyDescent="0.15">
      <c r="A40" s="80" t="s">
        <v>201</v>
      </c>
      <c r="B40" s="100">
        <f>floors!$C$2</f>
        <v>41001</v>
      </c>
      <c r="C40" s="81" t="str">
        <f ca="1">VLOOKUP($B40,OFFSET([2]quests!$A$1,0,0,COUNTA([2]quests!$A:$A),MATCH(C$1,[2]quests!$1:$1,0)-MATCH($B$1,[2]quests!$1:$1,0)+1),MATCH(C$1,[2]quests!$1:$1,0)-MATCH($B$1,[2]quests!$1:$1,0)+1,FALSE)</f>
        <v>アマテラス襲来！</v>
      </c>
      <c r="D40" s="81" t="str">
        <f ca="1">VLOOKUP($B40,OFFSET([2]quests!$A$1,0,0,COUNTA([2]quests!$A:$A),MATCH(D$1,[2]quests!$1:$1,0)-MATCH($B$1,[2]quests!$1:$1,0)+1),MATCH(D$1,[2]quests!$1:$1,0)-MATCH($B$1,[2]quests!$1:$1,0)+1,FALSE)</f>
        <v>降臨1</v>
      </c>
      <c r="E40" s="84">
        <v>3</v>
      </c>
      <c r="F40" s="81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40" s="81" t="str">
        <f ca="1">VLOOKUP($B40&amp;"_"&amp;$E40,OFFSET([2]stages!$A$1,0,0,COUNTA([2]stages!$A:$A),MATCH(G$1,[2]stages!$2:$2,0)-MATCH("temp_stage",[2]stages!$2:$2,0)+1),MATCH(G$1,[2]stages!$2:$2,0)-MATCH("temp_stage",[2]stages!$2:$2,0)+1,FALSE)</f>
        <v>降臨1</v>
      </c>
      <c r="H40" s="83">
        <v>0</v>
      </c>
      <c r="I40">
        <v>39</v>
      </c>
      <c r="J40" s="82" t="s">
        <v>128</v>
      </c>
      <c r="K40" s="102" t="str">
        <f>VLOOKUP(I40,[6]stage_hints!$A:$C,3,FALSE)</f>
        <v>システム適合者を確認</v>
      </c>
      <c r="L40" s="103" t="str">
        <f>VLOOKUP(I40,[6]stage_hints!$A:$D,4,FALSE)</f>
        <v>ALICEが「アナタ」を呼んでいます</v>
      </c>
      <c r="M40" s="55" t="s">
        <v>200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7"/>
  <sheetViews>
    <sheetView showGridLines="0" workbookViewId="0">
      <pane ySplit="1" topLeftCell="A17" activePane="bottomLeft" state="frozen"/>
      <selection pane="bottomLeft" activeCell="M26" sqref="M26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188</v>
      </c>
      <c r="B1" s="71" t="s">
        <v>151</v>
      </c>
      <c r="C1" s="76" t="s">
        <v>190</v>
      </c>
      <c r="D1" s="76" t="s">
        <v>33</v>
      </c>
      <c r="E1" s="71" t="s">
        <v>191</v>
      </c>
      <c r="F1" s="76" t="s">
        <v>18</v>
      </c>
      <c r="G1" s="76" t="s">
        <v>33</v>
      </c>
      <c r="H1" s="71" t="s">
        <v>193</v>
      </c>
      <c r="I1" s="86" t="s">
        <v>194</v>
      </c>
      <c r="J1" s="87" t="s">
        <v>195</v>
      </c>
      <c r="K1" s="78" t="s">
        <v>127</v>
      </c>
      <c r="L1" s="77" t="s">
        <v>187</v>
      </c>
      <c r="M1" s="88" t="s">
        <v>186</v>
      </c>
      <c r="N1" s="79" t="s">
        <v>196</v>
      </c>
    </row>
    <row r="2" spans="1:14" ht="42" x14ac:dyDescent="0.15">
      <c r="A2" s="80" t="s">
        <v>197</v>
      </c>
      <c r="B2" s="100">
        <f>floors!$C$2</f>
        <v>41001</v>
      </c>
      <c r="C2" s="81" t="str">
        <f ca="1">VLOOKUP($B2,OFFSET([2]quests!$A$1,0,0,COUNTA([2]quests!$A:$A),MATCH(C$1,[2]quests!$1:$1,0)-MATCH($B$1,[2]quests!$1:$1,0)+1),MATCH(C$1,[2]quests!$1:$1,0)-MATCH($B$1,[2]quests!$1:$1,0)+1,FALSE)</f>
        <v>アマテラス襲来！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降臨1</v>
      </c>
      <c r="E2" s="11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【超絶級】アマテラス襲来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83">
        <v>1</v>
      </c>
      <c r="I2" s="101">
        <f t="shared" ref="I2:I27" si="0">ROW()-1</f>
        <v>1</v>
      </c>
      <c r="J2" s="101" t="str">
        <f t="shared" ref="J2:J27" si="1">B2&amp;TEXT(I2,"00")</f>
        <v>4100101</v>
      </c>
      <c r="K2" s="82" t="s">
        <v>198</v>
      </c>
      <c r="L2" s="84" t="s">
        <v>199</v>
      </c>
      <c r="M2" s="110" t="s">
        <v>298</v>
      </c>
      <c r="N2" s="55" t="s">
        <v>200</v>
      </c>
    </row>
    <row r="3" spans="1:14" ht="42" x14ac:dyDescent="0.15">
      <c r="A3" s="80" t="s">
        <v>197</v>
      </c>
      <c r="B3" s="100">
        <f>floors!$C$2</f>
        <v>41001</v>
      </c>
      <c r="C3" s="81" t="str">
        <f ca="1">VLOOKUP($B3,OFFSET([2]quests!$A$1,0,0,COUNTA([2]quests!$A:$A),MATCH(C$1,[2]quests!$1:$1,0)-MATCH($B$1,[2]quests!$1:$1,0)+1),MATCH(C$1,[2]quests!$1:$1,0)-MATCH($B$1,[2]quests!$1:$1,0)+1,FALSE)</f>
        <v>アマテラス襲来！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降臨1</v>
      </c>
      <c r="E3" s="11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【超絶級】アマテラス襲来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83">
        <v>2</v>
      </c>
      <c r="I3" s="101">
        <f t="shared" si="0"/>
        <v>2</v>
      </c>
      <c r="J3" s="101" t="str">
        <f t="shared" si="1"/>
        <v>4100102</v>
      </c>
      <c r="K3" s="82" t="s">
        <v>128</v>
      </c>
      <c r="L3" s="84" t="s">
        <v>199</v>
      </c>
      <c r="M3" s="110" t="s">
        <v>289</v>
      </c>
      <c r="N3" s="55" t="s">
        <v>200</v>
      </c>
    </row>
    <row r="4" spans="1:14" ht="42" x14ac:dyDescent="0.15">
      <c r="A4" s="80" t="s">
        <v>197</v>
      </c>
      <c r="B4" s="100">
        <f>floors!$C$2</f>
        <v>41001</v>
      </c>
      <c r="C4" s="81" t="str">
        <f ca="1">VLOOKUP($B4,OFFSET([2]quests!$A$1,0,0,COUNTA([2]quests!$A:$A),MATCH(C$1,[2]quests!$1:$1,0)-MATCH($B$1,[2]quests!$1:$1,0)+1),MATCH(C$1,[2]quests!$1:$1,0)-MATCH($B$1,[2]quests!$1:$1,0)+1,FALSE)</f>
        <v>アマテラス襲来！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降臨1</v>
      </c>
      <c r="E4" s="11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【超絶級】アマテラス襲来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83">
        <v>3</v>
      </c>
      <c r="I4" s="101">
        <f t="shared" si="0"/>
        <v>3</v>
      </c>
      <c r="J4" s="101" t="str">
        <f t="shared" si="1"/>
        <v>4100103</v>
      </c>
      <c r="K4" s="82" t="s">
        <v>128</v>
      </c>
      <c r="L4" s="84" t="s">
        <v>199</v>
      </c>
      <c r="M4" s="110" t="s">
        <v>309</v>
      </c>
      <c r="N4" s="55" t="s">
        <v>200</v>
      </c>
    </row>
    <row r="5" spans="1:14" ht="42" x14ac:dyDescent="0.15">
      <c r="A5" s="80" t="s">
        <v>197</v>
      </c>
      <c r="B5" s="100">
        <f>floors!$C$2</f>
        <v>41001</v>
      </c>
      <c r="C5" s="81" t="str">
        <f ca="1">VLOOKUP($B5,OFFSET([2]quests!$A$1,0,0,COUNTA([2]quests!$A:$A),MATCH(C$1,[2]quests!$1:$1,0)-MATCH($B$1,[2]quests!$1:$1,0)+1),MATCH(C$1,[2]quests!$1:$1,0)-MATCH($B$1,[2]quests!$1:$1,0)+1,FALSE)</f>
        <v>アマテラス襲来！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降臨1</v>
      </c>
      <c r="E5" s="11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【超絶級】アマテラス襲来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83">
        <v>3</v>
      </c>
      <c r="I5" s="101">
        <f t="shared" si="0"/>
        <v>4</v>
      </c>
      <c r="J5" s="101" t="str">
        <f t="shared" si="1"/>
        <v>4100104</v>
      </c>
      <c r="K5" s="82" t="s">
        <v>128</v>
      </c>
      <c r="L5" s="84" t="s">
        <v>199</v>
      </c>
      <c r="M5" s="110" t="s">
        <v>295</v>
      </c>
      <c r="N5" s="55" t="s">
        <v>200</v>
      </c>
    </row>
    <row r="6" spans="1:14" ht="42" x14ac:dyDescent="0.15">
      <c r="A6" s="80" t="s">
        <v>197</v>
      </c>
      <c r="B6" s="100">
        <f>floors!$C$2</f>
        <v>41001</v>
      </c>
      <c r="C6" s="81" t="str">
        <f ca="1">VLOOKUP($B6,OFFSET([2]quests!$A$1,0,0,COUNTA([2]quests!$A:$A),MATCH(C$1,[2]quests!$1:$1,0)-MATCH($B$1,[2]quests!$1:$1,0)+1),MATCH(C$1,[2]quests!$1:$1,0)-MATCH($B$1,[2]quests!$1:$1,0)+1,FALSE)</f>
        <v>アマテラス襲来！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降臨1</v>
      </c>
      <c r="E6" s="11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【超絶級】アマテラス襲来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83">
        <v>4</v>
      </c>
      <c r="I6" s="101">
        <f t="shared" si="0"/>
        <v>5</v>
      </c>
      <c r="J6" s="101" t="str">
        <f t="shared" si="1"/>
        <v>4100105</v>
      </c>
      <c r="K6" s="82" t="s">
        <v>128</v>
      </c>
      <c r="L6" s="84" t="s">
        <v>199</v>
      </c>
      <c r="M6" s="110" t="s">
        <v>297</v>
      </c>
      <c r="N6" s="55" t="s">
        <v>200</v>
      </c>
    </row>
    <row r="7" spans="1:14" ht="42" x14ac:dyDescent="0.15">
      <c r="A7" s="80" t="s">
        <v>197</v>
      </c>
      <c r="B7" s="100">
        <f>floors!$C$2</f>
        <v>41001</v>
      </c>
      <c r="C7" s="81" t="str">
        <f ca="1">VLOOKUP($B7,OFFSET([2]quests!$A$1,0,0,COUNTA([2]quests!$A:$A),MATCH(C$1,[2]quests!$1:$1,0)-MATCH($B$1,[2]quests!$1:$1,0)+1),MATCH(C$1,[2]quests!$1:$1,0)-MATCH($B$1,[2]quests!$1:$1,0)+1,FALSE)</f>
        <v>アマテラス襲来！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降臨1</v>
      </c>
      <c r="E7" s="11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【超絶級】アマテラス襲来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83">
        <v>5</v>
      </c>
      <c r="I7" s="101">
        <f t="shared" si="0"/>
        <v>6</v>
      </c>
      <c r="J7" s="101" t="str">
        <f t="shared" si="1"/>
        <v>4100106</v>
      </c>
      <c r="K7" s="82" t="s">
        <v>128</v>
      </c>
      <c r="L7" s="84" t="s">
        <v>199</v>
      </c>
      <c r="M7" s="110" t="s">
        <v>310</v>
      </c>
      <c r="N7" s="55" t="s">
        <v>200</v>
      </c>
    </row>
    <row r="8" spans="1:14" ht="42" x14ac:dyDescent="0.15">
      <c r="A8" s="80" t="s">
        <v>197</v>
      </c>
      <c r="B8" s="100">
        <f>floors!$C$2</f>
        <v>41001</v>
      </c>
      <c r="C8" s="81" t="str">
        <f ca="1">VLOOKUP($B8,OFFSET([2]quests!$A$1,0,0,COUNTA([2]quests!$A:$A),MATCH(C$1,[2]quests!$1:$1,0)-MATCH($B$1,[2]quests!$1:$1,0)+1),MATCH(C$1,[2]quests!$1:$1,0)-MATCH($B$1,[2]quests!$1:$1,0)+1,FALSE)</f>
        <v>アマテラス襲来！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降臨1</v>
      </c>
      <c r="E8" s="113">
        <v>2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83">
        <v>1</v>
      </c>
      <c r="I8" s="101">
        <f t="shared" si="0"/>
        <v>7</v>
      </c>
      <c r="J8" s="101" t="str">
        <f t="shared" si="1"/>
        <v>4100107</v>
      </c>
      <c r="K8" s="82" t="s">
        <v>128</v>
      </c>
      <c r="L8" s="84" t="s">
        <v>199</v>
      </c>
      <c r="M8" s="110" t="s">
        <v>298</v>
      </c>
      <c r="N8" s="55" t="s">
        <v>200</v>
      </c>
    </row>
    <row r="9" spans="1:14" ht="42" x14ac:dyDescent="0.15">
      <c r="A9" s="80" t="s">
        <v>197</v>
      </c>
      <c r="B9" s="100">
        <f>floors!$C$2</f>
        <v>41001</v>
      </c>
      <c r="C9" s="81" t="str">
        <f ca="1">VLOOKUP($B9,OFFSET([2]quests!$A$1,0,0,COUNTA([2]quests!$A:$A),MATCH(C$1,[2]quests!$1:$1,0)-MATCH($B$1,[2]quests!$1:$1,0)+1),MATCH(C$1,[2]quests!$1:$1,0)-MATCH($B$1,[2]quests!$1:$1,0)+1,FALSE)</f>
        <v>アマテラス襲来！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降臨1</v>
      </c>
      <c r="E9" s="113">
        <v>2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83">
        <v>2</v>
      </c>
      <c r="I9" s="101">
        <f t="shared" si="0"/>
        <v>8</v>
      </c>
      <c r="J9" s="101" t="str">
        <f t="shared" si="1"/>
        <v>4100108</v>
      </c>
      <c r="K9" s="82" t="s">
        <v>128</v>
      </c>
      <c r="L9" s="84" t="s">
        <v>199</v>
      </c>
      <c r="M9" s="110" t="s">
        <v>289</v>
      </c>
      <c r="N9" s="55" t="s">
        <v>200</v>
      </c>
    </row>
    <row r="10" spans="1:14" ht="42" x14ac:dyDescent="0.15">
      <c r="A10" s="80" t="s">
        <v>197</v>
      </c>
      <c r="B10" s="100">
        <f>floors!$C$2</f>
        <v>41001</v>
      </c>
      <c r="C10" s="81" t="str">
        <f ca="1">VLOOKUP($B10,OFFSET([2]quests!$A$1,0,0,COUNTA([2]quests!$A:$A),MATCH(C$1,[2]quests!$1:$1,0)-MATCH($B$1,[2]quests!$1:$1,0)+1),MATCH(C$1,[2]quests!$1:$1,0)-MATCH($B$1,[2]quests!$1:$1,0)+1,FALSE)</f>
        <v>アマテラス襲来！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113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83">
        <v>3</v>
      </c>
      <c r="I10" s="101">
        <f t="shared" si="0"/>
        <v>9</v>
      </c>
      <c r="J10" s="101" t="str">
        <f t="shared" si="1"/>
        <v>4100109</v>
      </c>
      <c r="K10" s="82" t="s">
        <v>128</v>
      </c>
      <c r="L10" s="84" t="s">
        <v>199</v>
      </c>
      <c r="M10" s="110" t="s">
        <v>309</v>
      </c>
      <c r="N10" s="55" t="s">
        <v>200</v>
      </c>
    </row>
    <row r="11" spans="1:14" ht="42" x14ac:dyDescent="0.15">
      <c r="A11" s="80" t="s">
        <v>197</v>
      </c>
      <c r="B11" s="100">
        <f>floors!$C$2</f>
        <v>41001</v>
      </c>
      <c r="C11" s="81" t="str">
        <f ca="1">VLOOKUP($B11,OFFSET([2]quests!$A$1,0,0,COUNTA([2]quests!$A:$A),MATCH(C$1,[2]quests!$1:$1,0)-MATCH($B$1,[2]quests!$1:$1,0)+1),MATCH(C$1,[2]quests!$1:$1,0)-MATCH($B$1,[2]quests!$1:$1,0)+1,FALSE)</f>
        <v>アマテラス襲来！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113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83">
        <v>3</v>
      </c>
      <c r="I11" s="101">
        <f t="shared" si="0"/>
        <v>10</v>
      </c>
      <c r="J11" s="101" t="str">
        <f t="shared" si="1"/>
        <v>4100110</v>
      </c>
      <c r="K11" s="82" t="s">
        <v>128</v>
      </c>
      <c r="L11" s="84" t="s">
        <v>199</v>
      </c>
      <c r="M11" s="110" t="s">
        <v>295</v>
      </c>
      <c r="N11" s="55" t="s">
        <v>200</v>
      </c>
    </row>
    <row r="12" spans="1:14" ht="42" x14ac:dyDescent="0.15">
      <c r="A12" s="80" t="s">
        <v>197</v>
      </c>
      <c r="B12" s="100">
        <f>floors!$C$2</f>
        <v>41001</v>
      </c>
      <c r="C12" s="81" t="str">
        <f ca="1">VLOOKUP($B12,OFFSET([2]quests!$A$1,0,0,COUNTA([2]quests!$A:$A),MATCH(C$1,[2]quests!$1:$1,0)-MATCH($B$1,[2]quests!$1:$1,0)+1),MATCH(C$1,[2]quests!$1:$1,0)-MATCH($B$1,[2]quests!$1:$1,0)+1,FALSE)</f>
        <v>アマテラス襲来！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113">
        <v>2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83">
        <v>4</v>
      </c>
      <c r="I12" s="101">
        <f t="shared" si="0"/>
        <v>11</v>
      </c>
      <c r="J12" s="101" t="str">
        <f t="shared" si="1"/>
        <v>4100111</v>
      </c>
      <c r="K12" s="82" t="s">
        <v>128</v>
      </c>
      <c r="L12" s="84" t="s">
        <v>199</v>
      </c>
      <c r="M12" s="110" t="s">
        <v>297</v>
      </c>
      <c r="N12" s="55" t="s">
        <v>200</v>
      </c>
    </row>
    <row r="13" spans="1:14" ht="42" x14ac:dyDescent="0.15">
      <c r="A13" s="80" t="s">
        <v>197</v>
      </c>
      <c r="B13" s="100">
        <f>floors!$C$2</f>
        <v>41001</v>
      </c>
      <c r="C13" s="81" t="str">
        <f ca="1">VLOOKUP($B13,OFFSET([2]quests!$A$1,0,0,COUNTA([2]quests!$A:$A),MATCH(C$1,[2]quests!$1:$1,0)-MATCH($B$1,[2]quests!$1:$1,0)+1),MATCH(C$1,[2]quests!$1:$1,0)-MATCH($B$1,[2]quests!$1:$1,0)+1,FALSE)</f>
        <v>アマテラス襲来！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113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83">
        <v>5</v>
      </c>
      <c r="I13" s="101">
        <f t="shared" si="0"/>
        <v>12</v>
      </c>
      <c r="J13" s="101" t="str">
        <f t="shared" si="1"/>
        <v>4100112</v>
      </c>
      <c r="K13" s="82" t="s">
        <v>128</v>
      </c>
      <c r="L13" s="84" t="s">
        <v>199</v>
      </c>
      <c r="M13" s="110" t="s">
        <v>311</v>
      </c>
      <c r="N13" s="55" t="s">
        <v>200</v>
      </c>
    </row>
    <row r="14" spans="1:14" ht="42" x14ac:dyDescent="0.15">
      <c r="A14" s="80" t="s">
        <v>197</v>
      </c>
      <c r="B14" s="100">
        <f>floors!$C$2</f>
        <v>41001</v>
      </c>
      <c r="C14" s="81" t="str">
        <f ca="1">VLOOKUP($B14,OFFSET([2]quests!$A$1,0,0,COUNTA([2]quests!$A:$A),MATCH(C$1,[2]quests!$1:$1,0)-MATCH($B$1,[2]quests!$1:$1,0)+1),MATCH(C$1,[2]quests!$1:$1,0)-MATCH($B$1,[2]quests!$1:$1,0)+1,FALSE)</f>
        <v>アマテラス襲来！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113">
        <v>2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83">
        <v>5</v>
      </c>
      <c r="I14" s="101">
        <f t="shared" si="0"/>
        <v>13</v>
      </c>
      <c r="J14" s="101" t="str">
        <f t="shared" si="1"/>
        <v>4100113</v>
      </c>
      <c r="K14" s="82" t="s">
        <v>128</v>
      </c>
      <c r="L14" s="84" t="s">
        <v>199</v>
      </c>
      <c r="M14" s="110" t="s">
        <v>293</v>
      </c>
      <c r="N14" s="55" t="s">
        <v>200</v>
      </c>
    </row>
    <row r="15" spans="1:14" ht="42" x14ac:dyDescent="0.15">
      <c r="A15" s="80" t="s">
        <v>197</v>
      </c>
      <c r="B15" s="100">
        <f>floors!$C$2</f>
        <v>41001</v>
      </c>
      <c r="C15" s="81" t="str">
        <f ca="1">VLOOKUP($B15,OFFSET([2]quests!$A$1,0,0,COUNTA([2]quests!$A:$A),MATCH(C$1,[2]quests!$1:$1,0)-MATCH($B$1,[2]quests!$1:$1,0)+1),MATCH(C$1,[2]quests!$1:$1,0)-MATCH($B$1,[2]quests!$1:$1,0)+1,FALSE)</f>
        <v>アマテラス襲来！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113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83">
        <v>5</v>
      </c>
      <c r="I15" s="101">
        <f t="shared" si="0"/>
        <v>14</v>
      </c>
      <c r="J15" s="101" t="str">
        <f t="shared" si="1"/>
        <v>4100114</v>
      </c>
      <c r="K15" s="82" t="s">
        <v>128</v>
      </c>
      <c r="L15" s="84" t="s">
        <v>199</v>
      </c>
      <c r="M15" s="110" t="s">
        <v>312</v>
      </c>
      <c r="N15" s="55" t="s">
        <v>200</v>
      </c>
    </row>
    <row r="16" spans="1:14" ht="42" x14ac:dyDescent="0.15">
      <c r="A16" s="80" t="s">
        <v>197</v>
      </c>
      <c r="B16" s="100">
        <f>floors!$C$2</f>
        <v>41001</v>
      </c>
      <c r="C16" s="81" t="str">
        <f ca="1">VLOOKUP($B16,OFFSET([2]quests!$A$1,0,0,COUNTA([2]quests!$A:$A),MATCH(C$1,[2]quests!$1:$1,0)-MATCH($B$1,[2]quests!$1:$1,0)+1),MATCH(C$1,[2]quests!$1:$1,0)-MATCH($B$1,[2]quests!$1:$1,0)+1,FALSE)</f>
        <v>アマテラス襲来！</v>
      </c>
      <c r="D16" s="81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113">
        <v>2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【ウィザード級】アマテラス襲来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83">
        <v>5</v>
      </c>
      <c r="I16" s="101">
        <f t="shared" si="0"/>
        <v>15</v>
      </c>
      <c r="J16" s="101" t="str">
        <f t="shared" si="1"/>
        <v>4100115</v>
      </c>
      <c r="K16" s="82" t="s">
        <v>128</v>
      </c>
      <c r="L16" s="84" t="s">
        <v>199</v>
      </c>
      <c r="M16" s="110" t="s">
        <v>294</v>
      </c>
      <c r="N16" s="55" t="s">
        <v>200</v>
      </c>
    </row>
    <row r="17" spans="1:14" ht="42" x14ac:dyDescent="0.15">
      <c r="A17" s="80" t="s">
        <v>197</v>
      </c>
      <c r="B17" s="100">
        <f>floors!$C$2</f>
        <v>41001</v>
      </c>
      <c r="C17" s="81" t="str">
        <f ca="1">VLOOKUP($B17,OFFSET([2]quests!$A$1,0,0,COUNTA([2]quests!$A:$A),MATCH(C$1,[2]quests!$1:$1,0)-MATCH($B$1,[2]quests!$1:$1,0)+1),MATCH(C$1,[2]quests!$1:$1,0)-MATCH($B$1,[2]quests!$1:$1,0)+1,FALSE)</f>
        <v>アマテラス襲来！</v>
      </c>
      <c r="D17" s="81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113">
        <v>3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83">
        <v>5</v>
      </c>
      <c r="I17" s="101">
        <f t="shared" si="0"/>
        <v>16</v>
      </c>
      <c r="J17" s="101" t="str">
        <f t="shared" si="1"/>
        <v>4100116</v>
      </c>
      <c r="K17" s="82" t="s">
        <v>128</v>
      </c>
      <c r="L17" s="84" t="s">
        <v>199</v>
      </c>
      <c r="M17" s="110" t="s">
        <v>296</v>
      </c>
      <c r="N17" s="55" t="s">
        <v>200</v>
      </c>
    </row>
    <row r="18" spans="1:14" ht="42" x14ac:dyDescent="0.15">
      <c r="A18" s="80" t="s">
        <v>197</v>
      </c>
      <c r="B18" s="100">
        <f>floors!$C$2</f>
        <v>41001</v>
      </c>
      <c r="C18" s="81" t="str">
        <f ca="1">VLOOKUP($B18,OFFSET([2]quests!$A$1,0,0,COUNTA([2]quests!$A:$A),MATCH(C$1,[2]quests!$1:$1,0)-MATCH($B$1,[2]quests!$1:$1,0)+1),MATCH(C$1,[2]quests!$1:$1,0)-MATCH($B$1,[2]quests!$1:$1,0)+1,FALSE)</f>
        <v>アマテラス襲来！</v>
      </c>
      <c r="D18" s="81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114">
        <v>3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83">
        <v>1</v>
      </c>
      <c r="I18" s="101">
        <f t="shared" si="0"/>
        <v>17</v>
      </c>
      <c r="J18" s="101" t="str">
        <f t="shared" si="1"/>
        <v>4100117</v>
      </c>
      <c r="K18" s="82" t="s">
        <v>128</v>
      </c>
      <c r="L18" s="84" t="s">
        <v>199</v>
      </c>
      <c r="M18" s="110" t="s">
        <v>298</v>
      </c>
      <c r="N18" s="55" t="s">
        <v>200</v>
      </c>
    </row>
    <row r="19" spans="1:14" ht="42" x14ac:dyDescent="0.15">
      <c r="A19" s="80" t="s">
        <v>197</v>
      </c>
      <c r="B19" s="100">
        <f>floors!$C$2</f>
        <v>41001</v>
      </c>
      <c r="C19" s="81" t="str">
        <f ca="1">VLOOKUP($B19,OFFSET([2]quests!$A$1,0,0,COUNTA([2]quests!$A:$A),MATCH(C$1,[2]quests!$1:$1,0)-MATCH($B$1,[2]quests!$1:$1,0)+1),MATCH(C$1,[2]quests!$1:$1,0)-MATCH($B$1,[2]quests!$1:$1,0)+1,FALSE)</f>
        <v>アマテラス襲来！</v>
      </c>
      <c r="D19" s="81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114">
        <v>3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83">
        <v>2</v>
      </c>
      <c r="I19" s="101">
        <f t="shared" si="0"/>
        <v>18</v>
      </c>
      <c r="J19" s="101" t="str">
        <f t="shared" si="1"/>
        <v>4100118</v>
      </c>
      <c r="K19" s="82" t="s">
        <v>128</v>
      </c>
      <c r="L19" s="84" t="s">
        <v>199</v>
      </c>
      <c r="M19" s="110" t="s">
        <v>289</v>
      </c>
      <c r="N19" s="55" t="s">
        <v>200</v>
      </c>
    </row>
    <row r="20" spans="1:14" ht="42" x14ac:dyDescent="0.15">
      <c r="A20" s="80" t="s">
        <v>197</v>
      </c>
      <c r="B20" s="100">
        <f>floors!$C$2</f>
        <v>41001</v>
      </c>
      <c r="C20" s="81" t="str">
        <f ca="1">VLOOKUP($B20,OFFSET([2]quests!$A$1,0,0,COUNTA([2]quests!$A:$A),MATCH(C$1,[2]quests!$1:$1,0)-MATCH($B$1,[2]quests!$1:$1,0)+1),MATCH(C$1,[2]quests!$1:$1,0)-MATCH($B$1,[2]quests!$1:$1,0)+1,FALSE)</f>
        <v>アマテラス襲来！</v>
      </c>
      <c r="D20" s="81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114">
        <v>3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83">
        <v>3</v>
      </c>
      <c r="I20" s="101">
        <f t="shared" si="0"/>
        <v>19</v>
      </c>
      <c r="J20" s="101" t="str">
        <f t="shared" si="1"/>
        <v>4100119</v>
      </c>
      <c r="K20" s="82" t="s">
        <v>128</v>
      </c>
      <c r="L20" s="84" t="s">
        <v>199</v>
      </c>
      <c r="M20" s="110" t="s">
        <v>313</v>
      </c>
      <c r="N20" s="55" t="s">
        <v>200</v>
      </c>
    </row>
    <row r="21" spans="1:14" ht="42" x14ac:dyDescent="0.15">
      <c r="A21" s="80" t="s">
        <v>197</v>
      </c>
      <c r="B21" s="100">
        <f>floors!$C$2</f>
        <v>41001</v>
      </c>
      <c r="C21" s="81" t="str">
        <f ca="1">VLOOKUP($B21,OFFSET([2]quests!$A$1,0,0,COUNTA([2]quests!$A:$A),MATCH(C$1,[2]quests!$1:$1,0)-MATCH($B$1,[2]quests!$1:$1,0)+1),MATCH(C$1,[2]quests!$1:$1,0)-MATCH($B$1,[2]quests!$1:$1,0)+1,FALSE)</f>
        <v>アマテラス襲来！</v>
      </c>
      <c r="D21" s="81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114">
        <v>3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83">
        <v>3</v>
      </c>
      <c r="I21" s="101">
        <f t="shared" si="0"/>
        <v>20</v>
      </c>
      <c r="J21" s="101" t="str">
        <f t="shared" si="1"/>
        <v>4100120</v>
      </c>
      <c r="K21" s="82" t="s">
        <v>128</v>
      </c>
      <c r="L21" s="84" t="s">
        <v>199</v>
      </c>
      <c r="M21" s="110" t="s">
        <v>295</v>
      </c>
      <c r="N21" s="55" t="s">
        <v>200</v>
      </c>
    </row>
    <row r="22" spans="1:14" ht="42" x14ac:dyDescent="0.15">
      <c r="A22" s="80" t="s">
        <v>197</v>
      </c>
      <c r="B22" s="100">
        <f>floors!$C$2</f>
        <v>41001</v>
      </c>
      <c r="C22" s="81" t="str">
        <f ca="1">VLOOKUP($B22,OFFSET([2]quests!$A$1,0,0,COUNTA([2]quests!$A:$A),MATCH(C$1,[2]quests!$1:$1,0)-MATCH($B$1,[2]quests!$1:$1,0)+1),MATCH(C$1,[2]quests!$1:$1,0)-MATCH($B$1,[2]quests!$1:$1,0)+1,FALSE)</f>
        <v>アマテラス襲来！</v>
      </c>
      <c r="D22" s="81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114">
        <v>3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83">
        <v>4</v>
      </c>
      <c r="I22" s="101">
        <f t="shared" si="0"/>
        <v>21</v>
      </c>
      <c r="J22" s="101" t="str">
        <f t="shared" si="1"/>
        <v>4100121</v>
      </c>
      <c r="K22" s="82" t="s">
        <v>128</v>
      </c>
      <c r="L22" s="84" t="s">
        <v>199</v>
      </c>
      <c r="M22" s="110" t="s">
        <v>297</v>
      </c>
      <c r="N22" s="55" t="s">
        <v>200</v>
      </c>
    </row>
    <row r="23" spans="1:14" ht="42" x14ac:dyDescent="0.15">
      <c r="A23" s="80" t="s">
        <v>197</v>
      </c>
      <c r="B23" s="100">
        <f>floors!$C$2</f>
        <v>41001</v>
      </c>
      <c r="C23" s="81" t="str">
        <f ca="1">VLOOKUP($B23,OFFSET([2]quests!$A$1,0,0,COUNTA([2]quests!$A:$A),MATCH(C$1,[2]quests!$1:$1,0)-MATCH($B$1,[2]quests!$1:$1,0)+1),MATCH(C$1,[2]quests!$1:$1,0)-MATCH($B$1,[2]quests!$1:$1,0)+1,FALSE)</f>
        <v>アマテラス襲来！</v>
      </c>
      <c r="D23" s="81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114">
        <v>3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83">
        <v>5</v>
      </c>
      <c r="I23" s="101">
        <f t="shared" si="0"/>
        <v>22</v>
      </c>
      <c r="J23" s="101" t="str">
        <f t="shared" si="1"/>
        <v>4100122</v>
      </c>
      <c r="K23" s="82" t="s">
        <v>128</v>
      </c>
      <c r="L23" s="84" t="s">
        <v>199</v>
      </c>
      <c r="M23" s="110" t="s">
        <v>311</v>
      </c>
      <c r="N23" s="55" t="s">
        <v>200</v>
      </c>
    </row>
    <row r="24" spans="1:14" ht="42" x14ac:dyDescent="0.15">
      <c r="A24" s="80" t="s">
        <v>197</v>
      </c>
      <c r="B24" s="100">
        <f>floors!$C$2</f>
        <v>41001</v>
      </c>
      <c r="C24" s="81" t="str">
        <f ca="1">VLOOKUP($B24,OFFSET([2]quests!$A$1,0,0,COUNTA([2]quests!$A:$A),MATCH(C$1,[2]quests!$1:$1,0)-MATCH($B$1,[2]quests!$1:$1,0)+1),MATCH(C$1,[2]quests!$1:$1,0)-MATCH($B$1,[2]quests!$1:$1,0)+1,FALSE)</f>
        <v>アマテラス襲来！</v>
      </c>
      <c r="D24" s="81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114">
        <v>3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83">
        <v>5</v>
      </c>
      <c r="I24" s="101">
        <f t="shared" si="0"/>
        <v>23</v>
      </c>
      <c r="J24" s="101" t="str">
        <f t="shared" si="1"/>
        <v>4100123</v>
      </c>
      <c r="K24" s="82" t="s">
        <v>128</v>
      </c>
      <c r="L24" s="84" t="s">
        <v>199</v>
      </c>
      <c r="M24" s="110" t="s">
        <v>293</v>
      </c>
      <c r="N24" s="55" t="s">
        <v>200</v>
      </c>
    </row>
    <row r="25" spans="1:14" ht="42" x14ac:dyDescent="0.15">
      <c r="A25" s="80" t="s">
        <v>197</v>
      </c>
      <c r="B25" s="100">
        <f>floors!$C$2</f>
        <v>41001</v>
      </c>
      <c r="C25" s="81" t="str">
        <f ca="1">VLOOKUP($B25,OFFSET([2]quests!$A$1,0,0,COUNTA([2]quests!$A:$A),MATCH(C$1,[2]quests!$1:$1,0)-MATCH($B$1,[2]quests!$1:$1,0)+1),MATCH(C$1,[2]quests!$1:$1,0)-MATCH($B$1,[2]quests!$1:$1,0)+1,FALSE)</f>
        <v>アマテラス襲来！</v>
      </c>
      <c r="D25" s="81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114">
        <v>3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83">
        <v>5</v>
      </c>
      <c r="I25" s="101">
        <f t="shared" si="0"/>
        <v>24</v>
      </c>
      <c r="J25" s="101" t="str">
        <f t="shared" si="1"/>
        <v>4100124</v>
      </c>
      <c r="K25" s="82" t="s">
        <v>128</v>
      </c>
      <c r="L25" s="84" t="s">
        <v>199</v>
      </c>
      <c r="M25" s="110" t="s">
        <v>314</v>
      </c>
      <c r="N25" s="55" t="s">
        <v>200</v>
      </c>
    </row>
    <row r="26" spans="1:14" ht="42" x14ac:dyDescent="0.15">
      <c r="A26" s="80" t="s">
        <v>197</v>
      </c>
      <c r="B26" s="100">
        <f>floors!$C$2</f>
        <v>41001</v>
      </c>
      <c r="C26" s="81" t="str">
        <f ca="1">VLOOKUP($B26,OFFSET([2]quests!$A$1,0,0,COUNTA([2]quests!$A:$A),MATCH(C$1,[2]quests!$1:$1,0)-MATCH($B$1,[2]quests!$1:$1,0)+1),MATCH(C$1,[2]quests!$1:$1,0)-MATCH($B$1,[2]quests!$1:$1,0)+1,FALSE)</f>
        <v>アマテラス襲来！</v>
      </c>
      <c r="D26" s="81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114">
        <v>3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83">
        <v>5</v>
      </c>
      <c r="I26" s="101">
        <f t="shared" si="0"/>
        <v>25</v>
      </c>
      <c r="J26" s="101" t="str">
        <f t="shared" si="1"/>
        <v>4100125</v>
      </c>
      <c r="K26" s="82" t="s">
        <v>128</v>
      </c>
      <c r="L26" s="84" t="s">
        <v>199</v>
      </c>
      <c r="M26" s="110" t="s">
        <v>294</v>
      </c>
      <c r="N26" s="55" t="s">
        <v>200</v>
      </c>
    </row>
    <row r="27" spans="1:14" ht="42" x14ac:dyDescent="0.15">
      <c r="A27" s="80" t="s">
        <v>197</v>
      </c>
      <c r="B27" s="100">
        <f>floors!$C$2</f>
        <v>41001</v>
      </c>
      <c r="C27" s="81" t="str">
        <f ca="1">VLOOKUP($B27,OFFSET([2]quests!$A$1,0,0,COUNTA([2]quests!$A:$A),MATCH(C$1,[2]quests!$1:$1,0)-MATCH($B$1,[2]quests!$1:$1,0)+1),MATCH(C$1,[2]quests!$1:$1,0)-MATCH($B$1,[2]quests!$1:$1,0)+1,FALSE)</f>
        <v>アマテラス襲来！</v>
      </c>
      <c r="D27" s="81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114">
        <v>3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【ノーコンテニュー】アマテラス襲来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83">
        <v>5</v>
      </c>
      <c r="I27" s="101">
        <f t="shared" si="0"/>
        <v>26</v>
      </c>
      <c r="J27" s="101" t="str">
        <f t="shared" si="1"/>
        <v>4100126</v>
      </c>
      <c r="K27" s="82" t="s">
        <v>128</v>
      </c>
      <c r="L27" s="84" t="s">
        <v>199</v>
      </c>
      <c r="M27" s="110" t="s">
        <v>296</v>
      </c>
      <c r="N27" s="55" t="s">
        <v>200</v>
      </c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2016-07-21T11:13:12Z</dcterms:modified>
</cp:coreProperties>
</file>