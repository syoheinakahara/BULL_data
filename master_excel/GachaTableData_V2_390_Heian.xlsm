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0" yWindow="460" windowWidth="28800" windowHeight="15940" tabRatio="943" activeTab="2"/>
  </bookViews>
  <sheets>
    <sheet name="確率の考え方" sheetId="110" r:id="rId1"/>
    <sheet name="Sheet1" sheetId="107" r:id="rId2"/>
    <sheet name="output" sheetId="103" r:id="rId3"/>
    <sheet name="input_390010" sheetId="157" r:id="rId4"/>
    <sheet name="tables_390010" sheetId="158" r:id="rId5"/>
    <sheet name="input_390100" sheetId="153" r:id="rId6"/>
    <sheet name="tables_390100" sheetId="154" r:id="rId7"/>
    <sheet name="tables_settle_390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tables_390010!$A$1:$V$294</definedName>
    <definedName name="_xlnm._FilterDatabase" localSheetId="6" hidden="1">tables_390100!$A$1:$V$294</definedName>
    <definedName name="_xlnm._FilterDatabase" localSheetId="7" hidden="1">tables_settle_390100!$A$1:$V$1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2" i="159" l="1"/>
  <c r="O3" i="159"/>
  <c r="A2" i="153"/>
  <c r="P6" i="159"/>
  <c r="N6" i="159"/>
  <c r="M6" i="159"/>
  <c r="L6" i="159"/>
  <c r="K6" i="159"/>
  <c r="J6" i="159"/>
  <c r="I6" i="159"/>
  <c r="H6" i="159"/>
  <c r="F6" i="159"/>
  <c r="E6" i="159"/>
  <c r="D6" i="159"/>
  <c r="C6" i="159"/>
  <c r="A6" i="159"/>
  <c r="P5" i="159"/>
  <c r="N5" i="159"/>
  <c r="M5" i="159"/>
  <c r="L5" i="159"/>
  <c r="K5" i="159"/>
  <c r="J5" i="159"/>
  <c r="I5" i="159"/>
  <c r="H5" i="159"/>
  <c r="F5" i="159"/>
  <c r="E5" i="159"/>
  <c r="D5" i="159"/>
  <c r="C5" i="159"/>
  <c r="A5" i="159"/>
  <c r="P4" i="159"/>
  <c r="N4" i="159"/>
  <c r="M4" i="159"/>
  <c r="L4" i="159"/>
  <c r="K4" i="159"/>
  <c r="J4" i="159"/>
  <c r="I4" i="159"/>
  <c r="H4" i="159"/>
  <c r="F4" i="159"/>
  <c r="E4" i="159"/>
  <c r="D4" i="159"/>
  <c r="C4" i="159"/>
  <c r="A4" i="159"/>
  <c r="P3" i="159"/>
  <c r="N3" i="159"/>
  <c r="M3" i="159"/>
  <c r="L3" i="159"/>
  <c r="K3" i="159"/>
  <c r="J3" i="159"/>
  <c r="I3" i="159"/>
  <c r="H3" i="159"/>
  <c r="F3" i="159"/>
  <c r="E3" i="159"/>
  <c r="D3" i="159"/>
  <c r="C3" i="159"/>
  <c r="A3" i="159"/>
  <c r="P2" i="159"/>
  <c r="N2" i="159"/>
  <c r="M2" i="159"/>
  <c r="L2" i="159"/>
  <c r="K2" i="159"/>
  <c r="J2" i="159"/>
  <c r="I2" i="159"/>
  <c r="H2" i="159"/>
  <c r="F2" i="159"/>
  <c r="E2" i="159"/>
  <c r="D2" i="159"/>
  <c r="C2" i="159"/>
  <c r="A2" i="159"/>
  <c r="A300" i="154"/>
  <c r="I300" i="154"/>
  <c r="D300" i="154"/>
  <c r="J300" i="154"/>
  <c r="E300" i="154"/>
  <c r="F300" i="154"/>
  <c r="C300" i="154"/>
  <c r="H300" i="154"/>
  <c r="K300" i="154"/>
  <c r="L300" i="154"/>
  <c r="M300" i="154"/>
  <c r="N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G29" i="153"/>
  <c r="H29" i="153"/>
  <c r="R5" i="153"/>
  <c r="R3" i="153"/>
  <c r="O300" i="154"/>
  <c r="E6" i="153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1" i="153"/>
  <c r="B21" i="153"/>
  <c r="G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E28" i="153"/>
  <c r="B28" i="153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B23" i="153"/>
  <c r="B22" i="153"/>
  <c r="G22" i="153"/>
  <c r="H22" i="153"/>
  <c r="O256" i="154"/>
  <c r="G23" i="153"/>
  <c r="E23" i="153"/>
  <c r="H23" i="153"/>
  <c r="O257" i="154"/>
  <c r="O258" i="154"/>
  <c r="O259" i="154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R4" i="153"/>
  <c r="O301" i="154"/>
  <c r="O302" i="154"/>
  <c r="R6" i="153"/>
  <c r="O303" i="154"/>
  <c r="R7" i="153"/>
  <c r="O304" i="154"/>
  <c r="P300" i="154"/>
  <c r="A301" i="154"/>
  <c r="H301" i="154"/>
  <c r="K301" i="154"/>
  <c r="L301" i="154"/>
  <c r="M301" i="154"/>
  <c r="N301" i="154"/>
  <c r="P301" i="154"/>
  <c r="A302" i="154"/>
  <c r="H302" i="154"/>
  <c r="K302" i="154"/>
  <c r="L302" i="154"/>
  <c r="M302" i="154"/>
  <c r="N302" i="154"/>
  <c r="P302" i="154"/>
  <c r="A303" i="154"/>
  <c r="H303" i="154"/>
  <c r="K303" i="154"/>
  <c r="L303" i="154"/>
  <c r="M303" i="154"/>
  <c r="N303" i="154"/>
  <c r="P303" i="154"/>
  <c r="A304" i="154"/>
  <c r="H304" i="154"/>
  <c r="K304" i="154"/>
  <c r="L304" i="154"/>
  <c r="M304" i="154"/>
  <c r="N304" i="154"/>
  <c r="P304" i="154"/>
  <c r="N3" i="153"/>
  <c r="N4" i="153"/>
  <c r="F6" i="157"/>
  <c r="F5" i="157"/>
  <c r="A2" i="157"/>
  <c r="A300" i="158"/>
  <c r="I300" i="158"/>
  <c r="D300" i="158"/>
  <c r="J300" i="158"/>
  <c r="E300" i="158"/>
  <c r="F300" i="158"/>
  <c r="C300" i="158"/>
  <c r="H300" i="158"/>
  <c r="K300" i="158"/>
  <c r="L300" i="158"/>
  <c r="M300" i="158"/>
  <c r="N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A36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G29" i="157"/>
  <c r="H29" i="157"/>
  <c r="R3" i="157"/>
  <c r="O300" i="158"/>
  <c r="E6" i="157"/>
  <c r="E19" i="157"/>
  <c r="B19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E21" i="157"/>
  <c r="B21" i="157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E28" i="157"/>
  <c r="B28" i="157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E22" i="157"/>
  <c r="B23" i="157"/>
  <c r="B22" i="157"/>
  <c r="G22" i="157"/>
  <c r="H22" i="157"/>
  <c r="O256" i="158"/>
  <c r="G23" i="157"/>
  <c r="E23" i="157"/>
  <c r="H23" i="157"/>
  <c r="O257" i="158"/>
  <c r="O258" i="158"/>
  <c r="O259" i="158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R4" i="157"/>
  <c r="O301" i="158"/>
  <c r="R5" i="157"/>
  <c r="O302" i="158"/>
  <c r="R6" i="157"/>
  <c r="O303" i="158"/>
  <c r="R7" i="157"/>
  <c r="O304" i="158"/>
  <c r="P300" i="158"/>
  <c r="A301" i="158"/>
  <c r="H301" i="158"/>
  <c r="K301" i="158"/>
  <c r="L301" i="158"/>
  <c r="M301" i="158"/>
  <c r="N301" i="158"/>
  <c r="P301" i="158"/>
  <c r="A302" i="158"/>
  <c r="H302" i="158"/>
  <c r="K302" i="158"/>
  <c r="L302" i="158"/>
  <c r="M302" i="158"/>
  <c r="N302" i="158"/>
  <c r="P302" i="158"/>
  <c r="A303" i="158"/>
  <c r="H303" i="158"/>
  <c r="K303" i="158"/>
  <c r="L303" i="158"/>
  <c r="M303" i="158"/>
  <c r="N303" i="158"/>
  <c r="P303" i="158"/>
  <c r="A304" i="158"/>
  <c r="H304" i="158"/>
  <c r="K304" i="158"/>
  <c r="L304" i="158"/>
  <c r="M304" i="158"/>
  <c r="N304" i="158"/>
  <c r="P304" i="158"/>
  <c r="N4" i="157"/>
  <c r="N3" i="157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2" i="158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A295" i="154"/>
  <c r="F295" i="154"/>
  <c r="H295" i="154"/>
  <c r="K295" i="154"/>
  <c r="L295" i="154"/>
  <c r="M295" i="154"/>
  <c r="N295" i="154"/>
  <c r="F296" i="154"/>
  <c r="F297" i="154"/>
  <c r="F298" i="154"/>
  <c r="F299" i="154"/>
  <c r="P295" i="154"/>
  <c r="A296" i="154"/>
  <c r="H296" i="154"/>
  <c r="K296" i="154"/>
  <c r="L296" i="154"/>
  <c r="M296" i="154"/>
  <c r="N296" i="154"/>
  <c r="P296" i="154"/>
  <c r="A297" i="154"/>
  <c r="H297" i="154"/>
  <c r="K297" i="154"/>
  <c r="L297" i="154"/>
  <c r="M297" i="154"/>
  <c r="N297" i="154"/>
  <c r="P297" i="154"/>
  <c r="A298" i="154"/>
  <c r="H298" i="154"/>
  <c r="K298" i="154"/>
  <c r="L298" i="154"/>
  <c r="M298" i="154"/>
  <c r="N298" i="154"/>
  <c r="P298" i="154"/>
  <c r="A299" i="154"/>
  <c r="H299" i="154"/>
  <c r="K299" i="154"/>
  <c r="L299" i="154"/>
  <c r="M299" i="154"/>
  <c r="N299" i="154"/>
  <c r="P299" i="154"/>
  <c r="A295" i="158"/>
  <c r="F295" i="158"/>
  <c r="H295" i="158"/>
  <c r="K295" i="158"/>
  <c r="L295" i="158"/>
  <c r="M295" i="158"/>
  <c r="N295" i="158"/>
  <c r="F296" i="158"/>
  <c r="F297" i="158"/>
  <c r="F298" i="158"/>
  <c r="F299" i="158"/>
  <c r="P295" i="158"/>
  <c r="A296" i="158"/>
  <c r="H296" i="158"/>
  <c r="K296" i="158"/>
  <c r="L296" i="158"/>
  <c r="M296" i="158"/>
  <c r="N296" i="158"/>
  <c r="P296" i="158"/>
  <c r="A297" i="158"/>
  <c r="H297" i="158"/>
  <c r="K297" i="158"/>
  <c r="L297" i="158"/>
  <c r="M297" i="158"/>
  <c r="N297" i="158"/>
  <c r="P297" i="158"/>
  <c r="A298" i="158"/>
  <c r="H298" i="158"/>
  <c r="K298" i="158"/>
  <c r="L298" i="158"/>
  <c r="M298" i="158"/>
  <c r="N298" i="158"/>
  <c r="P298" i="158"/>
  <c r="A299" i="158"/>
  <c r="H299" i="158"/>
  <c r="K299" i="158"/>
  <c r="L299" i="158"/>
  <c r="M299" i="158"/>
  <c r="N299" i="158"/>
  <c r="P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R8" i="153"/>
  <c r="R9" i="153"/>
  <c r="R10" i="153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" i="154"/>
  <c r="R8" i="157"/>
  <c r="R9" i="157"/>
  <c r="R10" i="157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" i="158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B6" i="157"/>
  <c r="B5" i="157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1" i="157"/>
  <c r="G41" i="157"/>
  <c r="F40" i="157"/>
  <c r="G40" i="157"/>
  <c r="B3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B30" i="153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48" i="153"/>
  <c r="F47" i="153"/>
  <c r="B40" i="153"/>
  <c r="B41" i="153"/>
  <c r="B42" i="153"/>
  <c r="B43" i="153"/>
  <c r="B44" i="153"/>
  <c r="B45" i="153"/>
  <c r="B46" i="153"/>
  <c r="B47" i="153"/>
  <c r="C40" i="153"/>
  <c r="C41" i="153"/>
  <c r="C42" i="153"/>
  <c r="C43" i="153"/>
  <c r="C44" i="153"/>
  <c r="C45" i="153"/>
  <c r="C46" i="153"/>
  <c r="C47" i="153"/>
  <c r="F46" i="153"/>
  <c r="F45" i="153"/>
  <c r="F42" i="153"/>
  <c r="G42" i="153"/>
  <c r="F41" i="153"/>
  <c r="G41" i="153"/>
  <c r="F40" i="153"/>
  <c r="G40" i="153"/>
  <c r="B32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D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C4" i="103"/>
  <c r="E4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<sst xmlns="http://schemas.openxmlformats.org/spreadsheetml/2006/main" count="533" uniqueCount="253">
  <si>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</si>
  <si>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</si>
  <si>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</si>
  <si>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</si>
  <si>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</si>
  <si>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</si>
  <si>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</si>
  <si>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</si>
  <si>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</si>
  <si>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</si>
  <si>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</si>
  <si>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</si>
  <si>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</si>
  <si>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</si>
  <si>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</si>
  <si>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</si>
  <si>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</si>
  <si>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</si>
  <si>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</si>
  <si>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</si>
  <si>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</si>
  <si>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</si>
  <si>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</si>
  <si>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</si>
  <si>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</si>
  <si>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</si>
  <si>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</si>
  <si>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</si>
  <si>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</si>
  <si>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</si>
  <si>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</si>
  <si>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</si>
  <si>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</si>
  <si>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</si>
  <si>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</si>
  <si>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</si>
  <si>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</si>
  <si>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</si>
  <si>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</si>
  <si>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</si>
  <si>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</si>
  <si>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</si>
  <si>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</si>
  <si>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</si>
  <si>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</si>
  <si>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</si>
  <si>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</si>
  <si>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</si>
  <si>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</si>
  <si>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</si>
  <si>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</si>
  <si>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</si>
  <si>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</si>
  <si>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</si>
  <si>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</si>
  <si>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</si>
  <si>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</si>
  <si>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</si>
  <si>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</si>
  <si>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</si>
  <si>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</si>
  <si>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</si>
  <si>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</si>
  <si>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</si>
  <si>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</si>
  <si>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</si>
  <si>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</si>
  <si>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</si>
  <si>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</si>
  <si>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</si>
  <si>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</si>
  <si>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</si>
  <si>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</si>
  <si>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</si>
  <si>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</si>
  <si>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</si>
  <si>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</si>
  <si>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</si>
  <si>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</si>
  <si>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</si>
  <si>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</si>
  <si>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</si>
  <si>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</si>
  <si>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</si>
  <si>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</si>
  <si>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</si>
  <si>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</si>
  <si>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</si>
  <si>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</si>
  <si>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</si>
  <si>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</si>
  <si>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</si>
  <si>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</si>
  <si>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</si>
  <si>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</si>
  <si>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</si>
  <si>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</si>
  <si>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</si>
  <si>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</si>
  <si>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</si>
  <si>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</si>
  <si>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</si>
  <si>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</si>
  <si>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</si>
  <si>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</si>
  <si>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</si>
  <si>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</si>
  <si>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</si>
  <si>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</si>
  <si>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</si>
  <si>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</si>
  <si>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</si>
  <si>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</si>
  <si>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</si>
  <si>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</si>
  <si>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</si>
  <si>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</si>
  <si>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</si>
  <si>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</si>
  <si>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</si>
  <si>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</si>
  <si>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</si>
  <si>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</si>
  <si>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</si>
  <si>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</si>
  <si>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</si>
  <si>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</si>
  <si>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</si>
  <si>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</si>
  <si>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</si>
  <si>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</si>
  <si>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</si>
  <si>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</si>
  <si>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</si>
  <si>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</si>
  <si>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</si>
  <si>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</si>
  <si>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</si>
  <si>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</si>
  <si>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</si>
  <si>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</si>
  <si>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</si>
  <si>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</si>
  <si>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</si>
  <si>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</si>
  <si>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</si>
  <si>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</si>
  <si>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</si>
  <si>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</si>
  <si>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</si>
  <si>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</si>
  <si>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</si>
  <si>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</si>
  <si>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</si>
  <si>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</si>
  <si>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</si>
  <si>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</si>
  <si>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</si>
  <si>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</si>
  <si>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</si>
  <si>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</si>
  <si>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</si>
  <si>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</si>
  <si>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</si>
  <si>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</si>
  <si>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</si>
  <si>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</si>
  <si>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</si>
  <si>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</si>
  <si>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</si>
  <si>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</si>
  <si>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</si>
  <si>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</si>
  <si>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</si>
  <si>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</si>
  <si>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</si>
  <si>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</si>
  <si>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</si>
  <si>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</si>
  <si>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</si>
  <si>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</si>
  <si>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</si>
  <si>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</si>
  <si>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</si>
  <si>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</si>
  <si>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</si>
  <si>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</si>
  <si>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</si>
  <si>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</si>
  <si>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</si>
  <si>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</si>
  <si>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</si>
  <si>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</si>
  <si>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</si>
  <si>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</si>
  <si>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</si>
  <si>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</si>
  <si>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</si>
  <si>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</si>
  <si>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</si>
  <si>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</si>
  <si>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</si>
  <si>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</si>
  <si>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</si>
  <si>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</si>
  <si>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</si>
  <si>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</si>
  <si>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</si>
  <si>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</si>
  <si>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</si>
  <si>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</si>
  <si>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</si>
  <si>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</si>
  <si>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gacha_settle_tables_</t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</si>
  <si>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</si>
  <si>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</si>
  <si>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</si>
  <si>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</si>
  <si>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</si>
  <si>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</si>
  <si>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</si>
  <si>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</si>
  <si>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</si>
  <si>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</si>
  <si>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</si>
  <si>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</si>
  <si>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</si>
  <si>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</si>
  <si>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</si>
  <si>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</si>
  <si>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</si>
  <si>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</si>
  <si>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</si>
  <si>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</si>
  <si>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</si>
  <si>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</si>
  <si>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</si>
  <si>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</si>
  <si>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</si>
  <si>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</si>
  <si>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</si>
  <si>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</si>
  <si>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</si>
  <si>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</si>
  <si>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通常確率</t>
    <phoneticPr fontId="20"/>
  </si>
  <si>
    <t>tables_363104</t>
    <phoneticPr fontId="20"/>
  </si>
  <si>
    <t>tables_363105</t>
    <phoneticPr fontId="20"/>
  </si>
  <si>
    <t>tables_363100</t>
    <phoneticPr fontId="20"/>
  </si>
  <si>
    <t>old</t>
    <phoneticPr fontId="20"/>
  </si>
  <si>
    <t>tables_390100</t>
    <phoneticPr fontId="20"/>
  </si>
  <si>
    <t>tables_390010</t>
    <phoneticPr fontId="20"/>
  </si>
  <si>
    <t>tables_settle_390100</t>
    <phoneticPr fontId="20"/>
  </si>
  <si>
    <t>old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</si>
</sst>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</cellStyleXfs>
  <cellXfs count="98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6" fillId="0" borderId="1" xfId="2978" applyFont="1" applyBorder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25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5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4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3" fillId="4" borderId="1" xfId="2978" applyFont="1" applyFill="1" applyBorder="1"/>
    <xf numFmtId="0" fontId="25" fillId="33" borderId="1" xfId="2" applyFont="1" applyFill="1" applyBorder="1" applyAlignment="1">
      <alignment vertical="center"/>
    </xf>
    <xf numFmtId="0" fontId="3" fillId="0" borderId="1" xfId="3036" applyFont="1" applyBorder="1"/>
    <xf numFmtId="0" fontId="2" fillId="0" borderId="1" xfId="3036" applyFont="1" applyBorder="1"/>
    <xf numFmtId="0" fontId="26" fillId="25" borderId="1" xfId="0" applyFont="1" applyFill="1" applyBorder="1" applyAlignment="1">
      <alignment vertical="center"/>
    </xf>
    <xf numFmtId="0" fontId="1" fillId="4" borderId="1" xfId="2978" applyFont="1" applyFill="1" applyBorder="1"/>
    <xf numFmtId="0" fontId="1" fillId="0" borderId="1" xfId="3036" applyFont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ヘルツ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ヘルツ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balance</v>
          </cell>
          <cell r="L1075" t="str">
            <v>バランスタイプ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balance</v>
          </cell>
          <cell r="L1076" t="str">
            <v>バランスタイプ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4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  <row r="1180">
          <cell r="A1180">
            <v>8031</v>
          </cell>
          <cell r="B1180" t="str">
            <v>ja</v>
          </cell>
          <cell r="C1180" t="str">
            <v>閻羅王</v>
          </cell>
          <cell r="D1180" t="str">
            <v>Expoミク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red</v>
          </cell>
          <cell r="I1180">
            <v>5</v>
          </cell>
          <cell r="J1180" t="str">
            <v>PremiumSS</v>
          </cell>
          <cell r="K1180" t="str">
            <v>balance</v>
          </cell>
          <cell r="L1180" t="str">
            <v>バランスタイプ</v>
          </cell>
          <cell r="M1180" t="str">
            <v>god</v>
          </cell>
        </row>
        <row r="1181">
          <cell r="A1181">
            <v>8032</v>
          </cell>
          <cell r="B1181" t="str">
            <v>ja</v>
          </cell>
          <cell r="C1181" t="str">
            <v>十殿閻羅王</v>
          </cell>
          <cell r="D1181" t="str">
            <v>Expoミク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red</v>
          </cell>
          <cell r="I1181">
            <v>6</v>
          </cell>
          <cell r="J1181" t="str">
            <v>PremiumSS</v>
          </cell>
          <cell r="K1181" t="str">
            <v>balance</v>
          </cell>
          <cell r="L1181" t="str">
            <v>バランスタイプ</v>
          </cell>
          <cell r="M1181" t="str">
            <v>god</v>
          </cell>
        </row>
        <row r="1182">
          <cell r="A1182">
            <v>8033</v>
          </cell>
          <cell r="B1182" t="str">
            <v>ja</v>
          </cell>
          <cell r="C1182" t="str">
            <v>牛頭馬面</v>
          </cell>
          <cell r="D1182" t="str">
            <v>Expoミク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5</v>
          </cell>
          <cell r="J1182" t="str">
            <v>DropWizS</v>
          </cell>
          <cell r="K1182" t="str">
            <v>attack</v>
          </cell>
          <cell r="L1182" t="str">
            <v>攻撃タイプ</v>
          </cell>
          <cell r="M1182" t="str">
            <v>god</v>
          </cell>
        </row>
        <row r="1183">
          <cell r="A1183">
            <v>8034</v>
          </cell>
          <cell r="B1183" t="str">
            <v>ja</v>
          </cell>
          <cell r="C1183" t="str">
            <v>牛頭馬面</v>
          </cell>
          <cell r="D1183" t="str">
            <v>Expoミク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6</v>
          </cell>
          <cell r="J1183" t="str">
            <v>DropWizS</v>
          </cell>
          <cell r="K1183" t="str">
            <v>attack</v>
          </cell>
          <cell r="L1183" t="str">
            <v>攻撃タイプ</v>
          </cell>
          <cell r="M1183" t="str">
            <v>god</v>
          </cell>
        </row>
        <row r="1184">
          <cell r="A1184">
            <v>8035</v>
          </cell>
          <cell r="B1184" t="str">
            <v>ja</v>
          </cell>
          <cell r="C1184" t="str">
            <v>嫦娥</v>
          </cell>
          <cell r="D1184" t="str">
            <v>Expoミク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blue</v>
          </cell>
          <cell r="I1184">
            <v>4</v>
          </cell>
          <cell r="J1184" t="str">
            <v>Drop2N</v>
          </cell>
          <cell r="K1184" t="str">
            <v>heal</v>
          </cell>
          <cell r="L1184" t="str">
            <v>回復タイプ</v>
          </cell>
          <cell r="M1184" t="str">
            <v>unknown</v>
          </cell>
        </row>
        <row r="1185">
          <cell r="A1185">
            <v>8036</v>
          </cell>
          <cell r="B1185" t="str">
            <v>ja</v>
          </cell>
          <cell r="C1185" t="str">
            <v>嫦娥</v>
          </cell>
          <cell r="D1185" t="str">
            <v>Expoミク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blue</v>
          </cell>
          <cell r="I1185">
            <v>4</v>
          </cell>
          <cell r="J1185" t="str">
            <v>Drop2N</v>
          </cell>
          <cell r="K1185" t="str">
            <v>heal</v>
          </cell>
          <cell r="L1185" t="str">
            <v>回復タイプ</v>
          </cell>
          <cell r="M1185" t="str">
            <v>unknown</v>
          </cell>
        </row>
        <row r="1186">
          <cell r="A1186">
            <v>8037</v>
          </cell>
          <cell r="B1186" t="str">
            <v>ja</v>
          </cell>
          <cell r="C1186" t="str">
            <v>后羿</v>
          </cell>
          <cell r="D1186" t="str">
            <v>Expoミク</v>
          </cell>
          <cell r="E1186" t="str">
            <v>執行者</v>
          </cell>
          <cell r="F1186" t="str">
            <v>格好いい</v>
          </cell>
          <cell r="G1186" t="str">
            <v>女性</v>
          </cell>
          <cell r="H1186" t="str">
            <v>blue</v>
          </cell>
          <cell r="I1186">
            <v>4</v>
          </cell>
          <cell r="J1186" t="str">
            <v>Drop2N</v>
          </cell>
          <cell r="K1186" t="str">
            <v>heal</v>
          </cell>
          <cell r="L1186" t="str">
            <v>回復タイプ</v>
          </cell>
          <cell r="M1186" t="str">
            <v>unknown</v>
          </cell>
        </row>
        <row r="1187">
          <cell r="A1187">
            <v>8038</v>
          </cell>
          <cell r="B1187" t="str">
            <v>ja</v>
          </cell>
          <cell r="C1187" t="str">
            <v>后羿</v>
          </cell>
          <cell r="D1187" t="str">
            <v>Expoミク</v>
          </cell>
          <cell r="E1187" t="str">
            <v>執行者</v>
          </cell>
          <cell r="F1187" t="str">
            <v>格好いい</v>
          </cell>
          <cell r="G1187" t="str">
            <v>女性</v>
          </cell>
          <cell r="H1187" t="str">
            <v>blue</v>
          </cell>
          <cell r="I1187">
            <v>4</v>
          </cell>
          <cell r="J1187" t="str">
            <v>Drop2N</v>
          </cell>
          <cell r="K1187" t="str">
            <v>heal</v>
          </cell>
          <cell r="L1187" t="str">
            <v>回復タイプ</v>
          </cell>
          <cell r="M1187" t="str">
            <v>unknown</v>
          </cell>
        </row>
        <row r="1188">
          <cell r="A1188">
            <v>8039</v>
          </cell>
          <cell r="B1188" t="str">
            <v>ja</v>
          </cell>
          <cell r="C1188" t="str">
            <v>何仙姑</v>
          </cell>
          <cell r="D1188" t="str">
            <v>Expoミク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blue</v>
          </cell>
          <cell r="I1188">
            <v>4</v>
          </cell>
          <cell r="J1188" t="str">
            <v>Drop2N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8040</v>
          </cell>
          <cell r="B1189" t="str">
            <v>ja</v>
          </cell>
          <cell r="C1189" t="str">
            <v>何仙姑</v>
          </cell>
          <cell r="D1189" t="str">
            <v>Expoミク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blue</v>
          </cell>
          <cell r="I1189">
            <v>4</v>
          </cell>
          <cell r="J1189" t="str">
            <v>Drop2N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8041</v>
          </cell>
          <cell r="B1190" t="str">
            <v>ja</v>
          </cell>
          <cell r="C1190" t="str">
            <v>藍采和</v>
          </cell>
          <cell r="D1190" t="str">
            <v>Expoミク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blue</v>
          </cell>
          <cell r="I1190">
            <v>4</v>
          </cell>
          <cell r="J1190" t="str">
            <v>Drop2N</v>
          </cell>
          <cell r="K1190" t="str">
            <v>heal</v>
          </cell>
          <cell r="L1190" t="str">
            <v>回復タイプ</v>
          </cell>
          <cell r="M1190" t="str">
            <v>unknown</v>
          </cell>
        </row>
        <row r="1191">
          <cell r="A1191">
            <v>8042</v>
          </cell>
          <cell r="B1191" t="str">
            <v>ja</v>
          </cell>
          <cell r="C1191" t="str">
            <v>藍采和</v>
          </cell>
          <cell r="D1191" t="str">
            <v>Expoミク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blue</v>
          </cell>
          <cell r="I1191">
            <v>4</v>
          </cell>
          <cell r="J1191" t="str">
            <v>Drop2N</v>
          </cell>
          <cell r="K1191" t="str">
            <v>heal</v>
          </cell>
          <cell r="L1191" t="str">
            <v>回復タイプ</v>
          </cell>
          <cell r="M1191" t="str">
            <v>unknown</v>
          </cell>
        </row>
        <row r="1192">
          <cell r="A1192">
            <v>8043</v>
          </cell>
          <cell r="B1192" t="str">
            <v>ja</v>
          </cell>
          <cell r="C1192" t="str">
            <v>サンリオキャラ大集合+アザゼル</v>
          </cell>
          <cell r="D1192" t="str">
            <v>サンリオキャラ大集合+アザゼル</v>
          </cell>
          <cell r="E1192" t="str">
            <v>執行者</v>
          </cell>
          <cell r="F1192" t="str">
            <v>格好いい</v>
          </cell>
          <cell r="G1192" t="str">
            <v>女性</v>
          </cell>
          <cell r="H1192" t="str">
            <v>green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ss</v>
          </cell>
        </row>
        <row r="1193">
          <cell r="A1193">
            <v>8044</v>
          </cell>
          <cell r="B1193" t="str">
            <v>ja</v>
          </cell>
          <cell r="C1193" t="str">
            <v>サンリオキャラ大集合+アザゼル</v>
          </cell>
          <cell r="D1193" t="str">
            <v>サンリオキャラ大集合+アザゼル</v>
          </cell>
          <cell r="E1193" t="str">
            <v>執行者</v>
          </cell>
          <cell r="F1193" t="str">
            <v>格好いい</v>
          </cell>
          <cell r="G1193" t="str">
            <v>女性</v>
          </cell>
          <cell r="H1193" t="str">
            <v>green</v>
          </cell>
          <cell r="I1193">
            <v>6</v>
          </cell>
          <cell r="J1193" t="str">
            <v>DropWizS</v>
          </cell>
          <cell r="K1193" t="str">
            <v>technical</v>
          </cell>
          <cell r="L1193" t="str">
            <v>テクニカルタイプ</v>
          </cell>
          <cell r="M1193" t="str">
            <v>ss</v>
          </cell>
        </row>
        <row r="1194">
          <cell r="A1194">
            <v>8045</v>
          </cell>
          <cell r="B1194" t="str">
            <v>ja</v>
          </cell>
          <cell r="C1194" t="str">
            <v>ニムダ_サンリオキャラ混じり</v>
          </cell>
          <cell r="D1194" t="str">
            <v>ニムダ_サンリオキャラ混じり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yellow</v>
          </cell>
          <cell r="I1194">
            <v>4</v>
          </cell>
          <cell r="J1194" t="str">
            <v>Drop2N</v>
          </cell>
          <cell r="K1194" t="str">
            <v>technical</v>
          </cell>
          <cell r="L1194" t="str">
            <v>テクニカルタイプ</v>
          </cell>
          <cell r="M1194" t="str">
            <v>ss</v>
          </cell>
        </row>
        <row r="1195">
          <cell r="A1195">
            <v>8046</v>
          </cell>
          <cell r="B1195" t="str">
            <v>ja</v>
          </cell>
          <cell r="C1195" t="str">
            <v>ニムダ_サンリオキャラ混じり</v>
          </cell>
          <cell r="D1195" t="str">
            <v>ニムダ_サンリオキャラ混じり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yellow</v>
          </cell>
          <cell r="I1195">
            <v>5</v>
          </cell>
          <cell r="J1195" t="str">
            <v>Drop2N</v>
          </cell>
          <cell r="K1195" t="str">
            <v>technical</v>
          </cell>
          <cell r="L1195" t="str">
            <v>テクニカルタイプ</v>
          </cell>
          <cell r="M1195" t="str">
            <v>ss</v>
          </cell>
        </row>
        <row r="1196">
          <cell r="A1196">
            <v>8047</v>
          </cell>
          <cell r="B1196" t="str">
            <v>ja</v>
          </cell>
          <cell r="C1196" t="str">
            <v>ハローキティ</v>
          </cell>
          <cell r="D1196" t="str">
            <v>ハローキティ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red</v>
          </cell>
          <cell r="I1196">
            <v>4</v>
          </cell>
          <cell r="J1196" t="str">
            <v>Drop2N</v>
          </cell>
          <cell r="K1196" t="str">
            <v>balance</v>
          </cell>
          <cell r="L1196" t="str">
            <v>バランスタイプ</v>
          </cell>
          <cell r="M1196" t="str">
            <v>ss</v>
          </cell>
        </row>
        <row r="1197">
          <cell r="A1197">
            <v>8048</v>
          </cell>
          <cell r="B1197" t="str">
            <v>ja</v>
          </cell>
          <cell r="C1197" t="str">
            <v>ハローキティ</v>
          </cell>
          <cell r="D1197" t="str">
            <v>ハローキティ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red</v>
          </cell>
          <cell r="I1197">
            <v>5</v>
          </cell>
          <cell r="J1197" t="str">
            <v>Drop2N</v>
          </cell>
          <cell r="K1197" t="str">
            <v>balance</v>
          </cell>
          <cell r="L1197" t="str">
            <v>バランスタイプ</v>
          </cell>
          <cell r="M1197" t="str">
            <v>ss</v>
          </cell>
        </row>
        <row r="1198">
          <cell r="A1198">
            <v>8049</v>
          </cell>
          <cell r="B1198" t="str">
            <v>ja</v>
          </cell>
          <cell r="C1198" t="str">
            <v>KIRIMIちゃん</v>
          </cell>
          <cell r="D1198" t="str">
            <v>KIRIMIちゃん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4</v>
          </cell>
          <cell r="J1198" t="str">
            <v>Drop2N</v>
          </cell>
          <cell r="K1198" t="str">
            <v>hp</v>
          </cell>
          <cell r="L1198" t="str">
            <v>体力タイプ</v>
          </cell>
          <cell r="M1198" t="str">
            <v>ss</v>
          </cell>
        </row>
        <row r="1199">
          <cell r="A1199">
            <v>8050</v>
          </cell>
          <cell r="B1199" t="str">
            <v>ja</v>
          </cell>
          <cell r="C1199" t="str">
            <v>KIRIMIちゃん</v>
          </cell>
          <cell r="D1199" t="str">
            <v>KIRIMIちゃん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5</v>
          </cell>
          <cell r="J1199" t="str">
            <v>Drop2N</v>
          </cell>
          <cell r="K1199" t="str">
            <v>hp</v>
          </cell>
          <cell r="L1199" t="str">
            <v>体力タイプ</v>
          </cell>
          <cell r="M1199" t="str">
            <v>ss</v>
          </cell>
        </row>
        <row r="1200">
          <cell r="A1200">
            <v>8051</v>
          </cell>
          <cell r="B1200" t="str">
            <v>ja</v>
          </cell>
          <cell r="C1200" t="str">
            <v>ハローキティのリボン</v>
          </cell>
          <cell r="D1200" t="str">
            <v>ハローキティのリボン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red</v>
          </cell>
          <cell r="I1200">
            <v>5</v>
          </cell>
          <cell r="J1200" t="str">
            <v>Drop2N</v>
          </cell>
          <cell r="K1200" t="str">
            <v>evolution</v>
          </cell>
          <cell r="L1200" t="str">
            <v>覚醒素材タイプ</v>
          </cell>
          <cell r="M1200" t="str">
            <v>ss</v>
          </cell>
        </row>
        <row r="1201">
          <cell r="A1201">
            <v>8052</v>
          </cell>
          <cell r="B1201" t="str">
            <v>ja</v>
          </cell>
          <cell r="C1201" t="str">
            <v>ママの作ったアップルパイ</v>
          </cell>
          <cell r="D1201" t="str">
            <v>ママの作ったアップルパイ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red</v>
          </cell>
          <cell r="I1201">
            <v>4</v>
          </cell>
          <cell r="J1201" t="str">
            <v>Drop2N</v>
          </cell>
          <cell r="K1201" t="str">
            <v>evolution</v>
          </cell>
          <cell r="L1201" t="str">
            <v>覚醒素材タイプ</v>
          </cell>
          <cell r="M1201" t="str">
            <v>ss</v>
          </cell>
        </row>
        <row r="1202">
          <cell r="A1202">
            <v>8053</v>
          </cell>
          <cell r="B1202" t="str">
            <v>ja</v>
          </cell>
          <cell r="C1202" t="str">
            <v>D.R.T.H__キティコスプレ</v>
          </cell>
          <cell r="D1202" t="str">
            <v>D.R.T.H__キティコスプレ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red</v>
          </cell>
          <cell r="I1202">
            <v>5</v>
          </cell>
          <cell r="J1202" t="str">
            <v>PremiumSS</v>
          </cell>
          <cell r="K1202" t="str">
            <v>balance</v>
          </cell>
          <cell r="L1202" t="str">
            <v>バランスタイプ</v>
          </cell>
          <cell r="M1202" t="str">
            <v>ss</v>
          </cell>
        </row>
        <row r="1203">
          <cell r="A1203">
            <v>8054</v>
          </cell>
          <cell r="B1203" t="str">
            <v>ja</v>
          </cell>
          <cell r="C1203" t="str">
            <v>D.R.T.H__キティコスプレ</v>
          </cell>
          <cell r="D1203" t="str">
            <v>D.R.T.H__キティコスプレ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red</v>
          </cell>
          <cell r="I1203">
            <v>6</v>
          </cell>
          <cell r="J1203" t="str">
            <v>PremiumSS</v>
          </cell>
          <cell r="K1203" t="str">
            <v>balance</v>
          </cell>
          <cell r="L1203" t="str">
            <v>バランスタイプ</v>
          </cell>
          <cell r="M1203" t="str">
            <v>ss</v>
          </cell>
        </row>
        <row r="1204">
          <cell r="A1204">
            <v>8055</v>
          </cell>
          <cell r="B1204" t="str">
            <v>ja</v>
          </cell>
          <cell r="C1204" t="str">
            <v>マイメロディ</v>
          </cell>
          <cell r="D1204" t="str">
            <v>マイメロディ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red</v>
          </cell>
          <cell r="I1204">
            <v>4</v>
          </cell>
          <cell r="J1204" t="str">
            <v>PremiumS</v>
          </cell>
          <cell r="K1204" t="str">
            <v>attack</v>
          </cell>
          <cell r="L1204" t="str">
            <v>攻撃タイプ</v>
          </cell>
          <cell r="M1204" t="str">
            <v>ss</v>
          </cell>
        </row>
        <row r="1205">
          <cell r="A1205">
            <v>8056</v>
          </cell>
          <cell r="B1205" t="str">
            <v>ja</v>
          </cell>
          <cell r="C1205" t="str">
            <v>マイメロディ</v>
          </cell>
          <cell r="D1205" t="str">
            <v>マイメロディ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red</v>
          </cell>
          <cell r="I1205">
            <v>5</v>
          </cell>
          <cell r="J1205" t="str">
            <v>PremiumS</v>
          </cell>
          <cell r="K1205" t="str">
            <v>attack</v>
          </cell>
          <cell r="L1205" t="str">
            <v>攻撃タイプ</v>
          </cell>
          <cell r="M1205" t="str">
            <v>ss</v>
          </cell>
        </row>
        <row r="1206">
          <cell r="A1206">
            <v>8057</v>
          </cell>
          <cell r="B1206" t="str">
            <v>ja</v>
          </cell>
          <cell r="C1206" t="str">
            <v>ニーベルゲン_シナモロールコスプレ</v>
          </cell>
          <cell r="D1206" t="str">
            <v>ニーベルゲン_シナモロールコスプレ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green</v>
          </cell>
          <cell r="I1206">
            <v>4</v>
          </cell>
          <cell r="J1206" t="str">
            <v>PremiumS</v>
          </cell>
          <cell r="K1206" t="str">
            <v>balance</v>
          </cell>
          <cell r="L1206" t="str">
            <v>バランスタイプ</v>
          </cell>
          <cell r="M1206" t="str">
            <v>ss</v>
          </cell>
        </row>
        <row r="1207">
          <cell r="A1207">
            <v>8058</v>
          </cell>
          <cell r="B1207" t="str">
            <v>ja</v>
          </cell>
          <cell r="C1207" t="str">
            <v>ニーベルゲン_シナモロールコスプレ</v>
          </cell>
          <cell r="D1207" t="str">
            <v>ニーベルゲン_シナモロールコスプレ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green</v>
          </cell>
          <cell r="I1207">
            <v>5</v>
          </cell>
          <cell r="J1207" t="str">
            <v>PremiumS</v>
          </cell>
          <cell r="K1207" t="str">
            <v>balance</v>
          </cell>
          <cell r="L1207" t="str">
            <v>バランスタイプ</v>
          </cell>
          <cell r="M1207" t="str">
            <v>ss</v>
          </cell>
        </row>
        <row r="1208">
          <cell r="A1208">
            <v>8059</v>
          </cell>
          <cell r="B1208" t="str">
            <v>ja</v>
          </cell>
          <cell r="C1208" t="str">
            <v>カカシ_マイメロディコスプレ</v>
          </cell>
          <cell r="D1208" t="str">
            <v>カカシ_マイメロディコスプレ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green</v>
          </cell>
          <cell r="I1208">
            <v>4</v>
          </cell>
          <cell r="J1208" t="str">
            <v>PremiumS</v>
          </cell>
          <cell r="K1208" t="str">
            <v>technical</v>
          </cell>
          <cell r="L1208" t="str">
            <v>テクニカルタイプ</v>
          </cell>
          <cell r="M1208" t="str">
            <v>ss</v>
          </cell>
        </row>
        <row r="1209">
          <cell r="A1209">
            <v>8060</v>
          </cell>
          <cell r="B1209" t="str">
            <v>ja</v>
          </cell>
          <cell r="C1209" t="str">
            <v>カカシ_マイメロディコスプレ</v>
          </cell>
          <cell r="D1209" t="str">
            <v>カカシ_マイメロディコスプレ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green</v>
          </cell>
          <cell r="I1209">
            <v>5</v>
          </cell>
          <cell r="J1209" t="str">
            <v>PremiumS</v>
          </cell>
          <cell r="K1209" t="str">
            <v>technical</v>
          </cell>
          <cell r="L1209" t="str">
            <v>テクニカルタイプ</v>
          </cell>
          <cell r="M1209" t="str">
            <v>ss</v>
          </cell>
        </row>
        <row r="1210">
          <cell r="A1210">
            <v>8061</v>
          </cell>
          <cell r="B1210" t="str">
            <v>ja</v>
          </cell>
          <cell r="C1210" t="str">
            <v>ケロケロけろっぴ</v>
          </cell>
          <cell r="D1210" t="str">
            <v>ケロケロけろっぴ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3</v>
          </cell>
          <cell r="J1210" t="str">
            <v>PremiumS</v>
          </cell>
          <cell r="K1210" t="str">
            <v>balance</v>
          </cell>
          <cell r="L1210" t="str">
            <v>バランスタイプ</v>
          </cell>
          <cell r="M1210" t="str">
            <v>ss</v>
          </cell>
        </row>
        <row r="1211">
          <cell r="A1211">
            <v>8062</v>
          </cell>
          <cell r="B1211" t="str">
            <v>ja</v>
          </cell>
          <cell r="C1211" t="str">
            <v>ケロケロけろっぴ</v>
          </cell>
          <cell r="D1211" t="str">
            <v>ケロケロけろっぴ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balance</v>
          </cell>
          <cell r="L1211" t="str">
            <v>バランスタイプ</v>
          </cell>
          <cell r="M1211" t="str">
            <v>ss</v>
          </cell>
        </row>
        <row r="1212">
          <cell r="A1212">
            <v>8063</v>
          </cell>
          <cell r="B1212" t="str">
            <v>ja</v>
          </cell>
          <cell r="C1212" t="str">
            <v>モルドレッド_ポムポムプリンコスプレ</v>
          </cell>
          <cell r="D1212" t="str">
            <v>モルドレッド_ポムポムプリンコスプレ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blue</v>
          </cell>
          <cell r="I1212">
            <v>5</v>
          </cell>
          <cell r="J1212" t="str">
            <v>PremiumSS</v>
          </cell>
          <cell r="K1212" t="str">
            <v>heal</v>
          </cell>
          <cell r="L1212" t="str">
            <v>回復タイプ</v>
          </cell>
          <cell r="M1212" t="str">
            <v>ss</v>
          </cell>
        </row>
        <row r="1213">
          <cell r="A1213">
            <v>8064</v>
          </cell>
          <cell r="B1213" t="str">
            <v>ja</v>
          </cell>
          <cell r="C1213" t="str">
            <v>モルドレッド_ポムポムプリンコスプレ</v>
          </cell>
          <cell r="D1213" t="str">
            <v>モルドレッド_ポムポムプリンコスプレ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blue</v>
          </cell>
          <cell r="I1213">
            <v>6</v>
          </cell>
          <cell r="J1213" t="str">
            <v>PremiumSS</v>
          </cell>
          <cell r="K1213" t="str">
            <v>heal</v>
          </cell>
          <cell r="L1213" t="str">
            <v>回復タイプ</v>
          </cell>
          <cell r="M1213" t="str">
            <v>ss</v>
          </cell>
        </row>
        <row r="1214">
          <cell r="A1214">
            <v>8065</v>
          </cell>
          <cell r="B1214" t="str">
            <v>ja</v>
          </cell>
          <cell r="C1214" t="str">
            <v>クロミ</v>
          </cell>
          <cell r="D1214" t="str">
            <v>クロミ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blue</v>
          </cell>
          <cell r="I1214">
            <v>3</v>
          </cell>
          <cell r="J1214" t="str">
            <v>PremiumS</v>
          </cell>
          <cell r="K1214" t="str">
            <v>technical</v>
          </cell>
          <cell r="L1214" t="str">
            <v>テクニカルタイプ</v>
          </cell>
          <cell r="M1214" t="str">
            <v>ss</v>
          </cell>
        </row>
        <row r="1215">
          <cell r="A1215">
            <v>8066</v>
          </cell>
          <cell r="B1215" t="str">
            <v>ja</v>
          </cell>
          <cell r="C1215" t="str">
            <v>クロミ</v>
          </cell>
          <cell r="D1215" t="str">
            <v>クロミ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blue</v>
          </cell>
          <cell r="I1215">
            <v>4</v>
          </cell>
          <cell r="J1215" t="str">
            <v>PremiumS</v>
          </cell>
          <cell r="K1215" t="str">
            <v>technical</v>
          </cell>
          <cell r="L1215" t="str">
            <v>テクニカルタイプ</v>
          </cell>
          <cell r="M1215" t="str">
            <v>ss</v>
          </cell>
        </row>
        <row r="1216">
          <cell r="A1216">
            <v>8067</v>
          </cell>
          <cell r="B1216" t="str">
            <v>ja</v>
          </cell>
          <cell r="C1216" t="str">
            <v>バッドばつ丸</v>
          </cell>
          <cell r="D1216" t="str">
            <v>バッドばつ丸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blue</v>
          </cell>
          <cell r="I1216">
            <v>3</v>
          </cell>
          <cell r="J1216" t="str">
            <v>PremiumS</v>
          </cell>
          <cell r="K1216" t="str">
            <v>attack</v>
          </cell>
          <cell r="L1216" t="str">
            <v>攻撃タイプ</v>
          </cell>
          <cell r="M1216" t="str">
            <v>ss</v>
          </cell>
        </row>
        <row r="1217">
          <cell r="A1217">
            <v>8068</v>
          </cell>
          <cell r="B1217" t="str">
            <v>ja</v>
          </cell>
          <cell r="C1217" t="str">
            <v>バッドばつ丸</v>
          </cell>
          <cell r="D1217" t="str">
            <v>バッドばつ丸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blue</v>
          </cell>
          <cell r="I1217">
            <v>4</v>
          </cell>
          <cell r="J1217" t="str">
            <v>PremiumS</v>
          </cell>
          <cell r="K1217" t="str">
            <v>attack</v>
          </cell>
          <cell r="L1217" t="str">
            <v>攻撃タイプ</v>
          </cell>
          <cell r="M1217" t="str">
            <v>ss</v>
          </cell>
        </row>
        <row r="1218">
          <cell r="A1218">
            <v>8069</v>
          </cell>
          <cell r="B1218" t="str">
            <v>ja</v>
          </cell>
          <cell r="C1218" t="str">
            <v>シナモロール</v>
          </cell>
          <cell r="D1218" t="str">
            <v>シナモロール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yellow</v>
          </cell>
          <cell r="I1218">
            <v>4</v>
          </cell>
          <cell r="J1218" t="str">
            <v>PremiumS</v>
          </cell>
          <cell r="K1218" t="str">
            <v>heal</v>
          </cell>
          <cell r="L1218" t="str">
            <v>回復タイプ</v>
          </cell>
          <cell r="M1218" t="str">
            <v>ss</v>
          </cell>
        </row>
        <row r="1219">
          <cell r="A1219">
            <v>8070</v>
          </cell>
          <cell r="B1219" t="str">
            <v>ja</v>
          </cell>
          <cell r="C1219" t="str">
            <v>シナモロール</v>
          </cell>
          <cell r="D1219" t="str">
            <v>シナモロール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yellow</v>
          </cell>
          <cell r="I1219">
            <v>5</v>
          </cell>
          <cell r="J1219" t="str">
            <v>PremiumS</v>
          </cell>
          <cell r="K1219" t="str">
            <v>heal</v>
          </cell>
          <cell r="L1219" t="str">
            <v>回復タイプ</v>
          </cell>
          <cell r="M1219" t="str">
            <v>ss</v>
          </cell>
        </row>
        <row r="1220">
          <cell r="A1220">
            <v>8071</v>
          </cell>
          <cell r="B1220" t="str">
            <v>ja</v>
          </cell>
          <cell r="C1220" t="str">
            <v>ポムポムプリン</v>
          </cell>
          <cell r="D1220" t="str">
            <v>ポムポムプリン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yellow</v>
          </cell>
          <cell r="I1220">
            <v>3</v>
          </cell>
          <cell r="J1220" t="str">
            <v>PremiumS</v>
          </cell>
          <cell r="K1220" t="str">
            <v>hp</v>
          </cell>
          <cell r="L1220" t="str">
            <v>体力タイプ</v>
          </cell>
          <cell r="M1220" t="str">
            <v>ss</v>
          </cell>
        </row>
        <row r="1221">
          <cell r="A1221">
            <v>8072</v>
          </cell>
          <cell r="B1221" t="str">
            <v>ja</v>
          </cell>
          <cell r="C1221" t="str">
            <v>ポムポムプリン</v>
          </cell>
          <cell r="D1221" t="str">
            <v>ポムポムプリン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yellow</v>
          </cell>
          <cell r="I1221">
            <v>4</v>
          </cell>
          <cell r="J1221" t="str">
            <v>PremiumS</v>
          </cell>
          <cell r="K1221" t="str">
            <v>hp</v>
          </cell>
          <cell r="L1221" t="str">
            <v>体力タイプ</v>
          </cell>
          <cell r="M1221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4" t="s">
        <v>214</v>
      </c>
      <c r="K40" s="84" t="s">
        <v>190</v>
      </c>
      <c r="M40" s="84" t="s">
        <v>239</v>
      </c>
    </row>
    <row r="41" spans="1:13" x14ac:dyDescent="0.15">
      <c r="J41" s="84" t="s">
        <v>215</v>
      </c>
      <c r="K41" s="84" t="s">
        <v>216</v>
      </c>
      <c r="M41" s="66" t="s">
        <v>185</v>
      </c>
    </row>
    <row r="42" spans="1:13" x14ac:dyDescent="0.15">
      <c r="J42" s="84" t="s">
        <v>217</v>
      </c>
      <c r="K42" s="84" t="s">
        <v>218</v>
      </c>
    </row>
    <row r="43" spans="1:13" x14ac:dyDescent="0.15">
      <c r="J43" s="84" t="s">
        <v>219</v>
      </c>
      <c r="K43" s="84" t="s">
        <v>220</v>
      </c>
    </row>
    <row r="44" spans="1:13" x14ac:dyDescent="0.15">
      <c r="J44" s="84" t="s">
        <v>221</v>
      </c>
      <c r="K44" s="84" t="s">
        <v>222</v>
      </c>
    </row>
    <row r="45" spans="1:13" x14ac:dyDescent="0.15">
      <c r="J45" s="84" t="s">
        <v>223</v>
      </c>
      <c r="K45" s="84" t="s">
        <v>224</v>
      </c>
    </row>
    <row r="46" spans="1:13" x14ac:dyDescent="0.15">
      <c r="J46" s="84" t="s">
        <v>225</v>
      </c>
      <c r="K46" s="84" t="s">
        <v>226</v>
      </c>
    </row>
    <row r="47" spans="1:13" x14ac:dyDescent="0.15">
      <c r="J47" s="84" t="s">
        <v>227</v>
      </c>
      <c r="K47" s="84" t="s">
        <v>231</v>
      </c>
    </row>
    <row r="48" spans="1:13" x14ac:dyDescent="0.15">
      <c r="J48" s="84" t="s">
        <v>228</v>
      </c>
      <c r="K48" s="84" t="s">
        <v>232</v>
      </c>
    </row>
    <row r="49" spans="10:11" x14ac:dyDescent="0.15">
      <c r="J49" s="84" t="s">
        <v>229</v>
      </c>
      <c r="K49" s="84" t="s">
        <v>233</v>
      </c>
    </row>
    <row r="50" spans="10:11" x14ac:dyDescent="0.15">
      <c r="J50" s="84" t="s">
        <v>230</v>
      </c>
      <c r="K50" s="84" t="s">
        <v>234</v>
      </c>
    </row>
    <row r="51" spans="10:11" x14ac:dyDescent="0.15">
      <c r="J51" s="84" t="s">
        <v>236</v>
      </c>
      <c r="K51" s="84" t="s">
        <v>235</v>
      </c>
    </row>
    <row r="52" spans="10:11" x14ac:dyDescent="0.15">
      <c r="J52" s="84" t="s">
        <v>237</v>
      </c>
      <c r="K52" s="84" t="s">
        <v>238</v>
      </c>
    </row>
    <row r="53" spans="10:11" x14ac:dyDescent="0.15">
      <c r="J53" s="84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A6" sqref="A6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3" t="s">
        <v>248</v>
      </c>
      <c r="B2" s="61" t="s">
        <v>110</v>
      </c>
      <c r="C2" s="50" t="str">
        <f t="shared" ref="C2" si="0">RIGHT(F2,6)</f>
        <v>390100</v>
      </c>
      <c r="D2" s="19" t="s">
        <v>45</v>
      </c>
      <c r="E2" s="17" t="str">
        <f t="shared" ref="E2" si="1">B2&amp;C2&amp;D2</f>
        <v>gacha_select_tables_390100.tmp</v>
      </c>
      <c r="F2" s="96" t="s">
        <v>249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4" t="s">
        <v>248</v>
      </c>
      <c r="B3" s="61" t="s">
        <v>110</v>
      </c>
      <c r="C3" s="50" t="str">
        <f t="shared" ref="C3:C7" si="2">RIGHT(F3,6)</f>
        <v>390010</v>
      </c>
      <c r="D3" s="19" t="s">
        <v>45</v>
      </c>
      <c r="E3" s="17" t="str">
        <f t="shared" ref="E3:E10" si="3">B3&amp;C3&amp;D3</f>
        <v>gacha_select_tables_390010.tmp</v>
      </c>
      <c r="F3" s="96" t="s">
        <v>250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7" t="s">
        <v>252</v>
      </c>
      <c r="B4" s="77" t="s">
        <v>213</v>
      </c>
      <c r="C4" s="50" t="str">
        <f t="shared" si="2"/>
        <v>390100</v>
      </c>
      <c r="D4" s="19" t="s">
        <v>45</v>
      </c>
      <c r="E4" s="17" t="str">
        <f t="shared" ref="E4:E7" si="4">B4&amp;C4&amp;D4</f>
        <v>gacha_settle_tables_390100.tmp</v>
      </c>
      <c r="F4" s="96" t="s">
        <v>251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8" t="s">
        <v>242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si="4"/>
        <v>gacha_select_tables_363104.tmp</v>
      </c>
      <c r="F5" s="91" t="s">
        <v>245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8" t="s">
        <v>242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1" t="s">
        <v>246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8" t="s">
        <v>242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1" t="s">
        <v>247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8" t="s">
        <v>242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8" t="s">
        <v>242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8" t="s">
        <v>242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N3" sqref="N3:N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390010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1026</v>
      </c>
      <c r="M3" s="37" t="str">
        <f>VLOOKUP(L3,[1]characters!$A:$C,3,FALSE)</f>
        <v>蝉丸</v>
      </c>
      <c r="N3" s="63">
        <f>0.015*SUM(B5,B6)</f>
        <v>1.4249999999999999E-2</v>
      </c>
      <c r="O3" s="37">
        <f>VLOOKUP(L3,[1]characters!$A:$I,9,FALSE)</f>
        <v>4</v>
      </c>
      <c r="P3" s="37" t="str">
        <f>VLOOKUP(L3,[1]characters!$A:$J,10,FALSE)</f>
        <v>PremiumS</v>
      </c>
      <c r="Q3" s="37" t="str">
        <f>VLOOKUP(L3,tables_390010!B:C,2,FALSE)</f>
        <v>Premium4R3less</v>
      </c>
      <c r="R3" s="62">
        <f t="shared" ref="R3:R20" si="1">N3*A$36</f>
        <v>514709.99999999994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1027</v>
      </c>
      <c r="M4" s="37" t="str">
        <f>VLOOKUP(L4,[1]characters!$A:$C,3,FALSE)</f>
        <v>弾丸多重奏 蝉丸</v>
      </c>
      <c r="N4" s="63">
        <f>0.015-N3</f>
        <v>7.5000000000000067E-4</v>
      </c>
      <c r="O4" s="37">
        <f>VLOOKUP(L4,[1]characters!$A:$I,9,FALSE)</f>
        <v>5</v>
      </c>
      <c r="P4" s="37" t="str">
        <f>VLOOKUP(L4,[1]characters!$A:$J,10,FALSE)</f>
        <v>PremiumS</v>
      </c>
      <c r="Q4" s="37" t="str">
        <f>VLOOKUP(L4,tables_390010!B:C,2,FALSE)</f>
        <v>Premium5R3less</v>
      </c>
      <c r="R4" s="62">
        <f t="shared" si="1"/>
        <v>27090.000000000025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6.9047619047619046E-4</v>
      </c>
      <c r="F5">
        <f>(COUNTIF(tables_390010!C:C,input_390010!A28)+COUNTIF(tables_390010!C:C,input_390010!A29))</f>
        <v>45</v>
      </c>
      <c r="H5" s="85">
        <v>2.1000000000000001E-2</v>
      </c>
      <c r="I5" s="31">
        <v>3</v>
      </c>
      <c r="L5" s="60">
        <v>1028</v>
      </c>
      <c r="M5" s="37" t="str">
        <f>VLOOKUP(L5,[1]characters!$A:$C,3,FALSE)</f>
        <v>牛若丸</v>
      </c>
      <c r="N5" s="63">
        <v>7.0000000000000001E-3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VLOOKUP(L5,tables_390010!B:C,2,FALSE)</f>
        <v>PremiumSS5R5only</v>
      </c>
      <c r="R5" s="62">
        <f t="shared" si="1"/>
        <v>252840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1.0872093023255813E-2</v>
      </c>
      <c r="F6">
        <f>(COUNTIF(tables_390010!C:C,input_390010!A25)+COUNTIF(tables_390010!C:C,input_390010!A18)+COUNTIF(tables_390010!C:C,input_390010!A20)+COUNTIF(tables_390010!C:C,input_390010!A22))</f>
        <v>87</v>
      </c>
      <c r="H6" s="90">
        <v>1.4999999999999999E-2</v>
      </c>
      <c r="I6" s="31">
        <v>1</v>
      </c>
      <c r="L6" s="95">
        <v>1031</v>
      </c>
      <c r="M6" s="37" t="str">
        <f>VLOOKUP(L6,[1]characters!$A:$C,3,FALSE)</f>
        <v>紫式部</v>
      </c>
      <c r="N6" s="63">
        <v>7.0000000000000001E-3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VLOOKUP(L6,tables_390010!B:C,2,FALSE)</f>
        <v>PremiumSS5R5only</v>
      </c>
      <c r="R6" s="62">
        <f t="shared" si="1"/>
        <v>252840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1033</v>
      </c>
      <c r="M7" s="37" t="str">
        <f>VLOOKUP(L7,[1]characters!$A:$C,3,FALSE)</f>
        <v>清少納言</v>
      </c>
      <c r="N7" s="63">
        <v>7.0000000000000001E-3</v>
      </c>
      <c r="O7" s="37">
        <f>VLOOKUP(L7,[1]characters!$A:$I,9,FALSE)</f>
        <v>5</v>
      </c>
      <c r="P7" s="37" t="str">
        <f>VLOOKUP(L7,[1]characters!$A:$J,10,FALSE)</f>
        <v>PremiumSS</v>
      </c>
      <c r="Q7" s="37" t="str">
        <f>VLOOKUP(L7,tables_390010!B:C,2,FALSE)</f>
        <v>PremiumSS5R5only</v>
      </c>
      <c r="R7" s="62">
        <f t="shared" si="1"/>
        <v>252840</v>
      </c>
      <c r="S7">
        <v>597</v>
      </c>
      <c r="U7" s="33" t="s">
        <v>196</v>
      </c>
      <c r="V7" s="54">
        <f t="shared" si="0"/>
        <v>1.4249999999999999E-2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VLOOKUP(L8,tables_390010!B:C,2,FALSE)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7.5000000000000067E-4</v>
      </c>
    </row>
    <row r="9" spans="1:22" x14ac:dyDescent="0.15">
      <c r="A9" s="35" t="s">
        <v>54</v>
      </c>
      <c r="B9" s="35"/>
      <c r="L9" s="89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VLOOKUP(L9,tables_390010!B:C,2,FALSE)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9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VLOOKUP(L10,tables_390010!B:C,2,FALSE)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0.05</v>
      </c>
      <c r="C11" t="s">
        <v>244</v>
      </c>
      <c r="L11" s="89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VLOOKUP(L11,tables_390010!B:C,2,FALSE)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VLOOKUP(L12,tables_390010!B:C,2,FALSE)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VLOOKUP(L13,tables_390010!B:C,2,FALSE)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VLOOKUP(L14,tables_390010!B:C,2,FALSE)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2.1000000000000001E-2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VLOOKUP(L15,tables_390010!B:C,2,FALSE)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VLOOKUP(L16,tables_390010!B:C,2,FALSE)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0.19558139534883723</v>
      </c>
      <c r="C17" s="86">
        <f t="shared" ref="C17:C31" si="2">SUMIF(Q:Q,A17,N:N)</f>
        <v>0</v>
      </c>
      <c r="D17" s="74">
        <f t="shared" ref="D17:D32" si="3">B17-C17</f>
        <v>0.19558139534883723</v>
      </c>
      <c r="E17">
        <f>COUNTIF(tables_390010!C:C,input_390010!A17)-COUNTIF(Q:Q,A17)</f>
        <v>20</v>
      </c>
      <c r="F17" s="43">
        <f>IFERROR(B17/E17,0)</f>
        <v>9.7790697674418614E-3</v>
      </c>
      <c r="G17">
        <f t="shared" ref="G17:G31" si="4">A$36*B17</f>
        <v>7064400.0000000009</v>
      </c>
      <c r="H17">
        <f t="shared" ref="H17:H31" si="5">IFERROR(ROUND(G17/E17,5),0)</f>
        <v>353220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VLOOKUP(L17,tables_390010!B:C,2,FALSE)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2.1860465116279038E-2</v>
      </c>
      <c r="C18" s="86">
        <f t="shared" si="2"/>
        <v>0</v>
      </c>
      <c r="D18" s="74">
        <f t="shared" si="3"/>
        <v>2.1860465116279038E-2</v>
      </c>
      <c r="E18">
        <f>COUNTIF(tables_390010!C:C,input_390010!A18)-COUNTIF(Q:Q,A18)</f>
        <v>20</v>
      </c>
      <c r="F18" s="43">
        <f>IFERROR(B18/E18,0)</f>
        <v>1.0930232558139519E-3</v>
      </c>
      <c r="G18">
        <f t="shared" si="4"/>
        <v>789599.99999999884</v>
      </c>
      <c r="H18">
        <f t="shared" si="5"/>
        <v>39480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VLOOKUP(L18,tables_390010!B:C,2,FALSE)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0.28267441860465115</v>
      </c>
      <c r="C19" s="86">
        <f t="shared" si="2"/>
        <v>0</v>
      </c>
      <c r="D19" s="74">
        <f t="shared" si="3"/>
        <v>0.28267441860465115</v>
      </c>
      <c r="E19">
        <f>COUNTIF(tables_390010!C:C,input_390010!A19)-COUNTIF(Q:Q,A19)</f>
        <v>52</v>
      </c>
      <c r="F19" s="43">
        <f t="shared" ref="F19:F31" si="8">IFERROR(B19/E19,0)</f>
        <v>5.4360465116279066E-3</v>
      </c>
      <c r="G19">
        <f t="shared" si="4"/>
        <v>10210200</v>
      </c>
      <c r="H19">
        <f t="shared" si="5"/>
        <v>196350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VLOOKUP(L19,tables_390010!B:C,2,FALSE)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0.25440697674418605</v>
      </c>
      <c r="C20" s="86">
        <f t="shared" si="2"/>
        <v>0</v>
      </c>
      <c r="D20" s="74">
        <f t="shared" si="3"/>
        <v>0.25440697674418605</v>
      </c>
      <c r="E20">
        <f>COUNTIF(tables_390010!C:C,input_390010!A20)-COUNTIF(Q:Q,A20)</f>
        <v>52</v>
      </c>
      <c r="F20" s="43">
        <f t="shared" si="8"/>
        <v>4.8924418604651167E-3</v>
      </c>
      <c r="G20">
        <f t="shared" si="4"/>
        <v>9189180</v>
      </c>
      <c r="H20">
        <f t="shared" si="5"/>
        <v>176715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VLOOKUP(L20,tables_390010!B:C,2,FALSE)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2.8267441860465117E-2</v>
      </c>
      <c r="C21" s="86">
        <f t="shared" si="2"/>
        <v>0</v>
      </c>
      <c r="D21" s="74">
        <f t="shared" si="3"/>
        <v>2.8267441860465117E-2</v>
      </c>
      <c r="E21">
        <f>COUNTIF(tables_390010!C:C,input_390010!A21)-COUNTIF(Q:Q,A21)</f>
        <v>52</v>
      </c>
      <c r="F21" s="43">
        <f t="shared" si="8"/>
        <v>5.4360465116279073E-4</v>
      </c>
      <c r="G21">
        <f t="shared" si="4"/>
        <v>1021020</v>
      </c>
      <c r="H21">
        <f t="shared" si="5"/>
        <v>19635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9.9796124031007738E-2</v>
      </c>
      <c r="C22" s="86">
        <f t="shared" si="2"/>
        <v>1.4249999999999999E-2</v>
      </c>
      <c r="D22" s="74">
        <f t="shared" si="3"/>
        <v>8.5546124031007739E-2</v>
      </c>
      <c r="E22">
        <f>COUNTIF(tables_390010!C:C,input_390010!A22)-COUNTIF(Q:Q,A22)</f>
        <v>10</v>
      </c>
      <c r="F22" s="43">
        <f t="shared" si="8"/>
        <v>9.9796124031007738E-3</v>
      </c>
      <c r="G22">
        <f t="shared" si="4"/>
        <v>3604635.9999999995</v>
      </c>
      <c r="H22">
        <f t="shared" si="5"/>
        <v>360463.6</v>
      </c>
      <c r="I22">
        <f t="shared" si="6"/>
        <v>0.59999999997671694</v>
      </c>
      <c r="J22">
        <f t="shared" si="7"/>
        <v>1.6666666667313419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8.9248062015503983E-3</v>
      </c>
      <c r="C23" s="86">
        <f t="shared" si="2"/>
        <v>7.5000000000000067E-4</v>
      </c>
      <c r="D23" s="74">
        <f t="shared" si="3"/>
        <v>8.1748062015503976E-3</v>
      </c>
      <c r="E23">
        <f>COUNTIF(tables_390010!C:C,input_390010!A23)-COUNTIF(Q:Q,A23)</f>
        <v>10</v>
      </c>
      <c r="F23" s="43">
        <f t="shared" si="8"/>
        <v>8.9248062015503981E-4</v>
      </c>
      <c r="G23">
        <f t="shared" si="4"/>
        <v>322364.00000000041</v>
      </c>
      <c r="H23">
        <f t="shared" si="5"/>
        <v>32236.400000000001</v>
      </c>
      <c r="I23">
        <f t="shared" si="6"/>
        <v>0.40000000000145519</v>
      </c>
      <c r="J23">
        <f t="shared" si="7"/>
        <v>2.4999999999909051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2.1744186046511627E-2</v>
      </c>
      <c r="C24" s="86">
        <f t="shared" si="2"/>
        <v>0</v>
      </c>
      <c r="D24" s="74">
        <f t="shared" si="3"/>
        <v>2.1744186046511627E-2</v>
      </c>
      <c r="E24">
        <f>COUNTIF(tables_390010!C:C,input_390010!A24)-COUNTIF(Q:Q,A24)</f>
        <v>4</v>
      </c>
      <c r="F24" s="43">
        <f t="shared" si="8"/>
        <v>5.4360465116279066E-3</v>
      </c>
      <c r="G24">
        <f t="shared" si="4"/>
        <v>785400</v>
      </c>
      <c r="H24">
        <f t="shared" si="5"/>
        <v>196350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1.9569767441860463E-2</v>
      </c>
      <c r="C25" s="86">
        <f t="shared" si="2"/>
        <v>0</v>
      </c>
      <c r="D25" s="74">
        <f t="shared" si="3"/>
        <v>1.9569767441860463E-2</v>
      </c>
      <c r="E25">
        <f>COUNTIF(tables_390010!C:C,input_390010!A25)-COUNTIF(Q:Q,A25)</f>
        <v>4</v>
      </c>
      <c r="F25" s="43">
        <f t="shared" si="8"/>
        <v>4.8924418604651158E-3</v>
      </c>
      <c r="G25">
        <f t="shared" si="4"/>
        <v>706859.99999999988</v>
      </c>
      <c r="H25">
        <f t="shared" si="5"/>
        <v>176715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2.1744186046511629E-3</v>
      </c>
      <c r="C26" s="86">
        <f t="shared" si="2"/>
        <v>0</v>
      </c>
      <c r="D26" s="74">
        <f t="shared" si="3"/>
        <v>2.1744186046511629E-3</v>
      </c>
      <c r="E26">
        <f>COUNTIF(tables_390010!C:C,input_390010!A26)-COUNTIF(Q:Q,A26)</f>
        <v>4</v>
      </c>
      <c r="F26" s="43">
        <f t="shared" si="8"/>
        <v>5.4360465116279073E-4</v>
      </c>
      <c r="G26">
        <f t="shared" si="4"/>
        <v>78540</v>
      </c>
      <c r="H26">
        <f t="shared" si="5"/>
        <v>19635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1.8366666666666667E-2</v>
      </c>
      <c r="C27" s="86">
        <f t="shared" si="2"/>
        <v>0</v>
      </c>
      <c r="D27" s="74">
        <f t="shared" si="3"/>
        <v>1.8366666666666667E-2</v>
      </c>
      <c r="E27">
        <f>COUNTIF(tables_390010!C:C,input_390010!A27)-COUNTIF(Q:Q,A27)</f>
        <v>28</v>
      </c>
      <c r="F27" s="43">
        <f>IFERROR(B27/E27,0)</f>
        <v>6.5595238095238098E-4</v>
      </c>
      <c r="G27">
        <f t="shared" si="4"/>
        <v>663404</v>
      </c>
      <c r="H27">
        <f t="shared" si="5"/>
        <v>23693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9.6666666666666678E-4</v>
      </c>
      <c r="C28" s="86">
        <f t="shared" si="2"/>
        <v>0</v>
      </c>
      <c r="D28" s="74">
        <f t="shared" si="3"/>
        <v>9.6666666666666678E-4</v>
      </c>
      <c r="E28">
        <f>COUNTIF(tables_390010!C:C,input_390010!A28)-COUNTIF(Q:Q,A28)</f>
        <v>28</v>
      </c>
      <c r="F28" s="43">
        <f t="shared" si="8"/>
        <v>3.4523809523809526E-5</v>
      </c>
      <c r="G28">
        <f t="shared" si="4"/>
        <v>34916.000000000007</v>
      </c>
      <c r="H28">
        <f t="shared" si="5"/>
        <v>1247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9.6666666666666672E-3</v>
      </c>
      <c r="C29" s="86">
        <f t="shared" si="2"/>
        <v>2.1000000000000001E-2</v>
      </c>
      <c r="D29" s="74">
        <f t="shared" si="3"/>
        <v>-1.1333333333333334E-2</v>
      </c>
      <c r="E29">
        <f>COUNTIF(tables_390010!C:C,input_390010!A29)-COUNTIF(Q:Q,A29)</f>
        <v>14</v>
      </c>
      <c r="F29" s="43">
        <f t="shared" si="8"/>
        <v>6.9047619047619046E-4</v>
      </c>
      <c r="G29">
        <f t="shared" si="4"/>
        <v>349160</v>
      </c>
      <c r="H29">
        <f t="shared" si="5"/>
        <v>24940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240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COUNTIF(tables_390010!C:C,input_390010!A30)-COUNTIF(Q:Q,A30)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241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COUNTIF(tables_390010!C:C,input_390010!A31)-COUNTIF(Q:Q,A31)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0.96399999999999997</v>
      </c>
      <c r="C32" s="41">
        <f>SUM(C19:C31)</f>
        <v>3.6000000000000004E-2</v>
      </c>
      <c r="D32" s="42">
        <f t="shared" si="3"/>
        <v>0.92799999999999994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LCM(F5-I5,F6-I6)*1000*2*2*5</f>
        <v>36120000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SUMIF(tables_390010!C:C,input_390010!A40,tables_390010!O:O)</f>
        <v>10210200</v>
      </c>
      <c r="C40" s="54">
        <f t="shared" ref="C40:C46" ca="1" si="9">B40/B$47</f>
        <v>0.48346680101824352</v>
      </c>
      <c r="E40">
        <v>3</v>
      </c>
      <c r="F40">
        <f ca="1">SUMIF(tables_390010!J:J,input_390010!E40,tables_390010!O:O)</f>
        <v>18060000</v>
      </c>
      <c r="G40">
        <f ca="1">F40/A36</f>
        <v>0.5</v>
      </c>
    </row>
    <row r="41" spans="1:7" x14ac:dyDescent="0.15">
      <c r="A41" s="33" t="s">
        <v>104</v>
      </c>
      <c r="B41">
        <f ca="1">SUMIF(tables_390010!C:C,input_390010!A41,tables_390010!O:O)</f>
        <v>9189180</v>
      </c>
      <c r="C41" s="54">
        <f t="shared" ca="1" si="9"/>
        <v>0.43512012091641916</v>
      </c>
      <c r="E41">
        <v>4</v>
      </c>
      <c r="F41">
        <f ca="1">SUMIF(tables_390010!J:J,input_390010!E41,tables_390010!O:O)</f>
        <v>15468389.999999996</v>
      </c>
      <c r="G41">
        <f ca="1">F41/A36</f>
        <v>0.42824999999999991</v>
      </c>
    </row>
    <row r="42" spans="1:7" x14ac:dyDescent="0.15">
      <c r="A42" s="33" t="s">
        <v>106</v>
      </c>
      <c r="B42">
        <f ca="1">SUMIF(tables_390010!C:C,input_390010!A42,tables_390010!O:O)</f>
        <v>663404</v>
      </c>
      <c r="C42" s="54">
        <f t="shared" ca="1" si="9"/>
        <v>3.1413078065337295E-2</v>
      </c>
      <c r="E42">
        <v>5</v>
      </c>
      <c r="F42">
        <f ca="1">SUMIF(tables_390010!J:J,input_390010!E42,tables_390010!O:O)</f>
        <v>2591609.9999999991</v>
      </c>
      <c r="G42">
        <f ca="1">F42/A36</f>
        <v>7.174999999999998E-2</v>
      </c>
    </row>
    <row r="43" spans="1:7" x14ac:dyDescent="0.15">
      <c r="A43" s="33" t="s">
        <v>109</v>
      </c>
      <c r="B43">
        <f>SUMIF(tables_390010!C:C,input_390010!A43,tables_390010!O:O)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SUMIF(tables_390010!C:C,input_390010!A44,tables_390010!O:O)</f>
        <v>1021020</v>
      </c>
      <c r="C44" s="54">
        <f t="shared" ca="1" si="9"/>
        <v>4.8346680101824351E-2</v>
      </c>
      <c r="E44" t="s">
        <v>54</v>
      </c>
      <c r="F44" s="55"/>
    </row>
    <row r="45" spans="1:7" x14ac:dyDescent="0.15">
      <c r="A45" s="33" t="s">
        <v>107</v>
      </c>
      <c r="B45">
        <f ca="1">SUMIF(tables_390010!C:C,input_390010!A45,tables_390010!O:O)</f>
        <v>34916</v>
      </c>
      <c r="C45" s="54">
        <f t="shared" ca="1" si="9"/>
        <v>1.653319898175647E-3</v>
      </c>
      <c r="E45" t="s">
        <v>204</v>
      </c>
      <c r="F45" s="55">
        <f ca="1">SUMIF(tables_390010!I:I,input_390010!E45,tables_390010!P:P)</f>
        <v>0.21744186046511627</v>
      </c>
    </row>
    <row r="46" spans="1:7" x14ac:dyDescent="0.15">
      <c r="A46" s="33" t="s">
        <v>108</v>
      </c>
      <c r="B46">
        <f>SUMIF(tables_390010!C:C,input_390010!A46,tables_390010!O:O)</f>
        <v>0</v>
      </c>
      <c r="C46" s="54">
        <f t="shared" ca="1" si="9"/>
        <v>0</v>
      </c>
      <c r="E46" t="s">
        <v>205</v>
      </c>
      <c r="F46" s="55">
        <f ca="1">SUMIF(tables_390010!I:I,input_390010!E46,tables_390010!P:P)</f>
        <v>0.21744186046511627</v>
      </c>
    </row>
    <row r="47" spans="1:7" x14ac:dyDescent="0.15">
      <c r="A47" s="39" t="s">
        <v>59</v>
      </c>
      <c r="B47">
        <f ca="1">SUM(B40:B46)</f>
        <v>21118720</v>
      </c>
      <c r="C47" s="55">
        <f ca="1">SUM(C40:C46)</f>
        <v>1</v>
      </c>
      <c r="E47" t="s">
        <v>206</v>
      </c>
      <c r="F47" s="55">
        <f ca="1">SUMIF(tables_390010!I:I,input_390010!E47,tables_390010!P:P)</f>
        <v>0.5151162790697662</v>
      </c>
    </row>
    <row r="48" spans="1:7" x14ac:dyDescent="0.15">
      <c r="E48" t="s">
        <v>207</v>
      </c>
      <c r="F48" s="55">
        <f ca="1">SUMIF(tables_390010!I:I,input_390010!E48,tables_390010!P:P)</f>
        <v>4.9999999999999982E-2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04"/>
  <sheetViews>
    <sheetView showGridLines="0" zoomScale="75" zoomScaleNormal="75" zoomScalePageLayoutView="75" workbookViewId="0">
      <pane ySplit="1" topLeftCell="A277" activePane="bottomLeft" state="frozen"/>
      <selection activeCell="H276" sqref="H276"/>
      <selection pane="bottomLeft" activeCell="B305" sqref="B30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input_390010!A$2</f>
        <v>390010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IFERROR(VLOOKUP(B2,input_390010!L:R,7,FALSE),VLOOKUP(tables_390010!C2,input_390010!A:H,8,FALSE))</f>
        <v>353220</v>
      </c>
      <c r="P2" s="46">
        <f t="shared" ref="P2:P65" ca="1" si="2">O2/SUM(O:O)</f>
        <v>9.7790697674418597E-3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input_390010!A$2</f>
        <v>390010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IFERROR(VLOOKUP(B3,input_390010!L:R,7,FALSE),VLOOKUP(tables_390010!C3,input_390010!A:H,8,FALSE))</f>
        <v>39480</v>
      </c>
      <c r="P3" s="46">
        <f t="shared" ca="1" si="2"/>
        <v>1.0930232558139534E-3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input_390010!A$2</f>
        <v>390010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IFERROR(VLOOKUP(B4,input_390010!L:R,7,FALSE),VLOOKUP(tables_390010!C4,input_390010!A:H,8,FALSE))</f>
        <v>353220</v>
      </c>
      <c r="P4" s="46">
        <f t="shared" ca="1" si="2"/>
        <v>9.7790697674418597E-3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input_390010!A$2</f>
        <v>390010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IFERROR(VLOOKUP(B5,input_390010!L:R,7,FALSE),VLOOKUP(tables_390010!C5,input_390010!A:H,8,FALSE))</f>
        <v>39480</v>
      </c>
      <c r="P5" s="46">
        <f t="shared" ca="1" si="2"/>
        <v>1.0930232558139534E-3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input_390010!A$2</f>
        <v>390010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IFERROR(VLOOKUP(B6,input_390010!L:R,7,FALSE),VLOOKUP(tables_390010!C6,input_390010!A:H,8,FALSE))</f>
        <v>353220</v>
      </c>
      <c r="P6" s="46">
        <f t="shared" ca="1" si="2"/>
        <v>9.7790697674418597E-3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input_390010!A$2</f>
        <v>390010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IFERROR(VLOOKUP(B7,input_390010!L:R,7,FALSE),VLOOKUP(tables_390010!C7,input_390010!A:H,8,FALSE))</f>
        <v>39480</v>
      </c>
      <c r="P7" s="46">
        <f t="shared" ca="1" si="2"/>
        <v>1.0930232558139534E-3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input_390010!A$2</f>
        <v>390010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IFERROR(VLOOKUP(B8,input_390010!L:R,7,FALSE),VLOOKUP(tables_390010!C8,input_390010!A:H,8,FALSE))</f>
        <v>353220</v>
      </c>
      <c r="P8" s="46">
        <f t="shared" ca="1" si="2"/>
        <v>9.7790697674418597E-3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input_390010!A$2</f>
        <v>390010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IFERROR(VLOOKUP(B9,input_390010!L:R,7,FALSE),VLOOKUP(tables_390010!C9,input_390010!A:H,8,FALSE))</f>
        <v>39480</v>
      </c>
      <c r="P9" s="46">
        <f t="shared" ca="1" si="2"/>
        <v>1.0930232558139534E-3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input_390010!A$2</f>
        <v>390010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IFERROR(VLOOKUP(B10,input_390010!L:R,7,FALSE),VLOOKUP(tables_390010!C10,input_390010!A:H,8,FALSE))</f>
        <v>353220</v>
      </c>
      <c r="P10" s="46">
        <f t="shared" ca="1" si="2"/>
        <v>9.7790697674418597E-3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input_390010!A$2</f>
        <v>390010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IFERROR(VLOOKUP(B11,input_390010!L:R,7,FALSE),VLOOKUP(tables_390010!C11,input_390010!A:H,8,FALSE))</f>
        <v>39480</v>
      </c>
      <c r="P11" s="46">
        <f t="shared" ca="1" si="2"/>
        <v>1.0930232558139534E-3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input_390010!A$2</f>
        <v>390010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IFERROR(VLOOKUP(B12,input_390010!L:R,7,FALSE),VLOOKUP(tables_390010!C12,input_390010!A:H,8,FALSE))</f>
        <v>353220</v>
      </c>
      <c r="P12" s="46">
        <f t="shared" ca="1" si="2"/>
        <v>9.7790697674418597E-3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input_390010!A$2</f>
        <v>390010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IFERROR(VLOOKUP(B13,input_390010!L:R,7,FALSE),VLOOKUP(tables_390010!C13,input_390010!A:H,8,FALSE))</f>
        <v>39480</v>
      </c>
      <c r="P13" s="46">
        <f t="shared" ca="1" si="2"/>
        <v>1.0930232558139534E-3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input_390010!A$2</f>
        <v>390010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IFERROR(VLOOKUP(B14,input_390010!L:R,7,FALSE),VLOOKUP(tables_390010!C14,input_390010!A:H,8,FALSE))</f>
        <v>353220</v>
      </c>
      <c r="P14" s="46">
        <f t="shared" ca="1" si="2"/>
        <v>9.7790697674418597E-3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input_390010!A$2</f>
        <v>390010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IFERROR(VLOOKUP(B15,input_390010!L:R,7,FALSE),VLOOKUP(tables_390010!C15,input_390010!A:H,8,FALSE))</f>
        <v>39480</v>
      </c>
      <c r="P15" s="46">
        <f t="shared" ca="1" si="2"/>
        <v>1.0930232558139534E-3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input_390010!A$2</f>
        <v>390010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IFERROR(VLOOKUP(B16,input_390010!L:R,7,FALSE),VLOOKUP(tables_390010!C16,input_390010!A:H,8,FALSE))</f>
        <v>353220</v>
      </c>
      <c r="P16" s="46">
        <f t="shared" ca="1" si="2"/>
        <v>9.7790697674418597E-3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input_390010!A$2</f>
        <v>390010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IFERROR(VLOOKUP(B17,input_390010!L:R,7,FALSE),VLOOKUP(tables_390010!C17,input_390010!A:H,8,FALSE))</f>
        <v>39480</v>
      </c>
      <c r="P17" s="46">
        <f t="shared" ca="1" si="2"/>
        <v>1.0930232558139534E-3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input_390010!A$2</f>
        <v>390010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IFERROR(VLOOKUP(B18,input_390010!L:R,7,FALSE),VLOOKUP(tables_390010!C18,input_390010!A:H,8,FALSE))</f>
        <v>353220</v>
      </c>
      <c r="P18" s="46">
        <f t="shared" ca="1" si="2"/>
        <v>9.7790697674418597E-3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input_390010!A$2</f>
        <v>390010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IFERROR(VLOOKUP(B19,input_390010!L:R,7,FALSE),VLOOKUP(tables_390010!C19,input_390010!A:H,8,FALSE))</f>
        <v>39480</v>
      </c>
      <c r="P19" s="46">
        <f t="shared" ca="1" si="2"/>
        <v>1.0930232558139534E-3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input_390010!A$2</f>
        <v>390010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IFERROR(VLOOKUP(B20,input_390010!L:R,7,FALSE),VLOOKUP(tables_390010!C20,input_390010!A:H,8,FALSE))</f>
        <v>353220</v>
      </c>
      <c r="P20" s="46">
        <f t="shared" ca="1" si="2"/>
        <v>9.7790697674418597E-3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input_390010!A$2</f>
        <v>390010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IFERROR(VLOOKUP(B21,input_390010!L:R,7,FALSE),VLOOKUP(tables_390010!C21,input_390010!A:H,8,FALSE))</f>
        <v>39480</v>
      </c>
      <c r="P21" s="46">
        <f t="shared" ca="1" si="2"/>
        <v>1.0930232558139534E-3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input_390010!A$2</f>
        <v>390010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IFERROR(VLOOKUP(B22,input_390010!L:R,7,FALSE),VLOOKUP(tables_390010!C22,input_390010!A:H,8,FALSE))</f>
        <v>353220</v>
      </c>
      <c r="P22" s="46">
        <f t="shared" ca="1" si="2"/>
        <v>9.7790697674418597E-3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input_390010!A$2</f>
        <v>390010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IFERROR(VLOOKUP(B23,input_390010!L:R,7,FALSE),VLOOKUP(tables_390010!C23,input_390010!A:H,8,FALSE))</f>
        <v>39480</v>
      </c>
      <c r="P23" s="46">
        <f t="shared" ca="1" si="2"/>
        <v>1.0930232558139534E-3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input_390010!A$2</f>
        <v>390010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IFERROR(VLOOKUP(B24,input_390010!L:R,7,FALSE),VLOOKUP(tables_390010!C24,input_390010!A:H,8,FALSE))</f>
        <v>353220</v>
      </c>
      <c r="P24" s="46">
        <f t="shared" ca="1" si="2"/>
        <v>9.7790697674418597E-3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input_390010!A$2</f>
        <v>390010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IFERROR(VLOOKUP(B25,input_390010!L:R,7,FALSE),VLOOKUP(tables_390010!C25,input_390010!A:H,8,FALSE))</f>
        <v>39480</v>
      </c>
      <c r="P25" s="46">
        <f t="shared" ca="1" si="2"/>
        <v>1.0930232558139534E-3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input_390010!A$2</f>
        <v>390010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IFERROR(VLOOKUP(B26,input_390010!L:R,7,FALSE),VLOOKUP(tables_390010!C26,input_390010!A:H,8,FALSE))</f>
        <v>353220</v>
      </c>
      <c r="P26" s="46">
        <f t="shared" ca="1" si="2"/>
        <v>9.7790697674418597E-3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input_390010!A$2</f>
        <v>390010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IFERROR(VLOOKUP(B27,input_390010!L:R,7,FALSE),VLOOKUP(tables_390010!C27,input_390010!A:H,8,FALSE))</f>
        <v>39480</v>
      </c>
      <c r="P27" s="46">
        <f t="shared" ca="1" si="2"/>
        <v>1.0930232558139534E-3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input_390010!A$2</f>
        <v>390010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IFERROR(VLOOKUP(B28,input_390010!L:R,7,FALSE),VLOOKUP(tables_390010!C28,input_390010!A:H,8,FALSE))</f>
        <v>353220</v>
      </c>
      <c r="P28" s="46">
        <f t="shared" ca="1" si="2"/>
        <v>9.7790697674418597E-3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input_390010!A$2</f>
        <v>390010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IFERROR(VLOOKUP(B29,input_390010!L:R,7,FALSE),VLOOKUP(tables_390010!C29,input_390010!A:H,8,FALSE))</f>
        <v>39480</v>
      </c>
      <c r="P29" s="46">
        <f t="shared" ca="1" si="2"/>
        <v>1.0930232558139534E-3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input_390010!A$2</f>
        <v>390010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IFERROR(VLOOKUP(B30,input_390010!L:R,7,FALSE),VLOOKUP(tables_390010!C30,input_390010!A:H,8,FALSE))</f>
        <v>353220</v>
      </c>
      <c r="P30" s="46">
        <f t="shared" ca="1" si="2"/>
        <v>9.7790697674418597E-3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input_390010!A$2</f>
        <v>390010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IFERROR(VLOOKUP(B31,input_390010!L:R,7,FALSE),VLOOKUP(tables_390010!C31,input_390010!A:H,8,FALSE))</f>
        <v>39480</v>
      </c>
      <c r="P31" s="46">
        <f t="shared" ca="1" si="2"/>
        <v>1.0930232558139534E-3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input_390010!A$2</f>
        <v>390010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IFERROR(VLOOKUP(B32,input_390010!L:R,7,FALSE),VLOOKUP(tables_390010!C32,input_390010!A:H,8,FALSE))</f>
        <v>353220</v>
      </c>
      <c r="P32" s="46">
        <f t="shared" ca="1" si="2"/>
        <v>9.7790697674418597E-3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input_390010!A$2</f>
        <v>390010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IFERROR(VLOOKUP(B33,input_390010!L:R,7,FALSE),VLOOKUP(tables_390010!C33,input_390010!A:H,8,FALSE))</f>
        <v>39480</v>
      </c>
      <c r="P33" s="46">
        <f t="shared" ca="1" si="2"/>
        <v>1.0930232558139534E-3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input_390010!A$2</f>
        <v>390010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IFERROR(VLOOKUP(B34,input_390010!L:R,7,FALSE),VLOOKUP(tables_390010!C34,input_390010!A:H,8,FALSE))</f>
        <v>353220</v>
      </c>
      <c r="P34" s="46">
        <f t="shared" ca="1" si="2"/>
        <v>9.7790697674418597E-3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input_390010!A$2</f>
        <v>390010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IFERROR(VLOOKUP(B35,input_390010!L:R,7,FALSE),VLOOKUP(tables_390010!C35,input_390010!A:H,8,FALSE))</f>
        <v>39480</v>
      </c>
      <c r="P35" s="46">
        <f t="shared" ca="1" si="2"/>
        <v>1.0930232558139534E-3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input_390010!A$2</f>
        <v>390010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IFERROR(VLOOKUP(B36,input_390010!L:R,7,FALSE),VLOOKUP(tables_390010!C36,input_390010!A:H,8,FALSE))</f>
        <v>353220</v>
      </c>
      <c r="P36" s="46">
        <f t="shared" ca="1" si="2"/>
        <v>9.7790697674418597E-3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input_390010!A$2</f>
        <v>390010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IFERROR(VLOOKUP(B37,input_390010!L:R,7,FALSE),VLOOKUP(tables_390010!C37,input_390010!A:H,8,FALSE))</f>
        <v>39480</v>
      </c>
      <c r="P37" s="46">
        <f t="shared" ca="1" si="2"/>
        <v>1.0930232558139534E-3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input_390010!A$2</f>
        <v>390010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IFERROR(VLOOKUP(B38,input_390010!L:R,7,FALSE),VLOOKUP(tables_390010!C38,input_390010!A:H,8,FALSE))</f>
        <v>353220</v>
      </c>
      <c r="P38" s="46">
        <f t="shared" ca="1" si="2"/>
        <v>9.7790697674418597E-3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input_390010!A$2</f>
        <v>390010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IFERROR(VLOOKUP(B39,input_390010!L:R,7,FALSE),VLOOKUP(tables_390010!C39,input_390010!A:H,8,FALSE))</f>
        <v>39480</v>
      </c>
      <c r="P39" s="46">
        <f t="shared" ca="1" si="2"/>
        <v>1.0930232558139534E-3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input_390010!A$2</f>
        <v>390010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IFERROR(VLOOKUP(B40,input_390010!L:R,7,FALSE),VLOOKUP(tables_390010!C40,input_390010!A:H,8,FALSE))</f>
        <v>353220</v>
      </c>
      <c r="P40" s="46">
        <f t="shared" ca="1" si="2"/>
        <v>9.7790697674418597E-3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input_390010!A$2</f>
        <v>390010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IFERROR(VLOOKUP(B41,input_390010!L:R,7,FALSE),VLOOKUP(tables_390010!C41,input_390010!A:H,8,FALSE))</f>
        <v>39480</v>
      </c>
      <c r="P41" s="46">
        <f t="shared" ca="1" si="2"/>
        <v>1.0930232558139534E-3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input_390010!A$2</f>
        <v>390010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IFERROR(VLOOKUP(B42,input_390010!L:R,7,FALSE),VLOOKUP(tables_390010!C42,input_390010!A:H,8,FALSE))</f>
        <v>196350</v>
      </c>
      <c r="P42" s="46">
        <f t="shared" ca="1" si="2"/>
        <v>5.4360465116279066E-3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input_390010!A$2</f>
        <v>390010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IFERROR(VLOOKUP(B43,input_390010!L:R,7,FALSE),VLOOKUP(tables_390010!C43,input_390010!A:H,8,FALSE))</f>
        <v>176715</v>
      </c>
      <c r="P43" s="46">
        <f t="shared" ca="1" si="2"/>
        <v>4.8924418604651167E-3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input_390010!A$2</f>
        <v>390010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IFERROR(VLOOKUP(B44,input_390010!L:R,7,FALSE),VLOOKUP(tables_390010!C44,input_390010!A:H,8,FALSE))</f>
        <v>19635</v>
      </c>
      <c r="P44" s="46">
        <f t="shared" ca="1" si="2"/>
        <v>5.4360465116279073E-4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input_390010!A$2</f>
        <v>390010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IFERROR(VLOOKUP(B45,input_390010!L:R,7,FALSE),VLOOKUP(tables_390010!C45,input_390010!A:H,8,FALSE))</f>
        <v>196350</v>
      </c>
      <c r="P45" s="46">
        <f t="shared" ca="1" si="2"/>
        <v>5.4360465116279066E-3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input_390010!A$2</f>
        <v>390010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IFERROR(VLOOKUP(B46,input_390010!L:R,7,FALSE),VLOOKUP(tables_390010!C46,input_390010!A:H,8,FALSE))</f>
        <v>176715</v>
      </c>
      <c r="P46" s="46">
        <f t="shared" ca="1" si="2"/>
        <v>4.8924418604651167E-3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input_390010!A$2</f>
        <v>390010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IFERROR(VLOOKUP(B47,input_390010!L:R,7,FALSE),VLOOKUP(tables_390010!C47,input_390010!A:H,8,FALSE))</f>
        <v>19635</v>
      </c>
      <c r="P47" s="46">
        <f t="shared" ca="1" si="2"/>
        <v>5.4360465116279073E-4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input_390010!A$2</f>
        <v>390010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IFERROR(VLOOKUP(B48,input_390010!L:R,7,FALSE),VLOOKUP(tables_390010!C48,input_390010!A:H,8,FALSE))</f>
        <v>196350</v>
      </c>
      <c r="P48" s="46">
        <f t="shared" ca="1" si="2"/>
        <v>5.4360465116279066E-3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input_390010!A$2</f>
        <v>390010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IFERROR(VLOOKUP(B49,input_390010!L:R,7,FALSE),VLOOKUP(tables_390010!C49,input_390010!A:H,8,FALSE))</f>
        <v>176715</v>
      </c>
      <c r="P49" s="46">
        <f t="shared" ca="1" si="2"/>
        <v>4.8924418604651167E-3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input_390010!A$2</f>
        <v>390010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IFERROR(VLOOKUP(B50,input_390010!L:R,7,FALSE),VLOOKUP(tables_390010!C50,input_390010!A:H,8,FALSE))</f>
        <v>19635</v>
      </c>
      <c r="P50" s="46">
        <f t="shared" ca="1" si="2"/>
        <v>5.4360465116279073E-4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input_390010!A$2</f>
        <v>390010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IFERROR(VLOOKUP(B51,input_390010!L:R,7,FALSE),VLOOKUP(tables_390010!C51,input_390010!A:H,8,FALSE))</f>
        <v>196350</v>
      </c>
      <c r="P51" s="46">
        <f t="shared" ca="1" si="2"/>
        <v>5.4360465116279066E-3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input_390010!A$2</f>
        <v>390010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IFERROR(VLOOKUP(B52,input_390010!L:R,7,FALSE),VLOOKUP(tables_390010!C52,input_390010!A:H,8,FALSE))</f>
        <v>176715</v>
      </c>
      <c r="P52" s="46">
        <f t="shared" ca="1" si="2"/>
        <v>4.8924418604651167E-3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input_390010!A$2</f>
        <v>390010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IFERROR(VLOOKUP(B53,input_390010!L:R,7,FALSE),VLOOKUP(tables_390010!C53,input_390010!A:H,8,FALSE))</f>
        <v>19635</v>
      </c>
      <c r="P53" s="46">
        <f t="shared" ca="1" si="2"/>
        <v>5.4360465116279073E-4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input_390010!A$2</f>
        <v>390010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IFERROR(VLOOKUP(B54,input_390010!L:R,7,FALSE),VLOOKUP(tables_390010!C54,input_390010!A:H,8,FALSE))</f>
        <v>196350</v>
      </c>
      <c r="P54" s="46">
        <f t="shared" ca="1" si="2"/>
        <v>5.4360465116279066E-3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input_390010!A$2</f>
        <v>390010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IFERROR(VLOOKUP(B55,input_390010!L:R,7,FALSE),VLOOKUP(tables_390010!C55,input_390010!A:H,8,FALSE))</f>
        <v>176715</v>
      </c>
      <c r="P55" s="46">
        <f t="shared" ca="1" si="2"/>
        <v>4.8924418604651167E-3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input_390010!A$2</f>
        <v>390010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IFERROR(VLOOKUP(B56,input_390010!L:R,7,FALSE),VLOOKUP(tables_390010!C56,input_390010!A:H,8,FALSE))</f>
        <v>19635</v>
      </c>
      <c r="P56" s="46">
        <f t="shared" ca="1" si="2"/>
        <v>5.4360465116279073E-4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input_390010!A$2</f>
        <v>390010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IFERROR(VLOOKUP(B57,input_390010!L:R,7,FALSE),VLOOKUP(tables_390010!C57,input_390010!A:H,8,FALSE))</f>
        <v>196350</v>
      </c>
      <c r="P57" s="46">
        <f t="shared" ca="1" si="2"/>
        <v>5.4360465116279066E-3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input_390010!A$2</f>
        <v>390010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IFERROR(VLOOKUP(B58,input_390010!L:R,7,FALSE),VLOOKUP(tables_390010!C58,input_390010!A:H,8,FALSE))</f>
        <v>176715</v>
      </c>
      <c r="P58" s="46">
        <f t="shared" ca="1" si="2"/>
        <v>4.8924418604651167E-3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input_390010!A$2</f>
        <v>390010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IFERROR(VLOOKUP(B59,input_390010!L:R,7,FALSE),VLOOKUP(tables_390010!C59,input_390010!A:H,8,FALSE))</f>
        <v>19635</v>
      </c>
      <c r="P59" s="46">
        <f t="shared" ca="1" si="2"/>
        <v>5.4360465116279073E-4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input_390010!A$2</f>
        <v>390010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IFERROR(VLOOKUP(B60,input_390010!L:R,7,FALSE),VLOOKUP(tables_390010!C60,input_390010!A:H,8,FALSE))</f>
        <v>196350</v>
      </c>
      <c r="P60" s="46">
        <f t="shared" ca="1" si="2"/>
        <v>5.4360465116279066E-3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input_390010!A$2</f>
        <v>390010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IFERROR(VLOOKUP(B61,input_390010!L:R,7,FALSE),VLOOKUP(tables_390010!C61,input_390010!A:H,8,FALSE))</f>
        <v>176715</v>
      </c>
      <c r="P61" s="46">
        <f t="shared" ca="1" si="2"/>
        <v>4.8924418604651167E-3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input_390010!A$2</f>
        <v>390010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IFERROR(VLOOKUP(B62,input_390010!L:R,7,FALSE),VLOOKUP(tables_390010!C62,input_390010!A:H,8,FALSE))</f>
        <v>19635</v>
      </c>
      <c r="P62" s="46">
        <f t="shared" ca="1" si="2"/>
        <v>5.4360465116279073E-4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input_390010!A$2</f>
        <v>390010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IFERROR(VLOOKUP(B63,input_390010!L:R,7,FALSE),VLOOKUP(tables_390010!C63,input_390010!A:H,8,FALSE))</f>
        <v>196350</v>
      </c>
      <c r="P63" s="46">
        <f t="shared" ca="1" si="2"/>
        <v>5.4360465116279066E-3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input_390010!A$2</f>
        <v>390010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IFERROR(VLOOKUP(B64,input_390010!L:R,7,FALSE),VLOOKUP(tables_390010!C64,input_390010!A:H,8,FALSE))</f>
        <v>176715</v>
      </c>
      <c r="P64" s="46">
        <f t="shared" ca="1" si="2"/>
        <v>4.8924418604651167E-3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input_390010!A$2</f>
        <v>390010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IFERROR(VLOOKUP(B65,input_390010!L:R,7,FALSE),VLOOKUP(tables_390010!C65,input_390010!A:H,8,FALSE))</f>
        <v>19635</v>
      </c>
      <c r="P65" s="46">
        <f t="shared" ca="1" si="2"/>
        <v>5.4360465116279073E-4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input_390010!A$2</f>
        <v>390010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IFERROR(VLOOKUP(B66,input_390010!L:R,7,FALSE),VLOOKUP(tables_390010!C66,input_390010!A:H,8,FALSE))</f>
        <v>196350</v>
      </c>
      <c r="P66" s="46">
        <f t="shared" ref="P66:P129" ca="1" si="5">O66/SUM(O:O)</f>
        <v>5.4360465116279066E-3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input_390010!A$2</f>
        <v>390010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IFERROR(VLOOKUP(B67,input_390010!L:R,7,FALSE),VLOOKUP(tables_390010!C67,input_390010!A:H,8,FALSE))</f>
        <v>176715</v>
      </c>
      <c r="P67" s="46">
        <f t="shared" ca="1" si="5"/>
        <v>4.8924418604651167E-3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input_390010!A$2</f>
        <v>390010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IFERROR(VLOOKUP(B68,input_390010!L:R,7,FALSE),VLOOKUP(tables_390010!C68,input_390010!A:H,8,FALSE))</f>
        <v>19635</v>
      </c>
      <c r="P68" s="46">
        <f t="shared" ca="1" si="5"/>
        <v>5.4360465116279073E-4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input_390010!A$2</f>
        <v>390010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IFERROR(VLOOKUP(B69,input_390010!L:R,7,FALSE),VLOOKUP(tables_390010!C69,input_390010!A:H,8,FALSE))</f>
        <v>196350</v>
      </c>
      <c r="P69" s="46">
        <f t="shared" ca="1" si="5"/>
        <v>5.4360465116279066E-3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input_390010!A$2</f>
        <v>390010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IFERROR(VLOOKUP(B70,input_390010!L:R,7,FALSE),VLOOKUP(tables_390010!C70,input_390010!A:H,8,FALSE))</f>
        <v>176715</v>
      </c>
      <c r="P70" s="46">
        <f t="shared" ca="1" si="5"/>
        <v>4.8924418604651167E-3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input_390010!A$2</f>
        <v>390010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IFERROR(VLOOKUP(B71,input_390010!L:R,7,FALSE),VLOOKUP(tables_390010!C71,input_390010!A:H,8,FALSE))</f>
        <v>19635</v>
      </c>
      <c r="P71" s="46">
        <f t="shared" ca="1" si="5"/>
        <v>5.4360465116279073E-4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input_390010!A$2</f>
        <v>390010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IFERROR(VLOOKUP(B72,input_390010!L:R,7,FALSE),VLOOKUP(tables_390010!C72,input_390010!A:H,8,FALSE))</f>
        <v>196350</v>
      </c>
      <c r="P72" s="46">
        <f t="shared" ca="1" si="5"/>
        <v>5.4360465116279066E-3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input_390010!A$2</f>
        <v>390010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IFERROR(VLOOKUP(B73,input_390010!L:R,7,FALSE),VLOOKUP(tables_390010!C73,input_390010!A:H,8,FALSE))</f>
        <v>176715</v>
      </c>
      <c r="P73" s="46">
        <f t="shared" ca="1" si="5"/>
        <v>4.8924418604651167E-3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input_390010!A$2</f>
        <v>390010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IFERROR(VLOOKUP(B74,input_390010!L:R,7,FALSE),VLOOKUP(tables_390010!C74,input_390010!A:H,8,FALSE))</f>
        <v>19635</v>
      </c>
      <c r="P74" s="46">
        <f t="shared" ca="1" si="5"/>
        <v>5.4360465116279073E-4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input_390010!A$2</f>
        <v>390010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IFERROR(VLOOKUP(B75,input_390010!L:R,7,FALSE),VLOOKUP(tables_390010!C75,input_390010!A:H,8,FALSE))</f>
        <v>196350</v>
      </c>
      <c r="P75" s="46">
        <f t="shared" ca="1" si="5"/>
        <v>5.4360465116279066E-3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input_390010!A$2</f>
        <v>390010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IFERROR(VLOOKUP(B76,input_390010!L:R,7,FALSE),VLOOKUP(tables_390010!C76,input_390010!A:H,8,FALSE))</f>
        <v>176715</v>
      </c>
      <c r="P76" s="46">
        <f t="shared" ca="1" si="5"/>
        <v>4.8924418604651167E-3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input_390010!A$2</f>
        <v>390010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IFERROR(VLOOKUP(B77,input_390010!L:R,7,FALSE),VLOOKUP(tables_390010!C77,input_390010!A:H,8,FALSE))</f>
        <v>19635</v>
      </c>
      <c r="P77" s="46">
        <f t="shared" ca="1" si="5"/>
        <v>5.4360465116279073E-4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input_390010!A$2</f>
        <v>390010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IFERROR(VLOOKUP(B78,input_390010!L:R,7,FALSE),VLOOKUP(tables_390010!C78,input_390010!A:H,8,FALSE))</f>
        <v>196350</v>
      </c>
      <c r="P78" s="46">
        <f t="shared" ca="1" si="5"/>
        <v>5.4360465116279066E-3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input_390010!A$2</f>
        <v>390010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IFERROR(VLOOKUP(B79,input_390010!L:R,7,FALSE),VLOOKUP(tables_390010!C79,input_390010!A:H,8,FALSE))</f>
        <v>176715</v>
      </c>
      <c r="P79" s="46">
        <f t="shared" ca="1" si="5"/>
        <v>4.8924418604651167E-3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input_390010!A$2</f>
        <v>390010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IFERROR(VLOOKUP(B80,input_390010!L:R,7,FALSE),VLOOKUP(tables_390010!C80,input_390010!A:H,8,FALSE))</f>
        <v>19635</v>
      </c>
      <c r="P80" s="46">
        <f t="shared" ca="1" si="5"/>
        <v>5.4360465116279073E-4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input_390010!A$2</f>
        <v>390010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IFERROR(VLOOKUP(B81,input_390010!L:R,7,FALSE),VLOOKUP(tables_390010!C81,input_390010!A:H,8,FALSE))</f>
        <v>196350</v>
      </c>
      <c r="P81" s="46">
        <f t="shared" ca="1" si="5"/>
        <v>5.4360465116279066E-3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input_390010!A$2</f>
        <v>390010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IFERROR(VLOOKUP(B82,input_390010!L:R,7,FALSE),VLOOKUP(tables_390010!C82,input_390010!A:H,8,FALSE))</f>
        <v>176715</v>
      </c>
      <c r="P82" s="46">
        <f t="shared" ca="1" si="5"/>
        <v>4.8924418604651167E-3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input_390010!A$2</f>
        <v>390010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IFERROR(VLOOKUP(B83,input_390010!L:R,7,FALSE),VLOOKUP(tables_390010!C83,input_390010!A:H,8,FALSE))</f>
        <v>19635</v>
      </c>
      <c r="P83" s="46">
        <f t="shared" ca="1" si="5"/>
        <v>5.4360465116279073E-4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input_390010!A$2</f>
        <v>390010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IFERROR(VLOOKUP(B84,input_390010!L:R,7,FALSE),VLOOKUP(tables_390010!C84,input_390010!A:H,8,FALSE))</f>
        <v>196350</v>
      </c>
      <c r="P84" s="46">
        <f t="shared" ca="1" si="5"/>
        <v>5.4360465116279066E-3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input_390010!A$2</f>
        <v>390010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IFERROR(VLOOKUP(B85,input_390010!L:R,7,FALSE),VLOOKUP(tables_390010!C85,input_390010!A:H,8,FALSE))</f>
        <v>176715</v>
      </c>
      <c r="P85" s="46">
        <f t="shared" ca="1" si="5"/>
        <v>4.8924418604651167E-3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input_390010!A$2</f>
        <v>390010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IFERROR(VLOOKUP(B86,input_390010!L:R,7,FALSE),VLOOKUP(tables_390010!C86,input_390010!A:H,8,FALSE))</f>
        <v>19635</v>
      </c>
      <c r="P86" s="46">
        <f t="shared" ca="1" si="5"/>
        <v>5.4360465116279073E-4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input_390010!A$2</f>
        <v>390010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IFERROR(VLOOKUP(B87,input_390010!L:R,7,FALSE),VLOOKUP(tables_390010!C87,input_390010!A:H,8,FALSE))</f>
        <v>196350</v>
      </c>
      <c r="P87" s="46">
        <f t="shared" ca="1" si="5"/>
        <v>5.4360465116279066E-3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input_390010!A$2</f>
        <v>390010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IFERROR(VLOOKUP(B88,input_390010!L:R,7,FALSE),VLOOKUP(tables_390010!C88,input_390010!A:H,8,FALSE))</f>
        <v>176715</v>
      </c>
      <c r="P88" s="46">
        <f t="shared" ca="1" si="5"/>
        <v>4.8924418604651167E-3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input_390010!A$2</f>
        <v>390010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IFERROR(VLOOKUP(B89,input_390010!L:R,7,FALSE),VLOOKUP(tables_390010!C89,input_390010!A:H,8,FALSE))</f>
        <v>19635</v>
      </c>
      <c r="P89" s="46">
        <f t="shared" ca="1" si="5"/>
        <v>5.4360465116279073E-4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input_390010!A$2</f>
        <v>390010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IFERROR(VLOOKUP(B90,input_390010!L:R,7,FALSE),VLOOKUP(tables_390010!C90,input_390010!A:H,8,FALSE))</f>
        <v>196350</v>
      </c>
      <c r="P90" s="46">
        <f t="shared" ca="1" si="5"/>
        <v>5.4360465116279066E-3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input_390010!A$2</f>
        <v>390010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IFERROR(VLOOKUP(B91,input_390010!L:R,7,FALSE),VLOOKUP(tables_390010!C91,input_390010!A:H,8,FALSE))</f>
        <v>176715</v>
      </c>
      <c r="P91" s="46">
        <f t="shared" ca="1" si="5"/>
        <v>4.8924418604651167E-3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input_390010!A$2</f>
        <v>390010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IFERROR(VLOOKUP(B92,input_390010!L:R,7,FALSE),VLOOKUP(tables_390010!C92,input_390010!A:H,8,FALSE))</f>
        <v>19635</v>
      </c>
      <c r="P92" s="46">
        <f t="shared" ca="1" si="5"/>
        <v>5.4360465116279073E-4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input_390010!A$2</f>
        <v>390010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IFERROR(VLOOKUP(B93,input_390010!L:R,7,FALSE),VLOOKUP(tables_390010!C93,input_390010!A:H,8,FALSE))</f>
        <v>196350</v>
      </c>
      <c r="P93" s="46">
        <f t="shared" ca="1" si="5"/>
        <v>5.4360465116279066E-3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input_390010!A$2</f>
        <v>390010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IFERROR(VLOOKUP(B94,input_390010!L:R,7,FALSE),VLOOKUP(tables_390010!C94,input_390010!A:H,8,FALSE))</f>
        <v>176715</v>
      </c>
      <c r="P94" s="46">
        <f t="shared" ca="1" si="5"/>
        <v>4.8924418604651167E-3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input_390010!A$2</f>
        <v>390010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IFERROR(VLOOKUP(B95,input_390010!L:R,7,FALSE),VLOOKUP(tables_390010!C95,input_390010!A:H,8,FALSE))</f>
        <v>19635</v>
      </c>
      <c r="P95" s="46">
        <f t="shared" ca="1" si="5"/>
        <v>5.4360465116279073E-4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input_390010!A$2</f>
        <v>390010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IFERROR(VLOOKUP(B96,input_390010!L:R,7,FALSE),VLOOKUP(tables_390010!C96,input_390010!A:H,8,FALSE))</f>
        <v>196350</v>
      </c>
      <c r="P96" s="46">
        <f t="shared" ca="1" si="5"/>
        <v>5.4360465116279066E-3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input_390010!A$2</f>
        <v>390010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IFERROR(VLOOKUP(B97,input_390010!L:R,7,FALSE),VLOOKUP(tables_390010!C97,input_390010!A:H,8,FALSE))</f>
        <v>176715</v>
      </c>
      <c r="P97" s="46">
        <f t="shared" ca="1" si="5"/>
        <v>4.8924418604651167E-3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input_390010!A$2</f>
        <v>390010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IFERROR(VLOOKUP(B98,input_390010!L:R,7,FALSE),VLOOKUP(tables_390010!C98,input_390010!A:H,8,FALSE))</f>
        <v>19635</v>
      </c>
      <c r="P98" s="46">
        <f t="shared" ca="1" si="5"/>
        <v>5.4360465116279073E-4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input_390010!A$2</f>
        <v>390010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IFERROR(VLOOKUP(B99,input_390010!L:R,7,FALSE),VLOOKUP(tables_390010!C99,input_390010!A:H,8,FALSE))</f>
        <v>196350</v>
      </c>
      <c r="P99" s="46">
        <f t="shared" ca="1" si="5"/>
        <v>5.4360465116279066E-3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input_390010!A$2</f>
        <v>390010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IFERROR(VLOOKUP(B100,input_390010!L:R,7,FALSE),VLOOKUP(tables_390010!C100,input_390010!A:H,8,FALSE))</f>
        <v>176715</v>
      </c>
      <c r="P100" s="46">
        <f t="shared" ca="1" si="5"/>
        <v>4.8924418604651167E-3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input_390010!A$2</f>
        <v>390010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IFERROR(VLOOKUP(B101,input_390010!L:R,7,FALSE),VLOOKUP(tables_390010!C101,input_390010!A:H,8,FALSE))</f>
        <v>19635</v>
      </c>
      <c r="P101" s="46">
        <f t="shared" ca="1" si="5"/>
        <v>5.4360465116279073E-4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input_390010!A$2</f>
        <v>390010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IFERROR(VLOOKUP(B102,input_390010!L:R,7,FALSE),VLOOKUP(tables_390010!C102,input_390010!A:H,8,FALSE))</f>
        <v>196350</v>
      </c>
      <c r="P102" s="46">
        <f t="shared" ca="1" si="5"/>
        <v>5.4360465116279066E-3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input_390010!A$2</f>
        <v>390010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IFERROR(VLOOKUP(B103,input_390010!L:R,7,FALSE),VLOOKUP(tables_390010!C103,input_390010!A:H,8,FALSE))</f>
        <v>176715</v>
      </c>
      <c r="P103" s="46">
        <f t="shared" ca="1" si="5"/>
        <v>4.8924418604651167E-3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input_390010!A$2</f>
        <v>390010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IFERROR(VLOOKUP(B104,input_390010!L:R,7,FALSE),VLOOKUP(tables_390010!C104,input_390010!A:H,8,FALSE))</f>
        <v>19635</v>
      </c>
      <c r="P104" s="46">
        <f t="shared" ca="1" si="5"/>
        <v>5.4360465116279073E-4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input_390010!A$2</f>
        <v>390010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IFERROR(VLOOKUP(B105,input_390010!L:R,7,FALSE),VLOOKUP(tables_390010!C105,input_390010!A:H,8,FALSE))</f>
        <v>196350</v>
      </c>
      <c r="P105" s="46">
        <f t="shared" ca="1" si="5"/>
        <v>5.4360465116279066E-3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input_390010!A$2</f>
        <v>390010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IFERROR(VLOOKUP(B106,input_390010!L:R,7,FALSE),VLOOKUP(tables_390010!C106,input_390010!A:H,8,FALSE))</f>
        <v>176715</v>
      </c>
      <c r="P106" s="46">
        <f t="shared" ca="1" si="5"/>
        <v>4.8924418604651167E-3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input_390010!A$2</f>
        <v>390010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IFERROR(VLOOKUP(B107,input_390010!L:R,7,FALSE),VLOOKUP(tables_390010!C107,input_390010!A:H,8,FALSE))</f>
        <v>19635</v>
      </c>
      <c r="P107" s="46">
        <f t="shared" ca="1" si="5"/>
        <v>5.4360465116279073E-4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input_390010!A$2</f>
        <v>390010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IFERROR(VLOOKUP(B108,input_390010!L:R,7,FALSE),VLOOKUP(tables_390010!C108,input_390010!A:H,8,FALSE))</f>
        <v>196350</v>
      </c>
      <c r="P108" s="46">
        <f t="shared" ca="1" si="5"/>
        <v>5.4360465116279066E-3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input_390010!A$2</f>
        <v>390010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IFERROR(VLOOKUP(B109,input_390010!L:R,7,FALSE),VLOOKUP(tables_390010!C109,input_390010!A:H,8,FALSE))</f>
        <v>176715</v>
      </c>
      <c r="P109" s="46">
        <f t="shared" ca="1" si="5"/>
        <v>4.8924418604651167E-3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input_390010!A$2</f>
        <v>390010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IFERROR(VLOOKUP(B110,input_390010!L:R,7,FALSE),VLOOKUP(tables_390010!C110,input_390010!A:H,8,FALSE))</f>
        <v>19635</v>
      </c>
      <c r="P110" s="46">
        <f t="shared" ca="1" si="5"/>
        <v>5.4360465116279073E-4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input_390010!A$2</f>
        <v>390010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IFERROR(VLOOKUP(B111,input_390010!L:R,7,FALSE),VLOOKUP(tables_390010!C111,input_390010!A:H,8,FALSE))</f>
        <v>196350</v>
      </c>
      <c r="P111" s="46">
        <f t="shared" ca="1" si="5"/>
        <v>5.4360465116279066E-3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input_390010!A$2</f>
        <v>390010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IFERROR(VLOOKUP(B112,input_390010!L:R,7,FALSE),VLOOKUP(tables_390010!C112,input_390010!A:H,8,FALSE))</f>
        <v>176715</v>
      </c>
      <c r="P112" s="46">
        <f t="shared" ca="1" si="5"/>
        <v>4.8924418604651167E-3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input_390010!A$2</f>
        <v>390010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IFERROR(VLOOKUP(B113,input_390010!L:R,7,FALSE),VLOOKUP(tables_390010!C113,input_390010!A:H,8,FALSE))</f>
        <v>19635</v>
      </c>
      <c r="P113" s="46">
        <f t="shared" ca="1" si="5"/>
        <v>5.4360465116279073E-4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input_390010!A$2</f>
        <v>390010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IFERROR(VLOOKUP(B114,input_390010!L:R,7,FALSE),VLOOKUP(tables_390010!C114,input_390010!A:H,8,FALSE))</f>
        <v>196350</v>
      </c>
      <c r="P114" s="46">
        <f t="shared" ca="1" si="5"/>
        <v>5.4360465116279066E-3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input_390010!A$2</f>
        <v>390010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IFERROR(VLOOKUP(B115,input_390010!L:R,7,FALSE),VLOOKUP(tables_390010!C115,input_390010!A:H,8,FALSE))</f>
        <v>176715</v>
      </c>
      <c r="P115" s="46">
        <f t="shared" ca="1" si="5"/>
        <v>4.8924418604651167E-3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input_390010!A$2</f>
        <v>390010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IFERROR(VLOOKUP(B116,input_390010!L:R,7,FALSE),VLOOKUP(tables_390010!C116,input_390010!A:H,8,FALSE))</f>
        <v>19635</v>
      </c>
      <c r="P116" s="46">
        <f t="shared" ca="1" si="5"/>
        <v>5.4360465116279073E-4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input_390010!A$2</f>
        <v>390010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IFERROR(VLOOKUP(B117,input_390010!L:R,7,FALSE),VLOOKUP(tables_390010!C117,input_390010!A:H,8,FALSE))</f>
        <v>196350</v>
      </c>
      <c r="P117" s="46">
        <f t="shared" ca="1" si="5"/>
        <v>5.4360465116279066E-3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input_390010!A$2</f>
        <v>390010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IFERROR(VLOOKUP(B118,input_390010!L:R,7,FALSE),VLOOKUP(tables_390010!C118,input_390010!A:H,8,FALSE))</f>
        <v>176715</v>
      </c>
      <c r="P118" s="46">
        <f t="shared" ca="1" si="5"/>
        <v>4.8924418604651167E-3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input_390010!A$2</f>
        <v>390010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IFERROR(VLOOKUP(B119,input_390010!L:R,7,FALSE),VLOOKUP(tables_390010!C119,input_390010!A:H,8,FALSE))</f>
        <v>19635</v>
      </c>
      <c r="P119" s="46">
        <f t="shared" ca="1" si="5"/>
        <v>5.4360465116279073E-4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input_390010!A$2</f>
        <v>390010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IFERROR(VLOOKUP(B120,input_390010!L:R,7,FALSE),VLOOKUP(tables_390010!C120,input_390010!A:H,8,FALSE))</f>
        <v>196350</v>
      </c>
      <c r="P120" s="46">
        <f t="shared" ca="1" si="5"/>
        <v>5.4360465116279066E-3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input_390010!A$2</f>
        <v>390010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IFERROR(VLOOKUP(B121,input_390010!L:R,7,FALSE),VLOOKUP(tables_390010!C121,input_390010!A:H,8,FALSE))</f>
        <v>176715</v>
      </c>
      <c r="P121" s="46">
        <f t="shared" ca="1" si="5"/>
        <v>4.8924418604651167E-3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input_390010!A$2</f>
        <v>390010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IFERROR(VLOOKUP(B122,input_390010!L:R,7,FALSE),VLOOKUP(tables_390010!C122,input_390010!A:H,8,FALSE))</f>
        <v>19635</v>
      </c>
      <c r="P122" s="46">
        <f t="shared" ca="1" si="5"/>
        <v>5.4360465116279073E-4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input_390010!A$2</f>
        <v>390010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IFERROR(VLOOKUP(B123,input_390010!L:R,7,FALSE),VLOOKUP(tables_390010!C123,input_390010!A:H,8,FALSE))</f>
        <v>196350</v>
      </c>
      <c r="P123" s="46">
        <f t="shared" ca="1" si="5"/>
        <v>5.4360465116279066E-3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input_390010!A$2</f>
        <v>390010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IFERROR(VLOOKUP(B124,input_390010!L:R,7,FALSE),VLOOKUP(tables_390010!C124,input_390010!A:H,8,FALSE))</f>
        <v>176715</v>
      </c>
      <c r="P124" s="46">
        <f t="shared" ca="1" si="5"/>
        <v>4.8924418604651167E-3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input_390010!A$2</f>
        <v>390010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IFERROR(VLOOKUP(B125,input_390010!L:R,7,FALSE),VLOOKUP(tables_390010!C125,input_390010!A:H,8,FALSE))</f>
        <v>19635</v>
      </c>
      <c r="P125" s="46">
        <f t="shared" ca="1" si="5"/>
        <v>5.4360465116279073E-4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input_390010!A$2</f>
        <v>390010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IFERROR(VLOOKUP(B126,input_390010!L:R,7,FALSE),VLOOKUP(tables_390010!C126,input_390010!A:H,8,FALSE))</f>
        <v>196350</v>
      </c>
      <c r="P126" s="46">
        <f t="shared" ca="1" si="5"/>
        <v>5.4360465116279066E-3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input_390010!A$2</f>
        <v>390010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IFERROR(VLOOKUP(B127,input_390010!L:R,7,FALSE),VLOOKUP(tables_390010!C127,input_390010!A:H,8,FALSE))</f>
        <v>176715</v>
      </c>
      <c r="P127" s="46">
        <f t="shared" ca="1" si="5"/>
        <v>4.8924418604651167E-3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input_390010!A$2</f>
        <v>390010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IFERROR(VLOOKUP(B128,input_390010!L:R,7,FALSE),VLOOKUP(tables_390010!C128,input_390010!A:H,8,FALSE))</f>
        <v>19635</v>
      </c>
      <c r="P128" s="46">
        <f t="shared" ca="1" si="5"/>
        <v>5.4360465116279073E-4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input_390010!A$2</f>
        <v>390010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IFERROR(VLOOKUP(B129,input_390010!L:R,7,FALSE),VLOOKUP(tables_390010!C129,input_390010!A:H,8,FALSE))</f>
        <v>196350</v>
      </c>
      <c r="P129" s="46">
        <f t="shared" ca="1" si="5"/>
        <v>5.4360465116279066E-3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input_390010!A$2</f>
        <v>390010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IFERROR(VLOOKUP(B130,input_390010!L:R,7,FALSE),VLOOKUP(tables_390010!C130,input_390010!A:H,8,FALSE))</f>
        <v>176715</v>
      </c>
      <c r="P130" s="46">
        <f t="shared" ref="P130:P193" ca="1" si="8">O130/SUM(O:O)</f>
        <v>4.8924418604651167E-3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input_390010!A$2</f>
        <v>390010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IFERROR(VLOOKUP(B131,input_390010!L:R,7,FALSE),VLOOKUP(tables_390010!C131,input_390010!A:H,8,FALSE))</f>
        <v>19635</v>
      </c>
      <c r="P131" s="46">
        <f t="shared" ca="1" si="8"/>
        <v>5.4360465116279073E-4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input_390010!A$2</f>
        <v>390010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IFERROR(VLOOKUP(B132,input_390010!L:R,7,FALSE),VLOOKUP(tables_390010!C132,input_390010!A:H,8,FALSE))</f>
        <v>196350</v>
      </c>
      <c r="P132" s="46">
        <f t="shared" ca="1" si="8"/>
        <v>5.4360465116279066E-3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input_390010!A$2</f>
        <v>390010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IFERROR(VLOOKUP(B133,input_390010!L:R,7,FALSE),VLOOKUP(tables_390010!C133,input_390010!A:H,8,FALSE))</f>
        <v>176715</v>
      </c>
      <c r="P133" s="46">
        <f t="shared" ca="1" si="8"/>
        <v>4.8924418604651167E-3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input_390010!A$2</f>
        <v>390010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IFERROR(VLOOKUP(B134,input_390010!L:R,7,FALSE),VLOOKUP(tables_390010!C134,input_390010!A:H,8,FALSE))</f>
        <v>19635</v>
      </c>
      <c r="P134" s="46">
        <f t="shared" ca="1" si="8"/>
        <v>5.4360465116279073E-4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input_390010!A$2</f>
        <v>390010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IFERROR(VLOOKUP(B135,input_390010!L:R,7,FALSE),VLOOKUP(tables_390010!C135,input_390010!A:H,8,FALSE))</f>
        <v>196350</v>
      </c>
      <c r="P135" s="46">
        <f t="shared" ca="1" si="8"/>
        <v>5.4360465116279066E-3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input_390010!A$2</f>
        <v>390010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IFERROR(VLOOKUP(B136,input_390010!L:R,7,FALSE),VLOOKUP(tables_390010!C136,input_390010!A:H,8,FALSE))</f>
        <v>176715</v>
      </c>
      <c r="P136" s="46">
        <f t="shared" ca="1" si="8"/>
        <v>4.8924418604651167E-3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input_390010!A$2</f>
        <v>390010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IFERROR(VLOOKUP(B137,input_390010!L:R,7,FALSE),VLOOKUP(tables_390010!C137,input_390010!A:H,8,FALSE))</f>
        <v>19635</v>
      </c>
      <c r="P137" s="46">
        <f t="shared" ca="1" si="8"/>
        <v>5.4360465116279073E-4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input_390010!A$2</f>
        <v>390010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IFERROR(VLOOKUP(B138,input_390010!L:R,7,FALSE),VLOOKUP(tables_390010!C138,input_390010!A:H,8,FALSE))</f>
        <v>23693</v>
      </c>
      <c r="P138" s="46">
        <f t="shared" ca="1" si="8"/>
        <v>6.5595238095238098E-4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input_390010!A$2</f>
        <v>390010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IFERROR(VLOOKUP(B139,input_390010!L:R,7,FALSE),VLOOKUP(tables_390010!C139,input_390010!A:H,8,FALSE))</f>
        <v>1247</v>
      </c>
      <c r="P139" s="46">
        <f t="shared" ca="1" si="8"/>
        <v>3.4523809523809526E-5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input_390010!A$2</f>
        <v>390010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IFERROR(VLOOKUP(B140,input_390010!L:R,7,FALSE),VLOOKUP(tables_390010!C140,input_390010!A:H,8,FALSE))</f>
        <v>23693</v>
      </c>
      <c r="P140" s="46">
        <f t="shared" ca="1" si="8"/>
        <v>6.5595238095238098E-4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input_390010!A$2</f>
        <v>390010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IFERROR(VLOOKUP(B141,input_390010!L:R,7,FALSE),VLOOKUP(tables_390010!C141,input_390010!A:H,8,FALSE))</f>
        <v>1247</v>
      </c>
      <c r="P141" s="46">
        <f t="shared" ca="1" si="8"/>
        <v>3.4523809523809526E-5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input_390010!A$2</f>
        <v>390010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IFERROR(VLOOKUP(B142,input_390010!L:R,7,FALSE),VLOOKUP(tables_390010!C142,input_390010!A:H,8,FALSE))</f>
        <v>23693</v>
      </c>
      <c r="P142" s="46">
        <f t="shared" ca="1" si="8"/>
        <v>6.5595238095238098E-4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input_390010!A$2</f>
        <v>390010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IFERROR(VLOOKUP(B143,input_390010!L:R,7,FALSE),VLOOKUP(tables_390010!C143,input_390010!A:H,8,FALSE))</f>
        <v>1247</v>
      </c>
      <c r="P143" s="46">
        <f t="shared" ca="1" si="8"/>
        <v>3.4523809523809526E-5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input_390010!A$2</f>
        <v>390010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IFERROR(VLOOKUP(B144,input_390010!L:R,7,FALSE),VLOOKUP(tables_390010!C144,input_390010!A:H,8,FALSE))</f>
        <v>23693</v>
      </c>
      <c r="P144" s="46">
        <f t="shared" ca="1" si="8"/>
        <v>6.5595238095238098E-4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input_390010!A$2</f>
        <v>390010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IFERROR(VLOOKUP(B145,input_390010!L:R,7,FALSE),VLOOKUP(tables_390010!C145,input_390010!A:H,8,FALSE))</f>
        <v>1247</v>
      </c>
      <c r="P145" s="46">
        <f t="shared" ca="1" si="8"/>
        <v>3.4523809523809526E-5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input_390010!A$2</f>
        <v>390010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IFERROR(VLOOKUP(B146,input_390010!L:R,7,FALSE),VLOOKUP(tables_390010!C146,input_390010!A:H,8,FALSE))</f>
        <v>196350</v>
      </c>
      <c r="P146" s="46">
        <f t="shared" ca="1" si="8"/>
        <v>5.4360465116279066E-3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input_390010!A$2</f>
        <v>390010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IFERROR(VLOOKUP(B147,input_390010!L:R,7,FALSE),VLOOKUP(tables_390010!C147,input_390010!A:H,8,FALSE))</f>
        <v>176715</v>
      </c>
      <c r="P147" s="46">
        <f t="shared" ca="1" si="8"/>
        <v>4.8924418604651167E-3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input_390010!A$2</f>
        <v>390010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IFERROR(VLOOKUP(B148,input_390010!L:R,7,FALSE),VLOOKUP(tables_390010!C148,input_390010!A:H,8,FALSE))</f>
        <v>19635</v>
      </c>
      <c r="P148" s="46">
        <f t="shared" ca="1" si="8"/>
        <v>5.4360465116279073E-4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input_390010!A$2</f>
        <v>390010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IFERROR(VLOOKUP(B149,input_390010!L:R,7,FALSE),VLOOKUP(tables_390010!C149,input_390010!A:H,8,FALSE))</f>
        <v>23693</v>
      </c>
      <c r="P149" s="46">
        <f t="shared" ca="1" si="8"/>
        <v>6.5595238095238098E-4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input_390010!A$2</f>
        <v>390010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IFERROR(VLOOKUP(B150,input_390010!L:R,7,FALSE),VLOOKUP(tables_390010!C150,input_390010!A:H,8,FALSE))</f>
        <v>1247</v>
      </c>
      <c r="P150" s="46">
        <f t="shared" ca="1" si="8"/>
        <v>3.4523809523809526E-5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input_390010!A$2</f>
        <v>390010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IFERROR(VLOOKUP(B151,input_390010!L:R,7,FALSE),VLOOKUP(tables_390010!C151,input_390010!A:H,8,FALSE))</f>
        <v>23693</v>
      </c>
      <c r="P151" s="46">
        <f t="shared" ca="1" si="8"/>
        <v>6.5595238095238098E-4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input_390010!A$2</f>
        <v>390010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IFERROR(VLOOKUP(B152,input_390010!L:R,7,FALSE),VLOOKUP(tables_390010!C152,input_390010!A:H,8,FALSE))</f>
        <v>1247</v>
      </c>
      <c r="P152" s="46">
        <f t="shared" ca="1" si="8"/>
        <v>3.4523809523809526E-5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input_390010!A$2</f>
        <v>390010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IFERROR(VLOOKUP(B153,input_390010!L:R,7,FALSE),VLOOKUP(tables_390010!C153,input_390010!A:H,8,FALSE))</f>
        <v>196350</v>
      </c>
      <c r="P153" s="46">
        <f t="shared" ca="1" si="8"/>
        <v>5.4360465116279066E-3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input_390010!A$2</f>
        <v>390010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IFERROR(VLOOKUP(B154,input_390010!L:R,7,FALSE),VLOOKUP(tables_390010!C154,input_390010!A:H,8,FALSE))</f>
        <v>176715</v>
      </c>
      <c r="P154" s="46">
        <f t="shared" ca="1" si="8"/>
        <v>4.8924418604651167E-3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input_390010!A$2</f>
        <v>390010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IFERROR(VLOOKUP(B155,input_390010!L:R,7,FALSE),VLOOKUP(tables_390010!C155,input_390010!A:H,8,FALSE))</f>
        <v>19635</v>
      </c>
      <c r="P155" s="46">
        <f t="shared" ca="1" si="8"/>
        <v>5.4360465116279073E-4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input_390010!A$2</f>
        <v>390010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IFERROR(VLOOKUP(B156,input_390010!L:R,7,FALSE),VLOOKUP(tables_390010!C156,input_390010!A:H,8,FALSE))</f>
        <v>23693</v>
      </c>
      <c r="P156" s="46">
        <f t="shared" ca="1" si="8"/>
        <v>6.5595238095238098E-4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input_390010!A$2</f>
        <v>390010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IFERROR(VLOOKUP(B157,input_390010!L:R,7,FALSE),VLOOKUP(tables_390010!C157,input_390010!A:H,8,FALSE))</f>
        <v>1247</v>
      </c>
      <c r="P157" s="46">
        <f t="shared" ca="1" si="8"/>
        <v>3.4523809523809526E-5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input_390010!A$2</f>
        <v>390010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IFERROR(VLOOKUP(B158,input_390010!L:R,7,FALSE),VLOOKUP(tables_390010!C158,input_390010!A:H,8,FALSE))</f>
        <v>196350</v>
      </c>
      <c r="P158" s="46">
        <f t="shared" ca="1" si="8"/>
        <v>5.4360465116279066E-3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input_390010!A$2</f>
        <v>390010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IFERROR(VLOOKUP(B159,input_390010!L:R,7,FALSE),VLOOKUP(tables_390010!C159,input_390010!A:H,8,FALSE))</f>
        <v>176715</v>
      </c>
      <c r="P159" s="46">
        <f t="shared" ca="1" si="8"/>
        <v>4.8924418604651167E-3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input_390010!A$2</f>
        <v>390010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IFERROR(VLOOKUP(B160,input_390010!L:R,7,FALSE),VLOOKUP(tables_390010!C160,input_390010!A:H,8,FALSE))</f>
        <v>19635</v>
      </c>
      <c r="P160" s="46">
        <f t="shared" ca="1" si="8"/>
        <v>5.4360465116279073E-4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input_390010!A$2</f>
        <v>390010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IFERROR(VLOOKUP(B161,input_390010!L:R,7,FALSE),VLOOKUP(tables_390010!C161,input_390010!A:H,8,FALSE))</f>
        <v>196350</v>
      </c>
      <c r="P161" s="46">
        <f t="shared" ca="1" si="8"/>
        <v>5.4360465116279066E-3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input_390010!A$2</f>
        <v>390010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IFERROR(VLOOKUP(B162,input_390010!L:R,7,FALSE),VLOOKUP(tables_390010!C162,input_390010!A:H,8,FALSE))</f>
        <v>176715</v>
      </c>
      <c r="P162" s="46">
        <f t="shared" ca="1" si="8"/>
        <v>4.8924418604651167E-3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input_390010!A$2</f>
        <v>390010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IFERROR(VLOOKUP(B163,input_390010!L:R,7,FALSE),VLOOKUP(tables_390010!C163,input_390010!A:H,8,FALSE))</f>
        <v>19635</v>
      </c>
      <c r="P163" s="46">
        <f t="shared" ca="1" si="8"/>
        <v>5.4360465116279073E-4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input_390010!A$2</f>
        <v>390010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IFERROR(VLOOKUP(B164,input_390010!L:R,7,FALSE),VLOOKUP(tables_390010!C164,input_390010!A:H,8,FALSE))</f>
        <v>23693</v>
      </c>
      <c r="P164" s="46">
        <f t="shared" ca="1" si="8"/>
        <v>6.5595238095238098E-4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input_390010!A$2</f>
        <v>390010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IFERROR(VLOOKUP(B165,input_390010!L:R,7,FALSE),VLOOKUP(tables_390010!C165,input_390010!A:H,8,FALSE))</f>
        <v>1247</v>
      </c>
      <c r="P165" s="46">
        <f t="shared" ca="1" si="8"/>
        <v>3.4523809523809526E-5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input_390010!A$2</f>
        <v>390010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IFERROR(VLOOKUP(B166,input_390010!L:R,7,FALSE),VLOOKUP(tables_390010!C166,input_390010!A:H,8,FALSE))</f>
        <v>196350</v>
      </c>
      <c r="P166" s="46">
        <f t="shared" ca="1" si="8"/>
        <v>5.4360465116279066E-3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input_390010!A$2</f>
        <v>390010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IFERROR(VLOOKUP(B167,input_390010!L:R,7,FALSE),VLOOKUP(tables_390010!C167,input_390010!A:H,8,FALSE))</f>
        <v>176715</v>
      </c>
      <c r="P167" s="46">
        <f t="shared" ca="1" si="8"/>
        <v>4.8924418604651167E-3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input_390010!A$2</f>
        <v>390010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IFERROR(VLOOKUP(B168,input_390010!L:R,7,FALSE),VLOOKUP(tables_390010!C168,input_390010!A:H,8,FALSE))</f>
        <v>19635</v>
      </c>
      <c r="P168" s="46">
        <f t="shared" ca="1" si="8"/>
        <v>5.4360465116279073E-4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input_390010!A$2</f>
        <v>390010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IFERROR(VLOOKUP(B169,input_390010!L:R,7,FALSE),VLOOKUP(tables_390010!C169,input_390010!A:H,8,FALSE))</f>
        <v>23693</v>
      </c>
      <c r="P169" s="46">
        <f t="shared" ca="1" si="8"/>
        <v>6.5595238095238098E-4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input_390010!A$2</f>
        <v>390010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IFERROR(VLOOKUP(B170,input_390010!L:R,7,FALSE),VLOOKUP(tables_390010!C170,input_390010!A:H,8,FALSE))</f>
        <v>1247</v>
      </c>
      <c r="P170" s="46">
        <f t="shared" ca="1" si="8"/>
        <v>3.4523809523809526E-5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input_390010!A$2</f>
        <v>390010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IFERROR(VLOOKUP(B171,input_390010!L:R,7,FALSE),VLOOKUP(tables_390010!C171,input_390010!A:H,8,FALSE))</f>
        <v>196350</v>
      </c>
      <c r="P171" s="46">
        <f t="shared" ca="1" si="8"/>
        <v>5.4360465116279066E-3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input_390010!A$2</f>
        <v>390010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IFERROR(VLOOKUP(B172,input_390010!L:R,7,FALSE),VLOOKUP(tables_390010!C172,input_390010!A:H,8,FALSE))</f>
        <v>176715</v>
      </c>
      <c r="P172" s="46">
        <f t="shared" ca="1" si="8"/>
        <v>4.8924418604651167E-3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input_390010!A$2</f>
        <v>390010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IFERROR(VLOOKUP(B173,input_390010!L:R,7,FALSE),VLOOKUP(tables_390010!C173,input_390010!A:H,8,FALSE))</f>
        <v>19635</v>
      </c>
      <c r="P173" s="46">
        <f t="shared" ca="1" si="8"/>
        <v>5.4360465116279073E-4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input_390010!A$2</f>
        <v>390010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IFERROR(VLOOKUP(B174,input_390010!L:R,7,FALSE),VLOOKUP(tables_390010!C174,input_390010!A:H,8,FALSE))</f>
        <v>23693</v>
      </c>
      <c r="P174" s="46">
        <f t="shared" ca="1" si="8"/>
        <v>6.5595238095238098E-4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input_390010!A$2</f>
        <v>390010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IFERROR(VLOOKUP(B175,input_390010!L:R,7,FALSE),VLOOKUP(tables_390010!C175,input_390010!A:H,8,FALSE))</f>
        <v>1247</v>
      </c>
      <c r="P175" s="46">
        <f t="shared" ca="1" si="8"/>
        <v>3.4523809523809526E-5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input_390010!A$2</f>
        <v>390010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IFERROR(VLOOKUP(B176,input_390010!L:R,7,FALSE),VLOOKUP(tables_390010!C176,input_390010!A:H,8,FALSE))</f>
        <v>23693</v>
      </c>
      <c r="P176" s="46">
        <f t="shared" ca="1" si="8"/>
        <v>6.5595238095238098E-4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input_390010!A$2</f>
        <v>390010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IFERROR(VLOOKUP(B177,input_390010!L:R,7,FALSE),VLOOKUP(tables_390010!C177,input_390010!A:H,8,FALSE))</f>
        <v>1247</v>
      </c>
      <c r="P177" s="46">
        <f t="shared" ca="1" si="8"/>
        <v>3.4523809523809526E-5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input_390010!A$2</f>
        <v>390010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IFERROR(VLOOKUP(B178,input_390010!L:R,7,FALSE),VLOOKUP(tables_390010!C178,input_390010!A:H,8,FALSE))</f>
        <v>196350</v>
      </c>
      <c r="P178" s="46">
        <f t="shared" ca="1" si="8"/>
        <v>5.4360465116279066E-3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input_390010!A$2</f>
        <v>390010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IFERROR(VLOOKUP(B179,input_390010!L:R,7,FALSE),VLOOKUP(tables_390010!C179,input_390010!A:H,8,FALSE))</f>
        <v>176715</v>
      </c>
      <c r="P179" s="46">
        <f t="shared" ca="1" si="8"/>
        <v>4.8924418604651167E-3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input_390010!A$2</f>
        <v>390010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IFERROR(VLOOKUP(B180,input_390010!L:R,7,FALSE),VLOOKUP(tables_390010!C180,input_390010!A:H,8,FALSE))</f>
        <v>19635</v>
      </c>
      <c r="P180" s="46">
        <f t="shared" ca="1" si="8"/>
        <v>5.4360465116279073E-4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input_390010!A$2</f>
        <v>390010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IFERROR(VLOOKUP(B181,input_390010!L:R,7,FALSE),VLOOKUP(tables_390010!C181,input_390010!A:H,8,FALSE))</f>
        <v>196350</v>
      </c>
      <c r="P181" s="46">
        <f t="shared" ca="1" si="8"/>
        <v>5.4360465116279066E-3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input_390010!A$2</f>
        <v>390010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IFERROR(VLOOKUP(B182,input_390010!L:R,7,FALSE),VLOOKUP(tables_390010!C182,input_390010!A:H,8,FALSE))</f>
        <v>176715</v>
      </c>
      <c r="P182" s="46">
        <f t="shared" ca="1" si="8"/>
        <v>4.8924418604651167E-3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input_390010!A$2</f>
        <v>390010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IFERROR(VLOOKUP(B183,input_390010!L:R,7,FALSE),VLOOKUP(tables_390010!C183,input_390010!A:H,8,FALSE))</f>
        <v>19635</v>
      </c>
      <c r="P183" s="46">
        <f t="shared" ca="1" si="8"/>
        <v>5.4360465116279073E-4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input_390010!A$2</f>
        <v>390010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IFERROR(VLOOKUP(B184,input_390010!L:R,7,FALSE),VLOOKUP(tables_390010!C184,input_390010!A:H,8,FALSE))</f>
        <v>23693</v>
      </c>
      <c r="P184" s="46">
        <f t="shared" ca="1" si="8"/>
        <v>6.5595238095238098E-4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input_390010!A$2</f>
        <v>390010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IFERROR(VLOOKUP(B185,input_390010!L:R,7,FALSE),VLOOKUP(tables_390010!C185,input_390010!A:H,8,FALSE))</f>
        <v>1247</v>
      </c>
      <c r="P185" s="46">
        <f t="shared" ca="1" si="8"/>
        <v>3.4523809523809526E-5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input_390010!A$2</f>
        <v>390010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IFERROR(VLOOKUP(B186,input_390010!L:R,7,FALSE),VLOOKUP(tables_390010!C186,input_390010!A:H,8,FALSE))</f>
        <v>196350</v>
      </c>
      <c r="P186" s="46">
        <f t="shared" ca="1" si="8"/>
        <v>5.4360465116279066E-3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input_390010!A$2</f>
        <v>390010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IFERROR(VLOOKUP(B187,input_390010!L:R,7,FALSE),VLOOKUP(tables_390010!C187,input_390010!A:H,8,FALSE))</f>
        <v>176715</v>
      </c>
      <c r="P187" s="46">
        <f t="shared" ca="1" si="8"/>
        <v>4.8924418604651167E-3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input_390010!A$2</f>
        <v>390010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IFERROR(VLOOKUP(B188,input_390010!L:R,7,FALSE),VLOOKUP(tables_390010!C188,input_390010!A:H,8,FALSE))</f>
        <v>19635</v>
      </c>
      <c r="P188" s="46">
        <f t="shared" ca="1" si="8"/>
        <v>5.4360465116279073E-4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input_390010!A$2</f>
        <v>390010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IFERROR(VLOOKUP(B189,input_390010!L:R,7,FALSE),VLOOKUP(tables_390010!C189,input_390010!A:H,8,FALSE))</f>
        <v>23693</v>
      </c>
      <c r="P189" s="46">
        <f t="shared" ca="1" si="8"/>
        <v>6.5595238095238098E-4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input_390010!A$2</f>
        <v>390010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IFERROR(VLOOKUP(B190,input_390010!L:R,7,FALSE),VLOOKUP(tables_390010!C190,input_390010!A:H,8,FALSE))</f>
        <v>1247</v>
      </c>
      <c r="P190" s="46">
        <f t="shared" ca="1" si="8"/>
        <v>3.4523809523809526E-5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input_390010!A$2</f>
        <v>390010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IFERROR(VLOOKUP(B191,input_390010!L:R,7,FALSE),VLOOKUP(tables_390010!C191,input_390010!A:H,8,FALSE))</f>
        <v>23693</v>
      </c>
      <c r="P191" s="46">
        <f t="shared" ca="1" si="8"/>
        <v>6.5595238095238098E-4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input_390010!A$2</f>
        <v>390010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IFERROR(VLOOKUP(B192,input_390010!L:R,7,FALSE),VLOOKUP(tables_390010!C192,input_390010!A:H,8,FALSE))</f>
        <v>1247</v>
      </c>
      <c r="P192" s="46">
        <f t="shared" ca="1" si="8"/>
        <v>3.4523809523809526E-5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input_390010!A$2</f>
        <v>390010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IFERROR(VLOOKUP(B193,input_390010!L:R,7,FALSE),VLOOKUP(tables_390010!C193,input_390010!A:H,8,FALSE))</f>
        <v>196350</v>
      </c>
      <c r="P193" s="46">
        <f t="shared" ca="1" si="8"/>
        <v>5.4360465116279066E-3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input_390010!A$2</f>
        <v>390010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IFERROR(VLOOKUP(B194,input_390010!L:R,7,FALSE),VLOOKUP(tables_390010!C194,input_390010!A:H,8,FALSE))</f>
        <v>176715</v>
      </c>
      <c r="P194" s="46">
        <f t="shared" ref="P194:P257" ca="1" si="11">O194/SUM(O:O)</f>
        <v>4.8924418604651167E-3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input_390010!A$2</f>
        <v>390010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IFERROR(VLOOKUP(B195,input_390010!L:R,7,FALSE),VLOOKUP(tables_390010!C195,input_390010!A:H,8,FALSE))</f>
        <v>19635</v>
      </c>
      <c r="P195" s="46">
        <f t="shared" ca="1" si="11"/>
        <v>5.4360465116279073E-4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input_390010!A$2</f>
        <v>390010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IFERROR(VLOOKUP(B196,input_390010!L:R,7,FALSE),VLOOKUP(tables_390010!C196,input_390010!A:H,8,FALSE))</f>
        <v>23693</v>
      </c>
      <c r="P196" s="46">
        <f t="shared" ca="1" si="11"/>
        <v>6.5595238095238098E-4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input_390010!A$2</f>
        <v>390010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IFERROR(VLOOKUP(B197,input_390010!L:R,7,FALSE),VLOOKUP(tables_390010!C197,input_390010!A:H,8,FALSE))</f>
        <v>1247</v>
      </c>
      <c r="P197" s="46">
        <f t="shared" ca="1" si="11"/>
        <v>3.4523809523809526E-5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input_390010!A$2</f>
        <v>390010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IFERROR(VLOOKUP(B198,input_390010!L:R,7,FALSE),VLOOKUP(tables_390010!C198,input_390010!A:H,8,FALSE))</f>
        <v>196350</v>
      </c>
      <c r="P198" s="46">
        <f t="shared" ca="1" si="11"/>
        <v>5.4360465116279066E-3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input_390010!A$2</f>
        <v>390010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IFERROR(VLOOKUP(B199,input_390010!L:R,7,FALSE),VLOOKUP(tables_390010!C199,input_390010!A:H,8,FALSE))</f>
        <v>176715</v>
      </c>
      <c r="P199" s="46">
        <f t="shared" ca="1" si="11"/>
        <v>4.8924418604651167E-3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input_390010!A$2</f>
        <v>390010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IFERROR(VLOOKUP(B200,input_390010!L:R,7,FALSE),VLOOKUP(tables_390010!C200,input_390010!A:H,8,FALSE))</f>
        <v>19635</v>
      </c>
      <c r="P200" s="46">
        <f t="shared" ca="1" si="11"/>
        <v>5.4360465116279073E-4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input_390010!A$2</f>
        <v>390010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IFERROR(VLOOKUP(B201,input_390010!L:R,7,FALSE),VLOOKUP(tables_390010!C201,input_390010!A:H,8,FALSE))</f>
        <v>23693</v>
      </c>
      <c r="P201" s="46">
        <f t="shared" ca="1" si="11"/>
        <v>6.5595238095238098E-4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input_390010!A$2</f>
        <v>390010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IFERROR(VLOOKUP(B202,input_390010!L:R,7,FALSE),VLOOKUP(tables_390010!C202,input_390010!A:H,8,FALSE))</f>
        <v>1247</v>
      </c>
      <c r="P202" s="46">
        <f t="shared" ca="1" si="11"/>
        <v>3.4523809523809526E-5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input_390010!A$2</f>
        <v>390010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IFERROR(VLOOKUP(B203,input_390010!L:R,7,FALSE),VLOOKUP(tables_390010!C203,input_390010!A:H,8,FALSE))</f>
        <v>196350</v>
      </c>
      <c r="P203" s="46">
        <f t="shared" ca="1" si="11"/>
        <v>5.4360465116279066E-3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input_390010!A$2</f>
        <v>390010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IFERROR(VLOOKUP(B204,input_390010!L:R,7,FALSE),VLOOKUP(tables_390010!C204,input_390010!A:H,8,FALSE))</f>
        <v>176715</v>
      </c>
      <c r="P204" s="46">
        <f t="shared" ca="1" si="11"/>
        <v>4.8924418604651167E-3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input_390010!A$2</f>
        <v>390010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IFERROR(VLOOKUP(B205,input_390010!L:R,7,FALSE),VLOOKUP(tables_390010!C205,input_390010!A:H,8,FALSE))</f>
        <v>19635</v>
      </c>
      <c r="P205" s="46">
        <f t="shared" ca="1" si="11"/>
        <v>5.4360465116279073E-4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input_390010!A$2</f>
        <v>390010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IFERROR(VLOOKUP(B206,input_390010!L:R,7,FALSE),VLOOKUP(tables_390010!C206,input_390010!A:H,8,FALSE))</f>
        <v>23693</v>
      </c>
      <c r="P206" s="46">
        <f t="shared" ca="1" si="11"/>
        <v>6.5595238095238098E-4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input_390010!A$2</f>
        <v>390010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IFERROR(VLOOKUP(B207,input_390010!L:R,7,FALSE),VLOOKUP(tables_390010!C207,input_390010!A:H,8,FALSE))</f>
        <v>1247</v>
      </c>
      <c r="P207" s="46">
        <f t="shared" ca="1" si="11"/>
        <v>3.4523809523809526E-5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input_390010!A$2</f>
        <v>390010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IFERROR(VLOOKUP(B208,input_390010!L:R,7,FALSE),VLOOKUP(tables_390010!C208,input_390010!A:H,8,FALSE))</f>
        <v>23693</v>
      </c>
      <c r="P208" s="46">
        <f t="shared" ca="1" si="11"/>
        <v>6.5595238095238098E-4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input_390010!A$2</f>
        <v>390010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IFERROR(VLOOKUP(B209,input_390010!L:R,7,FALSE),VLOOKUP(tables_390010!C209,input_390010!A:H,8,FALSE))</f>
        <v>1247</v>
      </c>
      <c r="P209" s="46">
        <f t="shared" ca="1" si="11"/>
        <v>3.4523809523809526E-5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input_390010!A$2</f>
        <v>390010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IFERROR(VLOOKUP(B210,input_390010!L:R,7,FALSE),VLOOKUP(tables_390010!C210,input_390010!A:H,8,FALSE))</f>
        <v>196350</v>
      </c>
      <c r="P210" s="46">
        <f t="shared" ca="1" si="11"/>
        <v>5.4360465116279066E-3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input_390010!A$2</f>
        <v>390010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IFERROR(VLOOKUP(B211,input_390010!L:R,7,FALSE),VLOOKUP(tables_390010!C211,input_390010!A:H,8,FALSE))</f>
        <v>176715</v>
      </c>
      <c r="P211" s="46">
        <f t="shared" ca="1" si="11"/>
        <v>4.8924418604651167E-3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input_390010!A$2</f>
        <v>390010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IFERROR(VLOOKUP(B212,input_390010!L:R,7,FALSE),VLOOKUP(tables_390010!C212,input_390010!A:H,8,FALSE))</f>
        <v>19635</v>
      </c>
      <c r="P212" s="46">
        <f t="shared" ca="1" si="11"/>
        <v>5.4360465116279073E-4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input_390010!A$2</f>
        <v>390010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IFERROR(VLOOKUP(B213,input_390010!L:R,7,FALSE),VLOOKUP(tables_390010!C213,input_390010!A:H,8,FALSE))</f>
        <v>23693</v>
      </c>
      <c r="P213" s="46">
        <f t="shared" ca="1" si="11"/>
        <v>6.5595238095238098E-4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input_390010!A$2</f>
        <v>390010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IFERROR(VLOOKUP(B214,input_390010!L:R,7,FALSE),VLOOKUP(tables_390010!C214,input_390010!A:H,8,FALSE))</f>
        <v>1247</v>
      </c>
      <c r="P214" s="46">
        <f t="shared" ca="1" si="11"/>
        <v>3.4523809523809526E-5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input_390010!A$2</f>
        <v>390010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IFERROR(VLOOKUP(B215,input_390010!L:R,7,FALSE),VLOOKUP(tables_390010!C215,input_390010!A:H,8,FALSE))</f>
        <v>23693</v>
      </c>
      <c r="P215" s="46">
        <f t="shared" ca="1" si="11"/>
        <v>6.5595238095238098E-4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input_390010!A$2</f>
        <v>390010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IFERROR(VLOOKUP(B216,input_390010!L:R,7,FALSE),VLOOKUP(tables_390010!C216,input_390010!A:H,8,FALSE))</f>
        <v>1247</v>
      </c>
      <c r="P216" s="46">
        <f t="shared" ca="1" si="11"/>
        <v>3.4523809523809526E-5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input_390010!A$2</f>
        <v>390010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IFERROR(VLOOKUP(B217,input_390010!L:R,7,FALSE),VLOOKUP(tables_390010!C217,input_390010!A:H,8,FALSE))</f>
        <v>196350</v>
      </c>
      <c r="P217" s="46">
        <f t="shared" ca="1" si="11"/>
        <v>5.4360465116279066E-3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input_390010!A$2</f>
        <v>390010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IFERROR(VLOOKUP(B218,input_390010!L:R,7,FALSE),VLOOKUP(tables_390010!C218,input_390010!A:H,8,FALSE))</f>
        <v>176715</v>
      </c>
      <c r="P218" s="46">
        <f t="shared" ca="1" si="11"/>
        <v>4.8924418604651167E-3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input_390010!A$2</f>
        <v>390010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IFERROR(VLOOKUP(B219,input_390010!L:R,7,FALSE),VLOOKUP(tables_390010!C219,input_390010!A:H,8,FALSE))</f>
        <v>19635</v>
      </c>
      <c r="P219" s="46">
        <f t="shared" ca="1" si="11"/>
        <v>5.4360465116279073E-4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input_390010!A$2</f>
        <v>390010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IFERROR(VLOOKUP(B220,input_390010!L:R,7,FALSE),VLOOKUP(tables_390010!C220,input_390010!A:H,8,FALSE))</f>
        <v>196350</v>
      </c>
      <c r="P220" s="46">
        <f t="shared" ca="1" si="11"/>
        <v>5.4360465116279066E-3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input_390010!A$2</f>
        <v>390010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IFERROR(VLOOKUP(B221,input_390010!L:R,7,FALSE),VLOOKUP(tables_390010!C221,input_390010!A:H,8,FALSE))</f>
        <v>176715</v>
      </c>
      <c r="P221" s="46">
        <f t="shared" ca="1" si="11"/>
        <v>4.8924418604651167E-3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input_390010!A$2</f>
        <v>390010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IFERROR(VLOOKUP(B222,input_390010!L:R,7,FALSE),VLOOKUP(tables_390010!C222,input_390010!A:H,8,FALSE))</f>
        <v>19635</v>
      </c>
      <c r="P222" s="46">
        <f t="shared" ca="1" si="11"/>
        <v>5.4360465116279073E-4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input_390010!A$2</f>
        <v>390010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IFERROR(VLOOKUP(B223,input_390010!L:R,7,FALSE),VLOOKUP(tables_390010!C223,input_390010!A:H,8,FALSE))</f>
        <v>23693</v>
      </c>
      <c r="P223" s="46">
        <f t="shared" ca="1" si="11"/>
        <v>6.5595238095238098E-4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input_390010!A$2</f>
        <v>390010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IFERROR(VLOOKUP(B224,input_390010!L:R,7,FALSE),VLOOKUP(tables_390010!C224,input_390010!A:H,8,FALSE))</f>
        <v>1247</v>
      </c>
      <c r="P224" s="46">
        <f t="shared" ca="1" si="11"/>
        <v>3.4523809523809526E-5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input_390010!A$2</f>
        <v>390010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IFERROR(VLOOKUP(B225,input_390010!L:R,7,FALSE),VLOOKUP(tables_390010!C225,input_390010!A:H,8,FALSE))</f>
        <v>196350</v>
      </c>
      <c r="P225" s="46">
        <f t="shared" ca="1" si="11"/>
        <v>5.4360465116279066E-3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input_390010!A$2</f>
        <v>390010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IFERROR(VLOOKUP(B226,input_390010!L:R,7,FALSE),VLOOKUP(tables_390010!C226,input_390010!A:H,8,FALSE))</f>
        <v>176715</v>
      </c>
      <c r="P226" s="46">
        <f t="shared" ca="1" si="11"/>
        <v>4.8924418604651167E-3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input_390010!A$2</f>
        <v>390010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IFERROR(VLOOKUP(B227,input_390010!L:R,7,FALSE),VLOOKUP(tables_390010!C227,input_390010!A:H,8,FALSE))</f>
        <v>19635</v>
      </c>
      <c r="P227" s="46">
        <f t="shared" ca="1" si="11"/>
        <v>5.4360465116279073E-4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input_390010!A$2</f>
        <v>390010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IFERROR(VLOOKUP(B228,input_390010!L:R,7,FALSE),VLOOKUP(tables_390010!C228,input_390010!A:H,8,FALSE))</f>
        <v>196350</v>
      </c>
      <c r="P228" s="46">
        <f t="shared" ca="1" si="11"/>
        <v>5.4360465116279066E-3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input_390010!A$2</f>
        <v>390010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IFERROR(VLOOKUP(B229,input_390010!L:R,7,FALSE),VLOOKUP(tables_390010!C229,input_390010!A:H,8,FALSE))</f>
        <v>176715</v>
      </c>
      <c r="P229" s="46">
        <f t="shared" ca="1" si="11"/>
        <v>4.8924418604651167E-3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input_390010!A$2</f>
        <v>390010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IFERROR(VLOOKUP(B230,input_390010!L:R,7,FALSE),VLOOKUP(tables_390010!C230,input_390010!A:H,8,FALSE))</f>
        <v>19635</v>
      </c>
      <c r="P230" s="46">
        <f t="shared" ca="1" si="11"/>
        <v>5.4360465116279073E-4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input_390010!A$2</f>
        <v>390010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IFERROR(VLOOKUP(B231,input_390010!L:R,7,FALSE),VLOOKUP(tables_390010!C231,input_390010!A:H,8,FALSE))</f>
        <v>23693</v>
      </c>
      <c r="P231" s="46">
        <f t="shared" ca="1" si="11"/>
        <v>6.5595238095238098E-4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input_390010!A$2</f>
        <v>390010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IFERROR(VLOOKUP(B232,input_390010!L:R,7,FALSE),VLOOKUP(tables_390010!C232,input_390010!A:H,8,FALSE))</f>
        <v>1247</v>
      </c>
      <c r="P232" s="46">
        <f t="shared" ca="1" si="11"/>
        <v>3.4523809523809526E-5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input_390010!A$2</f>
        <v>390010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IFERROR(VLOOKUP(B233,input_390010!L:R,7,FALSE),VLOOKUP(tables_390010!C233,input_390010!A:H,8,FALSE))</f>
        <v>196350</v>
      </c>
      <c r="P233" s="46">
        <f t="shared" ca="1" si="11"/>
        <v>5.4360465116279066E-3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input_390010!A$2</f>
        <v>390010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IFERROR(VLOOKUP(B234,input_390010!L:R,7,FALSE),VLOOKUP(tables_390010!C234,input_390010!A:H,8,FALSE))</f>
        <v>176715</v>
      </c>
      <c r="P234" s="46">
        <f t="shared" ca="1" si="11"/>
        <v>4.8924418604651167E-3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input_390010!A$2</f>
        <v>390010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IFERROR(VLOOKUP(B235,input_390010!L:R,7,FALSE),VLOOKUP(tables_390010!C235,input_390010!A:H,8,FALSE))</f>
        <v>19635</v>
      </c>
      <c r="P235" s="46">
        <f t="shared" ca="1" si="11"/>
        <v>5.4360465116279073E-4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input_390010!A$2</f>
        <v>390010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IFERROR(VLOOKUP(B236,input_390010!L:R,7,FALSE),VLOOKUP(tables_390010!C236,input_390010!A:H,8,FALSE))</f>
        <v>23693</v>
      </c>
      <c r="P236" s="46">
        <f t="shared" ca="1" si="11"/>
        <v>6.5595238095238098E-4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input_390010!A$2</f>
        <v>390010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IFERROR(VLOOKUP(B237,input_390010!L:R,7,FALSE),VLOOKUP(tables_390010!C237,input_390010!A:H,8,FALSE))</f>
        <v>1247</v>
      </c>
      <c r="P237" s="46">
        <f t="shared" ca="1" si="11"/>
        <v>3.4523809523809526E-5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input_390010!A$2</f>
        <v>390010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IFERROR(VLOOKUP(B238,input_390010!L:R,7,FALSE),VLOOKUP(tables_390010!C238,input_390010!A:H,8,FALSE))</f>
        <v>23693</v>
      </c>
      <c r="P238" s="46">
        <f t="shared" ca="1" si="11"/>
        <v>6.5595238095238098E-4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input_390010!A$2</f>
        <v>390010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IFERROR(VLOOKUP(B239,input_390010!L:R,7,FALSE),VLOOKUP(tables_390010!C239,input_390010!A:H,8,FALSE))</f>
        <v>1247</v>
      </c>
      <c r="P239" s="46">
        <f t="shared" ca="1" si="11"/>
        <v>3.4523809523809526E-5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input_390010!A$2</f>
        <v>390010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IFERROR(VLOOKUP(B240,input_390010!L:R,7,FALSE),VLOOKUP(tables_390010!C240,input_390010!A:H,8,FALSE))</f>
        <v>196350</v>
      </c>
      <c r="P240" s="46">
        <f t="shared" ca="1" si="11"/>
        <v>5.4360465116279066E-3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input_390010!A$2</f>
        <v>390010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IFERROR(VLOOKUP(B241,input_390010!L:R,7,FALSE),VLOOKUP(tables_390010!C241,input_390010!A:H,8,FALSE))</f>
        <v>176715</v>
      </c>
      <c r="P241" s="46">
        <f t="shared" ca="1" si="11"/>
        <v>4.8924418604651167E-3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input_390010!A$2</f>
        <v>390010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IFERROR(VLOOKUP(B242,input_390010!L:R,7,FALSE),VLOOKUP(tables_390010!C242,input_390010!A:H,8,FALSE))</f>
        <v>19635</v>
      </c>
      <c r="P242" s="46">
        <f t="shared" ca="1" si="11"/>
        <v>5.4360465116279073E-4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input_390010!A$2</f>
        <v>390010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IFERROR(VLOOKUP(B243,input_390010!L:R,7,FALSE),VLOOKUP(tables_390010!C243,input_390010!A:H,8,FALSE))</f>
        <v>196350</v>
      </c>
      <c r="P243" s="46">
        <f t="shared" ca="1" si="11"/>
        <v>5.4360465116279066E-3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input_390010!A$2</f>
        <v>390010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IFERROR(VLOOKUP(B244,input_390010!L:R,7,FALSE),VLOOKUP(tables_390010!C244,input_390010!A:H,8,FALSE))</f>
        <v>176715</v>
      </c>
      <c r="P244" s="46">
        <f t="shared" ca="1" si="11"/>
        <v>4.8924418604651167E-3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input_390010!A$2</f>
        <v>390010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IFERROR(VLOOKUP(B245,input_390010!L:R,7,FALSE),VLOOKUP(tables_390010!C245,input_390010!A:H,8,FALSE))</f>
        <v>19635</v>
      </c>
      <c r="P245" s="46">
        <f t="shared" ca="1" si="11"/>
        <v>5.4360465116279073E-4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input_390010!A$2</f>
        <v>390010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IFERROR(VLOOKUP(B246,input_390010!L:R,7,FALSE),VLOOKUP(tables_390010!C246,input_390010!A:H,8,FALSE))</f>
        <v>196350</v>
      </c>
      <c r="P246" s="46">
        <f t="shared" ca="1" si="11"/>
        <v>5.4360465116279066E-3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input_390010!A$2</f>
        <v>390010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IFERROR(VLOOKUP(B247,input_390010!L:R,7,FALSE),VLOOKUP(tables_390010!C247,input_390010!A:H,8,FALSE))</f>
        <v>176715</v>
      </c>
      <c r="P247" s="46">
        <f t="shared" ca="1" si="11"/>
        <v>4.8924418604651167E-3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input_390010!A$2</f>
        <v>390010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IFERROR(VLOOKUP(B248,input_390010!L:R,7,FALSE),VLOOKUP(tables_390010!C248,input_390010!A:H,8,FALSE))</f>
        <v>19635</v>
      </c>
      <c r="P248" s="46">
        <f t="shared" ca="1" si="11"/>
        <v>5.4360465116279073E-4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input_390010!A$2</f>
        <v>390010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IFERROR(VLOOKUP(B249,input_390010!L:R,7,FALSE),VLOOKUP(tables_390010!C249,input_390010!A:H,8,FALSE))</f>
        <v>196350</v>
      </c>
      <c r="P249" s="46">
        <f t="shared" ca="1" si="11"/>
        <v>5.4360465116279066E-3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input_390010!A$2</f>
        <v>390010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IFERROR(VLOOKUP(B250,input_390010!L:R,7,FALSE),VLOOKUP(tables_390010!C250,input_390010!A:H,8,FALSE))</f>
        <v>176715</v>
      </c>
      <c r="P250" s="46">
        <f t="shared" ca="1" si="11"/>
        <v>4.8924418604651167E-3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input_390010!A$2</f>
        <v>390010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IFERROR(VLOOKUP(B251,input_390010!L:R,7,FALSE),VLOOKUP(tables_390010!C251,input_390010!A:H,8,FALSE))</f>
        <v>19635</v>
      </c>
      <c r="P251" s="46">
        <f t="shared" ca="1" si="11"/>
        <v>5.4360465116279073E-4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input_390010!A$2</f>
        <v>390010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IFERROR(VLOOKUP(B252,input_390010!L:R,7,FALSE),VLOOKUP(tables_390010!C252,input_390010!A:H,8,FALSE))</f>
        <v>23693</v>
      </c>
      <c r="P252" s="46">
        <f t="shared" ca="1" si="11"/>
        <v>6.5595238095238098E-4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input_390010!A$2</f>
        <v>390010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IFERROR(VLOOKUP(B253,input_390010!L:R,7,FALSE),VLOOKUP(tables_390010!C253,input_390010!A:H,8,FALSE))</f>
        <v>1247</v>
      </c>
      <c r="P253" s="46">
        <f t="shared" ca="1" si="11"/>
        <v>3.4523809523809526E-5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input_390010!A$2</f>
        <v>390010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IFERROR(VLOOKUP(B254,input_390010!L:R,7,FALSE),VLOOKUP(tables_390010!C254,input_390010!A:H,8,FALSE))</f>
        <v>23693</v>
      </c>
      <c r="P254" s="46">
        <f t="shared" ca="1" si="11"/>
        <v>6.5595238095238098E-4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input_390010!A$2</f>
        <v>390010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IFERROR(VLOOKUP(B255,input_390010!L:R,7,FALSE),VLOOKUP(tables_390010!C255,input_390010!A:H,8,FALSE))</f>
        <v>1247</v>
      </c>
      <c r="P255" s="46">
        <f t="shared" ca="1" si="11"/>
        <v>3.4523809523809526E-5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input_390010!A$2</f>
        <v>390010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IFERROR(VLOOKUP(B256,input_390010!L:R,7,FALSE),VLOOKUP(tables_390010!C256,input_390010!A:H,8,FALSE))</f>
        <v>360463.6</v>
      </c>
      <c r="P256" s="46">
        <f t="shared" ca="1" si="11"/>
        <v>9.9796124031007738E-3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input_390010!A$2</f>
        <v>390010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IFERROR(VLOOKUP(B257,input_390010!L:R,7,FALSE),VLOOKUP(tables_390010!C257,input_390010!A:H,8,FALSE))</f>
        <v>32236.400000000001</v>
      </c>
      <c r="P257" s="46">
        <f t="shared" ca="1" si="11"/>
        <v>8.9248062015503883E-4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input_390010!A$2</f>
        <v>390010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IFERROR(VLOOKUP(B258,input_390010!L:R,7,FALSE),VLOOKUP(tables_390010!C258,input_390010!A:H,8,FALSE))</f>
        <v>360463.6</v>
      </c>
      <c r="P258" s="46">
        <f t="shared" ref="P258:P294" ca="1" si="14">O258/SUM(O:O)</f>
        <v>9.9796124031007738E-3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input_390010!A$2</f>
        <v>390010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IFERROR(VLOOKUP(B259,input_390010!L:R,7,FALSE),VLOOKUP(tables_390010!C259,input_390010!A:H,8,FALSE))</f>
        <v>32236.400000000001</v>
      </c>
      <c r="P259" s="46">
        <f t="shared" ca="1" si="14"/>
        <v>8.9248062015503883E-4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input_390010!A$2</f>
        <v>390010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IFERROR(VLOOKUP(B260,input_390010!L:R,7,FALSE),VLOOKUP(tables_390010!C260,input_390010!A:H,8,FALSE))</f>
        <v>24940</v>
      </c>
      <c r="P260" s="46">
        <f t="shared" ca="1" si="14"/>
        <v>6.9047619047619046E-4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input_390010!A$2</f>
        <v>390010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IFERROR(VLOOKUP(B261,input_390010!L:R,7,FALSE),VLOOKUP(tables_390010!C261,input_390010!A:H,8,FALSE))</f>
        <v>24940</v>
      </c>
      <c r="P261" s="46">
        <f t="shared" ca="1" si="14"/>
        <v>6.9047619047619046E-4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input_390010!A$2</f>
        <v>390010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IFERROR(VLOOKUP(B262,input_390010!L:R,7,FALSE),VLOOKUP(tables_390010!C262,input_390010!A:H,8,FALSE))</f>
        <v>23693</v>
      </c>
      <c r="P262" s="46">
        <f t="shared" ca="1" si="14"/>
        <v>6.5595238095238098E-4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input_390010!A$2</f>
        <v>390010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IFERROR(VLOOKUP(B263,input_390010!L:R,7,FALSE),VLOOKUP(tables_390010!C263,input_390010!A:H,8,FALSE))</f>
        <v>1247</v>
      </c>
      <c r="P263" s="46">
        <f t="shared" ca="1" si="14"/>
        <v>3.4523809523809526E-5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input_390010!A$2</f>
        <v>390010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IFERROR(VLOOKUP(B264,input_390010!L:R,7,FALSE),VLOOKUP(tables_390010!C264,input_390010!A:H,8,FALSE))</f>
        <v>23693</v>
      </c>
      <c r="P264" s="46">
        <f t="shared" ca="1" si="14"/>
        <v>6.5595238095238098E-4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input_390010!A$2</f>
        <v>390010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IFERROR(VLOOKUP(B265,input_390010!L:R,7,FALSE),VLOOKUP(tables_390010!C265,input_390010!A:H,8,FALSE))</f>
        <v>1247</v>
      </c>
      <c r="P265" s="46">
        <f t="shared" ca="1" si="14"/>
        <v>3.4523809523809526E-5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input_390010!A$2</f>
        <v>390010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IFERROR(VLOOKUP(B266,input_390010!L:R,7,FALSE),VLOOKUP(tables_390010!C266,input_390010!A:H,8,FALSE))</f>
        <v>196350</v>
      </c>
      <c r="P266" s="46">
        <f t="shared" ca="1" si="14"/>
        <v>5.4360465116279066E-3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input_390010!A$2</f>
        <v>390010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IFERROR(VLOOKUP(B267,input_390010!L:R,7,FALSE),VLOOKUP(tables_390010!C267,input_390010!A:H,8,FALSE))</f>
        <v>176715</v>
      </c>
      <c r="P267" s="46">
        <f t="shared" ca="1" si="14"/>
        <v>4.8924418604651167E-3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input_390010!A$2</f>
        <v>390010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IFERROR(VLOOKUP(B268,input_390010!L:R,7,FALSE),VLOOKUP(tables_390010!C268,input_390010!A:H,8,FALSE))</f>
        <v>19635</v>
      </c>
      <c r="P268" s="46">
        <f t="shared" ca="1" si="14"/>
        <v>5.4360465116279073E-4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input_390010!A$2</f>
        <v>390010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IFERROR(VLOOKUP(B269,input_390010!L:R,7,FALSE),VLOOKUP(tables_390010!C269,input_390010!A:H,8,FALSE))</f>
        <v>196350</v>
      </c>
      <c r="P269" s="46">
        <f t="shared" ca="1" si="14"/>
        <v>5.4360465116279066E-3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input_390010!A$2</f>
        <v>390010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IFERROR(VLOOKUP(B270,input_390010!L:R,7,FALSE),VLOOKUP(tables_390010!C270,input_390010!A:H,8,FALSE))</f>
        <v>176715</v>
      </c>
      <c r="P270" s="46">
        <f t="shared" ca="1" si="14"/>
        <v>4.8924418604651167E-3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input_390010!A$2</f>
        <v>390010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IFERROR(VLOOKUP(B271,input_390010!L:R,7,FALSE),VLOOKUP(tables_390010!C271,input_390010!A:H,8,FALSE))</f>
        <v>19635</v>
      </c>
      <c r="P271" s="46">
        <f t="shared" ca="1" si="14"/>
        <v>5.4360465116279073E-4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input_390010!A$2</f>
        <v>390010</v>
      </c>
      <c r="B272" s="82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IFERROR(VLOOKUP(B272,input_390010!L:R,7,FALSE),VLOOKUP(tables_390010!C272,input_390010!A:H,8,FALSE))</f>
        <v>24940</v>
      </c>
      <c r="P272" s="46">
        <f t="shared" ca="1" si="14"/>
        <v>6.9047619047619046E-4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input_390010!A$2</f>
        <v>390010</v>
      </c>
      <c r="B273" s="82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IFERROR(VLOOKUP(B273,input_390010!L:R,7,FALSE),VLOOKUP(tables_390010!C273,input_390010!A:H,8,FALSE))</f>
        <v>24940</v>
      </c>
      <c r="P273" s="46">
        <f t="shared" ca="1" si="14"/>
        <v>6.9047619047619046E-4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input_390010!A$2</f>
        <v>390010</v>
      </c>
      <c r="B274" s="82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IFERROR(VLOOKUP(B274,input_390010!L:R,7,FALSE),VLOOKUP(tables_390010!C274,input_390010!A:H,8,FALSE))</f>
        <v>360463.6</v>
      </c>
      <c r="P274" s="46">
        <f t="shared" ca="1" si="14"/>
        <v>9.9796124031007738E-3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input_390010!A$2</f>
        <v>390010</v>
      </c>
      <c r="B275" s="82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IFERROR(VLOOKUP(B275,input_390010!L:R,7,FALSE),VLOOKUP(tables_390010!C275,input_390010!A:H,8,FALSE))</f>
        <v>32236.400000000001</v>
      </c>
      <c r="P275" s="46">
        <f t="shared" ca="1" si="14"/>
        <v>8.9248062015503883E-4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input_390010!A$2</f>
        <v>390010</v>
      </c>
      <c r="B276" s="82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IFERROR(VLOOKUP(B276,input_390010!L:R,7,FALSE),VLOOKUP(tables_390010!C276,input_390010!A:H,8,FALSE))</f>
        <v>360463.6</v>
      </c>
      <c r="P276" s="46">
        <f t="shared" ca="1" si="14"/>
        <v>9.9796124031007738E-3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input_390010!A$2</f>
        <v>390010</v>
      </c>
      <c r="B277" s="82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IFERROR(VLOOKUP(B277,input_390010!L:R,7,FALSE),VLOOKUP(tables_390010!C277,input_390010!A:H,8,FALSE))</f>
        <v>32236.400000000001</v>
      </c>
      <c r="P277" s="46">
        <f t="shared" ca="1" si="14"/>
        <v>8.9248062015503883E-4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input_390010!A$2</f>
        <v>390010</v>
      </c>
      <c r="B278" s="82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IFERROR(VLOOKUP(B278,input_390010!L:R,7,FALSE),VLOOKUP(tables_390010!C278,input_390010!A:H,8,FALSE))</f>
        <v>360463.6</v>
      </c>
      <c r="P278" s="46">
        <f t="shared" ca="1" si="14"/>
        <v>9.9796124031007738E-3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input_390010!A$2</f>
        <v>390010</v>
      </c>
      <c r="B279" s="82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IFERROR(VLOOKUP(B279,input_390010!L:R,7,FALSE),VLOOKUP(tables_390010!C279,input_390010!A:H,8,FALSE))</f>
        <v>32236.400000000001</v>
      </c>
      <c r="P279" s="46">
        <f t="shared" ca="1" si="14"/>
        <v>8.9248062015503883E-4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input_390010!A$2</f>
        <v>390010</v>
      </c>
      <c r="B280" s="82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IFERROR(VLOOKUP(B280,input_390010!L:R,7,FALSE),VLOOKUP(tables_390010!C280,input_390010!A:H,8,FALSE))</f>
        <v>360463.6</v>
      </c>
      <c r="P280" s="46">
        <f t="shared" ca="1" si="14"/>
        <v>9.9796124031007738E-3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input_390010!A$2</f>
        <v>390010</v>
      </c>
      <c r="B281" s="82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IFERROR(VLOOKUP(B281,input_390010!L:R,7,FALSE),VLOOKUP(tables_390010!C281,input_390010!A:H,8,FALSE))</f>
        <v>32236.400000000001</v>
      </c>
      <c r="P281" s="46">
        <f t="shared" ca="1" si="14"/>
        <v>8.9248062015503883E-4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input_390010!A$2</f>
        <v>390010</v>
      </c>
      <c r="B282" s="82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IFERROR(VLOOKUP(B282,input_390010!L:R,7,FALSE),VLOOKUP(tables_390010!C282,input_390010!A:H,8,FALSE))</f>
        <v>24940</v>
      </c>
      <c r="P282" s="46">
        <f t="shared" ca="1" si="14"/>
        <v>6.9047619047619046E-4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input_390010!A$2</f>
        <v>390010</v>
      </c>
      <c r="B283" s="82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IFERROR(VLOOKUP(B283,input_390010!L:R,7,FALSE),VLOOKUP(tables_390010!C283,input_390010!A:H,8,FALSE))</f>
        <v>24940</v>
      </c>
      <c r="P283" s="46">
        <f t="shared" ca="1" si="14"/>
        <v>6.9047619047619046E-4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input_390010!A$2</f>
        <v>390010</v>
      </c>
      <c r="B284" s="5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IFERROR(VLOOKUP(B284,input_390010!L:R,7,FALSE),VLOOKUP(tables_390010!C284,input_390010!A:H,8,FALSE))</f>
        <v>24940</v>
      </c>
      <c r="P284" s="46">
        <f t="shared" ca="1" si="14"/>
        <v>6.9047619047619046E-4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input_390010!A$2</f>
        <v>390010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ref="D285:D289" si="16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IFERROR(VLOOKUP(B285,input_390010!L:R,7,FALSE),VLOOKUP(tables_390010!C285,input_390010!A:H,8,FALSE))</f>
        <v>24940</v>
      </c>
      <c r="P285" s="46">
        <f t="shared" ca="1" si="14"/>
        <v>6.9047619047619046E-4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input_390010!A$2</f>
        <v>390010</v>
      </c>
      <c r="B286" s="5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IFERROR(VLOOKUP(B286,input_390010!L:R,7,FALSE),VLOOKUP(tables_390010!C286,input_390010!A:H,8,FALSE))</f>
        <v>360463.6</v>
      </c>
      <c r="P286" s="46">
        <f t="shared" ca="1" si="14"/>
        <v>9.9796124031007738E-3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input_390010!A$2</f>
        <v>390010</v>
      </c>
      <c r="B287" s="5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IFERROR(VLOOKUP(B287,input_390010!L:R,7,FALSE),VLOOKUP(tables_390010!C287,input_390010!A:H,8,FALSE))</f>
        <v>32236.400000000001</v>
      </c>
      <c r="P287" s="46">
        <f t="shared" ca="1" si="14"/>
        <v>8.9248062015503883E-4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input_390010!A$2</f>
        <v>390010</v>
      </c>
      <c r="B288" s="5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IFERROR(VLOOKUP(B288,input_390010!L:R,7,FALSE),VLOOKUP(tables_390010!C288,input_390010!A:H,8,FALSE))</f>
        <v>360463.6</v>
      </c>
      <c r="P288" s="46">
        <f t="shared" ca="1" si="14"/>
        <v>9.9796124031007738E-3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input_390010!A$2</f>
        <v>390010</v>
      </c>
      <c r="B289" s="5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IFERROR(VLOOKUP(B289,input_390010!L:R,7,FALSE),VLOOKUP(tables_390010!C289,input_390010!A:H,8,FALSE))</f>
        <v>32236.400000000001</v>
      </c>
      <c r="P289" s="46">
        <f t="shared" ca="1" si="14"/>
        <v>8.9248062015503883E-4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input_390010!A$2</f>
        <v>390010</v>
      </c>
      <c r="B290" s="5">
        <v>937</v>
      </c>
      <c r="C290" s="7" t="str">
        <f t="shared" ref="C290:C294" si="17">D290&amp;J290&amp;E290&amp;F290&amp;G290</f>
        <v>PremiumSS5R5only</v>
      </c>
      <c r="D290" s="7" t="str">
        <f t="shared" ref="D290:D294" si="18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IFERROR(VLOOKUP(B290,input_390010!L:R,7,FALSE),VLOOKUP(tables_390010!C290,input_390010!A:H,8,FALSE))</f>
        <v>24940</v>
      </c>
      <c r="P290" s="46">
        <f t="shared" ca="1" si="14"/>
        <v>6.9047619047619046E-4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input_390010!A$2</f>
        <v>390010</v>
      </c>
      <c r="B291" s="5">
        <v>939</v>
      </c>
      <c r="C291" s="7" t="str">
        <f t="shared" si="17"/>
        <v>Premium4R3less</v>
      </c>
      <c r="D291" s="7" t="str">
        <f t="shared" si="18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IFERROR(VLOOKUP(B291,input_390010!L:R,7,FALSE),VLOOKUP(tables_390010!C291,input_390010!A:H,8,FALSE))</f>
        <v>360463.6</v>
      </c>
      <c r="P291" s="46">
        <f t="shared" ca="1" si="14"/>
        <v>9.9796124031007738E-3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input_390010!A$2</f>
        <v>390010</v>
      </c>
      <c r="B292" s="5">
        <v>940</v>
      </c>
      <c r="C292" s="7" t="str">
        <f t="shared" si="17"/>
        <v>Premium5R3less</v>
      </c>
      <c r="D292" s="7" t="str">
        <f t="shared" si="18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IFERROR(VLOOKUP(B292,input_390010!L:R,7,FALSE),VLOOKUP(tables_390010!C292,input_390010!A:H,8,FALSE))</f>
        <v>32236.400000000001</v>
      </c>
      <c r="P292" s="46">
        <f t="shared" ca="1" si="14"/>
        <v>8.9248062015503883E-4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input_390010!A$2</f>
        <v>390010</v>
      </c>
      <c r="B293" s="5">
        <v>941</v>
      </c>
      <c r="C293" s="7" t="str">
        <f t="shared" si="17"/>
        <v>PremiumSS5R5only</v>
      </c>
      <c r="D293" s="7" t="str">
        <f t="shared" si="18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IFERROR(VLOOKUP(B293,input_390010!L:R,7,FALSE),VLOOKUP(tables_390010!C293,input_390010!A:H,8,FALSE))</f>
        <v>24940</v>
      </c>
      <c r="P293" s="46">
        <f t="shared" ca="1" si="14"/>
        <v>6.9047619047619046E-4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input_390010!A$2</f>
        <v>390010</v>
      </c>
      <c r="B294" s="5">
        <v>943</v>
      </c>
      <c r="C294" s="7" t="str">
        <f t="shared" si="17"/>
        <v>PremiumSS5R5only</v>
      </c>
      <c r="D294" s="7" t="str">
        <f t="shared" si="18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IFERROR(VLOOKUP(B294,input_390010!L:R,7,FALSE),VLOOKUP(tables_390010!C294,input_390010!A:H,8,FALSE))</f>
        <v>24940</v>
      </c>
      <c r="P294" s="46">
        <f t="shared" ca="1" si="14"/>
        <v>6.9047619047619046E-4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input_390010!A$2</f>
        <v>390010</v>
      </c>
      <c r="B295" s="5">
        <v>1012</v>
      </c>
      <c r="C295" s="7" t="str">
        <f t="shared" ref="C295:C299" si="19">D295&amp;J295&amp;E295&amp;F295&amp;G295</f>
        <v>PremiumSS5R5only</v>
      </c>
      <c r="D295" s="7" t="str">
        <f t="shared" ref="D295:D299" si="20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IFERROR(VLOOKUP(B295,input_390010!L:R,7,FALSE),VLOOKUP(tables_390010!C295,input_390010!A:H,8,FALSE))</f>
        <v>24940</v>
      </c>
      <c r="P295" s="46">
        <f t="shared" ref="P295:P299" ca="1" si="21">O295/SUM(O:O)</f>
        <v>6.9047619047619046E-4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input_390010!A$2</f>
        <v>390010</v>
      </c>
      <c r="B296" s="5">
        <v>1014</v>
      </c>
      <c r="C296" s="7" t="str">
        <f t="shared" si="19"/>
        <v>PremiumSS5R5only</v>
      </c>
      <c r="D296" s="7" t="str">
        <f t="shared" si="20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IFERROR(VLOOKUP(B296,input_390010!L:R,7,FALSE),VLOOKUP(tables_390010!C296,input_390010!A:H,8,FALSE))</f>
        <v>24940</v>
      </c>
      <c r="P296" s="46">
        <f t="shared" ca="1" si="21"/>
        <v>6.9047619047619046E-4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input_390010!A$2</f>
        <v>390010</v>
      </c>
      <c r="B297" s="5">
        <v>1016</v>
      </c>
      <c r="C297" s="7" t="str">
        <f t="shared" si="19"/>
        <v>Premium4R3less</v>
      </c>
      <c r="D297" s="7" t="str">
        <f t="shared" si="20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IFERROR(VLOOKUP(B297,input_390010!L:R,7,FALSE),VLOOKUP(tables_390010!C297,input_390010!A:H,8,FALSE))</f>
        <v>360463.6</v>
      </c>
      <c r="P297" s="46">
        <f t="shared" ca="1" si="21"/>
        <v>9.9796124031007738E-3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input_390010!A$2</f>
        <v>390010</v>
      </c>
      <c r="B298" s="5">
        <v>1017</v>
      </c>
      <c r="C298" s="7" t="str">
        <f t="shared" si="19"/>
        <v>Premium5R3less</v>
      </c>
      <c r="D298" s="7" t="str">
        <f t="shared" si="20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IFERROR(VLOOKUP(B298,input_390010!L:R,7,FALSE),VLOOKUP(tables_390010!C298,input_390010!A:H,8,FALSE))</f>
        <v>32236.400000000001</v>
      </c>
      <c r="P298" s="46">
        <f t="shared" ca="1" si="21"/>
        <v>8.9248062015503883E-4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input_390010!A$2</f>
        <v>390010</v>
      </c>
      <c r="B299" s="5">
        <v>1018</v>
      </c>
      <c r="C299" s="7" t="str">
        <f t="shared" si="19"/>
        <v>PremiumSS5R5only</v>
      </c>
      <c r="D299" s="7" t="str">
        <f t="shared" si="20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IFERROR(VLOOKUP(B299,input_390010!L:R,7,FALSE),VLOOKUP(tables_390010!C299,input_390010!A:H,8,FALSE))</f>
        <v>24940</v>
      </c>
      <c r="P299" s="46">
        <f t="shared" ca="1" si="21"/>
        <v>6.9047619047619046E-4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input_390010!A$2</f>
        <v>390010</v>
      </c>
      <c r="B300" s="5">
        <v>1026</v>
      </c>
      <c r="C300" s="7" t="str">
        <f t="shared" ref="C300:C304" si="22">D300&amp;J300&amp;E300&amp;F300&amp;G300</f>
        <v>Premium4R3less</v>
      </c>
      <c r="D300" s="7" t="str">
        <f t="shared" ref="D300:D304" si="23">IF(I300="PremiumSS",I300,IF(I300="PremiumSSS",I300,IF(I300="PremiumW",I300,"Premium")))</f>
        <v>Premium</v>
      </c>
      <c r="E300" s="7" t="str">
        <f>IF(COUNTIF('R6追加前'!A:A,B300)=0,IF(I300="PremiumSS","R5only","R3less"),"")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>IFERROR(VLOOKUP(B300,input_390010!L:R,7,FALSE),VLOOKUP(tables_390010!C300,input_390010!A:H,8,FALSE))</f>
        <v>514709.99999999994</v>
      </c>
      <c r="P300" s="46">
        <f t="shared" ref="P300:P304" ca="1" si="24">O300/SUM(O:O)</f>
        <v>1.4249999999999999E-2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input_390010!A$2</f>
        <v>390010</v>
      </c>
      <c r="B301" s="5">
        <v>1027</v>
      </c>
      <c r="C301" s="7" t="str">
        <f t="shared" si="22"/>
        <v>Premium5R3less</v>
      </c>
      <c r="D301" s="7" t="str">
        <f t="shared" si="23"/>
        <v>Premium</v>
      </c>
      <c r="E301" s="7" t="str">
        <f>IF(COUNTIF('R6追加前'!A:A,B301)=0,IF(I301="PremiumSS","R5only","R3less"),"")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>IFERROR(VLOOKUP(B301,input_390010!L:R,7,FALSE),VLOOKUP(tables_390010!C301,input_390010!A:H,8,FALSE))</f>
        <v>27090.000000000025</v>
      </c>
      <c r="P301" s="46">
        <f t="shared" ca="1" si="24"/>
        <v>7.5000000000000067E-4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input_390010!A$2</f>
        <v>390010</v>
      </c>
      <c r="B302" s="5">
        <v>1028</v>
      </c>
      <c r="C302" s="7" t="str">
        <f t="shared" si="22"/>
        <v>PremiumSS5R5only</v>
      </c>
      <c r="D302" s="7" t="str">
        <f t="shared" si="23"/>
        <v>PremiumSS</v>
      </c>
      <c r="E302" s="7" t="str">
        <f>IF(COUNTIF('R6追加前'!A:A,B302)=0,IF(I302="PremiumSS","R5only","R3less"),"")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>IFERROR(VLOOKUP(B302,input_390010!L:R,7,FALSE),VLOOKUP(tables_390010!C302,input_390010!A:H,8,FALSE))</f>
        <v>252840</v>
      </c>
      <c r="P302" s="46">
        <f t="shared" ca="1" si="24"/>
        <v>7.0000000000000001E-3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input_390010!A$2</f>
        <v>390010</v>
      </c>
      <c r="B303" s="5">
        <v>1031</v>
      </c>
      <c r="C303" s="7" t="str">
        <f t="shared" si="22"/>
        <v>PremiumSS5R5only</v>
      </c>
      <c r="D303" s="7" t="str">
        <f t="shared" si="23"/>
        <v>PremiumSS</v>
      </c>
      <c r="E303" s="7" t="str">
        <f>IF(COUNTIF('R6追加前'!A:A,B303)=0,IF(I303="PremiumSS","R5only","R3less"),"")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>IFERROR(VLOOKUP(B303,input_390010!L:R,7,FALSE),VLOOKUP(tables_390010!C303,input_390010!A:H,8,FALSE))</f>
        <v>252840</v>
      </c>
      <c r="P303" s="46">
        <f t="shared" ca="1" si="24"/>
        <v>7.0000000000000001E-3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input_390010!A$2</f>
        <v>390010</v>
      </c>
      <c r="B304" s="5">
        <v>1033</v>
      </c>
      <c r="C304" s="7" t="str">
        <f t="shared" si="22"/>
        <v>PremiumSS5R5only</v>
      </c>
      <c r="D304" s="7" t="str">
        <f t="shared" si="23"/>
        <v>PremiumSS</v>
      </c>
      <c r="E304" s="7" t="str">
        <f>IF(COUNTIF('R6追加前'!A:A,B304)=0,IF(I304="PremiumSS","R5only","R3less"),"")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>IFERROR(VLOOKUP(B304,input_390010!L:R,7,FALSE),VLOOKUP(tables_390010!C304,input_390010!A:H,8,FALSE))</f>
        <v>252840</v>
      </c>
      <c r="P304" s="46">
        <f t="shared" ca="1" si="24"/>
        <v>7.0000000000000001E-3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I5" sqref="I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390100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1026</v>
      </c>
      <c r="M3" s="37" t="str">
        <f>VLOOKUP(L3,[1]characters!$A:$C,3,FALSE)</f>
        <v>蝉丸</v>
      </c>
      <c r="N3" s="63">
        <f>0.015*SUM(B5,B6)</f>
        <v>1.4249999999999999E-2</v>
      </c>
      <c r="O3" s="37">
        <f>VLOOKUP(L3,[1]characters!$A:$I,9,FALSE)</f>
        <v>4</v>
      </c>
      <c r="P3" s="37" t="str">
        <f>VLOOKUP(L3,[1]characters!$A:$J,10,FALSE)</f>
        <v>PremiumS</v>
      </c>
      <c r="Q3" s="37" t="str">
        <f>VLOOKUP(L3,tables_390100!B:C,2,FALSE)</f>
        <v>Premium4R3less</v>
      </c>
      <c r="R3" s="62">
        <f t="shared" ref="R3:R20" si="1">N3*A$36</f>
        <v>514709.99999999994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1027</v>
      </c>
      <c r="M4" s="37" t="str">
        <f>VLOOKUP(L4,[1]characters!$A:$C,3,FALSE)</f>
        <v>弾丸多重奏 蝉丸</v>
      </c>
      <c r="N4" s="63">
        <f>0.015-N3</f>
        <v>7.5000000000000067E-4</v>
      </c>
      <c r="O4" s="37">
        <f>VLOOKUP(L4,[1]characters!$A:$I,9,FALSE)</f>
        <v>5</v>
      </c>
      <c r="P4" s="37" t="str">
        <f>VLOOKUP(L4,[1]characters!$A:$J,10,FALSE)</f>
        <v>PremiumS</v>
      </c>
      <c r="Q4" s="37" t="str">
        <f>VLOOKUP(L4,tables_390100!B:C,2,FALSE)</f>
        <v>Premium5R3less</v>
      </c>
      <c r="R4" s="62">
        <f t="shared" si="1"/>
        <v>27090.000000000025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6.9047619047619046E-4</v>
      </c>
      <c r="F5">
        <f>(COUNTIF(tables_390100!C:C,input_390100!A28)+COUNTIF(tables_390100!C:C,input_390100!A29))</f>
        <v>45</v>
      </c>
      <c r="H5" s="85">
        <v>2.1000000000000001E-2</v>
      </c>
      <c r="I5" s="31">
        <v>3</v>
      </c>
      <c r="L5" s="60">
        <v>1028</v>
      </c>
      <c r="M5" s="37" t="str">
        <f>VLOOKUP(L5,[1]characters!$A:$C,3,FALSE)</f>
        <v>牛若丸</v>
      </c>
      <c r="N5" s="63">
        <v>7.0000000000000001E-3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VLOOKUP(L5,tables_390100!B:C,2,FALSE)</f>
        <v>PremiumSS5R5only</v>
      </c>
      <c r="R5" s="62">
        <f t="shared" si="1"/>
        <v>252840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1.0872093023255813E-2</v>
      </c>
      <c r="F6">
        <f>(COUNTIF(tables_390100!C:C,input_390100!A25)+COUNTIF(tables_390100!C:C,input_390100!A18)+COUNTIF(tables_390100!C:C,input_390100!A20)+COUNTIF(tables_390100!C:C,input_390100!A22))</f>
        <v>87</v>
      </c>
      <c r="H6" s="90">
        <v>1.4999999999999999E-2</v>
      </c>
      <c r="I6" s="31">
        <v>1</v>
      </c>
      <c r="L6" s="95">
        <v>1031</v>
      </c>
      <c r="M6" s="37" t="str">
        <f>VLOOKUP(L6,[1]characters!$A:$C,3,FALSE)</f>
        <v>紫式部</v>
      </c>
      <c r="N6" s="63">
        <v>7.0000000000000001E-3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VLOOKUP(L6,tables_390100!B:C,2,FALSE)</f>
        <v>PremiumSS5R5only</v>
      </c>
      <c r="R6" s="62">
        <f t="shared" si="1"/>
        <v>252840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1033</v>
      </c>
      <c r="M7" s="37" t="str">
        <f>VLOOKUP(L7,[1]characters!$A:$C,3,FALSE)</f>
        <v>清少納言</v>
      </c>
      <c r="N7" s="63">
        <v>7.0000000000000001E-3</v>
      </c>
      <c r="O7" s="37">
        <f>VLOOKUP(L7,[1]characters!$A:$I,9,FALSE)</f>
        <v>5</v>
      </c>
      <c r="P7" s="37" t="str">
        <f>VLOOKUP(L7,[1]characters!$A:$J,10,FALSE)</f>
        <v>PremiumSS</v>
      </c>
      <c r="Q7" s="37" t="str">
        <f>VLOOKUP(L7,tables_390100!B:C,2,FALSE)</f>
        <v>PremiumSS5R5only</v>
      </c>
      <c r="R7" s="62">
        <f t="shared" si="1"/>
        <v>252840</v>
      </c>
      <c r="S7">
        <v>597</v>
      </c>
      <c r="U7" s="33" t="s">
        <v>196</v>
      </c>
      <c r="V7" s="54">
        <f t="shared" si="0"/>
        <v>1.4249999999999999E-2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VLOOKUP(L8,tables_390100!B:C,2,FALSE)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7.5000000000000067E-4</v>
      </c>
    </row>
    <row r="9" spans="1:22" x14ac:dyDescent="0.15">
      <c r="A9" s="35" t="s">
        <v>54</v>
      </c>
      <c r="B9" s="35"/>
      <c r="L9" s="89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VLOOKUP(L9,tables_390100!B:C,2,FALSE)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9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VLOOKUP(L10,tables_390100!B:C,2,FALSE)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0.05</v>
      </c>
      <c r="C11" t="s">
        <v>243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VLOOKUP(L11,tables_390100!B:C,2,FALSE)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VLOOKUP(L12,tables_390100!B:C,2,FALSE)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VLOOKUP(L13,tables_390100!B:C,2,FALSE)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VLOOKUP(L14,tables_390100!B:C,2,FALSE)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2.1000000000000001E-2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VLOOKUP(L15,tables_390100!B:C,2,FALSE)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VLOOKUP(L16,tables_390100!B:C,2,FALSE)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</v>
      </c>
      <c r="C17" s="86">
        <f t="shared" ref="C17:C31" si="2">SUMIF(Q:Q,A17,N:N)</f>
        <v>0</v>
      </c>
      <c r="D17" s="74">
        <f t="shared" ref="D17:D32" si="3">B17-C17</f>
        <v>0</v>
      </c>
      <c r="E17">
        <f>COUNTIF(tables_390100!C:C,input_390100!A17)-COUNTIF(Q:Q,A17)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VLOOKUP(L17,tables_390100!B:C,2,FALSE)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0.21744186046511627</v>
      </c>
      <c r="C18" s="86">
        <f t="shared" si="2"/>
        <v>0</v>
      </c>
      <c r="D18" s="74">
        <f t="shared" si="3"/>
        <v>0.21744186046511627</v>
      </c>
      <c r="E18">
        <f>COUNTIF(tables_390100!C:C,input_390100!A18)-COUNTIF(Q:Q,A18)</f>
        <v>20</v>
      </c>
      <c r="F18" s="43">
        <f>IFERROR(B18/E18,0)</f>
        <v>1.0872093023255813E-2</v>
      </c>
      <c r="G18">
        <f t="shared" si="4"/>
        <v>7853999.9999999991</v>
      </c>
      <c r="H18">
        <f t="shared" si="5"/>
        <v>392700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VLOOKUP(L18,tables_390100!B:C,2,FALSE)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6">
        <f t="shared" si="2"/>
        <v>0</v>
      </c>
      <c r="D19" s="74">
        <f t="shared" si="3"/>
        <v>0</v>
      </c>
      <c r="E19">
        <f>COUNTIF(tables_390100!C:C,input_390100!A19)-COUNTIF(Q:Q,A19)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VLOOKUP(L19,tables_390100!B:C,2,FALSE)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0.53708139534883714</v>
      </c>
      <c r="C20" s="86">
        <f t="shared" si="2"/>
        <v>0</v>
      </c>
      <c r="D20" s="74">
        <f t="shared" si="3"/>
        <v>0.53708139534883714</v>
      </c>
      <c r="E20">
        <f>COUNTIF(tables_390100!C:C,input_390100!A20)-COUNTIF(Q:Q,A20)</f>
        <v>52</v>
      </c>
      <c r="F20" s="43">
        <f t="shared" si="8"/>
        <v>1.0328488372093022E-2</v>
      </c>
      <c r="G20">
        <f t="shared" si="4"/>
        <v>19399379.999999996</v>
      </c>
      <c r="H20">
        <f t="shared" si="5"/>
        <v>373065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VLOOKUP(L20,tables_390100!B:C,2,FALSE)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2.8267441860465117E-2</v>
      </c>
      <c r="C21" s="86">
        <f t="shared" si="2"/>
        <v>0</v>
      </c>
      <c r="D21" s="74">
        <f t="shared" si="3"/>
        <v>2.8267441860465117E-2</v>
      </c>
      <c r="E21">
        <f>COUNTIF(tables_390100!C:C,input_390100!A21)-COUNTIF(Q:Q,A21)</f>
        <v>52</v>
      </c>
      <c r="F21" s="43">
        <f t="shared" si="8"/>
        <v>5.4360465116279073E-4</v>
      </c>
      <c r="G21">
        <f t="shared" si="4"/>
        <v>1021020</v>
      </c>
      <c r="H21">
        <f t="shared" si="5"/>
        <v>19635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9.9796124031007738E-2</v>
      </c>
      <c r="C22" s="86">
        <f t="shared" si="2"/>
        <v>1.4249999999999999E-2</v>
      </c>
      <c r="D22" s="74">
        <f t="shared" si="3"/>
        <v>8.5546124031007739E-2</v>
      </c>
      <c r="E22">
        <f>COUNTIF(tables_390100!C:C,input_390100!A22)-COUNTIF(Q:Q,A22)</f>
        <v>10</v>
      </c>
      <c r="F22" s="43">
        <f t="shared" si="8"/>
        <v>9.9796124031007738E-3</v>
      </c>
      <c r="G22">
        <f t="shared" si="4"/>
        <v>3604635.9999999995</v>
      </c>
      <c r="H22">
        <f t="shared" si="5"/>
        <v>360463.6</v>
      </c>
      <c r="I22">
        <f t="shared" si="6"/>
        <v>0.59999999997671694</v>
      </c>
      <c r="J22">
        <f t="shared" si="7"/>
        <v>1.6666666667313419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8.9248062015503983E-3</v>
      </c>
      <c r="C23" s="86">
        <f t="shared" si="2"/>
        <v>7.5000000000000067E-4</v>
      </c>
      <c r="D23" s="74">
        <f t="shared" si="3"/>
        <v>8.1748062015503976E-3</v>
      </c>
      <c r="E23">
        <f>COUNTIF(tables_390100!C:C,input_390100!A23)-COUNTIF(Q:Q,A23)</f>
        <v>10</v>
      </c>
      <c r="F23" s="43">
        <f t="shared" si="8"/>
        <v>8.9248062015503981E-4</v>
      </c>
      <c r="G23">
        <f t="shared" si="4"/>
        <v>322364.00000000041</v>
      </c>
      <c r="H23">
        <f t="shared" si="5"/>
        <v>32236.400000000001</v>
      </c>
      <c r="I23">
        <f t="shared" si="6"/>
        <v>0.40000000000145519</v>
      </c>
      <c r="J23">
        <f t="shared" si="7"/>
        <v>2.4999999999909051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6">
        <f t="shared" si="2"/>
        <v>0</v>
      </c>
      <c r="D24" s="74">
        <f t="shared" si="3"/>
        <v>0</v>
      </c>
      <c r="E24">
        <f>COUNTIF(tables_390100!C:C,input_390100!A24)-COUNTIF(Q:Q,A24)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4.1313953488372086E-2</v>
      </c>
      <c r="C25" s="86">
        <f t="shared" si="2"/>
        <v>0</v>
      </c>
      <c r="D25" s="74">
        <f t="shared" si="3"/>
        <v>4.1313953488372086E-2</v>
      </c>
      <c r="E25">
        <f>COUNTIF(tables_390100!C:C,input_390100!A25)-COUNTIF(Q:Q,A25)</f>
        <v>4</v>
      </c>
      <c r="F25" s="43">
        <f t="shared" si="8"/>
        <v>1.0328488372093022E-2</v>
      </c>
      <c r="G25">
        <f t="shared" si="4"/>
        <v>1492259.9999999998</v>
      </c>
      <c r="H25">
        <f t="shared" si="5"/>
        <v>373065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2.1744186046511629E-3</v>
      </c>
      <c r="C26" s="86">
        <f t="shared" si="2"/>
        <v>0</v>
      </c>
      <c r="D26" s="74">
        <f t="shared" si="3"/>
        <v>2.1744186046511629E-3</v>
      </c>
      <c r="E26">
        <f>COUNTIF(tables_390100!C:C,input_390100!A26)-COUNTIF(Q:Q,A26)</f>
        <v>4</v>
      </c>
      <c r="F26" s="43">
        <f t="shared" si="8"/>
        <v>5.4360465116279073E-4</v>
      </c>
      <c r="G26">
        <f t="shared" si="4"/>
        <v>78540</v>
      </c>
      <c r="H26">
        <f t="shared" si="5"/>
        <v>19635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1.8366666666666667E-2</v>
      </c>
      <c r="C27" s="86">
        <f t="shared" si="2"/>
        <v>0</v>
      </c>
      <c r="D27" s="74">
        <f t="shared" si="3"/>
        <v>1.8366666666666667E-2</v>
      </c>
      <c r="E27">
        <f>COUNTIF(tables_390100!C:C,input_390100!A27)-COUNTIF(Q:Q,A27)</f>
        <v>28</v>
      </c>
      <c r="F27" s="43">
        <f>IFERROR(B27/E27,0)</f>
        <v>6.5595238095238098E-4</v>
      </c>
      <c r="G27">
        <f t="shared" si="4"/>
        <v>663404</v>
      </c>
      <c r="H27">
        <f t="shared" si="5"/>
        <v>23693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9.6666666666666678E-4</v>
      </c>
      <c r="C28" s="86">
        <f t="shared" si="2"/>
        <v>0</v>
      </c>
      <c r="D28" s="74">
        <f t="shared" si="3"/>
        <v>9.6666666666666678E-4</v>
      </c>
      <c r="E28">
        <f>COUNTIF(tables_390100!C:C,input_390100!A28)-COUNTIF(Q:Q,A28)</f>
        <v>28</v>
      </c>
      <c r="F28" s="43">
        <f t="shared" si="8"/>
        <v>3.4523809523809526E-5</v>
      </c>
      <c r="G28">
        <f t="shared" si="4"/>
        <v>34916.000000000007</v>
      </c>
      <c r="H28">
        <f t="shared" si="5"/>
        <v>1247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9.6666666666666672E-3</v>
      </c>
      <c r="C29" s="86">
        <f t="shared" si="2"/>
        <v>2.1000000000000001E-2</v>
      </c>
      <c r="D29" s="74">
        <f t="shared" si="3"/>
        <v>-1.1333333333333334E-2</v>
      </c>
      <c r="E29">
        <f>COUNTIF(tables_390100!C:C,input_390100!A29)-COUNTIF(Q:Q,A29)</f>
        <v>14</v>
      </c>
      <c r="F29" s="43">
        <f t="shared" si="8"/>
        <v>6.9047619047619046E-4</v>
      </c>
      <c r="G29">
        <f t="shared" si="4"/>
        <v>349160</v>
      </c>
      <c r="H29">
        <f t="shared" si="5"/>
        <v>24940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240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COUNTIF(tables_390100!C:C,input_390100!A30)-COUNTIF(Q:Q,A30)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241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COUNTIF(tables_390100!C:C,input_390100!A31)-COUNTIF(Q:Q,A31)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0.96399999999999997</v>
      </c>
      <c r="C32" s="41">
        <f>SUM(C19:C31)</f>
        <v>3.6000000000000004E-2</v>
      </c>
      <c r="D32" s="42">
        <f t="shared" si="3"/>
        <v>0.92799999999999994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LCM(F5-I5,F6-I6)*1000*2*2*5</f>
        <v>36120000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SUMIF(tables_390100!C:C,input_390100!A40,tables_390100!O:O)</f>
        <v>0</v>
      </c>
      <c r="C40" s="54">
        <f t="shared" ref="C40:C46" ca="1" si="9">B40/B$47</f>
        <v>0</v>
      </c>
      <c r="E40">
        <v>3</v>
      </c>
      <c r="F40">
        <f ca="1">SUMIF(tables_390100!J:J,input_390100!E40,tables_390100!O:O)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SUMIF(tables_390100!C:C,input_390100!A41,tables_390100!O:O)</f>
        <v>19399380</v>
      </c>
      <c r="C41" s="54">
        <f t="shared" ca="1" si="9"/>
        <v>0.91858692193466274</v>
      </c>
      <c r="E41">
        <v>4</v>
      </c>
      <c r="F41">
        <f ca="1">SUMIF(tables_390100!J:J,input_390100!E41,tables_390100!O:O)</f>
        <v>33528390.000000015</v>
      </c>
      <c r="G41">
        <f ca="1">F41/A36</f>
        <v>0.92825000000000046</v>
      </c>
    </row>
    <row r="42" spans="1:7" x14ac:dyDescent="0.15">
      <c r="A42" s="33" t="s">
        <v>106</v>
      </c>
      <c r="B42">
        <f ca="1">SUMIF(tables_390100!C:C,input_390100!A42,tables_390100!O:O)</f>
        <v>663404</v>
      </c>
      <c r="C42" s="54">
        <f t="shared" ca="1" si="9"/>
        <v>3.1413078065337295E-2</v>
      </c>
      <c r="E42">
        <v>5</v>
      </c>
      <c r="F42">
        <f ca="1">SUMIF(tables_390100!J:J,input_390100!E42,tables_390100!O:O)</f>
        <v>2591609.9999999991</v>
      </c>
      <c r="G42">
        <f ca="1">F42/A36</f>
        <v>7.174999999999998E-2</v>
      </c>
    </row>
    <row r="43" spans="1:7" x14ac:dyDescent="0.15">
      <c r="A43" s="33" t="s">
        <v>109</v>
      </c>
      <c r="B43">
        <f>SUMIF(tables_390100!C:C,input_390100!A43,tables_390100!O:O)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SUMIF(tables_390100!C:C,input_390100!A44,tables_390100!O:O)</f>
        <v>1021020</v>
      </c>
      <c r="C44" s="54">
        <f t="shared" ca="1" si="9"/>
        <v>4.8346680101824351E-2</v>
      </c>
      <c r="E44" t="s">
        <v>54</v>
      </c>
      <c r="F44" s="55"/>
    </row>
    <row r="45" spans="1:7" x14ac:dyDescent="0.15">
      <c r="A45" s="33" t="s">
        <v>107</v>
      </c>
      <c r="B45">
        <f ca="1">SUMIF(tables_390100!C:C,input_390100!A45,tables_390100!O:O)</f>
        <v>34916</v>
      </c>
      <c r="C45" s="54">
        <f t="shared" ca="1" si="9"/>
        <v>1.653319898175647E-3</v>
      </c>
      <c r="E45" t="s">
        <v>204</v>
      </c>
      <c r="F45" s="55">
        <f ca="1">SUMIF(tables_390100!I:I,input_390100!E45,tables_390100!P:P)</f>
        <v>0.21744186046511627</v>
      </c>
    </row>
    <row r="46" spans="1:7" x14ac:dyDescent="0.15">
      <c r="A46" s="33" t="s">
        <v>108</v>
      </c>
      <c r="B46">
        <f>SUMIF(tables_390100!C:C,input_390100!A46,tables_390100!O:O)</f>
        <v>0</v>
      </c>
      <c r="C46" s="54">
        <f t="shared" ca="1" si="9"/>
        <v>0</v>
      </c>
      <c r="E46" t="s">
        <v>205</v>
      </c>
      <c r="F46" s="55">
        <f ca="1">SUMIF(tables_390100!I:I,input_390100!E46,tables_390100!P:P)</f>
        <v>0.21744186046511627</v>
      </c>
    </row>
    <row r="47" spans="1:7" x14ac:dyDescent="0.15">
      <c r="A47" s="39" t="s">
        <v>59</v>
      </c>
      <c r="B47">
        <f ca="1">SUM(B40:B46)</f>
        <v>21118720</v>
      </c>
      <c r="C47" s="55">
        <f ca="1">SUM(C40:C46)</f>
        <v>1</v>
      </c>
      <c r="E47" t="s">
        <v>206</v>
      </c>
      <c r="F47" s="55">
        <f ca="1">SUMIF(tables_390100!I:I,input_390100!E47,tables_390100!P:P)</f>
        <v>0.51511627906976687</v>
      </c>
    </row>
    <row r="48" spans="1:7" x14ac:dyDescent="0.15">
      <c r="E48" t="s">
        <v>207</v>
      </c>
      <c r="F48" s="55">
        <f ca="1">SUMIF(tables_390100!I:I,input_390100!E48,tables_390100!P:P)</f>
        <v>4.9999999999999982E-2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04"/>
  <sheetViews>
    <sheetView showGridLines="0" zoomScale="75" zoomScaleNormal="75" zoomScalePageLayoutView="75" workbookViewId="0">
      <pane ySplit="1" topLeftCell="A288" activePane="bottomLeft" state="frozen"/>
      <selection activeCell="D34" sqref="D34"/>
      <selection pane="bottomLeft" activeCell="B305" sqref="B30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input_390100!A$2</f>
        <v>390100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IFERROR(VLOOKUP(B2,input_390100!L:R,7,FALSE),VLOOKUP(tables_390100!C2,input_390100!A:H,8,FALSE))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input_390100!A$2</f>
        <v>390100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IFERROR(VLOOKUP(B3,input_390100!L:R,7,FALSE),VLOOKUP(tables_390100!C3,input_390100!A:H,8,FALSE))</f>
        <v>392700</v>
      </c>
      <c r="P3" s="46">
        <f t="shared" ca="1" si="2"/>
        <v>1.0872093023255813E-2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input_390100!A$2</f>
        <v>390100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IFERROR(VLOOKUP(B4,input_390100!L:R,7,FALSE),VLOOKUP(tables_390100!C4,input_390100!A:H,8,FALSE))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input_390100!A$2</f>
        <v>390100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IFERROR(VLOOKUP(B5,input_390100!L:R,7,FALSE),VLOOKUP(tables_390100!C5,input_390100!A:H,8,FALSE))</f>
        <v>392700</v>
      </c>
      <c r="P5" s="46">
        <f t="shared" ca="1" si="2"/>
        <v>1.0872093023255813E-2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input_390100!A$2</f>
        <v>390100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IFERROR(VLOOKUP(B6,input_390100!L:R,7,FALSE),VLOOKUP(tables_390100!C6,input_390100!A:H,8,FALSE))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input_390100!A$2</f>
        <v>390100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IFERROR(VLOOKUP(B7,input_390100!L:R,7,FALSE),VLOOKUP(tables_390100!C7,input_390100!A:H,8,FALSE))</f>
        <v>392700</v>
      </c>
      <c r="P7" s="46">
        <f t="shared" ca="1" si="2"/>
        <v>1.0872093023255813E-2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input_390100!A$2</f>
        <v>390100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IFERROR(VLOOKUP(B8,input_390100!L:R,7,FALSE),VLOOKUP(tables_390100!C8,input_390100!A:H,8,FALSE))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input_390100!A$2</f>
        <v>390100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IFERROR(VLOOKUP(B9,input_390100!L:R,7,FALSE),VLOOKUP(tables_390100!C9,input_390100!A:H,8,FALSE))</f>
        <v>392700</v>
      </c>
      <c r="P9" s="46">
        <f t="shared" ca="1" si="2"/>
        <v>1.0872093023255813E-2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input_390100!A$2</f>
        <v>390100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IFERROR(VLOOKUP(B10,input_390100!L:R,7,FALSE),VLOOKUP(tables_390100!C10,input_390100!A:H,8,FALSE))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input_390100!A$2</f>
        <v>390100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IFERROR(VLOOKUP(B11,input_390100!L:R,7,FALSE),VLOOKUP(tables_390100!C11,input_390100!A:H,8,FALSE))</f>
        <v>392700</v>
      </c>
      <c r="P11" s="46">
        <f t="shared" ca="1" si="2"/>
        <v>1.0872093023255813E-2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input_390100!A$2</f>
        <v>390100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IFERROR(VLOOKUP(B12,input_390100!L:R,7,FALSE),VLOOKUP(tables_390100!C12,input_390100!A:H,8,FALSE))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input_390100!A$2</f>
        <v>390100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IFERROR(VLOOKUP(B13,input_390100!L:R,7,FALSE),VLOOKUP(tables_390100!C13,input_390100!A:H,8,FALSE))</f>
        <v>392700</v>
      </c>
      <c r="P13" s="46">
        <f t="shared" ca="1" si="2"/>
        <v>1.0872093023255813E-2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input_390100!A$2</f>
        <v>390100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IFERROR(VLOOKUP(B14,input_390100!L:R,7,FALSE),VLOOKUP(tables_390100!C14,input_390100!A:H,8,FALSE))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input_390100!A$2</f>
        <v>390100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IFERROR(VLOOKUP(B15,input_390100!L:R,7,FALSE),VLOOKUP(tables_390100!C15,input_390100!A:H,8,FALSE))</f>
        <v>392700</v>
      </c>
      <c r="P15" s="46">
        <f t="shared" ca="1" si="2"/>
        <v>1.0872093023255813E-2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input_390100!A$2</f>
        <v>390100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IFERROR(VLOOKUP(B16,input_390100!L:R,7,FALSE),VLOOKUP(tables_390100!C16,input_390100!A:H,8,FALSE))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input_390100!A$2</f>
        <v>390100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IFERROR(VLOOKUP(B17,input_390100!L:R,7,FALSE),VLOOKUP(tables_390100!C17,input_390100!A:H,8,FALSE))</f>
        <v>392700</v>
      </c>
      <c r="P17" s="46">
        <f t="shared" ca="1" si="2"/>
        <v>1.0872093023255813E-2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input_390100!A$2</f>
        <v>390100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IFERROR(VLOOKUP(B18,input_390100!L:R,7,FALSE),VLOOKUP(tables_390100!C18,input_390100!A:H,8,FALSE))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input_390100!A$2</f>
        <v>390100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IFERROR(VLOOKUP(B19,input_390100!L:R,7,FALSE),VLOOKUP(tables_390100!C19,input_390100!A:H,8,FALSE))</f>
        <v>392700</v>
      </c>
      <c r="P19" s="46">
        <f t="shared" ca="1" si="2"/>
        <v>1.0872093023255813E-2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input_390100!A$2</f>
        <v>390100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IFERROR(VLOOKUP(B20,input_390100!L:R,7,FALSE),VLOOKUP(tables_390100!C20,input_390100!A:H,8,FALSE))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input_390100!A$2</f>
        <v>390100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IFERROR(VLOOKUP(B21,input_390100!L:R,7,FALSE),VLOOKUP(tables_390100!C21,input_390100!A:H,8,FALSE))</f>
        <v>392700</v>
      </c>
      <c r="P21" s="46">
        <f t="shared" ca="1" si="2"/>
        <v>1.0872093023255813E-2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input_390100!A$2</f>
        <v>390100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IFERROR(VLOOKUP(B22,input_390100!L:R,7,FALSE),VLOOKUP(tables_390100!C22,input_390100!A:H,8,FALSE))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input_390100!A$2</f>
        <v>390100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IFERROR(VLOOKUP(B23,input_390100!L:R,7,FALSE),VLOOKUP(tables_390100!C23,input_390100!A:H,8,FALSE))</f>
        <v>392700</v>
      </c>
      <c r="P23" s="46">
        <f t="shared" ca="1" si="2"/>
        <v>1.0872093023255813E-2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input_390100!A$2</f>
        <v>390100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IFERROR(VLOOKUP(B24,input_390100!L:R,7,FALSE),VLOOKUP(tables_390100!C24,input_390100!A:H,8,FALSE))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input_390100!A$2</f>
        <v>390100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IFERROR(VLOOKUP(B25,input_390100!L:R,7,FALSE),VLOOKUP(tables_390100!C25,input_390100!A:H,8,FALSE))</f>
        <v>392700</v>
      </c>
      <c r="P25" s="46">
        <f t="shared" ca="1" si="2"/>
        <v>1.0872093023255813E-2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input_390100!A$2</f>
        <v>390100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IFERROR(VLOOKUP(B26,input_390100!L:R,7,FALSE),VLOOKUP(tables_390100!C26,input_390100!A:H,8,FALSE))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input_390100!A$2</f>
        <v>390100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IFERROR(VLOOKUP(B27,input_390100!L:R,7,FALSE),VLOOKUP(tables_390100!C27,input_390100!A:H,8,FALSE))</f>
        <v>392700</v>
      </c>
      <c r="P27" s="46">
        <f t="shared" ca="1" si="2"/>
        <v>1.0872093023255813E-2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input_390100!A$2</f>
        <v>390100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IFERROR(VLOOKUP(B28,input_390100!L:R,7,FALSE),VLOOKUP(tables_390100!C28,input_390100!A:H,8,FALSE))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input_390100!A$2</f>
        <v>390100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IFERROR(VLOOKUP(B29,input_390100!L:R,7,FALSE),VLOOKUP(tables_390100!C29,input_390100!A:H,8,FALSE))</f>
        <v>392700</v>
      </c>
      <c r="P29" s="46">
        <f t="shared" ca="1" si="2"/>
        <v>1.0872093023255813E-2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input_390100!A$2</f>
        <v>390100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IFERROR(VLOOKUP(B30,input_390100!L:R,7,FALSE),VLOOKUP(tables_390100!C30,input_390100!A:H,8,FALSE))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input_390100!A$2</f>
        <v>390100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IFERROR(VLOOKUP(B31,input_390100!L:R,7,FALSE),VLOOKUP(tables_390100!C31,input_390100!A:H,8,FALSE))</f>
        <v>392700</v>
      </c>
      <c r="P31" s="46">
        <f t="shared" ca="1" si="2"/>
        <v>1.0872093023255813E-2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input_390100!A$2</f>
        <v>390100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IFERROR(VLOOKUP(B32,input_390100!L:R,7,FALSE),VLOOKUP(tables_390100!C32,input_390100!A:H,8,FALSE))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input_390100!A$2</f>
        <v>390100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IFERROR(VLOOKUP(B33,input_390100!L:R,7,FALSE),VLOOKUP(tables_390100!C33,input_390100!A:H,8,FALSE))</f>
        <v>392700</v>
      </c>
      <c r="P33" s="46">
        <f t="shared" ca="1" si="2"/>
        <v>1.0872093023255813E-2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input_390100!A$2</f>
        <v>390100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IFERROR(VLOOKUP(B34,input_390100!L:R,7,FALSE),VLOOKUP(tables_390100!C34,input_390100!A:H,8,FALSE))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input_390100!A$2</f>
        <v>390100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IFERROR(VLOOKUP(B35,input_390100!L:R,7,FALSE),VLOOKUP(tables_390100!C35,input_390100!A:H,8,FALSE))</f>
        <v>392700</v>
      </c>
      <c r="P35" s="46">
        <f t="shared" ca="1" si="2"/>
        <v>1.0872093023255813E-2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input_390100!A$2</f>
        <v>390100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IFERROR(VLOOKUP(B36,input_390100!L:R,7,FALSE),VLOOKUP(tables_390100!C36,input_390100!A:H,8,FALSE))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input_390100!A$2</f>
        <v>390100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IFERROR(VLOOKUP(B37,input_390100!L:R,7,FALSE),VLOOKUP(tables_390100!C37,input_390100!A:H,8,FALSE))</f>
        <v>392700</v>
      </c>
      <c r="P37" s="46">
        <f t="shared" ca="1" si="2"/>
        <v>1.0872093023255813E-2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input_390100!A$2</f>
        <v>390100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IFERROR(VLOOKUP(B38,input_390100!L:R,7,FALSE),VLOOKUP(tables_390100!C38,input_390100!A:H,8,FALSE))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input_390100!A$2</f>
        <v>390100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IFERROR(VLOOKUP(B39,input_390100!L:R,7,FALSE),VLOOKUP(tables_390100!C39,input_390100!A:H,8,FALSE))</f>
        <v>392700</v>
      </c>
      <c r="P39" s="46">
        <f t="shared" ca="1" si="2"/>
        <v>1.0872093023255813E-2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input_390100!A$2</f>
        <v>390100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IFERROR(VLOOKUP(B40,input_390100!L:R,7,FALSE),VLOOKUP(tables_390100!C40,input_390100!A:H,8,FALSE))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input_390100!A$2</f>
        <v>390100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IFERROR(VLOOKUP(B41,input_390100!L:R,7,FALSE),VLOOKUP(tables_390100!C41,input_390100!A:H,8,FALSE))</f>
        <v>392700</v>
      </c>
      <c r="P41" s="46">
        <f t="shared" ca="1" si="2"/>
        <v>1.0872093023255813E-2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input_390100!A$2</f>
        <v>390100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IFERROR(VLOOKUP(B42,input_390100!L:R,7,FALSE),VLOOKUP(tables_390100!C42,input_390100!A:H,8,FALSE))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input_390100!A$2</f>
        <v>390100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IFERROR(VLOOKUP(B43,input_390100!L:R,7,FALSE),VLOOKUP(tables_390100!C43,input_390100!A:H,8,FALSE))</f>
        <v>373065</v>
      </c>
      <c r="P43" s="46">
        <f t="shared" ca="1" si="2"/>
        <v>1.0328488372093023E-2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input_390100!A$2</f>
        <v>390100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IFERROR(VLOOKUP(B44,input_390100!L:R,7,FALSE),VLOOKUP(tables_390100!C44,input_390100!A:H,8,FALSE))</f>
        <v>19635</v>
      </c>
      <c r="P44" s="46">
        <f t="shared" ca="1" si="2"/>
        <v>5.4360465116279073E-4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input_390100!A$2</f>
        <v>390100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IFERROR(VLOOKUP(B45,input_390100!L:R,7,FALSE),VLOOKUP(tables_390100!C45,input_390100!A:H,8,FALSE))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input_390100!A$2</f>
        <v>390100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IFERROR(VLOOKUP(B46,input_390100!L:R,7,FALSE),VLOOKUP(tables_390100!C46,input_390100!A:H,8,FALSE))</f>
        <v>373065</v>
      </c>
      <c r="P46" s="46">
        <f t="shared" ca="1" si="2"/>
        <v>1.0328488372093023E-2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input_390100!A$2</f>
        <v>390100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IFERROR(VLOOKUP(B47,input_390100!L:R,7,FALSE),VLOOKUP(tables_390100!C47,input_390100!A:H,8,FALSE))</f>
        <v>19635</v>
      </c>
      <c r="P47" s="46">
        <f t="shared" ca="1" si="2"/>
        <v>5.4360465116279073E-4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input_390100!A$2</f>
        <v>390100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IFERROR(VLOOKUP(B48,input_390100!L:R,7,FALSE),VLOOKUP(tables_390100!C48,input_390100!A:H,8,FALSE))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input_390100!A$2</f>
        <v>390100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IFERROR(VLOOKUP(B49,input_390100!L:R,7,FALSE),VLOOKUP(tables_390100!C49,input_390100!A:H,8,FALSE))</f>
        <v>373065</v>
      </c>
      <c r="P49" s="46">
        <f t="shared" ca="1" si="2"/>
        <v>1.0328488372093023E-2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input_390100!A$2</f>
        <v>390100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IFERROR(VLOOKUP(B50,input_390100!L:R,7,FALSE),VLOOKUP(tables_390100!C50,input_390100!A:H,8,FALSE))</f>
        <v>19635</v>
      </c>
      <c r="P50" s="46">
        <f t="shared" ca="1" si="2"/>
        <v>5.4360465116279073E-4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input_390100!A$2</f>
        <v>390100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IFERROR(VLOOKUP(B51,input_390100!L:R,7,FALSE),VLOOKUP(tables_390100!C51,input_390100!A:H,8,FALSE))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input_390100!A$2</f>
        <v>390100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IFERROR(VLOOKUP(B52,input_390100!L:R,7,FALSE),VLOOKUP(tables_390100!C52,input_390100!A:H,8,FALSE))</f>
        <v>373065</v>
      </c>
      <c r="P52" s="46">
        <f t="shared" ca="1" si="2"/>
        <v>1.0328488372093023E-2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input_390100!A$2</f>
        <v>390100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IFERROR(VLOOKUP(B53,input_390100!L:R,7,FALSE),VLOOKUP(tables_390100!C53,input_390100!A:H,8,FALSE))</f>
        <v>19635</v>
      </c>
      <c r="P53" s="46">
        <f t="shared" ca="1" si="2"/>
        <v>5.4360465116279073E-4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input_390100!A$2</f>
        <v>390100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IFERROR(VLOOKUP(B54,input_390100!L:R,7,FALSE),VLOOKUP(tables_390100!C54,input_390100!A:H,8,FALSE))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input_390100!A$2</f>
        <v>390100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IFERROR(VLOOKUP(B55,input_390100!L:R,7,FALSE),VLOOKUP(tables_390100!C55,input_390100!A:H,8,FALSE))</f>
        <v>373065</v>
      </c>
      <c r="P55" s="46">
        <f t="shared" ca="1" si="2"/>
        <v>1.0328488372093023E-2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input_390100!A$2</f>
        <v>390100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IFERROR(VLOOKUP(B56,input_390100!L:R,7,FALSE),VLOOKUP(tables_390100!C56,input_390100!A:H,8,FALSE))</f>
        <v>19635</v>
      </c>
      <c r="P56" s="46">
        <f t="shared" ca="1" si="2"/>
        <v>5.4360465116279073E-4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input_390100!A$2</f>
        <v>390100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IFERROR(VLOOKUP(B57,input_390100!L:R,7,FALSE),VLOOKUP(tables_390100!C57,input_390100!A:H,8,FALSE))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input_390100!A$2</f>
        <v>390100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IFERROR(VLOOKUP(B58,input_390100!L:R,7,FALSE),VLOOKUP(tables_390100!C58,input_390100!A:H,8,FALSE))</f>
        <v>373065</v>
      </c>
      <c r="P58" s="46">
        <f t="shared" ca="1" si="2"/>
        <v>1.0328488372093023E-2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input_390100!A$2</f>
        <v>390100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IFERROR(VLOOKUP(B59,input_390100!L:R,7,FALSE),VLOOKUP(tables_390100!C59,input_390100!A:H,8,FALSE))</f>
        <v>19635</v>
      </c>
      <c r="P59" s="46">
        <f t="shared" ca="1" si="2"/>
        <v>5.4360465116279073E-4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input_390100!A$2</f>
        <v>390100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IFERROR(VLOOKUP(B60,input_390100!L:R,7,FALSE),VLOOKUP(tables_390100!C60,input_390100!A:H,8,FALSE))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input_390100!A$2</f>
        <v>390100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IFERROR(VLOOKUP(B61,input_390100!L:R,7,FALSE),VLOOKUP(tables_390100!C61,input_390100!A:H,8,FALSE))</f>
        <v>373065</v>
      </c>
      <c r="P61" s="46">
        <f t="shared" ca="1" si="2"/>
        <v>1.0328488372093023E-2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input_390100!A$2</f>
        <v>390100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IFERROR(VLOOKUP(B62,input_390100!L:R,7,FALSE),VLOOKUP(tables_390100!C62,input_390100!A:H,8,FALSE))</f>
        <v>19635</v>
      </c>
      <c r="P62" s="46">
        <f t="shared" ca="1" si="2"/>
        <v>5.4360465116279073E-4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input_390100!A$2</f>
        <v>390100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IFERROR(VLOOKUP(B63,input_390100!L:R,7,FALSE),VLOOKUP(tables_390100!C63,input_390100!A:H,8,FALSE))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input_390100!A$2</f>
        <v>390100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IFERROR(VLOOKUP(B64,input_390100!L:R,7,FALSE),VLOOKUP(tables_390100!C64,input_390100!A:H,8,FALSE))</f>
        <v>373065</v>
      </c>
      <c r="P64" s="46">
        <f t="shared" ca="1" si="2"/>
        <v>1.0328488372093023E-2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input_390100!A$2</f>
        <v>390100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IFERROR(VLOOKUP(B65,input_390100!L:R,7,FALSE),VLOOKUP(tables_390100!C65,input_390100!A:H,8,FALSE))</f>
        <v>19635</v>
      </c>
      <c r="P65" s="46">
        <f t="shared" ca="1" si="2"/>
        <v>5.4360465116279073E-4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input_390100!A$2</f>
        <v>390100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IFERROR(VLOOKUP(B66,input_390100!L:R,7,FALSE),VLOOKUP(tables_390100!C66,input_390100!A:H,8,FALSE))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input_390100!A$2</f>
        <v>390100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IFERROR(VLOOKUP(B67,input_390100!L:R,7,FALSE),VLOOKUP(tables_390100!C67,input_390100!A:H,8,FALSE))</f>
        <v>373065</v>
      </c>
      <c r="P67" s="46">
        <f t="shared" ca="1" si="5"/>
        <v>1.0328488372093023E-2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input_390100!A$2</f>
        <v>390100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IFERROR(VLOOKUP(B68,input_390100!L:R,7,FALSE),VLOOKUP(tables_390100!C68,input_390100!A:H,8,FALSE))</f>
        <v>19635</v>
      </c>
      <c r="P68" s="46">
        <f t="shared" ca="1" si="5"/>
        <v>5.4360465116279073E-4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input_390100!A$2</f>
        <v>390100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IFERROR(VLOOKUP(B69,input_390100!L:R,7,FALSE),VLOOKUP(tables_390100!C69,input_390100!A:H,8,FALSE))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input_390100!A$2</f>
        <v>390100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IFERROR(VLOOKUP(B70,input_390100!L:R,7,FALSE),VLOOKUP(tables_390100!C70,input_390100!A:H,8,FALSE))</f>
        <v>373065</v>
      </c>
      <c r="P70" s="46">
        <f t="shared" ca="1" si="5"/>
        <v>1.0328488372093023E-2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input_390100!A$2</f>
        <v>390100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IFERROR(VLOOKUP(B71,input_390100!L:R,7,FALSE),VLOOKUP(tables_390100!C71,input_390100!A:H,8,FALSE))</f>
        <v>19635</v>
      </c>
      <c r="P71" s="46">
        <f t="shared" ca="1" si="5"/>
        <v>5.4360465116279073E-4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input_390100!A$2</f>
        <v>390100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IFERROR(VLOOKUP(B72,input_390100!L:R,7,FALSE),VLOOKUP(tables_390100!C72,input_390100!A:H,8,FALSE))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input_390100!A$2</f>
        <v>390100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IFERROR(VLOOKUP(B73,input_390100!L:R,7,FALSE),VLOOKUP(tables_390100!C73,input_390100!A:H,8,FALSE))</f>
        <v>373065</v>
      </c>
      <c r="P73" s="46">
        <f t="shared" ca="1" si="5"/>
        <v>1.0328488372093023E-2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input_390100!A$2</f>
        <v>390100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IFERROR(VLOOKUP(B74,input_390100!L:R,7,FALSE),VLOOKUP(tables_390100!C74,input_390100!A:H,8,FALSE))</f>
        <v>19635</v>
      </c>
      <c r="P74" s="46">
        <f t="shared" ca="1" si="5"/>
        <v>5.4360465116279073E-4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input_390100!A$2</f>
        <v>390100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IFERROR(VLOOKUP(B75,input_390100!L:R,7,FALSE),VLOOKUP(tables_390100!C75,input_390100!A:H,8,FALSE))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input_390100!A$2</f>
        <v>390100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IFERROR(VLOOKUP(B76,input_390100!L:R,7,FALSE),VLOOKUP(tables_390100!C76,input_390100!A:H,8,FALSE))</f>
        <v>373065</v>
      </c>
      <c r="P76" s="46">
        <f t="shared" ca="1" si="5"/>
        <v>1.0328488372093023E-2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input_390100!A$2</f>
        <v>390100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IFERROR(VLOOKUP(B77,input_390100!L:R,7,FALSE),VLOOKUP(tables_390100!C77,input_390100!A:H,8,FALSE))</f>
        <v>19635</v>
      </c>
      <c r="P77" s="46">
        <f t="shared" ca="1" si="5"/>
        <v>5.4360465116279073E-4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input_390100!A$2</f>
        <v>390100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IFERROR(VLOOKUP(B78,input_390100!L:R,7,FALSE),VLOOKUP(tables_390100!C78,input_390100!A:H,8,FALSE))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input_390100!A$2</f>
        <v>390100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IFERROR(VLOOKUP(B79,input_390100!L:R,7,FALSE),VLOOKUP(tables_390100!C79,input_390100!A:H,8,FALSE))</f>
        <v>373065</v>
      </c>
      <c r="P79" s="46">
        <f t="shared" ca="1" si="5"/>
        <v>1.0328488372093023E-2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input_390100!A$2</f>
        <v>390100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IFERROR(VLOOKUP(B80,input_390100!L:R,7,FALSE),VLOOKUP(tables_390100!C80,input_390100!A:H,8,FALSE))</f>
        <v>19635</v>
      </c>
      <c r="P80" s="46">
        <f t="shared" ca="1" si="5"/>
        <v>5.4360465116279073E-4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input_390100!A$2</f>
        <v>390100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IFERROR(VLOOKUP(B81,input_390100!L:R,7,FALSE),VLOOKUP(tables_390100!C81,input_390100!A:H,8,FALSE))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input_390100!A$2</f>
        <v>390100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IFERROR(VLOOKUP(B82,input_390100!L:R,7,FALSE),VLOOKUP(tables_390100!C82,input_390100!A:H,8,FALSE))</f>
        <v>373065</v>
      </c>
      <c r="P82" s="46">
        <f t="shared" ca="1" si="5"/>
        <v>1.0328488372093023E-2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input_390100!A$2</f>
        <v>390100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IFERROR(VLOOKUP(B83,input_390100!L:R,7,FALSE),VLOOKUP(tables_390100!C83,input_390100!A:H,8,FALSE))</f>
        <v>19635</v>
      </c>
      <c r="P83" s="46">
        <f t="shared" ca="1" si="5"/>
        <v>5.4360465116279073E-4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input_390100!A$2</f>
        <v>390100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IFERROR(VLOOKUP(B84,input_390100!L:R,7,FALSE),VLOOKUP(tables_390100!C84,input_390100!A:H,8,FALSE))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input_390100!A$2</f>
        <v>390100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IFERROR(VLOOKUP(B85,input_390100!L:R,7,FALSE),VLOOKUP(tables_390100!C85,input_390100!A:H,8,FALSE))</f>
        <v>373065</v>
      </c>
      <c r="P85" s="46">
        <f t="shared" ca="1" si="5"/>
        <v>1.0328488372093023E-2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input_390100!A$2</f>
        <v>390100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IFERROR(VLOOKUP(B86,input_390100!L:R,7,FALSE),VLOOKUP(tables_390100!C86,input_390100!A:H,8,FALSE))</f>
        <v>19635</v>
      </c>
      <c r="P86" s="46">
        <f t="shared" ca="1" si="5"/>
        <v>5.4360465116279073E-4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input_390100!A$2</f>
        <v>390100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IFERROR(VLOOKUP(B87,input_390100!L:R,7,FALSE),VLOOKUP(tables_390100!C87,input_390100!A:H,8,FALSE))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input_390100!A$2</f>
        <v>390100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IFERROR(VLOOKUP(B88,input_390100!L:R,7,FALSE),VLOOKUP(tables_390100!C88,input_390100!A:H,8,FALSE))</f>
        <v>373065</v>
      </c>
      <c r="P88" s="46">
        <f t="shared" ca="1" si="5"/>
        <v>1.0328488372093023E-2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input_390100!A$2</f>
        <v>390100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IFERROR(VLOOKUP(B89,input_390100!L:R,7,FALSE),VLOOKUP(tables_390100!C89,input_390100!A:H,8,FALSE))</f>
        <v>19635</v>
      </c>
      <c r="P89" s="46">
        <f t="shared" ca="1" si="5"/>
        <v>5.4360465116279073E-4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input_390100!A$2</f>
        <v>390100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IFERROR(VLOOKUP(B90,input_390100!L:R,7,FALSE),VLOOKUP(tables_390100!C90,input_390100!A:H,8,FALSE))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input_390100!A$2</f>
        <v>390100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IFERROR(VLOOKUP(B91,input_390100!L:R,7,FALSE),VLOOKUP(tables_390100!C91,input_390100!A:H,8,FALSE))</f>
        <v>373065</v>
      </c>
      <c r="P91" s="46">
        <f t="shared" ca="1" si="5"/>
        <v>1.0328488372093023E-2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input_390100!A$2</f>
        <v>390100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IFERROR(VLOOKUP(B92,input_390100!L:R,7,FALSE),VLOOKUP(tables_390100!C92,input_390100!A:H,8,FALSE))</f>
        <v>19635</v>
      </c>
      <c r="P92" s="46">
        <f t="shared" ca="1" si="5"/>
        <v>5.4360465116279073E-4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input_390100!A$2</f>
        <v>390100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IFERROR(VLOOKUP(B93,input_390100!L:R,7,FALSE),VLOOKUP(tables_390100!C93,input_390100!A:H,8,FALSE))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input_390100!A$2</f>
        <v>390100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IFERROR(VLOOKUP(B94,input_390100!L:R,7,FALSE),VLOOKUP(tables_390100!C94,input_390100!A:H,8,FALSE))</f>
        <v>373065</v>
      </c>
      <c r="P94" s="46">
        <f t="shared" ca="1" si="5"/>
        <v>1.0328488372093023E-2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input_390100!A$2</f>
        <v>390100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IFERROR(VLOOKUP(B95,input_390100!L:R,7,FALSE),VLOOKUP(tables_390100!C95,input_390100!A:H,8,FALSE))</f>
        <v>19635</v>
      </c>
      <c r="P95" s="46">
        <f t="shared" ca="1" si="5"/>
        <v>5.4360465116279073E-4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input_390100!A$2</f>
        <v>390100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IFERROR(VLOOKUP(B96,input_390100!L:R,7,FALSE),VLOOKUP(tables_390100!C96,input_390100!A:H,8,FALSE))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input_390100!A$2</f>
        <v>390100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IFERROR(VLOOKUP(B97,input_390100!L:R,7,FALSE),VLOOKUP(tables_390100!C97,input_390100!A:H,8,FALSE))</f>
        <v>373065</v>
      </c>
      <c r="P97" s="46">
        <f t="shared" ca="1" si="5"/>
        <v>1.0328488372093023E-2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input_390100!A$2</f>
        <v>390100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IFERROR(VLOOKUP(B98,input_390100!L:R,7,FALSE),VLOOKUP(tables_390100!C98,input_390100!A:H,8,FALSE))</f>
        <v>19635</v>
      </c>
      <c r="P98" s="46">
        <f t="shared" ca="1" si="5"/>
        <v>5.4360465116279073E-4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input_390100!A$2</f>
        <v>390100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IFERROR(VLOOKUP(B99,input_390100!L:R,7,FALSE),VLOOKUP(tables_390100!C99,input_390100!A:H,8,FALSE))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input_390100!A$2</f>
        <v>390100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IFERROR(VLOOKUP(B100,input_390100!L:R,7,FALSE),VLOOKUP(tables_390100!C100,input_390100!A:H,8,FALSE))</f>
        <v>373065</v>
      </c>
      <c r="P100" s="46">
        <f t="shared" ca="1" si="5"/>
        <v>1.0328488372093023E-2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input_390100!A$2</f>
        <v>390100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IFERROR(VLOOKUP(B101,input_390100!L:R,7,FALSE),VLOOKUP(tables_390100!C101,input_390100!A:H,8,FALSE))</f>
        <v>19635</v>
      </c>
      <c r="P101" s="46">
        <f t="shared" ca="1" si="5"/>
        <v>5.4360465116279073E-4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input_390100!A$2</f>
        <v>390100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IFERROR(VLOOKUP(B102,input_390100!L:R,7,FALSE),VLOOKUP(tables_390100!C102,input_390100!A:H,8,FALSE))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input_390100!A$2</f>
        <v>390100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IFERROR(VLOOKUP(B103,input_390100!L:R,7,FALSE),VLOOKUP(tables_390100!C103,input_390100!A:H,8,FALSE))</f>
        <v>373065</v>
      </c>
      <c r="P103" s="46">
        <f t="shared" ca="1" si="5"/>
        <v>1.0328488372093023E-2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input_390100!A$2</f>
        <v>390100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IFERROR(VLOOKUP(B104,input_390100!L:R,7,FALSE),VLOOKUP(tables_390100!C104,input_390100!A:H,8,FALSE))</f>
        <v>19635</v>
      </c>
      <c r="P104" s="46">
        <f t="shared" ca="1" si="5"/>
        <v>5.4360465116279073E-4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input_390100!A$2</f>
        <v>390100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IFERROR(VLOOKUP(B105,input_390100!L:R,7,FALSE),VLOOKUP(tables_390100!C105,input_390100!A:H,8,FALSE))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input_390100!A$2</f>
        <v>390100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IFERROR(VLOOKUP(B106,input_390100!L:R,7,FALSE),VLOOKUP(tables_390100!C106,input_390100!A:H,8,FALSE))</f>
        <v>373065</v>
      </c>
      <c r="P106" s="46">
        <f t="shared" ca="1" si="5"/>
        <v>1.0328488372093023E-2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input_390100!A$2</f>
        <v>390100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IFERROR(VLOOKUP(B107,input_390100!L:R,7,FALSE),VLOOKUP(tables_390100!C107,input_390100!A:H,8,FALSE))</f>
        <v>19635</v>
      </c>
      <c r="P107" s="46">
        <f t="shared" ca="1" si="5"/>
        <v>5.4360465116279073E-4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input_390100!A$2</f>
        <v>390100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IFERROR(VLOOKUP(B108,input_390100!L:R,7,FALSE),VLOOKUP(tables_390100!C108,input_390100!A:H,8,FALSE))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input_390100!A$2</f>
        <v>390100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IFERROR(VLOOKUP(B109,input_390100!L:R,7,FALSE),VLOOKUP(tables_390100!C109,input_390100!A:H,8,FALSE))</f>
        <v>373065</v>
      </c>
      <c r="P109" s="46">
        <f t="shared" ca="1" si="5"/>
        <v>1.0328488372093023E-2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input_390100!A$2</f>
        <v>390100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IFERROR(VLOOKUP(B110,input_390100!L:R,7,FALSE),VLOOKUP(tables_390100!C110,input_390100!A:H,8,FALSE))</f>
        <v>19635</v>
      </c>
      <c r="P110" s="46">
        <f t="shared" ca="1" si="5"/>
        <v>5.4360465116279073E-4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input_390100!A$2</f>
        <v>390100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IFERROR(VLOOKUP(B111,input_390100!L:R,7,FALSE),VLOOKUP(tables_390100!C111,input_390100!A:H,8,FALSE))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input_390100!A$2</f>
        <v>390100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IFERROR(VLOOKUP(B112,input_390100!L:R,7,FALSE),VLOOKUP(tables_390100!C112,input_390100!A:H,8,FALSE))</f>
        <v>373065</v>
      </c>
      <c r="P112" s="46">
        <f t="shared" ca="1" si="5"/>
        <v>1.0328488372093023E-2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input_390100!A$2</f>
        <v>390100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IFERROR(VLOOKUP(B113,input_390100!L:R,7,FALSE),VLOOKUP(tables_390100!C113,input_390100!A:H,8,FALSE))</f>
        <v>19635</v>
      </c>
      <c r="P113" s="46">
        <f t="shared" ca="1" si="5"/>
        <v>5.4360465116279073E-4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input_390100!A$2</f>
        <v>390100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IFERROR(VLOOKUP(B114,input_390100!L:R,7,FALSE),VLOOKUP(tables_390100!C114,input_390100!A:H,8,FALSE))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input_390100!A$2</f>
        <v>390100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IFERROR(VLOOKUP(B115,input_390100!L:R,7,FALSE),VLOOKUP(tables_390100!C115,input_390100!A:H,8,FALSE))</f>
        <v>373065</v>
      </c>
      <c r="P115" s="46">
        <f t="shared" ca="1" si="5"/>
        <v>1.0328488372093023E-2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input_390100!A$2</f>
        <v>390100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IFERROR(VLOOKUP(B116,input_390100!L:R,7,FALSE),VLOOKUP(tables_390100!C116,input_390100!A:H,8,FALSE))</f>
        <v>19635</v>
      </c>
      <c r="P116" s="46">
        <f t="shared" ca="1" si="5"/>
        <v>5.4360465116279073E-4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input_390100!A$2</f>
        <v>390100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IFERROR(VLOOKUP(B117,input_390100!L:R,7,FALSE),VLOOKUP(tables_390100!C117,input_390100!A:H,8,FALSE))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input_390100!A$2</f>
        <v>390100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IFERROR(VLOOKUP(B118,input_390100!L:R,7,FALSE),VLOOKUP(tables_390100!C118,input_390100!A:H,8,FALSE))</f>
        <v>373065</v>
      </c>
      <c r="P118" s="46">
        <f t="shared" ca="1" si="5"/>
        <v>1.0328488372093023E-2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input_390100!A$2</f>
        <v>390100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IFERROR(VLOOKUP(B119,input_390100!L:R,7,FALSE),VLOOKUP(tables_390100!C119,input_390100!A:H,8,FALSE))</f>
        <v>19635</v>
      </c>
      <c r="P119" s="46">
        <f t="shared" ca="1" si="5"/>
        <v>5.4360465116279073E-4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input_390100!A$2</f>
        <v>390100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IFERROR(VLOOKUP(B120,input_390100!L:R,7,FALSE),VLOOKUP(tables_390100!C120,input_390100!A:H,8,FALSE))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input_390100!A$2</f>
        <v>390100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IFERROR(VLOOKUP(B121,input_390100!L:R,7,FALSE),VLOOKUP(tables_390100!C121,input_390100!A:H,8,FALSE))</f>
        <v>373065</v>
      </c>
      <c r="P121" s="46">
        <f t="shared" ca="1" si="5"/>
        <v>1.0328488372093023E-2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input_390100!A$2</f>
        <v>390100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IFERROR(VLOOKUP(B122,input_390100!L:R,7,FALSE),VLOOKUP(tables_390100!C122,input_390100!A:H,8,FALSE))</f>
        <v>19635</v>
      </c>
      <c r="P122" s="46">
        <f t="shared" ca="1" si="5"/>
        <v>5.4360465116279073E-4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input_390100!A$2</f>
        <v>390100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IFERROR(VLOOKUP(B123,input_390100!L:R,7,FALSE),VLOOKUP(tables_390100!C123,input_390100!A:H,8,FALSE))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input_390100!A$2</f>
        <v>390100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IFERROR(VLOOKUP(B124,input_390100!L:R,7,FALSE),VLOOKUP(tables_390100!C124,input_390100!A:H,8,FALSE))</f>
        <v>373065</v>
      </c>
      <c r="P124" s="46">
        <f t="shared" ca="1" si="5"/>
        <v>1.0328488372093023E-2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input_390100!A$2</f>
        <v>390100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IFERROR(VLOOKUP(B125,input_390100!L:R,7,FALSE),VLOOKUP(tables_390100!C125,input_390100!A:H,8,FALSE))</f>
        <v>19635</v>
      </c>
      <c r="P125" s="46">
        <f t="shared" ca="1" si="5"/>
        <v>5.4360465116279073E-4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input_390100!A$2</f>
        <v>390100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IFERROR(VLOOKUP(B126,input_390100!L:R,7,FALSE),VLOOKUP(tables_390100!C126,input_390100!A:H,8,FALSE))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input_390100!A$2</f>
        <v>390100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IFERROR(VLOOKUP(B127,input_390100!L:R,7,FALSE),VLOOKUP(tables_390100!C127,input_390100!A:H,8,FALSE))</f>
        <v>373065</v>
      </c>
      <c r="P127" s="46">
        <f t="shared" ca="1" si="5"/>
        <v>1.0328488372093023E-2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input_390100!A$2</f>
        <v>390100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IFERROR(VLOOKUP(B128,input_390100!L:R,7,FALSE),VLOOKUP(tables_390100!C128,input_390100!A:H,8,FALSE))</f>
        <v>19635</v>
      </c>
      <c r="P128" s="46">
        <f t="shared" ca="1" si="5"/>
        <v>5.4360465116279073E-4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input_390100!A$2</f>
        <v>390100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IFERROR(VLOOKUP(B129,input_390100!L:R,7,FALSE),VLOOKUP(tables_390100!C129,input_390100!A:H,8,FALSE))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input_390100!A$2</f>
        <v>390100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IFERROR(VLOOKUP(B130,input_390100!L:R,7,FALSE),VLOOKUP(tables_390100!C130,input_390100!A:H,8,FALSE))</f>
        <v>373065</v>
      </c>
      <c r="P130" s="46">
        <f t="shared" ref="P130:P193" ca="1" si="8">O130/SUM(O:O)</f>
        <v>1.0328488372093023E-2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input_390100!A$2</f>
        <v>390100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IFERROR(VLOOKUP(B131,input_390100!L:R,7,FALSE),VLOOKUP(tables_390100!C131,input_390100!A:H,8,FALSE))</f>
        <v>19635</v>
      </c>
      <c r="P131" s="46">
        <f t="shared" ca="1" si="8"/>
        <v>5.4360465116279073E-4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input_390100!A$2</f>
        <v>390100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IFERROR(VLOOKUP(B132,input_390100!L:R,7,FALSE),VLOOKUP(tables_390100!C132,input_390100!A:H,8,FALSE))</f>
        <v>0</v>
      </c>
      <c r="P132" s="46">
        <f t="shared" ca="1" si="8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input_390100!A$2</f>
        <v>390100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IFERROR(VLOOKUP(B133,input_390100!L:R,7,FALSE),VLOOKUP(tables_390100!C133,input_390100!A:H,8,FALSE))</f>
        <v>373065</v>
      </c>
      <c r="P133" s="46">
        <f t="shared" ca="1" si="8"/>
        <v>1.0328488372093023E-2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input_390100!A$2</f>
        <v>390100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IFERROR(VLOOKUP(B134,input_390100!L:R,7,FALSE),VLOOKUP(tables_390100!C134,input_390100!A:H,8,FALSE))</f>
        <v>19635</v>
      </c>
      <c r="P134" s="46">
        <f t="shared" ca="1" si="8"/>
        <v>5.4360465116279073E-4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input_390100!A$2</f>
        <v>390100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IFERROR(VLOOKUP(B135,input_390100!L:R,7,FALSE),VLOOKUP(tables_390100!C135,input_390100!A:H,8,FALSE))</f>
        <v>0</v>
      </c>
      <c r="P135" s="46">
        <f t="shared" ca="1" si="8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input_390100!A$2</f>
        <v>390100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IFERROR(VLOOKUP(B136,input_390100!L:R,7,FALSE),VLOOKUP(tables_390100!C136,input_390100!A:H,8,FALSE))</f>
        <v>373065</v>
      </c>
      <c r="P136" s="46">
        <f t="shared" ca="1" si="8"/>
        <v>1.0328488372093023E-2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input_390100!A$2</f>
        <v>390100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IFERROR(VLOOKUP(B137,input_390100!L:R,7,FALSE),VLOOKUP(tables_390100!C137,input_390100!A:H,8,FALSE))</f>
        <v>19635</v>
      </c>
      <c r="P137" s="46">
        <f t="shared" ca="1" si="8"/>
        <v>5.4360465116279073E-4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input_390100!A$2</f>
        <v>390100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IFERROR(VLOOKUP(B138,input_390100!L:R,7,FALSE),VLOOKUP(tables_390100!C138,input_390100!A:H,8,FALSE))</f>
        <v>23693</v>
      </c>
      <c r="P138" s="46">
        <f t="shared" ca="1" si="8"/>
        <v>6.5595238095238098E-4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input_390100!A$2</f>
        <v>390100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IFERROR(VLOOKUP(B139,input_390100!L:R,7,FALSE),VLOOKUP(tables_390100!C139,input_390100!A:H,8,FALSE))</f>
        <v>1247</v>
      </c>
      <c r="P139" s="46">
        <f t="shared" ca="1" si="8"/>
        <v>3.4523809523809526E-5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input_390100!A$2</f>
        <v>390100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IFERROR(VLOOKUP(B140,input_390100!L:R,7,FALSE),VLOOKUP(tables_390100!C140,input_390100!A:H,8,FALSE))</f>
        <v>23693</v>
      </c>
      <c r="P140" s="46">
        <f t="shared" ca="1" si="8"/>
        <v>6.5595238095238098E-4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input_390100!A$2</f>
        <v>390100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IFERROR(VLOOKUP(B141,input_390100!L:R,7,FALSE),VLOOKUP(tables_390100!C141,input_390100!A:H,8,FALSE))</f>
        <v>1247</v>
      </c>
      <c r="P141" s="46">
        <f t="shared" ca="1" si="8"/>
        <v>3.4523809523809526E-5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input_390100!A$2</f>
        <v>390100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IFERROR(VLOOKUP(B142,input_390100!L:R,7,FALSE),VLOOKUP(tables_390100!C142,input_390100!A:H,8,FALSE))</f>
        <v>23693</v>
      </c>
      <c r="P142" s="46">
        <f t="shared" ca="1" si="8"/>
        <v>6.5595238095238098E-4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input_390100!A$2</f>
        <v>390100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IFERROR(VLOOKUP(B143,input_390100!L:R,7,FALSE),VLOOKUP(tables_390100!C143,input_390100!A:H,8,FALSE))</f>
        <v>1247</v>
      </c>
      <c r="P143" s="46">
        <f t="shared" ca="1" si="8"/>
        <v>3.4523809523809526E-5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input_390100!A$2</f>
        <v>390100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IFERROR(VLOOKUP(B144,input_390100!L:R,7,FALSE),VLOOKUP(tables_390100!C144,input_390100!A:H,8,FALSE))</f>
        <v>23693</v>
      </c>
      <c r="P144" s="46">
        <f t="shared" ca="1" si="8"/>
        <v>6.5595238095238098E-4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input_390100!A$2</f>
        <v>390100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IFERROR(VLOOKUP(B145,input_390100!L:R,7,FALSE),VLOOKUP(tables_390100!C145,input_390100!A:H,8,FALSE))</f>
        <v>1247</v>
      </c>
      <c r="P145" s="46">
        <f t="shared" ca="1" si="8"/>
        <v>3.4523809523809526E-5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input_390100!A$2</f>
        <v>390100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IFERROR(VLOOKUP(B146,input_390100!L:R,7,FALSE),VLOOKUP(tables_390100!C146,input_390100!A:H,8,FALSE))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input_390100!A$2</f>
        <v>390100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IFERROR(VLOOKUP(B147,input_390100!L:R,7,FALSE),VLOOKUP(tables_390100!C147,input_390100!A:H,8,FALSE))</f>
        <v>373065</v>
      </c>
      <c r="P147" s="46">
        <f t="shared" ca="1" si="8"/>
        <v>1.0328488372093023E-2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input_390100!A$2</f>
        <v>390100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IFERROR(VLOOKUP(B148,input_390100!L:R,7,FALSE),VLOOKUP(tables_390100!C148,input_390100!A:H,8,FALSE))</f>
        <v>19635</v>
      </c>
      <c r="P148" s="46">
        <f t="shared" ca="1" si="8"/>
        <v>5.4360465116279073E-4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input_390100!A$2</f>
        <v>390100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IFERROR(VLOOKUP(B149,input_390100!L:R,7,FALSE),VLOOKUP(tables_390100!C149,input_390100!A:H,8,FALSE))</f>
        <v>23693</v>
      </c>
      <c r="P149" s="46">
        <f t="shared" ca="1" si="8"/>
        <v>6.5595238095238098E-4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input_390100!A$2</f>
        <v>390100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IFERROR(VLOOKUP(B150,input_390100!L:R,7,FALSE),VLOOKUP(tables_390100!C150,input_390100!A:H,8,FALSE))</f>
        <v>1247</v>
      </c>
      <c r="P150" s="46">
        <f t="shared" ca="1" si="8"/>
        <v>3.4523809523809526E-5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input_390100!A$2</f>
        <v>390100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IFERROR(VLOOKUP(B151,input_390100!L:R,7,FALSE),VLOOKUP(tables_390100!C151,input_390100!A:H,8,FALSE))</f>
        <v>23693</v>
      </c>
      <c r="P151" s="46">
        <f t="shared" ca="1" si="8"/>
        <v>6.5595238095238098E-4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input_390100!A$2</f>
        <v>390100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IFERROR(VLOOKUP(B152,input_390100!L:R,7,FALSE),VLOOKUP(tables_390100!C152,input_390100!A:H,8,FALSE))</f>
        <v>1247</v>
      </c>
      <c r="P152" s="46">
        <f t="shared" ca="1" si="8"/>
        <v>3.4523809523809526E-5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input_390100!A$2</f>
        <v>390100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IFERROR(VLOOKUP(B153,input_390100!L:R,7,FALSE),VLOOKUP(tables_390100!C153,input_390100!A:H,8,FALSE))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input_390100!A$2</f>
        <v>390100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IFERROR(VLOOKUP(B154,input_390100!L:R,7,FALSE),VLOOKUP(tables_390100!C154,input_390100!A:H,8,FALSE))</f>
        <v>373065</v>
      </c>
      <c r="P154" s="46">
        <f t="shared" ca="1" si="8"/>
        <v>1.0328488372093023E-2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input_390100!A$2</f>
        <v>390100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IFERROR(VLOOKUP(B155,input_390100!L:R,7,FALSE),VLOOKUP(tables_390100!C155,input_390100!A:H,8,FALSE))</f>
        <v>19635</v>
      </c>
      <c r="P155" s="46">
        <f t="shared" ca="1" si="8"/>
        <v>5.4360465116279073E-4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input_390100!A$2</f>
        <v>390100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IFERROR(VLOOKUP(B156,input_390100!L:R,7,FALSE),VLOOKUP(tables_390100!C156,input_390100!A:H,8,FALSE))</f>
        <v>23693</v>
      </c>
      <c r="P156" s="46">
        <f t="shared" ca="1" si="8"/>
        <v>6.5595238095238098E-4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input_390100!A$2</f>
        <v>390100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IFERROR(VLOOKUP(B157,input_390100!L:R,7,FALSE),VLOOKUP(tables_390100!C157,input_390100!A:H,8,FALSE))</f>
        <v>1247</v>
      </c>
      <c r="P157" s="46">
        <f t="shared" ca="1" si="8"/>
        <v>3.4523809523809526E-5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input_390100!A$2</f>
        <v>390100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IFERROR(VLOOKUP(B158,input_390100!L:R,7,FALSE),VLOOKUP(tables_390100!C158,input_390100!A:H,8,FALSE))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input_390100!A$2</f>
        <v>390100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IFERROR(VLOOKUP(B159,input_390100!L:R,7,FALSE),VLOOKUP(tables_390100!C159,input_390100!A:H,8,FALSE))</f>
        <v>373065</v>
      </c>
      <c r="P159" s="46">
        <f t="shared" ca="1" si="8"/>
        <v>1.0328488372093023E-2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input_390100!A$2</f>
        <v>390100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IFERROR(VLOOKUP(B160,input_390100!L:R,7,FALSE),VLOOKUP(tables_390100!C160,input_390100!A:H,8,FALSE))</f>
        <v>19635</v>
      </c>
      <c r="P160" s="46">
        <f t="shared" ca="1" si="8"/>
        <v>5.4360465116279073E-4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input_390100!A$2</f>
        <v>390100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IFERROR(VLOOKUP(B161,input_390100!L:R,7,FALSE),VLOOKUP(tables_390100!C161,input_390100!A:H,8,FALSE))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input_390100!A$2</f>
        <v>390100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IFERROR(VLOOKUP(B162,input_390100!L:R,7,FALSE),VLOOKUP(tables_390100!C162,input_390100!A:H,8,FALSE))</f>
        <v>373065</v>
      </c>
      <c r="P162" s="46">
        <f t="shared" ca="1" si="8"/>
        <v>1.0328488372093023E-2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input_390100!A$2</f>
        <v>390100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IFERROR(VLOOKUP(B163,input_390100!L:R,7,FALSE),VLOOKUP(tables_390100!C163,input_390100!A:H,8,FALSE))</f>
        <v>19635</v>
      </c>
      <c r="P163" s="46">
        <f t="shared" ca="1" si="8"/>
        <v>5.4360465116279073E-4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input_390100!A$2</f>
        <v>390100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IFERROR(VLOOKUP(B164,input_390100!L:R,7,FALSE),VLOOKUP(tables_390100!C164,input_390100!A:H,8,FALSE))</f>
        <v>23693</v>
      </c>
      <c r="P164" s="46">
        <f t="shared" ca="1" si="8"/>
        <v>6.5595238095238098E-4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input_390100!A$2</f>
        <v>390100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IFERROR(VLOOKUP(B165,input_390100!L:R,7,FALSE),VLOOKUP(tables_390100!C165,input_390100!A:H,8,FALSE))</f>
        <v>1247</v>
      </c>
      <c r="P165" s="46">
        <f t="shared" ca="1" si="8"/>
        <v>3.4523809523809526E-5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input_390100!A$2</f>
        <v>390100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IFERROR(VLOOKUP(B166,input_390100!L:R,7,FALSE),VLOOKUP(tables_390100!C166,input_390100!A:H,8,FALSE))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input_390100!A$2</f>
        <v>390100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IFERROR(VLOOKUP(B167,input_390100!L:R,7,FALSE),VLOOKUP(tables_390100!C167,input_390100!A:H,8,FALSE))</f>
        <v>373065</v>
      </c>
      <c r="P167" s="46">
        <f t="shared" ca="1" si="8"/>
        <v>1.0328488372093023E-2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input_390100!A$2</f>
        <v>390100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IFERROR(VLOOKUP(B168,input_390100!L:R,7,FALSE),VLOOKUP(tables_390100!C168,input_390100!A:H,8,FALSE))</f>
        <v>19635</v>
      </c>
      <c r="P168" s="46">
        <f t="shared" ca="1" si="8"/>
        <v>5.4360465116279073E-4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input_390100!A$2</f>
        <v>390100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IFERROR(VLOOKUP(B169,input_390100!L:R,7,FALSE),VLOOKUP(tables_390100!C169,input_390100!A:H,8,FALSE))</f>
        <v>23693</v>
      </c>
      <c r="P169" s="46">
        <f t="shared" ca="1" si="8"/>
        <v>6.5595238095238098E-4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input_390100!A$2</f>
        <v>390100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IFERROR(VLOOKUP(B170,input_390100!L:R,7,FALSE),VLOOKUP(tables_390100!C170,input_390100!A:H,8,FALSE))</f>
        <v>1247</v>
      </c>
      <c r="P170" s="46">
        <f t="shared" ca="1" si="8"/>
        <v>3.4523809523809526E-5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input_390100!A$2</f>
        <v>390100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IFERROR(VLOOKUP(B171,input_390100!L:R,7,FALSE),VLOOKUP(tables_390100!C171,input_390100!A:H,8,FALSE))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input_390100!A$2</f>
        <v>390100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IFERROR(VLOOKUP(B172,input_390100!L:R,7,FALSE),VLOOKUP(tables_390100!C172,input_390100!A:H,8,FALSE))</f>
        <v>373065</v>
      </c>
      <c r="P172" s="46">
        <f t="shared" ca="1" si="8"/>
        <v>1.0328488372093023E-2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input_390100!A$2</f>
        <v>390100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IFERROR(VLOOKUP(B173,input_390100!L:R,7,FALSE),VLOOKUP(tables_390100!C173,input_390100!A:H,8,FALSE))</f>
        <v>19635</v>
      </c>
      <c r="P173" s="46">
        <f t="shared" ca="1" si="8"/>
        <v>5.4360465116279073E-4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input_390100!A$2</f>
        <v>390100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IFERROR(VLOOKUP(B174,input_390100!L:R,7,FALSE),VLOOKUP(tables_390100!C174,input_390100!A:H,8,FALSE))</f>
        <v>23693</v>
      </c>
      <c r="P174" s="46">
        <f t="shared" ca="1" si="8"/>
        <v>6.5595238095238098E-4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input_390100!A$2</f>
        <v>390100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IFERROR(VLOOKUP(B175,input_390100!L:R,7,FALSE),VLOOKUP(tables_390100!C175,input_390100!A:H,8,FALSE))</f>
        <v>1247</v>
      </c>
      <c r="P175" s="46">
        <f t="shared" ca="1" si="8"/>
        <v>3.4523809523809526E-5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input_390100!A$2</f>
        <v>390100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IFERROR(VLOOKUP(B176,input_390100!L:R,7,FALSE),VLOOKUP(tables_390100!C176,input_390100!A:H,8,FALSE))</f>
        <v>23693</v>
      </c>
      <c r="P176" s="46">
        <f t="shared" ca="1" si="8"/>
        <v>6.5595238095238098E-4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input_390100!A$2</f>
        <v>390100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IFERROR(VLOOKUP(B177,input_390100!L:R,7,FALSE),VLOOKUP(tables_390100!C177,input_390100!A:H,8,FALSE))</f>
        <v>1247</v>
      </c>
      <c r="P177" s="46">
        <f t="shared" ca="1" si="8"/>
        <v>3.4523809523809526E-5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input_390100!A$2</f>
        <v>390100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IFERROR(VLOOKUP(B178,input_390100!L:R,7,FALSE),VLOOKUP(tables_390100!C178,input_390100!A:H,8,FALSE))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input_390100!A$2</f>
        <v>390100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IFERROR(VLOOKUP(B179,input_390100!L:R,7,FALSE),VLOOKUP(tables_390100!C179,input_390100!A:H,8,FALSE))</f>
        <v>373065</v>
      </c>
      <c r="P179" s="46">
        <f t="shared" ca="1" si="8"/>
        <v>1.0328488372093023E-2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input_390100!A$2</f>
        <v>390100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IFERROR(VLOOKUP(B180,input_390100!L:R,7,FALSE),VLOOKUP(tables_390100!C180,input_390100!A:H,8,FALSE))</f>
        <v>19635</v>
      </c>
      <c r="P180" s="46">
        <f t="shared" ca="1" si="8"/>
        <v>5.4360465116279073E-4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input_390100!A$2</f>
        <v>390100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IFERROR(VLOOKUP(B181,input_390100!L:R,7,FALSE),VLOOKUP(tables_390100!C181,input_390100!A:H,8,FALSE))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input_390100!A$2</f>
        <v>390100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IFERROR(VLOOKUP(B182,input_390100!L:R,7,FALSE),VLOOKUP(tables_390100!C182,input_390100!A:H,8,FALSE))</f>
        <v>373065</v>
      </c>
      <c r="P182" s="46">
        <f t="shared" ca="1" si="8"/>
        <v>1.0328488372093023E-2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input_390100!A$2</f>
        <v>390100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IFERROR(VLOOKUP(B183,input_390100!L:R,7,FALSE),VLOOKUP(tables_390100!C183,input_390100!A:H,8,FALSE))</f>
        <v>19635</v>
      </c>
      <c r="P183" s="46">
        <f t="shared" ca="1" si="8"/>
        <v>5.4360465116279073E-4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input_390100!A$2</f>
        <v>390100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IFERROR(VLOOKUP(B184,input_390100!L:R,7,FALSE),VLOOKUP(tables_390100!C184,input_390100!A:H,8,FALSE))</f>
        <v>23693</v>
      </c>
      <c r="P184" s="46">
        <f t="shared" ca="1" si="8"/>
        <v>6.5595238095238098E-4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input_390100!A$2</f>
        <v>390100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IFERROR(VLOOKUP(B185,input_390100!L:R,7,FALSE),VLOOKUP(tables_390100!C185,input_390100!A:H,8,FALSE))</f>
        <v>1247</v>
      </c>
      <c r="P185" s="46">
        <f t="shared" ca="1" si="8"/>
        <v>3.4523809523809526E-5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input_390100!A$2</f>
        <v>390100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IFERROR(VLOOKUP(B186,input_390100!L:R,7,FALSE),VLOOKUP(tables_390100!C186,input_390100!A:H,8,FALSE))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input_390100!A$2</f>
        <v>390100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IFERROR(VLOOKUP(B187,input_390100!L:R,7,FALSE),VLOOKUP(tables_390100!C187,input_390100!A:H,8,FALSE))</f>
        <v>373065</v>
      </c>
      <c r="P187" s="46">
        <f t="shared" ca="1" si="8"/>
        <v>1.0328488372093023E-2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input_390100!A$2</f>
        <v>390100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IFERROR(VLOOKUP(B188,input_390100!L:R,7,FALSE),VLOOKUP(tables_390100!C188,input_390100!A:H,8,FALSE))</f>
        <v>19635</v>
      </c>
      <c r="P188" s="46">
        <f t="shared" ca="1" si="8"/>
        <v>5.4360465116279073E-4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input_390100!A$2</f>
        <v>390100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IFERROR(VLOOKUP(B189,input_390100!L:R,7,FALSE),VLOOKUP(tables_390100!C189,input_390100!A:H,8,FALSE))</f>
        <v>23693</v>
      </c>
      <c r="P189" s="46">
        <f t="shared" ca="1" si="8"/>
        <v>6.5595238095238098E-4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input_390100!A$2</f>
        <v>390100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IFERROR(VLOOKUP(B190,input_390100!L:R,7,FALSE),VLOOKUP(tables_390100!C190,input_390100!A:H,8,FALSE))</f>
        <v>1247</v>
      </c>
      <c r="P190" s="46">
        <f t="shared" ca="1" si="8"/>
        <v>3.4523809523809526E-5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input_390100!A$2</f>
        <v>390100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IFERROR(VLOOKUP(B191,input_390100!L:R,7,FALSE),VLOOKUP(tables_390100!C191,input_390100!A:H,8,FALSE))</f>
        <v>23693</v>
      </c>
      <c r="P191" s="46">
        <f t="shared" ca="1" si="8"/>
        <v>6.5595238095238098E-4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input_390100!A$2</f>
        <v>390100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IFERROR(VLOOKUP(B192,input_390100!L:R,7,FALSE),VLOOKUP(tables_390100!C192,input_390100!A:H,8,FALSE))</f>
        <v>1247</v>
      </c>
      <c r="P192" s="46">
        <f t="shared" ca="1" si="8"/>
        <v>3.4523809523809526E-5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input_390100!A$2</f>
        <v>390100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IFERROR(VLOOKUP(B193,input_390100!L:R,7,FALSE),VLOOKUP(tables_390100!C193,input_390100!A:H,8,FALSE))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input_390100!A$2</f>
        <v>390100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IFERROR(VLOOKUP(B194,input_390100!L:R,7,FALSE),VLOOKUP(tables_390100!C194,input_390100!A:H,8,FALSE))</f>
        <v>373065</v>
      </c>
      <c r="P194" s="46">
        <f t="shared" ref="P194:P257" ca="1" si="11">O194/SUM(O:O)</f>
        <v>1.0328488372093023E-2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input_390100!A$2</f>
        <v>390100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IFERROR(VLOOKUP(B195,input_390100!L:R,7,FALSE),VLOOKUP(tables_390100!C195,input_390100!A:H,8,FALSE))</f>
        <v>19635</v>
      </c>
      <c r="P195" s="46">
        <f t="shared" ca="1" si="11"/>
        <v>5.4360465116279073E-4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input_390100!A$2</f>
        <v>390100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IFERROR(VLOOKUP(B196,input_390100!L:R,7,FALSE),VLOOKUP(tables_390100!C196,input_390100!A:H,8,FALSE))</f>
        <v>23693</v>
      </c>
      <c r="P196" s="46">
        <f t="shared" ca="1" si="11"/>
        <v>6.5595238095238098E-4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input_390100!A$2</f>
        <v>390100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IFERROR(VLOOKUP(B197,input_390100!L:R,7,FALSE),VLOOKUP(tables_390100!C197,input_390100!A:H,8,FALSE))</f>
        <v>1247</v>
      </c>
      <c r="P197" s="46">
        <f t="shared" ca="1" si="11"/>
        <v>3.4523809523809526E-5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input_390100!A$2</f>
        <v>390100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IFERROR(VLOOKUP(B198,input_390100!L:R,7,FALSE),VLOOKUP(tables_390100!C198,input_390100!A:H,8,FALSE))</f>
        <v>0</v>
      </c>
      <c r="P198" s="46">
        <f t="shared" ca="1" si="11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input_390100!A$2</f>
        <v>390100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IFERROR(VLOOKUP(B199,input_390100!L:R,7,FALSE),VLOOKUP(tables_390100!C199,input_390100!A:H,8,FALSE))</f>
        <v>373065</v>
      </c>
      <c r="P199" s="46">
        <f t="shared" ca="1" si="11"/>
        <v>1.0328488372093023E-2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input_390100!A$2</f>
        <v>390100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IFERROR(VLOOKUP(B200,input_390100!L:R,7,FALSE),VLOOKUP(tables_390100!C200,input_390100!A:H,8,FALSE))</f>
        <v>19635</v>
      </c>
      <c r="P200" s="46">
        <f t="shared" ca="1" si="11"/>
        <v>5.4360465116279073E-4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input_390100!A$2</f>
        <v>390100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IFERROR(VLOOKUP(B201,input_390100!L:R,7,FALSE),VLOOKUP(tables_390100!C201,input_390100!A:H,8,FALSE))</f>
        <v>23693</v>
      </c>
      <c r="P201" s="46">
        <f t="shared" ca="1" si="11"/>
        <v>6.5595238095238098E-4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input_390100!A$2</f>
        <v>390100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IFERROR(VLOOKUP(B202,input_390100!L:R,7,FALSE),VLOOKUP(tables_390100!C202,input_390100!A:H,8,FALSE))</f>
        <v>1247</v>
      </c>
      <c r="P202" s="46">
        <f t="shared" ca="1" si="11"/>
        <v>3.4523809523809526E-5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input_390100!A$2</f>
        <v>390100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IFERROR(VLOOKUP(B203,input_390100!L:R,7,FALSE),VLOOKUP(tables_390100!C203,input_390100!A:H,8,FALSE))</f>
        <v>0</v>
      </c>
      <c r="P203" s="46">
        <f t="shared" ca="1" si="11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input_390100!A$2</f>
        <v>390100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IFERROR(VLOOKUP(B204,input_390100!L:R,7,FALSE),VLOOKUP(tables_390100!C204,input_390100!A:H,8,FALSE))</f>
        <v>373065</v>
      </c>
      <c r="P204" s="46">
        <f t="shared" ca="1" si="11"/>
        <v>1.0328488372093023E-2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input_390100!A$2</f>
        <v>390100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IFERROR(VLOOKUP(B205,input_390100!L:R,7,FALSE),VLOOKUP(tables_390100!C205,input_390100!A:H,8,FALSE))</f>
        <v>19635</v>
      </c>
      <c r="P205" s="46">
        <f t="shared" ca="1" si="11"/>
        <v>5.4360465116279073E-4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input_390100!A$2</f>
        <v>390100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IFERROR(VLOOKUP(B206,input_390100!L:R,7,FALSE),VLOOKUP(tables_390100!C206,input_390100!A:H,8,FALSE))</f>
        <v>23693</v>
      </c>
      <c r="P206" s="46">
        <f t="shared" ca="1" si="11"/>
        <v>6.5595238095238098E-4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input_390100!A$2</f>
        <v>390100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IFERROR(VLOOKUP(B207,input_390100!L:R,7,FALSE),VLOOKUP(tables_390100!C207,input_390100!A:H,8,FALSE))</f>
        <v>1247</v>
      </c>
      <c r="P207" s="46">
        <f t="shared" ca="1" si="11"/>
        <v>3.4523809523809526E-5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input_390100!A$2</f>
        <v>390100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IFERROR(VLOOKUP(B208,input_390100!L:R,7,FALSE),VLOOKUP(tables_390100!C208,input_390100!A:H,8,FALSE))</f>
        <v>23693</v>
      </c>
      <c r="P208" s="46">
        <f t="shared" ca="1" si="11"/>
        <v>6.5595238095238098E-4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input_390100!A$2</f>
        <v>390100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IFERROR(VLOOKUP(B209,input_390100!L:R,7,FALSE),VLOOKUP(tables_390100!C209,input_390100!A:H,8,FALSE))</f>
        <v>1247</v>
      </c>
      <c r="P209" s="46">
        <f t="shared" ca="1" si="11"/>
        <v>3.4523809523809526E-5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input_390100!A$2</f>
        <v>390100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IFERROR(VLOOKUP(B210,input_390100!L:R,7,FALSE),VLOOKUP(tables_390100!C210,input_390100!A:H,8,FALSE))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input_390100!A$2</f>
        <v>390100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IFERROR(VLOOKUP(B211,input_390100!L:R,7,FALSE),VLOOKUP(tables_390100!C211,input_390100!A:H,8,FALSE))</f>
        <v>373065</v>
      </c>
      <c r="P211" s="46">
        <f t="shared" ca="1" si="11"/>
        <v>1.0328488372093023E-2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input_390100!A$2</f>
        <v>390100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IFERROR(VLOOKUP(B212,input_390100!L:R,7,FALSE),VLOOKUP(tables_390100!C212,input_390100!A:H,8,FALSE))</f>
        <v>19635</v>
      </c>
      <c r="P212" s="46">
        <f t="shared" ca="1" si="11"/>
        <v>5.4360465116279073E-4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input_390100!A$2</f>
        <v>390100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IFERROR(VLOOKUP(B213,input_390100!L:R,7,FALSE),VLOOKUP(tables_390100!C213,input_390100!A:H,8,FALSE))</f>
        <v>23693</v>
      </c>
      <c r="P213" s="46">
        <f t="shared" ca="1" si="11"/>
        <v>6.5595238095238098E-4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input_390100!A$2</f>
        <v>390100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IFERROR(VLOOKUP(B214,input_390100!L:R,7,FALSE),VLOOKUP(tables_390100!C214,input_390100!A:H,8,FALSE))</f>
        <v>1247</v>
      </c>
      <c r="P214" s="46">
        <f t="shared" ca="1" si="11"/>
        <v>3.4523809523809526E-5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input_390100!A$2</f>
        <v>390100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IFERROR(VLOOKUP(B215,input_390100!L:R,7,FALSE),VLOOKUP(tables_390100!C215,input_390100!A:H,8,FALSE))</f>
        <v>23693</v>
      </c>
      <c r="P215" s="46">
        <f t="shared" ca="1" si="11"/>
        <v>6.5595238095238098E-4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input_390100!A$2</f>
        <v>390100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IFERROR(VLOOKUP(B216,input_390100!L:R,7,FALSE),VLOOKUP(tables_390100!C216,input_390100!A:H,8,FALSE))</f>
        <v>1247</v>
      </c>
      <c r="P216" s="46">
        <f t="shared" ca="1" si="11"/>
        <v>3.4523809523809526E-5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input_390100!A$2</f>
        <v>390100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IFERROR(VLOOKUP(B217,input_390100!L:R,7,FALSE),VLOOKUP(tables_390100!C217,input_390100!A:H,8,FALSE))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input_390100!A$2</f>
        <v>390100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IFERROR(VLOOKUP(B218,input_390100!L:R,7,FALSE),VLOOKUP(tables_390100!C218,input_390100!A:H,8,FALSE))</f>
        <v>373065</v>
      </c>
      <c r="P218" s="46">
        <f t="shared" ca="1" si="11"/>
        <v>1.0328488372093023E-2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input_390100!A$2</f>
        <v>390100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IFERROR(VLOOKUP(B219,input_390100!L:R,7,FALSE),VLOOKUP(tables_390100!C219,input_390100!A:H,8,FALSE))</f>
        <v>19635</v>
      </c>
      <c r="P219" s="46">
        <f t="shared" ca="1" si="11"/>
        <v>5.4360465116279073E-4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input_390100!A$2</f>
        <v>390100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IFERROR(VLOOKUP(B220,input_390100!L:R,7,FALSE),VLOOKUP(tables_390100!C220,input_390100!A:H,8,FALSE))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input_390100!A$2</f>
        <v>390100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IFERROR(VLOOKUP(B221,input_390100!L:R,7,FALSE),VLOOKUP(tables_390100!C221,input_390100!A:H,8,FALSE))</f>
        <v>373065</v>
      </c>
      <c r="P221" s="46">
        <f t="shared" ca="1" si="11"/>
        <v>1.0328488372093023E-2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input_390100!A$2</f>
        <v>390100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IFERROR(VLOOKUP(B222,input_390100!L:R,7,FALSE),VLOOKUP(tables_390100!C222,input_390100!A:H,8,FALSE))</f>
        <v>19635</v>
      </c>
      <c r="P222" s="46">
        <f t="shared" ca="1" si="11"/>
        <v>5.4360465116279073E-4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input_390100!A$2</f>
        <v>390100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IFERROR(VLOOKUP(B223,input_390100!L:R,7,FALSE),VLOOKUP(tables_390100!C223,input_390100!A:H,8,FALSE))</f>
        <v>23693</v>
      </c>
      <c r="P223" s="46">
        <f t="shared" ca="1" si="11"/>
        <v>6.5595238095238098E-4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input_390100!A$2</f>
        <v>390100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IFERROR(VLOOKUP(B224,input_390100!L:R,7,FALSE),VLOOKUP(tables_390100!C224,input_390100!A:H,8,FALSE))</f>
        <v>1247</v>
      </c>
      <c r="P224" s="46">
        <f t="shared" ca="1" si="11"/>
        <v>3.4523809523809526E-5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input_390100!A$2</f>
        <v>390100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IFERROR(VLOOKUP(B225,input_390100!L:R,7,FALSE),VLOOKUP(tables_390100!C225,input_390100!A:H,8,FALSE))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input_390100!A$2</f>
        <v>390100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IFERROR(VLOOKUP(B226,input_390100!L:R,7,FALSE),VLOOKUP(tables_390100!C226,input_390100!A:H,8,FALSE))</f>
        <v>373065</v>
      </c>
      <c r="P226" s="46">
        <f t="shared" ca="1" si="11"/>
        <v>1.0328488372093023E-2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input_390100!A$2</f>
        <v>390100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IFERROR(VLOOKUP(B227,input_390100!L:R,7,FALSE),VLOOKUP(tables_390100!C227,input_390100!A:H,8,FALSE))</f>
        <v>19635</v>
      </c>
      <c r="P227" s="46">
        <f t="shared" ca="1" si="11"/>
        <v>5.4360465116279073E-4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input_390100!A$2</f>
        <v>390100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IFERROR(VLOOKUP(B228,input_390100!L:R,7,FALSE),VLOOKUP(tables_390100!C228,input_390100!A:H,8,FALSE))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input_390100!A$2</f>
        <v>390100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IFERROR(VLOOKUP(B229,input_390100!L:R,7,FALSE),VLOOKUP(tables_390100!C229,input_390100!A:H,8,FALSE))</f>
        <v>373065</v>
      </c>
      <c r="P229" s="46">
        <f t="shared" ca="1" si="11"/>
        <v>1.0328488372093023E-2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input_390100!A$2</f>
        <v>390100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IFERROR(VLOOKUP(B230,input_390100!L:R,7,FALSE),VLOOKUP(tables_390100!C230,input_390100!A:H,8,FALSE))</f>
        <v>19635</v>
      </c>
      <c r="P230" s="46">
        <f t="shared" ca="1" si="11"/>
        <v>5.4360465116279073E-4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input_390100!A$2</f>
        <v>390100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IFERROR(VLOOKUP(B231,input_390100!L:R,7,FALSE),VLOOKUP(tables_390100!C231,input_390100!A:H,8,FALSE))</f>
        <v>23693</v>
      </c>
      <c r="P231" s="46">
        <f t="shared" ca="1" si="11"/>
        <v>6.5595238095238098E-4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input_390100!A$2</f>
        <v>390100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IFERROR(VLOOKUP(B232,input_390100!L:R,7,FALSE),VLOOKUP(tables_390100!C232,input_390100!A:H,8,FALSE))</f>
        <v>1247</v>
      </c>
      <c r="P232" s="46">
        <f t="shared" ca="1" si="11"/>
        <v>3.4523809523809526E-5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input_390100!A$2</f>
        <v>390100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IFERROR(VLOOKUP(B233,input_390100!L:R,7,FALSE),VLOOKUP(tables_390100!C233,input_390100!A:H,8,FALSE))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input_390100!A$2</f>
        <v>390100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IFERROR(VLOOKUP(B234,input_390100!L:R,7,FALSE),VLOOKUP(tables_390100!C234,input_390100!A:H,8,FALSE))</f>
        <v>373065</v>
      </c>
      <c r="P234" s="46">
        <f t="shared" ca="1" si="11"/>
        <v>1.0328488372093023E-2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input_390100!A$2</f>
        <v>390100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IFERROR(VLOOKUP(B235,input_390100!L:R,7,FALSE),VLOOKUP(tables_390100!C235,input_390100!A:H,8,FALSE))</f>
        <v>19635</v>
      </c>
      <c r="P235" s="46">
        <f t="shared" ca="1" si="11"/>
        <v>5.4360465116279073E-4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input_390100!A$2</f>
        <v>390100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IFERROR(VLOOKUP(B236,input_390100!L:R,7,FALSE),VLOOKUP(tables_390100!C236,input_390100!A:H,8,FALSE))</f>
        <v>23693</v>
      </c>
      <c r="P236" s="46">
        <f t="shared" ca="1" si="11"/>
        <v>6.5595238095238098E-4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input_390100!A$2</f>
        <v>390100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IFERROR(VLOOKUP(B237,input_390100!L:R,7,FALSE),VLOOKUP(tables_390100!C237,input_390100!A:H,8,FALSE))</f>
        <v>1247</v>
      </c>
      <c r="P237" s="46">
        <f t="shared" ca="1" si="11"/>
        <v>3.4523809523809526E-5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input_390100!A$2</f>
        <v>390100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IFERROR(VLOOKUP(B238,input_390100!L:R,7,FALSE),VLOOKUP(tables_390100!C238,input_390100!A:H,8,FALSE))</f>
        <v>23693</v>
      </c>
      <c r="P238" s="46">
        <f t="shared" ca="1" si="11"/>
        <v>6.5595238095238098E-4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input_390100!A$2</f>
        <v>390100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IFERROR(VLOOKUP(B239,input_390100!L:R,7,FALSE),VLOOKUP(tables_390100!C239,input_390100!A:H,8,FALSE))</f>
        <v>1247</v>
      </c>
      <c r="P239" s="46">
        <f t="shared" ca="1" si="11"/>
        <v>3.4523809523809526E-5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input_390100!A$2</f>
        <v>390100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IFERROR(VLOOKUP(B240,input_390100!L:R,7,FALSE),VLOOKUP(tables_390100!C240,input_390100!A:H,8,FALSE))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input_390100!A$2</f>
        <v>390100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IFERROR(VLOOKUP(B241,input_390100!L:R,7,FALSE),VLOOKUP(tables_390100!C241,input_390100!A:H,8,FALSE))</f>
        <v>373065</v>
      </c>
      <c r="P241" s="46">
        <f t="shared" ca="1" si="11"/>
        <v>1.0328488372093023E-2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input_390100!A$2</f>
        <v>390100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IFERROR(VLOOKUP(B242,input_390100!L:R,7,FALSE),VLOOKUP(tables_390100!C242,input_390100!A:H,8,FALSE))</f>
        <v>19635</v>
      </c>
      <c r="P242" s="46">
        <f t="shared" ca="1" si="11"/>
        <v>5.4360465116279073E-4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input_390100!A$2</f>
        <v>390100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IFERROR(VLOOKUP(B243,input_390100!L:R,7,FALSE),VLOOKUP(tables_390100!C243,input_390100!A:H,8,FALSE))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input_390100!A$2</f>
        <v>390100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IFERROR(VLOOKUP(B244,input_390100!L:R,7,FALSE),VLOOKUP(tables_390100!C244,input_390100!A:H,8,FALSE))</f>
        <v>373065</v>
      </c>
      <c r="P244" s="46">
        <f t="shared" ca="1" si="11"/>
        <v>1.0328488372093023E-2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input_390100!A$2</f>
        <v>390100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IFERROR(VLOOKUP(B245,input_390100!L:R,7,FALSE),VLOOKUP(tables_390100!C245,input_390100!A:H,8,FALSE))</f>
        <v>19635</v>
      </c>
      <c r="P245" s="46">
        <f t="shared" ca="1" si="11"/>
        <v>5.4360465116279073E-4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input_390100!A$2</f>
        <v>390100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IFERROR(VLOOKUP(B246,input_390100!L:R,7,FALSE),VLOOKUP(tables_390100!C246,input_390100!A:H,8,FALSE))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input_390100!A$2</f>
        <v>390100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IFERROR(VLOOKUP(B247,input_390100!L:R,7,FALSE),VLOOKUP(tables_390100!C247,input_390100!A:H,8,FALSE))</f>
        <v>373065</v>
      </c>
      <c r="P247" s="46">
        <f t="shared" ca="1" si="11"/>
        <v>1.0328488372093023E-2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input_390100!A$2</f>
        <v>390100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IFERROR(VLOOKUP(B248,input_390100!L:R,7,FALSE),VLOOKUP(tables_390100!C248,input_390100!A:H,8,FALSE))</f>
        <v>19635</v>
      </c>
      <c r="P248" s="46">
        <f t="shared" ca="1" si="11"/>
        <v>5.4360465116279073E-4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input_390100!A$2</f>
        <v>390100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IFERROR(VLOOKUP(B249,input_390100!L:R,7,FALSE),VLOOKUP(tables_390100!C249,input_390100!A:H,8,FALSE))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input_390100!A$2</f>
        <v>390100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IFERROR(VLOOKUP(B250,input_390100!L:R,7,FALSE),VLOOKUP(tables_390100!C250,input_390100!A:H,8,FALSE))</f>
        <v>373065</v>
      </c>
      <c r="P250" s="46">
        <f t="shared" ca="1" si="11"/>
        <v>1.0328488372093023E-2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input_390100!A$2</f>
        <v>390100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IFERROR(VLOOKUP(B251,input_390100!L:R,7,FALSE),VLOOKUP(tables_390100!C251,input_390100!A:H,8,FALSE))</f>
        <v>19635</v>
      </c>
      <c r="P251" s="46">
        <f t="shared" ca="1" si="11"/>
        <v>5.4360465116279073E-4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input_390100!A$2</f>
        <v>390100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IFERROR(VLOOKUP(B252,input_390100!L:R,7,FALSE),VLOOKUP(tables_390100!C252,input_390100!A:H,8,FALSE))</f>
        <v>23693</v>
      </c>
      <c r="P252" s="46">
        <f t="shared" ca="1" si="11"/>
        <v>6.5595238095238098E-4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input_390100!A$2</f>
        <v>390100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IFERROR(VLOOKUP(B253,input_390100!L:R,7,FALSE),VLOOKUP(tables_390100!C253,input_390100!A:H,8,FALSE))</f>
        <v>1247</v>
      </c>
      <c r="P253" s="46">
        <f t="shared" ca="1" si="11"/>
        <v>3.4523809523809526E-5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input_390100!A$2</f>
        <v>390100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IFERROR(VLOOKUP(B254,input_390100!L:R,7,FALSE),VLOOKUP(tables_390100!C254,input_390100!A:H,8,FALSE))</f>
        <v>23693</v>
      </c>
      <c r="P254" s="46">
        <f t="shared" ca="1" si="11"/>
        <v>6.5595238095238098E-4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input_390100!A$2</f>
        <v>390100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IFERROR(VLOOKUP(B255,input_390100!L:R,7,FALSE),VLOOKUP(tables_390100!C255,input_390100!A:H,8,FALSE))</f>
        <v>1247</v>
      </c>
      <c r="P255" s="46">
        <f t="shared" ca="1" si="11"/>
        <v>3.4523809523809526E-5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input_390100!A$2</f>
        <v>390100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IFERROR(VLOOKUP(B256,input_390100!L:R,7,FALSE),VLOOKUP(tables_390100!C256,input_390100!A:H,8,FALSE))</f>
        <v>360463.6</v>
      </c>
      <c r="P256" s="46">
        <f t="shared" ca="1" si="11"/>
        <v>9.9796124031007738E-3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input_390100!A$2</f>
        <v>390100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IFERROR(VLOOKUP(B257,input_390100!L:R,7,FALSE),VLOOKUP(tables_390100!C257,input_390100!A:H,8,FALSE))</f>
        <v>32236.400000000001</v>
      </c>
      <c r="P257" s="46">
        <f t="shared" ca="1" si="11"/>
        <v>8.9248062015503883E-4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input_390100!A$2</f>
        <v>390100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IFERROR(VLOOKUP(B258,input_390100!L:R,7,FALSE),VLOOKUP(tables_390100!C258,input_390100!A:H,8,FALSE))</f>
        <v>360463.6</v>
      </c>
      <c r="P258" s="46">
        <f t="shared" ref="P258:P294" ca="1" si="14">O258/SUM(O:O)</f>
        <v>9.9796124031007738E-3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input_390100!A$2</f>
        <v>390100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IFERROR(VLOOKUP(B259,input_390100!L:R,7,FALSE),VLOOKUP(tables_390100!C259,input_390100!A:H,8,FALSE))</f>
        <v>32236.400000000001</v>
      </c>
      <c r="P259" s="46">
        <f t="shared" ca="1" si="14"/>
        <v>8.9248062015503883E-4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input_390100!A$2</f>
        <v>390100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IFERROR(VLOOKUP(B260,input_390100!L:R,7,FALSE),VLOOKUP(tables_390100!C260,input_390100!A:H,8,FALSE))</f>
        <v>24940</v>
      </c>
      <c r="P260" s="46">
        <f t="shared" ca="1" si="14"/>
        <v>6.9047619047619046E-4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input_390100!A$2</f>
        <v>390100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IFERROR(VLOOKUP(B261,input_390100!L:R,7,FALSE),VLOOKUP(tables_390100!C261,input_390100!A:H,8,FALSE))</f>
        <v>24940</v>
      </c>
      <c r="P261" s="46">
        <f t="shared" ca="1" si="14"/>
        <v>6.9047619047619046E-4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input_390100!A$2</f>
        <v>390100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IFERROR(VLOOKUP(B262,input_390100!L:R,7,FALSE),VLOOKUP(tables_390100!C262,input_390100!A:H,8,FALSE))</f>
        <v>23693</v>
      </c>
      <c r="P262" s="46">
        <f t="shared" ca="1" si="14"/>
        <v>6.5595238095238098E-4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input_390100!A$2</f>
        <v>390100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IFERROR(VLOOKUP(B263,input_390100!L:R,7,FALSE),VLOOKUP(tables_390100!C263,input_390100!A:H,8,FALSE))</f>
        <v>1247</v>
      </c>
      <c r="P263" s="46">
        <f t="shared" ca="1" si="14"/>
        <v>3.4523809523809526E-5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input_390100!A$2</f>
        <v>390100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IFERROR(VLOOKUP(B264,input_390100!L:R,7,FALSE),VLOOKUP(tables_390100!C264,input_390100!A:H,8,FALSE))</f>
        <v>23693</v>
      </c>
      <c r="P264" s="46">
        <f t="shared" ca="1" si="14"/>
        <v>6.5595238095238098E-4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input_390100!A$2</f>
        <v>390100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IFERROR(VLOOKUP(B265,input_390100!L:R,7,FALSE),VLOOKUP(tables_390100!C265,input_390100!A:H,8,FALSE))</f>
        <v>1247</v>
      </c>
      <c r="P265" s="46">
        <f t="shared" ca="1" si="14"/>
        <v>3.4523809523809526E-5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input_390100!A$2</f>
        <v>390100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IFERROR(VLOOKUP(B266,input_390100!L:R,7,FALSE),VLOOKUP(tables_390100!C266,input_390100!A:H,8,FALSE))</f>
        <v>0</v>
      </c>
      <c r="P266" s="46">
        <f t="shared" ca="1" si="14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input_390100!A$2</f>
        <v>390100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IFERROR(VLOOKUP(B267,input_390100!L:R,7,FALSE),VLOOKUP(tables_390100!C267,input_390100!A:H,8,FALSE))</f>
        <v>373065</v>
      </c>
      <c r="P267" s="46">
        <f t="shared" ca="1" si="14"/>
        <v>1.0328488372093023E-2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input_390100!A$2</f>
        <v>390100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IFERROR(VLOOKUP(B268,input_390100!L:R,7,FALSE),VLOOKUP(tables_390100!C268,input_390100!A:H,8,FALSE))</f>
        <v>19635</v>
      </c>
      <c r="P268" s="46">
        <f t="shared" ca="1" si="14"/>
        <v>5.4360465116279073E-4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input_390100!A$2</f>
        <v>390100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IFERROR(VLOOKUP(B269,input_390100!L:R,7,FALSE),VLOOKUP(tables_390100!C269,input_390100!A:H,8,FALSE))</f>
        <v>0</v>
      </c>
      <c r="P269" s="46">
        <f t="shared" ca="1" si="14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input_390100!A$2</f>
        <v>390100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IFERROR(VLOOKUP(B270,input_390100!L:R,7,FALSE),VLOOKUP(tables_390100!C270,input_390100!A:H,8,FALSE))</f>
        <v>373065</v>
      </c>
      <c r="P270" s="46">
        <f t="shared" ca="1" si="14"/>
        <v>1.0328488372093023E-2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input_390100!A$2</f>
        <v>390100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IFERROR(VLOOKUP(B271,input_390100!L:R,7,FALSE),VLOOKUP(tables_390100!C271,input_390100!A:H,8,FALSE))</f>
        <v>19635</v>
      </c>
      <c r="P271" s="46">
        <f t="shared" ca="1" si="14"/>
        <v>5.4360465116279073E-4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input_390100!A$2</f>
        <v>390100</v>
      </c>
      <c r="B272" s="82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IFERROR(VLOOKUP(B272,input_390100!L:R,7,FALSE),VLOOKUP(tables_390100!C272,input_390100!A:H,8,FALSE))</f>
        <v>24940</v>
      </c>
      <c r="P272" s="46">
        <f t="shared" ca="1" si="14"/>
        <v>6.9047619047619046E-4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input_390100!A$2</f>
        <v>390100</v>
      </c>
      <c r="B273" s="82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IFERROR(VLOOKUP(B273,input_390100!L:R,7,FALSE),VLOOKUP(tables_390100!C273,input_390100!A:H,8,FALSE))</f>
        <v>24940</v>
      </c>
      <c r="P273" s="46">
        <f t="shared" ca="1" si="14"/>
        <v>6.9047619047619046E-4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input_390100!A$2</f>
        <v>390100</v>
      </c>
      <c r="B274" s="82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IFERROR(VLOOKUP(B274,input_390100!L:R,7,FALSE),VLOOKUP(tables_390100!C274,input_390100!A:H,8,FALSE))</f>
        <v>360463.6</v>
      </c>
      <c r="P274" s="46">
        <f t="shared" ca="1" si="14"/>
        <v>9.9796124031007738E-3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input_390100!A$2</f>
        <v>390100</v>
      </c>
      <c r="B275" s="82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IFERROR(VLOOKUP(B275,input_390100!L:R,7,FALSE),VLOOKUP(tables_390100!C275,input_390100!A:H,8,FALSE))</f>
        <v>32236.400000000001</v>
      </c>
      <c r="P275" s="46">
        <f t="shared" ca="1" si="14"/>
        <v>8.9248062015503883E-4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input_390100!A$2</f>
        <v>390100</v>
      </c>
      <c r="B276" s="82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IFERROR(VLOOKUP(B276,input_390100!L:R,7,FALSE),VLOOKUP(tables_390100!C276,input_390100!A:H,8,FALSE))</f>
        <v>360463.6</v>
      </c>
      <c r="P276" s="46">
        <f t="shared" ca="1" si="14"/>
        <v>9.9796124031007738E-3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input_390100!A$2</f>
        <v>390100</v>
      </c>
      <c r="B277" s="82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IFERROR(VLOOKUP(B277,input_390100!L:R,7,FALSE),VLOOKUP(tables_390100!C277,input_390100!A:H,8,FALSE))</f>
        <v>32236.400000000001</v>
      </c>
      <c r="P277" s="46">
        <f t="shared" ca="1" si="14"/>
        <v>8.9248062015503883E-4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input_390100!A$2</f>
        <v>390100</v>
      </c>
      <c r="B278" s="82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IFERROR(VLOOKUP(B278,input_390100!L:R,7,FALSE),VLOOKUP(tables_390100!C278,input_390100!A:H,8,FALSE))</f>
        <v>360463.6</v>
      </c>
      <c r="P278" s="46">
        <f t="shared" ca="1" si="14"/>
        <v>9.9796124031007738E-3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input_390100!A$2</f>
        <v>390100</v>
      </c>
      <c r="B279" s="82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IFERROR(VLOOKUP(B279,input_390100!L:R,7,FALSE),VLOOKUP(tables_390100!C279,input_390100!A:H,8,FALSE))</f>
        <v>32236.400000000001</v>
      </c>
      <c r="P279" s="46">
        <f t="shared" ca="1" si="14"/>
        <v>8.9248062015503883E-4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input_390100!A$2</f>
        <v>390100</v>
      </c>
      <c r="B280" s="82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IFERROR(VLOOKUP(B280,input_390100!L:R,7,FALSE),VLOOKUP(tables_390100!C280,input_390100!A:H,8,FALSE))</f>
        <v>360463.6</v>
      </c>
      <c r="P280" s="46">
        <f t="shared" ca="1" si="14"/>
        <v>9.9796124031007738E-3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input_390100!A$2</f>
        <v>390100</v>
      </c>
      <c r="B281" s="82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IFERROR(VLOOKUP(B281,input_390100!L:R,7,FALSE),VLOOKUP(tables_390100!C281,input_390100!A:H,8,FALSE))</f>
        <v>32236.400000000001</v>
      </c>
      <c r="P281" s="46">
        <f t="shared" ca="1" si="14"/>
        <v>8.9248062015503883E-4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input_390100!A$2</f>
        <v>390100</v>
      </c>
      <c r="B282" s="82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IFERROR(VLOOKUP(B282,input_390100!L:R,7,FALSE),VLOOKUP(tables_390100!C282,input_390100!A:H,8,FALSE))</f>
        <v>24940</v>
      </c>
      <c r="P282" s="46">
        <f t="shared" ca="1" si="14"/>
        <v>6.9047619047619046E-4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input_390100!A$2</f>
        <v>390100</v>
      </c>
      <c r="B283" s="82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IFERROR(VLOOKUP(B283,input_390100!L:R,7,FALSE),VLOOKUP(tables_390100!C283,input_390100!A:H,8,FALSE))</f>
        <v>24940</v>
      </c>
      <c r="P283" s="46">
        <f t="shared" ca="1" si="14"/>
        <v>6.9047619047619046E-4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input_390100!A$2</f>
        <v>390100</v>
      </c>
      <c r="B284" s="92">
        <v>742</v>
      </c>
      <c r="C284" s="7" t="str">
        <f t="shared" ref="C284" si="15">D284&amp;J284&amp;E284&amp;F284&amp;G284</f>
        <v>PremiumSS5R5only</v>
      </c>
      <c r="D284" s="7" t="str">
        <f t="shared" ref="D284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IFERROR(VLOOKUP(B284,input_390100!L:R,7,FALSE),VLOOKUP(tables_390100!C284,input_390100!A:H,8,FALSE))</f>
        <v>24940</v>
      </c>
      <c r="P284" s="46">
        <f t="shared" ca="1" si="14"/>
        <v>6.9047619047619046E-4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input_390100!A$2</f>
        <v>390100</v>
      </c>
      <c r="B285" s="92">
        <v>744</v>
      </c>
      <c r="C285" s="7" t="str">
        <f t="shared" ref="C285:C286" si="17">D285&amp;J285&amp;E285&amp;F285&amp;G285</f>
        <v>PremiumSS5R5only</v>
      </c>
      <c r="D285" s="7" t="str">
        <f t="shared" ref="D285:D286" si="18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IFERROR(VLOOKUP(B285,input_390100!L:R,7,FALSE),VLOOKUP(tables_390100!C285,input_390100!A:H,8,FALSE))</f>
        <v>24940</v>
      </c>
      <c r="P285" s="46">
        <f t="shared" ca="1" si="14"/>
        <v>6.9047619047619046E-4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input_390100!A$2</f>
        <v>390100</v>
      </c>
      <c r="B286" s="92">
        <v>746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IFERROR(VLOOKUP(B286,input_390100!L:R,7,FALSE),VLOOKUP(tables_390100!C286,input_390100!A:H,8,FALSE))</f>
        <v>360463.6</v>
      </c>
      <c r="P286" s="46">
        <f t="shared" ca="1" si="14"/>
        <v>9.9796124031007738E-3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input_390100!A$2</f>
        <v>390100</v>
      </c>
      <c r="B287" s="92">
        <v>747</v>
      </c>
      <c r="C287" s="7" t="str">
        <f t="shared" ref="C287:C289" si="19">D287&amp;J287&amp;E287&amp;F287&amp;G287</f>
        <v>Premium5R3less</v>
      </c>
      <c r="D287" s="7" t="str">
        <f t="shared" ref="D287:D289" si="20">IF(I287="PremiumSS",I287,IF(I287="PremiumSSS",I287,IF(I287="PremiumW",I287,"Premium")))</f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IFERROR(VLOOKUP(B287,input_390100!L:R,7,FALSE),VLOOKUP(tables_390100!C287,input_390100!A:H,8,FALSE))</f>
        <v>32236.400000000001</v>
      </c>
      <c r="P287" s="46">
        <f t="shared" ca="1" si="14"/>
        <v>8.9248062015503883E-4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input_390100!A$2</f>
        <v>390100</v>
      </c>
      <c r="B288" s="92">
        <v>748</v>
      </c>
      <c r="C288" s="7" t="str">
        <f t="shared" si="19"/>
        <v>Premium4R3less</v>
      </c>
      <c r="D288" s="7" t="str">
        <f t="shared" si="20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IFERROR(VLOOKUP(B288,input_390100!L:R,7,FALSE),VLOOKUP(tables_390100!C288,input_390100!A:H,8,FALSE))</f>
        <v>360463.6</v>
      </c>
      <c r="P288" s="46">
        <f t="shared" ca="1" si="14"/>
        <v>9.9796124031007738E-3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input_390100!A$2</f>
        <v>390100</v>
      </c>
      <c r="B289" s="92">
        <v>749</v>
      </c>
      <c r="C289" s="7" t="str">
        <f t="shared" si="19"/>
        <v>Premium5R3less</v>
      </c>
      <c r="D289" s="7" t="str">
        <f t="shared" si="20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IFERROR(VLOOKUP(B289,input_390100!L:R,7,FALSE),VLOOKUP(tables_390100!C289,input_390100!A:H,8,FALSE))</f>
        <v>32236.400000000001</v>
      </c>
      <c r="P289" s="46">
        <f t="shared" ca="1" si="14"/>
        <v>8.9248062015503883E-4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input_390100!A$2</f>
        <v>390100</v>
      </c>
      <c r="B290" s="5">
        <v>937</v>
      </c>
      <c r="C290" s="7" t="str">
        <f t="shared" ref="C290:C294" si="21">D290&amp;J290&amp;E290&amp;F290&amp;G290</f>
        <v>PremiumSS5R5only</v>
      </c>
      <c r="D290" s="7" t="str">
        <f t="shared" ref="D290:D294" si="22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IFERROR(VLOOKUP(B290,input_390100!L:R,7,FALSE),VLOOKUP(tables_390100!C290,input_390100!A:H,8,FALSE))</f>
        <v>24940</v>
      </c>
      <c r="P290" s="46">
        <f t="shared" ca="1" si="14"/>
        <v>6.9047619047619046E-4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input_390100!A$2</f>
        <v>390100</v>
      </c>
      <c r="B291" s="5">
        <v>939</v>
      </c>
      <c r="C291" s="7" t="str">
        <f t="shared" si="21"/>
        <v>Premium4R3less</v>
      </c>
      <c r="D291" s="7" t="str">
        <f t="shared" si="22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IFERROR(VLOOKUP(B291,input_390100!L:R,7,FALSE),VLOOKUP(tables_390100!C291,input_390100!A:H,8,FALSE))</f>
        <v>360463.6</v>
      </c>
      <c r="P291" s="46">
        <f t="shared" ca="1" si="14"/>
        <v>9.9796124031007738E-3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input_390100!A$2</f>
        <v>390100</v>
      </c>
      <c r="B292" s="5">
        <v>940</v>
      </c>
      <c r="C292" s="7" t="str">
        <f t="shared" si="21"/>
        <v>Premium5R3less</v>
      </c>
      <c r="D292" s="7" t="str">
        <f t="shared" si="22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IFERROR(VLOOKUP(B292,input_390100!L:R,7,FALSE),VLOOKUP(tables_390100!C292,input_390100!A:H,8,FALSE))</f>
        <v>32236.400000000001</v>
      </c>
      <c r="P292" s="46">
        <f t="shared" ca="1" si="14"/>
        <v>8.9248062015503883E-4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input_390100!A$2</f>
        <v>390100</v>
      </c>
      <c r="B293" s="5">
        <v>941</v>
      </c>
      <c r="C293" s="7" t="str">
        <f t="shared" si="21"/>
        <v>PremiumSS5R5only</v>
      </c>
      <c r="D293" s="7" t="str">
        <f t="shared" si="22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IFERROR(VLOOKUP(B293,input_390100!L:R,7,FALSE),VLOOKUP(tables_390100!C293,input_390100!A:H,8,FALSE))</f>
        <v>24940</v>
      </c>
      <c r="P293" s="46">
        <f t="shared" ca="1" si="14"/>
        <v>6.9047619047619046E-4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input_390100!A$2</f>
        <v>390100</v>
      </c>
      <c r="B294" s="5">
        <v>943</v>
      </c>
      <c r="C294" s="7" t="str">
        <f t="shared" si="21"/>
        <v>PremiumSS5R5only</v>
      </c>
      <c r="D294" s="7" t="str">
        <f t="shared" si="22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IFERROR(VLOOKUP(B294,input_390100!L:R,7,FALSE),VLOOKUP(tables_390100!C294,input_390100!A:H,8,FALSE))</f>
        <v>24940</v>
      </c>
      <c r="P294" s="46">
        <f t="shared" ca="1" si="14"/>
        <v>6.9047619047619046E-4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input_390100!A$2</f>
        <v>390100</v>
      </c>
      <c r="B295" s="5">
        <v>1012</v>
      </c>
      <c r="C295" s="7" t="str">
        <f t="shared" ref="C295:C299" si="23">D295&amp;J295&amp;E295&amp;F295&amp;G295</f>
        <v>PremiumSS5R5only</v>
      </c>
      <c r="D295" s="7" t="str">
        <f t="shared" ref="D295:D299" si="24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IFERROR(VLOOKUP(B295,input_390100!L:R,7,FALSE),VLOOKUP(tables_390100!C295,input_390100!A:H,8,FALSE))</f>
        <v>24940</v>
      </c>
      <c r="P295" s="46">
        <f t="shared" ref="P295:P299" ca="1" si="25">O295/SUM(O:O)</f>
        <v>6.9047619047619046E-4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input_390100!A$2</f>
        <v>390100</v>
      </c>
      <c r="B296" s="5">
        <v>1014</v>
      </c>
      <c r="C296" s="7" t="str">
        <f t="shared" si="23"/>
        <v>PremiumSS5R5only</v>
      </c>
      <c r="D296" s="7" t="str">
        <f t="shared" si="24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IFERROR(VLOOKUP(B296,input_390100!L:R,7,FALSE),VLOOKUP(tables_390100!C296,input_390100!A:H,8,FALSE))</f>
        <v>24940</v>
      </c>
      <c r="P296" s="46">
        <f t="shared" ca="1" si="25"/>
        <v>6.9047619047619046E-4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input_390100!A$2</f>
        <v>390100</v>
      </c>
      <c r="B297" s="5">
        <v>1016</v>
      </c>
      <c r="C297" s="7" t="str">
        <f t="shared" si="23"/>
        <v>Premium4R3less</v>
      </c>
      <c r="D297" s="7" t="str">
        <f t="shared" si="24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IFERROR(VLOOKUP(B297,input_390100!L:R,7,FALSE),VLOOKUP(tables_390100!C297,input_390100!A:H,8,FALSE))</f>
        <v>360463.6</v>
      </c>
      <c r="P297" s="46">
        <f t="shared" ca="1" si="25"/>
        <v>9.9796124031007738E-3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input_390100!A$2</f>
        <v>390100</v>
      </c>
      <c r="B298" s="5">
        <v>1017</v>
      </c>
      <c r="C298" s="7" t="str">
        <f t="shared" si="23"/>
        <v>Premium5R3less</v>
      </c>
      <c r="D298" s="7" t="str">
        <f t="shared" si="24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IFERROR(VLOOKUP(B298,input_390100!L:R,7,FALSE),VLOOKUP(tables_390100!C298,input_390100!A:H,8,FALSE))</f>
        <v>32236.400000000001</v>
      </c>
      <c r="P298" s="46">
        <f t="shared" ca="1" si="25"/>
        <v>8.9248062015503883E-4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input_390100!A$2</f>
        <v>390100</v>
      </c>
      <c r="B299" s="5">
        <v>1018</v>
      </c>
      <c r="C299" s="7" t="str">
        <f t="shared" si="23"/>
        <v>PremiumSS5R5only</v>
      </c>
      <c r="D299" s="7" t="str">
        <f t="shared" si="24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IFERROR(VLOOKUP(B299,input_390100!L:R,7,FALSE),VLOOKUP(tables_390100!C299,input_390100!A:H,8,FALSE))</f>
        <v>24940</v>
      </c>
      <c r="P299" s="46">
        <f t="shared" ca="1" si="25"/>
        <v>6.9047619047619046E-4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input_390100!A$2</f>
        <v>390100</v>
      </c>
      <c r="B300" s="5">
        <v>1026</v>
      </c>
      <c r="C300" s="7" t="str">
        <f t="shared" ref="C300:C304" si="26">D300&amp;J300&amp;E300&amp;F300&amp;G300</f>
        <v>Premium4R3less</v>
      </c>
      <c r="D300" s="7" t="str">
        <f t="shared" ref="D300:D304" si="27">IF(I300="PremiumSS",I300,IF(I300="PremiumSSS",I300,IF(I300="PremiumW",I300,"Premium")))</f>
        <v>Premium</v>
      </c>
      <c r="E300" s="7" t="str">
        <f>IF(COUNTIF('R6追加前'!A:A,B300)=0,IF(I300="PremiumSS","R5only","R3less"),"")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>IFERROR(VLOOKUP(B300,input_390100!L:R,7,FALSE),VLOOKUP(tables_390100!C300,input_390100!A:H,8,FALSE))</f>
        <v>514709.99999999994</v>
      </c>
      <c r="P300" s="46">
        <f t="shared" ref="P300:P304" ca="1" si="28">O300/SUM(O:O)</f>
        <v>1.4249999999999999E-2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input_390100!A$2</f>
        <v>390100</v>
      </c>
      <c r="B301" s="5">
        <v>1027</v>
      </c>
      <c r="C301" s="7" t="str">
        <f t="shared" si="26"/>
        <v>Premium5R3less</v>
      </c>
      <c r="D301" s="7" t="str">
        <f t="shared" si="27"/>
        <v>Premium</v>
      </c>
      <c r="E301" s="7" t="str">
        <f>IF(COUNTIF('R6追加前'!A:A,B301)=0,IF(I301="PremiumSS","R5only","R3less"),"")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>IFERROR(VLOOKUP(B301,input_390100!L:R,7,FALSE),VLOOKUP(tables_390100!C301,input_390100!A:H,8,FALSE))</f>
        <v>27090.000000000025</v>
      </c>
      <c r="P301" s="46">
        <f t="shared" ca="1" si="28"/>
        <v>7.5000000000000067E-4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input_390100!A$2</f>
        <v>390100</v>
      </c>
      <c r="B302" s="5">
        <v>1028</v>
      </c>
      <c r="C302" s="7" t="str">
        <f t="shared" si="26"/>
        <v>PremiumSS5R5only</v>
      </c>
      <c r="D302" s="7" t="str">
        <f t="shared" si="27"/>
        <v>PremiumSS</v>
      </c>
      <c r="E302" s="7" t="str">
        <f>IF(COUNTIF('R6追加前'!A:A,B302)=0,IF(I302="PremiumSS","R5only","R3less"),"")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>IFERROR(VLOOKUP(B302,input_390100!L:R,7,FALSE),VLOOKUP(tables_390100!C302,input_390100!A:H,8,FALSE))</f>
        <v>252840</v>
      </c>
      <c r="P302" s="46">
        <f t="shared" ca="1" si="28"/>
        <v>7.0000000000000001E-3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input_390100!A$2</f>
        <v>390100</v>
      </c>
      <c r="B303" s="5">
        <v>1031</v>
      </c>
      <c r="C303" s="7" t="str">
        <f t="shared" si="26"/>
        <v>PremiumSS5R5only</v>
      </c>
      <c r="D303" s="7" t="str">
        <f t="shared" si="27"/>
        <v>PremiumSS</v>
      </c>
      <c r="E303" s="7" t="str">
        <f>IF(COUNTIF('R6追加前'!A:A,B303)=0,IF(I303="PremiumSS","R5only","R3less"),"")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>IFERROR(VLOOKUP(B303,input_390100!L:R,7,FALSE),VLOOKUP(tables_390100!C303,input_390100!A:H,8,FALSE))</f>
        <v>252840</v>
      </c>
      <c r="P303" s="46">
        <f t="shared" ca="1" si="28"/>
        <v>7.0000000000000001E-3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input_390100!A$2</f>
        <v>390100</v>
      </c>
      <c r="B304" s="5">
        <v>1033</v>
      </c>
      <c r="C304" s="7" t="str">
        <f t="shared" si="26"/>
        <v>PremiumSS5R5only</v>
      </c>
      <c r="D304" s="7" t="str">
        <f t="shared" si="27"/>
        <v>PremiumSS</v>
      </c>
      <c r="E304" s="7" t="str">
        <f>IF(COUNTIF('R6追加前'!A:A,B304)=0,IF(I304="PremiumSS","R5only","R3less"),"")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>IFERROR(VLOOKUP(B304,input_390100!L:R,7,FALSE),VLOOKUP(tables_390100!C304,input_390100!A:H,8,FALSE))</f>
        <v>252840</v>
      </c>
      <c r="P304" s="46">
        <f t="shared" ca="1" si="28"/>
        <v>7.0000000000000001E-3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6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N22" sqref="N2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input_390100!A$2</f>
        <v>390100</v>
      </c>
      <c r="B2" s="5">
        <v>1026</v>
      </c>
      <c r="C2" s="7" t="str">
        <f t="shared" ref="C2:C6" si="0">D2&amp;J2&amp;E2&amp;F2&amp;G2</f>
        <v>Premium4R3less</v>
      </c>
      <c r="D2" s="7" t="str">
        <f t="shared" ref="D2:D6" si="1"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蝉丸</v>
      </c>
      <c r="I2" s="7" t="str">
        <f>VLOOKUP(B2,[1]characters!$A:$J,10,FALSE)</f>
        <v>PremiumS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f>400-O3</f>
        <v>380</v>
      </c>
      <c r="P2" s="46">
        <f>O2/SUM(O:O)</f>
        <v>0.38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input_390100!A$2</f>
        <v>390100</v>
      </c>
      <c r="B3" s="5">
        <v>1027</v>
      </c>
      <c r="C3" s="7" t="str">
        <f t="shared" si="0"/>
        <v>Premium5R3less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弾丸多重奏 蝉丸</v>
      </c>
      <c r="I3" s="7" t="str">
        <f>VLOOKUP(B3,[1]characters!$A:$J,10,FALSE)</f>
        <v>PremiumS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男性</v>
      </c>
      <c r="O3" s="45">
        <f>400*0.05</f>
        <v>20</v>
      </c>
      <c r="P3" s="46">
        <f>O3/SUM(O:O)</f>
        <v>0.02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input_390100!A$2</f>
        <v>390100</v>
      </c>
      <c r="B4" s="5">
        <v>1028</v>
      </c>
      <c r="C4" s="7" t="str">
        <f t="shared" si="0"/>
        <v>PremiumSS5R5only</v>
      </c>
      <c r="D4" s="7" t="str">
        <f t="shared" si="1"/>
        <v>PremiumSS</v>
      </c>
      <c r="E4" s="7" t="str">
        <f>IF(COUNTIF('R6追加前'!A:A,B4)=0,IF(I4="PremiumSS","R5only","R3less"),"")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牛若丸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男性</v>
      </c>
      <c r="O4" s="45">
        <v>100</v>
      </c>
      <c r="P4" s="46">
        <f>O4/SUM(O:O)</f>
        <v>0.1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input_390100!A$2</f>
        <v>390100</v>
      </c>
      <c r="B5" s="5">
        <v>1031</v>
      </c>
      <c r="C5" s="7" t="str">
        <f t="shared" si="0"/>
        <v>PremiumSS5R5only</v>
      </c>
      <c r="D5" s="7" t="str">
        <f t="shared" si="1"/>
        <v>PremiumSS</v>
      </c>
      <c r="E5" s="7" t="str">
        <f>IF(COUNTIF('R6追加前'!A:A,B5)=0,IF(I5="PremiumSS","R5only","R3less"),"")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紫式部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technical</v>
      </c>
      <c r="M5" s="7" t="str">
        <f>VLOOKUP(B5,[1]characters!$A:$M,13,FALSE)</f>
        <v>human</v>
      </c>
      <c r="N5" s="7" t="str">
        <f>VLOOKUP(B5,[1]characters!$A:$G,7,FALSE)</f>
        <v>男性</v>
      </c>
      <c r="O5" s="45">
        <v>250</v>
      </c>
      <c r="P5" s="46">
        <f>O5/SUM(O:O)</f>
        <v>0.25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input_390100!A$2</f>
        <v>390100</v>
      </c>
      <c r="B6" s="5">
        <v>1033</v>
      </c>
      <c r="C6" s="7" t="str">
        <f t="shared" si="0"/>
        <v>PremiumSS5R5only</v>
      </c>
      <c r="D6" s="7" t="str">
        <f t="shared" si="1"/>
        <v>PremiumSS</v>
      </c>
      <c r="E6" s="7" t="str">
        <f>IF(COUNTIF('R6追加前'!A:A,B6)=0,IF(I6="PremiumSS","R5only","R3less"),"")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清少納言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heal</v>
      </c>
      <c r="M6" s="7" t="str">
        <f>VLOOKUP(B6,[1]characters!$A:$M,13,FALSE)</f>
        <v>human</v>
      </c>
      <c r="N6" s="7" t="str">
        <f>VLOOKUP(B6,[1]characters!$A:$G,7,FALSE)</f>
        <v>男性</v>
      </c>
      <c r="O6" s="45">
        <v>250</v>
      </c>
      <c r="P6" s="46">
        <f>O6/SUM(O:O)</f>
        <v>0.25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</sheetData>
  <autoFilter ref="A1:V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/>
      <c r="B2" s="79"/>
      <c r="C2" s="80"/>
      <c r="D2" s="80"/>
      <c r="E2" s="80"/>
      <c r="F2" s="80"/>
      <c r="G2" s="1"/>
      <c r="H2" s="1"/>
      <c r="I2" s="1"/>
      <c r="J2" s="1"/>
      <c r="K2" s="1"/>
      <c r="L2" s="1"/>
      <c r="M2" s="1"/>
      <c r="N2" s="80"/>
      <c r="O2" s="80"/>
      <c r="P2" s="80"/>
      <c r="Q2" s="81"/>
    </row>
    <row r="3" spans="1:17" ht="21" customHeight="1" x14ac:dyDescent="0.15">
      <c r="A3" s="79"/>
      <c r="B3" s="79"/>
      <c r="G3" s="87"/>
      <c r="H3" s="87"/>
      <c r="I3" s="87"/>
      <c r="J3" s="87"/>
      <c r="K3" s="87"/>
      <c r="L3" s="87"/>
      <c r="M3" s="87"/>
      <c r="N3" s="80"/>
      <c r="O3" s="80"/>
      <c r="P3" s="80"/>
      <c r="Q3" s="81"/>
    </row>
    <row r="4" spans="1:17" ht="21" customHeight="1" x14ac:dyDescent="0.15">
      <c r="A4" s="79"/>
      <c r="B4" s="79"/>
      <c r="G4" s="87"/>
      <c r="H4" s="87"/>
      <c r="I4" s="87"/>
      <c r="J4" s="87"/>
      <c r="K4" s="87"/>
      <c r="L4" s="87"/>
      <c r="M4" s="87"/>
      <c r="N4" s="80"/>
      <c r="O4" s="80"/>
      <c r="P4" s="80"/>
      <c r="Q4" s="81"/>
    </row>
    <row r="5" spans="1:17" ht="21" customHeight="1" x14ac:dyDescent="0.15">
      <c r="A5" s="79"/>
      <c r="B5" s="79"/>
      <c r="G5" s="87"/>
      <c r="H5" s="87"/>
      <c r="I5" s="87"/>
      <c r="J5" s="87"/>
      <c r="K5" s="87"/>
      <c r="L5" s="87"/>
      <c r="M5" s="87"/>
      <c r="N5" s="80"/>
      <c r="O5" s="80"/>
      <c r="P5" s="80"/>
      <c r="Q5" s="81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input_390010</vt:lpstr>
      <vt:lpstr>tables_390010</vt:lpstr>
      <vt:lpstr>input_390100</vt:lpstr>
      <vt:lpstr>tables_390100</vt:lpstr>
      <vt:lpstr>tables_settle_390100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2016-08-18T10:38:10Z</dcterms:modified>
</cp:coreProperties>
</file>