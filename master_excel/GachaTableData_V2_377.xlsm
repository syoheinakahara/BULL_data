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firstSheet="6" activeTab="13"/>
  </bookViews>
  <sheets>
    <sheet name="確率の考え方" sheetId="110" r:id="rId1"/>
    <sheet name="Sheet1" sheetId="107" r:id="rId2"/>
    <sheet name="output" sheetId="103" r:id="rId3"/>
    <sheet name="input_377101" sheetId="106" r:id="rId4"/>
    <sheet name="tables_377101" sheetId="82" r:id="rId5"/>
    <sheet name="input_377103" sheetId="147" r:id="rId6"/>
    <sheet name="tables_377103" sheetId="148" r:id="rId7"/>
    <sheet name="input_377104" sheetId="149" r:id="rId8"/>
    <sheet name="tables_377104" sheetId="150" r:id="rId9"/>
    <sheet name="input_377105" sheetId="158" r:id="rId10"/>
    <sheet name="tables_377105" sheetId="159" r:id="rId11"/>
    <sheet name="input_377100" sheetId="153" r:id="rId12"/>
    <sheet name="tables_377100" sheetId="154" r:id="rId13"/>
    <sheet name="tables_settle_377103" sheetId="157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2" hidden="1">tables_377100!$A$1:$V$295</definedName>
    <definedName name="_xlnm._FilterDatabase" localSheetId="4" hidden="1">tables_377101!$A$1:$V$295</definedName>
    <definedName name="_xlnm._FilterDatabase" localSheetId="6" hidden="1">tables_377103!$A$1:$V$295</definedName>
    <definedName name="_xlnm._FilterDatabase" localSheetId="8" hidden="1">tables_377104!$A$1:$V$295</definedName>
    <definedName name="_xlnm._FilterDatabase" localSheetId="10" hidden="1">tables_377105!$A$1:$V$295</definedName>
    <definedName name="_xlnm._FilterDatabase" localSheetId="13" hidden="1">tables_settle_377103!$A$1:$V$1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5" i="157" l="1"/>
  <c r="O22" i="157"/>
  <c r="O21" i="157"/>
  <c r="O19" i="157"/>
  <c r="O15" i="157"/>
  <c r="O13" i="157"/>
  <c r="O11" i="157"/>
  <c r="O9" i="157"/>
  <c r="O8" i="157"/>
  <c r="O7" i="157"/>
  <c r="O6" i="157"/>
  <c r="O5" i="157"/>
  <c r="O4" i="157"/>
  <c r="O3" i="157"/>
  <c r="O2" i="157"/>
  <c r="O27" i="157"/>
  <c r="O26" i="157"/>
  <c r="O24" i="157"/>
  <c r="O23" i="157"/>
  <c r="O20" i="157"/>
  <c r="O18" i="157"/>
  <c r="O17" i="157"/>
  <c r="O16" i="157"/>
  <c r="O14" i="157"/>
  <c r="O12" i="157"/>
  <c r="O10" i="157"/>
  <c r="I28" i="157"/>
  <c r="D28" i="157"/>
  <c r="I295" i="159"/>
  <c r="D295" i="159"/>
  <c r="J295" i="159"/>
  <c r="E295" i="159"/>
  <c r="F295" i="159"/>
  <c r="C295" i="159"/>
  <c r="A2" i="158"/>
  <c r="I2" i="159"/>
  <c r="D2" i="159"/>
  <c r="J2" i="159"/>
  <c r="E2" i="159"/>
  <c r="F2" i="159"/>
  <c r="C2" i="159"/>
  <c r="I3" i="159"/>
  <c r="D3" i="159"/>
  <c r="J3" i="159"/>
  <c r="E3" i="159"/>
  <c r="F3" i="159"/>
  <c r="C3" i="159"/>
  <c r="I4" i="159"/>
  <c r="D4" i="159"/>
  <c r="J4" i="159"/>
  <c r="E4" i="159"/>
  <c r="F4" i="159"/>
  <c r="C4" i="159"/>
  <c r="I5" i="159"/>
  <c r="D5" i="159"/>
  <c r="J5" i="159"/>
  <c r="E5" i="159"/>
  <c r="F5" i="159"/>
  <c r="C5" i="159"/>
  <c r="I6" i="159"/>
  <c r="D6" i="159"/>
  <c r="J6" i="159"/>
  <c r="E6" i="159"/>
  <c r="F6" i="159"/>
  <c r="C6" i="159"/>
  <c r="I7" i="159"/>
  <c r="D7" i="159"/>
  <c r="J7" i="159"/>
  <c r="E7" i="159"/>
  <c r="F7" i="159"/>
  <c r="C7" i="159"/>
  <c r="I8" i="159"/>
  <c r="D8" i="159"/>
  <c r="J8" i="159"/>
  <c r="E8" i="159"/>
  <c r="F8" i="159"/>
  <c r="C8" i="159"/>
  <c r="I9" i="159"/>
  <c r="D9" i="159"/>
  <c r="J9" i="159"/>
  <c r="E9" i="159"/>
  <c r="F9" i="159"/>
  <c r="C9" i="159"/>
  <c r="I10" i="159"/>
  <c r="D10" i="159"/>
  <c r="J10" i="159"/>
  <c r="E10" i="159"/>
  <c r="F10" i="159"/>
  <c r="C10" i="159"/>
  <c r="I11" i="159"/>
  <c r="D11" i="159"/>
  <c r="J11" i="159"/>
  <c r="E11" i="159"/>
  <c r="F11" i="159"/>
  <c r="C11" i="159"/>
  <c r="I12" i="159"/>
  <c r="D12" i="159"/>
  <c r="J12" i="159"/>
  <c r="E12" i="159"/>
  <c r="F12" i="159"/>
  <c r="C12" i="159"/>
  <c r="I13" i="159"/>
  <c r="D13" i="159"/>
  <c r="J13" i="159"/>
  <c r="E13" i="159"/>
  <c r="F13" i="159"/>
  <c r="C13" i="159"/>
  <c r="I14" i="159"/>
  <c r="D14" i="159"/>
  <c r="J14" i="159"/>
  <c r="E14" i="159"/>
  <c r="F14" i="159"/>
  <c r="C14" i="159"/>
  <c r="I15" i="159"/>
  <c r="D15" i="159"/>
  <c r="J15" i="159"/>
  <c r="E15" i="159"/>
  <c r="F15" i="159"/>
  <c r="C15" i="159"/>
  <c r="I16" i="159"/>
  <c r="D16" i="159"/>
  <c r="J16" i="159"/>
  <c r="E16" i="159"/>
  <c r="F16" i="159"/>
  <c r="C16" i="159"/>
  <c r="I17" i="159"/>
  <c r="D17" i="159"/>
  <c r="J17" i="159"/>
  <c r="E17" i="159"/>
  <c r="F17" i="159"/>
  <c r="C17" i="159"/>
  <c r="I18" i="159"/>
  <c r="D18" i="159"/>
  <c r="J18" i="159"/>
  <c r="E18" i="159"/>
  <c r="F18" i="159"/>
  <c r="C18" i="159"/>
  <c r="I19" i="159"/>
  <c r="D19" i="159"/>
  <c r="J19" i="159"/>
  <c r="E19" i="159"/>
  <c r="F19" i="159"/>
  <c r="C19" i="159"/>
  <c r="I20" i="159"/>
  <c r="D20" i="159"/>
  <c r="J20" i="159"/>
  <c r="E20" i="159"/>
  <c r="F20" i="159"/>
  <c r="C20" i="159"/>
  <c r="I21" i="159"/>
  <c r="D21" i="159"/>
  <c r="J21" i="159"/>
  <c r="E21" i="159"/>
  <c r="F21" i="159"/>
  <c r="C21" i="159"/>
  <c r="I22" i="159"/>
  <c r="D22" i="159"/>
  <c r="J22" i="159"/>
  <c r="E22" i="159"/>
  <c r="F22" i="159"/>
  <c r="C22" i="159"/>
  <c r="I23" i="159"/>
  <c r="D23" i="159"/>
  <c r="J23" i="159"/>
  <c r="E23" i="159"/>
  <c r="F23" i="159"/>
  <c r="C23" i="159"/>
  <c r="I24" i="159"/>
  <c r="D24" i="159"/>
  <c r="J24" i="159"/>
  <c r="E24" i="159"/>
  <c r="F24" i="159"/>
  <c r="C24" i="159"/>
  <c r="I25" i="159"/>
  <c r="D25" i="159"/>
  <c r="J25" i="159"/>
  <c r="E25" i="159"/>
  <c r="F25" i="159"/>
  <c r="C25" i="159"/>
  <c r="I26" i="159"/>
  <c r="D26" i="159"/>
  <c r="J26" i="159"/>
  <c r="E26" i="159"/>
  <c r="F26" i="159"/>
  <c r="C26" i="159"/>
  <c r="I27" i="159"/>
  <c r="D27" i="159"/>
  <c r="J27" i="159"/>
  <c r="E27" i="159"/>
  <c r="F27" i="159"/>
  <c r="C27" i="159"/>
  <c r="I28" i="159"/>
  <c r="D28" i="159"/>
  <c r="J28" i="159"/>
  <c r="E28" i="159"/>
  <c r="F28" i="159"/>
  <c r="C28" i="159"/>
  <c r="I29" i="159"/>
  <c r="D29" i="159"/>
  <c r="J29" i="159"/>
  <c r="E29" i="159"/>
  <c r="F29" i="159"/>
  <c r="C29" i="159"/>
  <c r="I30" i="159"/>
  <c r="D30" i="159"/>
  <c r="J30" i="159"/>
  <c r="E30" i="159"/>
  <c r="F30" i="159"/>
  <c r="C30" i="159"/>
  <c r="I31" i="159"/>
  <c r="D31" i="159"/>
  <c r="J31" i="159"/>
  <c r="E31" i="159"/>
  <c r="F31" i="159"/>
  <c r="C31" i="159"/>
  <c r="I32" i="159"/>
  <c r="D32" i="159"/>
  <c r="J32" i="159"/>
  <c r="E32" i="159"/>
  <c r="F32" i="159"/>
  <c r="C32" i="159"/>
  <c r="I33" i="159"/>
  <c r="D33" i="159"/>
  <c r="J33" i="159"/>
  <c r="E33" i="159"/>
  <c r="F33" i="159"/>
  <c r="C33" i="159"/>
  <c r="I34" i="159"/>
  <c r="D34" i="159"/>
  <c r="J34" i="159"/>
  <c r="E34" i="159"/>
  <c r="F34" i="159"/>
  <c r="C34" i="159"/>
  <c r="I35" i="159"/>
  <c r="D35" i="159"/>
  <c r="J35" i="159"/>
  <c r="E35" i="159"/>
  <c r="F35" i="159"/>
  <c r="C35" i="159"/>
  <c r="I36" i="159"/>
  <c r="D36" i="159"/>
  <c r="J36" i="159"/>
  <c r="E36" i="159"/>
  <c r="F36" i="159"/>
  <c r="C36" i="159"/>
  <c r="I37" i="159"/>
  <c r="D37" i="159"/>
  <c r="J37" i="159"/>
  <c r="E37" i="159"/>
  <c r="F37" i="159"/>
  <c r="C37" i="159"/>
  <c r="I38" i="159"/>
  <c r="D38" i="159"/>
  <c r="J38" i="159"/>
  <c r="E38" i="159"/>
  <c r="F38" i="159"/>
  <c r="C38" i="159"/>
  <c r="I39" i="159"/>
  <c r="D39" i="159"/>
  <c r="J39" i="159"/>
  <c r="E39" i="159"/>
  <c r="F39" i="159"/>
  <c r="C39" i="159"/>
  <c r="I40" i="159"/>
  <c r="D40" i="159"/>
  <c r="J40" i="159"/>
  <c r="E40" i="159"/>
  <c r="F40" i="159"/>
  <c r="C40" i="159"/>
  <c r="I41" i="159"/>
  <c r="D41" i="159"/>
  <c r="J41" i="159"/>
  <c r="E41" i="159"/>
  <c r="F41" i="159"/>
  <c r="C41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44" i="159"/>
  <c r="D44" i="159"/>
  <c r="J44" i="159"/>
  <c r="E44" i="159"/>
  <c r="F44" i="159"/>
  <c r="C44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49" i="159"/>
  <c r="D49" i="159"/>
  <c r="J49" i="159"/>
  <c r="E49" i="159"/>
  <c r="F49" i="159"/>
  <c r="C49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53" i="159"/>
  <c r="D53" i="159"/>
  <c r="J53" i="159"/>
  <c r="E53" i="159"/>
  <c r="F53" i="159"/>
  <c r="C53" i="159"/>
  <c r="I54" i="159"/>
  <c r="D54" i="159"/>
  <c r="J54" i="159"/>
  <c r="E54" i="159"/>
  <c r="F54" i="159"/>
  <c r="C54" i="159"/>
  <c r="I55" i="159"/>
  <c r="D55" i="159"/>
  <c r="J55" i="159"/>
  <c r="E55" i="159"/>
  <c r="F55" i="159"/>
  <c r="C55" i="159"/>
  <c r="I56" i="159"/>
  <c r="D56" i="159"/>
  <c r="J56" i="159"/>
  <c r="E56" i="159"/>
  <c r="F56" i="159"/>
  <c r="C56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D66" i="159"/>
  <c r="J66" i="159"/>
  <c r="E66" i="159"/>
  <c r="F66" i="159"/>
  <c r="C66" i="159"/>
  <c r="I67" i="159"/>
  <c r="D67" i="159"/>
  <c r="J67" i="159"/>
  <c r="E67" i="159"/>
  <c r="F67" i="159"/>
  <c r="C67" i="159"/>
  <c r="I68" i="159"/>
  <c r="D68" i="159"/>
  <c r="J68" i="159"/>
  <c r="E68" i="159"/>
  <c r="F68" i="159"/>
  <c r="C68" i="159"/>
  <c r="I69" i="159"/>
  <c r="D69" i="159"/>
  <c r="J69" i="159"/>
  <c r="E69" i="159"/>
  <c r="F69" i="159"/>
  <c r="C69" i="159"/>
  <c r="I70" i="159"/>
  <c r="D70" i="159"/>
  <c r="J70" i="159"/>
  <c r="E70" i="159"/>
  <c r="F70" i="159"/>
  <c r="C70" i="159"/>
  <c r="I71" i="159"/>
  <c r="D71" i="159"/>
  <c r="J71" i="159"/>
  <c r="E71" i="159"/>
  <c r="F71" i="159"/>
  <c r="C71" i="159"/>
  <c r="I72" i="159"/>
  <c r="D72" i="159"/>
  <c r="J72" i="159"/>
  <c r="E72" i="159"/>
  <c r="F72" i="159"/>
  <c r="C72" i="159"/>
  <c r="I73" i="159"/>
  <c r="D73" i="159"/>
  <c r="J73" i="159"/>
  <c r="E73" i="159"/>
  <c r="F73" i="159"/>
  <c r="C73" i="159"/>
  <c r="I74" i="159"/>
  <c r="D74" i="159"/>
  <c r="J74" i="159"/>
  <c r="E74" i="159"/>
  <c r="F74" i="159"/>
  <c r="C74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77" i="159"/>
  <c r="D77" i="159"/>
  <c r="J77" i="159"/>
  <c r="E77" i="159"/>
  <c r="F77" i="159"/>
  <c r="C77" i="159"/>
  <c r="I78" i="159"/>
  <c r="D78" i="159"/>
  <c r="J78" i="159"/>
  <c r="E78" i="159"/>
  <c r="F78" i="159"/>
  <c r="C78" i="159"/>
  <c r="I79" i="159"/>
  <c r="D79" i="159"/>
  <c r="J79" i="159"/>
  <c r="E79" i="159"/>
  <c r="F79" i="159"/>
  <c r="C79" i="159"/>
  <c r="I80" i="159"/>
  <c r="D80" i="159"/>
  <c r="J80" i="159"/>
  <c r="E80" i="159"/>
  <c r="F80" i="159"/>
  <c r="C80" i="159"/>
  <c r="I81" i="159"/>
  <c r="D81" i="159"/>
  <c r="J81" i="159"/>
  <c r="E81" i="159"/>
  <c r="F81" i="159"/>
  <c r="C81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86" i="159"/>
  <c r="D86" i="159"/>
  <c r="J86" i="159"/>
  <c r="E86" i="159"/>
  <c r="F86" i="159"/>
  <c r="C86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101" i="159"/>
  <c r="D101" i="159"/>
  <c r="J101" i="159"/>
  <c r="E101" i="159"/>
  <c r="F101" i="159"/>
  <c r="C101" i="159"/>
  <c r="I102" i="159"/>
  <c r="D102" i="159"/>
  <c r="J102" i="159"/>
  <c r="E102" i="159"/>
  <c r="F102" i="159"/>
  <c r="C102" i="159"/>
  <c r="I103" i="159"/>
  <c r="D103" i="159"/>
  <c r="J103" i="159"/>
  <c r="E103" i="159"/>
  <c r="F103" i="159"/>
  <c r="C103" i="159"/>
  <c r="I104" i="159"/>
  <c r="D104" i="159"/>
  <c r="J104" i="159"/>
  <c r="E104" i="159"/>
  <c r="F104" i="159"/>
  <c r="C104" i="159"/>
  <c r="I105" i="159"/>
  <c r="D105" i="159"/>
  <c r="J105" i="159"/>
  <c r="E105" i="159"/>
  <c r="F105" i="159"/>
  <c r="C105" i="159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126" i="159"/>
  <c r="D126" i="159"/>
  <c r="J126" i="159"/>
  <c r="E126" i="159"/>
  <c r="F126" i="159"/>
  <c r="C126" i="159"/>
  <c r="I127" i="159"/>
  <c r="D127" i="159"/>
  <c r="J127" i="159"/>
  <c r="E127" i="159"/>
  <c r="F127" i="159"/>
  <c r="C127" i="159"/>
  <c r="I128" i="159"/>
  <c r="D128" i="159"/>
  <c r="J128" i="159"/>
  <c r="E128" i="159"/>
  <c r="F128" i="159"/>
  <c r="C128" i="159"/>
  <c r="I129" i="159"/>
  <c r="D129" i="159"/>
  <c r="J129" i="159"/>
  <c r="E129" i="159"/>
  <c r="F129" i="159"/>
  <c r="C129" i="159"/>
  <c r="I130" i="159"/>
  <c r="D130" i="159"/>
  <c r="J130" i="159"/>
  <c r="E130" i="159"/>
  <c r="F130" i="159"/>
  <c r="C130" i="159"/>
  <c r="I131" i="159"/>
  <c r="D131" i="159"/>
  <c r="J131" i="159"/>
  <c r="E131" i="159"/>
  <c r="F131" i="159"/>
  <c r="C131" i="159"/>
  <c r="I132" i="159"/>
  <c r="D132" i="159"/>
  <c r="J132" i="159"/>
  <c r="E132" i="159"/>
  <c r="F132" i="159"/>
  <c r="C132" i="159"/>
  <c r="I133" i="159"/>
  <c r="D133" i="159"/>
  <c r="J133" i="159"/>
  <c r="E133" i="159"/>
  <c r="F133" i="159"/>
  <c r="C133" i="159"/>
  <c r="I134" i="159"/>
  <c r="D134" i="159"/>
  <c r="J134" i="159"/>
  <c r="E134" i="159"/>
  <c r="F134" i="159"/>
  <c r="C134" i="159"/>
  <c r="I135" i="159"/>
  <c r="D135" i="159"/>
  <c r="J135" i="159"/>
  <c r="E135" i="159"/>
  <c r="F135" i="159"/>
  <c r="C135" i="159"/>
  <c r="I136" i="159"/>
  <c r="D136" i="159"/>
  <c r="J136" i="159"/>
  <c r="E136" i="159"/>
  <c r="F136" i="159"/>
  <c r="C136" i="159"/>
  <c r="I137" i="159"/>
  <c r="D137" i="159"/>
  <c r="J137" i="159"/>
  <c r="E137" i="159"/>
  <c r="F137" i="159"/>
  <c r="C137" i="159"/>
  <c r="I138" i="159"/>
  <c r="D138" i="159"/>
  <c r="J138" i="159"/>
  <c r="E138" i="159"/>
  <c r="F138" i="159"/>
  <c r="C138" i="159"/>
  <c r="I139" i="159"/>
  <c r="D139" i="159"/>
  <c r="J139" i="159"/>
  <c r="E139" i="159"/>
  <c r="F139" i="159"/>
  <c r="C139" i="159"/>
  <c r="I140" i="159"/>
  <c r="D140" i="159"/>
  <c r="J140" i="159"/>
  <c r="E140" i="159"/>
  <c r="F140" i="159"/>
  <c r="C140" i="159"/>
  <c r="I141" i="159"/>
  <c r="D141" i="159"/>
  <c r="J141" i="159"/>
  <c r="E141" i="159"/>
  <c r="F141" i="159"/>
  <c r="C141" i="159"/>
  <c r="I142" i="159"/>
  <c r="D142" i="159"/>
  <c r="J142" i="159"/>
  <c r="E142" i="159"/>
  <c r="F142" i="159"/>
  <c r="C142" i="159"/>
  <c r="I143" i="159"/>
  <c r="D143" i="159"/>
  <c r="J143" i="159"/>
  <c r="E143" i="159"/>
  <c r="F143" i="159"/>
  <c r="C143" i="159"/>
  <c r="I144" i="159"/>
  <c r="D144" i="159"/>
  <c r="J144" i="159"/>
  <c r="E144" i="159"/>
  <c r="F144" i="159"/>
  <c r="C144" i="159"/>
  <c r="I145" i="159"/>
  <c r="D145" i="159"/>
  <c r="J145" i="159"/>
  <c r="E145" i="159"/>
  <c r="F145" i="159"/>
  <c r="C145" i="159"/>
  <c r="I146" i="159"/>
  <c r="D146" i="159"/>
  <c r="J146" i="159"/>
  <c r="E146" i="159"/>
  <c r="F146" i="159"/>
  <c r="C146" i="159"/>
  <c r="I147" i="159"/>
  <c r="D147" i="159"/>
  <c r="J147" i="159"/>
  <c r="E147" i="159"/>
  <c r="F147" i="159"/>
  <c r="C147" i="159"/>
  <c r="I148" i="159"/>
  <c r="D148" i="159"/>
  <c r="J148" i="159"/>
  <c r="E148" i="159"/>
  <c r="F148" i="159"/>
  <c r="C148" i="159"/>
  <c r="I149" i="159"/>
  <c r="D149" i="159"/>
  <c r="J149" i="159"/>
  <c r="E149" i="159"/>
  <c r="F149" i="159"/>
  <c r="C149" i="159"/>
  <c r="I150" i="159"/>
  <c r="D150" i="159"/>
  <c r="J150" i="159"/>
  <c r="E150" i="159"/>
  <c r="F150" i="159"/>
  <c r="C150" i="159"/>
  <c r="I151" i="159"/>
  <c r="D151" i="159"/>
  <c r="J151" i="159"/>
  <c r="E151" i="159"/>
  <c r="F151" i="159"/>
  <c r="C151" i="159"/>
  <c r="I152" i="159"/>
  <c r="D152" i="159"/>
  <c r="J152" i="159"/>
  <c r="E152" i="159"/>
  <c r="F152" i="159"/>
  <c r="C152" i="159"/>
  <c r="I153" i="159"/>
  <c r="D153" i="159"/>
  <c r="J153" i="159"/>
  <c r="E153" i="159"/>
  <c r="F153" i="159"/>
  <c r="C153" i="159"/>
  <c r="I154" i="159"/>
  <c r="D154" i="159"/>
  <c r="J154" i="159"/>
  <c r="E154" i="159"/>
  <c r="F154" i="159"/>
  <c r="C154" i="159"/>
  <c r="I155" i="159"/>
  <c r="D155" i="159"/>
  <c r="J155" i="159"/>
  <c r="E155" i="159"/>
  <c r="F155" i="159"/>
  <c r="C155" i="159"/>
  <c r="I156" i="159"/>
  <c r="D156" i="159"/>
  <c r="J156" i="159"/>
  <c r="E156" i="159"/>
  <c r="F156" i="159"/>
  <c r="C156" i="159"/>
  <c r="I157" i="159"/>
  <c r="D157" i="159"/>
  <c r="J157" i="159"/>
  <c r="E157" i="159"/>
  <c r="F157" i="159"/>
  <c r="C157" i="159"/>
  <c r="I158" i="159"/>
  <c r="D158" i="159"/>
  <c r="J158" i="159"/>
  <c r="E158" i="159"/>
  <c r="F158" i="159"/>
  <c r="C158" i="159"/>
  <c r="I159" i="159"/>
  <c r="D159" i="159"/>
  <c r="J159" i="159"/>
  <c r="E159" i="159"/>
  <c r="F159" i="159"/>
  <c r="C159" i="159"/>
  <c r="I160" i="159"/>
  <c r="D160" i="159"/>
  <c r="J160" i="159"/>
  <c r="E160" i="159"/>
  <c r="F160" i="159"/>
  <c r="C160" i="159"/>
  <c r="I161" i="159"/>
  <c r="D161" i="159"/>
  <c r="J161" i="159"/>
  <c r="E161" i="159"/>
  <c r="F161" i="159"/>
  <c r="C161" i="159"/>
  <c r="I162" i="159"/>
  <c r="D162" i="159"/>
  <c r="J162" i="159"/>
  <c r="E162" i="159"/>
  <c r="F162" i="159"/>
  <c r="C162" i="159"/>
  <c r="I163" i="159"/>
  <c r="D163" i="159"/>
  <c r="J163" i="159"/>
  <c r="E163" i="159"/>
  <c r="F163" i="159"/>
  <c r="C163" i="159"/>
  <c r="I164" i="159"/>
  <c r="D164" i="159"/>
  <c r="J164" i="159"/>
  <c r="E164" i="159"/>
  <c r="F164" i="159"/>
  <c r="C164" i="159"/>
  <c r="I165" i="159"/>
  <c r="D165" i="159"/>
  <c r="J165" i="159"/>
  <c r="E165" i="159"/>
  <c r="F165" i="159"/>
  <c r="C165" i="159"/>
  <c r="I166" i="159"/>
  <c r="D166" i="159"/>
  <c r="J166" i="159"/>
  <c r="E166" i="159"/>
  <c r="F166" i="159"/>
  <c r="C166" i="159"/>
  <c r="I167" i="159"/>
  <c r="D167" i="159"/>
  <c r="J167" i="159"/>
  <c r="E167" i="159"/>
  <c r="F167" i="159"/>
  <c r="C167" i="159"/>
  <c r="I168" i="159"/>
  <c r="D168" i="159"/>
  <c r="J168" i="159"/>
  <c r="E168" i="159"/>
  <c r="F168" i="159"/>
  <c r="C168" i="159"/>
  <c r="I169" i="159"/>
  <c r="D169" i="159"/>
  <c r="J169" i="159"/>
  <c r="E169" i="159"/>
  <c r="F169" i="159"/>
  <c r="C169" i="159"/>
  <c r="I170" i="159"/>
  <c r="D170" i="159"/>
  <c r="J170" i="159"/>
  <c r="E170" i="159"/>
  <c r="F170" i="159"/>
  <c r="C170" i="159"/>
  <c r="I171" i="159"/>
  <c r="D171" i="159"/>
  <c r="J171" i="159"/>
  <c r="E171" i="159"/>
  <c r="F171" i="159"/>
  <c r="C171" i="159"/>
  <c r="I172" i="159"/>
  <c r="D172" i="159"/>
  <c r="J172" i="159"/>
  <c r="E172" i="159"/>
  <c r="F172" i="159"/>
  <c r="C172" i="159"/>
  <c r="I173" i="159"/>
  <c r="D173" i="159"/>
  <c r="J173" i="159"/>
  <c r="E173" i="159"/>
  <c r="F173" i="159"/>
  <c r="C173" i="159"/>
  <c r="I174" i="159"/>
  <c r="D174" i="159"/>
  <c r="J174" i="159"/>
  <c r="E174" i="159"/>
  <c r="F174" i="159"/>
  <c r="C174" i="159"/>
  <c r="I175" i="159"/>
  <c r="D175" i="159"/>
  <c r="J175" i="159"/>
  <c r="E175" i="159"/>
  <c r="F175" i="159"/>
  <c r="C175" i="159"/>
  <c r="I176" i="159"/>
  <c r="D176" i="159"/>
  <c r="J176" i="159"/>
  <c r="E176" i="159"/>
  <c r="F176" i="159"/>
  <c r="C176" i="159"/>
  <c r="I177" i="159"/>
  <c r="D177" i="159"/>
  <c r="J177" i="159"/>
  <c r="E177" i="159"/>
  <c r="F177" i="159"/>
  <c r="C177" i="159"/>
  <c r="I178" i="159"/>
  <c r="D178" i="159"/>
  <c r="J178" i="159"/>
  <c r="E178" i="159"/>
  <c r="F178" i="159"/>
  <c r="C178" i="159"/>
  <c r="I179" i="159"/>
  <c r="D179" i="159"/>
  <c r="J179" i="159"/>
  <c r="E179" i="159"/>
  <c r="F179" i="159"/>
  <c r="C179" i="159"/>
  <c r="I180" i="159"/>
  <c r="D180" i="159"/>
  <c r="J180" i="159"/>
  <c r="E180" i="159"/>
  <c r="F180" i="159"/>
  <c r="C180" i="159"/>
  <c r="I181" i="159"/>
  <c r="D181" i="159"/>
  <c r="J181" i="159"/>
  <c r="E181" i="159"/>
  <c r="F181" i="159"/>
  <c r="C181" i="159"/>
  <c r="I182" i="159"/>
  <c r="D182" i="159"/>
  <c r="J182" i="159"/>
  <c r="E182" i="159"/>
  <c r="F182" i="159"/>
  <c r="C182" i="159"/>
  <c r="I183" i="159"/>
  <c r="D183" i="159"/>
  <c r="J183" i="159"/>
  <c r="E183" i="159"/>
  <c r="F183" i="159"/>
  <c r="C183" i="159"/>
  <c r="I184" i="159"/>
  <c r="D184" i="159"/>
  <c r="J184" i="159"/>
  <c r="E184" i="159"/>
  <c r="F184" i="159"/>
  <c r="C184" i="159"/>
  <c r="I185" i="159"/>
  <c r="D185" i="159"/>
  <c r="J185" i="159"/>
  <c r="E185" i="159"/>
  <c r="F185" i="159"/>
  <c r="C185" i="159"/>
  <c r="I186" i="159"/>
  <c r="D186" i="159"/>
  <c r="J186" i="159"/>
  <c r="E186" i="159"/>
  <c r="F186" i="159"/>
  <c r="C186" i="159"/>
  <c r="I187" i="159"/>
  <c r="D187" i="159"/>
  <c r="J187" i="159"/>
  <c r="E187" i="159"/>
  <c r="F187" i="159"/>
  <c r="C187" i="159"/>
  <c r="I188" i="159"/>
  <c r="D188" i="159"/>
  <c r="J188" i="159"/>
  <c r="E188" i="159"/>
  <c r="F188" i="159"/>
  <c r="C188" i="159"/>
  <c r="I189" i="159"/>
  <c r="D189" i="159"/>
  <c r="J189" i="159"/>
  <c r="E189" i="159"/>
  <c r="F189" i="159"/>
  <c r="C189" i="159"/>
  <c r="I190" i="159"/>
  <c r="D190" i="159"/>
  <c r="J190" i="159"/>
  <c r="E190" i="159"/>
  <c r="F190" i="159"/>
  <c r="C190" i="159"/>
  <c r="I191" i="159"/>
  <c r="D191" i="159"/>
  <c r="J191" i="159"/>
  <c r="E191" i="159"/>
  <c r="F191" i="159"/>
  <c r="C191" i="159"/>
  <c r="I192" i="159"/>
  <c r="D192" i="159"/>
  <c r="J192" i="159"/>
  <c r="E192" i="159"/>
  <c r="F192" i="159"/>
  <c r="C192" i="159"/>
  <c r="I193" i="159"/>
  <c r="D193" i="159"/>
  <c r="J193" i="159"/>
  <c r="E193" i="159"/>
  <c r="F193" i="159"/>
  <c r="C193" i="159"/>
  <c r="I194" i="159"/>
  <c r="D194" i="159"/>
  <c r="J194" i="159"/>
  <c r="E194" i="159"/>
  <c r="F194" i="159"/>
  <c r="C194" i="159"/>
  <c r="I195" i="159"/>
  <c r="D195" i="159"/>
  <c r="J195" i="159"/>
  <c r="E195" i="159"/>
  <c r="F195" i="159"/>
  <c r="C195" i="159"/>
  <c r="I196" i="159"/>
  <c r="D196" i="159"/>
  <c r="J196" i="159"/>
  <c r="E196" i="159"/>
  <c r="F196" i="159"/>
  <c r="C196" i="159"/>
  <c r="I197" i="159"/>
  <c r="D197" i="159"/>
  <c r="J197" i="159"/>
  <c r="E197" i="159"/>
  <c r="F197" i="159"/>
  <c r="C197" i="159"/>
  <c r="I198" i="159"/>
  <c r="D198" i="159"/>
  <c r="J198" i="159"/>
  <c r="E198" i="159"/>
  <c r="F198" i="159"/>
  <c r="C198" i="159"/>
  <c r="I199" i="159"/>
  <c r="D199" i="159"/>
  <c r="J199" i="159"/>
  <c r="E199" i="159"/>
  <c r="F199" i="159"/>
  <c r="C199" i="159"/>
  <c r="I200" i="159"/>
  <c r="D200" i="159"/>
  <c r="J200" i="159"/>
  <c r="E200" i="159"/>
  <c r="F200" i="159"/>
  <c r="C200" i="159"/>
  <c r="I201" i="159"/>
  <c r="D201" i="159"/>
  <c r="J201" i="159"/>
  <c r="E201" i="159"/>
  <c r="F201" i="159"/>
  <c r="C201" i="159"/>
  <c r="I202" i="159"/>
  <c r="D202" i="159"/>
  <c r="J202" i="159"/>
  <c r="E202" i="159"/>
  <c r="F202" i="159"/>
  <c r="C202" i="159"/>
  <c r="I203" i="159"/>
  <c r="D203" i="159"/>
  <c r="J203" i="159"/>
  <c r="E203" i="159"/>
  <c r="F203" i="159"/>
  <c r="C203" i="159"/>
  <c r="I204" i="159"/>
  <c r="D204" i="159"/>
  <c r="J204" i="159"/>
  <c r="E204" i="159"/>
  <c r="F204" i="159"/>
  <c r="C204" i="159"/>
  <c r="I205" i="159"/>
  <c r="D205" i="159"/>
  <c r="J205" i="159"/>
  <c r="E205" i="159"/>
  <c r="F205" i="159"/>
  <c r="C205" i="159"/>
  <c r="I206" i="159"/>
  <c r="D206" i="159"/>
  <c r="J206" i="159"/>
  <c r="E206" i="159"/>
  <c r="F206" i="159"/>
  <c r="C206" i="159"/>
  <c r="I207" i="159"/>
  <c r="D207" i="159"/>
  <c r="J207" i="159"/>
  <c r="E207" i="159"/>
  <c r="F207" i="159"/>
  <c r="C207" i="159"/>
  <c r="I208" i="159"/>
  <c r="D208" i="159"/>
  <c r="J208" i="159"/>
  <c r="E208" i="159"/>
  <c r="F208" i="159"/>
  <c r="C208" i="159"/>
  <c r="I209" i="159"/>
  <c r="D209" i="159"/>
  <c r="J209" i="159"/>
  <c r="E209" i="159"/>
  <c r="F209" i="159"/>
  <c r="C209" i="159"/>
  <c r="I210" i="159"/>
  <c r="D210" i="159"/>
  <c r="J210" i="159"/>
  <c r="E210" i="159"/>
  <c r="F210" i="159"/>
  <c r="C210" i="159"/>
  <c r="I211" i="159"/>
  <c r="D211" i="159"/>
  <c r="J211" i="159"/>
  <c r="E211" i="159"/>
  <c r="F211" i="159"/>
  <c r="C211" i="159"/>
  <c r="I212" i="159"/>
  <c r="D212" i="159"/>
  <c r="J212" i="159"/>
  <c r="E212" i="159"/>
  <c r="F212" i="159"/>
  <c r="C212" i="159"/>
  <c r="I213" i="159"/>
  <c r="D213" i="159"/>
  <c r="J213" i="159"/>
  <c r="E213" i="159"/>
  <c r="F213" i="159"/>
  <c r="C213" i="159"/>
  <c r="I214" i="159"/>
  <c r="D214" i="159"/>
  <c r="J214" i="159"/>
  <c r="E214" i="159"/>
  <c r="F214" i="159"/>
  <c r="C214" i="159"/>
  <c r="I215" i="159"/>
  <c r="D215" i="159"/>
  <c r="J215" i="159"/>
  <c r="E215" i="159"/>
  <c r="F215" i="159"/>
  <c r="C215" i="159"/>
  <c r="I216" i="159"/>
  <c r="D216" i="159"/>
  <c r="J216" i="159"/>
  <c r="E216" i="159"/>
  <c r="F216" i="159"/>
  <c r="C216" i="159"/>
  <c r="I217" i="159"/>
  <c r="D217" i="159"/>
  <c r="J217" i="159"/>
  <c r="E217" i="159"/>
  <c r="F217" i="159"/>
  <c r="C217" i="159"/>
  <c r="I218" i="159"/>
  <c r="D218" i="159"/>
  <c r="J218" i="159"/>
  <c r="E218" i="159"/>
  <c r="F218" i="159"/>
  <c r="C218" i="159"/>
  <c r="I219" i="159"/>
  <c r="D219" i="159"/>
  <c r="J219" i="159"/>
  <c r="E219" i="159"/>
  <c r="F219" i="159"/>
  <c r="C219" i="159"/>
  <c r="I220" i="159"/>
  <c r="D220" i="159"/>
  <c r="J220" i="159"/>
  <c r="E220" i="159"/>
  <c r="F220" i="159"/>
  <c r="C220" i="159"/>
  <c r="I221" i="159"/>
  <c r="D221" i="159"/>
  <c r="J221" i="159"/>
  <c r="E221" i="159"/>
  <c r="F221" i="159"/>
  <c r="C221" i="159"/>
  <c r="I222" i="159"/>
  <c r="D222" i="159"/>
  <c r="J222" i="159"/>
  <c r="E222" i="159"/>
  <c r="F222" i="159"/>
  <c r="C222" i="159"/>
  <c r="I223" i="159"/>
  <c r="D223" i="159"/>
  <c r="J223" i="159"/>
  <c r="E223" i="159"/>
  <c r="F223" i="159"/>
  <c r="C223" i="159"/>
  <c r="I224" i="159"/>
  <c r="D224" i="159"/>
  <c r="J224" i="159"/>
  <c r="E224" i="159"/>
  <c r="F224" i="159"/>
  <c r="C224" i="159"/>
  <c r="I225" i="159"/>
  <c r="D225" i="159"/>
  <c r="J225" i="159"/>
  <c r="E225" i="159"/>
  <c r="F225" i="159"/>
  <c r="C225" i="159"/>
  <c r="I226" i="159"/>
  <c r="D226" i="159"/>
  <c r="J226" i="159"/>
  <c r="E226" i="159"/>
  <c r="F226" i="159"/>
  <c r="C226" i="159"/>
  <c r="I227" i="159"/>
  <c r="D227" i="159"/>
  <c r="J227" i="159"/>
  <c r="E227" i="159"/>
  <c r="F227" i="159"/>
  <c r="C227" i="159"/>
  <c r="I228" i="159"/>
  <c r="D228" i="159"/>
  <c r="J228" i="159"/>
  <c r="E228" i="159"/>
  <c r="F228" i="159"/>
  <c r="C228" i="159"/>
  <c r="I229" i="159"/>
  <c r="D229" i="159"/>
  <c r="J229" i="159"/>
  <c r="E229" i="159"/>
  <c r="F229" i="159"/>
  <c r="C229" i="159"/>
  <c r="I230" i="159"/>
  <c r="D230" i="159"/>
  <c r="J230" i="159"/>
  <c r="E230" i="159"/>
  <c r="F230" i="159"/>
  <c r="C230" i="159"/>
  <c r="I231" i="159"/>
  <c r="D231" i="159"/>
  <c r="J231" i="159"/>
  <c r="E231" i="159"/>
  <c r="F231" i="159"/>
  <c r="C231" i="159"/>
  <c r="I232" i="159"/>
  <c r="D232" i="159"/>
  <c r="J232" i="159"/>
  <c r="E232" i="159"/>
  <c r="F232" i="159"/>
  <c r="C232" i="159"/>
  <c r="I233" i="159"/>
  <c r="D233" i="159"/>
  <c r="J233" i="159"/>
  <c r="E233" i="159"/>
  <c r="F233" i="159"/>
  <c r="C233" i="159"/>
  <c r="I234" i="159"/>
  <c r="D234" i="159"/>
  <c r="J234" i="159"/>
  <c r="E234" i="159"/>
  <c r="F234" i="159"/>
  <c r="C234" i="159"/>
  <c r="I235" i="159"/>
  <c r="D235" i="159"/>
  <c r="J235" i="159"/>
  <c r="E235" i="159"/>
  <c r="F235" i="159"/>
  <c r="C235" i="159"/>
  <c r="I236" i="159"/>
  <c r="D236" i="159"/>
  <c r="J236" i="159"/>
  <c r="E236" i="159"/>
  <c r="F236" i="159"/>
  <c r="C236" i="159"/>
  <c r="I237" i="159"/>
  <c r="D237" i="159"/>
  <c r="J237" i="159"/>
  <c r="E237" i="159"/>
  <c r="F237" i="159"/>
  <c r="C237" i="159"/>
  <c r="I238" i="159"/>
  <c r="D238" i="159"/>
  <c r="J238" i="159"/>
  <c r="E238" i="159"/>
  <c r="F238" i="159"/>
  <c r="C238" i="159"/>
  <c r="I239" i="159"/>
  <c r="D239" i="159"/>
  <c r="J239" i="159"/>
  <c r="E239" i="159"/>
  <c r="F239" i="159"/>
  <c r="C239" i="159"/>
  <c r="I240" i="159"/>
  <c r="D240" i="159"/>
  <c r="J240" i="159"/>
  <c r="E240" i="159"/>
  <c r="F240" i="159"/>
  <c r="C240" i="159"/>
  <c r="I241" i="159"/>
  <c r="D241" i="159"/>
  <c r="J241" i="159"/>
  <c r="E241" i="159"/>
  <c r="F241" i="159"/>
  <c r="C241" i="159"/>
  <c r="I242" i="159"/>
  <c r="D242" i="159"/>
  <c r="J242" i="159"/>
  <c r="E242" i="159"/>
  <c r="F242" i="159"/>
  <c r="C242" i="159"/>
  <c r="I243" i="159"/>
  <c r="D243" i="159"/>
  <c r="J243" i="159"/>
  <c r="E243" i="159"/>
  <c r="F243" i="159"/>
  <c r="C243" i="159"/>
  <c r="I244" i="159"/>
  <c r="D244" i="159"/>
  <c r="J244" i="159"/>
  <c r="E244" i="159"/>
  <c r="F244" i="159"/>
  <c r="C244" i="159"/>
  <c r="I245" i="159"/>
  <c r="D245" i="159"/>
  <c r="J245" i="159"/>
  <c r="E245" i="159"/>
  <c r="F245" i="159"/>
  <c r="C245" i="159"/>
  <c r="I246" i="159"/>
  <c r="D246" i="159"/>
  <c r="J246" i="159"/>
  <c r="E246" i="159"/>
  <c r="F246" i="159"/>
  <c r="C246" i="159"/>
  <c r="I247" i="159"/>
  <c r="D247" i="159"/>
  <c r="J247" i="159"/>
  <c r="E247" i="159"/>
  <c r="F247" i="159"/>
  <c r="C247" i="159"/>
  <c r="I248" i="159"/>
  <c r="D248" i="159"/>
  <c r="J248" i="159"/>
  <c r="E248" i="159"/>
  <c r="F248" i="159"/>
  <c r="C248" i="159"/>
  <c r="I249" i="159"/>
  <c r="D249" i="159"/>
  <c r="J249" i="159"/>
  <c r="E249" i="159"/>
  <c r="F249" i="159"/>
  <c r="C249" i="159"/>
  <c r="I250" i="159"/>
  <c r="D250" i="159"/>
  <c r="J250" i="159"/>
  <c r="E250" i="159"/>
  <c r="F250" i="159"/>
  <c r="C250" i="159"/>
  <c r="I251" i="159"/>
  <c r="D251" i="159"/>
  <c r="J251" i="159"/>
  <c r="E251" i="159"/>
  <c r="F251" i="159"/>
  <c r="C251" i="159"/>
  <c r="I252" i="159"/>
  <c r="D252" i="159"/>
  <c r="J252" i="159"/>
  <c r="E252" i="159"/>
  <c r="F252" i="159"/>
  <c r="C252" i="159"/>
  <c r="I253" i="159"/>
  <c r="D253" i="159"/>
  <c r="J253" i="159"/>
  <c r="E253" i="159"/>
  <c r="F253" i="159"/>
  <c r="C253" i="159"/>
  <c r="I254" i="159"/>
  <c r="D254" i="159"/>
  <c r="J254" i="159"/>
  <c r="E254" i="159"/>
  <c r="F254" i="159"/>
  <c r="C254" i="159"/>
  <c r="I255" i="159"/>
  <c r="D255" i="159"/>
  <c r="J255" i="159"/>
  <c r="E255" i="159"/>
  <c r="F255" i="159"/>
  <c r="C255" i="159"/>
  <c r="I256" i="159"/>
  <c r="D256" i="159"/>
  <c r="J256" i="159"/>
  <c r="E256" i="159"/>
  <c r="F256" i="159"/>
  <c r="C256" i="159"/>
  <c r="I257" i="159"/>
  <c r="D257" i="159"/>
  <c r="J257" i="159"/>
  <c r="E257" i="159"/>
  <c r="F257" i="159"/>
  <c r="C257" i="159"/>
  <c r="I258" i="159"/>
  <c r="D258" i="159"/>
  <c r="J258" i="159"/>
  <c r="E258" i="159"/>
  <c r="F258" i="159"/>
  <c r="C258" i="159"/>
  <c r="I259" i="159"/>
  <c r="D259" i="159"/>
  <c r="J259" i="159"/>
  <c r="E259" i="159"/>
  <c r="F259" i="159"/>
  <c r="C259" i="159"/>
  <c r="I260" i="159"/>
  <c r="D260" i="159"/>
  <c r="J260" i="159"/>
  <c r="E260" i="159"/>
  <c r="F260" i="159"/>
  <c r="C260" i="159"/>
  <c r="I261" i="159"/>
  <c r="D261" i="159"/>
  <c r="J261" i="159"/>
  <c r="E261" i="159"/>
  <c r="F261" i="159"/>
  <c r="C261" i="159"/>
  <c r="I262" i="159"/>
  <c r="D262" i="159"/>
  <c r="J262" i="159"/>
  <c r="E262" i="159"/>
  <c r="F262" i="159"/>
  <c r="C262" i="159"/>
  <c r="I263" i="159"/>
  <c r="D263" i="159"/>
  <c r="J263" i="159"/>
  <c r="E263" i="159"/>
  <c r="F263" i="159"/>
  <c r="C263" i="159"/>
  <c r="I264" i="159"/>
  <c r="D264" i="159"/>
  <c r="J264" i="159"/>
  <c r="E264" i="159"/>
  <c r="F264" i="159"/>
  <c r="C264" i="159"/>
  <c r="I265" i="159"/>
  <c r="D265" i="159"/>
  <c r="J265" i="159"/>
  <c r="E265" i="159"/>
  <c r="F265" i="159"/>
  <c r="C265" i="159"/>
  <c r="I266" i="159"/>
  <c r="D266" i="159"/>
  <c r="J266" i="159"/>
  <c r="E266" i="159"/>
  <c r="F266" i="159"/>
  <c r="C266" i="159"/>
  <c r="I267" i="159"/>
  <c r="D267" i="159"/>
  <c r="J267" i="159"/>
  <c r="E267" i="159"/>
  <c r="F267" i="159"/>
  <c r="C267" i="159"/>
  <c r="I268" i="159"/>
  <c r="D268" i="159"/>
  <c r="J268" i="159"/>
  <c r="E268" i="159"/>
  <c r="F268" i="159"/>
  <c r="C268" i="159"/>
  <c r="I269" i="159"/>
  <c r="D269" i="159"/>
  <c r="J269" i="159"/>
  <c r="E269" i="159"/>
  <c r="F269" i="159"/>
  <c r="C269" i="159"/>
  <c r="I270" i="159"/>
  <c r="D270" i="159"/>
  <c r="J270" i="159"/>
  <c r="E270" i="159"/>
  <c r="F270" i="159"/>
  <c r="C270" i="159"/>
  <c r="I271" i="159"/>
  <c r="D271" i="159"/>
  <c r="J271" i="159"/>
  <c r="E271" i="159"/>
  <c r="F271" i="159"/>
  <c r="C271" i="159"/>
  <c r="I272" i="159"/>
  <c r="D272" i="159"/>
  <c r="J272" i="159"/>
  <c r="E272" i="159"/>
  <c r="F272" i="159"/>
  <c r="C272" i="159"/>
  <c r="I273" i="159"/>
  <c r="D273" i="159"/>
  <c r="J273" i="159"/>
  <c r="E273" i="159"/>
  <c r="F273" i="159"/>
  <c r="C273" i="159"/>
  <c r="I274" i="159"/>
  <c r="D274" i="159"/>
  <c r="J274" i="159"/>
  <c r="E274" i="159"/>
  <c r="F274" i="159"/>
  <c r="C274" i="159"/>
  <c r="I275" i="159"/>
  <c r="D275" i="159"/>
  <c r="J275" i="159"/>
  <c r="E275" i="159"/>
  <c r="F275" i="159"/>
  <c r="C275" i="159"/>
  <c r="I276" i="159"/>
  <c r="D276" i="159"/>
  <c r="J276" i="159"/>
  <c r="E276" i="159"/>
  <c r="F276" i="159"/>
  <c r="C276" i="159"/>
  <c r="I277" i="159"/>
  <c r="D277" i="159"/>
  <c r="J277" i="159"/>
  <c r="E277" i="159"/>
  <c r="F277" i="159"/>
  <c r="C277" i="159"/>
  <c r="I278" i="159"/>
  <c r="D278" i="159"/>
  <c r="J278" i="159"/>
  <c r="E278" i="159"/>
  <c r="F278" i="159"/>
  <c r="C278" i="159"/>
  <c r="I279" i="159"/>
  <c r="D279" i="159"/>
  <c r="J279" i="159"/>
  <c r="E279" i="159"/>
  <c r="F279" i="159"/>
  <c r="C279" i="159"/>
  <c r="I280" i="159"/>
  <c r="D280" i="159"/>
  <c r="J280" i="159"/>
  <c r="E280" i="159"/>
  <c r="F280" i="159"/>
  <c r="C280" i="159"/>
  <c r="I281" i="159"/>
  <c r="D281" i="159"/>
  <c r="J281" i="159"/>
  <c r="E281" i="159"/>
  <c r="F281" i="159"/>
  <c r="C281" i="159"/>
  <c r="I282" i="159"/>
  <c r="D282" i="159"/>
  <c r="J282" i="159"/>
  <c r="E282" i="159"/>
  <c r="F282" i="159"/>
  <c r="C282" i="159"/>
  <c r="I283" i="159"/>
  <c r="D283" i="159"/>
  <c r="J283" i="159"/>
  <c r="E283" i="159"/>
  <c r="F283" i="159"/>
  <c r="C283" i="159"/>
  <c r="I284" i="159"/>
  <c r="D284" i="159"/>
  <c r="J284" i="159"/>
  <c r="E284" i="159"/>
  <c r="F284" i="159"/>
  <c r="C284" i="159"/>
  <c r="I285" i="159"/>
  <c r="D285" i="159"/>
  <c r="J285" i="159"/>
  <c r="E285" i="159"/>
  <c r="F285" i="159"/>
  <c r="C285" i="159"/>
  <c r="I286" i="159"/>
  <c r="D286" i="159"/>
  <c r="J286" i="159"/>
  <c r="E286" i="159"/>
  <c r="F286" i="159"/>
  <c r="C286" i="159"/>
  <c r="I287" i="159"/>
  <c r="D287" i="159"/>
  <c r="J287" i="159"/>
  <c r="E287" i="159"/>
  <c r="F287" i="159"/>
  <c r="C287" i="159"/>
  <c r="I288" i="159"/>
  <c r="D288" i="159"/>
  <c r="J288" i="159"/>
  <c r="E288" i="159"/>
  <c r="F288" i="159"/>
  <c r="C288" i="159"/>
  <c r="I289" i="159"/>
  <c r="D289" i="159"/>
  <c r="J289" i="159"/>
  <c r="E289" i="159"/>
  <c r="F289" i="159"/>
  <c r="C289" i="159"/>
  <c r="I290" i="159"/>
  <c r="D290" i="159"/>
  <c r="J290" i="159"/>
  <c r="E290" i="159"/>
  <c r="F290" i="159"/>
  <c r="C290" i="159"/>
  <c r="I291" i="159"/>
  <c r="D291" i="159"/>
  <c r="J291" i="159"/>
  <c r="E291" i="159"/>
  <c r="F291" i="159"/>
  <c r="C291" i="159"/>
  <c r="I292" i="159"/>
  <c r="D292" i="159"/>
  <c r="J292" i="159"/>
  <c r="E292" i="159"/>
  <c r="F292" i="159"/>
  <c r="C292" i="159"/>
  <c r="I293" i="159"/>
  <c r="D293" i="159"/>
  <c r="J293" i="159"/>
  <c r="E293" i="159"/>
  <c r="F293" i="159"/>
  <c r="C293" i="159"/>
  <c r="I294" i="159"/>
  <c r="D294" i="159"/>
  <c r="J294" i="159"/>
  <c r="E294" i="159"/>
  <c r="F294" i="159"/>
  <c r="C294" i="159"/>
  <c r="F5" i="158"/>
  <c r="F7" i="158"/>
  <c r="A51" i="158"/>
  <c r="B46" i="158"/>
  <c r="G46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46" i="158"/>
  <c r="H46" i="158"/>
  <c r="O295" i="159"/>
  <c r="B10" i="158"/>
  <c r="F8" i="158"/>
  <c r="E8" i="158"/>
  <c r="E34" i="158"/>
  <c r="B34" i="158"/>
  <c r="E39" i="158"/>
  <c r="B39" i="158"/>
  <c r="B32" i="158"/>
  <c r="G32" i="158"/>
  <c r="E32" i="158"/>
  <c r="H32" i="158"/>
  <c r="O2" i="159"/>
  <c r="E33" i="158"/>
  <c r="B33" i="158"/>
  <c r="G33" i="158"/>
  <c r="H33" i="158"/>
  <c r="O3" i="159"/>
  <c r="E7" i="158"/>
  <c r="E19" i="158"/>
  <c r="B19" i="158"/>
  <c r="E24" i="158"/>
  <c r="B24" i="158"/>
  <c r="B17" i="158"/>
  <c r="G17" i="158"/>
  <c r="E17" i="158"/>
  <c r="H17" i="158"/>
  <c r="O4" i="159"/>
  <c r="E18" i="158"/>
  <c r="B18" i="158"/>
  <c r="G18" i="158"/>
  <c r="H18" i="158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39" i="158"/>
  <c r="H39" i="158"/>
  <c r="O42" i="159"/>
  <c r="E40" i="158"/>
  <c r="B40" i="158"/>
  <c r="G40" i="158"/>
  <c r="H40" i="158"/>
  <c r="O43" i="159"/>
  <c r="E41" i="158"/>
  <c r="B41" i="158"/>
  <c r="G41" i="158"/>
  <c r="H41" i="158"/>
  <c r="O44" i="159"/>
  <c r="G24" i="158"/>
  <c r="H24" i="158"/>
  <c r="O45" i="159"/>
  <c r="E25" i="158"/>
  <c r="B25" i="158"/>
  <c r="G25" i="158"/>
  <c r="H25" i="158"/>
  <c r="O46" i="159"/>
  <c r="E26" i="158"/>
  <c r="B26" i="158"/>
  <c r="G26" i="158"/>
  <c r="H26" i="158"/>
  <c r="O47" i="159"/>
  <c r="O48" i="159"/>
  <c r="O49" i="159"/>
  <c r="O50" i="159"/>
  <c r="G19" i="158"/>
  <c r="H19" i="158"/>
  <c r="O51" i="159"/>
  <c r="E20" i="158"/>
  <c r="B20" i="158"/>
  <c r="G20" i="158"/>
  <c r="H20" i="158"/>
  <c r="O52" i="159"/>
  <c r="E21" i="158"/>
  <c r="B21" i="158"/>
  <c r="G21" i="158"/>
  <c r="H21" i="158"/>
  <c r="O53" i="159"/>
  <c r="G34" i="158"/>
  <c r="H34" i="158"/>
  <c r="O54" i="159"/>
  <c r="E35" i="158"/>
  <c r="B35" i="158"/>
  <c r="G35" i="158"/>
  <c r="H35" i="158"/>
  <c r="O55" i="159"/>
  <c r="E36" i="158"/>
  <c r="B36" i="158"/>
  <c r="G36" i="158"/>
  <c r="H36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F6" i="158"/>
  <c r="E6" i="158"/>
  <c r="E42" i="158"/>
  <c r="B42" i="158"/>
  <c r="G42" i="158"/>
  <c r="H42" i="158"/>
  <c r="O138" i="159"/>
  <c r="E43" i="158"/>
  <c r="B43" i="158"/>
  <c r="G43" i="158"/>
  <c r="H43" i="158"/>
  <c r="O139" i="159"/>
  <c r="E5" i="158"/>
  <c r="E27" i="158"/>
  <c r="B27" i="158"/>
  <c r="G27" i="158"/>
  <c r="H27" i="158"/>
  <c r="O140" i="159"/>
  <c r="E28" i="158"/>
  <c r="B28" i="158"/>
  <c r="G28" i="158"/>
  <c r="H28" i="158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E37" i="158"/>
  <c r="E44" i="158"/>
  <c r="B44" i="158"/>
  <c r="B38" i="158"/>
  <c r="B37" i="158"/>
  <c r="G37" i="158"/>
  <c r="H37" i="158"/>
  <c r="O256" i="159"/>
  <c r="G38" i="158"/>
  <c r="E38" i="158"/>
  <c r="H38" i="158"/>
  <c r="O257" i="159"/>
  <c r="E22" i="158"/>
  <c r="E29" i="158"/>
  <c r="B29" i="158"/>
  <c r="B23" i="158"/>
  <c r="B22" i="158"/>
  <c r="G22" i="158"/>
  <c r="H22" i="158"/>
  <c r="O258" i="159"/>
  <c r="G23" i="158"/>
  <c r="E23" i="158"/>
  <c r="H23" i="158"/>
  <c r="O259" i="159"/>
  <c r="G29" i="158"/>
  <c r="H29" i="158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G44" i="158"/>
  <c r="H44" i="158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P295" i="159"/>
  <c r="N295" i="159"/>
  <c r="M295" i="159"/>
  <c r="L295" i="159"/>
  <c r="K295" i="159"/>
  <c r="H295" i="159"/>
  <c r="A295" i="159"/>
  <c r="P294" i="159"/>
  <c r="N294" i="159"/>
  <c r="M294" i="159"/>
  <c r="L294" i="159"/>
  <c r="K294" i="159"/>
  <c r="H294" i="159"/>
  <c r="A294" i="159"/>
  <c r="P293" i="159"/>
  <c r="N293" i="159"/>
  <c r="M293" i="159"/>
  <c r="L293" i="159"/>
  <c r="K293" i="159"/>
  <c r="H293" i="159"/>
  <c r="A293" i="159"/>
  <c r="P292" i="159"/>
  <c r="N292" i="159"/>
  <c r="M292" i="159"/>
  <c r="L292" i="159"/>
  <c r="K292" i="159"/>
  <c r="H292" i="159"/>
  <c r="A292" i="159"/>
  <c r="P291" i="159"/>
  <c r="N291" i="159"/>
  <c r="M291" i="159"/>
  <c r="L291" i="159"/>
  <c r="K291" i="159"/>
  <c r="H291" i="159"/>
  <c r="A291" i="159"/>
  <c r="P290" i="159"/>
  <c r="N290" i="159"/>
  <c r="M290" i="159"/>
  <c r="L290" i="159"/>
  <c r="K290" i="159"/>
  <c r="H290" i="159"/>
  <c r="A290" i="159"/>
  <c r="P289" i="159"/>
  <c r="N289" i="159"/>
  <c r="M289" i="159"/>
  <c r="L289" i="159"/>
  <c r="K289" i="159"/>
  <c r="H289" i="159"/>
  <c r="A289" i="159"/>
  <c r="P288" i="159"/>
  <c r="N288" i="159"/>
  <c r="M288" i="159"/>
  <c r="L288" i="159"/>
  <c r="K288" i="159"/>
  <c r="H288" i="159"/>
  <c r="A288" i="159"/>
  <c r="P287" i="159"/>
  <c r="N287" i="159"/>
  <c r="M287" i="159"/>
  <c r="L287" i="159"/>
  <c r="K287" i="159"/>
  <c r="H287" i="159"/>
  <c r="A287" i="159"/>
  <c r="P286" i="159"/>
  <c r="N286" i="159"/>
  <c r="M286" i="159"/>
  <c r="L286" i="159"/>
  <c r="K286" i="159"/>
  <c r="H286" i="159"/>
  <c r="A286" i="159"/>
  <c r="P285" i="159"/>
  <c r="N285" i="159"/>
  <c r="M285" i="159"/>
  <c r="L285" i="159"/>
  <c r="K285" i="159"/>
  <c r="H285" i="159"/>
  <c r="A285" i="159"/>
  <c r="P284" i="159"/>
  <c r="N284" i="159"/>
  <c r="M284" i="159"/>
  <c r="L284" i="159"/>
  <c r="K284" i="159"/>
  <c r="H284" i="159"/>
  <c r="A284" i="159"/>
  <c r="P283" i="159"/>
  <c r="N283" i="159"/>
  <c r="M283" i="159"/>
  <c r="L283" i="159"/>
  <c r="K283" i="159"/>
  <c r="H283" i="159"/>
  <c r="A283" i="159"/>
  <c r="P282" i="159"/>
  <c r="N282" i="159"/>
  <c r="M282" i="159"/>
  <c r="L282" i="159"/>
  <c r="K282" i="159"/>
  <c r="H282" i="159"/>
  <c r="A282" i="159"/>
  <c r="P281" i="159"/>
  <c r="N281" i="159"/>
  <c r="M281" i="159"/>
  <c r="L281" i="159"/>
  <c r="K281" i="159"/>
  <c r="H281" i="159"/>
  <c r="A281" i="159"/>
  <c r="P280" i="159"/>
  <c r="N280" i="159"/>
  <c r="M280" i="159"/>
  <c r="L280" i="159"/>
  <c r="K280" i="159"/>
  <c r="H280" i="159"/>
  <c r="A280" i="159"/>
  <c r="P279" i="159"/>
  <c r="N279" i="159"/>
  <c r="M279" i="159"/>
  <c r="L279" i="159"/>
  <c r="K279" i="159"/>
  <c r="H279" i="159"/>
  <c r="A279" i="159"/>
  <c r="P278" i="159"/>
  <c r="N278" i="159"/>
  <c r="M278" i="159"/>
  <c r="L278" i="159"/>
  <c r="K278" i="159"/>
  <c r="H278" i="159"/>
  <c r="A278" i="159"/>
  <c r="P277" i="159"/>
  <c r="N277" i="159"/>
  <c r="M277" i="159"/>
  <c r="L277" i="159"/>
  <c r="K277" i="159"/>
  <c r="H277" i="159"/>
  <c r="A277" i="159"/>
  <c r="P276" i="159"/>
  <c r="N276" i="159"/>
  <c r="M276" i="159"/>
  <c r="L276" i="159"/>
  <c r="K276" i="159"/>
  <c r="H276" i="159"/>
  <c r="A276" i="159"/>
  <c r="P275" i="159"/>
  <c r="N275" i="159"/>
  <c r="M275" i="159"/>
  <c r="L275" i="159"/>
  <c r="K275" i="159"/>
  <c r="H275" i="159"/>
  <c r="A275" i="159"/>
  <c r="P274" i="159"/>
  <c r="N274" i="159"/>
  <c r="M274" i="159"/>
  <c r="L274" i="159"/>
  <c r="K274" i="159"/>
  <c r="H274" i="159"/>
  <c r="A274" i="159"/>
  <c r="P273" i="159"/>
  <c r="N273" i="159"/>
  <c r="M273" i="159"/>
  <c r="L273" i="159"/>
  <c r="K273" i="159"/>
  <c r="H273" i="159"/>
  <c r="A273" i="159"/>
  <c r="P272" i="159"/>
  <c r="N272" i="159"/>
  <c r="M272" i="159"/>
  <c r="L272" i="159"/>
  <c r="K272" i="159"/>
  <c r="H272" i="159"/>
  <c r="A272" i="159"/>
  <c r="P271" i="159"/>
  <c r="N271" i="159"/>
  <c r="M271" i="159"/>
  <c r="L271" i="159"/>
  <c r="K271" i="159"/>
  <c r="H271" i="159"/>
  <c r="A271" i="159"/>
  <c r="P270" i="159"/>
  <c r="N270" i="159"/>
  <c r="M270" i="159"/>
  <c r="L270" i="159"/>
  <c r="K270" i="159"/>
  <c r="H270" i="159"/>
  <c r="A270" i="159"/>
  <c r="P269" i="159"/>
  <c r="N269" i="159"/>
  <c r="M269" i="159"/>
  <c r="L269" i="159"/>
  <c r="K269" i="159"/>
  <c r="H269" i="159"/>
  <c r="A269" i="159"/>
  <c r="P268" i="159"/>
  <c r="N268" i="159"/>
  <c r="M268" i="159"/>
  <c r="L268" i="159"/>
  <c r="K268" i="159"/>
  <c r="H268" i="159"/>
  <c r="A268" i="159"/>
  <c r="P267" i="159"/>
  <c r="N267" i="159"/>
  <c r="M267" i="159"/>
  <c r="L267" i="159"/>
  <c r="K267" i="159"/>
  <c r="H267" i="159"/>
  <c r="A267" i="159"/>
  <c r="P266" i="159"/>
  <c r="N266" i="159"/>
  <c r="M266" i="159"/>
  <c r="L266" i="159"/>
  <c r="K266" i="159"/>
  <c r="H266" i="159"/>
  <c r="A266" i="159"/>
  <c r="P265" i="159"/>
  <c r="N265" i="159"/>
  <c r="M265" i="159"/>
  <c r="L265" i="159"/>
  <c r="K265" i="159"/>
  <c r="H265" i="159"/>
  <c r="A265" i="159"/>
  <c r="P264" i="159"/>
  <c r="N264" i="159"/>
  <c r="M264" i="159"/>
  <c r="L264" i="159"/>
  <c r="K264" i="159"/>
  <c r="H264" i="159"/>
  <c r="A264" i="159"/>
  <c r="P263" i="159"/>
  <c r="N263" i="159"/>
  <c r="M263" i="159"/>
  <c r="L263" i="159"/>
  <c r="K263" i="159"/>
  <c r="H263" i="159"/>
  <c r="A263" i="159"/>
  <c r="P262" i="159"/>
  <c r="N262" i="159"/>
  <c r="M262" i="159"/>
  <c r="L262" i="159"/>
  <c r="K262" i="159"/>
  <c r="H262" i="159"/>
  <c r="A262" i="159"/>
  <c r="P261" i="159"/>
  <c r="N261" i="159"/>
  <c r="M261" i="159"/>
  <c r="L261" i="159"/>
  <c r="K261" i="159"/>
  <c r="H261" i="159"/>
  <c r="A261" i="159"/>
  <c r="P260" i="159"/>
  <c r="N260" i="159"/>
  <c r="M260" i="159"/>
  <c r="L260" i="159"/>
  <c r="K260" i="159"/>
  <c r="H260" i="159"/>
  <c r="A260" i="159"/>
  <c r="P259" i="159"/>
  <c r="N259" i="159"/>
  <c r="M259" i="159"/>
  <c r="L259" i="159"/>
  <c r="K259" i="159"/>
  <c r="H259" i="159"/>
  <c r="A259" i="159"/>
  <c r="P258" i="159"/>
  <c r="N258" i="159"/>
  <c r="M258" i="159"/>
  <c r="L258" i="159"/>
  <c r="K258" i="159"/>
  <c r="H258" i="159"/>
  <c r="A258" i="159"/>
  <c r="P257" i="159"/>
  <c r="N257" i="159"/>
  <c r="M257" i="159"/>
  <c r="L257" i="159"/>
  <c r="K257" i="159"/>
  <c r="H257" i="159"/>
  <c r="A257" i="159"/>
  <c r="P256" i="159"/>
  <c r="N256" i="159"/>
  <c r="M256" i="159"/>
  <c r="L256" i="159"/>
  <c r="K256" i="159"/>
  <c r="H256" i="159"/>
  <c r="A256" i="159"/>
  <c r="P255" i="159"/>
  <c r="N255" i="159"/>
  <c r="M255" i="159"/>
  <c r="L255" i="159"/>
  <c r="K255" i="159"/>
  <c r="H255" i="159"/>
  <c r="A255" i="159"/>
  <c r="P254" i="159"/>
  <c r="N254" i="159"/>
  <c r="M254" i="159"/>
  <c r="L254" i="159"/>
  <c r="K254" i="159"/>
  <c r="H254" i="159"/>
  <c r="A254" i="159"/>
  <c r="P253" i="159"/>
  <c r="N253" i="159"/>
  <c r="M253" i="159"/>
  <c r="L253" i="159"/>
  <c r="K253" i="159"/>
  <c r="H253" i="159"/>
  <c r="A253" i="159"/>
  <c r="P252" i="159"/>
  <c r="N252" i="159"/>
  <c r="M252" i="159"/>
  <c r="L252" i="159"/>
  <c r="K252" i="159"/>
  <c r="H252" i="159"/>
  <c r="A252" i="159"/>
  <c r="P251" i="159"/>
  <c r="N251" i="159"/>
  <c r="M251" i="159"/>
  <c r="L251" i="159"/>
  <c r="K251" i="159"/>
  <c r="H251" i="159"/>
  <c r="A251" i="159"/>
  <c r="P250" i="159"/>
  <c r="N250" i="159"/>
  <c r="M250" i="159"/>
  <c r="L250" i="159"/>
  <c r="K250" i="159"/>
  <c r="H250" i="159"/>
  <c r="A250" i="159"/>
  <c r="P249" i="159"/>
  <c r="N249" i="159"/>
  <c r="M249" i="159"/>
  <c r="L249" i="159"/>
  <c r="K249" i="159"/>
  <c r="H249" i="159"/>
  <c r="A249" i="159"/>
  <c r="P248" i="159"/>
  <c r="N248" i="159"/>
  <c r="M248" i="159"/>
  <c r="L248" i="159"/>
  <c r="K248" i="159"/>
  <c r="H248" i="159"/>
  <c r="A248" i="159"/>
  <c r="P247" i="159"/>
  <c r="N247" i="159"/>
  <c r="M247" i="159"/>
  <c r="L247" i="159"/>
  <c r="K247" i="159"/>
  <c r="H247" i="159"/>
  <c r="A247" i="159"/>
  <c r="P246" i="159"/>
  <c r="N246" i="159"/>
  <c r="M246" i="159"/>
  <c r="L246" i="159"/>
  <c r="K246" i="159"/>
  <c r="H246" i="159"/>
  <c r="A246" i="159"/>
  <c r="P245" i="159"/>
  <c r="N245" i="159"/>
  <c r="M245" i="159"/>
  <c r="L245" i="159"/>
  <c r="K245" i="159"/>
  <c r="H245" i="159"/>
  <c r="A245" i="159"/>
  <c r="P244" i="159"/>
  <c r="N244" i="159"/>
  <c r="M244" i="159"/>
  <c r="L244" i="159"/>
  <c r="K244" i="159"/>
  <c r="H244" i="159"/>
  <c r="A244" i="159"/>
  <c r="P243" i="159"/>
  <c r="N243" i="159"/>
  <c r="M243" i="159"/>
  <c r="L243" i="159"/>
  <c r="K243" i="159"/>
  <c r="H243" i="159"/>
  <c r="A243" i="159"/>
  <c r="P242" i="159"/>
  <c r="N242" i="159"/>
  <c r="M242" i="159"/>
  <c r="L242" i="159"/>
  <c r="K242" i="159"/>
  <c r="H242" i="159"/>
  <c r="A242" i="159"/>
  <c r="P241" i="159"/>
  <c r="N241" i="159"/>
  <c r="M241" i="159"/>
  <c r="L241" i="159"/>
  <c r="K241" i="159"/>
  <c r="H241" i="159"/>
  <c r="A241" i="159"/>
  <c r="P240" i="159"/>
  <c r="N240" i="159"/>
  <c r="M240" i="159"/>
  <c r="L240" i="159"/>
  <c r="K240" i="159"/>
  <c r="H240" i="159"/>
  <c r="A240" i="159"/>
  <c r="P239" i="159"/>
  <c r="N239" i="159"/>
  <c r="M239" i="159"/>
  <c r="L239" i="159"/>
  <c r="K239" i="159"/>
  <c r="H239" i="159"/>
  <c r="A239" i="159"/>
  <c r="P238" i="159"/>
  <c r="N238" i="159"/>
  <c r="M238" i="159"/>
  <c r="L238" i="159"/>
  <c r="K238" i="159"/>
  <c r="H238" i="159"/>
  <c r="A238" i="159"/>
  <c r="P237" i="159"/>
  <c r="N237" i="159"/>
  <c r="M237" i="159"/>
  <c r="L237" i="159"/>
  <c r="K237" i="159"/>
  <c r="H237" i="159"/>
  <c r="A237" i="159"/>
  <c r="P236" i="159"/>
  <c r="N236" i="159"/>
  <c r="M236" i="159"/>
  <c r="L236" i="159"/>
  <c r="K236" i="159"/>
  <c r="H236" i="159"/>
  <c r="A236" i="159"/>
  <c r="P235" i="159"/>
  <c r="N235" i="159"/>
  <c r="M235" i="159"/>
  <c r="L235" i="159"/>
  <c r="K235" i="159"/>
  <c r="H235" i="159"/>
  <c r="A235" i="159"/>
  <c r="P234" i="159"/>
  <c r="N234" i="159"/>
  <c r="M234" i="159"/>
  <c r="L234" i="159"/>
  <c r="K234" i="159"/>
  <c r="H234" i="159"/>
  <c r="A234" i="159"/>
  <c r="P233" i="159"/>
  <c r="N233" i="159"/>
  <c r="M233" i="159"/>
  <c r="L233" i="159"/>
  <c r="K233" i="159"/>
  <c r="H233" i="159"/>
  <c r="A233" i="159"/>
  <c r="P232" i="159"/>
  <c r="N232" i="159"/>
  <c r="M232" i="159"/>
  <c r="L232" i="159"/>
  <c r="K232" i="159"/>
  <c r="H232" i="159"/>
  <c r="A232" i="159"/>
  <c r="P231" i="159"/>
  <c r="N231" i="159"/>
  <c r="M231" i="159"/>
  <c r="L231" i="159"/>
  <c r="K231" i="159"/>
  <c r="H231" i="159"/>
  <c r="A231" i="159"/>
  <c r="P230" i="159"/>
  <c r="N230" i="159"/>
  <c r="M230" i="159"/>
  <c r="L230" i="159"/>
  <c r="K230" i="159"/>
  <c r="H230" i="159"/>
  <c r="A230" i="159"/>
  <c r="P229" i="159"/>
  <c r="N229" i="159"/>
  <c r="M229" i="159"/>
  <c r="L229" i="159"/>
  <c r="K229" i="159"/>
  <c r="H229" i="159"/>
  <c r="A229" i="159"/>
  <c r="P228" i="159"/>
  <c r="N228" i="159"/>
  <c r="M228" i="159"/>
  <c r="L228" i="159"/>
  <c r="K228" i="159"/>
  <c r="H228" i="159"/>
  <c r="A228" i="159"/>
  <c r="P227" i="159"/>
  <c r="N227" i="159"/>
  <c r="M227" i="159"/>
  <c r="L227" i="159"/>
  <c r="K227" i="159"/>
  <c r="H227" i="159"/>
  <c r="A227" i="159"/>
  <c r="P226" i="159"/>
  <c r="N226" i="159"/>
  <c r="M226" i="159"/>
  <c r="L226" i="159"/>
  <c r="K226" i="159"/>
  <c r="H226" i="159"/>
  <c r="A226" i="159"/>
  <c r="P225" i="159"/>
  <c r="N225" i="159"/>
  <c r="M225" i="159"/>
  <c r="L225" i="159"/>
  <c r="K225" i="159"/>
  <c r="H225" i="159"/>
  <c r="A225" i="159"/>
  <c r="P224" i="159"/>
  <c r="N224" i="159"/>
  <c r="M224" i="159"/>
  <c r="L224" i="159"/>
  <c r="K224" i="159"/>
  <c r="H224" i="159"/>
  <c r="A224" i="159"/>
  <c r="P223" i="159"/>
  <c r="N223" i="159"/>
  <c r="M223" i="159"/>
  <c r="L223" i="159"/>
  <c r="K223" i="159"/>
  <c r="H223" i="159"/>
  <c r="A223" i="159"/>
  <c r="P222" i="159"/>
  <c r="N222" i="159"/>
  <c r="M222" i="159"/>
  <c r="L222" i="159"/>
  <c r="K222" i="159"/>
  <c r="H222" i="159"/>
  <c r="A222" i="159"/>
  <c r="P221" i="159"/>
  <c r="N221" i="159"/>
  <c r="M221" i="159"/>
  <c r="L221" i="159"/>
  <c r="K221" i="159"/>
  <c r="H221" i="159"/>
  <c r="A221" i="159"/>
  <c r="P220" i="159"/>
  <c r="N220" i="159"/>
  <c r="M220" i="159"/>
  <c r="L220" i="159"/>
  <c r="K220" i="159"/>
  <c r="H220" i="159"/>
  <c r="A220" i="159"/>
  <c r="P219" i="159"/>
  <c r="N219" i="159"/>
  <c r="M219" i="159"/>
  <c r="L219" i="159"/>
  <c r="K219" i="159"/>
  <c r="H219" i="159"/>
  <c r="A219" i="159"/>
  <c r="P218" i="159"/>
  <c r="N218" i="159"/>
  <c r="M218" i="159"/>
  <c r="L218" i="159"/>
  <c r="K218" i="159"/>
  <c r="H218" i="159"/>
  <c r="A218" i="159"/>
  <c r="P217" i="159"/>
  <c r="N217" i="159"/>
  <c r="M217" i="159"/>
  <c r="L217" i="159"/>
  <c r="K217" i="159"/>
  <c r="H217" i="159"/>
  <c r="A217" i="159"/>
  <c r="P216" i="159"/>
  <c r="N216" i="159"/>
  <c r="M216" i="159"/>
  <c r="L216" i="159"/>
  <c r="K216" i="159"/>
  <c r="H216" i="159"/>
  <c r="A216" i="159"/>
  <c r="P215" i="159"/>
  <c r="N215" i="159"/>
  <c r="M215" i="159"/>
  <c r="L215" i="159"/>
  <c r="K215" i="159"/>
  <c r="H215" i="159"/>
  <c r="A215" i="159"/>
  <c r="P214" i="159"/>
  <c r="N214" i="159"/>
  <c r="M214" i="159"/>
  <c r="L214" i="159"/>
  <c r="K214" i="159"/>
  <c r="H214" i="159"/>
  <c r="A214" i="159"/>
  <c r="P213" i="159"/>
  <c r="N213" i="159"/>
  <c r="M213" i="159"/>
  <c r="L213" i="159"/>
  <c r="K213" i="159"/>
  <c r="H213" i="159"/>
  <c r="A213" i="159"/>
  <c r="P212" i="159"/>
  <c r="N212" i="159"/>
  <c r="M212" i="159"/>
  <c r="L212" i="159"/>
  <c r="K212" i="159"/>
  <c r="H212" i="159"/>
  <c r="A212" i="159"/>
  <c r="P211" i="159"/>
  <c r="N211" i="159"/>
  <c r="M211" i="159"/>
  <c r="L211" i="159"/>
  <c r="K211" i="159"/>
  <c r="H211" i="159"/>
  <c r="A211" i="159"/>
  <c r="P210" i="159"/>
  <c r="N210" i="159"/>
  <c r="M210" i="159"/>
  <c r="L210" i="159"/>
  <c r="K210" i="159"/>
  <c r="H210" i="159"/>
  <c r="A210" i="159"/>
  <c r="P209" i="159"/>
  <c r="N209" i="159"/>
  <c r="M209" i="159"/>
  <c r="L209" i="159"/>
  <c r="K209" i="159"/>
  <c r="H209" i="159"/>
  <c r="A209" i="159"/>
  <c r="P208" i="159"/>
  <c r="N208" i="159"/>
  <c r="M208" i="159"/>
  <c r="L208" i="159"/>
  <c r="K208" i="159"/>
  <c r="H208" i="159"/>
  <c r="A208" i="159"/>
  <c r="P207" i="159"/>
  <c r="N207" i="159"/>
  <c r="M207" i="159"/>
  <c r="L207" i="159"/>
  <c r="K207" i="159"/>
  <c r="H207" i="159"/>
  <c r="A207" i="159"/>
  <c r="P206" i="159"/>
  <c r="N206" i="159"/>
  <c r="M206" i="159"/>
  <c r="L206" i="159"/>
  <c r="K206" i="159"/>
  <c r="H206" i="159"/>
  <c r="A206" i="159"/>
  <c r="P205" i="159"/>
  <c r="N205" i="159"/>
  <c r="M205" i="159"/>
  <c r="L205" i="159"/>
  <c r="K205" i="159"/>
  <c r="H205" i="159"/>
  <c r="A205" i="159"/>
  <c r="P204" i="159"/>
  <c r="N204" i="159"/>
  <c r="M204" i="159"/>
  <c r="L204" i="159"/>
  <c r="K204" i="159"/>
  <c r="H204" i="159"/>
  <c r="A204" i="159"/>
  <c r="P203" i="159"/>
  <c r="N203" i="159"/>
  <c r="M203" i="159"/>
  <c r="L203" i="159"/>
  <c r="K203" i="159"/>
  <c r="H203" i="159"/>
  <c r="A203" i="159"/>
  <c r="P202" i="159"/>
  <c r="N202" i="159"/>
  <c r="M202" i="159"/>
  <c r="L202" i="159"/>
  <c r="K202" i="159"/>
  <c r="H202" i="159"/>
  <c r="A202" i="159"/>
  <c r="P201" i="159"/>
  <c r="N201" i="159"/>
  <c r="M201" i="159"/>
  <c r="L201" i="159"/>
  <c r="K201" i="159"/>
  <c r="H201" i="159"/>
  <c r="A201" i="159"/>
  <c r="P200" i="159"/>
  <c r="N200" i="159"/>
  <c r="M200" i="159"/>
  <c r="L200" i="159"/>
  <c r="K200" i="159"/>
  <c r="H200" i="159"/>
  <c r="A200" i="159"/>
  <c r="P199" i="159"/>
  <c r="N199" i="159"/>
  <c r="M199" i="159"/>
  <c r="L199" i="159"/>
  <c r="K199" i="159"/>
  <c r="H199" i="159"/>
  <c r="A199" i="159"/>
  <c r="P198" i="159"/>
  <c r="N198" i="159"/>
  <c r="M198" i="159"/>
  <c r="L198" i="159"/>
  <c r="K198" i="159"/>
  <c r="H198" i="159"/>
  <c r="A198" i="159"/>
  <c r="P197" i="159"/>
  <c r="N197" i="159"/>
  <c r="M197" i="159"/>
  <c r="L197" i="159"/>
  <c r="K197" i="159"/>
  <c r="H197" i="159"/>
  <c r="A197" i="159"/>
  <c r="P196" i="159"/>
  <c r="N196" i="159"/>
  <c r="M196" i="159"/>
  <c r="L196" i="159"/>
  <c r="K196" i="159"/>
  <c r="H196" i="159"/>
  <c r="A196" i="159"/>
  <c r="P195" i="159"/>
  <c r="N195" i="159"/>
  <c r="M195" i="159"/>
  <c r="L195" i="159"/>
  <c r="K195" i="159"/>
  <c r="H195" i="159"/>
  <c r="A195" i="159"/>
  <c r="P194" i="159"/>
  <c r="N194" i="159"/>
  <c r="M194" i="159"/>
  <c r="L194" i="159"/>
  <c r="K194" i="159"/>
  <c r="H194" i="159"/>
  <c r="A194" i="159"/>
  <c r="P193" i="159"/>
  <c r="N193" i="159"/>
  <c r="M193" i="159"/>
  <c r="L193" i="159"/>
  <c r="K193" i="159"/>
  <c r="H193" i="159"/>
  <c r="A193" i="159"/>
  <c r="P192" i="159"/>
  <c r="N192" i="159"/>
  <c r="M192" i="159"/>
  <c r="L192" i="159"/>
  <c r="K192" i="159"/>
  <c r="H192" i="159"/>
  <c r="A192" i="159"/>
  <c r="P191" i="159"/>
  <c r="N191" i="159"/>
  <c r="M191" i="159"/>
  <c r="L191" i="159"/>
  <c r="K191" i="159"/>
  <c r="H191" i="159"/>
  <c r="A191" i="159"/>
  <c r="P190" i="159"/>
  <c r="N190" i="159"/>
  <c r="M190" i="159"/>
  <c r="L190" i="159"/>
  <c r="K190" i="159"/>
  <c r="H190" i="159"/>
  <c r="A190" i="159"/>
  <c r="P189" i="159"/>
  <c r="N189" i="159"/>
  <c r="M189" i="159"/>
  <c r="L189" i="159"/>
  <c r="K189" i="159"/>
  <c r="H189" i="159"/>
  <c r="A189" i="159"/>
  <c r="P188" i="159"/>
  <c r="N188" i="159"/>
  <c r="M188" i="159"/>
  <c r="L188" i="159"/>
  <c r="K188" i="159"/>
  <c r="H188" i="159"/>
  <c r="A188" i="159"/>
  <c r="P187" i="159"/>
  <c r="N187" i="159"/>
  <c r="M187" i="159"/>
  <c r="L187" i="159"/>
  <c r="K187" i="159"/>
  <c r="H187" i="159"/>
  <c r="A187" i="159"/>
  <c r="P186" i="159"/>
  <c r="N186" i="159"/>
  <c r="M186" i="159"/>
  <c r="L186" i="159"/>
  <c r="K186" i="159"/>
  <c r="H186" i="159"/>
  <c r="A186" i="159"/>
  <c r="P185" i="159"/>
  <c r="N185" i="159"/>
  <c r="M185" i="159"/>
  <c r="L185" i="159"/>
  <c r="K185" i="159"/>
  <c r="H185" i="159"/>
  <c r="A185" i="159"/>
  <c r="P184" i="159"/>
  <c r="N184" i="159"/>
  <c r="M184" i="159"/>
  <c r="L184" i="159"/>
  <c r="K184" i="159"/>
  <c r="H184" i="159"/>
  <c r="A184" i="159"/>
  <c r="P183" i="159"/>
  <c r="N183" i="159"/>
  <c r="M183" i="159"/>
  <c r="L183" i="159"/>
  <c r="K183" i="159"/>
  <c r="H183" i="159"/>
  <c r="A183" i="159"/>
  <c r="P182" i="159"/>
  <c r="N182" i="159"/>
  <c r="M182" i="159"/>
  <c r="L182" i="159"/>
  <c r="K182" i="159"/>
  <c r="H182" i="159"/>
  <c r="A182" i="159"/>
  <c r="P181" i="159"/>
  <c r="N181" i="159"/>
  <c r="M181" i="159"/>
  <c r="L181" i="159"/>
  <c r="K181" i="159"/>
  <c r="H181" i="159"/>
  <c r="A181" i="159"/>
  <c r="P180" i="159"/>
  <c r="N180" i="159"/>
  <c r="M180" i="159"/>
  <c r="L180" i="159"/>
  <c r="K180" i="159"/>
  <c r="H180" i="159"/>
  <c r="A180" i="159"/>
  <c r="P179" i="159"/>
  <c r="N179" i="159"/>
  <c r="M179" i="159"/>
  <c r="L179" i="159"/>
  <c r="K179" i="159"/>
  <c r="H179" i="159"/>
  <c r="A179" i="159"/>
  <c r="P178" i="159"/>
  <c r="N178" i="159"/>
  <c r="M178" i="159"/>
  <c r="L178" i="159"/>
  <c r="K178" i="159"/>
  <c r="H178" i="159"/>
  <c r="A178" i="159"/>
  <c r="P177" i="159"/>
  <c r="N177" i="159"/>
  <c r="M177" i="159"/>
  <c r="L177" i="159"/>
  <c r="K177" i="159"/>
  <c r="H177" i="159"/>
  <c r="A177" i="159"/>
  <c r="P176" i="159"/>
  <c r="N176" i="159"/>
  <c r="M176" i="159"/>
  <c r="L176" i="159"/>
  <c r="K176" i="159"/>
  <c r="H176" i="159"/>
  <c r="A176" i="159"/>
  <c r="P175" i="159"/>
  <c r="N175" i="159"/>
  <c r="M175" i="159"/>
  <c r="L175" i="159"/>
  <c r="K175" i="159"/>
  <c r="H175" i="159"/>
  <c r="A175" i="159"/>
  <c r="P174" i="159"/>
  <c r="N174" i="159"/>
  <c r="M174" i="159"/>
  <c r="L174" i="159"/>
  <c r="K174" i="159"/>
  <c r="H174" i="159"/>
  <c r="A174" i="159"/>
  <c r="P173" i="159"/>
  <c r="N173" i="159"/>
  <c r="M173" i="159"/>
  <c r="L173" i="159"/>
  <c r="K173" i="159"/>
  <c r="H173" i="159"/>
  <c r="A173" i="159"/>
  <c r="P172" i="159"/>
  <c r="N172" i="159"/>
  <c r="M172" i="159"/>
  <c r="L172" i="159"/>
  <c r="K172" i="159"/>
  <c r="H172" i="159"/>
  <c r="A172" i="159"/>
  <c r="P171" i="159"/>
  <c r="N171" i="159"/>
  <c r="M171" i="159"/>
  <c r="L171" i="159"/>
  <c r="K171" i="159"/>
  <c r="H171" i="159"/>
  <c r="A171" i="159"/>
  <c r="P170" i="159"/>
  <c r="N170" i="159"/>
  <c r="M170" i="159"/>
  <c r="L170" i="159"/>
  <c r="K170" i="159"/>
  <c r="H170" i="159"/>
  <c r="A170" i="159"/>
  <c r="P169" i="159"/>
  <c r="N169" i="159"/>
  <c r="M169" i="159"/>
  <c r="L169" i="159"/>
  <c r="K169" i="159"/>
  <c r="H169" i="159"/>
  <c r="A169" i="159"/>
  <c r="P168" i="159"/>
  <c r="N168" i="159"/>
  <c r="M168" i="159"/>
  <c r="L168" i="159"/>
  <c r="K168" i="159"/>
  <c r="H168" i="159"/>
  <c r="A168" i="159"/>
  <c r="P167" i="159"/>
  <c r="N167" i="159"/>
  <c r="M167" i="159"/>
  <c r="L167" i="159"/>
  <c r="K167" i="159"/>
  <c r="H167" i="159"/>
  <c r="A167" i="159"/>
  <c r="P166" i="159"/>
  <c r="N166" i="159"/>
  <c r="M166" i="159"/>
  <c r="L166" i="159"/>
  <c r="K166" i="159"/>
  <c r="H166" i="159"/>
  <c r="A166" i="159"/>
  <c r="P165" i="159"/>
  <c r="N165" i="159"/>
  <c r="M165" i="159"/>
  <c r="L165" i="159"/>
  <c r="K165" i="159"/>
  <c r="H165" i="159"/>
  <c r="A165" i="159"/>
  <c r="P164" i="159"/>
  <c r="N164" i="159"/>
  <c r="M164" i="159"/>
  <c r="L164" i="159"/>
  <c r="K164" i="159"/>
  <c r="H164" i="159"/>
  <c r="A164" i="159"/>
  <c r="P163" i="159"/>
  <c r="N163" i="159"/>
  <c r="M163" i="159"/>
  <c r="L163" i="159"/>
  <c r="K163" i="159"/>
  <c r="H163" i="159"/>
  <c r="A163" i="159"/>
  <c r="P162" i="159"/>
  <c r="N162" i="159"/>
  <c r="M162" i="159"/>
  <c r="L162" i="159"/>
  <c r="K162" i="159"/>
  <c r="H162" i="159"/>
  <c r="A162" i="159"/>
  <c r="P161" i="159"/>
  <c r="N161" i="159"/>
  <c r="M161" i="159"/>
  <c r="L161" i="159"/>
  <c r="K161" i="159"/>
  <c r="H161" i="159"/>
  <c r="A161" i="159"/>
  <c r="P160" i="159"/>
  <c r="N160" i="159"/>
  <c r="M160" i="159"/>
  <c r="L160" i="159"/>
  <c r="K160" i="159"/>
  <c r="H160" i="159"/>
  <c r="A160" i="159"/>
  <c r="P159" i="159"/>
  <c r="N159" i="159"/>
  <c r="M159" i="159"/>
  <c r="L159" i="159"/>
  <c r="K159" i="159"/>
  <c r="H159" i="159"/>
  <c r="A159" i="159"/>
  <c r="P158" i="159"/>
  <c r="N158" i="159"/>
  <c r="M158" i="159"/>
  <c r="L158" i="159"/>
  <c r="K158" i="159"/>
  <c r="H158" i="159"/>
  <c r="A158" i="159"/>
  <c r="P157" i="159"/>
  <c r="N157" i="159"/>
  <c r="M157" i="159"/>
  <c r="L157" i="159"/>
  <c r="K157" i="159"/>
  <c r="H157" i="159"/>
  <c r="A157" i="159"/>
  <c r="P156" i="159"/>
  <c r="N156" i="159"/>
  <c r="M156" i="159"/>
  <c r="L156" i="159"/>
  <c r="K156" i="159"/>
  <c r="H156" i="159"/>
  <c r="A156" i="159"/>
  <c r="P155" i="159"/>
  <c r="N155" i="159"/>
  <c r="M155" i="159"/>
  <c r="L155" i="159"/>
  <c r="K155" i="159"/>
  <c r="H155" i="159"/>
  <c r="A155" i="159"/>
  <c r="P154" i="159"/>
  <c r="N154" i="159"/>
  <c r="M154" i="159"/>
  <c r="L154" i="159"/>
  <c r="K154" i="159"/>
  <c r="H154" i="159"/>
  <c r="A154" i="159"/>
  <c r="P153" i="159"/>
  <c r="N153" i="159"/>
  <c r="M153" i="159"/>
  <c r="L153" i="159"/>
  <c r="K153" i="159"/>
  <c r="H153" i="159"/>
  <c r="A153" i="159"/>
  <c r="P152" i="159"/>
  <c r="N152" i="159"/>
  <c r="M152" i="159"/>
  <c r="L152" i="159"/>
  <c r="K152" i="159"/>
  <c r="H152" i="159"/>
  <c r="A152" i="159"/>
  <c r="P151" i="159"/>
  <c r="N151" i="159"/>
  <c r="M151" i="159"/>
  <c r="L151" i="159"/>
  <c r="K151" i="159"/>
  <c r="H151" i="159"/>
  <c r="A151" i="159"/>
  <c r="P150" i="159"/>
  <c r="N150" i="159"/>
  <c r="M150" i="159"/>
  <c r="L150" i="159"/>
  <c r="K150" i="159"/>
  <c r="H150" i="159"/>
  <c r="A150" i="159"/>
  <c r="P149" i="159"/>
  <c r="N149" i="159"/>
  <c r="M149" i="159"/>
  <c r="L149" i="159"/>
  <c r="K149" i="159"/>
  <c r="H149" i="159"/>
  <c r="A149" i="159"/>
  <c r="P148" i="159"/>
  <c r="N148" i="159"/>
  <c r="M148" i="159"/>
  <c r="L148" i="159"/>
  <c r="K148" i="159"/>
  <c r="H148" i="159"/>
  <c r="A148" i="159"/>
  <c r="P147" i="159"/>
  <c r="N147" i="159"/>
  <c r="M147" i="159"/>
  <c r="L147" i="159"/>
  <c r="K147" i="159"/>
  <c r="H147" i="159"/>
  <c r="A147" i="159"/>
  <c r="P146" i="159"/>
  <c r="N146" i="159"/>
  <c r="M146" i="159"/>
  <c r="L146" i="159"/>
  <c r="K146" i="159"/>
  <c r="H146" i="159"/>
  <c r="A146" i="159"/>
  <c r="P145" i="159"/>
  <c r="N145" i="159"/>
  <c r="M145" i="159"/>
  <c r="L145" i="159"/>
  <c r="K145" i="159"/>
  <c r="H145" i="159"/>
  <c r="A145" i="159"/>
  <c r="P144" i="159"/>
  <c r="N144" i="159"/>
  <c r="M144" i="159"/>
  <c r="L144" i="159"/>
  <c r="K144" i="159"/>
  <c r="H144" i="159"/>
  <c r="A144" i="159"/>
  <c r="P143" i="159"/>
  <c r="N143" i="159"/>
  <c r="M143" i="159"/>
  <c r="L143" i="159"/>
  <c r="K143" i="159"/>
  <c r="H143" i="159"/>
  <c r="A143" i="159"/>
  <c r="P142" i="159"/>
  <c r="N142" i="159"/>
  <c r="M142" i="159"/>
  <c r="L142" i="159"/>
  <c r="K142" i="159"/>
  <c r="H142" i="159"/>
  <c r="A142" i="159"/>
  <c r="P141" i="159"/>
  <c r="N141" i="159"/>
  <c r="M141" i="159"/>
  <c r="L141" i="159"/>
  <c r="K141" i="159"/>
  <c r="H141" i="159"/>
  <c r="A141" i="159"/>
  <c r="P140" i="159"/>
  <c r="N140" i="159"/>
  <c r="M140" i="159"/>
  <c r="L140" i="159"/>
  <c r="K140" i="159"/>
  <c r="H140" i="159"/>
  <c r="A140" i="159"/>
  <c r="P139" i="159"/>
  <c r="N139" i="159"/>
  <c r="M139" i="159"/>
  <c r="L139" i="159"/>
  <c r="K139" i="159"/>
  <c r="H139" i="159"/>
  <c r="A139" i="159"/>
  <c r="P138" i="159"/>
  <c r="N138" i="159"/>
  <c r="M138" i="159"/>
  <c r="L138" i="159"/>
  <c r="K138" i="159"/>
  <c r="H138" i="159"/>
  <c r="A138" i="159"/>
  <c r="P137" i="159"/>
  <c r="N137" i="159"/>
  <c r="M137" i="159"/>
  <c r="L137" i="159"/>
  <c r="K137" i="159"/>
  <c r="H137" i="159"/>
  <c r="A137" i="159"/>
  <c r="P136" i="159"/>
  <c r="N136" i="159"/>
  <c r="M136" i="159"/>
  <c r="L136" i="159"/>
  <c r="K136" i="159"/>
  <c r="H136" i="159"/>
  <c r="A136" i="159"/>
  <c r="P135" i="159"/>
  <c r="N135" i="159"/>
  <c r="M135" i="159"/>
  <c r="L135" i="159"/>
  <c r="K135" i="159"/>
  <c r="H135" i="159"/>
  <c r="A135" i="159"/>
  <c r="P134" i="159"/>
  <c r="N134" i="159"/>
  <c r="M134" i="159"/>
  <c r="L134" i="159"/>
  <c r="K134" i="159"/>
  <c r="H134" i="159"/>
  <c r="A134" i="159"/>
  <c r="P133" i="159"/>
  <c r="N133" i="159"/>
  <c r="M133" i="159"/>
  <c r="L133" i="159"/>
  <c r="K133" i="159"/>
  <c r="H133" i="159"/>
  <c r="A133" i="159"/>
  <c r="P132" i="159"/>
  <c r="N132" i="159"/>
  <c r="M132" i="159"/>
  <c r="L132" i="159"/>
  <c r="K132" i="159"/>
  <c r="H132" i="159"/>
  <c r="A132" i="159"/>
  <c r="P131" i="159"/>
  <c r="N131" i="159"/>
  <c r="M131" i="159"/>
  <c r="L131" i="159"/>
  <c r="K131" i="159"/>
  <c r="H131" i="159"/>
  <c r="A131" i="159"/>
  <c r="P130" i="159"/>
  <c r="N130" i="159"/>
  <c r="M130" i="159"/>
  <c r="L130" i="159"/>
  <c r="K130" i="159"/>
  <c r="H130" i="159"/>
  <c r="A130" i="159"/>
  <c r="P129" i="159"/>
  <c r="N129" i="159"/>
  <c r="M129" i="159"/>
  <c r="L129" i="159"/>
  <c r="K129" i="159"/>
  <c r="H129" i="159"/>
  <c r="A129" i="159"/>
  <c r="P128" i="159"/>
  <c r="N128" i="159"/>
  <c r="M128" i="159"/>
  <c r="L128" i="159"/>
  <c r="K128" i="159"/>
  <c r="H128" i="159"/>
  <c r="A128" i="159"/>
  <c r="P127" i="159"/>
  <c r="N127" i="159"/>
  <c r="M127" i="159"/>
  <c r="L127" i="159"/>
  <c r="K127" i="159"/>
  <c r="H127" i="159"/>
  <c r="A127" i="159"/>
  <c r="P126" i="159"/>
  <c r="N126" i="159"/>
  <c r="M126" i="159"/>
  <c r="L126" i="159"/>
  <c r="K126" i="159"/>
  <c r="H126" i="159"/>
  <c r="A126" i="159"/>
  <c r="P125" i="159"/>
  <c r="N125" i="159"/>
  <c r="M125" i="159"/>
  <c r="L125" i="159"/>
  <c r="K125" i="159"/>
  <c r="H125" i="159"/>
  <c r="A125" i="159"/>
  <c r="P124" i="159"/>
  <c r="N124" i="159"/>
  <c r="M124" i="159"/>
  <c r="L124" i="159"/>
  <c r="K124" i="159"/>
  <c r="H124" i="159"/>
  <c r="A124" i="159"/>
  <c r="P123" i="159"/>
  <c r="N123" i="159"/>
  <c r="M123" i="159"/>
  <c r="L123" i="159"/>
  <c r="K123" i="159"/>
  <c r="H123" i="159"/>
  <c r="A123" i="159"/>
  <c r="P122" i="159"/>
  <c r="N122" i="159"/>
  <c r="M122" i="159"/>
  <c r="L122" i="159"/>
  <c r="K122" i="159"/>
  <c r="H122" i="159"/>
  <c r="A122" i="159"/>
  <c r="P121" i="159"/>
  <c r="N121" i="159"/>
  <c r="M121" i="159"/>
  <c r="L121" i="159"/>
  <c r="K121" i="159"/>
  <c r="H121" i="159"/>
  <c r="A121" i="159"/>
  <c r="P120" i="159"/>
  <c r="N120" i="159"/>
  <c r="M120" i="159"/>
  <c r="L120" i="159"/>
  <c r="K120" i="159"/>
  <c r="H120" i="159"/>
  <c r="A120" i="159"/>
  <c r="P119" i="159"/>
  <c r="N119" i="159"/>
  <c r="M119" i="159"/>
  <c r="L119" i="159"/>
  <c r="K119" i="159"/>
  <c r="H119" i="159"/>
  <c r="A119" i="159"/>
  <c r="P118" i="159"/>
  <c r="N118" i="159"/>
  <c r="M118" i="159"/>
  <c r="L118" i="159"/>
  <c r="K118" i="159"/>
  <c r="H118" i="159"/>
  <c r="A118" i="159"/>
  <c r="P117" i="159"/>
  <c r="N117" i="159"/>
  <c r="M117" i="159"/>
  <c r="L117" i="159"/>
  <c r="K117" i="159"/>
  <c r="H117" i="159"/>
  <c r="A117" i="159"/>
  <c r="P116" i="159"/>
  <c r="N116" i="159"/>
  <c r="M116" i="159"/>
  <c r="L116" i="159"/>
  <c r="K116" i="159"/>
  <c r="H116" i="159"/>
  <c r="A116" i="159"/>
  <c r="P115" i="159"/>
  <c r="N115" i="159"/>
  <c r="M115" i="159"/>
  <c r="L115" i="159"/>
  <c r="K115" i="159"/>
  <c r="H115" i="159"/>
  <c r="A115" i="159"/>
  <c r="P114" i="159"/>
  <c r="N114" i="159"/>
  <c r="M114" i="159"/>
  <c r="L114" i="159"/>
  <c r="K114" i="159"/>
  <c r="H114" i="159"/>
  <c r="A114" i="159"/>
  <c r="P113" i="159"/>
  <c r="N113" i="159"/>
  <c r="M113" i="159"/>
  <c r="L113" i="159"/>
  <c r="K113" i="159"/>
  <c r="H113" i="159"/>
  <c r="A113" i="159"/>
  <c r="P112" i="159"/>
  <c r="N112" i="159"/>
  <c r="M112" i="159"/>
  <c r="L112" i="159"/>
  <c r="K112" i="159"/>
  <c r="H112" i="159"/>
  <c r="A112" i="159"/>
  <c r="P111" i="159"/>
  <c r="N111" i="159"/>
  <c r="M111" i="159"/>
  <c r="L111" i="159"/>
  <c r="K111" i="159"/>
  <c r="H111" i="159"/>
  <c r="A111" i="159"/>
  <c r="P110" i="159"/>
  <c r="N110" i="159"/>
  <c r="M110" i="159"/>
  <c r="L110" i="159"/>
  <c r="K110" i="159"/>
  <c r="H110" i="159"/>
  <c r="A110" i="159"/>
  <c r="P109" i="159"/>
  <c r="N109" i="159"/>
  <c r="M109" i="159"/>
  <c r="L109" i="159"/>
  <c r="K109" i="159"/>
  <c r="H109" i="159"/>
  <c r="A109" i="159"/>
  <c r="P108" i="159"/>
  <c r="N108" i="159"/>
  <c r="M108" i="159"/>
  <c r="L108" i="159"/>
  <c r="K108" i="159"/>
  <c r="H108" i="159"/>
  <c r="A108" i="159"/>
  <c r="P107" i="159"/>
  <c r="N107" i="159"/>
  <c r="M107" i="159"/>
  <c r="L107" i="159"/>
  <c r="K107" i="159"/>
  <c r="H107" i="159"/>
  <c r="A107" i="159"/>
  <c r="P106" i="159"/>
  <c r="N106" i="159"/>
  <c r="M106" i="159"/>
  <c r="L106" i="159"/>
  <c r="K106" i="159"/>
  <c r="H106" i="159"/>
  <c r="A106" i="159"/>
  <c r="P105" i="159"/>
  <c r="N105" i="159"/>
  <c r="M105" i="159"/>
  <c r="L105" i="159"/>
  <c r="K105" i="159"/>
  <c r="H105" i="159"/>
  <c r="A105" i="159"/>
  <c r="P104" i="159"/>
  <c r="N104" i="159"/>
  <c r="M104" i="159"/>
  <c r="L104" i="159"/>
  <c r="K104" i="159"/>
  <c r="H104" i="159"/>
  <c r="A104" i="159"/>
  <c r="P103" i="159"/>
  <c r="N103" i="159"/>
  <c r="M103" i="159"/>
  <c r="L103" i="159"/>
  <c r="K103" i="159"/>
  <c r="H103" i="159"/>
  <c r="A103" i="159"/>
  <c r="P102" i="159"/>
  <c r="N102" i="159"/>
  <c r="M102" i="159"/>
  <c r="L102" i="159"/>
  <c r="K102" i="159"/>
  <c r="H102" i="159"/>
  <c r="A102" i="159"/>
  <c r="P101" i="159"/>
  <c r="N101" i="159"/>
  <c r="M101" i="159"/>
  <c r="L101" i="159"/>
  <c r="K101" i="159"/>
  <c r="H101" i="159"/>
  <c r="A101" i="159"/>
  <c r="P100" i="159"/>
  <c r="N100" i="159"/>
  <c r="M100" i="159"/>
  <c r="L100" i="159"/>
  <c r="K100" i="159"/>
  <c r="H100" i="159"/>
  <c r="A100" i="159"/>
  <c r="P99" i="159"/>
  <c r="N99" i="159"/>
  <c r="M99" i="159"/>
  <c r="L99" i="159"/>
  <c r="K99" i="159"/>
  <c r="H99" i="159"/>
  <c r="A99" i="159"/>
  <c r="P98" i="159"/>
  <c r="N98" i="159"/>
  <c r="M98" i="159"/>
  <c r="L98" i="159"/>
  <c r="K98" i="159"/>
  <c r="H98" i="159"/>
  <c r="A98" i="159"/>
  <c r="P97" i="159"/>
  <c r="N97" i="159"/>
  <c r="M97" i="159"/>
  <c r="L97" i="159"/>
  <c r="K97" i="159"/>
  <c r="H97" i="159"/>
  <c r="A97" i="159"/>
  <c r="P96" i="159"/>
  <c r="N96" i="159"/>
  <c r="M96" i="159"/>
  <c r="L96" i="159"/>
  <c r="K96" i="159"/>
  <c r="H96" i="159"/>
  <c r="A96" i="159"/>
  <c r="P95" i="159"/>
  <c r="N95" i="159"/>
  <c r="M95" i="159"/>
  <c r="L95" i="159"/>
  <c r="K95" i="159"/>
  <c r="H95" i="159"/>
  <c r="A95" i="159"/>
  <c r="P94" i="159"/>
  <c r="N94" i="159"/>
  <c r="M94" i="159"/>
  <c r="L94" i="159"/>
  <c r="K94" i="159"/>
  <c r="H94" i="159"/>
  <c r="A94" i="159"/>
  <c r="P93" i="159"/>
  <c r="N93" i="159"/>
  <c r="M93" i="159"/>
  <c r="L93" i="159"/>
  <c r="K93" i="159"/>
  <c r="H93" i="159"/>
  <c r="A93" i="159"/>
  <c r="P92" i="159"/>
  <c r="N92" i="159"/>
  <c r="M92" i="159"/>
  <c r="L92" i="159"/>
  <c r="K92" i="159"/>
  <c r="H92" i="159"/>
  <c r="A92" i="159"/>
  <c r="P91" i="159"/>
  <c r="N91" i="159"/>
  <c r="M91" i="159"/>
  <c r="L91" i="159"/>
  <c r="K91" i="159"/>
  <c r="H91" i="159"/>
  <c r="A91" i="159"/>
  <c r="P90" i="159"/>
  <c r="N90" i="159"/>
  <c r="M90" i="159"/>
  <c r="L90" i="159"/>
  <c r="K90" i="159"/>
  <c r="H90" i="159"/>
  <c r="A90" i="159"/>
  <c r="P89" i="159"/>
  <c r="N89" i="159"/>
  <c r="M89" i="159"/>
  <c r="L89" i="159"/>
  <c r="K89" i="159"/>
  <c r="H89" i="159"/>
  <c r="A89" i="159"/>
  <c r="P88" i="159"/>
  <c r="N88" i="159"/>
  <c r="M88" i="159"/>
  <c r="L88" i="159"/>
  <c r="K88" i="159"/>
  <c r="H88" i="159"/>
  <c r="A88" i="159"/>
  <c r="P87" i="159"/>
  <c r="N87" i="159"/>
  <c r="M87" i="159"/>
  <c r="L87" i="159"/>
  <c r="K87" i="159"/>
  <c r="H87" i="159"/>
  <c r="A87" i="159"/>
  <c r="P86" i="159"/>
  <c r="N86" i="159"/>
  <c r="M86" i="159"/>
  <c r="L86" i="159"/>
  <c r="K86" i="159"/>
  <c r="H86" i="159"/>
  <c r="A86" i="159"/>
  <c r="P85" i="159"/>
  <c r="N85" i="159"/>
  <c r="M85" i="159"/>
  <c r="L85" i="159"/>
  <c r="K85" i="159"/>
  <c r="H85" i="159"/>
  <c r="A85" i="159"/>
  <c r="P84" i="159"/>
  <c r="N84" i="159"/>
  <c r="M84" i="159"/>
  <c r="L84" i="159"/>
  <c r="K84" i="159"/>
  <c r="H84" i="159"/>
  <c r="A84" i="159"/>
  <c r="P83" i="159"/>
  <c r="N83" i="159"/>
  <c r="M83" i="159"/>
  <c r="L83" i="159"/>
  <c r="K83" i="159"/>
  <c r="H83" i="159"/>
  <c r="A83" i="159"/>
  <c r="P82" i="159"/>
  <c r="N82" i="159"/>
  <c r="M82" i="159"/>
  <c r="L82" i="159"/>
  <c r="K82" i="159"/>
  <c r="H82" i="159"/>
  <c r="A82" i="159"/>
  <c r="P81" i="159"/>
  <c r="N81" i="159"/>
  <c r="M81" i="159"/>
  <c r="L81" i="159"/>
  <c r="K81" i="159"/>
  <c r="H81" i="159"/>
  <c r="A81" i="159"/>
  <c r="P80" i="159"/>
  <c r="N80" i="159"/>
  <c r="M80" i="159"/>
  <c r="L80" i="159"/>
  <c r="K80" i="159"/>
  <c r="H80" i="159"/>
  <c r="A80" i="159"/>
  <c r="P79" i="159"/>
  <c r="N79" i="159"/>
  <c r="M79" i="159"/>
  <c r="L79" i="159"/>
  <c r="K79" i="159"/>
  <c r="H79" i="159"/>
  <c r="A79" i="159"/>
  <c r="P78" i="159"/>
  <c r="N78" i="159"/>
  <c r="M78" i="159"/>
  <c r="L78" i="159"/>
  <c r="K78" i="159"/>
  <c r="H78" i="159"/>
  <c r="A78" i="159"/>
  <c r="P77" i="159"/>
  <c r="N77" i="159"/>
  <c r="M77" i="159"/>
  <c r="L77" i="159"/>
  <c r="K77" i="159"/>
  <c r="H77" i="159"/>
  <c r="A77" i="159"/>
  <c r="P76" i="159"/>
  <c r="N76" i="159"/>
  <c r="M76" i="159"/>
  <c r="L76" i="159"/>
  <c r="K76" i="159"/>
  <c r="H76" i="159"/>
  <c r="A76" i="159"/>
  <c r="P75" i="159"/>
  <c r="N75" i="159"/>
  <c r="M75" i="159"/>
  <c r="L75" i="159"/>
  <c r="K75" i="159"/>
  <c r="H75" i="159"/>
  <c r="A75" i="159"/>
  <c r="P74" i="159"/>
  <c r="N74" i="159"/>
  <c r="M74" i="159"/>
  <c r="L74" i="159"/>
  <c r="K74" i="159"/>
  <c r="H74" i="159"/>
  <c r="A74" i="159"/>
  <c r="P73" i="159"/>
  <c r="N73" i="159"/>
  <c r="M73" i="159"/>
  <c r="L73" i="159"/>
  <c r="K73" i="159"/>
  <c r="H73" i="159"/>
  <c r="A73" i="159"/>
  <c r="P72" i="159"/>
  <c r="N72" i="159"/>
  <c r="M72" i="159"/>
  <c r="L72" i="159"/>
  <c r="K72" i="159"/>
  <c r="H72" i="159"/>
  <c r="A72" i="159"/>
  <c r="P71" i="159"/>
  <c r="N71" i="159"/>
  <c r="M71" i="159"/>
  <c r="L71" i="159"/>
  <c r="K71" i="159"/>
  <c r="H71" i="159"/>
  <c r="A71" i="159"/>
  <c r="P70" i="159"/>
  <c r="N70" i="159"/>
  <c r="M70" i="159"/>
  <c r="L70" i="159"/>
  <c r="K70" i="159"/>
  <c r="H70" i="159"/>
  <c r="A70" i="159"/>
  <c r="P69" i="159"/>
  <c r="N69" i="159"/>
  <c r="M69" i="159"/>
  <c r="L69" i="159"/>
  <c r="K69" i="159"/>
  <c r="H69" i="159"/>
  <c r="A69" i="159"/>
  <c r="P68" i="159"/>
  <c r="N68" i="159"/>
  <c r="M68" i="159"/>
  <c r="L68" i="159"/>
  <c r="K68" i="159"/>
  <c r="H68" i="159"/>
  <c r="A68" i="159"/>
  <c r="P67" i="159"/>
  <c r="N67" i="159"/>
  <c r="M67" i="159"/>
  <c r="L67" i="159"/>
  <c r="K67" i="159"/>
  <c r="H67" i="159"/>
  <c r="A67" i="159"/>
  <c r="P66" i="159"/>
  <c r="N66" i="159"/>
  <c r="M66" i="159"/>
  <c r="L66" i="159"/>
  <c r="K66" i="159"/>
  <c r="H66" i="159"/>
  <c r="A66" i="159"/>
  <c r="P65" i="159"/>
  <c r="N65" i="159"/>
  <c r="M65" i="159"/>
  <c r="L65" i="159"/>
  <c r="K65" i="159"/>
  <c r="H65" i="159"/>
  <c r="A65" i="159"/>
  <c r="P64" i="159"/>
  <c r="N64" i="159"/>
  <c r="M64" i="159"/>
  <c r="L64" i="159"/>
  <c r="K64" i="159"/>
  <c r="H64" i="159"/>
  <c r="A64" i="159"/>
  <c r="P63" i="159"/>
  <c r="N63" i="159"/>
  <c r="M63" i="159"/>
  <c r="L63" i="159"/>
  <c r="K63" i="159"/>
  <c r="H63" i="159"/>
  <c r="A63" i="159"/>
  <c r="P62" i="159"/>
  <c r="N62" i="159"/>
  <c r="M62" i="159"/>
  <c r="L62" i="159"/>
  <c r="K62" i="159"/>
  <c r="H62" i="159"/>
  <c r="A62" i="159"/>
  <c r="P61" i="159"/>
  <c r="N61" i="159"/>
  <c r="M61" i="159"/>
  <c r="L61" i="159"/>
  <c r="K61" i="159"/>
  <c r="H61" i="159"/>
  <c r="A61" i="159"/>
  <c r="P60" i="159"/>
  <c r="N60" i="159"/>
  <c r="M60" i="159"/>
  <c r="L60" i="159"/>
  <c r="K60" i="159"/>
  <c r="H60" i="159"/>
  <c r="A60" i="159"/>
  <c r="P59" i="159"/>
  <c r="N59" i="159"/>
  <c r="M59" i="159"/>
  <c r="L59" i="159"/>
  <c r="K59" i="159"/>
  <c r="H59" i="159"/>
  <c r="A59" i="159"/>
  <c r="P58" i="159"/>
  <c r="N58" i="159"/>
  <c r="M58" i="159"/>
  <c r="L58" i="159"/>
  <c r="K58" i="159"/>
  <c r="H58" i="159"/>
  <c r="A58" i="159"/>
  <c r="P57" i="159"/>
  <c r="N57" i="159"/>
  <c r="M57" i="159"/>
  <c r="L57" i="159"/>
  <c r="K57" i="159"/>
  <c r="H57" i="159"/>
  <c r="A57" i="159"/>
  <c r="P56" i="159"/>
  <c r="N56" i="159"/>
  <c r="M56" i="159"/>
  <c r="L56" i="159"/>
  <c r="K56" i="159"/>
  <c r="H56" i="159"/>
  <c r="A56" i="159"/>
  <c r="P55" i="159"/>
  <c r="N55" i="159"/>
  <c r="M55" i="159"/>
  <c r="L55" i="159"/>
  <c r="K55" i="159"/>
  <c r="H55" i="159"/>
  <c r="A55" i="159"/>
  <c r="P54" i="159"/>
  <c r="N54" i="159"/>
  <c r="M54" i="159"/>
  <c r="L54" i="159"/>
  <c r="K54" i="159"/>
  <c r="H54" i="159"/>
  <c r="A54" i="159"/>
  <c r="P53" i="159"/>
  <c r="N53" i="159"/>
  <c r="M53" i="159"/>
  <c r="L53" i="159"/>
  <c r="K53" i="159"/>
  <c r="H53" i="159"/>
  <c r="A53" i="159"/>
  <c r="P52" i="159"/>
  <c r="N52" i="159"/>
  <c r="M52" i="159"/>
  <c r="L52" i="159"/>
  <c r="K52" i="159"/>
  <c r="H52" i="159"/>
  <c r="A52" i="159"/>
  <c r="P51" i="159"/>
  <c r="N51" i="159"/>
  <c r="M51" i="159"/>
  <c r="L51" i="159"/>
  <c r="K51" i="159"/>
  <c r="H51" i="159"/>
  <c r="A51" i="159"/>
  <c r="P50" i="159"/>
  <c r="N50" i="159"/>
  <c r="M50" i="159"/>
  <c r="L50" i="159"/>
  <c r="K50" i="159"/>
  <c r="H50" i="159"/>
  <c r="A50" i="159"/>
  <c r="P49" i="159"/>
  <c r="N49" i="159"/>
  <c r="M49" i="159"/>
  <c r="L49" i="159"/>
  <c r="K49" i="159"/>
  <c r="H49" i="159"/>
  <c r="A49" i="159"/>
  <c r="P48" i="159"/>
  <c r="N48" i="159"/>
  <c r="M48" i="159"/>
  <c r="L48" i="159"/>
  <c r="K48" i="159"/>
  <c r="H48" i="159"/>
  <c r="A48" i="159"/>
  <c r="P47" i="159"/>
  <c r="N47" i="159"/>
  <c r="M47" i="159"/>
  <c r="L47" i="159"/>
  <c r="K47" i="159"/>
  <c r="H47" i="159"/>
  <c r="A47" i="159"/>
  <c r="P46" i="159"/>
  <c r="N46" i="159"/>
  <c r="M46" i="159"/>
  <c r="L46" i="159"/>
  <c r="K46" i="159"/>
  <c r="H46" i="159"/>
  <c r="A46" i="159"/>
  <c r="P45" i="159"/>
  <c r="N45" i="159"/>
  <c r="M45" i="159"/>
  <c r="L45" i="159"/>
  <c r="K45" i="159"/>
  <c r="H45" i="159"/>
  <c r="A45" i="159"/>
  <c r="P44" i="159"/>
  <c r="N44" i="159"/>
  <c r="M44" i="159"/>
  <c r="L44" i="159"/>
  <c r="K44" i="159"/>
  <c r="H44" i="159"/>
  <c r="A44" i="159"/>
  <c r="P43" i="159"/>
  <c r="N43" i="159"/>
  <c r="M43" i="159"/>
  <c r="L43" i="159"/>
  <c r="K43" i="159"/>
  <c r="H43" i="159"/>
  <c r="A43" i="159"/>
  <c r="P42" i="159"/>
  <c r="N42" i="159"/>
  <c r="M42" i="159"/>
  <c r="L42" i="159"/>
  <c r="K42" i="159"/>
  <c r="H42" i="159"/>
  <c r="A42" i="159"/>
  <c r="P41" i="159"/>
  <c r="N41" i="159"/>
  <c r="M41" i="159"/>
  <c r="L41" i="159"/>
  <c r="K41" i="159"/>
  <c r="H41" i="159"/>
  <c r="A41" i="159"/>
  <c r="P40" i="159"/>
  <c r="N40" i="159"/>
  <c r="M40" i="159"/>
  <c r="L40" i="159"/>
  <c r="K40" i="159"/>
  <c r="H40" i="159"/>
  <c r="A40" i="159"/>
  <c r="P39" i="159"/>
  <c r="N39" i="159"/>
  <c r="M39" i="159"/>
  <c r="L39" i="159"/>
  <c r="K39" i="159"/>
  <c r="H39" i="159"/>
  <c r="A39" i="159"/>
  <c r="P38" i="159"/>
  <c r="N38" i="159"/>
  <c r="M38" i="159"/>
  <c r="L38" i="159"/>
  <c r="K38" i="159"/>
  <c r="H38" i="159"/>
  <c r="A38" i="159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F63" i="158"/>
  <c r="F62" i="158"/>
  <c r="B55" i="158"/>
  <c r="B56" i="158"/>
  <c r="B57" i="158"/>
  <c r="B58" i="158"/>
  <c r="B59" i="158"/>
  <c r="B60" i="158"/>
  <c r="B61" i="158"/>
  <c r="B62" i="158"/>
  <c r="C55" i="158"/>
  <c r="C56" i="158"/>
  <c r="C57" i="158"/>
  <c r="C58" i="158"/>
  <c r="C59" i="158"/>
  <c r="C60" i="158"/>
  <c r="C61" i="158"/>
  <c r="C62" i="158"/>
  <c r="F61" i="158"/>
  <c r="F60" i="158"/>
  <c r="F57" i="158"/>
  <c r="G57" i="158"/>
  <c r="F56" i="158"/>
  <c r="G56" i="158"/>
  <c r="F55" i="158"/>
  <c r="G55" i="158"/>
  <c r="B47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D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I35" i="158"/>
  <c r="J35" i="158"/>
  <c r="F35" i="158"/>
  <c r="C35" i="158"/>
  <c r="D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G31" i="158"/>
  <c r="E31" i="158"/>
  <c r="H31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I21" i="158"/>
  <c r="J21" i="158"/>
  <c r="F21" i="158"/>
  <c r="D21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F8" i="153"/>
  <c r="E8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1" i="153"/>
  <c r="B41" i="153"/>
  <c r="E40" i="153"/>
  <c r="B40" i="153"/>
  <c r="E39" i="153"/>
  <c r="B39" i="153"/>
  <c r="F7" i="153"/>
  <c r="E7" i="153"/>
  <c r="E26" i="153"/>
  <c r="B26" i="153"/>
  <c r="E25" i="153"/>
  <c r="B25" i="153"/>
  <c r="E24" i="153"/>
  <c r="B24" i="153"/>
  <c r="F6" i="153"/>
  <c r="F5" i="153"/>
  <c r="I2" i="150"/>
  <c r="D2" i="150"/>
  <c r="J2" i="150"/>
  <c r="E2" i="150"/>
  <c r="F2" i="150"/>
  <c r="C2" i="150"/>
  <c r="I3" i="150"/>
  <c r="D3" i="150"/>
  <c r="J3" i="150"/>
  <c r="E3" i="150"/>
  <c r="F3" i="150"/>
  <c r="C3" i="150"/>
  <c r="I4" i="150"/>
  <c r="D4" i="150"/>
  <c r="J4" i="150"/>
  <c r="E4" i="150"/>
  <c r="F4" i="150"/>
  <c r="C4" i="150"/>
  <c r="I5" i="150"/>
  <c r="D5" i="150"/>
  <c r="J5" i="150"/>
  <c r="E5" i="150"/>
  <c r="F5" i="150"/>
  <c r="C5" i="150"/>
  <c r="I6" i="150"/>
  <c r="D6" i="150"/>
  <c r="J6" i="150"/>
  <c r="E6" i="150"/>
  <c r="F6" i="150"/>
  <c r="C6" i="150"/>
  <c r="I7" i="150"/>
  <c r="D7" i="150"/>
  <c r="J7" i="150"/>
  <c r="E7" i="150"/>
  <c r="F7" i="150"/>
  <c r="C7" i="150"/>
  <c r="I8" i="150"/>
  <c r="D8" i="150"/>
  <c r="J8" i="150"/>
  <c r="E8" i="150"/>
  <c r="F8" i="150"/>
  <c r="C8" i="150"/>
  <c r="I9" i="150"/>
  <c r="D9" i="150"/>
  <c r="J9" i="150"/>
  <c r="E9" i="150"/>
  <c r="F9" i="150"/>
  <c r="C9" i="150"/>
  <c r="I10" i="150"/>
  <c r="D10" i="150"/>
  <c r="J10" i="150"/>
  <c r="E10" i="150"/>
  <c r="F10" i="150"/>
  <c r="C10" i="150"/>
  <c r="I11" i="150"/>
  <c r="D11" i="150"/>
  <c r="J11" i="150"/>
  <c r="E11" i="150"/>
  <c r="F11" i="150"/>
  <c r="C11" i="150"/>
  <c r="I12" i="150"/>
  <c r="D12" i="150"/>
  <c r="J12" i="150"/>
  <c r="E12" i="150"/>
  <c r="F12" i="150"/>
  <c r="C12" i="150"/>
  <c r="I13" i="150"/>
  <c r="D13" i="150"/>
  <c r="J13" i="150"/>
  <c r="E13" i="150"/>
  <c r="F13" i="150"/>
  <c r="C13" i="150"/>
  <c r="I14" i="150"/>
  <c r="D14" i="150"/>
  <c r="J14" i="150"/>
  <c r="E14" i="150"/>
  <c r="F14" i="150"/>
  <c r="C14" i="150"/>
  <c r="I15" i="150"/>
  <c r="D15" i="150"/>
  <c r="J15" i="150"/>
  <c r="E15" i="150"/>
  <c r="F15" i="150"/>
  <c r="C15" i="150"/>
  <c r="I16" i="150"/>
  <c r="D16" i="150"/>
  <c r="J16" i="150"/>
  <c r="E16" i="150"/>
  <c r="F16" i="150"/>
  <c r="C16" i="150"/>
  <c r="I17" i="150"/>
  <c r="D17" i="150"/>
  <c r="J17" i="150"/>
  <c r="E17" i="150"/>
  <c r="F17" i="150"/>
  <c r="C17" i="150"/>
  <c r="I18" i="150"/>
  <c r="D18" i="150"/>
  <c r="J18" i="150"/>
  <c r="E18" i="150"/>
  <c r="F18" i="150"/>
  <c r="C18" i="150"/>
  <c r="I19" i="150"/>
  <c r="D19" i="150"/>
  <c r="J19" i="150"/>
  <c r="E19" i="150"/>
  <c r="F19" i="150"/>
  <c r="C19" i="150"/>
  <c r="I20" i="150"/>
  <c r="D20" i="150"/>
  <c r="J20" i="150"/>
  <c r="E20" i="150"/>
  <c r="F20" i="150"/>
  <c r="C20" i="150"/>
  <c r="I21" i="150"/>
  <c r="D21" i="150"/>
  <c r="J21" i="150"/>
  <c r="E21" i="150"/>
  <c r="F21" i="150"/>
  <c r="C21" i="150"/>
  <c r="I22" i="150"/>
  <c r="D22" i="150"/>
  <c r="J22" i="150"/>
  <c r="E22" i="150"/>
  <c r="F22" i="150"/>
  <c r="C22" i="150"/>
  <c r="I23" i="150"/>
  <c r="D23" i="150"/>
  <c r="J23" i="150"/>
  <c r="E23" i="150"/>
  <c r="F23" i="150"/>
  <c r="C23" i="150"/>
  <c r="I24" i="150"/>
  <c r="D24" i="150"/>
  <c r="J24" i="150"/>
  <c r="E24" i="150"/>
  <c r="F24" i="150"/>
  <c r="C24" i="150"/>
  <c r="I25" i="150"/>
  <c r="D25" i="150"/>
  <c r="J25" i="150"/>
  <c r="E25" i="150"/>
  <c r="F25" i="150"/>
  <c r="C25" i="150"/>
  <c r="I26" i="150"/>
  <c r="D26" i="150"/>
  <c r="J26" i="150"/>
  <c r="E26" i="150"/>
  <c r="F26" i="150"/>
  <c r="C26" i="150"/>
  <c r="I27" i="150"/>
  <c r="D27" i="150"/>
  <c r="J27" i="150"/>
  <c r="E27" i="150"/>
  <c r="F27" i="150"/>
  <c r="C27" i="150"/>
  <c r="I28" i="150"/>
  <c r="D28" i="150"/>
  <c r="J28" i="150"/>
  <c r="E28" i="150"/>
  <c r="F28" i="150"/>
  <c r="C28" i="150"/>
  <c r="I29" i="150"/>
  <c r="D29" i="150"/>
  <c r="J29" i="150"/>
  <c r="E29" i="150"/>
  <c r="F29" i="150"/>
  <c r="C29" i="150"/>
  <c r="I30" i="150"/>
  <c r="D30" i="150"/>
  <c r="J30" i="150"/>
  <c r="E30" i="150"/>
  <c r="F30" i="150"/>
  <c r="C30" i="150"/>
  <c r="I31" i="150"/>
  <c r="D31" i="150"/>
  <c r="J31" i="150"/>
  <c r="E31" i="150"/>
  <c r="F31" i="150"/>
  <c r="C31" i="150"/>
  <c r="I32" i="150"/>
  <c r="D32" i="150"/>
  <c r="J32" i="150"/>
  <c r="E32" i="150"/>
  <c r="F32" i="150"/>
  <c r="C32" i="150"/>
  <c r="I33" i="150"/>
  <c r="D33" i="150"/>
  <c r="J33" i="150"/>
  <c r="E33" i="150"/>
  <c r="F33" i="150"/>
  <c r="C33" i="150"/>
  <c r="I34" i="150"/>
  <c r="D34" i="150"/>
  <c r="J34" i="150"/>
  <c r="E34" i="150"/>
  <c r="F34" i="150"/>
  <c r="C34" i="150"/>
  <c r="I35" i="150"/>
  <c r="D35" i="150"/>
  <c r="J35" i="150"/>
  <c r="E35" i="150"/>
  <c r="F35" i="150"/>
  <c r="C35" i="150"/>
  <c r="I36" i="150"/>
  <c r="D36" i="150"/>
  <c r="J36" i="150"/>
  <c r="E36" i="150"/>
  <c r="F36" i="150"/>
  <c r="C36" i="150"/>
  <c r="I37" i="150"/>
  <c r="D37" i="150"/>
  <c r="J37" i="150"/>
  <c r="E37" i="150"/>
  <c r="F37" i="150"/>
  <c r="C37" i="150"/>
  <c r="I38" i="150"/>
  <c r="D38" i="150"/>
  <c r="J38" i="150"/>
  <c r="E38" i="150"/>
  <c r="F38" i="150"/>
  <c r="C38" i="150"/>
  <c r="I39" i="150"/>
  <c r="D39" i="150"/>
  <c r="J39" i="150"/>
  <c r="E39" i="150"/>
  <c r="F39" i="150"/>
  <c r="C39" i="150"/>
  <c r="I40" i="150"/>
  <c r="D40" i="150"/>
  <c r="J40" i="150"/>
  <c r="E40" i="150"/>
  <c r="F40" i="150"/>
  <c r="C40" i="150"/>
  <c r="I41" i="150"/>
  <c r="D41" i="150"/>
  <c r="J41" i="150"/>
  <c r="E41" i="150"/>
  <c r="F41" i="150"/>
  <c r="C41" i="150"/>
  <c r="I42" i="150"/>
  <c r="D42" i="150"/>
  <c r="J42" i="150"/>
  <c r="E42" i="150"/>
  <c r="F42" i="150"/>
  <c r="C42" i="150"/>
  <c r="I43" i="150"/>
  <c r="D43" i="150"/>
  <c r="J43" i="150"/>
  <c r="E43" i="150"/>
  <c r="F43" i="150"/>
  <c r="C43" i="150"/>
  <c r="I44" i="150"/>
  <c r="D44" i="150"/>
  <c r="J44" i="150"/>
  <c r="E44" i="150"/>
  <c r="F44" i="150"/>
  <c r="C44" i="150"/>
  <c r="I45" i="150"/>
  <c r="D45" i="150"/>
  <c r="J45" i="150"/>
  <c r="E45" i="150"/>
  <c r="F45" i="150"/>
  <c r="C45" i="150"/>
  <c r="I46" i="150"/>
  <c r="D46" i="150"/>
  <c r="J46" i="150"/>
  <c r="E46" i="150"/>
  <c r="F46" i="150"/>
  <c r="C46" i="150"/>
  <c r="I47" i="150"/>
  <c r="D47" i="150"/>
  <c r="J47" i="150"/>
  <c r="E47" i="150"/>
  <c r="F47" i="150"/>
  <c r="C47" i="150"/>
  <c r="I48" i="150"/>
  <c r="D48" i="150"/>
  <c r="J48" i="150"/>
  <c r="E48" i="150"/>
  <c r="F48" i="150"/>
  <c r="C48" i="150"/>
  <c r="I49" i="150"/>
  <c r="D49" i="150"/>
  <c r="J49" i="150"/>
  <c r="E49" i="150"/>
  <c r="F49" i="150"/>
  <c r="C49" i="150"/>
  <c r="I50" i="150"/>
  <c r="D50" i="150"/>
  <c r="J50" i="150"/>
  <c r="E50" i="150"/>
  <c r="F50" i="150"/>
  <c r="C50" i="150"/>
  <c r="I51" i="150"/>
  <c r="D51" i="150"/>
  <c r="J51" i="150"/>
  <c r="E51" i="150"/>
  <c r="F51" i="150"/>
  <c r="C51" i="150"/>
  <c r="I52" i="150"/>
  <c r="D52" i="150"/>
  <c r="J52" i="150"/>
  <c r="E52" i="150"/>
  <c r="F52" i="150"/>
  <c r="C52" i="150"/>
  <c r="I53" i="150"/>
  <c r="D53" i="150"/>
  <c r="J53" i="150"/>
  <c r="E53" i="150"/>
  <c r="F53" i="150"/>
  <c r="C53" i="150"/>
  <c r="I54" i="150"/>
  <c r="D54" i="150"/>
  <c r="J54" i="150"/>
  <c r="E54" i="150"/>
  <c r="F54" i="150"/>
  <c r="C54" i="150"/>
  <c r="I55" i="150"/>
  <c r="D55" i="150"/>
  <c r="J55" i="150"/>
  <c r="E55" i="150"/>
  <c r="F55" i="150"/>
  <c r="C55" i="150"/>
  <c r="I56" i="150"/>
  <c r="D56" i="150"/>
  <c r="J56" i="150"/>
  <c r="E56" i="150"/>
  <c r="F56" i="150"/>
  <c r="C56" i="150"/>
  <c r="I57" i="150"/>
  <c r="D57" i="150"/>
  <c r="J57" i="150"/>
  <c r="E57" i="150"/>
  <c r="F57" i="150"/>
  <c r="C57" i="150"/>
  <c r="I58" i="150"/>
  <c r="D58" i="150"/>
  <c r="J58" i="150"/>
  <c r="E58" i="150"/>
  <c r="F58" i="150"/>
  <c r="C58" i="150"/>
  <c r="I59" i="150"/>
  <c r="D59" i="150"/>
  <c r="J59" i="150"/>
  <c r="E59" i="150"/>
  <c r="F59" i="150"/>
  <c r="C59" i="150"/>
  <c r="I60" i="150"/>
  <c r="D60" i="150"/>
  <c r="J60" i="150"/>
  <c r="E60" i="150"/>
  <c r="F60" i="150"/>
  <c r="C60" i="150"/>
  <c r="I61" i="150"/>
  <c r="D61" i="150"/>
  <c r="J61" i="150"/>
  <c r="E61" i="150"/>
  <c r="F61" i="150"/>
  <c r="C61" i="150"/>
  <c r="I62" i="150"/>
  <c r="D62" i="150"/>
  <c r="J62" i="150"/>
  <c r="E62" i="150"/>
  <c r="F62" i="150"/>
  <c r="C62" i="150"/>
  <c r="I63" i="150"/>
  <c r="D63" i="150"/>
  <c r="J63" i="150"/>
  <c r="E63" i="150"/>
  <c r="F63" i="150"/>
  <c r="C63" i="150"/>
  <c r="I64" i="150"/>
  <c r="D64" i="150"/>
  <c r="J64" i="150"/>
  <c r="E64" i="150"/>
  <c r="F64" i="150"/>
  <c r="C64" i="150"/>
  <c r="I65" i="150"/>
  <c r="D65" i="150"/>
  <c r="J65" i="150"/>
  <c r="E65" i="150"/>
  <c r="F65" i="150"/>
  <c r="C65" i="150"/>
  <c r="I66" i="150"/>
  <c r="D66" i="150"/>
  <c r="J66" i="150"/>
  <c r="E66" i="150"/>
  <c r="F66" i="150"/>
  <c r="C66" i="150"/>
  <c r="I67" i="150"/>
  <c r="D67" i="150"/>
  <c r="J67" i="150"/>
  <c r="E67" i="150"/>
  <c r="F67" i="150"/>
  <c r="C67" i="150"/>
  <c r="I68" i="150"/>
  <c r="D68" i="150"/>
  <c r="J68" i="150"/>
  <c r="E68" i="150"/>
  <c r="F68" i="150"/>
  <c r="C68" i="150"/>
  <c r="I69" i="150"/>
  <c r="D69" i="150"/>
  <c r="J69" i="150"/>
  <c r="E69" i="150"/>
  <c r="F69" i="150"/>
  <c r="C69" i="150"/>
  <c r="I70" i="150"/>
  <c r="D70" i="150"/>
  <c r="J70" i="150"/>
  <c r="E70" i="150"/>
  <c r="F70" i="150"/>
  <c r="C70" i="150"/>
  <c r="I71" i="150"/>
  <c r="D71" i="150"/>
  <c r="J71" i="150"/>
  <c r="E71" i="150"/>
  <c r="F71" i="150"/>
  <c r="C71" i="150"/>
  <c r="I72" i="150"/>
  <c r="D72" i="150"/>
  <c r="J72" i="150"/>
  <c r="E72" i="150"/>
  <c r="F72" i="150"/>
  <c r="C72" i="150"/>
  <c r="I73" i="150"/>
  <c r="D73" i="150"/>
  <c r="J73" i="150"/>
  <c r="E73" i="150"/>
  <c r="F73" i="150"/>
  <c r="C73" i="150"/>
  <c r="I74" i="150"/>
  <c r="D74" i="150"/>
  <c r="J74" i="150"/>
  <c r="E74" i="150"/>
  <c r="F74" i="150"/>
  <c r="C74" i="150"/>
  <c r="I75" i="150"/>
  <c r="D75" i="150"/>
  <c r="J75" i="150"/>
  <c r="E75" i="150"/>
  <c r="F75" i="150"/>
  <c r="C75" i="150"/>
  <c r="I76" i="150"/>
  <c r="D76" i="150"/>
  <c r="J76" i="150"/>
  <c r="E76" i="150"/>
  <c r="F76" i="150"/>
  <c r="C76" i="150"/>
  <c r="I77" i="150"/>
  <c r="D77" i="150"/>
  <c r="J77" i="150"/>
  <c r="E77" i="150"/>
  <c r="F77" i="150"/>
  <c r="C77" i="150"/>
  <c r="I78" i="150"/>
  <c r="D78" i="150"/>
  <c r="J78" i="150"/>
  <c r="E78" i="150"/>
  <c r="F78" i="150"/>
  <c r="C78" i="150"/>
  <c r="I79" i="150"/>
  <c r="D79" i="150"/>
  <c r="J79" i="150"/>
  <c r="E79" i="150"/>
  <c r="F79" i="150"/>
  <c r="C79" i="150"/>
  <c r="I80" i="150"/>
  <c r="D80" i="150"/>
  <c r="J80" i="150"/>
  <c r="E80" i="150"/>
  <c r="F80" i="150"/>
  <c r="C80" i="150"/>
  <c r="I81" i="150"/>
  <c r="D81" i="150"/>
  <c r="J81" i="150"/>
  <c r="E81" i="150"/>
  <c r="F81" i="150"/>
  <c r="C81" i="150"/>
  <c r="I82" i="150"/>
  <c r="D82" i="150"/>
  <c r="J82" i="150"/>
  <c r="E82" i="150"/>
  <c r="F82" i="150"/>
  <c r="C82" i="150"/>
  <c r="I83" i="150"/>
  <c r="D83" i="150"/>
  <c r="J83" i="150"/>
  <c r="E83" i="150"/>
  <c r="F83" i="150"/>
  <c r="C83" i="150"/>
  <c r="I84" i="150"/>
  <c r="D84" i="150"/>
  <c r="J84" i="150"/>
  <c r="E84" i="150"/>
  <c r="F84" i="150"/>
  <c r="C84" i="150"/>
  <c r="I85" i="150"/>
  <c r="D85" i="150"/>
  <c r="J85" i="150"/>
  <c r="E85" i="150"/>
  <c r="F85" i="150"/>
  <c r="C85" i="150"/>
  <c r="I86" i="150"/>
  <c r="D86" i="150"/>
  <c r="J86" i="150"/>
  <c r="E86" i="150"/>
  <c r="F86" i="150"/>
  <c r="C86" i="150"/>
  <c r="I87" i="150"/>
  <c r="D87" i="150"/>
  <c r="J87" i="150"/>
  <c r="E87" i="150"/>
  <c r="F87" i="150"/>
  <c r="C87" i="150"/>
  <c r="I88" i="150"/>
  <c r="D88" i="150"/>
  <c r="J88" i="150"/>
  <c r="E88" i="150"/>
  <c r="F88" i="150"/>
  <c r="C88" i="150"/>
  <c r="I89" i="150"/>
  <c r="D89" i="150"/>
  <c r="J89" i="150"/>
  <c r="E89" i="150"/>
  <c r="F89" i="150"/>
  <c r="C89" i="150"/>
  <c r="I90" i="150"/>
  <c r="D90" i="150"/>
  <c r="J90" i="150"/>
  <c r="E90" i="150"/>
  <c r="F90" i="150"/>
  <c r="C90" i="150"/>
  <c r="I91" i="150"/>
  <c r="D91" i="150"/>
  <c r="J91" i="150"/>
  <c r="E91" i="150"/>
  <c r="F91" i="150"/>
  <c r="C91" i="150"/>
  <c r="I92" i="150"/>
  <c r="D92" i="150"/>
  <c r="J92" i="150"/>
  <c r="E92" i="150"/>
  <c r="F92" i="150"/>
  <c r="C92" i="150"/>
  <c r="I93" i="150"/>
  <c r="D93" i="150"/>
  <c r="J93" i="150"/>
  <c r="E93" i="150"/>
  <c r="F93" i="150"/>
  <c r="C93" i="150"/>
  <c r="I94" i="150"/>
  <c r="D94" i="150"/>
  <c r="J94" i="150"/>
  <c r="E94" i="150"/>
  <c r="F94" i="150"/>
  <c r="C94" i="150"/>
  <c r="I95" i="150"/>
  <c r="D95" i="150"/>
  <c r="J95" i="150"/>
  <c r="E95" i="150"/>
  <c r="F95" i="150"/>
  <c r="C95" i="150"/>
  <c r="I96" i="150"/>
  <c r="D96" i="150"/>
  <c r="J96" i="150"/>
  <c r="E96" i="150"/>
  <c r="F96" i="150"/>
  <c r="C96" i="150"/>
  <c r="I97" i="150"/>
  <c r="D97" i="150"/>
  <c r="J97" i="150"/>
  <c r="E97" i="150"/>
  <c r="F97" i="150"/>
  <c r="C97" i="150"/>
  <c r="I98" i="150"/>
  <c r="D98" i="150"/>
  <c r="J98" i="150"/>
  <c r="E98" i="150"/>
  <c r="F98" i="150"/>
  <c r="C98" i="150"/>
  <c r="I99" i="150"/>
  <c r="D99" i="150"/>
  <c r="J99" i="150"/>
  <c r="E99" i="150"/>
  <c r="F99" i="150"/>
  <c r="C99" i="150"/>
  <c r="I100" i="150"/>
  <c r="D100" i="150"/>
  <c r="J100" i="150"/>
  <c r="E100" i="150"/>
  <c r="F100" i="150"/>
  <c r="C100" i="150"/>
  <c r="I101" i="150"/>
  <c r="D101" i="150"/>
  <c r="J101" i="150"/>
  <c r="E101" i="150"/>
  <c r="F101" i="150"/>
  <c r="C101" i="150"/>
  <c r="I102" i="150"/>
  <c r="D102" i="150"/>
  <c r="J102" i="150"/>
  <c r="E102" i="150"/>
  <c r="F102" i="150"/>
  <c r="C102" i="150"/>
  <c r="I103" i="150"/>
  <c r="D103" i="150"/>
  <c r="J103" i="150"/>
  <c r="E103" i="150"/>
  <c r="F103" i="150"/>
  <c r="C103" i="150"/>
  <c r="I104" i="150"/>
  <c r="D104" i="150"/>
  <c r="J104" i="150"/>
  <c r="E104" i="150"/>
  <c r="F104" i="150"/>
  <c r="C104" i="150"/>
  <c r="I105" i="150"/>
  <c r="D105" i="150"/>
  <c r="J105" i="150"/>
  <c r="E105" i="150"/>
  <c r="F105" i="150"/>
  <c r="C105" i="150"/>
  <c r="I106" i="150"/>
  <c r="D106" i="150"/>
  <c r="J106" i="150"/>
  <c r="E106" i="150"/>
  <c r="F106" i="150"/>
  <c r="C106" i="150"/>
  <c r="I107" i="150"/>
  <c r="D107" i="150"/>
  <c r="J107" i="150"/>
  <c r="E107" i="150"/>
  <c r="F107" i="150"/>
  <c r="C107" i="150"/>
  <c r="I108" i="150"/>
  <c r="D108" i="150"/>
  <c r="J108" i="150"/>
  <c r="E108" i="150"/>
  <c r="F108" i="150"/>
  <c r="C108" i="150"/>
  <c r="I109" i="150"/>
  <c r="D109" i="150"/>
  <c r="J109" i="150"/>
  <c r="E109" i="150"/>
  <c r="F109" i="150"/>
  <c r="C109" i="150"/>
  <c r="I110" i="150"/>
  <c r="D110" i="150"/>
  <c r="J110" i="150"/>
  <c r="E110" i="150"/>
  <c r="F110" i="150"/>
  <c r="C110" i="150"/>
  <c r="I111" i="150"/>
  <c r="D111" i="150"/>
  <c r="J111" i="150"/>
  <c r="E111" i="150"/>
  <c r="F111" i="150"/>
  <c r="C111" i="150"/>
  <c r="I112" i="150"/>
  <c r="D112" i="150"/>
  <c r="J112" i="150"/>
  <c r="E112" i="150"/>
  <c r="F112" i="150"/>
  <c r="C112" i="150"/>
  <c r="I113" i="150"/>
  <c r="D113" i="150"/>
  <c r="J113" i="150"/>
  <c r="E113" i="150"/>
  <c r="F113" i="150"/>
  <c r="C113" i="150"/>
  <c r="I114" i="150"/>
  <c r="D114" i="150"/>
  <c r="J114" i="150"/>
  <c r="E114" i="150"/>
  <c r="F114" i="150"/>
  <c r="C114" i="150"/>
  <c r="I115" i="150"/>
  <c r="D115" i="150"/>
  <c r="J115" i="150"/>
  <c r="E115" i="150"/>
  <c r="F115" i="150"/>
  <c r="C115" i="150"/>
  <c r="I116" i="150"/>
  <c r="D116" i="150"/>
  <c r="J116" i="150"/>
  <c r="E116" i="150"/>
  <c r="F116" i="150"/>
  <c r="C116" i="150"/>
  <c r="I117" i="150"/>
  <c r="D117" i="150"/>
  <c r="J117" i="150"/>
  <c r="E117" i="150"/>
  <c r="F117" i="150"/>
  <c r="C117" i="150"/>
  <c r="I118" i="150"/>
  <c r="D118" i="150"/>
  <c r="J118" i="150"/>
  <c r="E118" i="150"/>
  <c r="F118" i="150"/>
  <c r="C118" i="150"/>
  <c r="I119" i="150"/>
  <c r="D119" i="150"/>
  <c r="J119" i="150"/>
  <c r="E119" i="150"/>
  <c r="F119" i="150"/>
  <c r="C119" i="150"/>
  <c r="I120" i="150"/>
  <c r="D120" i="150"/>
  <c r="J120" i="150"/>
  <c r="E120" i="150"/>
  <c r="F120" i="150"/>
  <c r="C120" i="150"/>
  <c r="I121" i="150"/>
  <c r="D121" i="150"/>
  <c r="J121" i="150"/>
  <c r="E121" i="150"/>
  <c r="F121" i="150"/>
  <c r="C121" i="150"/>
  <c r="I122" i="150"/>
  <c r="D122" i="150"/>
  <c r="J122" i="150"/>
  <c r="E122" i="150"/>
  <c r="F122" i="150"/>
  <c r="C122" i="150"/>
  <c r="I123" i="150"/>
  <c r="D123" i="150"/>
  <c r="J123" i="150"/>
  <c r="E123" i="150"/>
  <c r="F123" i="150"/>
  <c r="C123" i="150"/>
  <c r="I124" i="150"/>
  <c r="D124" i="150"/>
  <c r="J124" i="150"/>
  <c r="E124" i="150"/>
  <c r="F124" i="150"/>
  <c r="C124" i="150"/>
  <c r="I125" i="150"/>
  <c r="D125" i="150"/>
  <c r="J125" i="150"/>
  <c r="E125" i="150"/>
  <c r="F125" i="150"/>
  <c r="C125" i="150"/>
  <c r="I126" i="150"/>
  <c r="D126" i="150"/>
  <c r="J126" i="150"/>
  <c r="E126" i="150"/>
  <c r="F126" i="150"/>
  <c r="C126" i="150"/>
  <c r="I127" i="150"/>
  <c r="D127" i="150"/>
  <c r="J127" i="150"/>
  <c r="E127" i="150"/>
  <c r="F127" i="150"/>
  <c r="C127" i="150"/>
  <c r="I128" i="150"/>
  <c r="D128" i="150"/>
  <c r="J128" i="150"/>
  <c r="E128" i="150"/>
  <c r="F128" i="150"/>
  <c r="C128" i="150"/>
  <c r="I129" i="150"/>
  <c r="D129" i="150"/>
  <c r="J129" i="150"/>
  <c r="E129" i="150"/>
  <c r="F129" i="150"/>
  <c r="C129" i="150"/>
  <c r="I130" i="150"/>
  <c r="D130" i="150"/>
  <c r="J130" i="150"/>
  <c r="E130" i="150"/>
  <c r="F130" i="150"/>
  <c r="C130" i="150"/>
  <c r="I131" i="150"/>
  <c r="D131" i="150"/>
  <c r="J131" i="150"/>
  <c r="E131" i="150"/>
  <c r="F131" i="150"/>
  <c r="C131" i="150"/>
  <c r="I132" i="150"/>
  <c r="D132" i="150"/>
  <c r="J132" i="150"/>
  <c r="E132" i="150"/>
  <c r="F132" i="150"/>
  <c r="C132" i="150"/>
  <c r="I133" i="150"/>
  <c r="D133" i="150"/>
  <c r="J133" i="150"/>
  <c r="E133" i="150"/>
  <c r="F133" i="150"/>
  <c r="C133" i="150"/>
  <c r="I134" i="150"/>
  <c r="D134" i="150"/>
  <c r="J134" i="150"/>
  <c r="E134" i="150"/>
  <c r="F134" i="150"/>
  <c r="C134" i="150"/>
  <c r="I135" i="150"/>
  <c r="D135" i="150"/>
  <c r="J135" i="150"/>
  <c r="E135" i="150"/>
  <c r="F135" i="150"/>
  <c r="C135" i="150"/>
  <c r="I136" i="150"/>
  <c r="D136" i="150"/>
  <c r="J136" i="150"/>
  <c r="E136" i="150"/>
  <c r="F136" i="150"/>
  <c r="C136" i="150"/>
  <c r="I137" i="150"/>
  <c r="D137" i="150"/>
  <c r="J137" i="150"/>
  <c r="E137" i="150"/>
  <c r="F137" i="150"/>
  <c r="C137" i="150"/>
  <c r="I138" i="150"/>
  <c r="D138" i="150"/>
  <c r="J138" i="150"/>
  <c r="E138" i="150"/>
  <c r="F138" i="150"/>
  <c r="C138" i="150"/>
  <c r="I139" i="150"/>
  <c r="D139" i="150"/>
  <c r="J139" i="150"/>
  <c r="E139" i="150"/>
  <c r="F139" i="150"/>
  <c r="C139" i="150"/>
  <c r="I140" i="150"/>
  <c r="D140" i="150"/>
  <c r="J140" i="150"/>
  <c r="E140" i="150"/>
  <c r="F140" i="150"/>
  <c r="C140" i="150"/>
  <c r="I141" i="150"/>
  <c r="D141" i="150"/>
  <c r="J141" i="150"/>
  <c r="E141" i="150"/>
  <c r="F141" i="150"/>
  <c r="C141" i="150"/>
  <c r="I142" i="150"/>
  <c r="D142" i="150"/>
  <c r="J142" i="150"/>
  <c r="E142" i="150"/>
  <c r="F142" i="150"/>
  <c r="C142" i="150"/>
  <c r="I143" i="150"/>
  <c r="D143" i="150"/>
  <c r="J143" i="150"/>
  <c r="E143" i="150"/>
  <c r="F143" i="150"/>
  <c r="C143" i="150"/>
  <c r="I144" i="150"/>
  <c r="D144" i="150"/>
  <c r="J144" i="150"/>
  <c r="E144" i="150"/>
  <c r="F144" i="150"/>
  <c r="C144" i="150"/>
  <c r="I145" i="150"/>
  <c r="D145" i="150"/>
  <c r="J145" i="150"/>
  <c r="E145" i="150"/>
  <c r="F145" i="150"/>
  <c r="C145" i="150"/>
  <c r="I146" i="150"/>
  <c r="D146" i="150"/>
  <c r="J146" i="150"/>
  <c r="E146" i="150"/>
  <c r="F146" i="150"/>
  <c r="C146" i="150"/>
  <c r="I147" i="150"/>
  <c r="D147" i="150"/>
  <c r="J147" i="150"/>
  <c r="E147" i="150"/>
  <c r="F147" i="150"/>
  <c r="C147" i="150"/>
  <c r="I148" i="150"/>
  <c r="D148" i="150"/>
  <c r="J148" i="150"/>
  <c r="E148" i="150"/>
  <c r="F148" i="150"/>
  <c r="C148" i="150"/>
  <c r="I149" i="150"/>
  <c r="D149" i="150"/>
  <c r="J149" i="150"/>
  <c r="E149" i="150"/>
  <c r="F149" i="150"/>
  <c r="C149" i="150"/>
  <c r="I150" i="150"/>
  <c r="D150" i="150"/>
  <c r="J150" i="150"/>
  <c r="E150" i="150"/>
  <c r="F150" i="150"/>
  <c r="C150" i="150"/>
  <c r="I151" i="150"/>
  <c r="D151" i="150"/>
  <c r="J151" i="150"/>
  <c r="E151" i="150"/>
  <c r="F151" i="150"/>
  <c r="C151" i="150"/>
  <c r="I152" i="150"/>
  <c r="D152" i="150"/>
  <c r="J152" i="150"/>
  <c r="E152" i="150"/>
  <c r="F152" i="150"/>
  <c r="C152" i="150"/>
  <c r="I153" i="150"/>
  <c r="D153" i="150"/>
  <c r="J153" i="150"/>
  <c r="E153" i="150"/>
  <c r="F153" i="150"/>
  <c r="C153" i="150"/>
  <c r="I154" i="150"/>
  <c r="D154" i="150"/>
  <c r="J154" i="150"/>
  <c r="E154" i="150"/>
  <c r="F154" i="150"/>
  <c r="C154" i="150"/>
  <c r="I155" i="150"/>
  <c r="D155" i="150"/>
  <c r="J155" i="150"/>
  <c r="E155" i="150"/>
  <c r="F155" i="150"/>
  <c r="C155" i="150"/>
  <c r="I156" i="150"/>
  <c r="D156" i="150"/>
  <c r="J156" i="150"/>
  <c r="E156" i="150"/>
  <c r="F156" i="150"/>
  <c r="C156" i="150"/>
  <c r="I157" i="150"/>
  <c r="D157" i="150"/>
  <c r="J157" i="150"/>
  <c r="E157" i="150"/>
  <c r="F157" i="150"/>
  <c r="C157" i="150"/>
  <c r="I158" i="150"/>
  <c r="D158" i="150"/>
  <c r="J158" i="150"/>
  <c r="E158" i="150"/>
  <c r="F158" i="150"/>
  <c r="C158" i="150"/>
  <c r="I159" i="150"/>
  <c r="D159" i="150"/>
  <c r="J159" i="150"/>
  <c r="E159" i="150"/>
  <c r="F159" i="150"/>
  <c r="C159" i="150"/>
  <c r="I160" i="150"/>
  <c r="D160" i="150"/>
  <c r="J160" i="150"/>
  <c r="E160" i="150"/>
  <c r="F160" i="150"/>
  <c r="C160" i="150"/>
  <c r="I161" i="150"/>
  <c r="D161" i="150"/>
  <c r="J161" i="150"/>
  <c r="E161" i="150"/>
  <c r="F161" i="150"/>
  <c r="C161" i="150"/>
  <c r="I162" i="150"/>
  <c r="D162" i="150"/>
  <c r="J162" i="150"/>
  <c r="E162" i="150"/>
  <c r="F162" i="150"/>
  <c r="C162" i="150"/>
  <c r="I163" i="150"/>
  <c r="D163" i="150"/>
  <c r="J163" i="150"/>
  <c r="E163" i="150"/>
  <c r="F163" i="150"/>
  <c r="C163" i="150"/>
  <c r="I164" i="150"/>
  <c r="D164" i="150"/>
  <c r="J164" i="150"/>
  <c r="E164" i="150"/>
  <c r="F164" i="150"/>
  <c r="C164" i="150"/>
  <c r="I165" i="150"/>
  <c r="D165" i="150"/>
  <c r="J165" i="150"/>
  <c r="E165" i="150"/>
  <c r="F165" i="150"/>
  <c r="C165" i="150"/>
  <c r="I166" i="150"/>
  <c r="D166" i="150"/>
  <c r="J166" i="150"/>
  <c r="E166" i="150"/>
  <c r="F166" i="150"/>
  <c r="C166" i="150"/>
  <c r="I167" i="150"/>
  <c r="D167" i="150"/>
  <c r="J167" i="150"/>
  <c r="E167" i="150"/>
  <c r="F167" i="150"/>
  <c r="C167" i="150"/>
  <c r="I168" i="150"/>
  <c r="D168" i="150"/>
  <c r="J168" i="150"/>
  <c r="E168" i="150"/>
  <c r="F168" i="150"/>
  <c r="C168" i="150"/>
  <c r="I169" i="150"/>
  <c r="D169" i="150"/>
  <c r="J169" i="150"/>
  <c r="E169" i="150"/>
  <c r="F169" i="150"/>
  <c r="C169" i="150"/>
  <c r="I170" i="150"/>
  <c r="D170" i="150"/>
  <c r="J170" i="150"/>
  <c r="E170" i="150"/>
  <c r="F170" i="150"/>
  <c r="C170" i="150"/>
  <c r="I171" i="150"/>
  <c r="D171" i="150"/>
  <c r="J171" i="150"/>
  <c r="E171" i="150"/>
  <c r="F171" i="150"/>
  <c r="C171" i="150"/>
  <c r="I172" i="150"/>
  <c r="D172" i="150"/>
  <c r="J172" i="150"/>
  <c r="E172" i="150"/>
  <c r="F172" i="150"/>
  <c r="C172" i="150"/>
  <c r="I173" i="150"/>
  <c r="D173" i="150"/>
  <c r="J173" i="150"/>
  <c r="E173" i="150"/>
  <c r="F173" i="150"/>
  <c r="C173" i="150"/>
  <c r="I174" i="150"/>
  <c r="D174" i="150"/>
  <c r="J174" i="150"/>
  <c r="E174" i="150"/>
  <c r="F174" i="150"/>
  <c r="C174" i="150"/>
  <c r="I175" i="150"/>
  <c r="D175" i="150"/>
  <c r="J175" i="150"/>
  <c r="E175" i="150"/>
  <c r="F175" i="150"/>
  <c r="C175" i="150"/>
  <c r="I176" i="150"/>
  <c r="D176" i="150"/>
  <c r="J176" i="150"/>
  <c r="E176" i="150"/>
  <c r="F176" i="150"/>
  <c r="C176" i="150"/>
  <c r="I177" i="150"/>
  <c r="D177" i="150"/>
  <c r="J177" i="150"/>
  <c r="E177" i="150"/>
  <c r="F177" i="150"/>
  <c r="C177" i="150"/>
  <c r="I178" i="150"/>
  <c r="D178" i="150"/>
  <c r="J178" i="150"/>
  <c r="E178" i="150"/>
  <c r="F178" i="150"/>
  <c r="C178" i="150"/>
  <c r="I179" i="150"/>
  <c r="D179" i="150"/>
  <c r="J179" i="150"/>
  <c r="E179" i="150"/>
  <c r="F179" i="150"/>
  <c r="C179" i="150"/>
  <c r="I180" i="150"/>
  <c r="D180" i="150"/>
  <c r="J180" i="150"/>
  <c r="E180" i="150"/>
  <c r="F180" i="150"/>
  <c r="C180" i="150"/>
  <c r="I181" i="150"/>
  <c r="D181" i="150"/>
  <c r="J181" i="150"/>
  <c r="E181" i="150"/>
  <c r="F181" i="150"/>
  <c r="C181" i="150"/>
  <c r="I182" i="150"/>
  <c r="D182" i="150"/>
  <c r="J182" i="150"/>
  <c r="E182" i="150"/>
  <c r="F182" i="150"/>
  <c r="C182" i="150"/>
  <c r="I183" i="150"/>
  <c r="D183" i="150"/>
  <c r="J183" i="150"/>
  <c r="E183" i="150"/>
  <c r="F183" i="150"/>
  <c r="C183" i="150"/>
  <c r="I184" i="150"/>
  <c r="D184" i="150"/>
  <c r="J184" i="150"/>
  <c r="E184" i="150"/>
  <c r="F184" i="150"/>
  <c r="C184" i="150"/>
  <c r="I185" i="150"/>
  <c r="D185" i="150"/>
  <c r="J185" i="150"/>
  <c r="E185" i="150"/>
  <c r="F185" i="150"/>
  <c r="C185" i="150"/>
  <c r="I186" i="150"/>
  <c r="D186" i="150"/>
  <c r="J186" i="150"/>
  <c r="E186" i="150"/>
  <c r="F186" i="150"/>
  <c r="C186" i="150"/>
  <c r="I187" i="150"/>
  <c r="D187" i="150"/>
  <c r="J187" i="150"/>
  <c r="E187" i="150"/>
  <c r="F187" i="150"/>
  <c r="C187" i="150"/>
  <c r="I188" i="150"/>
  <c r="D188" i="150"/>
  <c r="J188" i="150"/>
  <c r="E188" i="150"/>
  <c r="F188" i="150"/>
  <c r="C188" i="150"/>
  <c r="I189" i="150"/>
  <c r="D189" i="150"/>
  <c r="J189" i="150"/>
  <c r="E189" i="150"/>
  <c r="F189" i="150"/>
  <c r="C189" i="150"/>
  <c r="I190" i="150"/>
  <c r="D190" i="150"/>
  <c r="J190" i="150"/>
  <c r="E190" i="150"/>
  <c r="F190" i="150"/>
  <c r="C190" i="150"/>
  <c r="I191" i="150"/>
  <c r="D191" i="150"/>
  <c r="J191" i="150"/>
  <c r="E191" i="150"/>
  <c r="F191" i="150"/>
  <c r="C191" i="150"/>
  <c r="I192" i="150"/>
  <c r="D192" i="150"/>
  <c r="J192" i="150"/>
  <c r="E192" i="150"/>
  <c r="F192" i="150"/>
  <c r="C192" i="150"/>
  <c r="I193" i="150"/>
  <c r="D193" i="150"/>
  <c r="J193" i="150"/>
  <c r="E193" i="150"/>
  <c r="F193" i="150"/>
  <c r="C193" i="150"/>
  <c r="I194" i="150"/>
  <c r="D194" i="150"/>
  <c r="J194" i="150"/>
  <c r="E194" i="150"/>
  <c r="F194" i="150"/>
  <c r="C194" i="150"/>
  <c r="I195" i="150"/>
  <c r="D195" i="150"/>
  <c r="J195" i="150"/>
  <c r="E195" i="150"/>
  <c r="F195" i="150"/>
  <c r="C195" i="150"/>
  <c r="I196" i="150"/>
  <c r="D196" i="150"/>
  <c r="J196" i="150"/>
  <c r="E196" i="150"/>
  <c r="F196" i="150"/>
  <c r="C196" i="150"/>
  <c r="I197" i="150"/>
  <c r="D197" i="150"/>
  <c r="J197" i="150"/>
  <c r="E197" i="150"/>
  <c r="F197" i="150"/>
  <c r="C197" i="150"/>
  <c r="I198" i="150"/>
  <c r="D198" i="150"/>
  <c r="J198" i="150"/>
  <c r="E198" i="150"/>
  <c r="F198" i="150"/>
  <c r="C198" i="150"/>
  <c r="I199" i="150"/>
  <c r="D199" i="150"/>
  <c r="J199" i="150"/>
  <c r="E199" i="150"/>
  <c r="F199" i="150"/>
  <c r="C199" i="150"/>
  <c r="I200" i="150"/>
  <c r="D200" i="150"/>
  <c r="J200" i="150"/>
  <c r="E200" i="150"/>
  <c r="F200" i="150"/>
  <c r="C200" i="150"/>
  <c r="I201" i="150"/>
  <c r="D201" i="150"/>
  <c r="J201" i="150"/>
  <c r="E201" i="150"/>
  <c r="F201" i="150"/>
  <c r="C201" i="150"/>
  <c r="I202" i="150"/>
  <c r="D202" i="150"/>
  <c r="J202" i="150"/>
  <c r="E202" i="150"/>
  <c r="F202" i="150"/>
  <c r="C202" i="150"/>
  <c r="I203" i="150"/>
  <c r="D203" i="150"/>
  <c r="J203" i="150"/>
  <c r="E203" i="150"/>
  <c r="F203" i="150"/>
  <c r="C203" i="150"/>
  <c r="I204" i="150"/>
  <c r="D204" i="150"/>
  <c r="J204" i="150"/>
  <c r="E204" i="150"/>
  <c r="F204" i="150"/>
  <c r="C204" i="150"/>
  <c r="I205" i="150"/>
  <c r="D205" i="150"/>
  <c r="J205" i="150"/>
  <c r="E205" i="150"/>
  <c r="F205" i="150"/>
  <c r="C205" i="150"/>
  <c r="I206" i="150"/>
  <c r="D206" i="150"/>
  <c r="J206" i="150"/>
  <c r="E206" i="150"/>
  <c r="F206" i="150"/>
  <c r="C206" i="150"/>
  <c r="I207" i="150"/>
  <c r="D207" i="150"/>
  <c r="J207" i="150"/>
  <c r="E207" i="150"/>
  <c r="F207" i="150"/>
  <c r="C207" i="150"/>
  <c r="I208" i="150"/>
  <c r="D208" i="150"/>
  <c r="J208" i="150"/>
  <c r="E208" i="150"/>
  <c r="F208" i="150"/>
  <c r="C208" i="150"/>
  <c r="I209" i="150"/>
  <c r="D209" i="150"/>
  <c r="J209" i="150"/>
  <c r="E209" i="150"/>
  <c r="F209" i="150"/>
  <c r="C209" i="150"/>
  <c r="I210" i="150"/>
  <c r="D210" i="150"/>
  <c r="J210" i="150"/>
  <c r="E210" i="150"/>
  <c r="F210" i="150"/>
  <c r="C210" i="150"/>
  <c r="I211" i="150"/>
  <c r="D211" i="150"/>
  <c r="J211" i="150"/>
  <c r="E211" i="150"/>
  <c r="F211" i="150"/>
  <c r="C211" i="150"/>
  <c r="I212" i="150"/>
  <c r="D212" i="150"/>
  <c r="J212" i="150"/>
  <c r="E212" i="150"/>
  <c r="F212" i="150"/>
  <c r="C212" i="150"/>
  <c r="I213" i="150"/>
  <c r="D213" i="150"/>
  <c r="J213" i="150"/>
  <c r="E213" i="150"/>
  <c r="F213" i="150"/>
  <c r="C213" i="150"/>
  <c r="I214" i="150"/>
  <c r="D214" i="150"/>
  <c r="J214" i="150"/>
  <c r="E214" i="150"/>
  <c r="F214" i="150"/>
  <c r="C214" i="150"/>
  <c r="I215" i="150"/>
  <c r="D215" i="150"/>
  <c r="J215" i="150"/>
  <c r="E215" i="150"/>
  <c r="F215" i="150"/>
  <c r="C215" i="150"/>
  <c r="I216" i="150"/>
  <c r="D216" i="150"/>
  <c r="J216" i="150"/>
  <c r="E216" i="150"/>
  <c r="F216" i="150"/>
  <c r="C216" i="150"/>
  <c r="I217" i="150"/>
  <c r="D217" i="150"/>
  <c r="J217" i="150"/>
  <c r="E217" i="150"/>
  <c r="F217" i="150"/>
  <c r="C217" i="150"/>
  <c r="I218" i="150"/>
  <c r="D218" i="150"/>
  <c r="J218" i="150"/>
  <c r="E218" i="150"/>
  <c r="F218" i="150"/>
  <c r="C218" i="150"/>
  <c r="I219" i="150"/>
  <c r="D219" i="150"/>
  <c r="J219" i="150"/>
  <c r="E219" i="150"/>
  <c r="F219" i="150"/>
  <c r="C219" i="150"/>
  <c r="I220" i="150"/>
  <c r="D220" i="150"/>
  <c r="J220" i="150"/>
  <c r="E220" i="150"/>
  <c r="F220" i="150"/>
  <c r="C220" i="150"/>
  <c r="I221" i="150"/>
  <c r="D221" i="150"/>
  <c r="J221" i="150"/>
  <c r="E221" i="150"/>
  <c r="F221" i="150"/>
  <c r="C221" i="150"/>
  <c r="I222" i="150"/>
  <c r="D222" i="150"/>
  <c r="J222" i="150"/>
  <c r="E222" i="150"/>
  <c r="F222" i="150"/>
  <c r="C222" i="150"/>
  <c r="I223" i="150"/>
  <c r="D223" i="150"/>
  <c r="J223" i="150"/>
  <c r="E223" i="150"/>
  <c r="F223" i="150"/>
  <c r="C223" i="150"/>
  <c r="I224" i="150"/>
  <c r="D224" i="150"/>
  <c r="J224" i="150"/>
  <c r="E224" i="150"/>
  <c r="F224" i="150"/>
  <c r="C224" i="150"/>
  <c r="I225" i="150"/>
  <c r="D225" i="150"/>
  <c r="J225" i="150"/>
  <c r="E225" i="150"/>
  <c r="F225" i="150"/>
  <c r="C225" i="150"/>
  <c r="I226" i="150"/>
  <c r="D226" i="150"/>
  <c r="J226" i="150"/>
  <c r="E226" i="150"/>
  <c r="F226" i="150"/>
  <c r="C226" i="150"/>
  <c r="I227" i="150"/>
  <c r="D227" i="150"/>
  <c r="J227" i="150"/>
  <c r="E227" i="150"/>
  <c r="F227" i="150"/>
  <c r="C227" i="150"/>
  <c r="I228" i="150"/>
  <c r="D228" i="150"/>
  <c r="J228" i="150"/>
  <c r="E228" i="150"/>
  <c r="F228" i="150"/>
  <c r="C228" i="150"/>
  <c r="I229" i="150"/>
  <c r="D229" i="150"/>
  <c r="J229" i="150"/>
  <c r="E229" i="150"/>
  <c r="F229" i="150"/>
  <c r="C229" i="150"/>
  <c r="I230" i="150"/>
  <c r="D230" i="150"/>
  <c r="J230" i="150"/>
  <c r="E230" i="150"/>
  <c r="F230" i="150"/>
  <c r="C230" i="150"/>
  <c r="I231" i="150"/>
  <c r="D231" i="150"/>
  <c r="J231" i="150"/>
  <c r="E231" i="150"/>
  <c r="F231" i="150"/>
  <c r="C231" i="150"/>
  <c r="I232" i="150"/>
  <c r="D232" i="150"/>
  <c r="J232" i="150"/>
  <c r="E232" i="150"/>
  <c r="F232" i="150"/>
  <c r="C232" i="150"/>
  <c r="I233" i="150"/>
  <c r="D233" i="150"/>
  <c r="J233" i="150"/>
  <c r="E233" i="150"/>
  <c r="F233" i="150"/>
  <c r="C233" i="150"/>
  <c r="I234" i="150"/>
  <c r="D234" i="150"/>
  <c r="J234" i="150"/>
  <c r="E234" i="150"/>
  <c r="F234" i="150"/>
  <c r="C234" i="150"/>
  <c r="I235" i="150"/>
  <c r="D235" i="150"/>
  <c r="J235" i="150"/>
  <c r="E235" i="150"/>
  <c r="F235" i="150"/>
  <c r="C235" i="150"/>
  <c r="I236" i="150"/>
  <c r="D236" i="150"/>
  <c r="J236" i="150"/>
  <c r="E236" i="150"/>
  <c r="F236" i="150"/>
  <c r="C236" i="150"/>
  <c r="I237" i="150"/>
  <c r="D237" i="150"/>
  <c r="J237" i="150"/>
  <c r="E237" i="150"/>
  <c r="F237" i="150"/>
  <c r="C237" i="150"/>
  <c r="I238" i="150"/>
  <c r="D238" i="150"/>
  <c r="J238" i="150"/>
  <c r="E238" i="150"/>
  <c r="F238" i="150"/>
  <c r="C238" i="150"/>
  <c r="I239" i="150"/>
  <c r="D239" i="150"/>
  <c r="J239" i="150"/>
  <c r="E239" i="150"/>
  <c r="F239" i="150"/>
  <c r="C239" i="150"/>
  <c r="I240" i="150"/>
  <c r="D240" i="150"/>
  <c r="J240" i="150"/>
  <c r="E240" i="150"/>
  <c r="F240" i="150"/>
  <c r="C240" i="150"/>
  <c r="I241" i="150"/>
  <c r="D241" i="150"/>
  <c r="J241" i="150"/>
  <c r="E241" i="150"/>
  <c r="F241" i="150"/>
  <c r="C241" i="150"/>
  <c r="I242" i="150"/>
  <c r="D242" i="150"/>
  <c r="J242" i="150"/>
  <c r="E242" i="150"/>
  <c r="F242" i="150"/>
  <c r="C242" i="150"/>
  <c r="I243" i="150"/>
  <c r="D243" i="150"/>
  <c r="J243" i="150"/>
  <c r="E243" i="150"/>
  <c r="F243" i="150"/>
  <c r="C243" i="150"/>
  <c r="I244" i="150"/>
  <c r="D244" i="150"/>
  <c r="J244" i="150"/>
  <c r="E244" i="150"/>
  <c r="F244" i="150"/>
  <c r="C244" i="150"/>
  <c r="I245" i="150"/>
  <c r="D245" i="150"/>
  <c r="J245" i="150"/>
  <c r="E245" i="150"/>
  <c r="F245" i="150"/>
  <c r="C245" i="150"/>
  <c r="I246" i="150"/>
  <c r="D246" i="150"/>
  <c r="J246" i="150"/>
  <c r="E246" i="150"/>
  <c r="F246" i="150"/>
  <c r="C246" i="150"/>
  <c r="I247" i="150"/>
  <c r="D247" i="150"/>
  <c r="J247" i="150"/>
  <c r="E247" i="150"/>
  <c r="F247" i="150"/>
  <c r="C247" i="150"/>
  <c r="I248" i="150"/>
  <c r="D248" i="150"/>
  <c r="J248" i="150"/>
  <c r="E248" i="150"/>
  <c r="F248" i="150"/>
  <c r="C248" i="150"/>
  <c r="I249" i="150"/>
  <c r="D249" i="150"/>
  <c r="J249" i="150"/>
  <c r="E249" i="150"/>
  <c r="F249" i="150"/>
  <c r="C249" i="150"/>
  <c r="I250" i="150"/>
  <c r="D250" i="150"/>
  <c r="J250" i="150"/>
  <c r="E250" i="150"/>
  <c r="F250" i="150"/>
  <c r="C250" i="150"/>
  <c r="I251" i="150"/>
  <c r="D251" i="150"/>
  <c r="J251" i="150"/>
  <c r="E251" i="150"/>
  <c r="F251" i="150"/>
  <c r="C251" i="150"/>
  <c r="I252" i="150"/>
  <c r="D252" i="150"/>
  <c r="J252" i="150"/>
  <c r="E252" i="150"/>
  <c r="F252" i="150"/>
  <c r="C252" i="150"/>
  <c r="I253" i="150"/>
  <c r="D253" i="150"/>
  <c r="J253" i="150"/>
  <c r="E253" i="150"/>
  <c r="F253" i="150"/>
  <c r="C253" i="150"/>
  <c r="I254" i="150"/>
  <c r="D254" i="150"/>
  <c r="J254" i="150"/>
  <c r="E254" i="150"/>
  <c r="F254" i="150"/>
  <c r="C254" i="150"/>
  <c r="I255" i="150"/>
  <c r="D255" i="150"/>
  <c r="J255" i="150"/>
  <c r="E255" i="150"/>
  <c r="F255" i="150"/>
  <c r="C255" i="150"/>
  <c r="I256" i="150"/>
  <c r="D256" i="150"/>
  <c r="J256" i="150"/>
  <c r="E256" i="150"/>
  <c r="F256" i="150"/>
  <c r="C256" i="150"/>
  <c r="I257" i="150"/>
  <c r="D257" i="150"/>
  <c r="J257" i="150"/>
  <c r="E257" i="150"/>
  <c r="F257" i="150"/>
  <c r="C257" i="150"/>
  <c r="I258" i="150"/>
  <c r="D258" i="150"/>
  <c r="J258" i="150"/>
  <c r="E258" i="150"/>
  <c r="F258" i="150"/>
  <c r="C258" i="150"/>
  <c r="I259" i="150"/>
  <c r="D259" i="150"/>
  <c r="J259" i="150"/>
  <c r="E259" i="150"/>
  <c r="F259" i="150"/>
  <c r="C259" i="150"/>
  <c r="I260" i="150"/>
  <c r="D260" i="150"/>
  <c r="J260" i="150"/>
  <c r="E260" i="150"/>
  <c r="F260" i="150"/>
  <c r="C260" i="150"/>
  <c r="I261" i="150"/>
  <c r="D261" i="150"/>
  <c r="J261" i="150"/>
  <c r="E261" i="150"/>
  <c r="F261" i="150"/>
  <c r="C261" i="150"/>
  <c r="I262" i="150"/>
  <c r="D262" i="150"/>
  <c r="J262" i="150"/>
  <c r="E262" i="150"/>
  <c r="F262" i="150"/>
  <c r="C262" i="150"/>
  <c r="I263" i="150"/>
  <c r="D263" i="150"/>
  <c r="J263" i="150"/>
  <c r="E263" i="150"/>
  <c r="F263" i="150"/>
  <c r="C263" i="150"/>
  <c r="I264" i="150"/>
  <c r="D264" i="150"/>
  <c r="J264" i="150"/>
  <c r="E264" i="150"/>
  <c r="F264" i="150"/>
  <c r="C264" i="150"/>
  <c r="I265" i="150"/>
  <c r="D265" i="150"/>
  <c r="J265" i="150"/>
  <c r="E265" i="150"/>
  <c r="F265" i="150"/>
  <c r="C265" i="150"/>
  <c r="I266" i="150"/>
  <c r="D266" i="150"/>
  <c r="J266" i="150"/>
  <c r="E266" i="150"/>
  <c r="F266" i="150"/>
  <c r="C266" i="150"/>
  <c r="I267" i="150"/>
  <c r="D267" i="150"/>
  <c r="J267" i="150"/>
  <c r="E267" i="150"/>
  <c r="F267" i="150"/>
  <c r="C267" i="150"/>
  <c r="I268" i="150"/>
  <c r="D268" i="150"/>
  <c r="J268" i="150"/>
  <c r="E268" i="150"/>
  <c r="F268" i="150"/>
  <c r="C268" i="150"/>
  <c r="I269" i="150"/>
  <c r="D269" i="150"/>
  <c r="J269" i="150"/>
  <c r="E269" i="150"/>
  <c r="F269" i="150"/>
  <c r="C269" i="150"/>
  <c r="I270" i="150"/>
  <c r="D270" i="150"/>
  <c r="J270" i="150"/>
  <c r="E270" i="150"/>
  <c r="F270" i="150"/>
  <c r="C270" i="150"/>
  <c r="I271" i="150"/>
  <c r="D271" i="150"/>
  <c r="J271" i="150"/>
  <c r="E271" i="150"/>
  <c r="F271" i="150"/>
  <c r="C271" i="150"/>
  <c r="I272" i="150"/>
  <c r="D272" i="150"/>
  <c r="J272" i="150"/>
  <c r="E272" i="150"/>
  <c r="F272" i="150"/>
  <c r="C272" i="150"/>
  <c r="I273" i="150"/>
  <c r="D273" i="150"/>
  <c r="J273" i="150"/>
  <c r="E273" i="150"/>
  <c r="F273" i="150"/>
  <c r="C273" i="150"/>
  <c r="I274" i="150"/>
  <c r="D274" i="150"/>
  <c r="J274" i="150"/>
  <c r="E274" i="150"/>
  <c r="F274" i="150"/>
  <c r="C274" i="150"/>
  <c r="I275" i="150"/>
  <c r="D275" i="150"/>
  <c r="J275" i="150"/>
  <c r="E275" i="150"/>
  <c r="F275" i="150"/>
  <c r="C275" i="150"/>
  <c r="I276" i="150"/>
  <c r="D276" i="150"/>
  <c r="J276" i="150"/>
  <c r="E276" i="150"/>
  <c r="F276" i="150"/>
  <c r="C276" i="150"/>
  <c r="I277" i="150"/>
  <c r="D277" i="150"/>
  <c r="J277" i="150"/>
  <c r="E277" i="150"/>
  <c r="F277" i="150"/>
  <c r="C277" i="150"/>
  <c r="I278" i="150"/>
  <c r="D278" i="150"/>
  <c r="J278" i="150"/>
  <c r="E278" i="150"/>
  <c r="F278" i="150"/>
  <c r="C278" i="150"/>
  <c r="I279" i="150"/>
  <c r="D279" i="150"/>
  <c r="J279" i="150"/>
  <c r="E279" i="150"/>
  <c r="F279" i="150"/>
  <c r="C279" i="150"/>
  <c r="I280" i="150"/>
  <c r="D280" i="150"/>
  <c r="J280" i="150"/>
  <c r="E280" i="150"/>
  <c r="F280" i="150"/>
  <c r="C280" i="150"/>
  <c r="I281" i="150"/>
  <c r="D281" i="150"/>
  <c r="J281" i="150"/>
  <c r="E281" i="150"/>
  <c r="F281" i="150"/>
  <c r="C281" i="150"/>
  <c r="I282" i="150"/>
  <c r="D282" i="150"/>
  <c r="J282" i="150"/>
  <c r="E282" i="150"/>
  <c r="F282" i="150"/>
  <c r="C282" i="150"/>
  <c r="I283" i="150"/>
  <c r="D283" i="150"/>
  <c r="J283" i="150"/>
  <c r="E283" i="150"/>
  <c r="F283" i="150"/>
  <c r="C283" i="150"/>
  <c r="I284" i="150"/>
  <c r="D284" i="150"/>
  <c r="J284" i="150"/>
  <c r="E284" i="150"/>
  <c r="F284" i="150"/>
  <c r="C284" i="150"/>
  <c r="I285" i="150"/>
  <c r="D285" i="150"/>
  <c r="J285" i="150"/>
  <c r="E285" i="150"/>
  <c r="F285" i="150"/>
  <c r="C285" i="150"/>
  <c r="I286" i="150"/>
  <c r="D286" i="150"/>
  <c r="J286" i="150"/>
  <c r="E286" i="150"/>
  <c r="F286" i="150"/>
  <c r="C286" i="150"/>
  <c r="I287" i="150"/>
  <c r="D287" i="150"/>
  <c r="J287" i="150"/>
  <c r="E287" i="150"/>
  <c r="F287" i="150"/>
  <c r="C287" i="150"/>
  <c r="I288" i="150"/>
  <c r="D288" i="150"/>
  <c r="J288" i="150"/>
  <c r="E288" i="150"/>
  <c r="F288" i="150"/>
  <c r="C288" i="150"/>
  <c r="I289" i="150"/>
  <c r="D289" i="150"/>
  <c r="J289" i="150"/>
  <c r="E289" i="150"/>
  <c r="F289" i="150"/>
  <c r="C289" i="150"/>
  <c r="I290" i="150"/>
  <c r="D290" i="150"/>
  <c r="J290" i="150"/>
  <c r="E290" i="150"/>
  <c r="F290" i="150"/>
  <c r="C290" i="150"/>
  <c r="I291" i="150"/>
  <c r="D291" i="150"/>
  <c r="J291" i="150"/>
  <c r="E291" i="150"/>
  <c r="F291" i="150"/>
  <c r="C291" i="150"/>
  <c r="I292" i="150"/>
  <c r="D292" i="150"/>
  <c r="J292" i="150"/>
  <c r="E292" i="150"/>
  <c r="F292" i="150"/>
  <c r="C292" i="150"/>
  <c r="I293" i="150"/>
  <c r="D293" i="150"/>
  <c r="J293" i="150"/>
  <c r="E293" i="150"/>
  <c r="F293" i="150"/>
  <c r="C293" i="150"/>
  <c r="I294" i="150"/>
  <c r="D294" i="150"/>
  <c r="J294" i="150"/>
  <c r="E294" i="150"/>
  <c r="F294" i="150"/>
  <c r="C294" i="150"/>
  <c r="I295" i="150"/>
  <c r="D295" i="150"/>
  <c r="J295" i="150"/>
  <c r="E295" i="150"/>
  <c r="F295" i="150"/>
  <c r="C295" i="150"/>
  <c r="F8" i="149"/>
  <c r="E8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1" i="149"/>
  <c r="B41" i="149"/>
  <c r="E40" i="149"/>
  <c r="B40" i="149"/>
  <c r="E39" i="149"/>
  <c r="B39" i="149"/>
  <c r="F7" i="149"/>
  <c r="E7" i="149"/>
  <c r="E26" i="149"/>
  <c r="B26" i="149"/>
  <c r="E25" i="149"/>
  <c r="B25" i="149"/>
  <c r="E24" i="149"/>
  <c r="B24" i="149"/>
  <c r="F6" i="149"/>
  <c r="F5" i="149"/>
  <c r="I2" i="148"/>
  <c r="D2" i="148"/>
  <c r="J2" i="148"/>
  <c r="E2" i="148"/>
  <c r="F2" i="148"/>
  <c r="C2" i="148"/>
  <c r="I3" i="148"/>
  <c r="D3" i="148"/>
  <c r="J3" i="148"/>
  <c r="E3" i="148"/>
  <c r="F3" i="148"/>
  <c r="C3" i="148"/>
  <c r="I4" i="148"/>
  <c r="D4" i="148"/>
  <c r="J4" i="148"/>
  <c r="E4" i="148"/>
  <c r="F4" i="148"/>
  <c r="C4" i="148"/>
  <c r="I5" i="148"/>
  <c r="D5" i="148"/>
  <c r="J5" i="148"/>
  <c r="E5" i="148"/>
  <c r="F5" i="148"/>
  <c r="C5" i="148"/>
  <c r="I6" i="148"/>
  <c r="D6" i="148"/>
  <c r="J6" i="148"/>
  <c r="E6" i="148"/>
  <c r="F6" i="148"/>
  <c r="C6" i="148"/>
  <c r="I7" i="148"/>
  <c r="D7" i="148"/>
  <c r="J7" i="148"/>
  <c r="E7" i="148"/>
  <c r="F7" i="148"/>
  <c r="C7" i="148"/>
  <c r="I8" i="148"/>
  <c r="D8" i="148"/>
  <c r="J8" i="148"/>
  <c r="E8" i="148"/>
  <c r="F8" i="148"/>
  <c r="C8" i="148"/>
  <c r="I9" i="148"/>
  <c r="D9" i="148"/>
  <c r="J9" i="148"/>
  <c r="E9" i="148"/>
  <c r="F9" i="148"/>
  <c r="C9" i="148"/>
  <c r="I10" i="148"/>
  <c r="D10" i="148"/>
  <c r="J10" i="148"/>
  <c r="E10" i="148"/>
  <c r="F10" i="148"/>
  <c r="C10" i="148"/>
  <c r="I11" i="148"/>
  <c r="D11" i="148"/>
  <c r="J11" i="148"/>
  <c r="E11" i="148"/>
  <c r="F11" i="148"/>
  <c r="C11" i="148"/>
  <c r="I12" i="148"/>
  <c r="D12" i="148"/>
  <c r="J12" i="148"/>
  <c r="E12" i="148"/>
  <c r="F12" i="148"/>
  <c r="C12" i="148"/>
  <c r="I13" i="148"/>
  <c r="D13" i="148"/>
  <c r="J13" i="148"/>
  <c r="E13" i="148"/>
  <c r="F13" i="148"/>
  <c r="C13" i="148"/>
  <c r="I14" i="148"/>
  <c r="D14" i="148"/>
  <c r="J14" i="148"/>
  <c r="E14" i="148"/>
  <c r="F14" i="148"/>
  <c r="C14" i="148"/>
  <c r="I15" i="148"/>
  <c r="D15" i="148"/>
  <c r="J15" i="148"/>
  <c r="E15" i="148"/>
  <c r="F15" i="148"/>
  <c r="C15" i="148"/>
  <c r="I16" i="148"/>
  <c r="D16" i="148"/>
  <c r="J16" i="148"/>
  <c r="E16" i="148"/>
  <c r="F16" i="148"/>
  <c r="C16" i="148"/>
  <c r="I17" i="148"/>
  <c r="D17" i="148"/>
  <c r="J17" i="148"/>
  <c r="E17" i="148"/>
  <c r="F17" i="148"/>
  <c r="C17" i="148"/>
  <c r="I18" i="148"/>
  <c r="D18" i="148"/>
  <c r="J18" i="148"/>
  <c r="E18" i="148"/>
  <c r="F18" i="148"/>
  <c r="C18" i="148"/>
  <c r="I19" i="148"/>
  <c r="D19" i="148"/>
  <c r="J19" i="148"/>
  <c r="E19" i="148"/>
  <c r="F19" i="148"/>
  <c r="C19" i="148"/>
  <c r="I20" i="148"/>
  <c r="D20" i="148"/>
  <c r="J20" i="148"/>
  <c r="E20" i="148"/>
  <c r="F20" i="148"/>
  <c r="C20" i="148"/>
  <c r="I21" i="148"/>
  <c r="D21" i="148"/>
  <c r="J21" i="148"/>
  <c r="E21" i="148"/>
  <c r="F21" i="148"/>
  <c r="C21" i="148"/>
  <c r="I22" i="148"/>
  <c r="D22" i="148"/>
  <c r="J22" i="148"/>
  <c r="E22" i="148"/>
  <c r="F22" i="148"/>
  <c r="C22" i="148"/>
  <c r="I23" i="148"/>
  <c r="D23" i="148"/>
  <c r="J23" i="148"/>
  <c r="E23" i="148"/>
  <c r="F23" i="148"/>
  <c r="C23" i="148"/>
  <c r="I24" i="148"/>
  <c r="D24" i="148"/>
  <c r="J24" i="148"/>
  <c r="E24" i="148"/>
  <c r="F24" i="148"/>
  <c r="C24" i="148"/>
  <c r="I25" i="148"/>
  <c r="D25" i="148"/>
  <c r="J25" i="148"/>
  <c r="E25" i="148"/>
  <c r="F25" i="148"/>
  <c r="C25" i="148"/>
  <c r="I26" i="148"/>
  <c r="D26" i="148"/>
  <c r="J26" i="148"/>
  <c r="E26" i="148"/>
  <c r="F26" i="148"/>
  <c r="C26" i="148"/>
  <c r="I27" i="148"/>
  <c r="D27" i="148"/>
  <c r="J27" i="148"/>
  <c r="E27" i="148"/>
  <c r="F27" i="148"/>
  <c r="C27" i="148"/>
  <c r="I28" i="148"/>
  <c r="D28" i="148"/>
  <c r="J28" i="148"/>
  <c r="E28" i="148"/>
  <c r="F28" i="148"/>
  <c r="C28" i="148"/>
  <c r="I29" i="148"/>
  <c r="D29" i="148"/>
  <c r="J29" i="148"/>
  <c r="E29" i="148"/>
  <c r="F29" i="148"/>
  <c r="C29" i="148"/>
  <c r="I30" i="148"/>
  <c r="D30" i="148"/>
  <c r="J30" i="148"/>
  <c r="E30" i="148"/>
  <c r="F30" i="148"/>
  <c r="C30" i="148"/>
  <c r="I31" i="148"/>
  <c r="D31" i="148"/>
  <c r="J31" i="148"/>
  <c r="E31" i="148"/>
  <c r="F31" i="148"/>
  <c r="C31" i="148"/>
  <c r="I32" i="148"/>
  <c r="D32" i="148"/>
  <c r="J32" i="148"/>
  <c r="E32" i="148"/>
  <c r="F32" i="148"/>
  <c r="C32" i="148"/>
  <c r="I33" i="148"/>
  <c r="D33" i="148"/>
  <c r="J33" i="148"/>
  <c r="E33" i="148"/>
  <c r="F33" i="148"/>
  <c r="C33" i="148"/>
  <c r="I34" i="148"/>
  <c r="D34" i="148"/>
  <c r="J34" i="148"/>
  <c r="E34" i="148"/>
  <c r="F34" i="148"/>
  <c r="C34" i="148"/>
  <c r="I35" i="148"/>
  <c r="D35" i="148"/>
  <c r="J35" i="148"/>
  <c r="E35" i="148"/>
  <c r="F35" i="148"/>
  <c r="C35" i="148"/>
  <c r="I36" i="148"/>
  <c r="D36" i="148"/>
  <c r="J36" i="148"/>
  <c r="E36" i="148"/>
  <c r="F36" i="148"/>
  <c r="C36" i="148"/>
  <c r="I37" i="148"/>
  <c r="D37" i="148"/>
  <c r="J37" i="148"/>
  <c r="E37" i="148"/>
  <c r="F37" i="148"/>
  <c r="C37" i="148"/>
  <c r="I38" i="148"/>
  <c r="D38" i="148"/>
  <c r="J38" i="148"/>
  <c r="E38" i="148"/>
  <c r="F38" i="148"/>
  <c r="C38" i="148"/>
  <c r="I39" i="148"/>
  <c r="D39" i="148"/>
  <c r="J39" i="148"/>
  <c r="E39" i="148"/>
  <c r="F39" i="148"/>
  <c r="C39" i="148"/>
  <c r="I40" i="148"/>
  <c r="D40" i="148"/>
  <c r="J40" i="148"/>
  <c r="E40" i="148"/>
  <c r="F40" i="148"/>
  <c r="C40" i="148"/>
  <c r="I41" i="148"/>
  <c r="D41" i="148"/>
  <c r="J41" i="148"/>
  <c r="E41" i="148"/>
  <c r="F41" i="148"/>
  <c r="C41" i="148"/>
  <c r="I42" i="148"/>
  <c r="D42" i="148"/>
  <c r="J42" i="148"/>
  <c r="E42" i="148"/>
  <c r="F42" i="148"/>
  <c r="C42" i="148"/>
  <c r="I43" i="148"/>
  <c r="D43" i="148"/>
  <c r="J43" i="148"/>
  <c r="E43" i="148"/>
  <c r="F43" i="148"/>
  <c r="C43" i="148"/>
  <c r="I44" i="148"/>
  <c r="D44" i="148"/>
  <c r="J44" i="148"/>
  <c r="E44" i="148"/>
  <c r="F44" i="148"/>
  <c r="C44" i="148"/>
  <c r="I45" i="148"/>
  <c r="D45" i="148"/>
  <c r="J45" i="148"/>
  <c r="E45" i="148"/>
  <c r="F45" i="148"/>
  <c r="C45" i="148"/>
  <c r="I46" i="148"/>
  <c r="D46" i="148"/>
  <c r="J46" i="148"/>
  <c r="E46" i="148"/>
  <c r="F46" i="148"/>
  <c r="C46" i="148"/>
  <c r="I47" i="148"/>
  <c r="D47" i="148"/>
  <c r="J47" i="148"/>
  <c r="E47" i="148"/>
  <c r="F47" i="148"/>
  <c r="C47" i="148"/>
  <c r="I48" i="148"/>
  <c r="D48" i="148"/>
  <c r="J48" i="148"/>
  <c r="E48" i="148"/>
  <c r="F48" i="148"/>
  <c r="C48" i="148"/>
  <c r="I49" i="148"/>
  <c r="D49" i="148"/>
  <c r="J49" i="148"/>
  <c r="E49" i="148"/>
  <c r="F49" i="148"/>
  <c r="C49" i="148"/>
  <c r="I50" i="148"/>
  <c r="D50" i="148"/>
  <c r="J50" i="148"/>
  <c r="E50" i="148"/>
  <c r="F50" i="148"/>
  <c r="C50" i="148"/>
  <c r="I51" i="148"/>
  <c r="D51" i="148"/>
  <c r="J51" i="148"/>
  <c r="E51" i="148"/>
  <c r="F51" i="148"/>
  <c r="C51" i="148"/>
  <c r="I52" i="148"/>
  <c r="D52" i="148"/>
  <c r="J52" i="148"/>
  <c r="E52" i="148"/>
  <c r="F52" i="148"/>
  <c r="C52" i="148"/>
  <c r="I53" i="148"/>
  <c r="D53" i="148"/>
  <c r="J53" i="148"/>
  <c r="E53" i="148"/>
  <c r="F53" i="148"/>
  <c r="C53" i="148"/>
  <c r="I54" i="148"/>
  <c r="D54" i="148"/>
  <c r="J54" i="148"/>
  <c r="E54" i="148"/>
  <c r="F54" i="148"/>
  <c r="C54" i="148"/>
  <c r="I55" i="148"/>
  <c r="D55" i="148"/>
  <c r="J55" i="148"/>
  <c r="E55" i="148"/>
  <c r="F55" i="148"/>
  <c r="C55" i="148"/>
  <c r="I56" i="148"/>
  <c r="D56" i="148"/>
  <c r="J56" i="148"/>
  <c r="E56" i="148"/>
  <c r="F56" i="148"/>
  <c r="C56" i="148"/>
  <c r="I57" i="148"/>
  <c r="D57" i="148"/>
  <c r="J57" i="148"/>
  <c r="E57" i="148"/>
  <c r="F57" i="148"/>
  <c r="C57" i="148"/>
  <c r="I58" i="148"/>
  <c r="D58" i="148"/>
  <c r="J58" i="148"/>
  <c r="E58" i="148"/>
  <c r="F58" i="148"/>
  <c r="C58" i="148"/>
  <c r="I59" i="148"/>
  <c r="D59" i="148"/>
  <c r="J59" i="148"/>
  <c r="E59" i="148"/>
  <c r="F59" i="148"/>
  <c r="C59" i="148"/>
  <c r="I60" i="148"/>
  <c r="D60" i="148"/>
  <c r="J60" i="148"/>
  <c r="E60" i="148"/>
  <c r="F60" i="148"/>
  <c r="C60" i="148"/>
  <c r="I61" i="148"/>
  <c r="D61" i="148"/>
  <c r="J61" i="148"/>
  <c r="E61" i="148"/>
  <c r="F61" i="148"/>
  <c r="C61" i="148"/>
  <c r="I62" i="148"/>
  <c r="D62" i="148"/>
  <c r="J62" i="148"/>
  <c r="E62" i="148"/>
  <c r="F62" i="148"/>
  <c r="C62" i="148"/>
  <c r="I63" i="148"/>
  <c r="D63" i="148"/>
  <c r="J63" i="148"/>
  <c r="E63" i="148"/>
  <c r="F63" i="148"/>
  <c r="C63" i="148"/>
  <c r="I64" i="148"/>
  <c r="D64" i="148"/>
  <c r="J64" i="148"/>
  <c r="E64" i="148"/>
  <c r="F64" i="148"/>
  <c r="C64" i="148"/>
  <c r="I65" i="148"/>
  <c r="D65" i="148"/>
  <c r="J65" i="148"/>
  <c r="E65" i="148"/>
  <c r="F65" i="148"/>
  <c r="C65" i="148"/>
  <c r="I66" i="148"/>
  <c r="D66" i="148"/>
  <c r="J66" i="148"/>
  <c r="E66" i="148"/>
  <c r="F66" i="148"/>
  <c r="C66" i="148"/>
  <c r="I67" i="148"/>
  <c r="D67" i="148"/>
  <c r="J67" i="148"/>
  <c r="E67" i="148"/>
  <c r="F67" i="148"/>
  <c r="C67" i="148"/>
  <c r="I68" i="148"/>
  <c r="D68" i="148"/>
  <c r="J68" i="148"/>
  <c r="E68" i="148"/>
  <c r="F68" i="148"/>
  <c r="C68" i="148"/>
  <c r="I69" i="148"/>
  <c r="D69" i="148"/>
  <c r="J69" i="148"/>
  <c r="E69" i="148"/>
  <c r="F69" i="148"/>
  <c r="C69" i="148"/>
  <c r="I70" i="148"/>
  <c r="D70" i="148"/>
  <c r="J70" i="148"/>
  <c r="E70" i="148"/>
  <c r="F70" i="148"/>
  <c r="C70" i="148"/>
  <c r="I71" i="148"/>
  <c r="D71" i="148"/>
  <c r="J71" i="148"/>
  <c r="E71" i="148"/>
  <c r="F71" i="148"/>
  <c r="C71" i="148"/>
  <c r="I72" i="148"/>
  <c r="D72" i="148"/>
  <c r="J72" i="148"/>
  <c r="E72" i="148"/>
  <c r="F72" i="148"/>
  <c r="C72" i="148"/>
  <c r="I73" i="148"/>
  <c r="D73" i="148"/>
  <c r="J73" i="148"/>
  <c r="E73" i="148"/>
  <c r="F73" i="148"/>
  <c r="C73" i="148"/>
  <c r="I74" i="148"/>
  <c r="D74" i="148"/>
  <c r="J74" i="148"/>
  <c r="E74" i="148"/>
  <c r="F74" i="148"/>
  <c r="C74" i="148"/>
  <c r="I75" i="148"/>
  <c r="D75" i="148"/>
  <c r="J75" i="148"/>
  <c r="E75" i="148"/>
  <c r="F75" i="148"/>
  <c r="C75" i="148"/>
  <c r="I76" i="148"/>
  <c r="D76" i="148"/>
  <c r="J76" i="148"/>
  <c r="E76" i="148"/>
  <c r="F76" i="148"/>
  <c r="C76" i="148"/>
  <c r="I77" i="148"/>
  <c r="D77" i="148"/>
  <c r="J77" i="148"/>
  <c r="E77" i="148"/>
  <c r="F77" i="148"/>
  <c r="C77" i="148"/>
  <c r="I78" i="148"/>
  <c r="D78" i="148"/>
  <c r="J78" i="148"/>
  <c r="E78" i="148"/>
  <c r="F78" i="148"/>
  <c r="C78" i="148"/>
  <c r="I79" i="148"/>
  <c r="D79" i="148"/>
  <c r="J79" i="148"/>
  <c r="E79" i="148"/>
  <c r="F79" i="148"/>
  <c r="C79" i="148"/>
  <c r="I80" i="148"/>
  <c r="D80" i="148"/>
  <c r="J80" i="148"/>
  <c r="E80" i="148"/>
  <c r="F80" i="148"/>
  <c r="C80" i="148"/>
  <c r="I81" i="148"/>
  <c r="D81" i="148"/>
  <c r="J81" i="148"/>
  <c r="E81" i="148"/>
  <c r="F81" i="148"/>
  <c r="C81" i="148"/>
  <c r="I82" i="148"/>
  <c r="D82" i="148"/>
  <c r="J82" i="148"/>
  <c r="E82" i="148"/>
  <c r="F82" i="148"/>
  <c r="C82" i="148"/>
  <c r="I83" i="148"/>
  <c r="D83" i="148"/>
  <c r="J83" i="148"/>
  <c r="E83" i="148"/>
  <c r="F83" i="148"/>
  <c r="C83" i="148"/>
  <c r="I84" i="148"/>
  <c r="D84" i="148"/>
  <c r="J84" i="148"/>
  <c r="E84" i="148"/>
  <c r="F84" i="148"/>
  <c r="C84" i="148"/>
  <c r="I85" i="148"/>
  <c r="D85" i="148"/>
  <c r="J85" i="148"/>
  <c r="E85" i="148"/>
  <c r="F85" i="148"/>
  <c r="C85" i="148"/>
  <c r="I86" i="148"/>
  <c r="D86" i="148"/>
  <c r="J86" i="148"/>
  <c r="E86" i="148"/>
  <c r="F86" i="148"/>
  <c r="C86" i="148"/>
  <c r="I87" i="148"/>
  <c r="D87" i="148"/>
  <c r="J87" i="148"/>
  <c r="E87" i="148"/>
  <c r="F87" i="148"/>
  <c r="C87" i="148"/>
  <c r="I88" i="148"/>
  <c r="D88" i="148"/>
  <c r="J88" i="148"/>
  <c r="E88" i="148"/>
  <c r="F88" i="148"/>
  <c r="C88" i="148"/>
  <c r="I89" i="148"/>
  <c r="D89" i="148"/>
  <c r="J89" i="148"/>
  <c r="E89" i="148"/>
  <c r="F89" i="148"/>
  <c r="C89" i="148"/>
  <c r="I90" i="148"/>
  <c r="D90" i="148"/>
  <c r="J90" i="148"/>
  <c r="E90" i="148"/>
  <c r="F90" i="148"/>
  <c r="C90" i="148"/>
  <c r="I91" i="148"/>
  <c r="D91" i="148"/>
  <c r="J91" i="148"/>
  <c r="E91" i="148"/>
  <c r="F91" i="148"/>
  <c r="C91" i="148"/>
  <c r="I92" i="148"/>
  <c r="D92" i="148"/>
  <c r="J92" i="148"/>
  <c r="E92" i="148"/>
  <c r="F92" i="148"/>
  <c r="C92" i="148"/>
  <c r="I93" i="148"/>
  <c r="D93" i="148"/>
  <c r="J93" i="148"/>
  <c r="E93" i="148"/>
  <c r="F93" i="148"/>
  <c r="C93" i="148"/>
  <c r="I94" i="148"/>
  <c r="D94" i="148"/>
  <c r="J94" i="148"/>
  <c r="E94" i="148"/>
  <c r="F94" i="148"/>
  <c r="C94" i="148"/>
  <c r="I95" i="148"/>
  <c r="D95" i="148"/>
  <c r="J95" i="148"/>
  <c r="E95" i="148"/>
  <c r="F95" i="148"/>
  <c r="C95" i="148"/>
  <c r="I96" i="148"/>
  <c r="D96" i="148"/>
  <c r="J96" i="148"/>
  <c r="E96" i="148"/>
  <c r="F96" i="148"/>
  <c r="C96" i="148"/>
  <c r="I97" i="148"/>
  <c r="D97" i="148"/>
  <c r="J97" i="148"/>
  <c r="E97" i="148"/>
  <c r="F97" i="148"/>
  <c r="C97" i="148"/>
  <c r="I98" i="148"/>
  <c r="D98" i="148"/>
  <c r="J98" i="148"/>
  <c r="E98" i="148"/>
  <c r="F98" i="148"/>
  <c r="C98" i="148"/>
  <c r="I99" i="148"/>
  <c r="D99" i="148"/>
  <c r="J99" i="148"/>
  <c r="E99" i="148"/>
  <c r="F99" i="148"/>
  <c r="C99" i="148"/>
  <c r="I100" i="148"/>
  <c r="D100" i="148"/>
  <c r="J100" i="148"/>
  <c r="E100" i="148"/>
  <c r="F100" i="148"/>
  <c r="C100" i="148"/>
  <c r="I101" i="148"/>
  <c r="D101" i="148"/>
  <c r="J101" i="148"/>
  <c r="E101" i="148"/>
  <c r="F101" i="148"/>
  <c r="C101" i="148"/>
  <c r="I102" i="148"/>
  <c r="D102" i="148"/>
  <c r="J102" i="148"/>
  <c r="E102" i="148"/>
  <c r="F102" i="148"/>
  <c r="C102" i="148"/>
  <c r="I103" i="148"/>
  <c r="D103" i="148"/>
  <c r="J103" i="148"/>
  <c r="E103" i="148"/>
  <c r="F103" i="148"/>
  <c r="C103" i="148"/>
  <c r="I104" i="148"/>
  <c r="D104" i="148"/>
  <c r="J104" i="148"/>
  <c r="E104" i="148"/>
  <c r="F104" i="148"/>
  <c r="C104" i="148"/>
  <c r="I105" i="148"/>
  <c r="D105" i="148"/>
  <c r="J105" i="148"/>
  <c r="E105" i="148"/>
  <c r="F105" i="148"/>
  <c r="C105" i="148"/>
  <c r="I106" i="148"/>
  <c r="D106" i="148"/>
  <c r="J106" i="148"/>
  <c r="E106" i="148"/>
  <c r="F106" i="148"/>
  <c r="C106" i="148"/>
  <c r="I107" i="148"/>
  <c r="D107" i="148"/>
  <c r="J107" i="148"/>
  <c r="E107" i="148"/>
  <c r="F107" i="148"/>
  <c r="C107" i="148"/>
  <c r="I108" i="148"/>
  <c r="D108" i="148"/>
  <c r="J108" i="148"/>
  <c r="E108" i="148"/>
  <c r="F108" i="148"/>
  <c r="C108" i="148"/>
  <c r="I109" i="148"/>
  <c r="D109" i="148"/>
  <c r="J109" i="148"/>
  <c r="E109" i="148"/>
  <c r="F109" i="148"/>
  <c r="C109" i="148"/>
  <c r="I110" i="148"/>
  <c r="D110" i="148"/>
  <c r="J110" i="148"/>
  <c r="E110" i="148"/>
  <c r="F110" i="148"/>
  <c r="C110" i="148"/>
  <c r="I111" i="148"/>
  <c r="D111" i="148"/>
  <c r="J111" i="148"/>
  <c r="E111" i="148"/>
  <c r="F111" i="148"/>
  <c r="C111" i="148"/>
  <c r="I112" i="148"/>
  <c r="D112" i="148"/>
  <c r="J112" i="148"/>
  <c r="E112" i="148"/>
  <c r="F112" i="148"/>
  <c r="C112" i="148"/>
  <c r="I113" i="148"/>
  <c r="D113" i="148"/>
  <c r="J113" i="148"/>
  <c r="E113" i="148"/>
  <c r="F113" i="148"/>
  <c r="C113" i="148"/>
  <c r="I114" i="148"/>
  <c r="D114" i="148"/>
  <c r="J114" i="148"/>
  <c r="E114" i="148"/>
  <c r="F114" i="148"/>
  <c r="C114" i="148"/>
  <c r="I115" i="148"/>
  <c r="D115" i="148"/>
  <c r="J115" i="148"/>
  <c r="E115" i="148"/>
  <c r="F115" i="148"/>
  <c r="C115" i="148"/>
  <c r="I116" i="148"/>
  <c r="D116" i="148"/>
  <c r="J116" i="148"/>
  <c r="E116" i="148"/>
  <c r="F116" i="148"/>
  <c r="C116" i="148"/>
  <c r="I117" i="148"/>
  <c r="D117" i="148"/>
  <c r="J117" i="148"/>
  <c r="E117" i="148"/>
  <c r="F117" i="148"/>
  <c r="C117" i="148"/>
  <c r="I118" i="148"/>
  <c r="D118" i="148"/>
  <c r="J118" i="148"/>
  <c r="E118" i="148"/>
  <c r="F118" i="148"/>
  <c r="C118" i="148"/>
  <c r="I119" i="148"/>
  <c r="D119" i="148"/>
  <c r="J119" i="148"/>
  <c r="E119" i="148"/>
  <c r="F119" i="148"/>
  <c r="C119" i="148"/>
  <c r="I120" i="148"/>
  <c r="D120" i="148"/>
  <c r="J120" i="148"/>
  <c r="E120" i="148"/>
  <c r="F120" i="148"/>
  <c r="C120" i="148"/>
  <c r="I121" i="148"/>
  <c r="D121" i="148"/>
  <c r="J121" i="148"/>
  <c r="E121" i="148"/>
  <c r="F121" i="148"/>
  <c r="C121" i="148"/>
  <c r="I122" i="148"/>
  <c r="D122" i="148"/>
  <c r="J122" i="148"/>
  <c r="E122" i="148"/>
  <c r="F122" i="148"/>
  <c r="C122" i="148"/>
  <c r="I123" i="148"/>
  <c r="D123" i="148"/>
  <c r="J123" i="148"/>
  <c r="E123" i="148"/>
  <c r="F123" i="148"/>
  <c r="C123" i="148"/>
  <c r="I124" i="148"/>
  <c r="D124" i="148"/>
  <c r="J124" i="148"/>
  <c r="E124" i="148"/>
  <c r="F124" i="148"/>
  <c r="C124" i="148"/>
  <c r="I125" i="148"/>
  <c r="D125" i="148"/>
  <c r="J125" i="148"/>
  <c r="E125" i="148"/>
  <c r="F125" i="148"/>
  <c r="C125" i="148"/>
  <c r="I126" i="148"/>
  <c r="D126" i="148"/>
  <c r="J126" i="148"/>
  <c r="E126" i="148"/>
  <c r="F126" i="148"/>
  <c r="C126" i="148"/>
  <c r="I127" i="148"/>
  <c r="D127" i="148"/>
  <c r="J127" i="148"/>
  <c r="E127" i="148"/>
  <c r="F127" i="148"/>
  <c r="C127" i="148"/>
  <c r="I128" i="148"/>
  <c r="D128" i="148"/>
  <c r="J128" i="148"/>
  <c r="E128" i="148"/>
  <c r="F128" i="148"/>
  <c r="C128" i="148"/>
  <c r="I129" i="148"/>
  <c r="D129" i="148"/>
  <c r="J129" i="148"/>
  <c r="E129" i="148"/>
  <c r="F129" i="148"/>
  <c r="C129" i="148"/>
  <c r="I130" i="148"/>
  <c r="D130" i="148"/>
  <c r="J130" i="148"/>
  <c r="E130" i="148"/>
  <c r="F130" i="148"/>
  <c r="C130" i="148"/>
  <c r="I131" i="148"/>
  <c r="D131" i="148"/>
  <c r="J131" i="148"/>
  <c r="E131" i="148"/>
  <c r="F131" i="148"/>
  <c r="C131" i="148"/>
  <c r="I132" i="148"/>
  <c r="D132" i="148"/>
  <c r="J132" i="148"/>
  <c r="E132" i="148"/>
  <c r="F132" i="148"/>
  <c r="C132" i="148"/>
  <c r="I133" i="148"/>
  <c r="D133" i="148"/>
  <c r="J133" i="148"/>
  <c r="E133" i="148"/>
  <c r="F133" i="148"/>
  <c r="C133" i="148"/>
  <c r="I134" i="148"/>
  <c r="D134" i="148"/>
  <c r="J134" i="148"/>
  <c r="E134" i="148"/>
  <c r="F134" i="148"/>
  <c r="C134" i="148"/>
  <c r="I135" i="148"/>
  <c r="D135" i="148"/>
  <c r="J135" i="148"/>
  <c r="E135" i="148"/>
  <c r="F135" i="148"/>
  <c r="C135" i="148"/>
  <c r="I136" i="148"/>
  <c r="D136" i="148"/>
  <c r="J136" i="148"/>
  <c r="E136" i="148"/>
  <c r="F136" i="148"/>
  <c r="C136" i="148"/>
  <c r="I137" i="148"/>
  <c r="D137" i="148"/>
  <c r="J137" i="148"/>
  <c r="E137" i="148"/>
  <c r="F137" i="148"/>
  <c r="C137" i="148"/>
  <c r="I138" i="148"/>
  <c r="D138" i="148"/>
  <c r="J138" i="148"/>
  <c r="E138" i="148"/>
  <c r="F138" i="148"/>
  <c r="C138" i="148"/>
  <c r="I139" i="148"/>
  <c r="D139" i="148"/>
  <c r="J139" i="148"/>
  <c r="E139" i="148"/>
  <c r="F139" i="148"/>
  <c r="C139" i="148"/>
  <c r="I140" i="148"/>
  <c r="D140" i="148"/>
  <c r="J140" i="148"/>
  <c r="E140" i="148"/>
  <c r="F140" i="148"/>
  <c r="C140" i="148"/>
  <c r="I141" i="148"/>
  <c r="D141" i="148"/>
  <c r="J141" i="148"/>
  <c r="E141" i="148"/>
  <c r="F141" i="148"/>
  <c r="C141" i="148"/>
  <c r="I142" i="148"/>
  <c r="D142" i="148"/>
  <c r="J142" i="148"/>
  <c r="E142" i="148"/>
  <c r="F142" i="148"/>
  <c r="C142" i="148"/>
  <c r="I143" i="148"/>
  <c r="D143" i="148"/>
  <c r="J143" i="148"/>
  <c r="E143" i="148"/>
  <c r="F143" i="148"/>
  <c r="C143" i="148"/>
  <c r="I144" i="148"/>
  <c r="D144" i="148"/>
  <c r="J144" i="148"/>
  <c r="E144" i="148"/>
  <c r="F144" i="148"/>
  <c r="C144" i="148"/>
  <c r="I145" i="148"/>
  <c r="D145" i="148"/>
  <c r="J145" i="148"/>
  <c r="E145" i="148"/>
  <c r="F145" i="148"/>
  <c r="C145" i="148"/>
  <c r="I146" i="148"/>
  <c r="D146" i="148"/>
  <c r="J146" i="148"/>
  <c r="E146" i="148"/>
  <c r="F146" i="148"/>
  <c r="C146" i="148"/>
  <c r="I147" i="148"/>
  <c r="D147" i="148"/>
  <c r="J147" i="148"/>
  <c r="E147" i="148"/>
  <c r="F147" i="148"/>
  <c r="C147" i="148"/>
  <c r="I148" i="148"/>
  <c r="D148" i="148"/>
  <c r="J148" i="148"/>
  <c r="E148" i="148"/>
  <c r="F148" i="148"/>
  <c r="C148" i="148"/>
  <c r="I149" i="148"/>
  <c r="D149" i="148"/>
  <c r="J149" i="148"/>
  <c r="E149" i="148"/>
  <c r="F149" i="148"/>
  <c r="C149" i="148"/>
  <c r="I150" i="148"/>
  <c r="D150" i="148"/>
  <c r="J150" i="148"/>
  <c r="E150" i="148"/>
  <c r="F150" i="148"/>
  <c r="C150" i="148"/>
  <c r="I151" i="148"/>
  <c r="D151" i="148"/>
  <c r="J151" i="148"/>
  <c r="E151" i="148"/>
  <c r="F151" i="148"/>
  <c r="C151" i="148"/>
  <c r="I152" i="148"/>
  <c r="D152" i="148"/>
  <c r="J152" i="148"/>
  <c r="E152" i="148"/>
  <c r="F152" i="148"/>
  <c r="C152" i="148"/>
  <c r="I153" i="148"/>
  <c r="D153" i="148"/>
  <c r="J153" i="148"/>
  <c r="E153" i="148"/>
  <c r="F153" i="148"/>
  <c r="C153" i="148"/>
  <c r="I154" i="148"/>
  <c r="D154" i="148"/>
  <c r="J154" i="148"/>
  <c r="E154" i="148"/>
  <c r="F154" i="148"/>
  <c r="C154" i="148"/>
  <c r="I155" i="148"/>
  <c r="D155" i="148"/>
  <c r="J155" i="148"/>
  <c r="E155" i="148"/>
  <c r="F155" i="148"/>
  <c r="C155" i="148"/>
  <c r="I156" i="148"/>
  <c r="D156" i="148"/>
  <c r="J156" i="148"/>
  <c r="E156" i="148"/>
  <c r="F156" i="148"/>
  <c r="C156" i="148"/>
  <c r="I157" i="148"/>
  <c r="D157" i="148"/>
  <c r="J157" i="148"/>
  <c r="E157" i="148"/>
  <c r="F157" i="148"/>
  <c r="C157" i="148"/>
  <c r="I158" i="148"/>
  <c r="D158" i="148"/>
  <c r="J158" i="148"/>
  <c r="E158" i="148"/>
  <c r="F158" i="148"/>
  <c r="C158" i="148"/>
  <c r="I159" i="148"/>
  <c r="D159" i="148"/>
  <c r="J159" i="148"/>
  <c r="E159" i="148"/>
  <c r="F159" i="148"/>
  <c r="C159" i="148"/>
  <c r="I160" i="148"/>
  <c r="D160" i="148"/>
  <c r="J160" i="148"/>
  <c r="E160" i="148"/>
  <c r="F160" i="148"/>
  <c r="C160" i="148"/>
  <c r="I161" i="148"/>
  <c r="D161" i="148"/>
  <c r="J161" i="148"/>
  <c r="E161" i="148"/>
  <c r="F161" i="148"/>
  <c r="C161" i="148"/>
  <c r="I162" i="148"/>
  <c r="D162" i="148"/>
  <c r="J162" i="148"/>
  <c r="E162" i="148"/>
  <c r="F162" i="148"/>
  <c r="C162" i="148"/>
  <c r="I163" i="148"/>
  <c r="D163" i="148"/>
  <c r="J163" i="148"/>
  <c r="E163" i="148"/>
  <c r="F163" i="148"/>
  <c r="C163" i="148"/>
  <c r="I164" i="148"/>
  <c r="D164" i="148"/>
  <c r="J164" i="148"/>
  <c r="E164" i="148"/>
  <c r="F164" i="148"/>
  <c r="C164" i="148"/>
  <c r="I165" i="148"/>
  <c r="D165" i="148"/>
  <c r="J165" i="148"/>
  <c r="E165" i="148"/>
  <c r="F165" i="148"/>
  <c r="C165" i="148"/>
  <c r="I166" i="148"/>
  <c r="D166" i="148"/>
  <c r="J166" i="148"/>
  <c r="E166" i="148"/>
  <c r="F166" i="148"/>
  <c r="C166" i="148"/>
  <c r="I167" i="148"/>
  <c r="D167" i="148"/>
  <c r="J167" i="148"/>
  <c r="E167" i="148"/>
  <c r="F167" i="148"/>
  <c r="C167" i="148"/>
  <c r="I168" i="148"/>
  <c r="D168" i="148"/>
  <c r="J168" i="148"/>
  <c r="E168" i="148"/>
  <c r="F168" i="148"/>
  <c r="C168" i="148"/>
  <c r="I169" i="148"/>
  <c r="D169" i="148"/>
  <c r="J169" i="148"/>
  <c r="E169" i="148"/>
  <c r="F169" i="148"/>
  <c r="C169" i="148"/>
  <c r="I170" i="148"/>
  <c r="D170" i="148"/>
  <c r="J170" i="148"/>
  <c r="E170" i="148"/>
  <c r="F170" i="148"/>
  <c r="C170" i="148"/>
  <c r="I171" i="148"/>
  <c r="D171" i="148"/>
  <c r="J171" i="148"/>
  <c r="E171" i="148"/>
  <c r="F171" i="148"/>
  <c r="C171" i="148"/>
  <c r="I172" i="148"/>
  <c r="D172" i="148"/>
  <c r="J172" i="148"/>
  <c r="E172" i="148"/>
  <c r="F172" i="148"/>
  <c r="C172" i="148"/>
  <c r="I173" i="148"/>
  <c r="D173" i="148"/>
  <c r="J173" i="148"/>
  <c r="E173" i="148"/>
  <c r="F173" i="148"/>
  <c r="C173" i="148"/>
  <c r="I174" i="148"/>
  <c r="D174" i="148"/>
  <c r="J174" i="148"/>
  <c r="E174" i="148"/>
  <c r="F174" i="148"/>
  <c r="C174" i="148"/>
  <c r="I175" i="148"/>
  <c r="D175" i="148"/>
  <c r="J175" i="148"/>
  <c r="E175" i="148"/>
  <c r="F175" i="148"/>
  <c r="C175" i="148"/>
  <c r="I176" i="148"/>
  <c r="D176" i="148"/>
  <c r="J176" i="148"/>
  <c r="E176" i="148"/>
  <c r="F176" i="148"/>
  <c r="C176" i="148"/>
  <c r="I177" i="148"/>
  <c r="D177" i="148"/>
  <c r="J177" i="148"/>
  <c r="E177" i="148"/>
  <c r="F177" i="148"/>
  <c r="C177" i="148"/>
  <c r="I178" i="148"/>
  <c r="D178" i="148"/>
  <c r="J178" i="148"/>
  <c r="E178" i="148"/>
  <c r="F178" i="148"/>
  <c r="C178" i="148"/>
  <c r="I179" i="148"/>
  <c r="D179" i="148"/>
  <c r="J179" i="148"/>
  <c r="E179" i="148"/>
  <c r="F179" i="148"/>
  <c r="C179" i="148"/>
  <c r="I180" i="148"/>
  <c r="D180" i="148"/>
  <c r="J180" i="148"/>
  <c r="E180" i="148"/>
  <c r="F180" i="148"/>
  <c r="C180" i="148"/>
  <c r="I181" i="148"/>
  <c r="D181" i="148"/>
  <c r="J181" i="148"/>
  <c r="E181" i="148"/>
  <c r="F181" i="148"/>
  <c r="C181" i="148"/>
  <c r="I182" i="148"/>
  <c r="D182" i="148"/>
  <c r="J182" i="148"/>
  <c r="E182" i="148"/>
  <c r="F182" i="148"/>
  <c r="C182" i="148"/>
  <c r="I183" i="148"/>
  <c r="D183" i="148"/>
  <c r="J183" i="148"/>
  <c r="E183" i="148"/>
  <c r="F183" i="148"/>
  <c r="C183" i="148"/>
  <c r="I184" i="148"/>
  <c r="D184" i="148"/>
  <c r="J184" i="148"/>
  <c r="E184" i="148"/>
  <c r="F184" i="148"/>
  <c r="C184" i="148"/>
  <c r="I185" i="148"/>
  <c r="D185" i="148"/>
  <c r="J185" i="148"/>
  <c r="E185" i="148"/>
  <c r="F185" i="148"/>
  <c r="C185" i="148"/>
  <c r="I186" i="148"/>
  <c r="D186" i="148"/>
  <c r="J186" i="148"/>
  <c r="E186" i="148"/>
  <c r="F186" i="148"/>
  <c r="C186" i="148"/>
  <c r="I187" i="148"/>
  <c r="D187" i="148"/>
  <c r="J187" i="148"/>
  <c r="E187" i="148"/>
  <c r="F187" i="148"/>
  <c r="C187" i="148"/>
  <c r="I188" i="148"/>
  <c r="D188" i="148"/>
  <c r="J188" i="148"/>
  <c r="E188" i="148"/>
  <c r="F188" i="148"/>
  <c r="C188" i="148"/>
  <c r="I189" i="148"/>
  <c r="D189" i="148"/>
  <c r="J189" i="148"/>
  <c r="E189" i="148"/>
  <c r="F189" i="148"/>
  <c r="C189" i="148"/>
  <c r="I190" i="148"/>
  <c r="D190" i="148"/>
  <c r="J190" i="148"/>
  <c r="E190" i="148"/>
  <c r="F190" i="148"/>
  <c r="C190" i="148"/>
  <c r="I191" i="148"/>
  <c r="D191" i="148"/>
  <c r="J191" i="148"/>
  <c r="E191" i="148"/>
  <c r="F191" i="148"/>
  <c r="C191" i="148"/>
  <c r="I192" i="148"/>
  <c r="D192" i="148"/>
  <c r="J192" i="148"/>
  <c r="E192" i="148"/>
  <c r="F192" i="148"/>
  <c r="C192" i="148"/>
  <c r="I193" i="148"/>
  <c r="D193" i="148"/>
  <c r="J193" i="148"/>
  <c r="E193" i="148"/>
  <c r="F193" i="148"/>
  <c r="C193" i="148"/>
  <c r="I194" i="148"/>
  <c r="D194" i="148"/>
  <c r="J194" i="148"/>
  <c r="E194" i="148"/>
  <c r="F194" i="148"/>
  <c r="C194" i="148"/>
  <c r="I195" i="148"/>
  <c r="D195" i="148"/>
  <c r="J195" i="148"/>
  <c r="E195" i="148"/>
  <c r="F195" i="148"/>
  <c r="C195" i="148"/>
  <c r="I196" i="148"/>
  <c r="D196" i="148"/>
  <c r="J196" i="148"/>
  <c r="E196" i="148"/>
  <c r="F196" i="148"/>
  <c r="C196" i="148"/>
  <c r="I197" i="148"/>
  <c r="D197" i="148"/>
  <c r="J197" i="148"/>
  <c r="E197" i="148"/>
  <c r="F197" i="148"/>
  <c r="C197" i="148"/>
  <c r="I198" i="148"/>
  <c r="D198" i="148"/>
  <c r="J198" i="148"/>
  <c r="E198" i="148"/>
  <c r="F198" i="148"/>
  <c r="C198" i="148"/>
  <c r="I199" i="148"/>
  <c r="D199" i="148"/>
  <c r="J199" i="148"/>
  <c r="E199" i="148"/>
  <c r="F199" i="148"/>
  <c r="C199" i="148"/>
  <c r="I200" i="148"/>
  <c r="D200" i="148"/>
  <c r="J200" i="148"/>
  <c r="E200" i="148"/>
  <c r="F200" i="148"/>
  <c r="C200" i="148"/>
  <c r="I201" i="148"/>
  <c r="D201" i="148"/>
  <c r="J201" i="148"/>
  <c r="E201" i="148"/>
  <c r="F201" i="148"/>
  <c r="C201" i="148"/>
  <c r="I202" i="148"/>
  <c r="D202" i="148"/>
  <c r="J202" i="148"/>
  <c r="E202" i="148"/>
  <c r="F202" i="148"/>
  <c r="C202" i="148"/>
  <c r="I203" i="148"/>
  <c r="D203" i="148"/>
  <c r="J203" i="148"/>
  <c r="E203" i="148"/>
  <c r="F203" i="148"/>
  <c r="C203" i="148"/>
  <c r="I204" i="148"/>
  <c r="D204" i="148"/>
  <c r="J204" i="148"/>
  <c r="E204" i="148"/>
  <c r="F204" i="148"/>
  <c r="C204" i="148"/>
  <c r="I205" i="148"/>
  <c r="D205" i="148"/>
  <c r="J205" i="148"/>
  <c r="E205" i="148"/>
  <c r="F205" i="148"/>
  <c r="C205" i="148"/>
  <c r="I206" i="148"/>
  <c r="D206" i="148"/>
  <c r="J206" i="148"/>
  <c r="E206" i="148"/>
  <c r="F206" i="148"/>
  <c r="C206" i="148"/>
  <c r="I207" i="148"/>
  <c r="D207" i="148"/>
  <c r="J207" i="148"/>
  <c r="E207" i="148"/>
  <c r="F207" i="148"/>
  <c r="C207" i="148"/>
  <c r="I208" i="148"/>
  <c r="D208" i="148"/>
  <c r="J208" i="148"/>
  <c r="E208" i="148"/>
  <c r="F208" i="148"/>
  <c r="C208" i="148"/>
  <c r="I209" i="148"/>
  <c r="D209" i="148"/>
  <c r="J209" i="148"/>
  <c r="E209" i="148"/>
  <c r="F209" i="148"/>
  <c r="C209" i="148"/>
  <c r="I210" i="148"/>
  <c r="D210" i="148"/>
  <c r="J210" i="148"/>
  <c r="E210" i="148"/>
  <c r="F210" i="148"/>
  <c r="C210" i="148"/>
  <c r="I211" i="148"/>
  <c r="D211" i="148"/>
  <c r="J211" i="148"/>
  <c r="E211" i="148"/>
  <c r="F211" i="148"/>
  <c r="C211" i="148"/>
  <c r="I212" i="148"/>
  <c r="D212" i="148"/>
  <c r="J212" i="148"/>
  <c r="E212" i="148"/>
  <c r="F212" i="148"/>
  <c r="C212" i="148"/>
  <c r="I213" i="148"/>
  <c r="D213" i="148"/>
  <c r="J213" i="148"/>
  <c r="E213" i="148"/>
  <c r="F213" i="148"/>
  <c r="C213" i="148"/>
  <c r="I214" i="148"/>
  <c r="D214" i="148"/>
  <c r="J214" i="148"/>
  <c r="E214" i="148"/>
  <c r="F214" i="148"/>
  <c r="C214" i="148"/>
  <c r="I215" i="148"/>
  <c r="D215" i="148"/>
  <c r="J215" i="148"/>
  <c r="E215" i="148"/>
  <c r="F215" i="148"/>
  <c r="C215" i="148"/>
  <c r="I216" i="148"/>
  <c r="D216" i="148"/>
  <c r="J216" i="148"/>
  <c r="E216" i="148"/>
  <c r="F216" i="148"/>
  <c r="C216" i="148"/>
  <c r="I217" i="148"/>
  <c r="D217" i="148"/>
  <c r="J217" i="148"/>
  <c r="E217" i="148"/>
  <c r="F217" i="148"/>
  <c r="C217" i="148"/>
  <c r="I218" i="148"/>
  <c r="D218" i="148"/>
  <c r="J218" i="148"/>
  <c r="E218" i="148"/>
  <c r="F218" i="148"/>
  <c r="C218" i="148"/>
  <c r="I219" i="148"/>
  <c r="D219" i="148"/>
  <c r="J219" i="148"/>
  <c r="E219" i="148"/>
  <c r="F219" i="148"/>
  <c r="C219" i="148"/>
  <c r="I220" i="148"/>
  <c r="D220" i="148"/>
  <c r="J220" i="148"/>
  <c r="E220" i="148"/>
  <c r="F220" i="148"/>
  <c r="C220" i="148"/>
  <c r="I221" i="148"/>
  <c r="D221" i="148"/>
  <c r="J221" i="148"/>
  <c r="E221" i="148"/>
  <c r="F221" i="148"/>
  <c r="C221" i="148"/>
  <c r="I222" i="148"/>
  <c r="D222" i="148"/>
  <c r="J222" i="148"/>
  <c r="E222" i="148"/>
  <c r="F222" i="148"/>
  <c r="C222" i="148"/>
  <c r="I223" i="148"/>
  <c r="D223" i="148"/>
  <c r="J223" i="148"/>
  <c r="E223" i="148"/>
  <c r="F223" i="148"/>
  <c r="C223" i="148"/>
  <c r="I224" i="148"/>
  <c r="D224" i="148"/>
  <c r="J224" i="148"/>
  <c r="E224" i="148"/>
  <c r="F224" i="148"/>
  <c r="C224" i="148"/>
  <c r="I225" i="148"/>
  <c r="D225" i="148"/>
  <c r="J225" i="148"/>
  <c r="E225" i="148"/>
  <c r="F225" i="148"/>
  <c r="C225" i="148"/>
  <c r="I226" i="148"/>
  <c r="D226" i="148"/>
  <c r="J226" i="148"/>
  <c r="E226" i="148"/>
  <c r="F226" i="148"/>
  <c r="C226" i="148"/>
  <c r="I227" i="148"/>
  <c r="D227" i="148"/>
  <c r="J227" i="148"/>
  <c r="E227" i="148"/>
  <c r="F227" i="148"/>
  <c r="C227" i="148"/>
  <c r="I228" i="148"/>
  <c r="D228" i="148"/>
  <c r="J228" i="148"/>
  <c r="E228" i="148"/>
  <c r="F228" i="148"/>
  <c r="C228" i="148"/>
  <c r="I229" i="148"/>
  <c r="D229" i="148"/>
  <c r="J229" i="148"/>
  <c r="E229" i="148"/>
  <c r="F229" i="148"/>
  <c r="C229" i="148"/>
  <c r="I230" i="148"/>
  <c r="D230" i="148"/>
  <c r="J230" i="148"/>
  <c r="E230" i="148"/>
  <c r="F230" i="148"/>
  <c r="C230" i="148"/>
  <c r="I231" i="148"/>
  <c r="D231" i="148"/>
  <c r="J231" i="148"/>
  <c r="E231" i="148"/>
  <c r="F231" i="148"/>
  <c r="C231" i="148"/>
  <c r="I232" i="148"/>
  <c r="D232" i="148"/>
  <c r="J232" i="148"/>
  <c r="E232" i="148"/>
  <c r="F232" i="148"/>
  <c r="C232" i="148"/>
  <c r="I233" i="148"/>
  <c r="D233" i="148"/>
  <c r="J233" i="148"/>
  <c r="E233" i="148"/>
  <c r="F233" i="148"/>
  <c r="C233" i="148"/>
  <c r="I234" i="148"/>
  <c r="D234" i="148"/>
  <c r="J234" i="148"/>
  <c r="E234" i="148"/>
  <c r="F234" i="148"/>
  <c r="C234" i="148"/>
  <c r="I235" i="148"/>
  <c r="D235" i="148"/>
  <c r="J235" i="148"/>
  <c r="E235" i="148"/>
  <c r="F235" i="148"/>
  <c r="C235" i="148"/>
  <c r="I236" i="148"/>
  <c r="D236" i="148"/>
  <c r="J236" i="148"/>
  <c r="E236" i="148"/>
  <c r="F236" i="148"/>
  <c r="C236" i="148"/>
  <c r="I237" i="148"/>
  <c r="D237" i="148"/>
  <c r="J237" i="148"/>
  <c r="E237" i="148"/>
  <c r="F237" i="148"/>
  <c r="C237" i="148"/>
  <c r="I238" i="148"/>
  <c r="D238" i="148"/>
  <c r="J238" i="148"/>
  <c r="E238" i="148"/>
  <c r="F238" i="148"/>
  <c r="C238" i="148"/>
  <c r="I239" i="148"/>
  <c r="D239" i="148"/>
  <c r="J239" i="148"/>
  <c r="E239" i="148"/>
  <c r="F239" i="148"/>
  <c r="C239" i="148"/>
  <c r="I240" i="148"/>
  <c r="D240" i="148"/>
  <c r="J240" i="148"/>
  <c r="E240" i="148"/>
  <c r="F240" i="148"/>
  <c r="C240" i="148"/>
  <c r="I241" i="148"/>
  <c r="D241" i="148"/>
  <c r="J241" i="148"/>
  <c r="E241" i="148"/>
  <c r="F241" i="148"/>
  <c r="C241" i="148"/>
  <c r="I242" i="148"/>
  <c r="D242" i="148"/>
  <c r="J242" i="148"/>
  <c r="E242" i="148"/>
  <c r="F242" i="148"/>
  <c r="C242" i="148"/>
  <c r="I243" i="148"/>
  <c r="D243" i="148"/>
  <c r="J243" i="148"/>
  <c r="E243" i="148"/>
  <c r="F243" i="148"/>
  <c r="C243" i="148"/>
  <c r="I244" i="148"/>
  <c r="D244" i="148"/>
  <c r="J244" i="148"/>
  <c r="E244" i="148"/>
  <c r="F244" i="148"/>
  <c r="C244" i="148"/>
  <c r="I245" i="148"/>
  <c r="D245" i="148"/>
  <c r="J245" i="148"/>
  <c r="E245" i="148"/>
  <c r="F245" i="148"/>
  <c r="C245" i="148"/>
  <c r="I246" i="148"/>
  <c r="D246" i="148"/>
  <c r="J246" i="148"/>
  <c r="E246" i="148"/>
  <c r="F246" i="148"/>
  <c r="C246" i="148"/>
  <c r="I247" i="148"/>
  <c r="D247" i="148"/>
  <c r="J247" i="148"/>
  <c r="E247" i="148"/>
  <c r="F247" i="148"/>
  <c r="C247" i="148"/>
  <c r="I248" i="148"/>
  <c r="D248" i="148"/>
  <c r="J248" i="148"/>
  <c r="E248" i="148"/>
  <c r="F248" i="148"/>
  <c r="C248" i="148"/>
  <c r="I249" i="148"/>
  <c r="D249" i="148"/>
  <c r="J249" i="148"/>
  <c r="E249" i="148"/>
  <c r="F249" i="148"/>
  <c r="C249" i="148"/>
  <c r="I250" i="148"/>
  <c r="D250" i="148"/>
  <c r="J250" i="148"/>
  <c r="E250" i="148"/>
  <c r="F250" i="148"/>
  <c r="C250" i="148"/>
  <c r="I251" i="148"/>
  <c r="D251" i="148"/>
  <c r="J251" i="148"/>
  <c r="E251" i="148"/>
  <c r="F251" i="148"/>
  <c r="C251" i="148"/>
  <c r="I252" i="148"/>
  <c r="D252" i="148"/>
  <c r="J252" i="148"/>
  <c r="E252" i="148"/>
  <c r="F252" i="148"/>
  <c r="C252" i="148"/>
  <c r="I253" i="148"/>
  <c r="D253" i="148"/>
  <c r="J253" i="148"/>
  <c r="E253" i="148"/>
  <c r="F253" i="148"/>
  <c r="C253" i="148"/>
  <c r="I254" i="148"/>
  <c r="D254" i="148"/>
  <c r="J254" i="148"/>
  <c r="E254" i="148"/>
  <c r="F254" i="148"/>
  <c r="C254" i="148"/>
  <c r="I255" i="148"/>
  <c r="D255" i="148"/>
  <c r="J255" i="148"/>
  <c r="E255" i="148"/>
  <c r="F255" i="148"/>
  <c r="C255" i="148"/>
  <c r="I256" i="148"/>
  <c r="D256" i="148"/>
  <c r="J256" i="148"/>
  <c r="E256" i="148"/>
  <c r="F256" i="148"/>
  <c r="C256" i="148"/>
  <c r="I257" i="148"/>
  <c r="D257" i="148"/>
  <c r="J257" i="148"/>
  <c r="E257" i="148"/>
  <c r="F257" i="148"/>
  <c r="C257" i="148"/>
  <c r="I258" i="148"/>
  <c r="D258" i="148"/>
  <c r="J258" i="148"/>
  <c r="E258" i="148"/>
  <c r="F258" i="148"/>
  <c r="C258" i="148"/>
  <c r="I259" i="148"/>
  <c r="D259" i="148"/>
  <c r="J259" i="148"/>
  <c r="E259" i="148"/>
  <c r="F259" i="148"/>
  <c r="C259" i="148"/>
  <c r="I260" i="148"/>
  <c r="D260" i="148"/>
  <c r="J260" i="148"/>
  <c r="E260" i="148"/>
  <c r="F260" i="148"/>
  <c r="C260" i="148"/>
  <c r="I261" i="148"/>
  <c r="D261" i="148"/>
  <c r="J261" i="148"/>
  <c r="E261" i="148"/>
  <c r="F261" i="148"/>
  <c r="C261" i="148"/>
  <c r="I262" i="148"/>
  <c r="D262" i="148"/>
  <c r="J262" i="148"/>
  <c r="E262" i="148"/>
  <c r="F262" i="148"/>
  <c r="C262" i="148"/>
  <c r="I263" i="148"/>
  <c r="D263" i="148"/>
  <c r="J263" i="148"/>
  <c r="E263" i="148"/>
  <c r="F263" i="148"/>
  <c r="C263" i="148"/>
  <c r="I264" i="148"/>
  <c r="D264" i="148"/>
  <c r="J264" i="148"/>
  <c r="E264" i="148"/>
  <c r="F264" i="148"/>
  <c r="C264" i="148"/>
  <c r="I265" i="148"/>
  <c r="D265" i="148"/>
  <c r="J265" i="148"/>
  <c r="E265" i="148"/>
  <c r="F265" i="148"/>
  <c r="C265" i="148"/>
  <c r="I266" i="148"/>
  <c r="D266" i="148"/>
  <c r="J266" i="148"/>
  <c r="E266" i="148"/>
  <c r="F266" i="148"/>
  <c r="C266" i="148"/>
  <c r="I267" i="148"/>
  <c r="D267" i="148"/>
  <c r="J267" i="148"/>
  <c r="E267" i="148"/>
  <c r="F267" i="148"/>
  <c r="C267" i="148"/>
  <c r="I268" i="148"/>
  <c r="D268" i="148"/>
  <c r="J268" i="148"/>
  <c r="E268" i="148"/>
  <c r="F268" i="148"/>
  <c r="C268" i="148"/>
  <c r="I269" i="148"/>
  <c r="D269" i="148"/>
  <c r="J269" i="148"/>
  <c r="E269" i="148"/>
  <c r="F269" i="148"/>
  <c r="C269" i="148"/>
  <c r="I270" i="148"/>
  <c r="D270" i="148"/>
  <c r="J270" i="148"/>
  <c r="E270" i="148"/>
  <c r="F270" i="148"/>
  <c r="C270" i="148"/>
  <c r="I271" i="148"/>
  <c r="D271" i="148"/>
  <c r="J271" i="148"/>
  <c r="E271" i="148"/>
  <c r="F271" i="148"/>
  <c r="C271" i="148"/>
  <c r="I272" i="148"/>
  <c r="D272" i="148"/>
  <c r="J272" i="148"/>
  <c r="E272" i="148"/>
  <c r="F272" i="148"/>
  <c r="C272" i="148"/>
  <c r="I273" i="148"/>
  <c r="D273" i="148"/>
  <c r="J273" i="148"/>
  <c r="E273" i="148"/>
  <c r="F273" i="148"/>
  <c r="C273" i="148"/>
  <c r="I274" i="148"/>
  <c r="D274" i="148"/>
  <c r="J274" i="148"/>
  <c r="E274" i="148"/>
  <c r="F274" i="148"/>
  <c r="C274" i="148"/>
  <c r="I275" i="148"/>
  <c r="D275" i="148"/>
  <c r="J275" i="148"/>
  <c r="E275" i="148"/>
  <c r="F275" i="148"/>
  <c r="C275" i="148"/>
  <c r="I276" i="148"/>
  <c r="D276" i="148"/>
  <c r="J276" i="148"/>
  <c r="E276" i="148"/>
  <c r="F276" i="148"/>
  <c r="C276" i="148"/>
  <c r="I277" i="148"/>
  <c r="D277" i="148"/>
  <c r="J277" i="148"/>
  <c r="E277" i="148"/>
  <c r="F277" i="148"/>
  <c r="C277" i="148"/>
  <c r="I278" i="148"/>
  <c r="D278" i="148"/>
  <c r="J278" i="148"/>
  <c r="E278" i="148"/>
  <c r="F278" i="148"/>
  <c r="C278" i="148"/>
  <c r="I279" i="148"/>
  <c r="D279" i="148"/>
  <c r="J279" i="148"/>
  <c r="E279" i="148"/>
  <c r="F279" i="148"/>
  <c r="C279" i="148"/>
  <c r="I280" i="148"/>
  <c r="D280" i="148"/>
  <c r="J280" i="148"/>
  <c r="E280" i="148"/>
  <c r="F280" i="148"/>
  <c r="C280" i="148"/>
  <c r="I281" i="148"/>
  <c r="D281" i="148"/>
  <c r="J281" i="148"/>
  <c r="E281" i="148"/>
  <c r="F281" i="148"/>
  <c r="C281" i="148"/>
  <c r="I282" i="148"/>
  <c r="D282" i="148"/>
  <c r="J282" i="148"/>
  <c r="E282" i="148"/>
  <c r="F282" i="148"/>
  <c r="C282" i="148"/>
  <c r="I283" i="148"/>
  <c r="D283" i="148"/>
  <c r="J283" i="148"/>
  <c r="E283" i="148"/>
  <c r="F283" i="148"/>
  <c r="C283" i="148"/>
  <c r="I284" i="148"/>
  <c r="D284" i="148"/>
  <c r="J284" i="148"/>
  <c r="E284" i="148"/>
  <c r="F284" i="148"/>
  <c r="C284" i="148"/>
  <c r="I285" i="148"/>
  <c r="D285" i="148"/>
  <c r="J285" i="148"/>
  <c r="E285" i="148"/>
  <c r="F285" i="148"/>
  <c r="C285" i="148"/>
  <c r="I286" i="148"/>
  <c r="D286" i="148"/>
  <c r="J286" i="148"/>
  <c r="E286" i="148"/>
  <c r="F286" i="148"/>
  <c r="C286" i="148"/>
  <c r="I287" i="148"/>
  <c r="D287" i="148"/>
  <c r="J287" i="148"/>
  <c r="E287" i="148"/>
  <c r="F287" i="148"/>
  <c r="C287" i="148"/>
  <c r="I288" i="148"/>
  <c r="D288" i="148"/>
  <c r="J288" i="148"/>
  <c r="E288" i="148"/>
  <c r="F288" i="148"/>
  <c r="C288" i="148"/>
  <c r="I289" i="148"/>
  <c r="D289" i="148"/>
  <c r="J289" i="148"/>
  <c r="E289" i="148"/>
  <c r="F289" i="148"/>
  <c r="C289" i="148"/>
  <c r="I290" i="148"/>
  <c r="D290" i="148"/>
  <c r="J290" i="148"/>
  <c r="E290" i="148"/>
  <c r="F290" i="148"/>
  <c r="C290" i="148"/>
  <c r="I291" i="148"/>
  <c r="D291" i="148"/>
  <c r="J291" i="148"/>
  <c r="E291" i="148"/>
  <c r="F291" i="148"/>
  <c r="C291" i="148"/>
  <c r="I292" i="148"/>
  <c r="D292" i="148"/>
  <c r="J292" i="148"/>
  <c r="E292" i="148"/>
  <c r="F292" i="148"/>
  <c r="C292" i="148"/>
  <c r="I293" i="148"/>
  <c r="D293" i="148"/>
  <c r="J293" i="148"/>
  <c r="E293" i="148"/>
  <c r="F293" i="148"/>
  <c r="C293" i="148"/>
  <c r="I294" i="148"/>
  <c r="D294" i="148"/>
  <c r="J294" i="148"/>
  <c r="E294" i="148"/>
  <c r="F294" i="148"/>
  <c r="C294" i="148"/>
  <c r="I295" i="148"/>
  <c r="D295" i="148"/>
  <c r="J295" i="148"/>
  <c r="E295" i="148"/>
  <c r="F295" i="148"/>
  <c r="C295" i="148"/>
  <c r="F8" i="147"/>
  <c r="E8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41" i="147"/>
  <c r="B41" i="147"/>
  <c r="E40" i="147"/>
  <c r="B40" i="147"/>
  <c r="E39" i="147"/>
  <c r="B39" i="147"/>
  <c r="F7" i="147"/>
  <c r="E7" i="147"/>
  <c r="E26" i="147"/>
  <c r="B26" i="147"/>
  <c r="E25" i="147"/>
  <c r="B25" i="147"/>
  <c r="E24" i="147"/>
  <c r="B24" i="147"/>
  <c r="F6" i="147"/>
  <c r="F5" i="147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E289" i="82"/>
  <c r="F289" i="82"/>
  <c r="C289" i="82"/>
  <c r="I290" i="82"/>
  <c r="D290" i="82"/>
  <c r="J290" i="82"/>
  <c r="E290" i="82"/>
  <c r="F290" i="82"/>
  <c r="C290" i="82"/>
  <c r="I291" i="82"/>
  <c r="D291" i="82"/>
  <c r="J291" i="82"/>
  <c r="E291" i="82"/>
  <c r="F291" i="82"/>
  <c r="C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F8" i="106"/>
  <c r="E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41" i="106"/>
  <c r="B41" i="106"/>
  <c r="E40" i="106"/>
  <c r="B40" i="106"/>
  <c r="E39" i="106"/>
  <c r="B39" i="106"/>
  <c r="F7" i="106"/>
  <c r="E7" i="106"/>
  <c r="E26" i="106"/>
  <c r="B26" i="106"/>
  <c r="E25" i="106"/>
  <c r="B25" i="106"/>
  <c r="E24" i="106"/>
  <c r="B24" i="106"/>
  <c r="F6" i="106"/>
  <c r="F5" i="106"/>
  <c r="A2" i="153"/>
  <c r="A51" i="153"/>
  <c r="E18" i="153"/>
  <c r="E19" i="153"/>
  <c r="B19" i="153"/>
  <c r="E5" i="153"/>
  <c r="B17" i="153"/>
  <c r="B18" i="153"/>
  <c r="G18" i="153"/>
  <c r="H18" i="153"/>
  <c r="E33" i="153"/>
  <c r="E34" i="153"/>
  <c r="B34" i="153"/>
  <c r="E6" i="153"/>
  <c r="B32" i="153"/>
  <c r="B33" i="153"/>
  <c r="G33" i="153"/>
  <c r="H33" i="153"/>
  <c r="O3" i="154"/>
  <c r="G17" i="153"/>
  <c r="E17" i="153"/>
  <c r="H17" i="153"/>
  <c r="G32" i="153"/>
  <c r="E32" i="153"/>
  <c r="H32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39" i="153"/>
  <c r="H39" i="153"/>
  <c r="O42" i="154"/>
  <c r="G25" i="153"/>
  <c r="H25" i="153"/>
  <c r="G40" i="153"/>
  <c r="H40" i="153"/>
  <c r="O43" i="154"/>
  <c r="G26" i="153"/>
  <c r="H26" i="153"/>
  <c r="G41" i="153"/>
  <c r="H41" i="153"/>
  <c r="O44" i="154"/>
  <c r="O45" i="154"/>
  <c r="O46" i="154"/>
  <c r="O47" i="154"/>
  <c r="O48" i="154"/>
  <c r="O49" i="154"/>
  <c r="O50" i="154"/>
  <c r="G34" i="153"/>
  <c r="H34" i="153"/>
  <c r="G19" i="153"/>
  <c r="H19" i="153"/>
  <c r="O51" i="154"/>
  <c r="E35" i="153"/>
  <c r="B35" i="153"/>
  <c r="G35" i="153"/>
  <c r="H35" i="153"/>
  <c r="E20" i="153"/>
  <c r="B20" i="153"/>
  <c r="G20" i="153"/>
  <c r="H20" i="153"/>
  <c r="O52" i="154"/>
  <c r="E36" i="153"/>
  <c r="B36" i="153"/>
  <c r="G36" i="153"/>
  <c r="H36" i="153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E42" i="153"/>
  <c r="B42" i="153"/>
  <c r="G42" i="153"/>
  <c r="H42" i="153"/>
  <c r="O138" i="154"/>
  <c r="E28" i="153"/>
  <c r="B28" i="153"/>
  <c r="G28" i="153"/>
  <c r="H28" i="153"/>
  <c r="E43" i="153"/>
  <c r="B43" i="153"/>
  <c r="G43" i="153"/>
  <c r="H43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E37" i="153"/>
  <c r="E44" i="153"/>
  <c r="B44" i="153"/>
  <c r="B38" i="153"/>
  <c r="B37" i="153"/>
  <c r="G37" i="153"/>
  <c r="H37" i="153"/>
  <c r="O256" i="154"/>
  <c r="G23" i="153"/>
  <c r="E23" i="153"/>
  <c r="H23" i="153"/>
  <c r="G38" i="153"/>
  <c r="E38" i="153"/>
  <c r="H38" i="153"/>
  <c r="O257" i="154"/>
  <c r="O258" i="154"/>
  <c r="O259" i="154"/>
  <c r="G29" i="153"/>
  <c r="H29" i="153"/>
  <c r="O260" i="154"/>
  <c r="G44" i="153"/>
  <c r="H44" i="153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G46" i="153"/>
  <c r="E46" i="153"/>
  <c r="H46" i="153"/>
  <c r="O295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" i="154"/>
  <c r="A2" i="149"/>
  <c r="A51" i="149"/>
  <c r="E33" i="149"/>
  <c r="E34" i="149"/>
  <c r="B34" i="149"/>
  <c r="E6" i="149"/>
  <c r="B32" i="149"/>
  <c r="B33" i="149"/>
  <c r="G33" i="149"/>
  <c r="H33" i="149"/>
  <c r="O3" i="150"/>
  <c r="G32" i="149"/>
  <c r="E32" i="149"/>
  <c r="H32" i="149"/>
  <c r="O2" i="150"/>
  <c r="E19" i="149"/>
  <c r="B19" i="149"/>
  <c r="E5" i="149"/>
  <c r="B17" i="149"/>
  <c r="G17" i="149"/>
  <c r="E17" i="149"/>
  <c r="H17" i="149"/>
  <c r="O4" i="150"/>
  <c r="E18" i="149"/>
  <c r="B18" i="149"/>
  <c r="G18" i="149"/>
  <c r="H18" i="149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39" i="149"/>
  <c r="H39" i="149"/>
  <c r="O42" i="150"/>
  <c r="G40" i="149"/>
  <c r="H40" i="149"/>
  <c r="O43" i="150"/>
  <c r="G41" i="149"/>
  <c r="H41" i="149"/>
  <c r="O44" i="150"/>
  <c r="G24" i="149"/>
  <c r="H24" i="149"/>
  <c r="O45" i="150"/>
  <c r="G25" i="149"/>
  <c r="H25" i="149"/>
  <c r="O46" i="150"/>
  <c r="G26" i="149"/>
  <c r="H26" i="149"/>
  <c r="O47" i="150"/>
  <c r="O48" i="150"/>
  <c r="O49" i="150"/>
  <c r="O50" i="150"/>
  <c r="G19" i="149"/>
  <c r="H19" i="149"/>
  <c r="O51" i="150"/>
  <c r="E20" i="149"/>
  <c r="B20" i="149"/>
  <c r="G20" i="149"/>
  <c r="H20" i="149"/>
  <c r="O52" i="150"/>
  <c r="E21" i="149"/>
  <c r="B21" i="149"/>
  <c r="G21" i="149"/>
  <c r="H21" i="149"/>
  <c r="O53" i="150"/>
  <c r="G34" i="149"/>
  <c r="H34" i="149"/>
  <c r="O54" i="150"/>
  <c r="E35" i="149"/>
  <c r="B35" i="149"/>
  <c r="G35" i="149"/>
  <c r="H35" i="149"/>
  <c r="O55" i="150"/>
  <c r="E36" i="149"/>
  <c r="B36" i="149"/>
  <c r="G36" i="149"/>
  <c r="H36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42" i="149"/>
  <c r="B42" i="149"/>
  <c r="G42" i="149"/>
  <c r="H42" i="149"/>
  <c r="O138" i="150"/>
  <c r="E43" i="149"/>
  <c r="B43" i="149"/>
  <c r="G43" i="149"/>
  <c r="H43" i="149"/>
  <c r="O139" i="150"/>
  <c r="E27" i="149"/>
  <c r="B27" i="149"/>
  <c r="G27" i="149"/>
  <c r="H27" i="149"/>
  <c r="O140" i="150"/>
  <c r="E28" i="149"/>
  <c r="B28" i="149"/>
  <c r="G28" i="149"/>
  <c r="H28" i="149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E37" i="149"/>
  <c r="E44" i="149"/>
  <c r="B44" i="149"/>
  <c r="B38" i="149"/>
  <c r="B37" i="149"/>
  <c r="G37" i="149"/>
  <c r="H37" i="149"/>
  <c r="O256" i="150"/>
  <c r="G38" i="149"/>
  <c r="E38" i="149"/>
  <c r="H38" i="149"/>
  <c r="O257" i="150"/>
  <c r="E22" i="149"/>
  <c r="E29" i="149"/>
  <c r="B29" i="149"/>
  <c r="B23" i="149"/>
  <c r="B22" i="149"/>
  <c r="G22" i="149"/>
  <c r="H22" i="149"/>
  <c r="O258" i="150"/>
  <c r="G23" i="149"/>
  <c r="E23" i="149"/>
  <c r="H23" i="149"/>
  <c r="O259" i="150"/>
  <c r="G29" i="149"/>
  <c r="H29" i="149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G44" i="149"/>
  <c r="H44" i="149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G46" i="149"/>
  <c r="E46" i="149"/>
  <c r="H46" i="149"/>
  <c r="O295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" i="150"/>
  <c r="A2" i="147"/>
  <c r="A51" i="147"/>
  <c r="E33" i="147"/>
  <c r="E34" i="147"/>
  <c r="B34" i="147"/>
  <c r="E6" i="147"/>
  <c r="B32" i="147"/>
  <c r="B33" i="147"/>
  <c r="G33" i="147"/>
  <c r="H33" i="147"/>
  <c r="O3" i="148"/>
  <c r="G32" i="147"/>
  <c r="E32" i="147"/>
  <c r="H32" i="147"/>
  <c r="O2" i="148"/>
  <c r="E19" i="147"/>
  <c r="B19" i="147"/>
  <c r="E5" i="147"/>
  <c r="B17" i="147"/>
  <c r="G17" i="147"/>
  <c r="E17" i="147"/>
  <c r="H17" i="147"/>
  <c r="O4" i="148"/>
  <c r="E18" i="147"/>
  <c r="B18" i="147"/>
  <c r="G18" i="147"/>
  <c r="H18" i="147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39" i="147"/>
  <c r="H39" i="147"/>
  <c r="O42" i="148"/>
  <c r="G40" i="147"/>
  <c r="H40" i="147"/>
  <c r="O43" i="148"/>
  <c r="G41" i="147"/>
  <c r="H41" i="147"/>
  <c r="O44" i="148"/>
  <c r="G24" i="147"/>
  <c r="H24" i="147"/>
  <c r="O45" i="148"/>
  <c r="G25" i="147"/>
  <c r="H25" i="147"/>
  <c r="O46" i="148"/>
  <c r="G26" i="147"/>
  <c r="H26" i="147"/>
  <c r="O47" i="148"/>
  <c r="O48" i="148"/>
  <c r="O49" i="148"/>
  <c r="O50" i="148"/>
  <c r="G19" i="147"/>
  <c r="H19" i="147"/>
  <c r="O51" i="148"/>
  <c r="E20" i="147"/>
  <c r="B20" i="147"/>
  <c r="G20" i="147"/>
  <c r="H20" i="147"/>
  <c r="O52" i="148"/>
  <c r="E21" i="147"/>
  <c r="B21" i="147"/>
  <c r="G21" i="147"/>
  <c r="H21" i="147"/>
  <c r="O53" i="148"/>
  <c r="G34" i="147"/>
  <c r="H34" i="147"/>
  <c r="O54" i="148"/>
  <c r="E35" i="147"/>
  <c r="B35" i="147"/>
  <c r="G35" i="147"/>
  <c r="H35" i="147"/>
  <c r="O55" i="148"/>
  <c r="E36" i="147"/>
  <c r="B36" i="147"/>
  <c r="G36" i="147"/>
  <c r="H36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42" i="147"/>
  <c r="B42" i="147"/>
  <c r="G42" i="147"/>
  <c r="H42" i="147"/>
  <c r="O138" i="148"/>
  <c r="E43" i="147"/>
  <c r="B43" i="147"/>
  <c r="G43" i="147"/>
  <c r="H43" i="147"/>
  <c r="O139" i="148"/>
  <c r="E27" i="147"/>
  <c r="B27" i="147"/>
  <c r="G27" i="147"/>
  <c r="H27" i="147"/>
  <c r="O140" i="148"/>
  <c r="E28" i="147"/>
  <c r="B28" i="147"/>
  <c r="G28" i="147"/>
  <c r="H28" i="147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E37" i="147"/>
  <c r="E44" i="147"/>
  <c r="B44" i="147"/>
  <c r="B38" i="147"/>
  <c r="B37" i="147"/>
  <c r="G37" i="147"/>
  <c r="H37" i="147"/>
  <c r="O256" i="148"/>
  <c r="G38" i="147"/>
  <c r="E38" i="147"/>
  <c r="H38" i="147"/>
  <c r="O257" i="148"/>
  <c r="E22" i="147"/>
  <c r="E29" i="147"/>
  <c r="B29" i="147"/>
  <c r="B23" i="147"/>
  <c r="B22" i="147"/>
  <c r="G22" i="147"/>
  <c r="H22" i="147"/>
  <c r="O258" i="148"/>
  <c r="G23" i="147"/>
  <c r="E23" i="147"/>
  <c r="H23" i="147"/>
  <c r="O259" i="148"/>
  <c r="G29" i="147"/>
  <c r="H29" i="147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G44" i="147"/>
  <c r="H44" i="147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G46" i="147"/>
  <c r="E46" i="147"/>
  <c r="H46" i="147"/>
  <c r="O295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" i="148"/>
  <c r="A2" i="106"/>
  <c r="A51" i="106"/>
  <c r="E33" i="106"/>
  <c r="E34" i="106"/>
  <c r="B34" i="106"/>
  <c r="E6" i="106"/>
  <c r="B32" i="106"/>
  <c r="B33" i="106"/>
  <c r="G33" i="106"/>
  <c r="H33" i="106"/>
  <c r="O3" i="82"/>
  <c r="G32" i="106"/>
  <c r="E32" i="106"/>
  <c r="H32" i="106"/>
  <c r="O2" i="82"/>
  <c r="E19" i="106"/>
  <c r="B19" i="106"/>
  <c r="E5" i="106"/>
  <c r="B17" i="106"/>
  <c r="G17" i="106"/>
  <c r="E17" i="106"/>
  <c r="H17" i="106"/>
  <c r="O4" i="82"/>
  <c r="E18" i="106"/>
  <c r="B18" i="106"/>
  <c r="G18" i="106"/>
  <c r="H18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39" i="106"/>
  <c r="H39" i="106"/>
  <c r="O42" i="82"/>
  <c r="G40" i="106"/>
  <c r="H40" i="106"/>
  <c r="O43" i="82"/>
  <c r="G41" i="106"/>
  <c r="H41" i="106"/>
  <c r="O44" i="82"/>
  <c r="G24" i="106"/>
  <c r="H24" i="106"/>
  <c r="O45" i="82"/>
  <c r="G25" i="106"/>
  <c r="H25" i="106"/>
  <c r="O46" i="82"/>
  <c r="G26" i="106"/>
  <c r="H26" i="106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G34" i="106"/>
  <c r="H34" i="106"/>
  <c r="O54" i="82"/>
  <c r="E35" i="106"/>
  <c r="B35" i="106"/>
  <c r="G35" i="106"/>
  <c r="H35" i="106"/>
  <c r="O55" i="82"/>
  <c r="E36" i="106"/>
  <c r="B36" i="106"/>
  <c r="G36" i="106"/>
  <c r="H36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42" i="106"/>
  <c r="B42" i="106"/>
  <c r="G42" i="106"/>
  <c r="H42" i="106"/>
  <c r="O138" i="82"/>
  <c r="E43" i="106"/>
  <c r="B43" i="106"/>
  <c r="G43" i="106"/>
  <c r="H43" i="106"/>
  <c r="O139" i="82"/>
  <c r="E27" i="106"/>
  <c r="B27" i="106"/>
  <c r="G27" i="106"/>
  <c r="H27" i="106"/>
  <c r="O140" i="82"/>
  <c r="E28" i="106"/>
  <c r="B28" i="106"/>
  <c r="G28" i="106"/>
  <c r="H28" i="106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37" i="106"/>
  <c r="E44" i="106"/>
  <c r="B44" i="106"/>
  <c r="B38" i="106"/>
  <c r="B37" i="106"/>
  <c r="G37" i="106"/>
  <c r="H37" i="106"/>
  <c r="O256" i="82"/>
  <c r="G38" i="106"/>
  <c r="E38" i="106"/>
  <c r="H38" i="106"/>
  <c r="O257" i="82"/>
  <c r="E22" i="106"/>
  <c r="E29" i="106"/>
  <c r="B29" i="106"/>
  <c r="B23" i="106"/>
  <c r="B22" i="106"/>
  <c r="G22" i="106"/>
  <c r="H22" i="106"/>
  <c r="O258" i="82"/>
  <c r="G23" i="106"/>
  <c r="E23" i="106"/>
  <c r="H23" i="106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G44" i="106"/>
  <c r="H44" i="106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G46" i="106"/>
  <c r="E46" i="106"/>
  <c r="H46" i="106"/>
  <c r="O295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" i="82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" i="157"/>
  <c r="F28" i="157"/>
  <c r="J28" i="157"/>
  <c r="E28" i="157"/>
  <c r="C28" i="157"/>
  <c r="H28" i="157"/>
  <c r="K28" i="157"/>
  <c r="L28" i="157"/>
  <c r="M28" i="157"/>
  <c r="N28" i="157"/>
  <c r="P28" i="157"/>
  <c r="A291" i="154"/>
  <c r="H291" i="154"/>
  <c r="K291" i="154"/>
  <c r="L291" i="154"/>
  <c r="M291" i="154"/>
  <c r="N291" i="154"/>
  <c r="B10" i="153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A295" i="154"/>
  <c r="H295" i="154"/>
  <c r="K295" i="154"/>
  <c r="L295" i="154"/>
  <c r="M295" i="154"/>
  <c r="N295" i="154"/>
  <c r="A291" i="150"/>
  <c r="H291" i="150"/>
  <c r="K291" i="150"/>
  <c r="L291" i="150"/>
  <c r="M291" i="150"/>
  <c r="N291" i="150"/>
  <c r="B10" i="149"/>
  <c r="A292" i="150"/>
  <c r="H292" i="150"/>
  <c r="K292" i="150"/>
  <c r="L292" i="150"/>
  <c r="M292" i="150"/>
  <c r="N292" i="150"/>
  <c r="A293" i="150"/>
  <c r="H293" i="150"/>
  <c r="K293" i="150"/>
  <c r="L293" i="150"/>
  <c r="M293" i="150"/>
  <c r="N293" i="150"/>
  <c r="A294" i="150"/>
  <c r="H294" i="150"/>
  <c r="K294" i="150"/>
  <c r="L294" i="150"/>
  <c r="M294" i="150"/>
  <c r="N294" i="150"/>
  <c r="A295" i="150"/>
  <c r="H295" i="150"/>
  <c r="K295" i="150"/>
  <c r="L295" i="150"/>
  <c r="M295" i="150"/>
  <c r="N295" i="150"/>
  <c r="A291" i="148"/>
  <c r="H291" i="148"/>
  <c r="K291" i="148"/>
  <c r="L291" i="148"/>
  <c r="M291" i="148"/>
  <c r="N291" i="148"/>
  <c r="B10" i="147"/>
  <c r="A292" i="148"/>
  <c r="H292" i="148"/>
  <c r="K292" i="148"/>
  <c r="L292" i="148"/>
  <c r="M292" i="148"/>
  <c r="N292" i="148"/>
  <c r="A293" i="148"/>
  <c r="H293" i="148"/>
  <c r="K293" i="148"/>
  <c r="L293" i="148"/>
  <c r="M293" i="148"/>
  <c r="N293" i="148"/>
  <c r="A294" i="148"/>
  <c r="H294" i="148"/>
  <c r="K294" i="148"/>
  <c r="L294" i="148"/>
  <c r="M294" i="148"/>
  <c r="N294" i="148"/>
  <c r="A295" i="148"/>
  <c r="H295" i="148"/>
  <c r="K295" i="148"/>
  <c r="L295" i="148"/>
  <c r="M295" i="148"/>
  <c r="N295" i="148"/>
  <c r="A291" i="82"/>
  <c r="H291" i="82"/>
  <c r="K291" i="82"/>
  <c r="L291" i="82"/>
  <c r="M291" i="82"/>
  <c r="N291" i="82"/>
  <c r="B10" i="106"/>
  <c r="A292" i="82"/>
  <c r="H292" i="82"/>
  <c r="K292" i="82"/>
  <c r="L292" i="82"/>
  <c r="M292" i="82"/>
  <c r="N292" i="82"/>
  <c r="A293" i="82"/>
  <c r="H293" i="82"/>
  <c r="K293" i="82"/>
  <c r="L293" i="82"/>
  <c r="M293" i="82"/>
  <c r="N293" i="82"/>
  <c r="A294" i="82"/>
  <c r="H294" i="82"/>
  <c r="K294" i="82"/>
  <c r="L294" i="82"/>
  <c r="M294" i="82"/>
  <c r="N294" i="82"/>
  <c r="A295" i="82"/>
  <c r="H295" i="82"/>
  <c r="K295" i="82"/>
  <c r="L295" i="82"/>
  <c r="M295" i="82"/>
  <c r="N295" i="82"/>
  <c r="A285" i="154"/>
  <c r="A286" i="154"/>
  <c r="A287" i="154"/>
  <c r="A288" i="154"/>
  <c r="A289" i="154"/>
  <c r="A290" i="154"/>
  <c r="H285" i="154"/>
  <c r="K285" i="154"/>
  <c r="L285" i="154"/>
  <c r="M285" i="154"/>
  <c r="N285" i="154"/>
  <c r="H286" i="154"/>
  <c r="K286" i="154"/>
  <c r="L286" i="154"/>
  <c r="M286" i="154"/>
  <c r="N286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H290" i="154"/>
  <c r="K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K285" i="150"/>
  <c r="L285" i="150"/>
  <c r="M285" i="150"/>
  <c r="N285" i="150"/>
  <c r="H286" i="150"/>
  <c r="K286" i="150"/>
  <c r="L286" i="150"/>
  <c r="M286" i="150"/>
  <c r="N286" i="150"/>
  <c r="H287" i="150"/>
  <c r="K287" i="150"/>
  <c r="L287" i="150"/>
  <c r="M287" i="150"/>
  <c r="N287" i="150"/>
  <c r="H288" i="150"/>
  <c r="K288" i="150"/>
  <c r="L288" i="150"/>
  <c r="M288" i="150"/>
  <c r="N288" i="150"/>
  <c r="H289" i="150"/>
  <c r="K289" i="150"/>
  <c r="L289" i="150"/>
  <c r="M289" i="150"/>
  <c r="N289" i="150"/>
  <c r="H290" i="150"/>
  <c r="K290" i="150"/>
  <c r="L290" i="150"/>
  <c r="M290" i="150"/>
  <c r="N290" i="150"/>
  <c r="A285" i="148"/>
  <c r="A286" i="148"/>
  <c r="A287" i="148"/>
  <c r="A288" i="148"/>
  <c r="A289" i="148"/>
  <c r="A290" i="148"/>
  <c r="H285" i="148"/>
  <c r="K285" i="148"/>
  <c r="L285" i="148"/>
  <c r="M285" i="148"/>
  <c r="N285" i="148"/>
  <c r="H286" i="148"/>
  <c r="K286" i="148"/>
  <c r="L286" i="148"/>
  <c r="M286" i="148"/>
  <c r="N286" i="148"/>
  <c r="H287" i="148"/>
  <c r="K287" i="148"/>
  <c r="L287" i="148"/>
  <c r="M287" i="148"/>
  <c r="N287" i="148"/>
  <c r="H288" i="148"/>
  <c r="K288" i="148"/>
  <c r="L288" i="148"/>
  <c r="M288" i="148"/>
  <c r="N288" i="148"/>
  <c r="H289" i="148"/>
  <c r="K289" i="148"/>
  <c r="L289" i="148"/>
  <c r="M289" i="148"/>
  <c r="N289" i="148"/>
  <c r="H290" i="148"/>
  <c r="K290" i="148"/>
  <c r="L290" i="148"/>
  <c r="M290" i="148"/>
  <c r="N290" i="148"/>
  <c r="A285" i="82"/>
  <c r="H285" i="82"/>
  <c r="K285" i="82"/>
  <c r="L285" i="82"/>
  <c r="M285" i="82"/>
  <c r="N285" i="82"/>
  <c r="A286" i="82"/>
  <c r="H286" i="82"/>
  <c r="K286" i="82"/>
  <c r="L286" i="82"/>
  <c r="M286" i="82"/>
  <c r="N286" i="82"/>
  <c r="A287" i="82"/>
  <c r="H287" i="82"/>
  <c r="K287" i="82"/>
  <c r="L287" i="82"/>
  <c r="M287" i="82"/>
  <c r="N287" i="82"/>
  <c r="A288" i="82"/>
  <c r="H288" i="82"/>
  <c r="K288" i="82"/>
  <c r="L288" i="82"/>
  <c r="M288" i="82"/>
  <c r="N288" i="82"/>
  <c r="A289" i="82"/>
  <c r="H289" i="82"/>
  <c r="K289" i="82"/>
  <c r="L289" i="82"/>
  <c r="M289" i="82"/>
  <c r="N289" i="82"/>
  <c r="A290" i="82"/>
  <c r="H290" i="82"/>
  <c r="K290" i="82"/>
  <c r="L290" i="82"/>
  <c r="M290" i="82"/>
  <c r="N290" i="82"/>
  <c r="C5" i="103"/>
  <c r="E5" i="103"/>
  <c r="C6" i="103"/>
  <c r="E6" i="103"/>
  <c r="C2" i="103"/>
  <c r="E2" i="103"/>
  <c r="B46" i="153"/>
  <c r="N284" i="154"/>
  <c r="M284" i="154"/>
  <c r="L284" i="154"/>
  <c r="K284" i="154"/>
  <c r="H284" i="154"/>
  <c r="A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63" i="153"/>
  <c r="F62" i="153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61" i="153"/>
  <c r="F60" i="153"/>
  <c r="F57" i="153"/>
  <c r="G57" i="153"/>
  <c r="F56" i="153"/>
  <c r="G56" i="153"/>
  <c r="F55" i="153"/>
  <c r="G55" i="153"/>
  <c r="B47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D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I36" i="153"/>
  <c r="J36" i="153"/>
  <c r="F36" i="153"/>
  <c r="C36" i="153"/>
  <c r="D36" i="153"/>
  <c r="I35" i="153"/>
  <c r="J35" i="153"/>
  <c r="F35" i="153"/>
  <c r="C35" i="153"/>
  <c r="D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G31" i="153"/>
  <c r="E31" i="153"/>
  <c r="H31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B46" i="149"/>
  <c r="N284" i="150"/>
  <c r="M284" i="150"/>
  <c r="L284" i="150"/>
  <c r="K284" i="150"/>
  <c r="H284" i="150"/>
  <c r="N283" i="150"/>
  <c r="M283" i="150"/>
  <c r="L283" i="150"/>
  <c r="K283" i="150"/>
  <c r="H283" i="150"/>
  <c r="A283" i="150"/>
  <c r="N282" i="150"/>
  <c r="M282" i="150"/>
  <c r="L282" i="150"/>
  <c r="K282" i="150"/>
  <c r="H282" i="150"/>
  <c r="A282" i="150"/>
  <c r="N281" i="150"/>
  <c r="M281" i="150"/>
  <c r="L281" i="150"/>
  <c r="K281" i="150"/>
  <c r="H281" i="150"/>
  <c r="A281" i="150"/>
  <c r="N280" i="150"/>
  <c r="M280" i="150"/>
  <c r="L280" i="150"/>
  <c r="K280" i="150"/>
  <c r="H280" i="150"/>
  <c r="A280" i="150"/>
  <c r="N279" i="150"/>
  <c r="M279" i="150"/>
  <c r="L279" i="150"/>
  <c r="K279" i="150"/>
  <c r="H279" i="150"/>
  <c r="A279" i="150"/>
  <c r="N278" i="150"/>
  <c r="M278" i="150"/>
  <c r="L278" i="150"/>
  <c r="K278" i="150"/>
  <c r="H278" i="150"/>
  <c r="A278" i="150"/>
  <c r="N277" i="150"/>
  <c r="M277" i="150"/>
  <c r="L277" i="150"/>
  <c r="K277" i="150"/>
  <c r="H277" i="150"/>
  <c r="A277" i="150"/>
  <c r="N276" i="150"/>
  <c r="M276" i="150"/>
  <c r="L276" i="150"/>
  <c r="K276" i="150"/>
  <c r="H276" i="150"/>
  <c r="A276" i="150"/>
  <c r="N275" i="150"/>
  <c r="M275" i="150"/>
  <c r="L275" i="150"/>
  <c r="K275" i="150"/>
  <c r="H275" i="150"/>
  <c r="A275" i="150"/>
  <c r="N274" i="150"/>
  <c r="M274" i="150"/>
  <c r="L274" i="150"/>
  <c r="K274" i="150"/>
  <c r="H274" i="150"/>
  <c r="A274" i="150"/>
  <c r="N273" i="150"/>
  <c r="M273" i="150"/>
  <c r="L273" i="150"/>
  <c r="K273" i="150"/>
  <c r="H273" i="150"/>
  <c r="A273" i="150"/>
  <c r="N272" i="150"/>
  <c r="M272" i="150"/>
  <c r="L272" i="150"/>
  <c r="K272" i="150"/>
  <c r="H272" i="150"/>
  <c r="A272" i="150"/>
  <c r="N271" i="150"/>
  <c r="M271" i="150"/>
  <c r="L271" i="150"/>
  <c r="K271" i="150"/>
  <c r="H271" i="150"/>
  <c r="A271" i="150"/>
  <c r="N270" i="150"/>
  <c r="M270" i="150"/>
  <c r="L270" i="150"/>
  <c r="K270" i="150"/>
  <c r="H270" i="150"/>
  <c r="A270" i="150"/>
  <c r="N269" i="150"/>
  <c r="M269" i="150"/>
  <c r="L269" i="150"/>
  <c r="K269" i="150"/>
  <c r="H269" i="150"/>
  <c r="A269" i="150"/>
  <c r="N268" i="150"/>
  <c r="M268" i="150"/>
  <c r="L268" i="150"/>
  <c r="K268" i="150"/>
  <c r="H268" i="150"/>
  <c r="A268" i="150"/>
  <c r="N267" i="150"/>
  <c r="M267" i="150"/>
  <c r="L267" i="150"/>
  <c r="K267" i="150"/>
  <c r="H267" i="150"/>
  <c r="A267" i="150"/>
  <c r="N266" i="150"/>
  <c r="M266" i="150"/>
  <c r="L266" i="150"/>
  <c r="K266" i="150"/>
  <c r="H266" i="150"/>
  <c r="A266" i="150"/>
  <c r="N265" i="150"/>
  <c r="M265" i="150"/>
  <c r="L265" i="150"/>
  <c r="K265" i="150"/>
  <c r="H265" i="150"/>
  <c r="A265" i="150"/>
  <c r="N264" i="150"/>
  <c r="M264" i="150"/>
  <c r="L264" i="150"/>
  <c r="K264" i="150"/>
  <c r="H264" i="150"/>
  <c r="A264" i="150"/>
  <c r="N263" i="150"/>
  <c r="M263" i="150"/>
  <c r="L263" i="150"/>
  <c r="K263" i="150"/>
  <c r="H263" i="150"/>
  <c r="A263" i="150"/>
  <c r="N262" i="150"/>
  <c r="M262" i="150"/>
  <c r="L262" i="150"/>
  <c r="K262" i="150"/>
  <c r="H262" i="150"/>
  <c r="A262" i="150"/>
  <c r="N261" i="150"/>
  <c r="M261" i="150"/>
  <c r="L261" i="150"/>
  <c r="K261" i="150"/>
  <c r="H261" i="150"/>
  <c r="A261" i="150"/>
  <c r="N260" i="150"/>
  <c r="M260" i="150"/>
  <c r="L260" i="150"/>
  <c r="K260" i="150"/>
  <c r="H260" i="150"/>
  <c r="A260" i="150"/>
  <c r="N259" i="150"/>
  <c r="M259" i="150"/>
  <c r="L259" i="150"/>
  <c r="K259" i="150"/>
  <c r="H259" i="150"/>
  <c r="A259" i="150"/>
  <c r="N258" i="150"/>
  <c r="M258" i="150"/>
  <c r="L258" i="150"/>
  <c r="K258" i="150"/>
  <c r="H258" i="150"/>
  <c r="A258" i="150"/>
  <c r="N257" i="150"/>
  <c r="M257" i="150"/>
  <c r="L257" i="150"/>
  <c r="K257" i="150"/>
  <c r="H257" i="150"/>
  <c r="A257" i="150"/>
  <c r="N256" i="150"/>
  <c r="M256" i="150"/>
  <c r="L256" i="150"/>
  <c r="K256" i="150"/>
  <c r="H256" i="150"/>
  <c r="A256" i="150"/>
  <c r="N255" i="150"/>
  <c r="M255" i="150"/>
  <c r="L255" i="150"/>
  <c r="K255" i="150"/>
  <c r="H255" i="150"/>
  <c r="A255" i="150"/>
  <c r="N254" i="150"/>
  <c r="M254" i="150"/>
  <c r="L254" i="150"/>
  <c r="K254" i="150"/>
  <c r="H254" i="150"/>
  <c r="A254" i="150"/>
  <c r="N253" i="150"/>
  <c r="M253" i="150"/>
  <c r="L253" i="150"/>
  <c r="K253" i="150"/>
  <c r="H253" i="150"/>
  <c r="A253" i="150"/>
  <c r="N252" i="150"/>
  <c r="M252" i="150"/>
  <c r="L252" i="150"/>
  <c r="K252" i="150"/>
  <c r="H252" i="150"/>
  <c r="A252" i="150"/>
  <c r="N251" i="150"/>
  <c r="M251" i="150"/>
  <c r="L251" i="150"/>
  <c r="K251" i="150"/>
  <c r="H251" i="150"/>
  <c r="A251" i="150"/>
  <c r="N250" i="150"/>
  <c r="M250" i="150"/>
  <c r="L250" i="150"/>
  <c r="K250" i="150"/>
  <c r="H250" i="150"/>
  <c r="A250" i="150"/>
  <c r="N249" i="150"/>
  <c r="M249" i="150"/>
  <c r="L249" i="150"/>
  <c r="K249" i="150"/>
  <c r="H249" i="150"/>
  <c r="A249" i="150"/>
  <c r="N248" i="150"/>
  <c r="M248" i="150"/>
  <c r="L248" i="150"/>
  <c r="K248" i="150"/>
  <c r="H248" i="150"/>
  <c r="A248" i="150"/>
  <c r="N247" i="150"/>
  <c r="M247" i="150"/>
  <c r="L247" i="150"/>
  <c r="K247" i="150"/>
  <c r="H247" i="150"/>
  <c r="A247" i="150"/>
  <c r="N246" i="150"/>
  <c r="M246" i="150"/>
  <c r="L246" i="150"/>
  <c r="K246" i="150"/>
  <c r="H246" i="150"/>
  <c r="A246" i="150"/>
  <c r="N245" i="150"/>
  <c r="M245" i="150"/>
  <c r="L245" i="150"/>
  <c r="K245" i="150"/>
  <c r="H245" i="150"/>
  <c r="A245" i="150"/>
  <c r="N244" i="150"/>
  <c r="M244" i="150"/>
  <c r="L244" i="150"/>
  <c r="K244" i="150"/>
  <c r="H244" i="150"/>
  <c r="A244" i="150"/>
  <c r="N243" i="150"/>
  <c r="M243" i="150"/>
  <c r="L243" i="150"/>
  <c r="K243" i="150"/>
  <c r="H243" i="150"/>
  <c r="A243" i="150"/>
  <c r="N242" i="150"/>
  <c r="M242" i="150"/>
  <c r="L242" i="150"/>
  <c r="K242" i="150"/>
  <c r="H242" i="150"/>
  <c r="A242" i="150"/>
  <c r="N241" i="150"/>
  <c r="M241" i="150"/>
  <c r="L241" i="150"/>
  <c r="K241" i="150"/>
  <c r="H241" i="150"/>
  <c r="A241" i="150"/>
  <c r="N240" i="150"/>
  <c r="M240" i="150"/>
  <c r="L240" i="150"/>
  <c r="K240" i="150"/>
  <c r="H240" i="150"/>
  <c r="A240" i="150"/>
  <c r="N239" i="150"/>
  <c r="M239" i="150"/>
  <c r="L239" i="150"/>
  <c r="K239" i="150"/>
  <c r="H239" i="150"/>
  <c r="A239" i="150"/>
  <c r="N238" i="150"/>
  <c r="M238" i="150"/>
  <c r="L238" i="150"/>
  <c r="K238" i="150"/>
  <c r="H238" i="150"/>
  <c r="A238" i="150"/>
  <c r="N237" i="150"/>
  <c r="M237" i="150"/>
  <c r="L237" i="150"/>
  <c r="K237" i="150"/>
  <c r="H237" i="150"/>
  <c r="A237" i="150"/>
  <c r="N236" i="150"/>
  <c r="M236" i="150"/>
  <c r="L236" i="150"/>
  <c r="K236" i="150"/>
  <c r="H236" i="150"/>
  <c r="A236" i="150"/>
  <c r="N235" i="150"/>
  <c r="M235" i="150"/>
  <c r="L235" i="150"/>
  <c r="K235" i="150"/>
  <c r="H235" i="150"/>
  <c r="A235" i="150"/>
  <c r="N234" i="150"/>
  <c r="M234" i="150"/>
  <c r="L234" i="150"/>
  <c r="K234" i="150"/>
  <c r="H234" i="150"/>
  <c r="A234" i="150"/>
  <c r="N233" i="150"/>
  <c r="M233" i="150"/>
  <c r="L233" i="150"/>
  <c r="K233" i="150"/>
  <c r="H233" i="150"/>
  <c r="A233" i="150"/>
  <c r="N232" i="150"/>
  <c r="M232" i="150"/>
  <c r="L232" i="150"/>
  <c r="K232" i="150"/>
  <c r="H232" i="150"/>
  <c r="A232" i="150"/>
  <c r="N231" i="150"/>
  <c r="M231" i="150"/>
  <c r="L231" i="150"/>
  <c r="K231" i="150"/>
  <c r="H231" i="150"/>
  <c r="A231" i="150"/>
  <c r="N230" i="150"/>
  <c r="M230" i="150"/>
  <c r="L230" i="150"/>
  <c r="K230" i="150"/>
  <c r="H230" i="150"/>
  <c r="A230" i="150"/>
  <c r="N229" i="150"/>
  <c r="M229" i="150"/>
  <c r="L229" i="150"/>
  <c r="K229" i="150"/>
  <c r="H229" i="150"/>
  <c r="A229" i="150"/>
  <c r="N228" i="150"/>
  <c r="M228" i="150"/>
  <c r="L228" i="150"/>
  <c r="K228" i="150"/>
  <c r="H228" i="150"/>
  <c r="A228" i="150"/>
  <c r="N227" i="150"/>
  <c r="M227" i="150"/>
  <c r="L227" i="150"/>
  <c r="K227" i="150"/>
  <c r="H227" i="150"/>
  <c r="A227" i="150"/>
  <c r="N226" i="150"/>
  <c r="M226" i="150"/>
  <c r="L226" i="150"/>
  <c r="K226" i="150"/>
  <c r="H226" i="150"/>
  <c r="A226" i="150"/>
  <c r="N225" i="150"/>
  <c r="M225" i="150"/>
  <c r="L225" i="150"/>
  <c r="K225" i="150"/>
  <c r="H225" i="150"/>
  <c r="A225" i="150"/>
  <c r="N224" i="150"/>
  <c r="M224" i="150"/>
  <c r="L224" i="150"/>
  <c r="K224" i="150"/>
  <c r="H224" i="150"/>
  <c r="A224" i="150"/>
  <c r="N223" i="150"/>
  <c r="M223" i="150"/>
  <c r="L223" i="150"/>
  <c r="K223" i="150"/>
  <c r="H223" i="150"/>
  <c r="A223" i="150"/>
  <c r="N222" i="150"/>
  <c r="M222" i="150"/>
  <c r="L222" i="150"/>
  <c r="K222" i="150"/>
  <c r="H222" i="150"/>
  <c r="A222" i="150"/>
  <c r="N221" i="150"/>
  <c r="M221" i="150"/>
  <c r="L221" i="150"/>
  <c r="K221" i="150"/>
  <c r="H221" i="150"/>
  <c r="A221" i="150"/>
  <c r="N220" i="150"/>
  <c r="M220" i="150"/>
  <c r="L220" i="150"/>
  <c r="K220" i="150"/>
  <c r="H220" i="150"/>
  <c r="A220" i="150"/>
  <c r="N219" i="150"/>
  <c r="M219" i="150"/>
  <c r="L219" i="150"/>
  <c r="K219" i="150"/>
  <c r="H219" i="150"/>
  <c r="A219" i="150"/>
  <c r="N218" i="150"/>
  <c r="M218" i="150"/>
  <c r="L218" i="150"/>
  <c r="K218" i="150"/>
  <c r="H218" i="150"/>
  <c r="A218" i="150"/>
  <c r="N217" i="150"/>
  <c r="M217" i="150"/>
  <c r="L217" i="150"/>
  <c r="K217" i="150"/>
  <c r="H217" i="150"/>
  <c r="A217" i="150"/>
  <c r="N216" i="150"/>
  <c r="M216" i="150"/>
  <c r="L216" i="150"/>
  <c r="K216" i="150"/>
  <c r="H216" i="150"/>
  <c r="A216" i="150"/>
  <c r="N215" i="150"/>
  <c r="M215" i="150"/>
  <c r="L215" i="150"/>
  <c r="K215" i="150"/>
  <c r="H215" i="150"/>
  <c r="A215" i="150"/>
  <c r="N214" i="150"/>
  <c r="M214" i="150"/>
  <c r="L214" i="150"/>
  <c r="K214" i="150"/>
  <c r="H214" i="150"/>
  <c r="A214" i="150"/>
  <c r="N213" i="150"/>
  <c r="M213" i="150"/>
  <c r="L213" i="150"/>
  <c r="K213" i="150"/>
  <c r="H213" i="150"/>
  <c r="A213" i="150"/>
  <c r="N212" i="150"/>
  <c r="M212" i="150"/>
  <c r="L212" i="150"/>
  <c r="K212" i="150"/>
  <c r="H212" i="150"/>
  <c r="A212" i="150"/>
  <c r="N211" i="150"/>
  <c r="M211" i="150"/>
  <c r="L211" i="150"/>
  <c r="K211" i="150"/>
  <c r="H211" i="150"/>
  <c r="A211" i="150"/>
  <c r="N210" i="150"/>
  <c r="M210" i="150"/>
  <c r="L210" i="150"/>
  <c r="K210" i="150"/>
  <c r="H210" i="150"/>
  <c r="A210" i="150"/>
  <c r="N209" i="150"/>
  <c r="M209" i="150"/>
  <c r="L209" i="150"/>
  <c r="K209" i="150"/>
  <c r="H209" i="150"/>
  <c r="A209" i="150"/>
  <c r="N208" i="150"/>
  <c r="M208" i="150"/>
  <c r="L208" i="150"/>
  <c r="K208" i="150"/>
  <c r="H208" i="150"/>
  <c r="A208" i="150"/>
  <c r="N207" i="150"/>
  <c r="M207" i="150"/>
  <c r="L207" i="150"/>
  <c r="K207" i="150"/>
  <c r="H207" i="150"/>
  <c r="A207" i="150"/>
  <c r="N206" i="150"/>
  <c r="M206" i="150"/>
  <c r="L206" i="150"/>
  <c r="K206" i="150"/>
  <c r="H206" i="150"/>
  <c r="A206" i="150"/>
  <c r="N205" i="150"/>
  <c r="M205" i="150"/>
  <c r="L205" i="150"/>
  <c r="K205" i="150"/>
  <c r="H205" i="150"/>
  <c r="A205" i="150"/>
  <c r="N204" i="150"/>
  <c r="M204" i="150"/>
  <c r="L204" i="150"/>
  <c r="K204" i="150"/>
  <c r="H204" i="150"/>
  <c r="A204" i="150"/>
  <c r="N203" i="150"/>
  <c r="M203" i="150"/>
  <c r="L203" i="150"/>
  <c r="K203" i="150"/>
  <c r="H203" i="150"/>
  <c r="A203" i="150"/>
  <c r="N202" i="150"/>
  <c r="M202" i="150"/>
  <c r="L202" i="150"/>
  <c r="K202" i="150"/>
  <c r="H202" i="150"/>
  <c r="A202" i="150"/>
  <c r="N201" i="150"/>
  <c r="M201" i="150"/>
  <c r="L201" i="150"/>
  <c r="K201" i="150"/>
  <c r="H201" i="150"/>
  <c r="A201" i="150"/>
  <c r="N200" i="150"/>
  <c r="M200" i="150"/>
  <c r="L200" i="150"/>
  <c r="K200" i="150"/>
  <c r="H200" i="150"/>
  <c r="A200" i="150"/>
  <c r="N199" i="150"/>
  <c r="M199" i="150"/>
  <c r="L199" i="150"/>
  <c r="K199" i="150"/>
  <c r="H199" i="150"/>
  <c r="A199" i="150"/>
  <c r="N198" i="150"/>
  <c r="M198" i="150"/>
  <c r="L198" i="150"/>
  <c r="K198" i="150"/>
  <c r="H198" i="150"/>
  <c r="A198" i="150"/>
  <c r="N197" i="150"/>
  <c r="M197" i="150"/>
  <c r="L197" i="150"/>
  <c r="K197" i="150"/>
  <c r="H197" i="150"/>
  <c r="A197" i="150"/>
  <c r="N196" i="150"/>
  <c r="M196" i="150"/>
  <c r="L196" i="150"/>
  <c r="K196" i="150"/>
  <c r="H196" i="150"/>
  <c r="A196" i="150"/>
  <c r="N195" i="150"/>
  <c r="M195" i="150"/>
  <c r="L195" i="150"/>
  <c r="K195" i="150"/>
  <c r="H195" i="150"/>
  <c r="A195" i="150"/>
  <c r="N194" i="150"/>
  <c r="M194" i="150"/>
  <c r="L194" i="150"/>
  <c r="K194" i="150"/>
  <c r="H194" i="150"/>
  <c r="A194" i="150"/>
  <c r="N193" i="150"/>
  <c r="M193" i="150"/>
  <c r="L193" i="150"/>
  <c r="K193" i="150"/>
  <c r="H193" i="150"/>
  <c r="A193" i="150"/>
  <c r="N192" i="150"/>
  <c r="M192" i="150"/>
  <c r="L192" i="150"/>
  <c r="K192" i="150"/>
  <c r="H192" i="150"/>
  <c r="A192" i="150"/>
  <c r="N191" i="150"/>
  <c r="M191" i="150"/>
  <c r="L191" i="150"/>
  <c r="K191" i="150"/>
  <c r="H191" i="150"/>
  <c r="A191" i="150"/>
  <c r="N190" i="150"/>
  <c r="M190" i="150"/>
  <c r="L190" i="150"/>
  <c r="K190" i="150"/>
  <c r="H190" i="150"/>
  <c r="A190" i="150"/>
  <c r="N189" i="150"/>
  <c r="M189" i="150"/>
  <c r="L189" i="150"/>
  <c r="K189" i="150"/>
  <c r="H189" i="150"/>
  <c r="A189" i="150"/>
  <c r="N188" i="150"/>
  <c r="M188" i="150"/>
  <c r="L188" i="150"/>
  <c r="K188" i="150"/>
  <c r="H188" i="150"/>
  <c r="A188" i="150"/>
  <c r="N187" i="150"/>
  <c r="M187" i="150"/>
  <c r="L187" i="150"/>
  <c r="K187" i="150"/>
  <c r="H187" i="150"/>
  <c r="A187" i="150"/>
  <c r="N186" i="150"/>
  <c r="M186" i="150"/>
  <c r="L186" i="150"/>
  <c r="K186" i="150"/>
  <c r="H186" i="150"/>
  <c r="A186" i="150"/>
  <c r="N185" i="150"/>
  <c r="M185" i="150"/>
  <c r="L185" i="150"/>
  <c r="K185" i="150"/>
  <c r="H185" i="150"/>
  <c r="A185" i="150"/>
  <c r="N184" i="150"/>
  <c r="M184" i="150"/>
  <c r="L184" i="150"/>
  <c r="K184" i="150"/>
  <c r="H184" i="150"/>
  <c r="A184" i="150"/>
  <c r="N183" i="150"/>
  <c r="M183" i="150"/>
  <c r="L183" i="150"/>
  <c r="K183" i="150"/>
  <c r="H183" i="150"/>
  <c r="A183" i="150"/>
  <c r="N182" i="150"/>
  <c r="M182" i="150"/>
  <c r="L182" i="150"/>
  <c r="K182" i="150"/>
  <c r="H182" i="150"/>
  <c r="A182" i="150"/>
  <c r="N181" i="150"/>
  <c r="M181" i="150"/>
  <c r="L181" i="150"/>
  <c r="K181" i="150"/>
  <c r="H181" i="150"/>
  <c r="A181" i="150"/>
  <c r="N180" i="150"/>
  <c r="M180" i="150"/>
  <c r="L180" i="150"/>
  <c r="K180" i="150"/>
  <c r="H180" i="150"/>
  <c r="A180" i="150"/>
  <c r="N179" i="150"/>
  <c r="M179" i="150"/>
  <c r="L179" i="150"/>
  <c r="K179" i="150"/>
  <c r="H179" i="150"/>
  <c r="A179" i="150"/>
  <c r="N178" i="150"/>
  <c r="M178" i="150"/>
  <c r="L178" i="150"/>
  <c r="K178" i="150"/>
  <c r="H178" i="150"/>
  <c r="A178" i="150"/>
  <c r="N177" i="150"/>
  <c r="M177" i="150"/>
  <c r="L177" i="150"/>
  <c r="K177" i="150"/>
  <c r="H177" i="150"/>
  <c r="A177" i="150"/>
  <c r="N176" i="150"/>
  <c r="M176" i="150"/>
  <c r="L176" i="150"/>
  <c r="K176" i="150"/>
  <c r="H176" i="150"/>
  <c r="A176" i="150"/>
  <c r="N175" i="150"/>
  <c r="M175" i="150"/>
  <c r="L175" i="150"/>
  <c r="K175" i="150"/>
  <c r="H175" i="150"/>
  <c r="A175" i="150"/>
  <c r="N174" i="150"/>
  <c r="M174" i="150"/>
  <c r="L174" i="150"/>
  <c r="K174" i="150"/>
  <c r="H174" i="150"/>
  <c r="A174" i="150"/>
  <c r="N173" i="150"/>
  <c r="M173" i="150"/>
  <c r="L173" i="150"/>
  <c r="K173" i="150"/>
  <c r="H173" i="150"/>
  <c r="A173" i="150"/>
  <c r="N172" i="150"/>
  <c r="M172" i="150"/>
  <c r="L172" i="150"/>
  <c r="K172" i="150"/>
  <c r="H172" i="150"/>
  <c r="A172" i="150"/>
  <c r="N171" i="150"/>
  <c r="M171" i="150"/>
  <c r="L171" i="150"/>
  <c r="K171" i="150"/>
  <c r="H171" i="150"/>
  <c r="A171" i="150"/>
  <c r="N170" i="150"/>
  <c r="M170" i="150"/>
  <c r="L170" i="150"/>
  <c r="K170" i="150"/>
  <c r="H170" i="150"/>
  <c r="A170" i="150"/>
  <c r="N169" i="150"/>
  <c r="M169" i="150"/>
  <c r="L169" i="150"/>
  <c r="K169" i="150"/>
  <c r="H169" i="150"/>
  <c r="A169" i="150"/>
  <c r="N168" i="150"/>
  <c r="M168" i="150"/>
  <c r="L168" i="150"/>
  <c r="K168" i="150"/>
  <c r="H168" i="150"/>
  <c r="A168" i="150"/>
  <c r="N167" i="150"/>
  <c r="M167" i="150"/>
  <c r="L167" i="150"/>
  <c r="K167" i="150"/>
  <c r="H167" i="150"/>
  <c r="A167" i="150"/>
  <c r="N166" i="150"/>
  <c r="M166" i="150"/>
  <c r="L166" i="150"/>
  <c r="K166" i="150"/>
  <c r="H166" i="150"/>
  <c r="A166" i="150"/>
  <c r="N165" i="150"/>
  <c r="M165" i="150"/>
  <c r="L165" i="150"/>
  <c r="K165" i="150"/>
  <c r="H165" i="150"/>
  <c r="A165" i="150"/>
  <c r="N164" i="150"/>
  <c r="M164" i="150"/>
  <c r="L164" i="150"/>
  <c r="K164" i="150"/>
  <c r="H164" i="150"/>
  <c r="A164" i="150"/>
  <c r="N163" i="150"/>
  <c r="M163" i="150"/>
  <c r="L163" i="150"/>
  <c r="K163" i="150"/>
  <c r="H163" i="150"/>
  <c r="A163" i="150"/>
  <c r="N162" i="150"/>
  <c r="M162" i="150"/>
  <c r="L162" i="150"/>
  <c r="K162" i="150"/>
  <c r="H162" i="150"/>
  <c r="A162" i="150"/>
  <c r="N161" i="150"/>
  <c r="M161" i="150"/>
  <c r="L161" i="150"/>
  <c r="K161" i="150"/>
  <c r="H161" i="150"/>
  <c r="A161" i="150"/>
  <c r="N160" i="150"/>
  <c r="M160" i="150"/>
  <c r="L160" i="150"/>
  <c r="K160" i="150"/>
  <c r="H160" i="150"/>
  <c r="A160" i="150"/>
  <c r="N159" i="150"/>
  <c r="M159" i="150"/>
  <c r="L159" i="150"/>
  <c r="K159" i="150"/>
  <c r="H159" i="150"/>
  <c r="A159" i="150"/>
  <c r="N158" i="150"/>
  <c r="M158" i="150"/>
  <c r="L158" i="150"/>
  <c r="K158" i="150"/>
  <c r="H158" i="150"/>
  <c r="A158" i="150"/>
  <c r="N157" i="150"/>
  <c r="M157" i="150"/>
  <c r="L157" i="150"/>
  <c r="K157" i="150"/>
  <c r="H157" i="150"/>
  <c r="A157" i="150"/>
  <c r="N156" i="150"/>
  <c r="M156" i="150"/>
  <c r="L156" i="150"/>
  <c r="K156" i="150"/>
  <c r="H156" i="150"/>
  <c r="A156" i="150"/>
  <c r="N155" i="150"/>
  <c r="M155" i="150"/>
  <c r="L155" i="150"/>
  <c r="K155" i="150"/>
  <c r="H155" i="150"/>
  <c r="A155" i="150"/>
  <c r="N154" i="150"/>
  <c r="M154" i="150"/>
  <c r="L154" i="150"/>
  <c r="K154" i="150"/>
  <c r="H154" i="150"/>
  <c r="A154" i="150"/>
  <c r="N153" i="150"/>
  <c r="M153" i="150"/>
  <c r="L153" i="150"/>
  <c r="K153" i="150"/>
  <c r="H153" i="150"/>
  <c r="A153" i="150"/>
  <c r="N152" i="150"/>
  <c r="M152" i="150"/>
  <c r="L152" i="150"/>
  <c r="K152" i="150"/>
  <c r="H152" i="150"/>
  <c r="A152" i="150"/>
  <c r="N151" i="150"/>
  <c r="M151" i="150"/>
  <c r="L151" i="150"/>
  <c r="K151" i="150"/>
  <c r="H151" i="150"/>
  <c r="A151" i="150"/>
  <c r="N150" i="150"/>
  <c r="M150" i="150"/>
  <c r="L150" i="150"/>
  <c r="K150" i="150"/>
  <c r="H150" i="150"/>
  <c r="A150" i="150"/>
  <c r="N149" i="150"/>
  <c r="M149" i="150"/>
  <c r="L149" i="150"/>
  <c r="K149" i="150"/>
  <c r="H149" i="150"/>
  <c r="A149" i="150"/>
  <c r="N148" i="150"/>
  <c r="M148" i="150"/>
  <c r="L148" i="150"/>
  <c r="K148" i="150"/>
  <c r="H148" i="150"/>
  <c r="A148" i="150"/>
  <c r="N147" i="150"/>
  <c r="M147" i="150"/>
  <c r="L147" i="150"/>
  <c r="K147" i="150"/>
  <c r="H147" i="150"/>
  <c r="A147" i="150"/>
  <c r="N146" i="150"/>
  <c r="M146" i="150"/>
  <c r="L146" i="150"/>
  <c r="K146" i="150"/>
  <c r="H146" i="150"/>
  <c r="A146" i="150"/>
  <c r="N145" i="150"/>
  <c r="M145" i="150"/>
  <c r="L145" i="150"/>
  <c r="K145" i="150"/>
  <c r="H145" i="150"/>
  <c r="A145" i="150"/>
  <c r="N144" i="150"/>
  <c r="M144" i="150"/>
  <c r="L144" i="150"/>
  <c r="K144" i="150"/>
  <c r="H144" i="150"/>
  <c r="A144" i="150"/>
  <c r="N143" i="150"/>
  <c r="M143" i="150"/>
  <c r="L143" i="150"/>
  <c r="K143" i="150"/>
  <c r="H143" i="150"/>
  <c r="A143" i="150"/>
  <c r="N142" i="150"/>
  <c r="M142" i="150"/>
  <c r="L142" i="150"/>
  <c r="K142" i="150"/>
  <c r="H142" i="150"/>
  <c r="A142" i="150"/>
  <c r="N141" i="150"/>
  <c r="M141" i="150"/>
  <c r="L141" i="150"/>
  <c r="K141" i="150"/>
  <c r="H141" i="150"/>
  <c r="A141" i="150"/>
  <c r="N140" i="150"/>
  <c r="M140" i="150"/>
  <c r="L140" i="150"/>
  <c r="K140" i="150"/>
  <c r="H140" i="150"/>
  <c r="A140" i="150"/>
  <c r="N139" i="150"/>
  <c r="M139" i="150"/>
  <c r="L139" i="150"/>
  <c r="K139" i="150"/>
  <c r="H139" i="150"/>
  <c r="A139" i="150"/>
  <c r="N138" i="150"/>
  <c r="M138" i="150"/>
  <c r="L138" i="150"/>
  <c r="K138" i="150"/>
  <c r="H138" i="150"/>
  <c r="A138" i="150"/>
  <c r="N137" i="150"/>
  <c r="M137" i="150"/>
  <c r="L137" i="150"/>
  <c r="K137" i="150"/>
  <c r="H137" i="150"/>
  <c r="A137" i="150"/>
  <c r="N136" i="150"/>
  <c r="M136" i="150"/>
  <c r="L136" i="150"/>
  <c r="K136" i="150"/>
  <c r="H136" i="150"/>
  <c r="A136" i="150"/>
  <c r="N135" i="150"/>
  <c r="M135" i="150"/>
  <c r="L135" i="150"/>
  <c r="K135" i="150"/>
  <c r="H135" i="150"/>
  <c r="A135" i="150"/>
  <c r="N134" i="150"/>
  <c r="M134" i="150"/>
  <c r="L134" i="150"/>
  <c r="K134" i="150"/>
  <c r="H134" i="150"/>
  <c r="A134" i="150"/>
  <c r="N133" i="150"/>
  <c r="M133" i="150"/>
  <c r="L133" i="150"/>
  <c r="K133" i="150"/>
  <c r="H133" i="150"/>
  <c r="A133" i="150"/>
  <c r="N132" i="150"/>
  <c r="M132" i="150"/>
  <c r="L132" i="150"/>
  <c r="K132" i="150"/>
  <c r="H132" i="150"/>
  <c r="A132" i="150"/>
  <c r="N131" i="150"/>
  <c r="M131" i="150"/>
  <c r="L131" i="150"/>
  <c r="K131" i="150"/>
  <c r="H131" i="150"/>
  <c r="A131" i="150"/>
  <c r="N130" i="150"/>
  <c r="M130" i="150"/>
  <c r="L130" i="150"/>
  <c r="K130" i="150"/>
  <c r="H130" i="150"/>
  <c r="A130" i="150"/>
  <c r="N129" i="150"/>
  <c r="M129" i="150"/>
  <c r="L129" i="150"/>
  <c r="K129" i="150"/>
  <c r="H129" i="150"/>
  <c r="A129" i="150"/>
  <c r="N128" i="150"/>
  <c r="M128" i="150"/>
  <c r="L128" i="150"/>
  <c r="K128" i="150"/>
  <c r="H128" i="150"/>
  <c r="A128" i="150"/>
  <c r="N127" i="150"/>
  <c r="M127" i="150"/>
  <c r="L127" i="150"/>
  <c r="K127" i="150"/>
  <c r="H127" i="150"/>
  <c r="A127" i="150"/>
  <c r="N126" i="150"/>
  <c r="M126" i="150"/>
  <c r="L126" i="150"/>
  <c r="K126" i="150"/>
  <c r="H126" i="150"/>
  <c r="A126" i="150"/>
  <c r="N125" i="150"/>
  <c r="M125" i="150"/>
  <c r="L125" i="150"/>
  <c r="K125" i="150"/>
  <c r="H125" i="150"/>
  <c r="A125" i="150"/>
  <c r="N124" i="150"/>
  <c r="M124" i="150"/>
  <c r="L124" i="150"/>
  <c r="K124" i="150"/>
  <c r="H124" i="150"/>
  <c r="A124" i="150"/>
  <c r="N123" i="150"/>
  <c r="M123" i="150"/>
  <c r="L123" i="150"/>
  <c r="K123" i="150"/>
  <c r="H123" i="150"/>
  <c r="A123" i="150"/>
  <c r="N122" i="150"/>
  <c r="M122" i="150"/>
  <c r="L122" i="150"/>
  <c r="K122" i="150"/>
  <c r="H122" i="150"/>
  <c r="A122" i="150"/>
  <c r="N121" i="150"/>
  <c r="M121" i="150"/>
  <c r="L121" i="150"/>
  <c r="K121" i="150"/>
  <c r="H121" i="150"/>
  <c r="A121" i="150"/>
  <c r="N120" i="150"/>
  <c r="M120" i="150"/>
  <c r="L120" i="150"/>
  <c r="K120" i="150"/>
  <c r="H120" i="150"/>
  <c r="A120" i="150"/>
  <c r="N119" i="150"/>
  <c r="M119" i="150"/>
  <c r="L119" i="150"/>
  <c r="K119" i="150"/>
  <c r="H119" i="150"/>
  <c r="A119" i="150"/>
  <c r="N118" i="150"/>
  <c r="M118" i="150"/>
  <c r="L118" i="150"/>
  <c r="K118" i="150"/>
  <c r="H118" i="150"/>
  <c r="A118" i="150"/>
  <c r="N117" i="150"/>
  <c r="M117" i="150"/>
  <c r="L117" i="150"/>
  <c r="K117" i="150"/>
  <c r="H117" i="150"/>
  <c r="A117" i="150"/>
  <c r="N116" i="150"/>
  <c r="M116" i="150"/>
  <c r="L116" i="150"/>
  <c r="K116" i="150"/>
  <c r="H116" i="150"/>
  <c r="A116" i="150"/>
  <c r="N115" i="150"/>
  <c r="M115" i="150"/>
  <c r="L115" i="150"/>
  <c r="K115" i="150"/>
  <c r="H115" i="150"/>
  <c r="A115" i="150"/>
  <c r="N114" i="150"/>
  <c r="M114" i="150"/>
  <c r="L114" i="150"/>
  <c r="K114" i="150"/>
  <c r="H114" i="150"/>
  <c r="A114" i="150"/>
  <c r="N113" i="150"/>
  <c r="M113" i="150"/>
  <c r="L113" i="150"/>
  <c r="K113" i="150"/>
  <c r="H113" i="150"/>
  <c r="A113" i="150"/>
  <c r="N112" i="150"/>
  <c r="M112" i="150"/>
  <c r="L112" i="150"/>
  <c r="K112" i="150"/>
  <c r="H112" i="150"/>
  <c r="A112" i="150"/>
  <c r="N111" i="150"/>
  <c r="M111" i="150"/>
  <c r="L111" i="150"/>
  <c r="K111" i="150"/>
  <c r="H111" i="150"/>
  <c r="A111" i="150"/>
  <c r="N110" i="150"/>
  <c r="M110" i="150"/>
  <c r="L110" i="150"/>
  <c r="K110" i="150"/>
  <c r="H110" i="150"/>
  <c r="A110" i="150"/>
  <c r="N109" i="150"/>
  <c r="M109" i="150"/>
  <c r="L109" i="150"/>
  <c r="K109" i="150"/>
  <c r="H109" i="150"/>
  <c r="A109" i="150"/>
  <c r="N108" i="150"/>
  <c r="M108" i="150"/>
  <c r="L108" i="150"/>
  <c r="K108" i="150"/>
  <c r="H108" i="150"/>
  <c r="A108" i="150"/>
  <c r="N107" i="150"/>
  <c r="M107" i="150"/>
  <c r="L107" i="150"/>
  <c r="K107" i="150"/>
  <c r="H107" i="150"/>
  <c r="A107" i="150"/>
  <c r="N106" i="150"/>
  <c r="M106" i="150"/>
  <c r="L106" i="150"/>
  <c r="K106" i="150"/>
  <c r="H106" i="150"/>
  <c r="A106" i="150"/>
  <c r="N105" i="150"/>
  <c r="M105" i="150"/>
  <c r="L105" i="150"/>
  <c r="K105" i="150"/>
  <c r="H105" i="150"/>
  <c r="A105" i="150"/>
  <c r="N104" i="150"/>
  <c r="M104" i="150"/>
  <c r="L104" i="150"/>
  <c r="K104" i="150"/>
  <c r="H104" i="150"/>
  <c r="A104" i="150"/>
  <c r="N103" i="150"/>
  <c r="M103" i="150"/>
  <c r="L103" i="150"/>
  <c r="K103" i="150"/>
  <c r="H103" i="150"/>
  <c r="A103" i="150"/>
  <c r="N102" i="150"/>
  <c r="M102" i="150"/>
  <c r="L102" i="150"/>
  <c r="K102" i="150"/>
  <c r="H102" i="150"/>
  <c r="A102" i="150"/>
  <c r="N101" i="150"/>
  <c r="M101" i="150"/>
  <c r="L101" i="150"/>
  <c r="K101" i="150"/>
  <c r="H101" i="150"/>
  <c r="A101" i="150"/>
  <c r="N100" i="150"/>
  <c r="M100" i="150"/>
  <c r="L100" i="150"/>
  <c r="K100" i="150"/>
  <c r="H100" i="150"/>
  <c r="A100" i="150"/>
  <c r="N99" i="150"/>
  <c r="M99" i="150"/>
  <c r="L99" i="150"/>
  <c r="K99" i="150"/>
  <c r="H99" i="150"/>
  <c r="A99" i="150"/>
  <c r="N98" i="150"/>
  <c r="M98" i="150"/>
  <c r="L98" i="150"/>
  <c r="K98" i="150"/>
  <c r="H98" i="150"/>
  <c r="A98" i="150"/>
  <c r="N97" i="150"/>
  <c r="M97" i="150"/>
  <c r="L97" i="150"/>
  <c r="K97" i="150"/>
  <c r="H97" i="150"/>
  <c r="A97" i="150"/>
  <c r="N96" i="150"/>
  <c r="M96" i="150"/>
  <c r="L96" i="150"/>
  <c r="K96" i="150"/>
  <c r="H96" i="150"/>
  <c r="A96" i="150"/>
  <c r="N95" i="150"/>
  <c r="M95" i="150"/>
  <c r="L95" i="150"/>
  <c r="K95" i="150"/>
  <c r="H95" i="150"/>
  <c r="A95" i="150"/>
  <c r="N94" i="150"/>
  <c r="M94" i="150"/>
  <c r="L94" i="150"/>
  <c r="K94" i="150"/>
  <c r="H94" i="150"/>
  <c r="A94" i="150"/>
  <c r="N93" i="150"/>
  <c r="M93" i="150"/>
  <c r="L93" i="150"/>
  <c r="K93" i="150"/>
  <c r="H93" i="150"/>
  <c r="A93" i="150"/>
  <c r="N92" i="150"/>
  <c r="M92" i="150"/>
  <c r="L92" i="150"/>
  <c r="K92" i="150"/>
  <c r="H92" i="150"/>
  <c r="A92" i="150"/>
  <c r="N91" i="150"/>
  <c r="M91" i="150"/>
  <c r="L91" i="150"/>
  <c r="K91" i="150"/>
  <c r="H91" i="150"/>
  <c r="A91" i="150"/>
  <c r="N90" i="150"/>
  <c r="M90" i="150"/>
  <c r="L90" i="150"/>
  <c r="K90" i="150"/>
  <c r="H90" i="150"/>
  <c r="A90" i="150"/>
  <c r="N89" i="150"/>
  <c r="M89" i="150"/>
  <c r="L89" i="150"/>
  <c r="K89" i="150"/>
  <c r="H89" i="150"/>
  <c r="A89" i="150"/>
  <c r="N88" i="150"/>
  <c r="M88" i="150"/>
  <c r="L88" i="150"/>
  <c r="K88" i="150"/>
  <c r="H88" i="150"/>
  <c r="A88" i="150"/>
  <c r="N87" i="150"/>
  <c r="M87" i="150"/>
  <c r="L87" i="150"/>
  <c r="K87" i="150"/>
  <c r="H87" i="150"/>
  <c r="A87" i="150"/>
  <c r="N86" i="150"/>
  <c r="M86" i="150"/>
  <c r="L86" i="150"/>
  <c r="K86" i="150"/>
  <c r="H86" i="150"/>
  <c r="A86" i="150"/>
  <c r="N85" i="150"/>
  <c r="M85" i="150"/>
  <c r="L85" i="150"/>
  <c r="K85" i="150"/>
  <c r="H85" i="150"/>
  <c r="A85" i="150"/>
  <c r="N84" i="150"/>
  <c r="M84" i="150"/>
  <c r="L84" i="150"/>
  <c r="K84" i="150"/>
  <c r="H84" i="150"/>
  <c r="A84" i="150"/>
  <c r="N83" i="150"/>
  <c r="M83" i="150"/>
  <c r="L83" i="150"/>
  <c r="K83" i="150"/>
  <c r="H83" i="150"/>
  <c r="A83" i="150"/>
  <c r="N82" i="150"/>
  <c r="M82" i="150"/>
  <c r="L82" i="150"/>
  <c r="K82" i="150"/>
  <c r="H82" i="150"/>
  <c r="A82" i="150"/>
  <c r="N81" i="150"/>
  <c r="M81" i="150"/>
  <c r="L81" i="150"/>
  <c r="K81" i="150"/>
  <c r="H81" i="150"/>
  <c r="A81" i="150"/>
  <c r="N80" i="150"/>
  <c r="M80" i="150"/>
  <c r="L80" i="150"/>
  <c r="K80" i="150"/>
  <c r="H80" i="150"/>
  <c r="A80" i="150"/>
  <c r="N79" i="150"/>
  <c r="M79" i="150"/>
  <c r="L79" i="150"/>
  <c r="K79" i="150"/>
  <c r="H79" i="150"/>
  <c r="A79" i="150"/>
  <c r="N78" i="150"/>
  <c r="M78" i="150"/>
  <c r="L78" i="150"/>
  <c r="K78" i="150"/>
  <c r="H78" i="150"/>
  <c r="A78" i="150"/>
  <c r="N77" i="150"/>
  <c r="M77" i="150"/>
  <c r="L77" i="150"/>
  <c r="K77" i="150"/>
  <c r="H77" i="150"/>
  <c r="A77" i="150"/>
  <c r="N76" i="150"/>
  <c r="M76" i="150"/>
  <c r="L76" i="150"/>
  <c r="K76" i="150"/>
  <c r="H76" i="150"/>
  <c r="A76" i="150"/>
  <c r="N75" i="150"/>
  <c r="M75" i="150"/>
  <c r="L75" i="150"/>
  <c r="K75" i="150"/>
  <c r="H75" i="150"/>
  <c r="A75" i="150"/>
  <c r="N74" i="150"/>
  <c r="M74" i="150"/>
  <c r="L74" i="150"/>
  <c r="K74" i="150"/>
  <c r="H74" i="150"/>
  <c r="A74" i="150"/>
  <c r="N73" i="150"/>
  <c r="M73" i="150"/>
  <c r="L73" i="150"/>
  <c r="K73" i="150"/>
  <c r="H73" i="150"/>
  <c r="A73" i="150"/>
  <c r="N72" i="150"/>
  <c r="M72" i="150"/>
  <c r="L72" i="150"/>
  <c r="K72" i="150"/>
  <c r="H72" i="150"/>
  <c r="A72" i="150"/>
  <c r="N71" i="150"/>
  <c r="M71" i="150"/>
  <c r="L71" i="150"/>
  <c r="K71" i="150"/>
  <c r="H71" i="150"/>
  <c r="A71" i="150"/>
  <c r="N70" i="150"/>
  <c r="M70" i="150"/>
  <c r="L70" i="150"/>
  <c r="K70" i="150"/>
  <c r="H70" i="150"/>
  <c r="A70" i="150"/>
  <c r="N69" i="150"/>
  <c r="M69" i="150"/>
  <c r="L69" i="150"/>
  <c r="K69" i="150"/>
  <c r="H69" i="150"/>
  <c r="A69" i="150"/>
  <c r="N68" i="150"/>
  <c r="M68" i="150"/>
  <c r="L68" i="150"/>
  <c r="K68" i="150"/>
  <c r="H68" i="150"/>
  <c r="A68" i="150"/>
  <c r="N67" i="150"/>
  <c r="M67" i="150"/>
  <c r="L67" i="150"/>
  <c r="K67" i="150"/>
  <c r="H67" i="150"/>
  <c r="A67" i="150"/>
  <c r="N66" i="150"/>
  <c r="M66" i="150"/>
  <c r="L66" i="150"/>
  <c r="K66" i="150"/>
  <c r="H66" i="150"/>
  <c r="A66" i="150"/>
  <c r="N65" i="150"/>
  <c r="M65" i="150"/>
  <c r="L65" i="150"/>
  <c r="K65" i="150"/>
  <c r="H65" i="150"/>
  <c r="A65" i="150"/>
  <c r="N64" i="150"/>
  <c r="M64" i="150"/>
  <c r="L64" i="150"/>
  <c r="K64" i="150"/>
  <c r="H64" i="150"/>
  <c r="A64" i="150"/>
  <c r="N63" i="150"/>
  <c r="M63" i="150"/>
  <c r="L63" i="150"/>
  <c r="K63" i="150"/>
  <c r="H63" i="150"/>
  <c r="A63" i="150"/>
  <c r="N62" i="150"/>
  <c r="M62" i="150"/>
  <c r="L62" i="150"/>
  <c r="K62" i="150"/>
  <c r="H62" i="150"/>
  <c r="A62" i="150"/>
  <c r="N61" i="150"/>
  <c r="M61" i="150"/>
  <c r="L61" i="150"/>
  <c r="K61" i="150"/>
  <c r="H61" i="150"/>
  <c r="A61" i="150"/>
  <c r="N60" i="150"/>
  <c r="M60" i="150"/>
  <c r="L60" i="150"/>
  <c r="K60" i="150"/>
  <c r="H60" i="150"/>
  <c r="A60" i="150"/>
  <c r="N59" i="150"/>
  <c r="M59" i="150"/>
  <c r="L59" i="150"/>
  <c r="K59" i="150"/>
  <c r="H59" i="150"/>
  <c r="A59" i="150"/>
  <c r="N58" i="150"/>
  <c r="M58" i="150"/>
  <c r="L58" i="150"/>
  <c r="K58" i="150"/>
  <c r="H58" i="150"/>
  <c r="A58" i="150"/>
  <c r="N57" i="150"/>
  <c r="M57" i="150"/>
  <c r="L57" i="150"/>
  <c r="K57" i="150"/>
  <c r="H57" i="150"/>
  <c r="A57" i="150"/>
  <c r="N56" i="150"/>
  <c r="M56" i="150"/>
  <c r="L56" i="150"/>
  <c r="K56" i="150"/>
  <c r="H56" i="150"/>
  <c r="A56" i="150"/>
  <c r="N55" i="150"/>
  <c r="M55" i="150"/>
  <c r="L55" i="150"/>
  <c r="K55" i="150"/>
  <c r="H55" i="150"/>
  <c r="A55" i="150"/>
  <c r="N54" i="150"/>
  <c r="M54" i="150"/>
  <c r="L54" i="150"/>
  <c r="K54" i="150"/>
  <c r="H54" i="150"/>
  <c r="A54" i="150"/>
  <c r="N53" i="150"/>
  <c r="M53" i="150"/>
  <c r="L53" i="150"/>
  <c r="K53" i="150"/>
  <c r="H53" i="150"/>
  <c r="A53" i="150"/>
  <c r="N52" i="150"/>
  <c r="M52" i="150"/>
  <c r="L52" i="150"/>
  <c r="K52" i="150"/>
  <c r="H52" i="150"/>
  <c r="A52" i="150"/>
  <c r="N51" i="150"/>
  <c r="M51" i="150"/>
  <c r="L51" i="150"/>
  <c r="K51" i="150"/>
  <c r="H51" i="150"/>
  <c r="A51" i="150"/>
  <c r="N50" i="150"/>
  <c r="M50" i="150"/>
  <c r="L50" i="150"/>
  <c r="K50" i="150"/>
  <c r="H50" i="150"/>
  <c r="A50" i="150"/>
  <c r="N49" i="150"/>
  <c r="M49" i="150"/>
  <c r="L49" i="150"/>
  <c r="K49" i="150"/>
  <c r="H49" i="150"/>
  <c r="A49" i="150"/>
  <c r="N48" i="150"/>
  <c r="M48" i="150"/>
  <c r="L48" i="150"/>
  <c r="K48" i="150"/>
  <c r="H48" i="150"/>
  <c r="A48" i="150"/>
  <c r="N47" i="150"/>
  <c r="M47" i="150"/>
  <c r="L47" i="150"/>
  <c r="K47" i="150"/>
  <c r="H47" i="150"/>
  <c r="A47" i="150"/>
  <c r="N46" i="150"/>
  <c r="M46" i="150"/>
  <c r="L46" i="150"/>
  <c r="K46" i="150"/>
  <c r="H46" i="150"/>
  <c r="A46" i="150"/>
  <c r="N45" i="150"/>
  <c r="M45" i="150"/>
  <c r="L45" i="150"/>
  <c r="K45" i="150"/>
  <c r="H45" i="150"/>
  <c r="A45" i="150"/>
  <c r="N44" i="150"/>
  <c r="M44" i="150"/>
  <c r="L44" i="150"/>
  <c r="K44" i="150"/>
  <c r="H44" i="150"/>
  <c r="A44" i="150"/>
  <c r="N43" i="150"/>
  <c r="M43" i="150"/>
  <c r="L43" i="150"/>
  <c r="K43" i="150"/>
  <c r="H43" i="150"/>
  <c r="A43" i="150"/>
  <c r="N42" i="150"/>
  <c r="M42" i="150"/>
  <c r="L42" i="150"/>
  <c r="K42" i="150"/>
  <c r="H42" i="150"/>
  <c r="A42" i="150"/>
  <c r="N41" i="150"/>
  <c r="M41" i="150"/>
  <c r="L41" i="150"/>
  <c r="K41" i="150"/>
  <c r="H41" i="150"/>
  <c r="A41" i="150"/>
  <c r="N40" i="150"/>
  <c r="M40" i="150"/>
  <c r="L40" i="150"/>
  <c r="K40" i="150"/>
  <c r="H40" i="150"/>
  <c r="A40" i="150"/>
  <c r="N39" i="150"/>
  <c r="M39" i="150"/>
  <c r="L39" i="150"/>
  <c r="K39" i="150"/>
  <c r="H39" i="150"/>
  <c r="A39" i="150"/>
  <c r="N38" i="150"/>
  <c r="M38" i="150"/>
  <c r="L38" i="150"/>
  <c r="K38" i="150"/>
  <c r="H38" i="150"/>
  <c r="A38" i="150"/>
  <c r="N37" i="150"/>
  <c r="M37" i="150"/>
  <c r="L37" i="150"/>
  <c r="K37" i="150"/>
  <c r="H37" i="150"/>
  <c r="A37" i="150"/>
  <c r="N36" i="150"/>
  <c r="M36" i="150"/>
  <c r="L36" i="150"/>
  <c r="K36" i="150"/>
  <c r="H36" i="150"/>
  <c r="A36" i="150"/>
  <c r="N35" i="150"/>
  <c r="M35" i="150"/>
  <c r="L35" i="150"/>
  <c r="K35" i="150"/>
  <c r="H35" i="150"/>
  <c r="A35" i="150"/>
  <c r="N34" i="150"/>
  <c r="M34" i="150"/>
  <c r="L34" i="150"/>
  <c r="K34" i="150"/>
  <c r="H34" i="150"/>
  <c r="A34" i="150"/>
  <c r="N33" i="150"/>
  <c r="M33" i="150"/>
  <c r="L33" i="150"/>
  <c r="K33" i="150"/>
  <c r="H33" i="150"/>
  <c r="A33" i="150"/>
  <c r="N32" i="150"/>
  <c r="M32" i="150"/>
  <c r="L32" i="150"/>
  <c r="K32" i="150"/>
  <c r="H32" i="150"/>
  <c r="A32" i="150"/>
  <c r="N31" i="150"/>
  <c r="M31" i="150"/>
  <c r="L31" i="150"/>
  <c r="K31" i="150"/>
  <c r="H31" i="150"/>
  <c r="A31" i="150"/>
  <c r="N30" i="150"/>
  <c r="M30" i="150"/>
  <c r="L30" i="150"/>
  <c r="K30" i="150"/>
  <c r="H30" i="150"/>
  <c r="A30" i="150"/>
  <c r="N29" i="150"/>
  <c r="M29" i="150"/>
  <c r="L29" i="150"/>
  <c r="K29" i="150"/>
  <c r="H29" i="150"/>
  <c r="A29" i="150"/>
  <c r="N28" i="150"/>
  <c r="M28" i="150"/>
  <c r="L28" i="150"/>
  <c r="K28" i="150"/>
  <c r="H28" i="150"/>
  <c r="A28" i="150"/>
  <c r="N27" i="150"/>
  <c r="M27" i="150"/>
  <c r="L27" i="150"/>
  <c r="K27" i="150"/>
  <c r="H27" i="150"/>
  <c r="A27" i="150"/>
  <c r="N26" i="150"/>
  <c r="M26" i="150"/>
  <c r="L26" i="150"/>
  <c r="K26" i="150"/>
  <c r="H26" i="150"/>
  <c r="A26" i="150"/>
  <c r="N25" i="150"/>
  <c r="M25" i="150"/>
  <c r="L25" i="150"/>
  <c r="K25" i="150"/>
  <c r="H25" i="150"/>
  <c r="A25" i="150"/>
  <c r="N24" i="150"/>
  <c r="M24" i="150"/>
  <c r="L24" i="150"/>
  <c r="K24" i="150"/>
  <c r="H24" i="150"/>
  <c r="A24" i="150"/>
  <c r="N23" i="150"/>
  <c r="M23" i="150"/>
  <c r="L23" i="150"/>
  <c r="K23" i="150"/>
  <c r="H23" i="150"/>
  <c r="A23" i="150"/>
  <c r="N22" i="150"/>
  <c r="M22" i="150"/>
  <c r="L22" i="150"/>
  <c r="K22" i="150"/>
  <c r="H22" i="150"/>
  <c r="A22" i="150"/>
  <c r="N21" i="150"/>
  <c r="M21" i="150"/>
  <c r="L21" i="150"/>
  <c r="K21" i="150"/>
  <c r="H21" i="150"/>
  <c r="A21" i="150"/>
  <c r="N20" i="150"/>
  <c r="M20" i="150"/>
  <c r="L20" i="150"/>
  <c r="K20" i="150"/>
  <c r="H20" i="150"/>
  <c r="A20" i="150"/>
  <c r="N19" i="150"/>
  <c r="M19" i="150"/>
  <c r="L19" i="150"/>
  <c r="K19" i="150"/>
  <c r="H19" i="150"/>
  <c r="A19" i="150"/>
  <c r="N18" i="150"/>
  <c r="M18" i="150"/>
  <c r="L18" i="150"/>
  <c r="K18" i="150"/>
  <c r="H18" i="150"/>
  <c r="A18" i="150"/>
  <c r="N17" i="150"/>
  <c r="M17" i="150"/>
  <c r="L17" i="150"/>
  <c r="K17" i="150"/>
  <c r="H17" i="150"/>
  <c r="A17" i="150"/>
  <c r="N16" i="150"/>
  <c r="M16" i="150"/>
  <c r="L16" i="150"/>
  <c r="K16" i="150"/>
  <c r="H16" i="150"/>
  <c r="A16" i="150"/>
  <c r="N15" i="150"/>
  <c r="M15" i="150"/>
  <c r="L15" i="150"/>
  <c r="K15" i="150"/>
  <c r="H15" i="150"/>
  <c r="A15" i="150"/>
  <c r="N14" i="150"/>
  <c r="M14" i="150"/>
  <c r="L14" i="150"/>
  <c r="K14" i="150"/>
  <c r="H14" i="150"/>
  <c r="A14" i="150"/>
  <c r="N13" i="150"/>
  <c r="M13" i="150"/>
  <c r="L13" i="150"/>
  <c r="K13" i="150"/>
  <c r="H13" i="150"/>
  <c r="A13" i="150"/>
  <c r="N12" i="150"/>
  <c r="M12" i="150"/>
  <c r="L12" i="150"/>
  <c r="K12" i="150"/>
  <c r="H12" i="150"/>
  <c r="A12" i="150"/>
  <c r="N11" i="150"/>
  <c r="M11" i="150"/>
  <c r="L11" i="150"/>
  <c r="K11" i="150"/>
  <c r="H11" i="150"/>
  <c r="A11" i="150"/>
  <c r="N10" i="150"/>
  <c r="M10" i="150"/>
  <c r="L10" i="150"/>
  <c r="K10" i="150"/>
  <c r="H10" i="150"/>
  <c r="A10" i="150"/>
  <c r="N9" i="150"/>
  <c r="M9" i="150"/>
  <c r="L9" i="150"/>
  <c r="K9" i="150"/>
  <c r="H9" i="150"/>
  <c r="A9" i="150"/>
  <c r="N8" i="150"/>
  <c r="M8" i="150"/>
  <c r="L8" i="150"/>
  <c r="K8" i="150"/>
  <c r="H8" i="150"/>
  <c r="A8" i="150"/>
  <c r="N7" i="150"/>
  <c r="M7" i="150"/>
  <c r="L7" i="150"/>
  <c r="K7" i="150"/>
  <c r="H7" i="150"/>
  <c r="A7" i="150"/>
  <c r="N6" i="150"/>
  <c r="M6" i="150"/>
  <c r="L6" i="150"/>
  <c r="K6" i="150"/>
  <c r="H6" i="150"/>
  <c r="A6" i="150"/>
  <c r="N5" i="150"/>
  <c r="M5" i="150"/>
  <c r="L5" i="150"/>
  <c r="K5" i="150"/>
  <c r="H5" i="150"/>
  <c r="A5" i="150"/>
  <c r="N4" i="150"/>
  <c r="M4" i="150"/>
  <c r="L4" i="150"/>
  <c r="K4" i="150"/>
  <c r="H4" i="150"/>
  <c r="A4" i="150"/>
  <c r="N3" i="150"/>
  <c r="M3" i="150"/>
  <c r="L3" i="150"/>
  <c r="K3" i="150"/>
  <c r="H3" i="150"/>
  <c r="A3" i="150"/>
  <c r="N2" i="150"/>
  <c r="M2" i="150"/>
  <c r="L2" i="150"/>
  <c r="K2" i="150"/>
  <c r="H2" i="150"/>
  <c r="A2" i="150"/>
  <c r="F63" i="149"/>
  <c r="F62" i="149"/>
  <c r="B55" i="149"/>
  <c r="B56" i="149"/>
  <c r="B57" i="149"/>
  <c r="B58" i="149"/>
  <c r="B59" i="149"/>
  <c r="B60" i="149"/>
  <c r="B61" i="149"/>
  <c r="B62" i="149"/>
  <c r="C55" i="149"/>
  <c r="C56" i="149"/>
  <c r="C57" i="149"/>
  <c r="C58" i="149"/>
  <c r="C59" i="149"/>
  <c r="C60" i="149"/>
  <c r="C61" i="149"/>
  <c r="C62" i="149"/>
  <c r="F61" i="149"/>
  <c r="F60" i="149"/>
  <c r="F57" i="149"/>
  <c r="G57" i="149"/>
  <c r="F56" i="149"/>
  <c r="G56" i="149"/>
  <c r="F55" i="149"/>
  <c r="G55" i="149"/>
  <c r="B47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D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I36" i="149"/>
  <c r="J36" i="149"/>
  <c r="F36" i="149"/>
  <c r="C36" i="149"/>
  <c r="D36" i="149"/>
  <c r="I35" i="149"/>
  <c r="J35" i="149"/>
  <c r="F35" i="149"/>
  <c r="C35" i="149"/>
  <c r="D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G31" i="149"/>
  <c r="E31" i="149"/>
  <c r="H31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B46" i="147"/>
  <c r="N284" i="148"/>
  <c r="M284" i="148"/>
  <c r="L284" i="148"/>
  <c r="K284" i="148"/>
  <c r="H284" i="148"/>
  <c r="A284" i="148"/>
  <c r="N283" i="148"/>
  <c r="M283" i="148"/>
  <c r="L283" i="148"/>
  <c r="K283" i="148"/>
  <c r="H283" i="148"/>
  <c r="A283" i="148"/>
  <c r="N282" i="148"/>
  <c r="M282" i="148"/>
  <c r="L282" i="148"/>
  <c r="K282" i="148"/>
  <c r="H282" i="148"/>
  <c r="A282" i="148"/>
  <c r="N281" i="148"/>
  <c r="M281" i="148"/>
  <c r="L281" i="148"/>
  <c r="K281" i="148"/>
  <c r="H281" i="148"/>
  <c r="A281" i="148"/>
  <c r="N280" i="148"/>
  <c r="M280" i="148"/>
  <c r="L280" i="148"/>
  <c r="K280" i="148"/>
  <c r="H280" i="148"/>
  <c r="A280" i="148"/>
  <c r="N279" i="148"/>
  <c r="M279" i="148"/>
  <c r="L279" i="148"/>
  <c r="K279" i="148"/>
  <c r="H279" i="148"/>
  <c r="A279" i="148"/>
  <c r="N278" i="148"/>
  <c r="M278" i="148"/>
  <c r="L278" i="148"/>
  <c r="K278" i="148"/>
  <c r="H278" i="148"/>
  <c r="A278" i="148"/>
  <c r="N277" i="148"/>
  <c r="M277" i="148"/>
  <c r="L277" i="148"/>
  <c r="K277" i="148"/>
  <c r="H277" i="148"/>
  <c r="A277" i="148"/>
  <c r="N276" i="148"/>
  <c r="M276" i="148"/>
  <c r="L276" i="148"/>
  <c r="K276" i="148"/>
  <c r="H276" i="148"/>
  <c r="A276" i="148"/>
  <c r="N275" i="148"/>
  <c r="M275" i="148"/>
  <c r="L275" i="148"/>
  <c r="K275" i="148"/>
  <c r="H275" i="148"/>
  <c r="A275" i="148"/>
  <c r="N274" i="148"/>
  <c r="M274" i="148"/>
  <c r="L274" i="148"/>
  <c r="K274" i="148"/>
  <c r="H274" i="148"/>
  <c r="A274" i="148"/>
  <c r="N273" i="148"/>
  <c r="M273" i="148"/>
  <c r="L273" i="148"/>
  <c r="K273" i="148"/>
  <c r="H273" i="148"/>
  <c r="A273" i="148"/>
  <c r="N272" i="148"/>
  <c r="M272" i="148"/>
  <c r="L272" i="148"/>
  <c r="K272" i="148"/>
  <c r="H272" i="148"/>
  <c r="A272" i="148"/>
  <c r="N271" i="148"/>
  <c r="M271" i="148"/>
  <c r="L271" i="148"/>
  <c r="K271" i="148"/>
  <c r="H271" i="148"/>
  <c r="A271" i="148"/>
  <c r="N270" i="148"/>
  <c r="M270" i="148"/>
  <c r="L270" i="148"/>
  <c r="K270" i="148"/>
  <c r="H270" i="148"/>
  <c r="A270" i="148"/>
  <c r="N269" i="148"/>
  <c r="M269" i="148"/>
  <c r="L269" i="148"/>
  <c r="K269" i="148"/>
  <c r="H269" i="148"/>
  <c r="A269" i="148"/>
  <c r="N268" i="148"/>
  <c r="M268" i="148"/>
  <c r="L268" i="148"/>
  <c r="K268" i="148"/>
  <c r="H268" i="148"/>
  <c r="A268" i="148"/>
  <c r="N267" i="148"/>
  <c r="M267" i="148"/>
  <c r="L267" i="148"/>
  <c r="K267" i="148"/>
  <c r="H267" i="148"/>
  <c r="A267" i="148"/>
  <c r="N266" i="148"/>
  <c r="M266" i="148"/>
  <c r="L266" i="148"/>
  <c r="K266" i="148"/>
  <c r="H266" i="148"/>
  <c r="A266" i="148"/>
  <c r="N265" i="148"/>
  <c r="M265" i="148"/>
  <c r="L265" i="148"/>
  <c r="K265" i="148"/>
  <c r="H265" i="148"/>
  <c r="A265" i="148"/>
  <c r="N264" i="148"/>
  <c r="M264" i="148"/>
  <c r="L264" i="148"/>
  <c r="K264" i="148"/>
  <c r="H264" i="148"/>
  <c r="A264" i="148"/>
  <c r="N263" i="148"/>
  <c r="M263" i="148"/>
  <c r="L263" i="148"/>
  <c r="K263" i="148"/>
  <c r="H263" i="148"/>
  <c r="A263" i="148"/>
  <c r="N262" i="148"/>
  <c r="M262" i="148"/>
  <c r="L262" i="148"/>
  <c r="K262" i="148"/>
  <c r="H262" i="148"/>
  <c r="A262" i="148"/>
  <c r="N261" i="148"/>
  <c r="M261" i="148"/>
  <c r="L261" i="148"/>
  <c r="K261" i="148"/>
  <c r="H261" i="148"/>
  <c r="A261" i="148"/>
  <c r="N260" i="148"/>
  <c r="M260" i="148"/>
  <c r="L260" i="148"/>
  <c r="K260" i="148"/>
  <c r="H260" i="148"/>
  <c r="A260" i="148"/>
  <c r="N259" i="148"/>
  <c r="M259" i="148"/>
  <c r="L259" i="148"/>
  <c r="K259" i="148"/>
  <c r="H259" i="148"/>
  <c r="A259" i="148"/>
  <c r="N258" i="148"/>
  <c r="M258" i="148"/>
  <c r="L258" i="148"/>
  <c r="K258" i="148"/>
  <c r="H258" i="148"/>
  <c r="A258" i="148"/>
  <c r="N257" i="148"/>
  <c r="M257" i="148"/>
  <c r="L257" i="148"/>
  <c r="K257" i="148"/>
  <c r="H257" i="148"/>
  <c r="A257" i="148"/>
  <c r="N256" i="148"/>
  <c r="M256" i="148"/>
  <c r="L256" i="148"/>
  <c r="K256" i="148"/>
  <c r="H256" i="148"/>
  <c r="A256" i="148"/>
  <c r="N255" i="148"/>
  <c r="M255" i="148"/>
  <c r="L255" i="148"/>
  <c r="K255" i="148"/>
  <c r="H255" i="148"/>
  <c r="A255" i="148"/>
  <c r="N254" i="148"/>
  <c r="M254" i="148"/>
  <c r="L254" i="148"/>
  <c r="K254" i="148"/>
  <c r="H254" i="148"/>
  <c r="A254" i="148"/>
  <c r="N253" i="148"/>
  <c r="M253" i="148"/>
  <c r="L253" i="148"/>
  <c r="K253" i="148"/>
  <c r="H253" i="148"/>
  <c r="A253" i="148"/>
  <c r="N252" i="148"/>
  <c r="M252" i="148"/>
  <c r="L252" i="148"/>
  <c r="K252" i="148"/>
  <c r="H252" i="148"/>
  <c r="A252" i="148"/>
  <c r="N251" i="148"/>
  <c r="M251" i="148"/>
  <c r="L251" i="148"/>
  <c r="K251" i="148"/>
  <c r="H251" i="148"/>
  <c r="A251" i="148"/>
  <c r="N250" i="148"/>
  <c r="M250" i="148"/>
  <c r="L250" i="148"/>
  <c r="K250" i="148"/>
  <c r="H250" i="148"/>
  <c r="A250" i="148"/>
  <c r="N249" i="148"/>
  <c r="M249" i="148"/>
  <c r="L249" i="148"/>
  <c r="K249" i="148"/>
  <c r="H249" i="148"/>
  <c r="A249" i="148"/>
  <c r="N248" i="148"/>
  <c r="M248" i="148"/>
  <c r="L248" i="148"/>
  <c r="K248" i="148"/>
  <c r="H248" i="148"/>
  <c r="A248" i="148"/>
  <c r="N247" i="148"/>
  <c r="M247" i="148"/>
  <c r="L247" i="148"/>
  <c r="K247" i="148"/>
  <c r="H247" i="148"/>
  <c r="A247" i="148"/>
  <c r="N246" i="148"/>
  <c r="M246" i="148"/>
  <c r="L246" i="148"/>
  <c r="K246" i="148"/>
  <c r="H246" i="148"/>
  <c r="A246" i="148"/>
  <c r="N245" i="148"/>
  <c r="M245" i="148"/>
  <c r="L245" i="148"/>
  <c r="K245" i="148"/>
  <c r="H245" i="148"/>
  <c r="A245" i="148"/>
  <c r="N244" i="148"/>
  <c r="M244" i="148"/>
  <c r="L244" i="148"/>
  <c r="K244" i="148"/>
  <c r="H244" i="148"/>
  <c r="A244" i="148"/>
  <c r="N243" i="148"/>
  <c r="M243" i="148"/>
  <c r="L243" i="148"/>
  <c r="K243" i="148"/>
  <c r="H243" i="148"/>
  <c r="A243" i="148"/>
  <c r="N242" i="148"/>
  <c r="M242" i="148"/>
  <c r="L242" i="148"/>
  <c r="K242" i="148"/>
  <c r="H242" i="148"/>
  <c r="A242" i="148"/>
  <c r="N241" i="148"/>
  <c r="M241" i="148"/>
  <c r="L241" i="148"/>
  <c r="K241" i="148"/>
  <c r="H241" i="148"/>
  <c r="A241" i="148"/>
  <c r="N240" i="148"/>
  <c r="M240" i="148"/>
  <c r="L240" i="148"/>
  <c r="K240" i="148"/>
  <c r="H240" i="148"/>
  <c r="A240" i="148"/>
  <c r="N239" i="148"/>
  <c r="M239" i="148"/>
  <c r="L239" i="148"/>
  <c r="K239" i="148"/>
  <c r="H239" i="148"/>
  <c r="A239" i="148"/>
  <c r="N238" i="148"/>
  <c r="M238" i="148"/>
  <c r="L238" i="148"/>
  <c r="K238" i="148"/>
  <c r="H238" i="148"/>
  <c r="A238" i="148"/>
  <c r="N237" i="148"/>
  <c r="M237" i="148"/>
  <c r="L237" i="148"/>
  <c r="K237" i="148"/>
  <c r="H237" i="148"/>
  <c r="A237" i="148"/>
  <c r="N236" i="148"/>
  <c r="M236" i="148"/>
  <c r="L236" i="148"/>
  <c r="K236" i="148"/>
  <c r="H236" i="148"/>
  <c r="A236" i="148"/>
  <c r="N235" i="148"/>
  <c r="M235" i="148"/>
  <c r="L235" i="148"/>
  <c r="K235" i="148"/>
  <c r="H235" i="148"/>
  <c r="A235" i="148"/>
  <c r="N234" i="148"/>
  <c r="M234" i="148"/>
  <c r="L234" i="148"/>
  <c r="K234" i="148"/>
  <c r="H234" i="148"/>
  <c r="A234" i="148"/>
  <c r="N233" i="148"/>
  <c r="M233" i="148"/>
  <c r="L233" i="148"/>
  <c r="K233" i="148"/>
  <c r="H233" i="148"/>
  <c r="A233" i="148"/>
  <c r="N232" i="148"/>
  <c r="M232" i="148"/>
  <c r="L232" i="148"/>
  <c r="K232" i="148"/>
  <c r="H232" i="148"/>
  <c r="A232" i="148"/>
  <c r="N231" i="148"/>
  <c r="M231" i="148"/>
  <c r="L231" i="148"/>
  <c r="K231" i="148"/>
  <c r="H231" i="148"/>
  <c r="A231" i="148"/>
  <c r="N230" i="148"/>
  <c r="M230" i="148"/>
  <c r="L230" i="148"/>
  <c r="K230" i="148"/>
  <c r="H230" i="148"/>
  <c r="A230" i="148"/>
  <c r="N229" i="148"/>
  <c r="M229" i="148"/>
  <c r="L229" i="148"/>
  <c r="K229" i="148"/>
  <c r="H229" i="148"/>
  <c r="A229" i="148"/>
  <c r="N228" i="148"/>
  <c r="M228" i="148"/>
  <c r="L228" i="148"/>
  <c r="K228" i="148"/>
  <c r="H228" i="148"/>
  <c r="A228" i="148"/>
  <c r="N227" i="148"/>
  <c r="M227" i="148"/>
  <c r="L227" i="148"/>
  <c r="K227" i="148"/>
  <c r="H227" i="148"/>
  <c r="A227" i="148"/>
  <c r="N226" i="148"/>
  <c r="M226" i="148"/>
  <c r="L226" i="148"/>
  <c r="K226" i="148"/>
  <c r="H226" i="148"/>
  <c r="A226" i="148"/>
  <c r="N225" i="148"/>
  <c r="M225" i="148"/>
  <c r="L225" i="148"/>
  <c r="K225" i="148"/>
  <c r="H225" i="148"/>
  <c r="A225" i="148"/>
  <c r="N224" i="148"/>
  <c r="M224" i="148"/>
  <c r="L224" i="148"/>
  <c r="K224" i="148"/>
  <c r="H224" i="148"/>
  <c r="A224" i="148"/>
  <c r="N223" i="148"/>
  <c r="M223" i="148"/>
  <c r="L223" i="148"/>
  <c r="K223" i="148"/>
  <c r="H223" i="148"/>
  <c r="A223" i="148"/>
  <c r="N222" i="148"/>
  <c r="M222" i="148"/>
  <c r="L222" i="148"/>
  <c r="K222" i="148"/>
  <c r="H222" i="148"/>
  <c r="A222" i="148"/>
  <c r="N221" i="148"/>
  <c r="M221" i="148"/>
  <c r="L221" i="148"/>
  <c r="K221" i="148"/>
  <c r="H221" i="148"/>
  <c r="A221" i="148"/>
  <c r="N220" i="148"/>
  <c r="M220" i="148"/>
  <c r="L220" i="148"/>
  <c r="K220" i="148"/>
  <c r="H220" i="148"/>
  <c r="A220" i="148"/>
  <c r="N219" i="148"/>
  <c r="M219" i="148"/>
  <c r="L219" i="148"/>
  <c r="K219" i="148"/>
  <c r="H219" i="148"/>
  <c r="A219" i="148"/>
  <c r="N218" i="148"/>
  <c r="M218" i="148"/>
  <c r="L218" i="148"/>
  <c r="K218" i="148"/>
  <c r="H218" i="148"/>
  <c r="A218" i="148"/>
  <c r="N217" i="148"/>
  <c r="M217" i="148"/>
  <c r="L217" i="148"/>
  <c r="K217" i="148"/>
  <c r="H217" i="148"/>
  <c r="A217" i="148"/>
  <c r="N216" i="148"/>
  <c r="M216" i="148"/>
  <c r="L216" i="148"/>
  <c r="K216" i="148"/>
  <c r="H216" i="148"/>
  <c r="A216" i="148"/>
  <c r="N215" i="148"/>
  <c r="M215" i="148"/>
  <c r="L215" i="148"/>
  <c r="K215" i="148"/>
  <c r="H215" i="148"/>
  <c r="A215" i="148"/>
  <c r="N214" i="148"/>
  <c r="M214" i="148"/>
  <c r="L214" i="148"/>
  <c r="K214" i="148"/>
  <c r="H214" i="148"/>
  <c r="A214" i="148"/>
  <c r="N213" i="148"/>
  <c r="M213" i="148"/>
  <c r="L213" i="148"/>
  <c r="K213" i="148"/>
  <c r="H213" i="148"/>
  <c r="A213" i="148"/>
  <c r="N212" i="148"/>
  <c r="M212" i="148"/>
  <c r="L212" i="148"/>
  <c r="K212" i="148"/>
  <c r="H212" i="148"/>
  <c r="A212" i="148"/>
  <c r="N211" i="148"/>
  <c r="M211" i="148"/>
  <c r="L211" i="148"/>
  <c r="K211" i="148"/>
  <c r="H211" i="148"/>
  <c r="A211" i="148"/>
  <c r="N210" i="148"/>
  <c r="M210" i="148"/>
  <c r="L210" i="148"/>
  <c r="K210" i="148"/>
  <c r="H210" i="148"/>
  <c r="A210" i="148"/>
  <c r="N209" i="148"/>
  <c r="M209" i="148"/>
  <c r="L209" i="148"/>
  <c r="K209" i="148"/>
  <c r="H209" i="148"/>
  <c r="A209" i="148"/>
  <c r="N208" i="148"/>
  <c r="M208" i="148"/>
  <c r="L208" i="148"/>
  <c r="K208" i="148"/>
  <c r="H208" i="148"/>
  <c r="A208" i="148"/>
  <c r="N207" i="148"/>
  <c r="M207" i="148"/>
  <c r="L207" i="148"/>
  <c r="K207" i="148"/>
  <c r="H207" i="148"/>
  <c r="A207" i="148"/>
  <c r="N206" i="148"/>
  <c r="M206" i="148"/>
  <c r="L206" i="148"/>
  <c r="K206" i="148"/>
  <c r="H206" i="148"/>
  <c r="A206" i="148"/>
  <c r="N205" i="148"/>
  <c r="M205" i="148"/>
  <c r="L205" i="148"/>
  <c r="K205" i="148"/>
  <c r="H205" i="148"/>
  <c r="A205" i="148"/>
  <c r="N204" i="148"/>
  <c r="M204" i="148"/>
  <c r="L204" i="148"/>
  <c r="K204" i="148"/>
  <c r="H204" i="148"/>
  <c r="A204" i="148"/>
  <c r="N203" i="148"/>
  <c r="M203" i="148"/>
  <c r="L203" i="148"/>
  <c r="K203" i="148"/>
  <c r="H203" i="148"/>
  <c r="A203" i="148"/>
  <c r="N202" i="148"/>
  <c r="M202" i="148"/>
  <c r="L202" i="148"/>
  <c r="K202" i="148"/>
  <c r="H202" i="148"/>
  <c r="A202" i="148"/>
  <c r="N201" i="148"/>
  <c r="M201" i="148"/>
  <c r="L201" i="148"/>
  <c r="K201" i="148"/>
  <c r="H201" i="148"/>
  <c r="A201" i="148"/>
  <c r="N200" i="148"/>
  <c r="M200" i="148"/>
  <c r="L200" i="148"/>
  <c r="K200" i="148"/>
  <c r="H200" i="148"/>
  <c r="A200" i="148"/>
  <c r="N199" i="148"/>
  <c r="M199" i="148"/>
  <c r="L199" i="148"/>
  <c r="K199" i="148"/>
  <c r="H199" i="148"/>
  <c r="A199" i="148"/>
  <c r="N198" i="148"/>
  <c r="M198" i="148"/>
  <c r="L198" i="148"/>
  <c r="K198" i="148"/>
  <c r="H198" i="148"/>
  <c r="A198" i="148"/>
  <c r="N197" i="148"/>
  <c r="M197" i="148"/>
  <c r="L197" i="148"/>
  <c r="K197" i="148"/>
  <c r="H197" i="148"/>
  <c r="A197" i="148"/>
  <c r="N196" i="148"/>
  <c r="M196" i="148"/>
  <c r="L196" i="148"/>
  <c r="K196" i="148"/>
  <c r="H196" i="148"/>
  <c r="A196" i="148"/>
  <c r="N195" i="148"/>
  <c r="M195" i="148"/>
  <c r="L195" i="148"/>
  <c r="K195" i="148"/>
  <c r="H195" i="148"/>
  <c r="A195" i="148"/>
  <c r="N194" i="148"/>
  <c r="M194" i="148"/>
  <c r="L194" i="148"/>
  <c r="K194" i="148"/>
  <c r="H194" i="148"/>
  <c r="A194" i="148"/>
  <c r="N193" i="148"/>
  <c r="M193" i="148"/>
  <c r="L193" i="148"/>
  <c r="K193" i="148"/>
  <c r="H193" i="148"/>
  <c r="A193" i="148"/>
  <c r="N192" i="148"/>
  <c r="M192" i="148"/>
  <c r="L192" i="148"/>
  <c r="K192" i="148"/>
  <c r="H192" i="148"/>
  <c r="A192" i="148"/>
  <c r="N191" i="148"/>
  <c r="M191" i="148"/>
  <c r="L191" i="148"/>
  <c r="K191" i="148"/>
  <c r="H191" i="148"/>
  <c r="A191" i="148"/>
  <c r="N190" i="148"/>
  <c r="M190" i="148"/>
  <c r="L190" i="148"/>
  <c r="K190" i="148"/>
  <c r="H190" i="148"/>
  <c r="A190" i="148"/>
  <c r="N189" i="148"/>
  <c r="M189" i="148"/>
  <c r="L189" i="148"/>
  <c r="K189" i="148"/>
  <c r="H189" i="148"/>
  <c r="A189" i="148"/>
  <c r="N188" i="148"/>
  <c r="M188" i="148"/>
  <c r="L188" i="148"/>
  <c r="K188" i="148"/>
  <c r="H188" i="148"/>
  <c r="A188" i="148"/>
  <c r="N187" i="148"/>
  <c r="M187" i="148"/>
  <c r="L187" i="148"/>
  <c r="K187" i="148"/>
  <c r="H187" i="148"/>
  <c r="A187" i="148"/>
  <c r="N186" i="148"/>
  <c r="M186" i="148"/>
  <c r="L186" i="148"/>
  <c r="K186" i="148"/>
  <c r="H186" i="148"/>
  <c r="A186" i="148"/>
  <c r="N185" i="148"/>
  <c r="M185" i="148"/>
  <c r="L185" i="148"/>
  <c r="K185" i="148"/>
  <c r="H185" i="148"/>
  <c r="A185" i="148"/>
  <c r="N184" i="148"/>
  <c r="M184" i="148"/>
  <c r="L184" i="148"/>
  <c r="K184" i="148"/>
  <c r="H184" i="148"/>
  <c r="A184" i="148"/>
  <c r="N183" i="148"/>
  <c r="M183" i="148"/>
  <c r="L183" i="148"/>
  <c r="K183" i="148"/>
  <c r="H183" i="148"/>
  <c r="A183" i="148"/>
  <c r="N182" i="148"/>
  <c r="M182" i="148"/>
  <c r="L182" i="148"/>
  <c r="K182" i="148"/>
  <c r="H182" i="148"/>
  <c r="A182" i="148"/>
  <c r="N181" i="148"/>
  <c r="M181" i="148"/>
  <c r="L181" i="148"/>
  <c r="K181" i="148"/>
  <c r="H181" i="148"/>
  <c r="A181" i="148"/>
  <c r="N180" i="148"/>
  <c r="M180" i="148"/>
  <c r="L180" i="148"/>
  <c r="K180" i="148"/>
  <c r="H180" i="148"/>
  <c r="A180" i="148"/>
  <c r="N179" i="148"/>
  <c r="M179" i="148"/>
  <c r="L179" i="148"/>
  <c r="K179" i="148"/>
  <c r="H179" i="148"/>
  <c r="A179" i="148"/>
  <c r="N178" i="148"/>
  <c r="M178" i="148"/>
  <c r="L178" i="148"/>
  <c r="K178" i="148"/>
  <c r="H178" i="148"/>
  <c r="A178" i="148"/>
  <c r="N177" i="148"/>
  <c r="M177" i="148"/>
  <c r="L177" i="148"/>
  <c r="K177" i="148"/>
  <c r="H177" i="148"/>
  <c r="A177" i="148"/>
  <c r="N176" i="148"/>
  <c r="M176" i="148"/>
  <c r="L176" i="148"/>
  <c r="K176" i="148"/>
  <c r="H176" i="148"/>
  <c r="A176" i="148"/>
  <c r="N175" i="148"/>
  <c r="M175" i="148"/>
  <c r="L175" i="148"/>
  <c r="K175" i="148"/>
  <c r="H175" i="148"/>
  <c r="A175" i="148"/>
  <c r="N174" i="148"/>
  <c r="M174" i="148"/>
  <c r="L174" i="148"/>
  <c r="K174" i="148"/>
  <c r="H174" i="148"/>
  <c r="A174" i="148"/>
  <c r="N173" i="148"/>
  <c r="M173" i="148"/>
  <c r="L173" i="148"/>
  <c r="K173" i="148"/>
  <c r="H173" i="148"/>
  <c r="A173" i="148"/>
  <c r="N172" i="148"/>
  <c r="M172" i="148"/>
  <c r="L172" i="148"/>
  <c r="K172" i="148"/>
  <c r="H172" i="148"/>
  <c r="A172" i="148"/>
  <c r="N171" i="148"/>
  <c r="M171" i="148"/>
  <c r="L171" i="148"/>
  <c r="K171" i="148"/>
  <c r="H171" i="148"/>
  <c r="A171" i="148"/>
  <c r="N170" i="148"/>
  <c r="M170" i="148"/>
  <c r="L170" i="148"/>
  <c r="K170" i="148"/>
  <c r="H170" i="148"/>
  <c r="A170" i="148"/>
  <c r="N169" i="148"/>
  <c r="M169" i="148"/>
  <c r="L169" i="148"/>
  <c r="K169" i="148"/>
  <c r="H169" i="148"/>
  <c r="A169" i="148"/>
  <c r="N168" i="148"/>
  <c r="M168" i="148"/>
  <c r="L168" i="148"/>
  <c r="K168" i="148"/>
  <c r="H168" i="148"/>
  <c r="A168" i="148"/>
  <c r="N167" i="148"/>
  <c r="M167" i="148"/>
  <c r="L167" i="148"/>
  <c r="K167" i="148"/>
  <c r="H167" i="148"/>
  <c r="A167" i="148"/>
  <c r="N166" i="148"/>
  <c r="M166" i="148"/>
  <c r="L166" i="148"/>
  <c r="K166" i="148"/>
  <c r="H166" i="148"/>
  <c r="A166" i="148"/>
  <c r="N165" i="148"/>
  <c r="M165" i="148"/>
  <c r="L165" i="148"/>
  <c r="K165" i="148"/>
  <c r="H165" i="148"/>
  <c r="A165" i="148"/>
  <c r="N164" i="148"/>
  <c r="M164" i="148"/>
  <c r="L164" i="148"/>
  <c r="K164" i="148"/>
  <c r="H164" i="148"/>
  <c r="A164" i="148"/>
  <c r="N163" i="148"/>
  <c r="M163" i="148"/>
  <c r="L163" i="148"/>
  <c r="K163" i="148"/>
  <c r="H163" i="148"/>
  <c r="A163" i="148"/>
  <c r="N162" i="148"/>
  <c r="M162" i="148"/>
  <c r="L162" i="148"/>
  <c r="K162" i="148"/>
  <c r="H162" i="148"/>
  <c r="A162" i="148"/>
  <c r="N161" i="148"/>
  <c r="M161" i="148"/>
  <c r="L161" i="148"/>
  <c r="K161" i="148"/>
  <c r="H161" i="148"/>
  <c r="A161" i="148"/>
  <c r="N160" i="148"/>
  <c r="M160" i="148"/>
  <c r="L160" i="148"/>
  <c r="K160" i="148"/>
  <c r="H160" i="148"/>
  <c r="A160" i="148"/>
  <c r="N159" i="148"/>
  <c r="M159" i="148"/>
  <c r="L159" i="148"/>
  <c r="K159" i="148"/>
  <c r="H159" i="148"/>
  <c r="A159" i="148"/>
  <c r="N158" i="148"/>
  <c r="M158" i="148"/>
  <c r="L158" i="148"/>
  <c r="K158" i="148"/>
  <c r="H158" i="148"/>
  <c r="A158" i="148"/>
  <c r="N157" i="148"/>
  <c r="M157" i="148"/>
  <c r="L157" i="148"/>
  <c r="K157" i="148"/>
  <c r="H157" i="148"/>
  <c r="A157" i="148"/>
  <c r="N156" i="148"/>
  <c r="M156" i="148"/>
  <c r="L156" i="148"/>
  <c r="K156" i="148"/>
  <c r="H156" i="148"/>
  <c r="A156" i="148"/>
  <c r="N155" i="148"/>
  <c r="M155" i="148"/>
  <c r="L155" i="148"/>
  <c r="K155" i="148"/>
  <c r="H155" i="148"/>
  <c r="A155" i="148"/>
  <c r="N154" i="148"/>
  <c r="M154" i="148"/>
  <c r="L154" i="148"/>
  <c r="K154" i="148"/>
  <c r="H154" i="148"/>
  <c r="A154" i="148"/>
  <c r="N153" i="148"/>
  <c r="M153" i="148"/>
  <c r="L153" i="148"/>
  <c r="K153" i="148"/>
  <c r="H153" i="148"/>
  <c r="A153" i="148"/>
  <c r="N152" i="148"/>
  <c r="M152" i="148"/>
  <c r="L152" i="148"/>
  <c r="K152" i="148"/>
  <c r="H152" i="148"/>
  <c r="A152" i="148"/>
  <c r="N151" i="148"/>
  <c r="M151" i="148"/>
  <c r="L151" i="148"/>
  <c r="K151" i="148"/>
  <c r="H151" i="148"/>
  <c r="A151" i="148"/>
  <c r="N150" i="148"/>
  <c r="M150" i="148"/>
  <c r="L150" i="148"/>
  <c r="K150" i="148"/>
  <c r="H150" i="148"/>
  <c r="A150" i="148"/>
  <c r="N149" i="148"/>
  <c r="M149" i="148"/>
  <c r="L149" i="148"/>
  <c r="K149" i="148"/>
  <c r="H149" i="148"/>
  <c r="A149" i="148"/>
  <c r="N148" i="148"/>
  <c r="M148" i="148"/>
  <c r="L148" i="148"/>
  <c r="K148" i="148"/>
  <c r="H148" i="148"/>
  <c r="A148" i="148"/>
  <c r="N147" i="148"/>
  <c r="M147" i="148"/>
  <c r="L147" i="148"/>
  <c r="K147" i="148"/>
  <c r="H147" i="148"/>
  <c r="A147" i="148"/>
  <c r="N146" i="148"/>
  <c r="M146" i="148"/>
  <c r="L146" i="148"/>
  <c r="K146" i="148"/>
  <c r="H146" i="148"/>
  <c r="A146" i="148"/>
  <c r="N145" i="148"/>
  <c r="M145" i="148"/>
  <c r="L145" i="148"/>
  <c r="K145" i="148"/>
  <c r="H145" i="148"/>
  <c r="A145" i="148"/>
  <c r="N144" i="148"/>
  <c r="M144" i="148"/>
  <c r="L144" i="148"/>
  <c r="K144" i="148"/>
  <c r="H144" i="148"/>
  <c r="A144" i="148"/>
  <c r="N143" i="148"/>
  <c r="M143" i="148"/>
  <c r="L143" i="148"/>
  <c r="K143" i="148"/>
  <c r="H143" i="148"/>
  <c r="A143" i="148"/>
  <c r="N142" i="148"/>
  <c r="M142" i="148"/>
  <c r="L142" i="148"/>
  <c r="K142" i="148"/>
  <c r="H142" i="148"/>
  <c r="A142" i="148"/>
  <c r="N141" i="148"/>
  <c r="M141" i="148"/>
  <c r="L141" i="148"/>
  <c r="K141" i="148"/>
  <c r="H141" i="148"/>
  <c r="A141" i="148"/>
  <c r="N140" i="148"/>
  <c r="M140" i="148"/>
  <c r="L140" i="148"/>
  <c r="K140" i="148"/>
  <c r="H140" i="148"/>
  <c r="A140" i="148"/>
  <c r="N139" i="148"/>
  <c r="M139" i="148"/>
  <c r="L139" i="148"/>
  <c r="K139" i="148"/>
  <c r="H139" i="148"/>
  <c r="A139" i="148"/>
  <c r="N138" i="148"/>
  <c r="M138" i="148"/>
  <c r="L138" i="148"/>
  <c r="K138" i="148"/>
  <c r="H138" i="148"/>
  <c r="A138" i="148"/>
  <c r="N137" i="148"/>
  <c r="M137" i="148"/>
  <c r="L137" i="148"/>
  <c r="K137" i="148"/>
  <c r="H137" i="148"/>
  <c r="A137" i="148"/>
  <c r="N136" i="148"/>
  <c r="M136" i="148"/>
  <c r="L136" i="148"/>
  <c r="K136" i="148"/>
  <c r="H136" i="148"/>
  <c r="A136" i="148"/>
  <c r="N135" i="148"/>
  <c r="M135" i="148"/>
  <c r="L135" i="148"/>
  <c r="K135" i="148"/>
  <c r="H135" i="148"/>
  <c r="A135" i="148"/>
  <c r="N134" i="148"/>
  <c r="M134" i="148"/>
  <c r="L134" i="148"/>
  <c r="K134" i="148"/>
  <c r="H134" i="148"/>
  <c r="A134" i="148"/>
  <c r="N133" i="148"/>
  <c r="M133" i="148"/>
  <c r="L133" i="148"/>
  <c r="K133" i="148"/>
  <c r="H133" i="148"/>
  <c r="A133" i="148"/>
  <c r="N132" i="148"/>
  <c r="M132" i="148"/>
  <c r="L132" i="148"/>
  <c r="K132" i="148"/>
  <c r="H132" i="148"/>
  <c r="A132" i="148"/>
  <c r="N131" i="148"/>
  <c r="M131" i="148"/>
  <c r="L131" i="148"/>
  <c r="K131" i="148"/>
  <c r="H131" i="148"/>
  <c r="A131" i="148"/>
  <c r="N130" i="148"/>
  <c r="M130" i="148"/>
  <c r="L130" i="148"/>
  <c r="K130" i="148"/>
  <c r="H130" i="148"/>
  <c r="A130" i="148"/>
  <c r="N129" i="148"/>
  <c r="M129" i="148"/>
  <c r="L129" i="148"/>
  <c r="K129" i="148"/>
  <c r="H129" i="148"/>
  <c r="A129" i="148"/>
  <c r="N128" i="148"/>
  <c r="M128" i="148"/>
  <c r="L128" i="148"/>
  <c r="K128" i="148"/>
  <c r="H128" i="148"/>
  <c r="A128" i="148"/>
  <c r="N127" i="148"/>
  <c r="M127" i="148"/>
  <c r="L127" i="148"/>
  <c r="K127" i="148"/>
  <c r="H127" i="148"/>
  <c r="A127" i="148"/>
  <c r="N126" i="148"/>
  <c r="M126" i="148"/>
  <c r="L126" i="148"/>
  <c r="K126" i="148"/>
  <c r="H126" i="148"/>
  <c r="A126" i="148"/>
  <c r="N125" i="148"/>
  <c r="M125" i="148"/>
  <c r="L125" i="148"/>
  <c r="K125" i="148"/>
  <c r="H125" i="148"/>
  <c r="A125" i="148"/>
  <c r="N124" i="148"/>
  <c r="M124" i="148"/>
  <c r="L124" i="148"/>
  <c r="K124" i="148"/>
  <c r="H124" i="148"/>
  <c r="A124" i="148"/>
  <c r="N123" i="148"/>
  <c r="M123" i="148"/>
  <c r="L123" i="148"/>
  <c r="K123" i="148"/>
  <c r="H123" i="148"/>
  <c r="A123" i="148"/>
  <c r="N122" i="148"/>
  <c r="M122" i="148"/>
  <c r="L122" i="148"/>
  <c r="K122" i="148"/>
  <c r="H122" i="148"/>
  <c r="A122" i="148"/>
  <c r="N121" i="148"/>
  <c r="M121" i="148"/>
  <c r="L121" i="148"/>
  <c r="K121" i="148"/>
  <c r="H121" i="148"/>
  <c r="A121" i="148"/>
  <c r="N120" i="148"/>
  <c r="M120" i="148"/>
  <c r="L120" i="148"/>
  <c r="K120" i="148"/>
  <c r="H120" i="148"/>
  <c r="A120" i="148"/>
  <c r="N119" i="148"/>
  <c r="M119" i="148"/>
  <c r="L119" i="148"/>
  <c r="K119" i="148"/>
  <c r="H119" i="148"/>
  <c r="A119" i="148"/>
  <c r="N118" i="148"/>
  <c r="M118" i="148"/>
  <c r="L118" i="148"/>
  <c r="K118" i="148"/>
  <c r="H118" i="148"/>
  <c r="A118" i="148"/>
  <c r="N117" i="148"/>
  <c r="M117" i="148"/>
  <c r="L117" i="148"/>
  <c r="K117" i="148"/>
  <c r="H117" i="148"/>
  <c r="A117" i="148"/>
  <c r="N116" i="148"/>
  <c r="M116" i="148"/>
  <c r="L116" i="148"/>
  <c r="K116" i="148"/>
  <c r="H116" i="148"/>
  <c r="A116" i="148"/>
  <c r="N115" i="148"/>
  <c r="M115" i="148"/>
  <c r="L115" i="148"/>
  <c r="K115" i="148"/>
  <c r="H115" i="148"/>
  <c r="A115" i="148"/>
  <c r="N114" i="148"/>
  <c r="M114" i="148"/>
  <c r="L114" i="148"/>
  <c r="K114" i="148"/>
  <c r="H114" i="148"/>
  <c r="A114" i="148"/>
  <c r="N113" i="148"/>
  <c r="M113" i="148"/>
  <c r="L113" i="148"/>
  <c r="K113" i="148"/>
  <c r="H113" i="148"/>
  <c r="A113" i="148"/>
  <c r="N112" i="148"/>
  <c r="M112" i="148"/>
  <c r="L112" i="148"/>
  <c r="K112" i="148"/>
  <c r="H112" i="148"/>
  <c r="A112" i="148"/>
  <c r="N111" i="148"/>
  <c r="M111" i="148"/>
  <c r="L111" i="148"/>
  <c r="K111" i="148"/>
  <c r="H111" i="148"/>
  <c r="A111" i="148"/>
  <c r="N110" i="148"/>
  <c r="M110" i="148"/>
  <c r="L110" i="148"/>
  <c r="K110" i="148"/>
  <c r="H110" i="148"/>
  <c r="A110" i="148"/>
  <c r="N109" i="148"/>
  <c r="M109" i="148"/>
  <c r="L109" i="148"/>
  <c r="K109" i="148"/>
  <c r="H109" i="148"/>
  <c r="A109" i="148"/>
  <c r="N108" i="148"/>
  <c r="M108" i="148"/>
  <c r="L108" i="148"/>
  <c r="K108" i="148"/>
  <c r="H108" i="148"/>
  <c r="A108" i="148"/>
  <c r="N107" i="148"/>
  <c r="M107" i="148"/>
  <c r="L107" i="148"/>
  <c r="K107" i="148"/>
  <c r="H107" i="148"/>
  <c r="A107" i="148"/>
  <c r="N106" i="148"/>
  <c r="M106" i="148"/>
  <c r="L106" i="148"/>
  <c r="K106" i="148"/>
  <c r="H106" i="148"/>
  <c r="A106" i="148"/>
  <c r="N105" i="148"/>
  <c r="M105" i="148"/>
  <c r="L105" i="148"/>
  <c r="K105" i="148"/>
  <c r="H105" i="148"/>
  <c r="A105" i="148"/>
  <c r="N104" i="148"/>
  <c r="M104" i="148"/>
  <c r="L104" i="148"/>
  <c r="K104" i="148"/>
  <c r="H104" i="148"/>
  <c r="A104" i="148"/>
  <c r="N103" i="148"/>
  <c r="M103" i="148"/>
  <c r="L103" i="148"/>
  <c r="K103" i="148"/>
  <c r="H103" i="148"/>
  <c r="A103" i="148"/>
  <c r="N102" i="148"/>
  <c r="M102" i="148"/>
  <c r="L102" i="148"/>
  <c r="K102" i="148"/>
  <c r="H102" i="148"/>
  <c r="A102" i="148"/>
  <c r="N101" i="148"/>
  <c r="M101" i="148"/>
  <c r="L101" i="148"/>
  <c r="K101" i="148"/>
  <c r="H101" i="148"/>
  <c r="A101" i="148"/>
  <c r="N100" i="148"/>
  <c r="M100" i="148"/>
  <c r="L100" i="148"/>
  <c r="K100" i="148"/>
  <c r="H100" i="148"/>
  <c r="A100" i="148"/>
  <c r="N99" i="148"/>
  <c r="M99" i="148"/>
  <c r="L99" i="148"/>
  <c r="K99" i="148"/>
  <c r="H99" i="148"/>
  <c r="A99" i="148"/>
  <c r="N98" i="148"/>
  <c r="M98" i="148"/>
  <c r="L98" i="148"/>
  <c r="K98" i="148"/>
  <c r="H98" i="148"/>
  <c r="A98" i="148"/>
  <c r="N97" i="148"/>
  <c r="M97" i="148"/>
  <c r="L97" i="148"/>
  <c r="K97" i="148"/>
  <c r="H97" i="148"/>
  <c r="A97" i="148"/>
  <c r="N96" i="148"/>
  <c r="M96" i="148"/>
  <c r="L96" i="148"/>
  <c r="K96" i="148"/>
  <c r="H96" i="148"/>
  <c r="A96" i="148"/>
  <c r="N95" i="148"/>
  <c r="M95" i="148"/>
  <c r="L95" i="148"/>
  <c r="K95" i="148"/>
  <c r="H95" i="148"/>
  <c r="A95" i="148"/>
  <c r="N94" i="148"/>
  <c r="M94" i="148"/>
  <c r="L94" i="148"/>
  <c r="K94" i="148"/>
  <c r="H94" i="148"/>
  <c r="A94" i="148"/>
  <c r="N93" i="148"/>
  <c r="M93" i="148"/>
  <c r="L93" i="148"/>
  <c r="K93" i="148"/>
  <c r="H93" i="148"/>
  <c r="A93" i="148"/>
  <c r="N92" i="148"/>
  <c r="M92" i="148"/>
  <c r="L92" i="148"/>
  <c r="K92" i="148"/>
  <c r="H92" i="148"/>
  <c r="A92" i="148"/>
  <c r="N91" i="148"/>
  <c r="M91" i="148"/>
  <c r="L91" i="148"/>
  <c r="K91" i="148"/>
  <c r="H91" i="148"/>
  <c r="A91" i="148"/>
  <c r="N90" i="148"/>
  <c r="M90" i="148"/>
  <c r="L90" i="148"/>
  <c r="K90" i="148"/>
  <c r="H90" i="148"/>
  <c r="A90" i="148"/>
  <c r="N89" i="148"/>
  <c r="M89" i="148"/>
  <c r="L89" i="148"/>
  <c r="K89" i="148"/>
  <c r="H89" i="148"/>
  <c r="A89" i="148"/>
  <c r="N88" i="148"/>
  <c r="M88" i="148"/>
  <c r="L88" i="148"/>
  <c r="K88" i="148"/>
  <c r="H88" i="148"/>
  <c r="A88" i="148"/>
  <c r="N87" i="148"/>
  <c r="M87" i="148"/>
  <c r="L87" i="148"/>
  <c r="K87" i="148"/>
  <c r="H87" i="148"/>
  <c r="A87" i="148"/>
  <c r="N86" i="148"/>
  <c r="M86" i="148"/>
  <c r="L86" i="148"/>
  <c r="K86" i="148"/>
  <c r="H86" i="148"/>
  <c r="A86" i="148"/>
  <c r="N85" i="148"/>
  <c r="M85" i="148"/>
  <c r="L85" i="148"/>
  <c r="K85" i="148"/>
  <c r="H85" i="148"/>
  <c r="A85" i="148"/>
  <c r="N84" i="148"/>
  <c r="M84" i="148"/>
  <c r="L84" i="148"/>
  <c r="K84" i="148"/>
  <c r="H84" i="148"/>
  <c r="A84" i="148"/>
  <c r="N83" i="148"/>
  <c r="M83" i="148"/>
  <c r="L83" i="148"/>
  <c r="K83" i="148"/>
  <c r="H83" i="148"/>
  <c r="A83" i="148"/>
  <c r="N82" i="148"/>
  <c r="M82" i="148"/>
  <c r="L82" i="148"/>
  <c r="K82" i="148"/>
  <c r="H82" i="148"/>
  <c r="A82" i="148"/>
  <c r="N81" i="148"/>
  <c r="M81" i="148"/>
  <c r="L81" i="148"/>
  <c r="K81" i="148"/>
  <c r="H81" i="148"/>
  <c r="A81" i="148"/>
  <c r="N80" i="148"/>
  <c r="M80" i="148"/>
  <c r="L80" i="148"/>
  <c r="K80" i="148"/>
  <c r="H80" i="148"/>
  <c r="A80" i="148"/>
  <c r="N79" i="148"/>
  <c r="M79" i="148"/>
  <c r="L79" i="148"/>
  <c r="K79" i="148"/>
  <c r="H79" i="148"/>
  <c r="A79" i="148"/>
  <c r="N78" i="148"/>
  <c r="M78" i="148"/>
  <c r="L78" i="148"/>
  <c r="K78" i="148"/>
  <c r="H78" i="148"/>
  <c r="A78" i="148"/>
  <c r="N77" i="148"/>
  <c r="M77" i="148"/>
  <c r="L77" i="148"/>
  <c r="K77" i="148"/>
  <c r="H77" i="148"/>
  <c r="A77" i="148"/>
  <c r="N76" i="148"/>
  <c r="M76" i="148"/>
  <c r="L76" i="148"/>
  <c r="K76" i="148"/>
  <c r="H76" i="148"/>
  <c r="A76" i="148"/>
  <c r="N75" i="148"/>
  <c r="M75" i="148"/>
  <c r="L75" i="148"/>
  <c r="K75" i="148"/>
  <c r="H75" i="148"/>
  <c r="A75" i="148"/>
  <c r="N74" i="148"/>
  <c r="M74" i="148"/>
  <c r="L74" i="148"/>
  <c r="K74" i="148"/>
  <c r="H74" i="148"/>
  <c r="A74" i="148"/>
  <c r="N73" i="148"/>
  <c r="M73" i="148"/>
  <c r="L73" i="148"/>
  <c r="K73" i="148"/>
  <c r="H73" i="148"/>
  <c r="A73" i="148"/>
  <c r="N72" i="148"/>
  <c r="M72" i="148"/>
  <c r="L72" i="148"/>
  <c r="K72" i="148"/>
  <c r="H72" i="148"/>
  <c r="A72" i="148"/>
  <c r="N71" i="148"/>
  <c r="M71" i="148"/>
  <c r="L71" i="148"/>
  <c r="K71" i="148"/>
  <c r="H71" i="148"/>
  <c r="A71" i="148"/>
  <c r="N70" i="148"/>
  <c r="M70" i="148"/>
  <c r="L70" i="148"/>
  <c r="K70" i="148"/>
  <c r="H70" i="148"/>
  <c r="A70" i="148"/>
  <c r="N69" i="148"/>
  <c r="M69" i="148"/>
  <c r="L69" i="148"/>
  <c r="K69" i="148"/>
  <c r="H69" i="148"/>
  <c r="A69" i="148"/>
  <c r="N68" i="148"/>
  <c r="M68" i="148"/>
  <c r="L68" i="148"/>
  <c r="K68" i="148"/>
  <c r="H68" i="148"/>
  <c r="A68" i="148"/>
  <c r="N67" i="148"/>
  <c r="M67" i="148"/>
  <c r="L67" i="148"/>
  <c r="K67" i="148"/>
  <c r="H67" i="148"/>
  <c r="A67" i="148"/>
  <c r="N66" i="148"/>
  <c r="M66" i="148"/>
  <c r="L66" i="148"/>
  <c r="K66" i="148"/>
  <c r="H66" i="148"/>
  <c r="A66" i="148"/>
  <c r="N65" i="148"/>
  <c r="M65" i="148"/>
  <c r="L65" i="148"/>
  <c r="K65" i="148"/>
  <c r="H65" i="148"/>
  <c r="A65" i="148"/>
  <c r="N64" i="148"/>
  <c r="M64" i="148"/>
  <c r="L64" i="148"/>
  <c r="K64" i="148"/>
  <c r="H64" i="148"/>
  <c r="A64" i="148"/>
  <c r="N63" i="148"/>
  <c r="M63" i="148"/>
  <c r="L63" i="148"/>
  <c r="K63" i="148"/>
  <c r="H63" i="148"/>
  <c r="A63" i="148"/>
  <c r="N62" i="148"/>
  <c r="M62" i="148"/>
  <c r="L62" i="148"/>
  <c r="K62" i="148"/>
  <c r="H62" i="148"/>
  <c r="A62" i="148"/>
  <c r="N61" i="148"/>
  <c r="M61" i="148"/>
  <c r="L61" i="148"/>
  <c r="K61" i="148"/>
  <c r="H61" i="148"/>
  <c r="A61" i="148"/>
  <c r="N60" i="148"/>
  <c r="M60" i="148"/>
  <c r="L60" i="148"/>
  <c r="K60" i="148"/>
  <c r="H60" i="148"/>
  <c r="A60" i="148"/>
  <c r="N59" i="148"/>
  <c r="M59" i="148"/>
  <c r="L59" i="148"/>
  <c r="K59" i="148"/>
  <c r="H59" i="148"/>
  <c r="A59" i="148"/>
  <c r="N58" i="148"/>
  <c r="M58" i="148"/>
  <c r="L58" i="148"/>
  <c r="K58" i="148"/>
  <c r="H58" i="148"/>
  <c r="A58" i="148"/>
  <c r="N57" i="148"/>
  <c r="M57" i="148"/>
  <c r="L57" i="148"/>
  <c r="K57" i="148"/>
  <c r="H57" i="148"/>
  <c r="A57" i="148"/>
  <c r="N56" i="148"/>
  <c r="M56" i="148"/>
  <c r="L56" i="148"/>
  <c r="K56" i="148"/>
  <c r="H56" i="148"/>
  <c r="A56" i="148"/>
  <c r="N55" i="148"/>
  <c r="M55" i="148"/>
  <c r="L55" i="148"/>
  <c r="K55" i="148"/>
  <c r="H55" i="148"/>
  <c r="A55" i="148"/>
  <c r="N54" i="148"/>
  <c r="M54" i="148"/>
  <c r="L54" i="148"/>
  <c r="K54" i="148"/>
  <c r="H54" i="148"/>
  <c r="A54" i="148"/>
  <c r="N53" i="148"/>
  <c r="M53" i="148"/>
  <c r="L53" i="148"/>
  <c r="K53" i="148"/>
  <c r="H53" i="148"/>
  <c r="A53" i="148"/>
  <c r="N52" i="148"/>
  <c r="M52" i="148"/>
  <c r="L52" i="148"/>
  <c r="K52" i="148"/>
  <c r="H52" i="148"/>
  <c r="A52" i="148"/>
  <c r="N51" i="148"/>
  <c r="M51" i="148"/>
  <c r="L51" i="148"/>
  <c r="K51" i="148"/>
  <c r="H51" i="148"/>
  <c r="A51" i="148"/>
  <c r="N50" i="148"/>
  <c r="M50" i="148"/>
  <c r="L50" i="148"/>
  <c r="K50" i="148"/>
  <c r="H50" i="148"/>
  <c r="A50" i="148"/>
  <c r="N49" i="148"/>
  <c r="M49" i="148"/>
  <c r="L49" i="148"/>
  <c r="K49" i="148"/>
  <c r="H49" i="148"/>
  <c r="A49" i="148"/>
  <c r="N48" i="148"/>
  <c r="M48" i="148"/>
  <c r="L48" i="148"/>
  <c r="K48" i="148"/>
  <c r="H48" i="148"/>
  <c r="A48" i="148"/>
  <c r="N47" i="148"/>
  <c r="M47" i="148"/>
  <c r="L47" i="148"/>
  <c r="K47" i="148"/>
  <c r="H47" i="148"/>
  <c r="A47" i="148"/>
  <c r="N46" i="148"/>
  <c r="M46" i="148"/>
  <c r="L46" i="148"/>
  <c r="K46" i="148"/>
  <c r="H46" i="148"/>
  <c r="A46" i="148"/>
  <c r="N45" i="148"/>
  <c r="M45" i="148"/>
  <c r="L45" i="148"/>
  <c r="K45" i="148"/>
  <c r="H45" i="148"/>
  <c r="A45" i="148"/>
  <c r="N44" i="148"/>
  <c r="M44" i="148"/>
  <c r="L44" i="148"/>
  <c r="K44" i="148"/>
  <c r="H44" i="148"/>
  <c r="A44" i="148"/>
  <c r="N43" i="148"/>
  <c r="M43" i="148"/>
  <c r="L43" i="148"/>
  <c r="K43" i="148"/>
  <c r="H43" i="148"/>
  <c r="A43" i="148"/>
  <c r="N42" i="148"/>
  <c r="M42" i="148"/>
  <c r="L42" i="148"/>
  <c r="K42" i="148"/>
  <c r="H42" i="148"/>
  <c r="A42" i="148"/>
  <c r="N41" i="148"/>
  <c r="M41" i="148"/>
  <c r="L41" i="148"/>
  <c r="K41" i="148"/>
  <c r="H41" i="148"/>
  <c r="A41" i="148"/>
  <c r="N40" i="148"/>
  <c r="M40" i="148"/>
  <c r="L40" i="148"/>
  <c r="K40" i="148"/>
  <c r="H40" i="148"/>
  <c r="A40" i="148"/>
  <c r="N39" i="148"/>
  <c r="M39" i="148"/>
  <c r="L39" i="148"/>
  <c r="K39" i="148"/>
  <c r="H39" i="148"/>
  <c r="A39" i="148"/>
  <c r="N38" i="148"/>
  <c r="M38" i="148"/>
  <c r="L38" i="148"/>
  <c r="K38" i="148"/>
  <c r="H38" i="148"/>
  <c r="A38" i="148"/>
  <c r="N37" i="148"/>
  <c r="M37" i="148"/>
  <c r="L37" i="148"/>
  <c r="K37" i="148"/>
  <c r="H37" i="148"/>
  <c r="A37" i="148"/>
  <c r="N36" i="148"/>
  <c r="M36" i="148"/>
  <c r="L36" i="148"/>
  <c r="K36" i="148"/>
  <c r="H36" i="148"/>
  <c r="A36" i="148"/>
  <c r="N35" i="148"/>
  <c r="M35" i="148"/>
  <c r="L35" i="148"/>
  <c r="K35" i="148"/>
  <c r="H35" i="148"/>
  <c r="A35" i="148"/>
  <c r="N34" i="148"/>
  <c r="M34" i="148"/>
  <c r="L34" i="148"/>
  <c r="K34" i="148"/>
  <c r="H34" i="148"/>
  <c r="A34" i="148"/>
  <c r="N33" i="148"/>
  <c r="M33" i="148"/>
  <c r="L33" i="148"/>
  <c r="K33" i="148"/>
  <c r="H33" i="148"/>
  <c r="A33" i="148"/>
  <c r="N32" i="148"/>
  <c r="M32" i="148"/>
  <c r="L32" i="148"/>
  <c r="K32" i="148"/>
  <c r="H32" i="148"/>
  <c r="A32" i="148"/>
  <c r="N31" i="148"/>
  <c r="M31" i="148"/>
  <c r="L31" i="148"/>
  <c r="K31" i="148"/>
  <c r="H31" i="148"/>
  <c r="A31" i="148"/>
  <c r="N30" i="148"/>
  <c r="M30" i="148"/>
  <c r="L30" i="148"/>
  <c r="K30" i="148"/>
  <c r="H30" i="148"/>
  <c r="A30" i="148"/>
  <c r="N29" i="148"/>
  <c r="M29" i="148"/>
  <c r="L29" i="148"/>
  <c r="K29" i="148"/>
  <c r="H29" i="148"/>
  <c r="A29" i="148"/>
  <c r="N28" i="148"/>
  <c r="M28" i="148"/>
  <c r="L28" i="148"/>
  <c r="K28" i="148"/>
  <c r="H28" i="148"/>
  <c r="A28" i="148"/>
  <c r="N27" i="148"/>
  <c r="M27" i="148"/>
  <c r="L27" i="148"/>
  <c r="K27" i="148"/>
  <c r="H27" i="148"/>
  <c r="A27" i="148"/>
  <c r="N26" i="148"/>
  <c r="M26" i="148"/>
  <c r="L26" i="148"/>
  <c r="K26" i="148"/>
  <c r="H26" i="148"/>
  <c r="A26" i="148"/>
  <c r="N25" i="148"/>
  <c r="M25" i="148"/>
  <c r="L25" i="148"/>
  <c r="K25" i="148"/>
  <c r="H25" i="148"/>
  <c r="A25" i="148"/>
  <c r="N24" i="148"/>
  <c r="M24" i="148"/>
  <c r="L24" i="148"/>
  <c r="K24" i="148"/>
  <c r="H24" i="148"/>
  <c r="A24" i="148"/>
  <c r="N23" i="148"/>
  <c r="M23" i="148"/>
  <c r="L23" i="148"/>
  <c r="K23" i="148"/>
  <c r="H23" i="148"/>
  <c r="A23" i="148"/>
  <c r="N22" i="148"/>
  <c r="M22" i="148"/>
  <c r="L22" i="148"/>
  <c r="K22" i="148"/>
  <c r="H22" i="148"/>
  <c r="A22" i="148"/>
  <c r="N21" i="148"/>
  <c r="M21" i="148"/>
  <c r="L21" i="148"/>
  <c r="K21" i="148"/>
  <c r="H21" i="148"/>
  <c r="A21" i="148"/>
  <c r="N20" i="148"/>
  <c r="M20" i="148"/>
  <c r="L20" i="148"/>
  <c r="K20" i="148"/>
  <c r="H20" i="148"/>
  <c r="A20" i="148"/>
  <c r="N19" i="148"/>
  <c r="M19" i="148"/>
  <c r="L19" i="148"/>
  <c r="K19" i="148"/>
  <c r="H19" i="148"/>
  <c r="A19" i="148"/>
  <c r="N18" i="148"/>
  <c r="M18" i="148"/>
  <c r="L18" i="148"/>
  <c r="K18" i="148"/>
  <c r="H18" i="148"/>
  <c r="A18" i="148"/>
  <c r="N17" i="148"/>
  <c r="M17" i="148"/>
  <c r="L17" i="148"/>
  <c r="K17" i="148"/>
  <c r="H17" i="148"/>
  <c r="A17" i="148"/>
  <c r="N16" i="148"/>
  <c r="M16" i="148"/>
  <c r="L16" i="148"/>
  <c r="K16" i="148"/>
  <c r="H16" i="148"/>
  <c r="A16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B46" i="106"/>
  <c r="A284" i="82"/>
  <c r="H284" i="82"/>
  <c r="K284" i="82"/>
  <c r="L284" i="82"/>
  <c r="M284" i="82"/>
  <c r="N284" i="82"/>
  <c r="B47" i="106"/>
  <c r="E30" i="106"/>
  <c r="E31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K272" i="82"/>
  <c r="L272" i="82"/>
  <c r="M272" i="82"/>
  <c r="N272" i="82"/>
  <c r="H273" i="82"/>
  <c r="K273" i="82"/>
  <c r="L273" i="82"/>
  <c r="M273" i="82"/>
  <c r="N273" i="82"/>
  <c r="H274" i="82"/>
  <c r="K274" i="82"/>
  <c r="L274" i="82"/>
  <c r="M274" i="82"/>
  <c r="N274" i="82"/>
  <c r="H275" i="82"/>
  <c r="K275" i="82"/>
  <c r="L275" i="82"/>
  <c r="M275" i="82"/>
  <c r="N275" i="82"/>
  <c r="H276" i="82"/>
  <c r="K276" i="82"/>
  <c r="L276" i="82"/>
  <c r="M276" i="82"/>
  <c r="N276" i="82"/>
  <c r="H277" i="82"/>
  <c r="K277" i="82"/>
  <c r="L277" i="82"/>
  <c r="M277" i="82"/>
  <c r="N277" i="82"/>
  <c r="H278" i="82"/>
  <c r="K278" i="82"/>
  <c r="L278" i="82"/>
  <c r="M278" i="82"/>
  <c r="N278" i="82"/>
  <c r="H279" i="82"/>
  <c r="K279" i="82"/>
  <c r="L279" i="82"/>
  <c r="M279" i="82"/>
  <c r="N279" i="82"/>
  <c r="H280" i="82"/>
  <c r="K280" i="82"/>
  <c r="L280" i="82"/>
  <c r="M280" i="82"/>
  <c r="N280" i="82"/>
  <c r="H281" i="82"/>
  <c r="K281" i="82"/>
  <c r="L281" i="82"/>
  <c r="M281" i="82"/>
  <c r="N281" i="82"/>
  <c r="H282" i="82"/>
  <c r="K282" i="82"/>
  <c r="L282" i="82"/>
  <c r="M282" i="82"/>
  <c r="N282" i="82"/>
  <c r="H283" i="82"/>
  <c r="K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57" i="106"/>
  <c r="G57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<sst xmlns="http://schemas.openxmlformats.org/spreadsheetml/2006/main" count="1596" uniqueCount="341">
  <si>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</si>
  <si>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</si>
  <si>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</si>
  <si>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</si>
  <si>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</si>
  <si>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</si>
  <si>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</si>
  <si>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</si>
  <si>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</si>
  <si>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</si>
  <si>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</si>
  <si>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</si>
  <si>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</si>
  <si>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</si>
  <si>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</si>
  <si>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</si>
  <si>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</si>
  <si>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</si>
  <si>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</si>
  <si>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</si>
  <si>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</si>
  <si>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</si>
  <si>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</si>
  <si>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</si>
  <si>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</si>
  <si>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</si>
  <si>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</si>
  <si>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</si>
  <si>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</si>
  <si>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</si>
  <si>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</si>
  <si>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</si>
  <si>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</si>
  <si>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</si>
  <si>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</si>
  <si>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</si>
  <si>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</si>
  <si>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</si>
  <si>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</si>
  <si>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</si>
  <si>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</si>
  <si>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</si>
  <si>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</si>
  <si>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</si>
  <si>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</si>
  <si>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</si>
  <si>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</si>
  <si>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</si>
  <si>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</si>
  <si>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</si>
  <si>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</si>
  <si>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</si>
  <si>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</si>
  <si>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</si>
  <si>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</si>
  <si>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</si>
  <si>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</si>
  <si>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</si>
  <si>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</si>
  <si>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</si>
  <si>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</si>
  <si>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</si>
  <si>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</si>
  <si>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</si>
  <si>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</si>
  <si>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</si>
  <si>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</si>
  <si>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</si>
  <si>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</si>
  <si>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</si>
  <si>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</si>
  <si>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</si>
  <si>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</si>
  <si>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</si>
  <si>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</si>
  <si>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</si>
  <si>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</si>
  <si>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</si>
  <si>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</si>
  <si>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</si>
  <si>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</si>
  <si>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</si>
  <si>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</si>
  <si>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</si>
  <si>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</si>
  <si>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</si>
  <si>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</si>
  <si>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</si>
  <si>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</si>
  <si>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</si>
  <si>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</si>
  <si>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</si>
  <si>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</si>
  <si>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</si>
  <si>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</si>
  <si>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</si>
  <si>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</si>
  <si>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</si>
  <si>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</si>
  <si>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</si>
  <si>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</si>
  <si>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</si>
  <si>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</si>
  <si>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</si>
  <si>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</si>
  <si>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</si>
  <si>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</si>
  <si>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</si>
  <si>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</si>
  <si>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</si>
  <si>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</si>
  <si>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</si>
  <si>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</si>
  <si>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</si>
  <si>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</si>
  <si>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</si>
  <si>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</si>
  <si>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</si>
  <si>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</si>
  <si>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</si>
  <si>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</si>
  <si>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</si>
  <si>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</si>
  <si>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</si>
  <si>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</si>
  <si>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</si>
  <si>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</si>
  <si>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</si>
  <si>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</si>
  <si>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</si>
  <si>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</si>
  <si>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</si>
  <si>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</si>
  <si>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</si>
  <si>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</si>
  <si>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</si>
  <si>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</si>
  <si>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</si>
  <si>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</si>
  <si>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</si>
  <si>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</si>
  <si>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</si>
  <si>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</si>
  <si>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</si>
  <si>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</si>
  <si>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</si>
  <si>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</si>
  <si>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</si>
  <si>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</si>
  <si>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</si>
  <si>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</si>
  <si>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</si>
  <si>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</si>
  <si>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</si>
  <si>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</si>
  <si>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</si>
  <si>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</si>
  <si>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</si>
  <si>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</si>
  <si>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</si>
  <si>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</si>
  <si>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</si>
  <si>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</si>
  <si>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</si>
  <si>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</si>
  <si>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</si>
  <si>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</si>
  <si>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</si>
  <si>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</si>
  <si>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</si>
  <si>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</si>
  <si>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</si>
  <si>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</si>
  <si>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</si>
  <si>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</si>
  <si>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</si>
  <si>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</si>
  <si>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</si>
  <si>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</si>
  <si>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</si>
  <si>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</si>
  <si>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</si>
  <si>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</si>
  <si>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</si>
  <si>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</si>
  <si>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</si>
  <si>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</si>
  <si>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</si>
  <si>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</si>
  <si>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</si>
  <si>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</si>
  <si>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</si>
  <si>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</si>
  <si>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</si>
  <si>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</si>
  <si>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</si>
  <si>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</si>
  <si>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</si>
  <si>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</si>
  <si>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</si>
  <si>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</si>
  <si>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</si>
  <si>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</si>
  <si>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</si>
  <si>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</si>
  <si>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</si>
  <si>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</si>
  <si>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</si>
  <si>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</si>
  <si>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</si>
  <si>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</si>
  <si>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</si>
  <si>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</si>
  <si>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</si>
  <si>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</si>
  <si>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</si>
  <si>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</si>
  <si>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</si>
  <si>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</si>
  <si>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</si>
  <si>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</si>
  <si>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</si>
  <si>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</si>
  <si>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</si>
  <si>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</si>
  <si>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</si>
  <si>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</si>
  <si>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</si>
  <si>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</si>
  <si>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</si>
  <si>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</si>
  <si>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</si>
  <si>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</si>
  <si>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</si>
  <si>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</si>
  <si>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</si>
  <si>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</si>
  <si>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</si>
  <si>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</si>
  <si>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</si>
  <si>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</si>
  <si>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</si>
  <si>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</si>
  <si>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</si>
  <si>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</si>
  <si>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</si>
  <si>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</si>
  <si>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</si>
  <si>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</si>
  <si>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</si>
  <si>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</si>
  <si>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</si>
  <si>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</si>
  <si>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</si>
  <si>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</si>
  <si>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</si>
  <si>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</si>
  <si>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</si>
  <si>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</si>
  <si>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</si>
  <si>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</si>
  <si>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</si>
  <si>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</si>
  <si>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</si>
  <si>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</si>
  <si>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</si>
  <si>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</si>
  <si>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</si>
  <si>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</si>
  <si>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</si>
  <si>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</si>
  <si>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</si>
  <si>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</si>
  <si>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</si>
  <si>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</si>
  <si>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</si>
  <si>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</si>
  <si>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</si>
  <si>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old</t>
    <phoneticPr fontId="19"/>
  </si>
  <si>
    <t>377104</t>
    <phoneticPr fontId="19"/>
  </si>
  <si>
    <t>377105</t>
    <phoneticPr fontId="19"/>
  </si>
  <si>
    <t>3771041</t>
    <phoneticPr fontId="19"/>
  </si>
  <si>
    <t>3771051</t>
    <phoneticPr fontId="19"/>
  </si>
  <si>
    <t>color</t>
    <phoneticPr fontId="19"/>
  </si>
  <si>
    <t>color</t>
    <phoneticPr fontId="19"/>
  </si>
  <si>
    <t>Premium</t>
  </si>
  <si>
    <t/>
  </si>
  <si>
    <t>R6release</t>
  </si>
  <si>
    <t>猛進の大逆者 ベリアル</t>
  </si>
  <si>
    <t>PremiumN</t>
  </si>
  <si>
    <t>red</t>
  </si>
  <si>
    <t>attack</t>
  </si>
  <si>
    <t>god</t>
  </si>
  <si>
    <t>男性</t>
  </si>
  <si>
    <t>地獄の大門番 ケルベロス</t>
  </si>
  <si>
    <t>balance</t>
  </si>
  <si>
    <t>animal</t>
  </si>
  <si>
    <t>女性</t>
  </si>
  <si>
    <t>荘厳なる始祖帝 卑弥呼</t>
  </si>
  <si>
    <t>human</t>
  </si>
  <si>
    <t>慟哭の巨焔 プロメテウス</t>
  </si>
  <si>
    <t>hp</t>
  </si>
  <si>
    <t>百読の死導司書 アズラエル</t>
  </si>
  <si>
    <t>殲滅の掃射砲 アレス</t>
  </si>
  <si>
    <t>PremiumS</t>
  </si>
  <si>
    <t>轟炎の天使 ウリエル・スレイヤー</t>
  </si>
  <si>
    <t>machine</t>
  </si>
  <si>
    <t>強欲の沸騰 マンモン</t>
  </si>
  <si>
    <t>PremiumSS5</t>
  </si>
  <si>
    <t>PremiumSS</t>
  </si>
  <si>
    <t>巌鉄の烈志士 近藤勇</t>
  </si>
  <si>
    <t>激情の愛炎 バハムート</t>
  </si>
  <si>
    <t>technical</t>
  </si>
  <si>
    <t>dragon</t>
  </si>
  <si>
    <t>燕翼の旅人 親指姫</t>
  </si>
  <si>
    <t>heal</t>
  </si>
  <si>
    <t>天災の神狼 フェンリル</t>
  </si>
  <si>
    <t>曝弾の密偵 D.R.T.H.</t>
  </si>
  <si>
    <t>円熟の弾導 ガウェイン</t>
  </si>
  <si>
    <t>緋王 キング・ドライグ</t>
  </si>
  <si>
    <t>不明</t>
  </si>
  <si>
    <t>跋扈の機脚 ブートレグ・ペロー</t>
  </si>
  <si>
    <t>原初の煉鋼巨刃 ユミル</t>
  </si>
  <si>
    <t>焼燃の情熱 ムスペルヘイム</t>
  </si>
  <si>
    <t>跳梁する化猫 クルミ</t>
  </si>
  <si>
    <t>陽天の噴煙 アグニ</t>
  </si>
  <si>
    <t>R3less</t>
  </si>
  <si>
    <t>暗厄の双刀 井伊直虎</t>
  </si>
  <si>
    <t>天織羽鶴 ハヅル</t>
  </si>
  <si>
    <t>R5only</t>
  </si>
  <si>
    <t>メタトロン</t>
  </si>
  <si>
    <t>歓揮の楽団長 ブレーメン</t>
  </si>
  <si>
    <t>アポロン</t>
  </si>
  <si>
    <t>ナポレオン</t>
  </si>
  <si>
    <t>tables_377101</t>
    <phoneticPr fontId="19"/>
  </si>
  <si>
    <t>tables_377103</t>
    <phoneticPr fontId="19"/>
  </si>
  <si>
    <t>tables_settle_377103</t>
    <phoneticPr fontId="19"/>
  </si>
  <si>
    <t>tables_377104</t>
    <phoneticPr fontId="19"/>
  </si>
  <si>
    <t>tables_377105</t>
    <phoneticPr fontId="19"/>
  </si>
  <si>
    <t>tables_377100</t>
    <phoneticPr fontId="19"/>
  </si>
  <si>
    <t>color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</si>
</sst>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222</v>
      </c>
      <c r="K40" s="85" t="s">
        <v>196</v>
      </c>
      <c r="M40" s="85" t="s">
        <v>247</v>
      </c>
    </row>
    <row r="41" spans="1:13" x14ac:dyDescent="0.15">
      <c r="J41" s="85" t="s">
        <v>223</v>
      </c>
      <c r="K41" s="85" t="s">
        <v>224</v>
      </c>
      <c r="M41" s="66" t="s">
        <v>191</v>
      </c>
    </row>
    <row r="42" spans="1:13" x14ac:dyDescent="0.15">
      <c r="J42" s="85" t="s">
        <v>225</v>
      </c>
      <c r="K42" s="85" t="s">
        <v>226</v>
      </c>
    </row>
    <row r="43" spans="1:13" x14ac:dyDescent="0.15">
      <c r="J43" s="85" t="s">
        <v>227</v>
      </c>
      <c r="K43" s="85" t="s">
        <v>228</v>
      </c>
    </row>
    <row r="44" spans="1:13" x14ac:dyDescent="0.15">
      <c r="J44" s="85" t="s">
        <v>229</v>
      </c>
      <c r="K44" s="85" t="s">
        <v>230</v>
      </c>
    </row>
    <row r="45" spans="1:13" x14ac:dyDescent="0.15">
      <c r="J45" s="85" t="s">
        <v>231</v>
      </c>
      <c r="K45" s="85" t="s">
        <v>232</v>
      </c>
    </row>
    <row r="46" spans="1:13" x14ac:dyDescent="0.15">
      <c r="J46" s="85" t="s">
        <v>233</v>
      </c>
      <c r="K46" s="85" t="s">
        <v>234</v>
      </c>
    </row>
    <row r="47" spans="1:13" x14ac:dyDescent="0.15">
      <c r="J47" s="85" t="s">
        <v>235</v>
      </c>
      <c r="K47" s="85" t="s">
        <v>239</v>
      </c>
    </row>
    <row r="48" spans="1:13" x14ac:dyDescent="0.15">
      <c r="J48" s="85" t="s">
        <v>236</v>
      </c>
      <c r="K48" s="85" t="s">
        <v>240</v>
      </c>
    </row>
    <row r="49" spans="10:11" x14ac:dyDescent="0.15">
      <c r="J49" s="85" t="s">
        <v>237</v>
      </c>
      <c r="K49" s="85" t="s">
        <v>241</v>
      </c>
    </row>
    <row r="50" spans="10:11" x14ac:dyDescent="0.15">
      <c r="J50" s="85" t="s">
        <v>238</v>
      </c>
      <c r="K50" s="85" t="s">
        <v>242</v>
      </c>
    </row>
    <row r="51" spans="10:11" x14ac:dyDescent="0.15">
      <c r="J51" s="85" t="s">
        <v>244</v>
      </c>
      <c r="K51" s="85" t="s">
        <v>243</v>
      </c>
    </row>
    <row r="52" spans="10:11" x14ac:dyDescent="0.15">
      <c r="J52" s="85" t="s">
        <v>245</v>
      </c>
      <c r="K52" s="85" t="s">
        <v>246</v>
      </c>
    </row>
    <row r="53" spans="10:11" x14ac:dyDescent="0.15">
      <c r="J53" s="85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4" sqref="E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278</v>
      </c>
      <c r="B2" s="61" t="s">
        <v>116</v>
      </c>
      <c r="C2" s="50" t="str">
        <f t="shared" ref="C2" si="0">RIGHT(F2,6)</f>
        <v>377101</v>
      </c>
      <c r="D2" s="19" t="s">
        <v>46</v>
      </c>
      <c r="E2" s="17" t="str">
        <f t="shared" ref="E2" si="1">B2&amp;C2&amp;D2</f>
        <v>gacha_select_tables_377101.tmp</v>
      </c>
      <c r="F2" s="91" t="s">
        <v>334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278</v>
      </c>
      <c r="B3" s="61" t="s">
        <v>116</v>
      </c>
      <c r="C3" s="50" t="str">
        <f t="shared" ref="C3:C7" si="2">RIGHT(F3,6)</f>
        <v>377103</v>
      </c>
      <c r="D3" s="19" t="s">
        <v>46</v>
      </c>
      <c r="E3" s="17" t="str">
        <f t="shared" ref="E3:E10" si="3">B3&amp;C3&amp;D3</f>
        <v>gacha_select_tables_377103.tmp</v>
      </c>
      <c r="F3" s="91" t="s">
        <v>335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0" t="s">
        <v>278</v>
      </c>
      <c r="B4" s="78" t="s">
        <v>220</v>
      </c>
      <c r="C4" s="50" t="str">
        <f t="shared" si="2"/>
        <v>377103</v>
      </c>
      <c r="D4" s="19" t="s">
        <v>46</v>
      </c>
      <c r="E4" s="17" t="str">
        <f t="shared" ref="E4:E7" si="4">B4&amp;C4&amp;D4</f>
        <v>gacha_settle_tables_377103.tmp</v>
      </c>
      <c r="F4" s="91" t="s">
        <v>336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278</v>
      </c>
      <c r="B5" s="61" t="s">
        <v>116</v>
      </c>
      <c r="C5" s="50" t="str">
        <f t="shared" si="2"/>
        <v>377104</v>
      </c>
      <c r="D5" s="19" t="s">
        <v>46</v>
      </c>
      <c r="E5" s="17" t="str">
        <f t="shared" si="4"/>
        <v>gacha_select_tables_377104.tmp</v>
      </c>
      <c r="F5" s="91" t="s">
        <v>337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0" t="s">
        <v>278</v>
      </c>
      <c r="B6" s="61" t="s">
        <v>116</v>
      </c>
      <c r="C6" s="50" t="str">
        <f t="shared" ref="C6" si="5">RIGHT(F6,6)</f>
        <v>377105</v>
      </c>
      <c r="D6" s="19" t="s">
        <v>46</v>
      </c>
      <c r="E6" s="17" t="str">
        <f t="shared" ref="E6" si="6">B6&amp;C6&amp;D6</f>
        <v>gacha_select_tables_377105.tmp</v>
      </c>
      <c r="F6" s="91" t="s">
        <v>338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0" t="s">
        <v>278</v>
      </c>
      <c r="B7" s="61" t="s">
        <v>116</v>
      </c>
      <c r="C7" s="50" t="str">
        <f t="shared" si="2"/>
        <v>377100</v>
      </c>
      <c r="D7" s="19" t="s">
        <v>46</v>
      </c>
      <c r="E7" s="17" t="str">
        <f t="shared" si="4"/>
        <v>gacha_select_tables_377100.tmp</v>
      </c>
      <c r="F7" s="91" t="s">
        <v>339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278</v>
      </c>
      <c r="B8" s="27" t="s">
        <v>51</v>
      </c>
      <c r="C8" s="32">
        <v>377</v>
      </c>
      <c r="D8" s="19" t="s">
        <v>47</v>
      </c>
      <c r="E8" s="17" t="str">
        <f t="shared" si="3"/>
        <v>gacha_bonus_tables_377.tmp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278</v>
      </c>
      <c r="B9" s="19" t="s">
        <v>49</v>
      </c>
      <c r="C9" s="32">
        <v>377</v>
      </c>
      <c r="D9" s="19" t="s">
        <v>47</v>
      </c>
      <c r="E9" s="17" t="str">
        <f t="shared" si="3"/>
        <v>gifts_tmp_377.tmp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0" t="s">
        <v>278</v>
      </c>
      <c r="B10" s="19" t="s">
        <v>50</v>
      </c>
      <c r="C10" s="32">
        <v>377</v>
      </c>
      <c r="D10" s="19" t="s">
        <v>47</v>
      </c>
      <c r="E10" s="17" t="str">
        <f t="shared" si="3"/>
        <v>gifts_i18n_377.tmp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workbookViewId="0">
      <selection activeCell="B42" sqref="B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377101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VLOOKUP(L3,tables_377101!B:C,2,FALSE)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VLOOKUP(L4,tables_377101!B:C,2,FALSE)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7.1428571428571439E-4</v>
      </c>
      <c r="F5">
        <f>(COUNTIF(tables_377101!C:C,input_377101!A28)+COUNTIF(tables_377101!C:C,input_377101!A29))</f>
        <v>28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VLOOKUP(L5,tables_377101!B:C,2,FALSE)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2.7272727272727271E-3</v>
      </c>
      <c r="F6">
        <f>(COUNTIF(tables_377101!C:C,input_377101!A43)+COUNTIF(tables_377101!C:C,input_377101!A44))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VLOOKUP(L6,tables_377101!B:C,2,FALSE)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5.8215384615384613E-3</v>
      </c>
      <c r="F7">
        <f>(COUNTIF(tables_377101!C:C,input_377101!A25)+COUNTIF(tables_377101!C:C,input_377101!A18)+COUNTIF(tables_377101!C:C,input_377101!A20)+COUNTIF(tables_377101!C:C,input_377101!A22))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VLOOKUP(L7,tables_377101!B:C,2,FALSE)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2.8379999999999999E-2</v>
      </c>
      <c r="F8">
        <f>(COUNTIF(tables_377101!C:C,input_377101!A40)+COUNTIF(tables_377101!C:C,input_377101!A33)+COUNTIF(tables_377101!C:C,input_377101!A35)+COUNTIF(tables_377101!C:C,input_377101!A37))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VLOOKUP(L8,tables_377101!B:C,2,FALSE)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VLOOKUP(L9,tables_377101!B:C,2,FALSE)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VLOOKUP(L10,tables_377101!B:C,2,FALSE)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VLOOKUP(L11,tables_377101!B:C,2,FALSE)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VLOOKUP(L12,tables_377101!B:C,2,FALSE)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VLOOKUP(L13,tables_377101!B:C,2,FALSE)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VLOOKUP(L14,tables_377101!B:C,2,FALSE)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VLOOKUP(L15,tables_377101!B:C,2,FALSE)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VLOOKUP(L16,tables_377101!B:C,2,FALSE)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7.4836923076923093E-2</v>
      </c>
      <c r="C17" s="87">
        <f t="shared" ref="C17:C46" si="2">SUMIF(Q:Q,A17,N:N)</f>
        <v>0</v>
      </c>
      <c r="D17" s="75">
        <f t="shared" ref="D17:D26" si="3">B17-C17</f>
        <v>7.4836923076923093E-2</v>
      </c>
      <c r="E17">
        <f>COUNTIF(tables_377101!C:C,input_377101!A17)-COUNTIF(Q:Q,A17)</f>
        <v>15</v>
      </c>
      <c r="F17" s="43">
        <f>IFERROR(B17/E17,0)</f>
        <v>4.9891282051282059E-3</v>
      </c>
      <c r="G17">
        <f t="shared" ref="G17:G46" si="4">A$51*B17</f>
        <v>544812.80000000016</v>
      </c>
      <c r="H17">
        <f t="shared" ref="H17:H26" si="5">IFERROR(ROUND(G17/E17,5),0)</f>
        <v>36320.853329999998</v>
      </c>
      <c r="I17">
        <f t="shared" ref="I17:I31" si="6">MOD(H17,1)</f>
        <v>0.85332999999809545</v>
      </c>
      <c r="J17">
        <f t="shared" ref="J17:J26" si="7">IFERROR(1/I17,1)</f>
        <v>1.1718795776572157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VLOOKUP(L17,tables_377101!B:C,2,FALSE)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1.2486153846153827E-2</v>
      </c>
      <c r="C18" s="87">
        <f t="shared" si="2"/>
        <v>0</v>
      </c>
      <c r="D18" s="75">
        <f t="shared" si="3"/>
        <v>1.2486153846153827E-2</v>
      </c>
      <c r="E18">
        <f>COUNTIF(tables_377101!C:C,input_377101!A18)-COUNTIF(Q:Q,A18)</f>
        <v>15</v>
      </c>
      <c r="F18" s="43">
        <f>IFERROR(B18/E18,0)</f>
        <v>8.3241025641025512E-4</v>
      </c>
      <c r="G18">
        <f t="shared" si="4"/>
        <v>90899.199999999866</v>
      </c>
      <c r="H18">
        <f t="shared" si="5"/>
        <v>6059.9466700000003</v>
      </c>
      <c r="I18">
        <f t="shared" si="6"/>
        <v>0.94667000000026746</v>
      </c>
      <c r="J18">
        <f t="shared" si="7"/>
        <v>1.0563343086817132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VLOOKUP(L18,tables_377101!B:C,2,FALSE)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0.11643076923076923</v>
      </c>
      <c r="C19" s="87">
        <f t="shared" si="2"/>
        <v>0</v>
      </c>
      <c r="D19" s="75">
        <f t="shared" si="3"/>
        <v>0.11643076923076923</v>
      </c>
      <c r="E19">
        <f>COUNTIF(tables_377101!C:C,input_377101!A19)-COUNTIF(Q:Q,A19)</f>
        <v>40</v>
      </c>
      <c r="F19" s="43">
        <f t="shared" ref="F19:F31" si="8">IFERROR(B19/E19,0)</f>
        <v>2.9107692307692307E-3</v>
      </c>
      <c r="G19">
        <f t="shared" si="4"/>
        <v>847616</v>
      </c>
      <c r="H19">
        <f t="shared" si="5"/>
        <v>21190.400000000001</v>
      </c>
      <c r="I19">
        <f t="shared" si="6"/>
        <v>0.40000000000145519</v>
      </c>
      <c r="J19">
        <f t="shared" si="7"/>
        <v>2.4999999999909051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VLOOKUP(L19,tables_377101!B:C,2,FALSE)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0.1047876923076923</v>
      </c>
      <c r="C20" s="87">
        <f t="shared" si="2"/>
        <v>0</v>
      </c>
      <c r="D20" s="75">
        <f t="shared" si="3"/>
        <v>0.1047876923076923</v>
      </c>
      <c r="E20">
        <f>COUNTIF(tables_377101!C:C,input_377101!A20)-COUNTIF(Q:Q,A20)</f>
        <v>40</v>
      </c>
      <c r="F20" s="43">
        <f t="shared" si="8"/>
        <v>2.6196923076923077E-3</v>
      </c>
      <c r="G20">
        <f t="shared" si="4"/>
        <v>762854.40000000002</v>
      </c>
      <c r="H20">
        <f t="shared" si="5"/>
        <v>19071.36</v>
      </c>
      <c r="I20">
        <f t="shared" si="6"/>
        <v>0.36000000000058208</v>
      </c>
      <c r="J20">
        <f t="shared" si="7"/>
        <v>2.7777777777732866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VLOOKUP(L20,tables_377101!B:C,2,FALSE)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1.1643076923076923E-2</v>
      </c>
      <c r="C21" s="87">
        <f t="shared" si="2"/>
        <v>0</v>
      </c>
      <c r="D21" s="75">
        <f t="shared" si="3"/>
        <v>1.1643076923076923E-2</v>
      </c>
      <c r="E21">
        <f>COUNTIF(tables_377101!C:C,input_377101!A21)-COUNTIF(Q:Q,A21)</f>
        <v>40</v>
      </c>
      <c r="F21" s="43">
        <f t="shared" si="8"/>
        <v>2.9107692307692309E-4</v>
      </c>
      <c r="G21">
        <f t="shared" si="4"/>
        <v>84761.599999999991</v>
      </c>
      <c r="H21">
        <f t="shared" si="5"/>
        <v>2119.04</v>
      </c>
      <c r="I21">
        <f t="shared" si="6"/>
        <v>3.999999999996362E-2</v>
      </c>
      <c r="J21">
        <f t="shared" si="7"/>
        <v>25.000000000022737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3.9695648351648349E-2</v>
      </c>
      <c r="C22" s="87">
        <f t="shared" si="2"/>
        <v>0</v>
      </c>
      <c r="D22" s="75">
        <f t="shared" si="3"/>
        <v>3.9695648351648349E-2</v>
      </c>
      <c r="E22">
        <f>COUNTIF(tables_377101!C:C,input_377101!A22)-COUNTIF(Q:Q,A22)</f>
        <v>7</v>
      </c>
      <c r="F22" s="43">
        <f t="shared" si="8"/>
        <v>5.6708069073783353E-3</v>
      </c>
      <c r="G22">
        <f t="shared" si="4"/>
        <v>288984.32000000001</v>
      </c>
      <c r="H22">
        <f t="shared" si="5"/>
        <v>41283.474289999998</v>
      </c>
      <c r="I22">
        <f t="shared" si="6"/>
        <v>0.47428999999829102</v>
      </c>
      <c r="J22">
        <f t="shared" si="7"/>
        <v>2.1084146830074495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1.0551208791208817E-3</v>
      </c>
      <c r="C23" s="87">
        <f t="shared" si="2"/>
        <v>0</v>
      </c>
      <c r="D23" s="75">
        <f t="shared" si="3"/>
        <v>1.0551208791208817E-3</v>
      </c>
      <c r="E23">
        <f>COUNTIF(tables_377101!C:C,input_377101!A23)-COUNTIF(Q:Q,A23)</f>
        <v>7</v>
      </c>
      <c r="F23" s="43">
        <f t="shared" si="8"/>
        <v>1.5073155416012594E-4</v>
      </c>
      <c r="G23">
        <f t="shared" si="4"/>
        <v>7681.2800000000188</v>
      </c>
      <c r="H23">
        <f t="shared" si="5"/>
        <v>1097.3257100000001</v>
      </c>
      <c r="I23">
        <f t="shared" si="6"/>
        <v>0.32571000000007189</v>
      </c>
      <c r="J23">
        <f t="shared" si="7"/>
        <v>3.0702158361726055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8.732307692307692E-3</v>
      </c>
      <c r="C24" s="87">
        <f t="shared" si="2"/>
        <v>0</v>
      </c>
      <c r="D24" s="75">
        <f t="shared" si="3"/>
        <v>8.732307692307692E-3</v>
      </c>
      <c r="E24">
        <f>COUNTIF(tables_377101!C:C,input_377101!A24)-COUNTIF(Q:Q,A24)</f>
        <v>3</v>
      </c>
      <c r="F24" s="43">
        <f t="shared" si="8"/>
        <v>2.9107692307692307E-3</v>
      </c>
      <c r="G24">
        <f t="shared" si="4"/>
        <v>63571.199999999997</v>
      </c>
      <c r="H24">
        <f t="shared" si="5"/>
        <v>21190.400000000001</v>
      </c>
      <c r="I24">
        <f t="shared" si="6"/>
        <v>0.40000000000145519</v>
      </c>
      <c r="J24">
        <f t="shared" si="7"/>
        <v>2.4999999999909051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7.8590769230769235E-3</v>
      </c>
      <c r="C25" s="87">
        <f t="shared" si="2"/>
        <v>0</v>
      </c>
      <c r="D25" s="75">
        <f t="shared" si="3"/>
        <v>7.8590769230769235E-3</v>
      </c>
      <c r="E25">
        <f>COUNTIF(tables_377101!C:C,input_377101!A25)-COUNTIF(Q:Q,A25)</f>
        <v>3</v>
      </c>
      <c r="F25" s="43">
        <f t="shared" si="8"/>
        <v>2.6196923076923077E-3</v>
      </c>
      <c r="G25">
        <f t="shared" si="4"/>
        <v>57214.080000000002</v>
      </c>
      <c r="H25">
        <f t="shared" si="5"/>
        <v>19071.36</v>
      </c>
      <c r="I25">
        <f t="shared" si="6"/>
        <v>0.36000000000058208</v>
      </c>
      <c r="J25">
        <f t="shared" si="7"/>
        <v>2.7777777777732866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8.7323076923076926E-4</v>
      </c>
      <c r="C26" s="87">
        <f t="shared" si="2"/>
        <v>0</v>
      </c>
      <c r="D26" s="75">
        <f t="shared" si="3"/>
        <v>8.7323076923076926E-4</v>
      </c>
      <c r="E26">
        <f>COUNTIF(tables_377101!C:C,input_377101!A26)-COUNTIF(Q:Q,A26)</f>
        <v>3</v>
      </c>
      <c r="F26" s="43">
        <f t="shared" si="8"/>
        <v>2.9107692307692309E-4</v>
      </c>
      <c r="G26">
        <f t="shared" si="4"/>
        <v>6357.12</v>
      </c>
      <c r="H26">
        <f t="shared" si="5"/>
        <v>2119.04</v>
      </c>
      <c r="I26">
        <f t="shared" si="6"/>
        <v>3.999999999996362E-2</v>
      </c>
      <c r="J26">
        <f t="shared" si="7"/>
        <v>25.000000000022737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1.3571428571428573E-2</v>
      </c>
      <c r="C27" s="87">
        <f t="shared" si="2"/>
        <v>0</v>
      </c>
      <c r="D27" s="75">
        <f t="shared" ref="D27:D29" si="9">B27-C27</f>
        <v>1.3571428571428573E-2</v>
      </c>
      <c r="E27">
        <f>COUNTIF(tables_377101!C:C,input_377101!A27)-COUNTIF(Q:Q,A27)</f>
        <v>20</v>
      </c>
      <c r="F27" s="43">
        <f>IFERROR(B27/E27,0)</f>
        <v>6.7857142857142866E-4</v>
      </c>
      <c r="G27">
        <f t="shared" si="4"/>
        <v>98800.000000000015</v>
      </c>
      <c r="H27">
        <f t="shared" ref="H27:H29" si="10">IFERROR(ROUND(G27/E27,5),0)</f>
        <v>4940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7.1428571428571439E-4</v>
      </c>
      <c r="C28" s="87">
        <f t="shared" si="2"/>
        <v>0</v>
      </c>
      <c r="D28" s="75">
        <f t="shared" si="9"/>
        <v>7.1428571428571439E-4</v>
      </c>
      <c r="E28">
        <f>COUNTIF(tables_377101!C:C,input_377101!A28)-COUNTIF(Q:Q,A28)</f>
        <v>20</v>
      </c>
      <c r="F28" s="43">
        <f t="shared" si="8"/>
        <v>3.5714285714285717E-5</v>
      </c>
      <c r="G28">
        <f t="shared" si="4"/>
        <v>5200.0000000000009</v>
      </c>
      <c r="H28">
        <f t="shared" si="10"/>
        <v>260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5.7142857142857151E-3</v>
      </c>
      <c r="C29" s="87">
        <f t="shared" si="2"/>
        <v>0</v>
      </c>
      <c r="D29" s="75">
        <f t="shared" si="9"/>
        <v>5.7142857142857151E-3</v>
      </c>
      <c r="E29">
        <f>COUNTIF(tables_377101!C:C,input_377101!A29)-COUNTIF(Q:Q,A29)</f>
        <v>8</v>
      </c>
      <c r="F29" s="43">
        <f t="shared" si="8"/>
        <v>7.1428571428571439E-4</v>
      </c>
      <c r="G29">
        <f t="shared" si="4"/>
        <v>41600.000000000007</v>
      </c>
      <c r="H29">
        <f t="shared" si="10"/>
        <v>5200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ref="D30:D44" si="12">B30-C30</f>
        <v>0</v>
      </c>
      <c r="E30">
        <f>COUNTIF(tables_377101!C:C,input_377101!A30)-COUNTIF(Q:Q,A30)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12"/>
        <v>0</v>
      </c>
      <c r="E31">
        <f>COUNTIF(tables_377101!C:C,input_377101!A31)-COUNTIF(Q:Q,A31)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0.11553000000000001</v>
      </c>
      <c r="C32" s="87">
        <f t="shared" si="2"/>
        <v>0</v>
      </c>
      <c r="D32" s="75">
        <f t="shared" si="12"/>
        <v>0.11553000000000001</v>
      </c>
      <c r="E32">
        <f>COUNTIF(tables_377101!C:C,input_377101!A32)-COUNTIF(Q:Q,A32)</f>
        <v>5</v>
      </c>
      <c r="F32" s="43">
        <f>IFERROR(B32/E32,0)</f>
        <v>2.3106000000000002E-2</v>
      </c>
      <c r="G32">
        <f t="shared" si="4"/>
        <v>841058.4</v>
      </c>
      <c r="H32">
        <f t="shared" si="13"/>
        <v>168211.68</v>
      </c>
      <c r="I32">
        <f t="shared" ref="I32:I46" si="15">MOD(H32,1)</f>
        <v>0.67999999999301508</v>
      </c>
      <c r="J32">
        <f t="shared" si="14"/>
        <v>1.4705882353092234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2.6369999999999991E-2</v>
      </c>
      <c r="C33" s="87">
        <f t="shared" si="2"/>
        <v>0</v>
      </c>
      <c r="D33" s="75">
        <f t="shared" si="12"/>
        <v>2.6369999999999991E-2</v>
      </c>
      <c r="E33">
        <f>COUNTIF(tables_377101!C:C,input_377101!A33)-COUNTIF(Q:Q,A33)</f>
        <v>5</v>
      </c>
      <c r="F33" s="43">
        <f>IFERROR(B33/E33,0)</f>
        <v>5.2739999999999983E-3</v>
      </c>
      <c r="G33">
        <f t="shared" si="4"/>
        <v>191973.59999999992</v>
      </c>
      <c r="H33">
        <f t="shared" si="13"/>
        <v>38394.720000000001</v>
      </c>
      <c r="I33">
        <f t="shared" si="15"/>
        <v>0.72000000000116415</v>
      </c>
      <c r="J33">
        <f t="shared" si="14"/>
        <v>1.3888888888866433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0.17027999999999999</v>
      </c>
      <c r="C34" s="87">
        <f t="shared" si="2"/>
        <v>0</v>
      </c>
      <c r="D34" s="75">
        <f t="shared" si="12"/>
        <v>0.17027999999999999</v>
      </c>
      <c r="E34">
        <f>COUNTIF(tables_377101!C:C,input_377101!A34)-COUNTIF(Q:Q,A34)</f>
        <v>12</v>
      </c>
      <c r="F34" s="43">
        <f t="shared" ref="F34:F41" si="16">IFERROR(B34/E34,0)</f>
        <v>1.4189999999999999E-2</v>
      </c>
      <c r="G34">
        <f t="shared" si="4"/>
        <v>1239638.3999999999</v>
      </c>
      <c r="H34">
        <f t="shared" si="13"/>
        <v>103303.2</v>
      </c>
      <c r="I34">
        <f t="shared" si="15"/>
        <v>0.19999999999708962</v>
      </c>
      <c r="J34">
        <f t="shared" si="14"/>
        <v>5.0000000000727596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0.153252</v>
      </c>
      <c r="C35" s="87">
        <f t="shared" si="2"/>
        <v>0</v>
      </c>
      <c r="D35" s="75">
        <f t="shared" si="12"/>
        <v>0.153252</v>
      </c>
      <c r="E35">
        <f>COUNTIF(tables_377101!C:C,input_377101!A35)-COUNTIF(Q:Q,A35)</f>
        <v>12</v>
      </c>
      <c r="F35" s="43">
        <f t="shared" si="16"/>
        <v>1.2770999999999999E-2</v>
      </c>
      <c r="G35">
        <f t="shared" si="4"/>
        <v>1115674.56</v>
      </c>
      <c r="H35">
        <f t="shared" si="13"/>
        <v>92972.88</v>
      </c>
      <c r="I35">
        <f t="shared" si="15"/>
        <v>0.88000000000465661</v>
      </c>
      <c r="J35">
        <f t="shared" si="14"/>
        <v>1.1363636363576233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1.7027999999999998E-2</v>
      </c>
      <c r="C36" s="87">
        <f t="shared" si="2"/>
        <v>0</v>
      </c>
      <c r="D36" s="75">
        <f t="shared" si="12"/>
        <v>1.7027999999999998E-2</v>
      </c>
      <c r="E36">
        <f>COUNTIF(tables_377101!C:C,input_377101!A36)-COUNTIF(Q:Q,A36)</f>
        <v>12</v>
      </c>
      <c r="F36" s="43">
        <f t="shared" si="16"/>
        <v>1.4189999999999999E-3</v>
      </c>
      <c r="G36">
        <f t="shared" si="4"/>
        <v>123963.83999999998</v>
      </c>
      <c r="H36">
        <f t="shared" si="13"/>
        <v>10330.32</v>
      </c>
      <c r="I36">
        <f t="shared" si="15"/>
        <v>0.31999999999970896</v>
      </c>
      <c r="J36">
        <f t="shared" si="14"/>
        <v>3.1250000000028422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5.4479727272727263E-2</v>
      </c>
      <c r="C37" s="87">
        <f t="shared" si="2"/>
        <v>0</v>
      </c>
      <c r="D37" s="75">
        <f t="shared" si="12"/>
        <v>5.4479727272727263E-2</v>
      </c>
      <c r="E37">
        <f>COUNTIF(tables_377101!C:C,input_377101!A37)-COUNTIF(Q:Q,A37)</f>
        <v>2</v>
      </c>
      <c r="F37" s="43">
        <f t="shared" si="16"/>
        <v>2.7239863636363632E-2</v>
      </c>
      <c r="G37">
        <f t="shared" si="4"/>
        <v>396612.41454545449</v>
      </c>
      <c r="H37">
        <f t="shared" si="13"/>
        <v>198306.20727000001</v>
      </c>
      <c r="I37">
        <f t="shared" si="15"/>
        <v>0.2072700000135228</v>
      </c>
      <c r="J37">
        <f t="shared" si="14"/>
        <v>4.8246248851003886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2.2802727272727315E-3</v>
      </c>
      <c r="C38" s="87">
        <f t="shared" si="2"/>
        <v>0</v>
      </c>
      <c r="D38" s="75">
        <f t="shared" si="12"/>
        <v>2.2802727272727315E-3</v>
      </c>
      <c r="E38">
        <f>COUNTIF(tables_377101!C:C,input_377101!A38)-COUNTIF(Q:Q,A38)</f>
        <v>2</v>
      </c>
      <c r="F38" s="43">
        <f t="shared" si="16"/>
        <v>1.1401363636363657E-3</v>
      </c>
      <c r="G38">
        <f t="shared" si="4"/>
        <v>16600.385454545485</v>
      </c>
      <c r="H38">
        <f t="shared" si="13"/>
        <v>8300.1927300000007</v>
      </c>
      <c r="I38">
        <f t="shared" si="15"/>
        <v>0.19273000000066531</v>
      </c>
      <c r="J38">
        <f t="shared" si="14"/>
        <v>5.1886058215978208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1.4189999999999999E-2</v>
      </c>
      <c r="C39" s="87">
        <f t="shared" si="2"/>
        <v>0</v>
      </c>
      <c r="D39" s="75">
        <f t="shared" si="12"/>
        <v>1.4189999999999999E-2</v>
      </c>
      <c r="E39">
        <f>COUNTIF(tables_377101!C:C,input_377101!A39)-COUNTIF(Q:Q,A39)</f>
        <v>1</v>
      </c>
      <c r="F39" s="43">
        <f t="shared" si="16"/>
        <v>1.4189999999999999E-2</v>
      </c>
      <c r="G39">
        <f t="shared" si="4"/>
        <v>103303.2</v>
      </c>
      <c r="H39">
        <f t="shared" si="13"/>
        <v>103303.2</v>
      </c>
      <c r="I39">
        <f t="shared" si="15"/>
        <v>0.19999999999708962</v>
      </c>
      <c r="J39">
        <f t="shared" si="14"/>
        <v>5.0000000000727596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1.2770999999999999E-2</v>
      </c>
      <c r="C40" s="87">
        <f t="shared" si="2"/>
        <v>0</v>
      </c>
      <c r="D40" s="75">
        <f t="shared" si="12"/>
        <v>1.2770999999999999E-2</v>
      </c>
      <c r="E40">
        <f>COUNTIF(tables_377101!C:C,input_377101!A40)-COUNTIF(Q:Q,A40)</f>
        <v>1</v>
      </c>
      <c r="F40" s="43">
        <f t="shared" si="16"/>
        <v>1.2770999999999999E-2</v>
      </c>
      <c r="G40">
        <f t="shared" si="4"/>
        <v>92972.87999999999</v>
      </c>
      <c r="H40">
        <f t="shared" si="13"/>
        <v>92972.88</v>
      </c>
      <c r="I40">
        <f t="shared" si="15"/>
        <v>0.88000000000465661</v>
      </c>
      <c r="J40">
        <f t="shared" si="14"/>
        <v>1.1363636363576233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1.4190000000000001E-3</v>
      </c>
      <c r="C41" s="87">
        <f t="shared" si="2"/>
        <v>0</v>
      </c>
      <c r="D41" s="75">
        <f t="shared" si="12"/>
        <v>1.4190000000000001E-3</v>
      </c>
      <c r="E41">
        <f>COUNTIF(tables_377101!C:C,input_377101!A41)-COUNTIF(Q:Q,A41)</f>
        <v>1</v>
      </c>
      <c r="F41" s="43">
        <f t="shared" si="16"/>
        <v>1.4190000000000001E-3</v>
      </c>
      <c r="G41">
        <f t="shared" si="4"/>
        <v>10330.320000000002</v>
      </c>
      <c r="H41">
        <f t="shared" si="13"/>
        <v>10330.32</v>
      </c>
      <c r="I41">
        <f t="shared" si="15"/>
        <v>0.31999999999970896</v>
      </c>
      <c r="J41">
        <f t="shared" si="14"/>
        <v>3.1250000000028422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2.0727272727272726E-2</v>
      </c>
      <c r="C42" s="87">
        <f t="shared" si="2"/>
        <v>0</v>
      </c>
      <c r="D42" s="75">
        <f t="shared" si="12"/>
        <v>2.0727272727272726E-2</v>
      </c>
      <c r="E42">
        <f>COUNTIF(tables_377101!C:C,input_377101!A42)-COUNTIF(Q:Q,A42)</f>
        <v>8</v>
      </c>
      <c r="F42" s="43">
        <f>IFERROR(B42/E42,0)</f>
        <v>2.5909090909090908E-3</v>
      </c>
      <c r="G42">
        <f t="shared" si="4"/>
        <v>150894.54545454544</v>
      </c>
      <c r="H42">
        <f t="shared" si="13"/>
        <v>18861.818179999998</v>
      </c>
      <c r="I42">
        <f t="shared" si="15"/>
        <v>0.8181799999983923</v>
      </c>
      <c r="J42">
        <f t="shared" si="14"/>
        <v>1.2222249382800423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1.090909090909091E-3</v>
      </c>
      <c r="C43" s="87">
        <f t="shared" si="2"/>
        <v>0</v>
      </c>
      <c r="D43" s="75">
        <f t="shared" si="12"/>
        <v>1.090909090909091E-3</v>
      </c>
      <c r="E43">
        <f>COUNTIF(tables_377101!C:C,input_377101!A43)-COUNTIF(Q:Q,A43)</f>
        <v>8</v>
      </c>
      <c r="F43" s="43">
        <f t="shared" ref="F43:F46" si="17">IFERROR(B43/E43,0)</f>
        <v>1.3636363636363637E-4</v>
      </c>
      <c r="G43">
        <f t="shared" si="4"/>
        <v>7941.818181818182</v>
      </c>
      <c r="H43">
        <f t="shared" si="13"/>
        <v>992.72726999999998</v>
      </c>
      <c r="I43">
        <f t="shared" si="15"/>
        <v>0.72726999999997588</v>
      </c>
      <c r="J43">
        <f t="shared" si="14"/>
        <v>1.3750051562693817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8.1818181818181807E-3</v>
      </c>
      <c r="C44" s="87">
        <f t="shared" si="2"/>
        <v>0</v>
      </c>
      <c r="D44" s="75">
        <f t="shared" si="12"/>
        <v>8.1818181818181807E-3</v>
      </c>
      <c r="E44">
        <f>COUNTIF(tables_377101!C:C,input_377101!A44)-COUNTIF(Q:Q,A44)</f>
        <v>3</v>
      </c>
      <c r="F44" s="43">
        <f t="shared" si="17"/>
        <v>2.7272727272727271E-3</v>
      </c>
      <c r="G44">
        <f t="shared" si="4"/>
        <v>59563.636363636353</v>
      </c>
      <c r="H44">
        <f t="shared" si="13"/>
        <v>19854.545450000001</v>
      </c>
      <c r="I44">
        <f t="shared" si="15"/>
        <v>0.54545000000143773</v>
      </c>
      <c r="J44">
        <f t="shared" si="14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ref="D45:D46" si="18">B45-C45</f>
        <v>0</v>
      </c>
      <c r="E45">
        <f>COUNTIF(tables_377101!C:C,input_377101!A45)-COUNTIF(Q:Q,A45)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4.0000000000000001E-3</v>
      </c>
      <c r="C46" s="87">
        <f t="shared" si="2"/>
        <v>0</v>
      </c>
      <c r="D46" s="75">
        <f t="shared" si="18"/>
        <v>4.0000000000000001E-3</v>
      </c>
      <c r="E46">
        <f>COUNTIF(tables_377101!C:C,input_377101!A46)-COUNTIF(Q:Q,A46)</f>
        <v>1</v>
      </c>
      <c r="F46" s="43">
        <f t="shared" si="17"/>
        <v>4.0000000000000001E-3</v>
      </c>
      <c r="G46">
        <f t="shared" si="4"/>
        <v>29120</v>
      </c>
      <c r="H46">
        <f t="shared" si="19"/>
        <v>29120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7280000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SUMIF(tables_377101!C:C,input_377101!A55,tables_377101!O:O)</f>
        <v>847616.00000000058</v>
      </c>
      <c r="C55" s="54">
        <f t="shared" ref="C55:C61" ca="1" si="22">B55/B$62</f>
        <v>0.47109877992387894</v>
      </c>
      <c r="E55">
        <v>3</v>
      </c>
      <c r="F55">
        <f ca="1">SUMIF(tables_377101!J:J,input_377101!E55,tables_377101!O:O)</f>
        <v>3639999.9999499973</v>
      </c>
      <c r="G55">
        <f ca="1">F55/A51</f>
        <v>0.49999999999313149</v>
      </c>
    </row>
    <row r="56" spans="1:7" x14ac:dyDescent="0.15">
      <c r="A56" s="33" t="s">
        <v>107</v>
      </c>
      <c r="B56">
        <f ca="1">SUMIF(tables_377101!C:C,input_377101!A56,tables_377101!O:O)</f>
        <v>762854.39999999956</v>
      </c>
      <c r="C56" s="54">
        <f t="shared" ca="1" si="22"/>
        <v>0.42398890193149052</v>
      </c>
      <c r="E56">
        <v>4</v>
      </c>
      <c r="F56">
        <f ca="1">SUMIF(tables_377101!J:J,input_377101!E56,tables_377101!O:O)</f>
        <v>3246880.0000599995</v>
      </c>
      <c r="G56">
        <f ca="1">F56/A51</f>
        <v>0.44600000000824169</v>
      </c>
    </row>
    <row r="57" spans="1:7" x14ac:dyDescent="0.15">
      <c r="A57" s="33" t="s">
        <v>112</v>
      </c>
      <c r="B57">
        <f ca="1">SUMIF(tables_377101!C:C,input_377101!A57,tables_377101!O:O)</f>
        <v>98800</v>
      </c>
      <c r="C57" s="54">
        <f t="shared" ca="1" si="22"/>
        <v>5.4912318144630601E-2</v>
      </c>
      <c r="E57">
        <v>5</v>
      </c>
      <c r="F57">
        <f ca="1">SUMIF(tables_377101!J:J,input_377101!E57,tables_377101!O:O)</f>
        <v>393119.99994000013</v>
      </c>
      <c r="G57">
        <f ca="1">F57/A51</f>
        <v>5.3999999991758259E-2</v>
      </c>
    </row>
    <row r="58" spans="1:7" x14ac:dyDescent="0.15">
      <c r="A58" s="33" t="s">
        <v>113</v>
      </c>
      <c r="B58">
        <f>SUMIF(tables_377101!C:C,input_377101!A58,tables_377101!O:O)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SUMIF(tables_377101!C:C,input_377101!A59,tables_377101!O:O)</f>
        <v>84761.599999999962</v>
      </c>
      <c r="C59" s="54">
        <f t="shared" ca="1" si="22"/>
        <v>4.710987799238784E-2</v>
      </c>
      <c r="E59" t="s">
        <v>104</v>
      </c>
      <c r="F59" s="55"/>
    </row>
    <row r="60" spans="1:7" x14ac:dyDescent="0.15">
      <c r="A60" s="33" t="s">
        <v>114</v>
      </c>
      <c r="B60">
        <f ca="1">SUMIF(tables_377101!C:C,input_377101!A60,tables_377101!O:O)</f>
        <v>5200</v>
      </c>
      <c r="C60" s="54">
        <f t="shared" ca="1" si="22"/>
        <v>2.8901220076121368E-3</v>
      </c>
      <c r="E60" t="s">
        <v>210</v>
      </c>
      <c r="F60" s="55">
        <f ca="1">SUMIF(tables_377101!I:I,input_377101!E60,tables_377101!P:P)</f>
        <v>0.22922307692465094</v>
      </c>
    </row>
    <row r="61" spans="1:7" x14ac:dyDescent="0.15">
      <c r="A61" s="33" t="s">
        <v>115</v>
      </c>
      <c r="B61">
        <f>SUMIF(tables_377101!C:C,input_377101!A61,tables_377101!O:O)</f>
        <v>0</v>
      </c>
      <c r="C61" s="54">
        <f t="shared" ca="1" si="22"/>
        <v>0</v>
      </c>
      <c r="E61" t="s">
        <v>211</v>
      </c>
      <c r="F61" s="55">
        <f ca="1">SUMIF(tables_377101!I:I,input_377101!E61,tables_377101!P:P)</f>
        <v>0.22922307692465096</v>
      </c>
    </row>
    <row r="62" spans="1:7" x14ac:dyDescent="0.15">
      <c r="A62" s="39" t="s">
        <v>60</v>
      </c>
      <c r="B62">
        <f ca="1">SUM(B55:B61)</f>
        <v>1799232</v>
      </c>
      <c r="C62" s="55">
        <f ca="1">SUM(C55:C61)</f>
        <v>1</v>
      </c>
      <c r="E62" t="s">
        <v>212</v>
      </c>
      <c r="F62" s="55">
        <f ca="1">SUMIF(tables_377101!I:I,input_377101!E62,tables_377101!P:P)</f>
        <v>0.48755384615719427</v>
      </c>
    </row>
    <row r="63" spans="1:7" x14ac:dyDescent="0.15">
      <c r="E63" t="s">
        <v>213</v>
      </c>
      <c r="F63" s="55">
        <f ca="1">SUMIF(tables_377101!I:I,input_377101!E63,tables_377101!P:P)</f>
        <v>4.9999999993475187E-2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138" activePane="bottomLeft" state="frozen"/>
      <selection activeCell="H10" sqref="H10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input_377101!A$2</f>
        <v>377101</v>
      </c>
      <c r="B2" s="6">
        <v>126</v>
      </c>
      <c r="C2" s="7" t="str">
        <f t="shared" ref="C2:C65" si="0">D2&amp;J2&amp;E2&amp;F2&amp;G2</f>
        <v>PremiumW3color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283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IFERROR(VLOOKUP(B2,input_377101!L:R,7,FALSE),VLOOKUP(tables_377101!C2,input_377101!A:H,8,FALSE))</f>
        <v>168211.68</v>
      </c>
      <c r="P2" s="46">
        <f t="shared" ref="P2:P65" ca="1" si="2">O2/SUM(O:O)</f>
        <v>2.3106000000158645E-2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input_377101!A$2</f>
        <v>377101</v>
      </c>
      <c r="B3" s="6">
        <v>127</v>
      </c>
      <c r="C3" s="7" t="str">
        <f t="shared" si="0"/>
        <v>PremiumW4color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283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IFERROR(VLOOKUP(B3,input_377101!L:R,7,FALSE),VLOOKUP(tables_377101!C3,input_377101!A:H,8,FALSE))</f>
        <v>38394.720000000001</v>
      </c>
      <c r="P3" s="46">
        <f t="shared" ca="1" si="2"/>
        <v>5.2740000000362115E-3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input_377101!A$2</f>
        <v>377101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IFERROR(VLOOKUP(B4,input_377101!L:R,7,FALSE),VLOOKUP(tables_377101!C4,input_377101!A:H,8,FALSE))</f>
        <v>36320.853329999998</v>
      </c>
      <c r="P4" s="46">
        <f t="shared" ca="1" si="2"/>
        <v>4.9891282047045855E-3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input_377101!A$2</f>
        <v>377101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IFERROR(VLOOKUP(B5,input_377101!L:R,7,FALSE),VLOOKUP(tables_377101!C5,input_377101!A:H,8,FALSE))</f>
        <v>6059.9466700000003</v>
      </c>
      <c r="P5" s="46">
        <f t="shared" ca="1" si="2"/>
        <v>8.3241025687384729E-4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input_377101!A$2</f>
        <v>377101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IFERROR(VLOOKUP(B6,input_377101!L:R,7,FALSE),VLOOKUP(tables_377101!C6,input_377101!A:H,8,FALSE))</f>
        <v>36320.853329999998</v>
      </c>
      <c r="P6" s="46">
        <f t="shared" ca="1" si="2"/>
        <v>4.9891282047045855E-3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input_377101!A$2</f>
        <v>377101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IFERROR(VLOOKUP(B7,input_377101!L:R,7,FALSE),VLOOKUP(tables_377101!C7,input_377101!A:H,8,FALSE))</f>
        <v>6059.9466700000003</v>
      </c>
      <c r="P7" s="46">
        <f t="shared" ca="1" si="2"/>
        <v>8.3241025687384729E-4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input_377101!A$2</f>
        <v>377101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IFERROR(VLOOKUP(B8,input_377101!L:R,7,FALSE),VLOOKUP(tables_377101!C8,input_377101!A:H,8,FALSE))</f>
        <v>36320.853329999998</v>
      </c>
      <c r="P8" s="46">
        <f t="shared" ca="1" si="2"/>
        <v>4.9891282047045855E-3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input_377101!A$2</f>
        <v>377101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IFERROR(VLOOKUP(B9,input_377101!L:R,7,FALSE),VLOOKUP(tables_377101!C9,input_377101!A:H,8,FALSE))</f>
        <v>6059.9466700000003</v>
      </c>
      <c r="P9" s="46">
        <f t="shared" ca="1" si="2"/>
        <v>8.3241025687384729E-4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input_377101!A$2</f>
        <v>377101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283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IFERROR(VLOOKUP(B10,input_377101!L:R,7,FALSE),VLOOKUP(tables_377101!C10,input_377101!A:H,8,FALSE))</f>
        <v>168211.68</v>
      </c>
      <c r="P10" s="46">
        <f t="shared" ca="1" si="2"/>
        <v>2.3106000000158645E-2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input_377101!A$2</f>
        <v>377101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283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IFERROR(VLOOKUP(B11,input_377101!L:R,7,FALSE),VLOOKUP(tables_377101!C11,input_377101!A:H,8,FALSE))</f>
        <v>38394.720000000001</v>
      </c>
      <c r="P11" s="46">
        <f t="shared" ca="1" si="2"/>
        <v>5.2740000000362115E-3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input_377101!A$2</f>
        <v>377101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IFERROR(VLOOKUP(B12,input_377101!L:R,7,FALSE),VLOOKUP(tables_377101!C12,input_377101!A:H,8,FALSE))</f>
        <v>36320.853329999998</v>
      </c>
      <c r="P12" s="46">
        <f t="shared" ca="1" si="2"/>
        <v>4.9891282047045855E-3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input_377101!A$2</f>
        <v>377101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IFERROR(VLOOKUP(B13,input_377101!L:R,7,FALSE),VLOOKUP(tables_377101!C13,input_377101!A:H,8,FALSE))</f>
        <v>6059.9466700000003</v>
      </c>
      <c r="P13" s="46">
        <f t="shared" ca="1" si="2"/>
        <v>8.3241025687384729E-4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input_377101!A$2</f>
        <v>377101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IFERROR(VLOOKUP(B14,input_377101!L:R,7,FALSE),VLOOKUP(tables_377101!C14,input_377101!A:H,8,FALSE))</f>
        <v>36320.853329999998</v>
      </c>
      <c r="P14" s="46">
        <f t="shared" ca="1" si="2"/>
        <v>4.9891282047045855E-3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input_377101!A$2</f>
        <v>377101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IFERROR(VLOOKUP(B15,input_377101!L:R,7,FALSE),VLOOKUP(tables_377101!C15,input_377101!A:H,8,FALSE))</f>
        <v>6059.9466700000003</v>
      </c>
      <c r="P15" s="46">
        <f t="shared" ca="1" si="2"/>
        <v>8.3241025687384729E-4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input_377101!A$2</f>
        <v>377101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IFERROR(VLOOKUP(B16,input_377101!L:R,7,FALSE),VLOOKUP(tables_377101!C16,input_377101!A:H,8,FALSE))</f>
        <v>36320.853329999998</v>
      </c>
      <c r="P16" s="46">
        <f t="shared" ca="1" si="2"/>
        <v>4.9891282047045855E-3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input_377101!A$2</f>
        <v>377101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IFERROR(VLOOKUP(B17,input_377101!L:R,7,FALSE),VLOOKUP(tables_377101!C17,input_377101!A:H,8,FALSE))</f>
        <v>6059.9466700000003</v>
      </c>
      <c r="P17" s="46">
        <f t="shared" ca="1" si="2"/>
        <v>8.3241025687384729E-4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input_377101!A$2</f>
        <v>377101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283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IFERROR(VLOOKUP(B18,input_377101!L:R,7,FALSE),VLOOKUP(tables_377101!C18,input_377101!A:H,8,FALSE))</f>
        <v>168211.68</v>
      </c>
      <c r="P18" s="46">
        <f t="shared" ca="1" si="2"/>
        <v>2.3106000000158645E-2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input_377101!A$2</f>
        <v>377101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283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IFERROR(VLOOKUP(B19,input_377101!L:R,7,FALSE),VLOOKUP(tables_377101!C19,input_377101!A:H,8,FALSE))</f>
        <v>38394.720000000001</v>
      </c>
      <c r="P19" s="46">
        <f t="shared" ca="1" si="2"/>
        <v>5.2740000000362115E-3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input_377101!A$2</f>
        <v>377101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IFERROR(VLOOKUP(B20,input_377101!L:R,7,FALSE),VLOOKUP(tables_377101!C20,input_377101!A:H,8,FALSE))</f>
        <v>36320.853329999998</v>
      </c>
      <c r="P20" s="46">
        <f t="shared" ca="1" si="2"/>
        <v>4.9891282047045855E-3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input_377101!A$2</f>
        <v>377101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IFERROR(VLOOKUP(B21,input_377101!L:R,7,FALSE),VLOOKUP(tables_377101!C21,input_377101!A:H,8,FALSE))</f>
        <v>6059.9466700000003</v>
      </c>
      <c r="P21" s="46">
        <f t="shared" ca="1" si="2"/>
        <v>8.3241025687384729E-4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input_377101!A$2</f>
        <v>377101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IFERROR(VLOOKUP(B22,input_377101!L:R,7,FALSE),VLOOKUP(tables_377101!C22,input_377101!A:H,8,FALSE))</f>
        <v>36320.853329999998</v>
      </c>
      <c r="P22" s="46">
        <f t="shared" ca="1" si="2"/>
        <v>4.9891282047045855E-3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input_377101!A$2</f>
        <v>377101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IFERROR(VLOOKUP(B23,input_377101!L:R,7,FALSE),VLOOKUP(tables_377101!C23,input_377101!A:H,8,FALSE))</f>
        <v>6059.9466700000003</v>
      </c>
      <c r="P23" s="46">
        <f t="shared" ca="1" si="2"/>
        <v>8.3241025687384729E-4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input_377101!A$2</f>
        <v>377101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IFERROR(VLOOKUP(B24,input_377101!L:R,7,FALSE),VLOOKUP(tables_377101!C24,input_377101!A:H,8,FALSE))</f>
        <v>36320.853329999998</v>
      </c>
      <c r="P24" s="46">
        <f t="shared" ca="1" si="2"/>
        <v>4.9891282047045855E-3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input_377101!A$2</f>
        <v>377101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IFERROR(VLOOKUP(B25,input_377101!L:R,7,FALSE),VLOOKUP(tables_377101!C25,input_377101!A:H,8,FALSE))</f>
        <v>6059.9466700000003</v>
      </c>
      <c r="P25" s="46">
        <f t="shared" ca="1" si="2"/>
        <v>8.3241025687384729E-4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input_377101!A$2</f>
        <v>377101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283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IFERROR(VLOOKUP(B26,input_377101!L:R,7,FALSE),VLOOKUP(tables_377101!C26,input_377101!A:H,8,FALSE))</f>
        <v>168211.68</v>
      </c>
      <c r="P26" s="46">
        <f t="shared" ca="1" si="2"/>
        <v>2.3106000000158645E-2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input_377101!A$2</f>
        <v>377101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283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IFERROR(VLOOKUP(B27,input_377101!L:R,7,FALSE),VLOOKUP(tables_377101!C27,input_377101!A:H,8,FALSE))</f>
        <v>38394.720000000001</v>
      </c>
      <c r="P27" s="46">
        <f t="shared" ca="1" si="2"/>
        <v>5.2740000000362115E-3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input_377101!A$2</f>
        <v>377101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IFERROR(VLOOKUP(B28,input_377101!L:R,7,FALSE),VLOOKUP(tables_377101!C28,input_377101!A:H,8,FALSE))</f>
        <v>36320.853329999998</v>
      </c>
      <c r="P28" s="46">
        <f t="shared" ca="1" si="2"/>
        <v>4.9891282047045855E-3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input_377101!A$2</f>
        <v>377101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IFERROR(VLOOKUP(B29,input_377101!L:R,7,FALSE),VLOOKUP(tables_377101!C29,input_377101!A:H,8,FALSE))</f>
        <v>6059.9466700000003</v>
      </c>
      <c r="P29" s="46">
        <f t="shared" ca="1" si="2"/>
        <v>8.3241025687384729E-4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input_377101!A$2</f>
        <v>377101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IFERROR(VLOOKUP(B30,input_377101!L:R,7,FALSE),VLOOKUP(tables_377101!C30,input_377101!A:H,8,FALSE))</f>
        <v>36320.853329999998</v>
      </c>
      <c r="P30" s="46">
        <f t="shared" ca="1" si="2"/>
        <v>4.9891282047045855E-3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input_377101!A$2</f>
        <v>377101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IFERROR(VLOOKUP(B31,input_377101!L:R,7,FALSE),VLOOKUP(tables_377101!C31,input_377101!A:H,8,FALSE))</f>
        <v>6059.9466700000003</v>
      </c>
      <c r="P31" s="46">
        <f t="shared" ca="1" si="2"/>
        <v>8.3241025687384729E-4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input_377101!A$2</f>
        <v>377101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IFERROR(VLOOKUP(B32,input_377101!L:R,7,FALSE),VLOOKUP(tables_377101!C32,input_377101!A:H,8,FALSE))</f>
        <v>36320.853329999998</v>
      </c>
      <c r="P32" s="46">
        <f t="shared" ca="1" si="2"/>
        <v>4.9891282047045855E-3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input_377101!A$2</f>
        <v>377101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IFERROR(VLOOKUP(B33,input_377101!L:R,7,FALSE),VLOOKUP(tables_377101!C33,input_377101!A:H,8,FALSE))</f>
        <v>6059.9466700000003</v>
      </c>
      <c r="P33" s="46">
        <f t="shared" ca="1" si="2"/>
        <v>8.3241025687384729E-4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input_377101!A$2</f>
        <v>377101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283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IFERROR(VLOOKUP(B34,input_377101!L:R,7,FALSE),VLOOKUP(tables_377101!C34,input_377101!A:H,8,FALSE))</f>
        <v>168211.68</v>
      </c>
      <c r="P34" s="46">
        <f t="shared" ca="1" si="2"/>
        <v>2.3106000000158645E-2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input_377101!A$2</f>
        <v>377101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283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IFERROR(VLOOKUP(B35,input_377101!L:R,7,FALSE),VLOOKUP(tables_377101!C35,input_377101!A:H,8,FALSE))</f>
        <v>38394.720000000001</v>
      </c>
      <c r="P35" s="46">
        <f t="shared" ca="1" si="2"/>
        <v>5.2740000000362115E-3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input_377101!A$2</f>
        <v>377101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IFERROR(VLOOKUP(B36,input_377101!L:R,7,FALSE),VLOOKUP(tables_377101!C36,input_377101!A:H,8,FALSE))</f>
        <v>36320.853329999998</v>
      </c>
      <c r="P36" s="46">
        <f t="shared" ca="1" si="2"/>
        <v>4.9891282047045855E-3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input_377101!A$2</f>
        <v>377101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IFERROR(VLOOKUP(B37,input_377101!L:R,7,FALSE),VLOOKUP(tables_377101!C37,input_377101!A:H,8,FALSE))</f>
        <v>6059.9466700000003</v>
      </c>
      <c r="P37" s="46">
        <f t="shared" ca="1" si="2"/>
        <v>8.3241025687384729E-4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input_377101!A$2</f>
        <v>377101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IFERROR(VLOOKUP(B38,input_377101!L:R,7,FALSE),VLOOKUP(tables_377101!C38,input_377101!A:H,8,FALSE))</f>
        <v>36320.853329999998</v>
      </c>
      <c r="P38" s="46">
        <f t="shared" ca="1" si="2"/>
        <v>4.9891282047045855E-3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input_377101!A$2</f>
        <v>377101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IFERROR(VLOOKUP(B39,input_377101!L:R,7,FALSE),VLOOKUP(tables_377101!C39,input_377101!A:H,8,FALSE))</f>
        <v>6059.9466700000003</v>
      </c>
      <c r="P39" s="46">
        <f t="shared" ca="1" si="2"/>
        <v>8.3241025687384729E-4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input_377101!A$2</f>
        <v>377101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IFERROR(VLOOKUP(B40,input_377101!L:R,7,FALSE),VLOOKUP(tables_377101!C40,input_377101!A:H,8,FALSE))</f>
        <v>36320.853329999998</v>
      </c>
      <c r="P40" s="46">
        <f t="shared" ca="1" si="2"/>
        <v>4.9891282047045855E-3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input_377101!A$2</f>
        <v>377101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IFERROR(VLOOKUP(B41,input_377101!L:R,7,FALSE),VLOOKUP(tables_377101!C41,input_377101!A:H,8,FALSE))</f>
        <v>6059.9466700000003</v>
      </c>
      <c r="P41" s="46">
        <f t="shared" ca="1" si="2"/>
        <v>8.3241025687384729E-4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input_377101!A$2</f>
        <v>377101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283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IFERROR(VLOOKUP(B42,input_377101!L:R,7,FALSE),VLOOKUP(tables_377101!C42,input_377101!A:H,8,FALSE))</f>
        <v>103303.2</v>
      </c>
      <c r="P42" s="46">
        <f t="shared" ca="1" si="2"/>
        <v>1.4190000000097428E-2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input_377101!A$2</f>
        <v>377101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283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IFERROR(VLOOKUP(B43,input_377101!L:R,7,FALSE),VLOOKUP(tables_377101!C43,input_377101!A:H,8,FALSE))</f>
        <v>92972.88</v>
      </c>
      <c r="P43" s="46">
        <f t="shared" ca="1" si="2"/>
        <v>1.2771000000087688E-2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input_377101!A$2</f>
        <v>377101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283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IFERROR(VLOOKUP(B44,input_377101!L:R,7,FALSE),VLOOKUP(tables_377101!C44,input_377101!A:H,8,FALSE))</f>
        <v>10330.32</v>
      </c>
      <c r="P44" s="46">
        <f t="shared" ca="1" si="2"/>
        <v>1.419000000009743E-3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input_377101!A$2</f>
        <v>377101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IFERROR(VLOOKUP(B45,input_377101!L:R,7,FALSE),VLOOKUP(tables_377101!C45,input_377101!A:H,8,FALSE))</f>
        <v>21190.400000000001</v>
      </c>
      <c r="P45" s="46">
        <f t="shared" ca="1" si="2"/>
        <v>2.9107692307892164E-3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input_377101!A$2</f>
        <v>377101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IFERROR(VLOOKUP(B46,input_377101!L:R,7,FALSE),VLOOKUP(tables_377101!C46,input_377101!A:H,8,FALSE))</f>
        <v>19071.36</v>
      </c>
      <c r="P46" s="46">
        <f t="shared" ca="1" si="2"/>
        <v>2.6196923077102946E-3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input_377101!A$2</f>
        <v>377101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IFERROR(VLOOKUP(B47,input_377101!L:R,7,FALSE),VLOOKUP(tables_377101!C47,input_377101!A:H,8,FALSE))</f>
        <v>2119.04</v>
      </c>
      <c r="P47" s="46">
        <f t="shared" ca="1" si="2"/>
        <v>2.9107692307892165E-4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input_377101!A$2</f>
        <v>377101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IFERROR(VLOOKUP(B48,input_377101!L:R,7,FALSE),VLOOKUP(tables_377101!C48,input_377101!A:H,8,FALSE))</f>
        <v>21190.400000000001</v>
      </c>
      <c r="P48" s="46">
        <f t="shared" ca="1" si="2"/>
        <v>2.9107692307892164E-3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input_377101!A$2</f>
        <v>377101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IFERROR(VLOOKUP(B49,input_377101!L:R,7,FALSE),VLOOKUP(tables_377101!C49,input_377101!A:H,8,FALSE))</f>
        <v>19071.36</v>
      </c>
      <c r="P49" s="46">
        <f t="shared" ca="1" si="2"/>
        <v>2.6196923077102946E-3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input_377101!A$2</f>
        <v>377101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IFERROR(VLOOKUP(B50,input_377101!L:R,7,FALSE),VLOOKUP(tables_377101!C50,input_377101!A:H,8,FALSE))</f>
        <v>2119.04</v>
      </c>
      <c r="P50" s="46">
        <f t="shared" ca="1" si="2"/>
        <v>2.9107692307892165E-4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input_377101!A$2</f>
        <v>377101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IFERROR(VLOOKUP(B51,input_377101!L:R,7,FALSE),VLOOKUP(tables_377101!C51,input_377101!A:H,8,FALSE))</f>
        <v>21190.400000000001</v>
      </c>
      <c r="P51" s="46">
        <f t="shared" ca="1" si="2"/>
        <v>2.9107692307892164E-3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input_377101!A$2</f>
        <v>377101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IFERROR(VLOOKUP(B52,input_377101!L:R,7,FALSE),VLOOKUP(tables_377101!C52,input_377101!A:H,8,FALSE))</f>
        <v>19071.36</v>
      </c>
      <c r="P52" s="46">
        <f t="shared" ca="1" si="2"/>
        <v>2.6196923077102946E-3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input_377101!A$2</f>
        <v>377101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IFERROR(VLOOKUP(B53,input_377101!L:R,7,FALSE),VLOOKUP(tables_377101!C53,input_377101!A:H,8,FALSE))</f>
        <v>2119.04</v>
      </c>
      <c r="P53" s="46">
        <f t="shared" ca="1" si="2"/>
        <v>2.9107692307892165E-4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input_377101!A$2</f>
        <v>377101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283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IFERROR(VLOOKUP(B54,input_377101!L:R,7,FALSE),VLOOKUP(tables_377101!C54,input_377101!A:H,8,FALSE))</f>
        <v>103303.2</v>
      </c>
      <c r="P54" s="46">
        <f t="shared" ca="1" si="2"/>
        <v>1.4190000000097428E-2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input_377101!A$2</f>
        <v>377101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283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IFERROR(VLOOKUP(B55,input_377101!L:R,7,FALSE),VLOOKUP(tables_377101!C55,input_377101!A:H,8,FALSE))</f>
        <v>92972.88</v>
      </c>
      <c r="P55" s="46">
        <f t="shared" ca="1" si="2"/>
        <v>1.2771000000087688E-2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input_377101!A$2</f>
        <v>377101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283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IFERROR(VLOOKUP(B56,input_377101!L:R,7,FALSE),VLOOKUP(tables_377101!C56,input_377101!A:H,8,FALSE))</f>
        <v>10330.32</v>
      </c>
      <c r="P56" s="46">
        <f t="shared" ca="1" si="2"/>
        <v>1.419000000009743E-3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input_377101!A$2</f>
        <v>377101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IFERROR(VLOOKUP(B57,input_377101!L:R,7,FALSE),VLOOKUP(tables_377101!C57,input_377101!A:H,8,FALSE))</f>
        <v>21190.400000000001</v>
      </c>
      <c r="P57" s="46">
        <f t="shared" ca="1" si="2"/>
        <v>2.9107692307892164E-3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input_377101!A$2</f>
        <v>377101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IFERROR(VLOOKUP(B58,input_377101!L:R,7,FALSE),VLOOKUP(tables_377101!C58,input_377101!A:H,8,FALSE))</f>
        <v>19071.36</v>
      </c>
      <c r="P58" s="46">
        <f t="shared" ca="1" si="2"/>
        <v>2.6196923077102946E-3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input_377101!A$2</f>
        <v>377101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IFERROR(VLOOKUP(B59,input_377101!L:R,7,FALSE),VLOOKUP(tables_377101!C59,input_377101!A:H,8,FALSE))</f>
        <v>2119.04</v>
      </c>
      <c r="P59" s="46">
        <f t="shared" ca="1" si="2"/>
        <v>2.9107692307892165E-4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input_377101!A$2</f>
        <v>377101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IFERROR(VLOOKUP(B60,input_377101!L:R,7,FALSE),VLOOKUP(tables_377101!C60,input_377101!A:H,8,FALSE))</f>
        <v>21190.400000000001</v>
      </c>
      <c r="P60" s="46">
        <f t="shared" ca="1" si="2"/>
        <v>2.9107692307892164E-3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input_377101!A$2</f>
        <v>377101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IFERROR(VLOOKUP(B61,input_377101!L:R,7,FALSE),VLOOKUP(tables_377101!C61,input_377101!A:H,8,FALSE))</f>
        <v>19071.36</v>
      </c>
      <c r="P61" s="46">
        <f t="shared" ca="1" si="2"/>
        <v>2.6196923077102946E-3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input_377101!A$2</f>
        <v>377101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IFERROR(VLOOKUP(B62,input_377101!L:R,7,FALSE),VLOOKUP(tables_377101!C62,input_377101!A:H,8,FALSE))</f>
        <v>2119.04</v>
      </c>
      <c r="P62" s="46">
        <f t="shared" ca="1" si="2"/>
        <v>2.9107692307892165E-4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input_377101!A$2</f>
        <v>377101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IFERROR(VLOOKUP(B63,input_377101!L:R,7,FALSE),VLOOKUP(tables_377101!C63,input_377101!A:H,8,FALSE))</f>
        <v>21190.400000000001</v>
      </c>
      <c r="P63" s="46">
        <f t="shared" ca="1" si="2"/>
        <v>2.9107692307892164E-3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input_377101!A$2</f>
        <v>377101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IFERROR(VLOOKUP(B64,input_377101!L:R,7,FALSE),VLOOKUP(tables_377101!C64,input_377101!A:H,8,FALSE))</f>
        <v>19071.36</v>
      </c>
      <c r="P64" s="46">
        <f t="shared" ca="1" si="2"/>
        <v>2.6196923077102946E-3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input_377101!A$2</f>
        <v>377101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IFERROR(VLOOKUP(B65,input_377101!L:R,7,FALSE),VLOOKUP(tables_377101!C65,input_377101!A:H,8,FALSE))</f>
        <v>2119.04</v>
      </c>
      <c r="P65" s="46">
        <f t="shared" ca="1" si="2"/>
        <v>2.9107692307892165E-4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input_377101!A$2</f>
        <v>377101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283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IFERROR(VLOOKUP(B66,input_377101!L:R,7,FALSE),VLOOKUP(tables_377101!C66,input_377101!A:H,8,FALSE))</f>
        <v>103303.2</v>
      </c>
      <c r="P66" s="46">
        <f t="shared" ref="P66:P129" ca="1" si="5">O66/SUM(O:O)</f>
        <v>1.4190000000097428E-2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input_377101!A$2</f>
        <v>377101</v>
      </c>
      <c r="B67" s="6">
        <v>191</v>
      </c>
      <c r="C67" s="7" t="str">
        <f t="shared" si="3"/>
        <v>Premium4color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283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IFERROR(VLOOKUP(B67,input_377101!L:R,7,FALSE),VLOOKUP(tables_377101!C67,input_377101!A:H,8,FALSE))</f>
        <v>92972.88</v>
      </c>
      <c r="P67" s="46">
        <f t="shared" ca="1" si="5"/>
        <v>1.2771000000087688E-2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input_377101!A$2</f>
        <v>377101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283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IFERROR(VLOOKUP(B68,input_377101!L:R,7,FALSE),VLOOKUP(tables_377101!C68,input_377101!A:H,8,FALSE))</f>
        <v>10330.32</v>
      </c>
      <c r="P68" s="46">
        <f t="shared" ca="1" si="5"/>
        <v>1.419000000009743E-3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input_377101!A$2</f>
        <v>377101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IFERROR(VLOOKUP(B69,input_377101!L:R,7,FALSE),VLOOKUP(tables_377101!C69,input_377101!A:H,8,FALSE))</f>
        <v>21190.400000000001</v>
      </c>
      <c r="P69" s="46">
        <f t="shared" ca="1" si="5"/>
        <v>2.9107692307892164E-3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input_377101!A$2</f>
        <v>377101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IFERROR(VLOOKUP(B70,input_377101!L:R,7,FALSE),VLOOKUP(tables_377101!C70,input_377101!A:H,8,FALSE))</f>
        <v>19071.36</v>
      </c>
      <c r="P70" s="46">
        <f t="shared" ca="1" si="5"/>
        <v>2.6196923077102946E-3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input_377101!A$2</f>
        <v>377101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IFERROR(VLOOKUP(B71,input_377101!L:R,7,FALSE),VLOOKUP(tables_377101!C71,input_377101!A:H,8,FALSE))</f>
        <v>2119.04</v>
      </c>
      <c r="P71" s="46">
        <f t="shared" ca="1" si="5"/>
        <v>2.9107692307892165E-4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input_377101!A$2</f>
        <v>377101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IFERROR(VLOOKUP(B72,input_377101!L:R,7,FALSE),VLOOKUP(tables_377101!C72,input_377101!A:H,8,FALSE))</f>
        <v>21190.400000000001</v>
      </c>
      <c r="P72" s="46">
        <f t="shared" ca="1" si="5"/>
        <v>2.9107692307892164E-3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input_377101!A$2</f>
        <v>377101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IFERROR(VLOOKUP(B73,input_377101!L:R,7,FALSE),VLOOKUP(tables_377101!C73,input_377101!A:H,8,FALSE))</f>
        <v>19071.36</v>
      </c>
      <c r="P73" s="46">
        <f t="shared" ca="1" si="5"/>
        <v>2.6196923077102946E-3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input_377101!A$2</f>
        <v>377101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IFERROR(VLOOKUP(B74,input_377101!L:R,7,FALSE),VLOOKUP(tables_377101!C74,input_377101!A:H,8,FALSE))</f>
        <v>2119.04</v>
      </c>
      <c r="P74" s="46">
        <f t="shared" ca="1" si="5"/>
        <v>2.9107692307892165E-4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input_377101!A$2</f>
        <v>377101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IFERROR(VLOOKUP(B75,input_377101!L:R,7,FALSE),VLOOKUP(tables_377101!C75,input_377101!A:H,8,FALSE))</f>
        <v>21190.400000000001</v>
      </c>
      <c r="P75" s="46">
        <f t="shared" ca="1" si="5"/>
        <v>2.9107692307892164E-3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input_377101!A$2</f>
        <v>377101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IFERROR(VLOOKUP(B76,input_377101!L:R,7,FALSE),VLOOKUP(tables_377101!C76,input_377101!A:H,8,FALSE))</f>
        <v>19071.36</v>
      </c>
      <c r="P76" s="46">
        <f t="shared" ca="1" si="5"/>
        <v>2.6196923077102946E-3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input_377101!A$2</f>
        <v>377101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IFERROR(VLOOKUP(B77,input_377101!L:R,7,FALSE),VLOOKUP(tables_377101!C77,input_377101!A:H,8,FALSE))</f>
        <v>2119.04</v>
      </c>
      <c r="P77" s="46">
        <f t="shared" ca="1" si="5"/>
        <v>2.9107692307892165E-4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input_377101!A$2</f>
        <v>377101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283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IFERROR(VLOOKUP(B78,input_377101!L:R,7,FALSE),VLOOKUP(tables_377101!C78,input_377101!A:H,8,FALSE))</f>
        <v>103303.2</v>
      </c>
      <c r="P78" s="46">
        <f t="shared" ca="1" si="5"/>
        <v>1.4190000000097428E-2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input_377101!A$2</f>
        <v>377101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283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IFERROR(VLOOKUP(B79,input_377101!L:R,7,FALSE),VLOOKUP(tables_377101!C79,input_377101!A:H,8,FALSE))</f>
        <v>92972.88</v>
      </c>
      <c r="P79" s="46">
        <f t="shared" ca="1" si="5"/>
        <v>1.2771000000087688E-2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input_377101!A$2</f>
        <v>377101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283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IFERROR(VLOOKUP(B80,input_377101!L:R,7,FALSE),VLOOKUP(tables_377101!C80,input_377101!A:H,8,FALSE))</f>
        <v>10330.32</v>
      </c>
      <c r="P80" s="46">
        <f t="shared" ca="1" si="5"/>
        <v>1.419000000009743E-3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input_377101!A$2</f>
        <v>377101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IFERROR(VLOOKUP(B81,input_377101!L:R,7,FALSE),VLOOKUP(tables_377101!C81,input_377101!A:H,8,FALSE))</f>
        <v>21190.400000000001</v>
      </c>
      <c r="P81" s="46">
        <f t="shared" ca="1" si="5"/>
        <v>2.9107692307892164E-3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input_377101!A$2</f>
        <v>377101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IFERROR(VLOOKUP(B82,input_377101!L:R,7,FALSE),VLOOKUP(tables_377101!C82,input_377101!A:H,8,FALSE))</f>
        <v>19071.36</v>
      </c>
      <c r="P82" s="46">
        <f t="shared" ca="1" si="5"/>
        <v>2.6196923077102946E-3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input_377101!A$2</f>
        <v>377101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IFERROR(VLOOKUP(B83,input_377101!L:R,7,FALSE),VLOOKUP(tables_377101!C83,input_377101!A:H,8,FALSE))</f>
        <v>2119.04</v>
      </c>
      <c r="P83" s="46">
        <f t="shared" ca="1" si="5"/>
        <v>2.9107692307892165E-4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input_377101!A$2</f>
        <v>377101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IFERROR(VLOOKUP(B84,input_377101!L:R,7,FALSE),VLOOKUP(tables_377101!C84,input_377101!A:H,8,FALSE))</f>
        <v>21190.400000000001</v>
      </c>
      <c r="P84" s="46">
        <f t="shared" ca="1" si="5"/>
        <v>2.9107692307892164E-3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input_377101!A$2</f>
        <v>377101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IFERROR(VLOOKUP(B85,input_377101!L:R,7,FALSE),VLOOKUP(tables_377101!C85,input_377101!A:H,8,FALSE))</f>
        <v>19071.36</v>
      </c>
      <c r="P85" s="46">
        <f t="shared" ca="1" si="5"/>
        <v>2.6196923077102946E-3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input_377101!A$2</f>
        <v>377101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IFERROR(VLOOKUP(B86,input_377101!L:R,7,FALSE),VLOOKUP(tables_377101!C86,input_377101!A:H,8,FALSE))</f>
        <v>2119.04</v>
      </c>
      <c r="P86" s="46">
        <f t="shared" ca="1" si="5"/>
        <v>2.9107692307892165E-4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input_377101!A$2</f>
        <v>377101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IFERROR(VLOOKUP(B87,input_377101!L:R,7,FALSE),VLOOKUP(tables_377101!C87,input_377101!A:H,8,FALSE))</f>
        <v>21190.400000000001</v>
      </c>
      <c r="P87" s="46">
        <f t="shared" ca="1" si="5"/>
        <v>2.9107692307892164E-3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input_377101!A$2</f>
        <v>377101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IFERROR(VLOOKUP(B88,input_377101!L:R,7,FALSE),VLOOKUP(tables_377101!C88,input_377101!A:H,8,FALSE))</f>
        <v>19071.36</v>
      </c>
      <c r="P88" s="46">
        <f t="shared" ca="1" si="5"/>
        <v>2.6196923077102946E-3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input_377101!A$2</f>
        <v>377101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IFERROR(VLOOKUP(B89,input_377101!L:R,7,FALSE),VLOOKUP(tables_377101!C89,input_377101!A:H,8,FALSE))</f>
        <v>2119.04</v>
      </c>
      <c r="P89" s="46">
        <f t="shared" ca="1" si="5"/>
        <v>2.9107692307892165E-4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input_377101!A$2</f>
        <v>377101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283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IFERROR(VLOOKUP(B90,input_377101!L:R,7,FALSE),VLOOKUP(tables_377101!C90,input_377101!A:H,8,FALSE))</f>
        <v>103303.2</v>
      </c>
      <c r="P90" s="46">
        <f t="shared" ca="1" si="5"/>
        <v>1.4190000000097428E-2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input_377101!A$2</f>
        <v>377101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283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IFERROR(VLOOKUP(B91,input_377101!L:R,7,FALSE),VLOOKUP(tables_377101!C91,input_377101!A:H,8,FALSE))</f>
        <v>92972.88</v>
      </c>
      <c r="P91" s="46">
        <f t="shared" ca="1" si="5"/>
        <v>1.2771000000087688E-2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input_377101!A$2</f>
        <v>377101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283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IFERROR(VLOOKUP(B92,input_377101!L:R,7,FALSE),VLOOKUP(tables_377101!C92,input_377101!A:H,8,FALSE))</f>
        <v>10330.32</v>
      </c>
      <c r="P92" s="46">
        <f t="shared" ca="1" si="5"/>
        <v>1.419000000009743E-3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input_377101!A$2</f>
        <v>377101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IFERROR(VLOOKUP(B93,input_377101!L:R,7,FALSE),VLOOKUP(tables_377101!C93,input_377101!A:H,8,FALSE))</f>
        <v>21190.400000000001</v>
      </c>
      <c r="P93" s="46">
        <f t="shared" ca="1" si="5"/>
        <v>2.9107692307892164E-3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input_377101!A$2</f>
        <v>377101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IFERROR(VLOOKUP(B94,input_377101!L:R,7,FALSE),VLOOKUP(tables_377101!C94,input_377101!A:H,8,FALSE))</f>
        <v>19071.36</v>
      </c>
      <c r="P94" s="46">
        <f t="shared" ca="1" si="5"/>
        <v>2.6196923077102946E-3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input_377101!A$2</f>
        <v>377101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IFERROR(VLOOKUP(B95,input_377101!L:R,7,FALSE),VLOOKUP(tables_377101!C95,input_377101!A:H,8,FALSE))</f>
        <v>2119.04</v>
      </c>
      <c r="P95" s="46">
        <f t="shared" ca="1" si="5"/>
        <v>2.9107692307892165E-4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input_377101!A$2</f>
        <v>377101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IFERROR(VLOOKUP(B96,input_377101!L:R,7,FALSE),VLOOKUP(tables_377101!C96,input_377101!A:H,8,FALSE))</f>
        <v>21190.400000000001</v>
      </c>
      <c r="P96" s="46">
        <f t="shared" ca="1" si="5"/>
        <v>2.9107692307892164E-3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input_377101!A$2</f>
        <v>377101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IFERROR(VLOOKUP(B97,input_377101!L:R,7,FALSE),VLOOKUP(tables_377101!C97,input_377101!A:H,8,FALSE))</f>
        <v>19071.36</v>
      </c>
      <c r="P97" s="46">
        <f t="shared" ca="1" si="5"/>
        <v>2.6196923077102946E-3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input_377101!A$2</f>
        <v>377101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IFERROR(VLOOKUP(B98,input_377101!L:R,7,FALSE),VLOOKUP(tables_377101!C98,input_377101!A:H,8,FALSE))</f>
        <v>2119.04</v>
      </c>
      <c r="P98" s="46">
        <f t="shared" ca="1" si="5"/>
        <v>2.9107692307892165E-4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input_377101!A$2</f>
        <v>377101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IFERROR(VLOOKUP(B99,input_377101!L:R,7,FALSE),VLOOKUP(tables_377101!C99,input_377101!A:H,8,FALSE))</f>
        <v>21190.400000000001</v>
      </c>
      <c r="P99" s="46">
        <f t="shared" ca="1" si="5"/>
        <v>2.9107692307892164E-3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input_377101!A$2</f>
        <v>377101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IFERROR(VLOOKUP(B100,input_377101!L:R,7,FALSE),VLOOKUP(tables_377101!C100,input_377101!A:H,8,FALSE))</f>
        <v>19071.36</v>
      </c>
      <c r="P100" s="46">
        <f t="shared" ca="1" si="5"/>
        <v>2.6196923077102946E-3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input_377101!A$2</f>
        <v>377101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IFERROR(VLOOKUP(B101,input_377101!L:R,7,FALSE),VLOOKUP(tables_377101!C101,input_377101!A:H,8,FALSE))</f>
        <v>2119.04</v>
      </c>
      <c r="P101" s="46">
        <f t="shared" ca="1" si="5"/>
        <v>2.9107692307892165E-4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input_377101!A$2</f>
        <v>377101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283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IFERROR(VLOOKUP(B102,input_377101!L:R,7,FALSE),VLOOKUP(tables_377101!C102,input_377101!A:H,8,FALSE))</f>
        <v>103303.2</v>
      </c>
      <c r="P102" s="46">
        <f t="shared" ca="1" si="5"/>
        <v>1.4190000000097428E-2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input_377101!A$2</f>
        <v>377101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283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IFERROR(VLOOKUP(B103,input_377101!L:R,7,FALSE),VLOOKUP(tables_377101!C103,input_377101!A:H,8,FALSE))</f>
        <v>92972.88</v>
      </c>
      <c r="P103" s="46">
        <f t="shared" ca="1" si="5"/>
        <v>1.2771000000087688E-2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input_377101!A$2</f>
        <v>377101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283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IFERROR(VLOOKUP(B104,input_377101!L:R,7,FALSE),VLOOKUP(tables_377101!C104,input_377101!A:H,8,FALSE))</f>
        <v>10330.32</v>
      </c>
      <c r="P104" s="46">
        <f t="shared" ca="1" si="5"/>
        <v>1.419000000009743E-3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input_377101!A$2</f>
        <v>377101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IFERROR(VLOOKUP(B105,input_377101!L:R,7,FALSE),VLOOKUP(tables_377101!C105,input_377101!A:H,8,FALSE))</f>
        <v>21190.400000000001</v>
      </c>
      <c r="P105" s="46">
        <f t="shared" ca="1" si="5"/>
        <v>2.9107692307892164E-3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input_377101!A$2</f>
        <v>377101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IFERROR(VLOOKUP(B106,input_377101!L:R,7,FALSE),VLOOKUP(tables_377101!C106,input_377101!A:H,8,FALSE))</f>
        <v>19071.36</v>
      </c>
      <c r="P106" s="46">
        <f t="shared" ca="1" si="5"/>
        <v>2.6196923077102946E-3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input_377101!A$2</f>
        <v>377101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IFERROR(VLOOKUP(B107,input_377101!L:R,7,FALSE),VLOOKUP(tables_377101!C107,input_377101!A:H,8,FALSE))</f>
        <v>2119.04</v>
      </c>
      <c r="P107" s="46">
        <f t="shared" ca="1" si="5"/>
        <v>2.9107692307892165E-4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input_377101!A$2</f>
        <v>377101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IFERROR(VLOOKUP(B108,input_377101!L:R,7,FALSE),VLOOKUP(tables_377101!C108,input_377101!A:H,8,FALSE))</f>
        <v>21190.400000000001</v>
      </c>
      <c r="P108" s="46">
        <f t="shared" ca="1" si="5"/>
        <v>2.9107692307892164E-3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input_377101!A$2</f>
        <v>377101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IFERROR(VLOOKUP(B109,input_377101!L:R,7,FALSE),VLOOKUP(tables_377101!C109,input_377101!A:H,8,FALSE))</f>
        <v>19071.36</v>
      </c>
      <c r="P109" s="46">
        <f t="shared" ca="1" si="5"/>
        <v>2.6196923077102946E-3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input_377101!A$2</f>
        <v>377101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IFERROR(VLOOKUP(B110,input_377101!L:R,7,FALSE),VLOOKUP(tables_377101!C110,input_377101!A:H,8,FALSE))</f>
        <v>2119.04</v>
      </c>
      <c r="P110" s="46">
        <f t="shared" ca="1" si="5"/>
        <v>2.9107692307892165E-4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input_377101!A$2</f>
        <v>377101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IFERROR(VLOOKUP(B111,input_377101!L:R,7,FALSE),VLOOKUP(tables_377101!C111,input_377101!A:H,8,FALSE))</f>
        <v>21190.400000000001</v>
      </c>
      <c r="P111" s="46">
        <f t="shared" ca="1" si="5"/>
        <v>2.9107692307892164E-3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input_377101!A$2</f>
        <v>377101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IFERROR(VLOOKUP(B112,input_377101!L:R,7,FALSE),VLOOKUP(tables_377101!C112,input_377101!A:H,8,FALSE))</f>
        <v>19071.36</v>
      </c>
      <c r="P112" s="46">
        <f t="shared" ca="1" si="5"/>
        <v>2.6196923077102946E-3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input_377101!A$2</f>
        <v>377101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IFERROR(VLOOKUP(B113,input_377101!L:R,7,FALSE),VLOOKUP(tables_377101!C113,input_377101!A:H,8,FALSE))</f>
        <v>2119.04</v>
      </c>
      <c r="P113" s="46">
        <f t="shared" ca="1" si="5"/>
        <v>2.9107692307892165E-4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input_377101!A$2</f>
        <v>377101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283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IFERROR(VLOOKUP(B114,input_377101!L:R,7,FALSE),VLOOKUP(tables_377101!C114,input_377101!A:H,8,FALSE))</f>
        <v>103303.2</v>
      </c>
      <c r="P114" s="46">
        <f t="shared" ca="1" si="5"/>
        <v>1.4190000000097428E-2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input_377101!A$2</f>
        <v>377101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283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IFERROR(VLOOKUP(B115,input_377101!L:R,7,FALSE),VLOOKUP(tables_377101!C115,input_377101!A:H,8,FALSE))</f>
        <v>92972.88</v>
      </c>
      <c r="P115" s="46">
        <f t="shared" ca="1" si="5"/>
        <v>1.2771000000087688E-2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input_377101!A$2</f>
        <v>377101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283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IFERROR(VLOOKUP(B116,input_377101!L:R,7,FALSE),VLOOKUP(tables_377101!C116,input_377101!A:H,8,FALSE))</f>
        <v>10330.32</v>
      </c>
      <c r="P116" s="46">
        <f t="shared" ca="1" si="5"/>
        <v>1.419000000009743E-3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input_377101!A$2</f>
        <v>377101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IFERROR(VLOOKUP(B117,input_377101!L:R,7,FALSE),VLOOKUP(tables_377101!C117,input_377101!A:H,8,FALSE))</f>
        <v>21190.400000000001</v>
      </c>
      <c r="P117" s="46">
        <f t="shared" ca="1" si="5"/>
        <v>2.9107692307892164E-3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input_377101!A$2</f>
        <v>377101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IFERROR(VLOOKUP(B118,input_377101!L:R,7,FALSE),VLOOKUP(tables_377101!C118,input_377101!A:H,8,FALSE))</f>
        <v>19071.36</v>
      </c>
      <c r="P118" s="46">
        <f t="shared" ca="1" si="5"/>
        <v>2.6196923077102946E-3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input_377101!A$2</f>
        <v>377101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IFERROR(VLOOKUP(B119,input_377101!L:R,7,FALSE),VLOOKUP(tables_377101!C119,input_377101!A:H,8,FALSE))</f>
        <v>2119.04</v>
      </c>
      <c r="P119" s="46">
        <f t="shared" ca="1" si="5"/>
        <v>2.9107692307892165E-4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input_377101!A$2</f>
        <v>377101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IFERROR(VLOOKUP(B120,input_377101!L:R,7,FALSE),VLOOKUP(tables_377101!C120,input_377101!A:H,8,FALSE))</f>
        <v>21190.400000000001</v>
      </c>
      <c r="P120" s="46">
        <f t="shared" ca="1" si="5"/>
        <v>2.9107692307892164E-3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input_377101!A$2</f>
        <v>377101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IFERROR(VLOOKUP(B121,input_377101!L:R,7,FALSE),VLOOKUP(tables_377101!C121,input_377101!A:H,8,FALSE))</f>
        <v>19071.36</v>
      </c>
      <c r="P121" s="46">
        <f t="shared" ca="1" si="5"/>
        <v>2.6196923077102946E-3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input_377101!A$2</f>
        <v>377101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IFERROR(VLOOKUP(B122,input_377101!L:R,7,FALSE),VLOOKUP(tables_377101!C122,input_377101!A:H,8,FALSE))</f>
        <v>2119.04</v>
      </c>
      <c r="P122" s="46">
        <f t="shared" ca="1" si="5"/>
        <v>2.9107692307892165E-4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input_377101!A$2</f>
        <v>377101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IFERROR(VLOOKUP(B123,input_377101!L:R,7,FALSE),VLOOKUP(tables_377101!C123,input_377101!A:H,8,FALSE))</f>
        <v>21190.400000000001</v>
      </c>
      <c r="P123" s="46">
        <f t="shared" ca="1" si="5"/>
        <v>2.9107692307892164E-3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input_377101!A$2</f>
        <v>377101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IFERROR(VLOOKUP(B124,input_377101!L:R,7,FALSE),VLOOKUP(tables_377101!C124,input_377101!A:H,8,FALSE))</f>
        <v>19071.36</v>
      </c>
      <c r="P124" s="46">
        <f t="shared" ca="1" si="5"/>
        <v>2.6196923077102946E-3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input_377101!A$2</f>
        <v>377101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IFERROR(VLOOKUP(B125,input_377101!L:R,7,FALSE),VLOOKUP(tables_377101!C125,input_377101!A:H,8,FALSE))</f>
        <v>2119.04</v>
      </c>
      <c r="P125" s="46">
        <f t="shared" ca="1" si="5"/>
        <v>2.9107692307892165E-4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input_377101!A$2</f>
        <v>377101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283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IFERROR(VLOOKUP(B126,input_377101!L:R,7,FALSE),VLOOKUP(tables_377101!C126,input_377101!A:H,8,FALSE))</f>
        <v>103303.2</v>
      </c>
      <c r="P126" s="46">
        <f t="shared" ca="1" si="5"/>
        <v>1.4190000000097428E-2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input_377101!A$2</f>
        <v>377101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283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IFERROR(VLOOKUP(B127,input_377101!L:R,7,FALSE),VLOOKUP(tables_377101!C127,input_377101!A:H,8,FALSE))</f>
        <v>92972.88</v>
      </c>
      <c r="P127" s="46">
        <f t="shared" ca="1" si="5"/>
        <v>1.2771000000087688E-2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input_377101!A$2</f>
        <v>377101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283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IFERROR(VLOOKUP(B128,input_377101!L:R,7,FALSE),VLOOKUP(tables_377101!C128,input_377101!A:H,8,FALSE))</f>
        <v>10330.32</v>
      </c>
      <c r="P128" s="46">
        <f t="shared" ca="1" si="5"/>
        <v>1.419000000009743E-3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input_377101!A$2</f>
        <v>377101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IFERROR(VLOOKUP(B129,input_377101!L:R,7,FALSE),VLOOKUP(tables_377101!C129,input_377101!A:H,8,FALSE))</f>
        <v>21190.400000000001</v>
      </c>
      <c r="P129" s="46">
        <f t="shared" ca="1" si="5"/>
        <v>2.9107692307892164E-3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input_377101!A$2</f>
        <v>377101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IFERROR(VLOOKUP(B130,input_377101!L:R,7,FALSE),VLOOKUP(tables_377101!C130,input_377101!A:H,8,FALSE))</f>
        <v>19071.36</v>
      </c>
      <c r="P130" s="46">
        <f t="shared" ref="P130:P193" ca="1" si="8">O130/SUM(O:O)</f>
        <v>2.6196923077102946E-3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input_377101!A$2</f>
        <v>377101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IFERROR(VLOOKUP(B131,input_377101!L:R,7,FALSE),VLOOKUP(tables_377101!C131,input_377101!A:H,8,FALSE))</f>
        <v>2119.04</v>
      </c>
      <c r="P131" s="46">
        <f t="shared" ca="1" si="8"/>
        <v>2.9107692307892165E-4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input_377101!A$2</f>
        <v>377101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IFERROR(VLOOKUP(B132,input_377101!L:R,7,FALSE),VLOOKUP(tables_377101!C132,input_377101!A:H,8,FALSE))</f>
        <v>21190.400000000001</v>
      </c>
      <c r="P132" s="46">
        <f t="shared" ca="1" si="8"/>
        <v>2.9107692307892164E-3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input_377101!A$2</f>
        <v>377101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IFERROR(VLOOKUP(B133,input_377101!L:R,7,FALSE),VLOOKUP(tables_377101!C133,input_377101!A:H,8,FALSE))</f>
        <v>19071.36</v>
      </c>
      <c r="P133" s="46">
        <f t="shared" ca="1" si="8"/>
        <v>2.6196923077102946E-3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input_377101!A$2</f>
        <v>377101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IFERROR(VLOOKUP(B134,input_377101!L:R,7,FALSE),VLOOKUP(tables_377101!C134,input_377101!A:H,8,FALSE))</f>
        <v>2119.04</v>
      </c>
      <c r="P134" s="46">
        <f t="shared" ca="1" si="8"/>
        <v>2.9107692307892165E-4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input_377101!A$2</f>
        <v>377101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IFERROR(VLOOKUP(B135,input_377101!L:R,7,FALSE),VLOOKUP(tables_377101!C135,input_377101!A:H,8,FALSE))</f>
        <v>21190.400000000001</v>
      </c>
      <c r="P135" s="46">
        <f t="shared" ca="1" si="8"/>
        <v>2.9107692307892164E-3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input_377101!A$2</f>
        <v>377101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IFERROR(VLOOKUP(B136,input_377101!L:R,7,FALSE),VLOOKUP(tables_377101!C136,input_377101!A:H,8,FALSE))</f>
        <v>19071.36</v>
      </c>
      <c r="P136" s="46">
        <f t="shared" ca="1" si="8"/>
        <v>2.6196923077102946E-3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input_377101!A$2</f>
        <v>377101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IFERROR(VLOOKUP(B137,input_377101!L:R,7,FALSE),VLOOKUP(tables_377101!C137,input_377101!A:H,8,FALSE))</f>
        <v>2119.04</v>
      </c>
      <c r="P137" s="46">
        <f t="shared" ca="1" si="8"/>
        <v>2.9107692307892165E-4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input_377101!A$2</f>
        <v>377101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283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IFERROR(VLOOKUP(B138,input_377101!L:R,7,FALSE),VLOOKUP(tables_377101!C138,input_377101!A:H,8,FALSE))</f>
        <v>18861.818179999998</v>
      </c>
      <c r="P138" s="46">
        <f t="shared" ca="1" si="8"/>
        <v>2.5909090906771296E-3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input_377101!A$2</f>
        <v>377101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283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IFERROR(VLOOKUP(B139,input_377101!L:R,7,FALSE),VLOOKUP(tables_377101!C139,input_377101!A:H,8,FALSE))</f>
        <v>992.72726999999998</v>
      </c>
      <c r="P139" s="46">
        <f t="shared" ca="1" si="8"/>
        <v>1.3636363598994728E-4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input_377101!A$2</f>
        <v>377101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IFERROR(VLOOKUP(B140,input_377101!L:R,7,FALSE),VLOOKUP(tables_377101!C140,input_377101!A:H,8,FALSE))</f>
        <v>4940</v>
      </c>
      <c r="P140" s="46">
        <f t="shared" ca="1" si="8"/>
        <v>6.785714285760877E-4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input_377101!A$2</f>
        <v>377101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IFERROR(VLOOKUP(B141,input_377101!L:R,7,FALSE),VLOOKUP(tables_377101!C141,input_377101!A:H,8,FALSE))</f>
        <v>260</v>
      </c>
      <c r="P141" s="46">
        <f t="shared" ca="1" si="8"/>
        <v>3.571428571453093E-5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input_377101!A$2</f>
        <v>377101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IFERROR(VLOOKUP(B142,input_377101!L:R,7,FALSE),VLOOKUP(tables_377101!C142,input_377101!A:H,8,FALSE))</f>
        <v>4940</v>
      </c>
      <c r="P142" s="46">
        <f t="shared" ca="1" si="8"/>
        <v>6.785714285760877E-4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input_377101!A$2</f>
        <v>377101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IFERROR(VLOOKUP(B143,input_377101!L:R,7,FALSE),VLOOKUP(tables_377101!C143,input_377101!A:H,8,FALSE))</f>
        <v>260</v>
      </c>
      <c r="P143" s="46">
        <f t="shared" ca="1" si="8"/>
        <v>3.571428571453093E-5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input_377101!A$2</f>
        <v>377101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IFERROR(VLOOKUP(B144,input_377101!L:R,7,FALSE),VLOOKUP(tables_377101!C144,input_377101!A:H,8,FALSE))</f>
        <v>4940</v>
      </c>
      <c r="P144" s="46">
        <f t="shared" ca="1" si="8"/>
        <v>6.785714285760877E-4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input_377101!A$2</f>
        <v>377101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IFERROR(VLOOKUP(B145,input_377101!L:R,7,FALSE),VLOOKUP(tables_377101!C145,input_377101!A:H,8,FALSE))</f>
        <v>260</v>
      </c>
      <c r="P145" s="46">
        <f t="shared" ca="1" si="8"/>
        <v>3.571428571453093E-5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input_377101!A$2</f>
        <v>377101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283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IFERROR(VLOOKUP(B146,input_377101!L:R,7,FALSE),VLOOKUP(tables_377101!C146,input_377101!A:H,8,FALSE))</f>
        <v>103303.2</v>
      </c>
      <c r="P146" s="46">
        <f t="shared" ca="1" si="8"/>
        <v>1.4190000000097428E-2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input_377101!A$2</f>
        <v>377101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283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IFERROR(VLOOKUP(B147,input_377101!L:R,7,FALSE),VLOOKUP(tables_377101!C147,input_377101!A:H,8,FALSE))</f>
        <v>92972.88</v>
      </c>
      <c r="P147" s="46">
        <f t="shared" ca="1" si="8"/>
        <v>1.2771000000087688E-2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input_377101!A$2</f>
        <v>377101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283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IFERROR(VLOOKUP(B148,input_377101!L:R,7,FALSE),VLOOKUP(tables_377101!C148,input_377101!A:H,8,FALSE))</f>
        <v>10330.32</v>
      </c>
      <c r="P148" s="46">
        <f t="shared" ca="1" si="8"/>
        <v>1.419000000009743E-3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input_377101!A$2</f>
        <v>377101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IFERROR(VLOOKUP(B149,input_377101!L:R,7,FALSE),VLOOKUP(tables_377101!C149,input_377101!A:H,8,FALSE))</f>
        <v>4940</v>
      </c>
      <c r="P149" s="46">
        <f t="shared" ca="1" si="8"/>
        <v>6.785714285760877E-4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input_377101!A$2</f>
        <v>377101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IFERROR(VLOOKUP(B150,input_377101!L:R,7,FALSE),VLOOKUP(tables_377101!C150,input_377101!A:H,8,FALSE))</f>
        <v>260</v>
      </c>
      <c r="P150" s="46">
        <f t="shared" ca="1" si="8"/>
        <v>3.571428571453093E-5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input_377101!A$2</f>
        <v>377101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IFERROR(VLOOKUP(B151,input_377101!L:R,7,FALSE),VLOOKUP(tables_377101!C151,input_377101!A:H,8,FALSE))</f>
        <v>4940</v>
      </c>
      <c r="P151" s="46">
        <f t="shared" ca="1" si="8"/>
        <v>6.785714285760877E-4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input_377101!A$2</f>
        <v>377101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IFERROR(VLOOKUP(B152,input_377101!L:R,7,FALSE),VLOOKUP(tables_377101!C152,input_377101!A:H,8,FALSE))</f>
        <v>260</v>
      </c>
      <c r="P152" s="46">
        <f t="shared" ca="1" si="8"/>
        <v>3.571428571453093E-5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input_377101!A$2</f>
        <v>377101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IFERROR(VLOOKUP(B153,input_377101!L:R,7,FALSE),VLOOKUP(tables_377101!C153,input_377101!A:H,8,FALSE))</f>
        <v>21190.400000000001</v>
      </c>
      <c r="P153" s="46">
        <f t="shared" ca="1" si="8"/>
        <v>2.9107692307892164E-3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input_377101!A$2</f>
        <v>377101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IFERROR(VLOOKUP(B154,input_377101!L:R,7,FALSE),VLOOKUP(tables_377101!C154,input_377101!A:H,8,FALSE))</f>
        <v>19071.36</v>
      </c>
      <c r="P154" s="46">
        <f t="shared" ca="1" si="8"/>
        <v>2.6196923077102946E-3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input_377101!A$2</f>
        <v>377101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IFERROR(VLOOKUP(B155,input_377101!L:R,7,FALSE),VLOOKUP(tables_377101!C155,input_377101!A:H,8,FALSE))</f>
        <v>2119.04</v>
      </c>
      <c r="P155" s="46">
        <f t="shared" ca="1" si="8"/>
        <v>2.9107692307892165E-4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input_377101!A$2</f>
        <v>377101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283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IFERROR(VLOOKUP(B156,input_377101!L:R,7,FALSE),VLOOKUP(tables_377101!C156,input_377101!A:H,8,FALSE))</f>
        <v>18861.818179999998</v>
      </c>
      <c r="P156" s="46">
        <f t="shared" ca="1" si="8"/>
        <v>2.5909090906771296E-3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input_377101!A$2</f>
        <v>377101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283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IFERROR(VLOOKUP(B157,input_377101!L:R,7,FALSE),VLOOKUP(tables_377101!C157,input_377101!A:H,8,FALSE))</f>
        <v>992.72726999999998</v>
      </c>
      <c r="P157" s="46">
        <f t="shared" ca="1" si="8"/>
        <v>1.3636363598994728E-4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input_377101!A$2</f>
        <v>377101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IFERROR(VLOOKUP(B158,input_377101!L:R,7,FALSE),VLOOKUP(tables_377101!C158,input_377101!A:H,8,FALSE))</f>
        <v>21190.400000000001</v>
      </c>
      <c r="P158" s="46">
        <f t="shared" ca="1" si="8"/>
        <v>2.9107692307892164E-3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input_377101!A$2</f>
        <v>377101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IFERROR(VLOOKUP(B159,input_377101!L:R,7,FALSE),VLOOKUP(tables_377101!C159,input_377101!A:H,8,FALSE))</f>
        <v>19071.36</v>
      </c>
      <c r="P159" s="46">
        <f t="shared" ca="1" si="8"/>
        <v>2.6196923077102946E-3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input_377101!A$2</f>
        <v>377101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IFERROR(VLOOKUP(B160,input_377101!L:R,7,FALSE),VLOOKUP(tables_377101!C160,input_377101!A:H,8,FALSE))</f>
        <v>2119.04</v>
      </c>
      <c r="P160" s="46">
        <f t="shared" ca="1" si="8"/>
        <v>2.9107692307892165E-4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input_377101!A$2</f>
        <v>377101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IFERROR(VLOOKUP(B161,input_377101!L:R,7,FALSE),VLOOKUP(tables_377101!C161,input_377101!A:H,8,FALSE))</f>
        <v>21190.400000000001</v>
      </c>
      <c r="P161" s="46">
        <f t="shared" ca="1" si="8"/>
        <v>2.9107692307892164E-3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input_377101!A$2</f>
        <v>377101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IFERROR(VLOOKUP(B162,input_377101!L:R,7,FALSE),VLOOKUP(tables_377101!C162,input_377101!A:H,8,FALSE))</f>
        <v>19071.36</v>
      </c>
      <c r="P162" s="46">
        <f t="shared" ca="1" si="8"/>
        <v>2.6196923077102946E-3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input_377101!A$2</f>
        <v>377101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IFERROR(VLOOKUP(B163,input_377101!L:R,7,FALSE),VLOOKUP(tables_377101!C163,input_377101!A:H,8,FALSE))</f>
        <v>2119.04</v>
      </c>
      <c r="P163" s="46">
        <f t="shared" ca="1" si="8"/>
        <v>2.9107692307892165E-4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input_377101!A$2</f>
        <v>377101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IFERROR(VLOOKUP(B164,input_377101!L:R,7,FALSE),VLOOKUP(tables_377101!C164,input_377101!A:H,8,FALSE))</f>
        <v>4940</v>
      </c>
      <c r="P164" s="46">
        <f t="shared" ca="1" si="8"/>
        <v>6.785714285760877E-4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input_377101!A$2</f>
        <v>377101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IFERROR(VLOOKUP(B165,input_377101!L:R,7,FALSE),VLOOKUP(tables_377101!C165,input_377101!A:H,8,FALSE))</f>
        <v>260</v>
      </c>
      <c r="P165" s="46">
        <f t="shared" ca="1" si="8"/>
        <v>3.571428571453093E-5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input_377101!A$2</f>
        <v>377101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283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IFERROR(VLOOKUP(B166,input_377101!L:R,7,FALSE),VLOOKUP(tables_377101!C166,input_377101!A:H,8,FALSE))</f>
        <v>103303.2</v>
      </c>
      <c r="P166" s="46">
        <f t="shared" ca="1" si="8"/>
        <v>1.4190000000097428E-2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input_377101!A$2</f>
        <v>377101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283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IFERROR(VLOOKUP(B167,input_377101!L:R,7,FALSE),VLOOKUP(tables_377101!C167,input_377101!A:H,8,FALSE))</f>
        <v>92972.88</v>
      </c>
      <c r="P167" s="46">
        <f t="shared" ca="1" si="8"/>
        <v>1.2771000000087688E-2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input_377101!A$2</f>
        <v>377101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283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IFERROR(VLOOKUP(B168,input_377101!L:R,7,FALSE),VLOOKUP(tables_377101!C168,input_377101!A:H,8,FALSE))</f>
        <v>10330.32</v>
      </c>
      <c r="P168" s="46">
        <f t="shared" ca="1" si="8"/>
        <v>1.419000000009743E-3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input_377101!A$2</f>
        <v>377101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IFERROR(VLOOKUP(B169,input_377101!L:R,7,FALSE),VLOOKUP(tables_377101!C169,input_377101!A:H,8,FALSE))</f>
        <v>4940</v>
      </c>
      <c r="P169" s="46">
        <f t="shared" ca="1" si="8"/>
        <v>6.785714285760877E-4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input_377101!A$2</f>
        <v>377101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IFERROR(VLOOKUP(B170,input_377101!L:R,7,FALSE),VLOOKUP(tables_377101!C170,input_377101!A:H,8,FALSE))</f>
        <v>260</v>
      </c>
      <c r="P170" s="46">
        <f t="shared" ca="1" si="8"/>
        <v>3.571428571453093E-5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input_377101!A$2</f>
        <v>377101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IFERROR(VLOOKUP(B171,input_377101!L:R,7,FALSE),VLOOKUP(tables_377101!C171,input_377101!A:H,8,FALSE))</f>
        <v>21190.400000000001</v>
      </c>
      <c r="P171" s="46">
        <f t="shared" ca="1" si="8"/>
        <v>2.9107692307892164E-3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input_377101!A$2</f>
        <v>377101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IFERROR(VLOOKUP(B172,input_377101!L:R,7,FALSE),VLOOKUP(tables_377101!C172,input_377101!A:H,8,FALSE))</f>
        <v>19071.36</v>
      </c>
      <c r="P172" s="46">
        <f t="shared" ca="1" si="8"/>
        <v>2.6196923077102946E-3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input_377101!A$2</f>
        <v>377101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IFERROR(VLOOKUP(B173,input_377101!L:R,7,FALSE),VLOOKUP(tables_377101!C173,input_377101!A:H,8,FALSE))</f>
        <v>2119.04</v>
      </c>
      <c r="P173" s="46">
        <f t="shared" ca="1" si="8"/>
        <v>2.9107692307892165E-4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input_377101!A$2</f>
        <v>377101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IFERROR(VLOOKUP(B174,input_377101!L:R,7,FALSE),VLOOKUP(tables_377101!C174,input_377101!A:H,8,FALSE))</f>
        <v>4940</v>
      </c>
      <c r="P174" s="46">
        <f t="shared" ca="1" si="8"/>
        <v>6.785714285760877E-4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input_377101!A$2</f>
        <v>377101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IFERROR(VLOOKUP(B175,input_377101!L:R,7,FALSE),VLOOKUP(tables_377101!C175,input_377101!A:H,8,FALSE))</f>
        <v>260</v>
      </c>
      <c r="P175" s="46">
        <f t="shared" ca="1" si="8"/>
        <v>3.571428571453093E-5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input_377101!A$2</f>
        <v>377101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283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IFERROR(VLOOKUP(B176,input_377101!L:R,7,FALSE),VLOOKUP(tables_377101!C176,input_377101!A:H,8,FALSE))</f>
        <v>18861.818179999998</v>
      </c>
      <c r="P176" s="46">
        <f t="shared" ca="1" si="8"/>
        <v>2.5909090906771296E-3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input_377101!A$2</f>
        <v>377101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283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IFERROR(VLOOKUP(B177,input_377101!L:R,7,FALSE),VLOOKUP(tables_377101!C177,input_377101!A:H,8,FALSE))</f>
        <v>992.72726999999998</v>
      </c>
      <c r="P177" s="46">
        <f t="shared" ca="1" si="8"/>
        <v>1.3636363598994728E-4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input_377101!A$2</f>
        <v>377101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IFERROR(VLOOKUP(B178,input_377101!L:R,7,FALSE),VLOOKUP(tables_377101!C178,input_377101!A:H,8,FALSE))</f>
        <v>21190.400000000001</v>
      </c>
      <c r="P178" s="46">
        <f t="shared" ca="1" si="8"/>
        <v>2.9107692307892164E-3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input_377101!A$2</f>
        <v>377101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IFERROR(VLOOKUP(B179,input_377101!L:R,7,FALSE),VLOOKUP(tables_377101!C179,input_377101!A:H,8,FALSE))</f>
        <v>19071.36</v>
      </c>
      <c r="P179" s="46">
        <f t="shared" ca="1" si="8"/>
        <v>2.6196923077102946E-3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input_377101!A$2</f>
        <v>377101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IFERROR(VLOOKUP(B180,input_377101!L:R,7,FALSE),VLOOKUP(tables_377101!C180,input_377101!A:H,8,FALSE))</f>
        <v>2119.04</v>
      </c>
      <c r="P180" s="46">
        <f t="shared" ca="1" si="8"/>
        <v>2.9107692307892165E-4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input_377101!A$2</f>
        <v>377101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IFERROR(VLOOKUP(B181,input_377101!L:R,7,FALSE),VLOOKUP(tables_377101!C181,input_377101!A:H,8,FALSE))</f>
        <v>21190.400000000001</v>
      </c>
      <c r="P181" s="46">
        <f t="shared" ca="1" si="8"/>
        <v>2.9107692307892164E-3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input_377101!A$2</f>
        <v>377101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IFERROR(VLOOKUP(B182,input_377101!L:R,7,FALSE),VLOOKUP(tables_377101!C182,input_377101!A:H,8,FALSE))</f>
        <v>19071.36</v>
      </c>
      <c r="P182" s="46">
        <f t="shared" ca="1" si="8"/>
        <v>2.6196923077102946E-3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input_377101!A$2</f>
        <v>377101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IFERROR(VLOOKUP(B183,input_377101!L:R,7,FALSE),VLOOKUP(tables_377101!C183,input_377101!A:H,8,FALSE))</f>
        <v>2119.04</v>
      </c>
      <c r="P183" s="46">
        <f t="shared" ca="1" si="8"/>
        <v>2.9107692307892165E-4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input_377101!A$2</f>
        <v>377101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IFERROR(VLOOKUP(B184,input_377101!L:R,7,FALSE),VLOOKUP(tables_377101!C184,input_377101!A:H,8,FALSE))</f>
        <v>4940</v>
      </c>
      <c r="P184" s="46">
        <f t="shared" ca="1" si="8"/>
        <v>6.785714285760877E-4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input_377101!A$2</f>
        <v>377101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IFERROR(VLOOKUP(B185,input_377101!L:R,7,FALSE),VLOOKUP(tables_377101!C185,input_377101!A:H,8,FALSE))</f>
        <v>260</v>
      </c>
      <c r="P185" s="46">
        <f t="shared" ca="1" si="8"/>
        <v>3.571428571453093E-5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input_377101!A$2</f>
        <v>377101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283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IFERROR(VLOOKUP(B186,input_377101!L:R,7,FALSE),VLOOKUP(tables_377101!C186,input_377101!A:H,8,FALSE))</f>
        <v>103303.2</v>
      </c>
      <c r="P186" s="46">
        <f t="shared" ca="1" si="8"/>
        <v>1.4190000000097428E-2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input_377101!A$2</f>
        <v>377101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283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IFERROR(VLOOKUP(B187,input_377101!L:R,7,FALSE),VLOOKUP(tables_377101!C187,input_377101!A:H,8,FALSE))</f>
        <v>92972.88</v>
      </c>
      <c r="P187" s="46">
        <f t="shared" ca="1" si="8"/>
        <v>1.2771000000087688E-2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input_377101!A$2</f>
        <v>377101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283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IFERROR(VLOOKUP(B188,input_377101!L:R,7,FALSE),VLOOKUP(tables_377101!C188,input_377101!A:H,8,FALSE))</f>
        <v>10330.32</v>
      </c>
      <c r="P188" s="46">
        <f t="shared" ca="1" si="8"/>
        <v>1.419000000009743E-3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input_377101!A$2</f>
        <v>377101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IFERROR(VLOOKUP(B189,input_377101!L:R,7,FALSE),VLOOKUP(tables_377101!C189,input_377101!A:H,8,FALSE))</f>
        <v>4940</v>
      </c>
      <c r="P189" s="46">
        <f t="shared" ca="1" si="8"/>
        <v>6.785714285760877E-4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input_377101!A$2</f>
        <v>377101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IFERROR(VLOOKUP(B190,input_377101!L:R,7,FALSE),VLOOKUP(tables_377101!C190,input_377101!A:H,8,FALSE))</f>
        <v>260</v>
      </c>
      <c r="P190" s="46">
        <f t="shared" ca="1" si="8"/>
        <v>3.571428571453093E-5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input_377101!A$2</f>
        <v>377101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IFERROR(VLOOKUP(B191,input_377101!L:R,7,FALSE),VLOOKUP(tables_377101!C191,input_377101!A:H,8,FALSE))</f>
        <v>4940</v>
      </c>
      <c r="P191" s="46">
        <f t="shared" ca="1" si="8"/>
        <v>6.785714285760877E-4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input_377101!A$2</f>
        <v>377101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IFERROR(VLOOKUP(B192,input_377101!L:R,7,FALSE),VLOOKUP(tables_377101!C192,input_377101!A:H,8,FALSE))</f>
        <v>260</v>
      </c>
      <c r="P192" s="46">
        <f t="shared" ca="1" si="8"/>
        <v>3.571428571453093E-5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input_377101!A$2</f>
        <v>377101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IFERROR(VLOOKUP(B193,input_377101!L:R,7,FALSE),VLOOKUP(tables_377101!C193,input_377101!A:H,8,FALSE))</f>
        <v>21190.400000000001</v>
      </c>
      <c r="P193" s="46">
        <f t="shared" ca="1" si="8"/>
        <v>2.9107692307892164E-3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input_377101!A$2</f>
        <v>377101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IFERROR(VLOOKUP(B194,input_377101!L:R,7,FALSE),VLOOKUP(tables_377101!C194,input_377101!A:H,8,FALSE))</f>
        <v>19071.36</v>
      </c>
      <c r="P194" s="46">
        <f t="shared" ref="P194:P257" ca="1" si="11">O194/SUM(O:O)</f>
        <v>2.6196923077102946E-3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input_377101!A$2</f>
        <v>377101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IFERROR(VLOOKUP(B195,input_377101!L:R,7,FALSE),VLOOKUP(tables_377101!C195,input_377101!A:H,8,FALSE))</f>
        <v>2119.04</v>
      </c>
      <c r="P195" s="46">
        <f t="shared" ca="1" si="11"/>
        <v>2.9107692307892165E-4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input_377101!A$2</f>
        <v>377101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283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IFERROR(VLOOKUP(B196,input_377101!L:R,7,FALSE),VLOOKUP(tables_377101!C196,input_377101!A:H,8,FALSE))</f>
        <v>18861.818179999998</v>
      </c>
      <c r="P196" s="46">
        <f t="shared" ca="1" si="11"/>
        <v>2.5909090906771296E-3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input_377101!A$2</f>
        <v>377101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283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IFERROR(VLOOKUP(B197,input_377101!L:R,7,FALSE),VLOOKUP(tables_377101!C197,input_377101!A:H,8,FALSE))</f>
        <v>992.72726999999998</v>
      </c>
      <c r="P197" s="46">
        <f t="shared" ca="1" si="11"/>
        <v>1.3636363598994728E-4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input_377101!A$2</f>
        <v>377101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IFERROR(VLOOKUP(B198,input_377101!L:R,7,FALSE),VLOOKUP(tables_377101!C198,input_377101!A:H,8,FALSE))</f>
        <v>21190.400000000001</v>
      </c>
      <c r="P198" s="46">
        <f t="shared" ca="1" si="11"/>
        <v>2.9107692307892164E-3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input_377101!A$2</f>
        <v>377101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IFERROR(VLOOKUP(B199,input_377101!L:R,7,FALSE),VLOOKUP(tables_377101!C199,input_377101!A:H,8,FALSE))</f>
        <v>19071.36</v>
      </c>
      <c r="P199" s="46">
        <f t="shared" ca="1" si="11"/>
        <v>2.6196923077102946E-3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input_377101!A$2</f>
        <v>377101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IFERROR(VLOOKUP(B200,input_377101!L:R,7,FALSE),VLOOKUP(tables_377101!C200,input_377101!A:H,8,FALSE))</f>
        <v>2119.04</v>
      </c>
      <c r="P200" s="46">
        <f t="shared" ca="1" si="11"/>
        <v>2.9107692307892165E-4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input_377101!A$2</f>
        <v>377101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IFERROR(VLOOKUP(B201,input_377101!L:R,7,FALSE),VLOOKUP(tables_377101!C201,input_377101!A:H,8,FALSE))</f>
        <v>4940</v>
      </c>
      <c r="P201" s="46">
        <f t="shared" ca="1" si="11"/>
        <v>6.785714285760877E-4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input_377101!A$2</f>
        <v>377101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IFERROR(VLOOKUP(B202,input_377101!L:R,7,FALSE),VLOOKUP(tables_377101!C202,input_377101!A:H,8,FALSE))</f>
        <v>260</v>
      </c>
      <c r="P202" s="46">
        <f t="shared" ca="1" si="11"/>
        <v>3.571428571453093E-5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input_377101!A$2</f>
        <v>377101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IFERROR(VLOOKUP(B203,input_377101!L:R,7,FALSE),VLOOKUP(tables_377101!C203,input_377101!A:H,8,FALSE))</f>
        <v>21190.400000000001</v>
      </c>
      <c r="P203" s="46">
        <f t="shared" ca="1" si="11"/>
        <v>2.9107692307892164E-3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input_377101!A$2</f>
        <v>377101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IFERROR(VLOOKUP(B204,input_377101!L:R,7,FALSE),VLOOKUP(tables_377101!C204,input_377101!A:H,8,FALSE))</f>
        <v>19071.36</v>
      </c>
      <c r="P204" s="46">
        <f t="shared" ca="1" si="11"/>
        <v>2.6196923077102946E-3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input_377101!A$2</f>
        <v>377101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IFERROR(VLOOKUP(B205,input_377101!L:R,7,FALSE),VLOOKUP(tables_377101!C205,input_377101!A:H,8,FALSE))</f>
        <v>2119.04</v>
      </c>
      <c r="P205" s="46">
        <f t="shared" ca="1" si="11"/>
        <v>2.9107692307892165E-4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input_377101!A$2</f>
        <v>377101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283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IFERROR(VLOOKUP(B206,input_377101!L:R,7,FALSE),VLOOKUP(tables_377101!C206,input_377101!A:H,8,FALSE))</f>
        <v>18861.818179999998</v>
      </c>
      <c r="P206" s="46">
        <f t="shared" ca="1" si="11"/>
        <v>2.5909090906771296E-3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input_377101!A$2</f>
        <v>377101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283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IFERROR(VLOOKUP(B207,input_377101!L:R,7,FALSE),VLOOKUP(tables_377101!C207,input_377101!A:H,8,FALSE))</f>
        <v>992.72726999999998</v>
      </c>
      <c r="P207" s="46">
        <f t="shared" ca="1" si="11"/>
        <v>1.3636363598994728E-4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input_377101!A$2</f>
        <v>377101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IFERROR(VLOOKUP(B208,input_377101!L:R,7,FALSE),VLOOKUP(tables_377101!C208,input_377101!A:H,8,FALSE))</f>
        <v>4940</v>
      </c>
      <c r="P208" s="46">
        <f t="shared" ca="1" si="11"/>
        <v>6.785714285760877E-4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input_377101!A$2</f>
        <v>377101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IFERROR(VLOOKUP(B209,input_377101!L:R,7,FALSE),VLOOKUP(tables_377101!C209,input_377101!A:H,8,FALSE))</f>
        <v>260</v>
      </c>
      <c r="P209" s="46">
        <f t="shared" ca="1" si="11"/>
        <v>3.571428571453093E-5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input_377101!A$2</f>
        <v>377101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IFERROR(VLOOKUP(B210,input_377101!L:R,7,FALSE),VLOOKUP(tables_377101!C210,input_377101!A:H,8,FALSE))</f>
        <v>21190.400000000001</v>
      </c>
      <c r="P210" s="46">
        <f t="shared" ca="1" si="11"/>
        <v>2.9107692307892164E-3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input_377101!A$2</f>
        <v>377101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IFERROR(VLOOKUP(B211,input_377101!L:R,7,FALSE),VLOOKUP(tables_377101!C211,input_377101!A:H,8,FALSE))</f>
        <v>19071.36</v>
      </c>
      <c r="P211" s="46">
        <f t="shared" ca="1" si="11"/>
        <v>2.6196923077102946E-3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input_377101!A$2</f>
        <v>377101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IFERROR(VLOOKUP(B212,input_377101!L:R,7,FALSE),VLOOKUP(tables_377101!C212,input_377101!A:H,8,FALSE))</f>
        <v>2119.04</v>
      </c>
      <c r="P212" s="46">
        <f t="shared" ca="1" si="11"/>
        <v>2.9107692307892165E-4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input_377101!A$2</f>
        <v>377101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IFERROR(VLOOKUP(B213,input_377101!L:R,7,FALSE),VLOOKUP(tables_377101!C213,input_377101!A:H,8,FALSE))</f>
        <v>4940</v>
      </c>
      <c r="P213" s="46">
        <f t="shared" ca="1" si="11"/>
        <v>6.785714285760877E-4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input_377101!A$2</f>
        <v>377101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IFERROR(VLOOKUP(B214,input_377101!L:R,7,FALSE),VLOOKUP(tables_377101!C214,input_377101!A:H,8,FALSE))</f>
        <v>260</v>
      </c>
      <c r="P214" s="46">
        <f t="shared" ca="1" si="11"/>
        <v>3.571428571453093E-5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input_377101!A$2</f>
        <v>377101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283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IFERROR(VLOOKUP(B215,input_377101!L:R,7,FALSE),VLOOKUP(tables_377101!C215,input_377101!A:H,8,FALSE))</f>
        <v>18861.818179999998</v>
      </c>
      <c r="P215" s="46">
        <f t="shared" ca="1" si="11"/>
        <v>2.5909090906771296E-3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input_377101!A$2</f>
        <v>377101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283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IFERROR(VLOOKUP(B216,input_377101!L:R,7,FALSE),VLOOKUP(tables_377101!C216,input_377101!A:H,8,FALSE))</f>
        <v>992.72726999999998</v>
      </c>
      <c r="P216" s="46">
        <f t="shared" ca="1" si="11"/>
        <v>1.3636363598994728E-4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input_377101!A$2</f>
        <v>377101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IFERROR(VLOOKUP(B217,input_377101!L:R,7,FALSE),VLOOKUP(tables_377101!C217,input_377101!A:H,8,FALSE))</f>
        <v>21190.400000000001</v>
      </c>
      <c r="P217" s="46">
        <f t="shared" ca="1" si="11"/>
        <v>2.9107692307892164E-3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input_377101!A$2</f>
        <v>377101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IFERROR(VLOOKUP(B218,input_377101!L:R,7,FALSE),VLOOKUP(tables_377101!C218,input_377101!A:H,8,FALSE))</f>
        <v>19071.36</v>
      </c>
      <c r="P218" s="46">
        <f t="shared" ca="1" si="11"/>
        <v>2.6196923077102946E-3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input_377101!A$2</f>
        <v>377101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IFERROR(VLOOKUP(B219,input_377101!L:R,7,FALSE),VLOOKUP(tables_377101!C219,input_377101!A:H,8,FALSE))</f>
        <v>2119.04</v>
      </c>
      <c r="P219" s="46">
        <f t="shared" ca="1" si="11"/>
        <v>2.9107692307892165E-4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input_377101!A$2</f>
        <v>377101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IFERROR(VLOOKUP(B220,input_377101!L:R,7,FALSE),VLOOKUP(tables_377101!C220,input_377101!A:H,8,FALSE))</f>
        <v>21190.400000000001</v>
      </c>
      <c r="P220" s="46">
        <f t="shared" ca="1" si="11"/>
        <v>2.9107692307892164E-3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input_377101!A$2</f>
        <v>377101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IFERROR(VLOOKUP(B221,input_377101!L:R,7,FALSE),VLOOKUP(tables_377101!C221,input_377101!A:H,8,FALSE))</f>
        <v>19071.36</v>
      </c>
      <c r="P221" s="46">
        <f t="shared" ca="1" si="11"/>
        <v>2.6196923077102946E-3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input_377101!A$2</f>
        <v>377101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IFERROR(VLOOKUP(B222,input_377101!L:R,7,FALSE),VLOOKUP(tables_377101!C222,input_377101!A:H,8,FALSE))</f>
        <v>2119.04</v>
      </c>
      <c r="P222" s="46">
        <f t="shared" ca="1" si="11"/>
        <v>2.9107692307892165E-4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input_377101!A$2</f>
        <v>377101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IFERROR(VLOOKUP(B223,input_377101!L:R,7,FALSE),VLOOKUP(tables_377101!C223,input_377101!A:H,8,FALSE))</f>
        <v>4940</v>
      </c>
      <c r="P223" s="46">
        <f t="shared" ca="1" si="11"/>
        <v>6.785714285760877E-4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input_377101!A$2</f>
        <v>377101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IFERROR(VLOOKUP(B224,input_377101!L:R,7,FALSE),VLOOKUP(tables_377101!C224,input_377101!A:H,8,FALSE))</f>
        <v>260</v>
      </c>
      <c r="P224" s="46">
        <f t="shared" ca="1" si="11"/>
        <v>3.571428571453093E-5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input_377101!A$2</f>
        <v>377101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283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IFERROR(VLOOKUP(B225,input_377101!L:R,7,FALSE),VLOOKUP(tables_377101!C225,input_377101!A:H,8,FALSE))</f>
        <v>103303.2</v>
      </c>
      <c r="P225" s="46">
        <f t="shared" ca="1" si="11"/>
        <v>1.4190000000097428E-2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input_377101!A$2</f>
        <v>377101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283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IFERROR(VLOOKUP(B226,input_377101!L:R,7,FALSE),VLOOKUP(tables_377101!C226,input_377101!A:H,8,FALSE))</f>
        <v>92972.88</v>
      </c>
      <c r="P226" s="46">
        <f t="shared" ca="1" si="11"/>
        <v>1.2771000000087688E-2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input_377101!A$2</f>
        <v>377101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283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IFERROR(VLOOKUP(B227,input_377101!L:R,7,FALSE),VLOOKUP(tables_377101!C227,input_377101!A:H,8,FALSE))</f>
        <v>10330.32</v>
      </c>
      <c r="P227" s="46">
        <f t="shared" ca="1" si="11"/>
        <v>1.419000000009743E-3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input_377101!A$2</f>
        <v>377101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IFERROR(VLOOKUP(B228,input_377101!L:R,7,FALSE),VLOOKUP(tables_377101!C228,input_377101!A:H,8,FALSE))</f>
        <v>21190.400000000001</v>
      </c>
      <c r="P228" s="46">
        <f t="shared" ca="1" si="11"/>
        <v>2.9107692307892164E-3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input_377101!A$2</f>
        <v>377101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IFERROR(VLOOKUP(B229,input_377101!L:R,7,FALSE),VLOOKUP(tables_377101!C229,input_377101!A:H,8,FALSE))</f>
        <v>19071.36</v>
      </c>
      <c r="P229" s="46">
        <f t="shared" ca="1" si="11"/>
        <v>2.6196923077102946E-3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input_377101!A$2</f>
        <v>377101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IFERROR(VLOOKUP(B230,input_377101!L:R,7,FALSE),VLOOKUP(tables_377101!C230,input_377101!A:H,8,FALSE))</f>
        <v>2119.04</v>
      </c>
      <c r="P230" s="46">
        <f t="shared" ca="1" si="11"/>
        <v>2.9107692307892165E-4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input_377101!A$2</f>
        <v>377101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IFERROR(VLOOKUP(B231,input_377101!L:R,7,FALSE),VLOOKUP(tables_377101!C231,input_377101!A:H,8,FALSE))</f>
        <v>4940</v>
      </c>
      <c r="P231" s="46">
        <f t="shared" ca="1" si="11"/>
        <v>6.785714285760877E-4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input_377101!A$2</f>
        <v>377101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IFERROR(VLOOKUP(B232,input_377101!L:R,7,FALSE),VLOOKUP(tables_377101!C232,input_377101!A:H,8,FALSE))</f>
        <v>260</v>
      </c>
      <c r="P232" s="46">
        <f t="shared" ca="1" si="11"/>
        <v>3.571428571453093E-5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input_377101!A$2</f>
        <v>377101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IFERROR(VLOOKUP(B233,input_377101!L:R,7,FALSE),VLOOKUP(tables_377101!C233,input_377101!A:H,8,FALSE))</f>
        <v>21190.400000000001</v>
      </c>
      <c r="P233" s="46">
        <f t="shared" ca="1" si="11"/>
        <v>2.9107692307892164E-3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input_377101!A$2</f>
        <v>377101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IFERROR(VLOOKUP(B234,input_377101!L:R,7,FALSE),VLOOKUP(tables_377101!C234,input_377101!A:H,8,FALSE))</f>
        <v>19071.36</v>
      </c>
      <c r="P234" s="46">
        <f t="shared" ca="1" si="11"/>
        <v>2.6196923077102946E-3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input_377101!A$2</f>
        <v>377101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IFERROR(VLOOKUP(B235,input_377101!L:R,7,FALSE),VLOOKUP(tables_377101!C235,input_377101!A:H,8,FALSE))</f>
        <v>2119.04</v>
      </c>
      <c r="P235" s="46">
        <f t="shared" ca="1" si="11"/>
        <v>2.9107692307892165E-4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input_377101!A$2</f>
        <v>377101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283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IFERROR(VLOOKUP(B236,input_377101!L:R,7,FALSE),VLOOKUP(tables_377101!C236,input_377101!A:H,8,FALSE))</f>
        <v>18861.818179999998</v>
      </c>
      <c r="P236" s="46">
        <f t="shared" ca="1" si="11"/>
        <v>2.5909090906771296E-3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input_377101!A$2</f>
        <v>377101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283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IFERROR(VLOOKUP(B237,input_377101!L:R,7,FALSE),VLOOKUP(tables_377101!C237,input_377101!A:H,8,FALSE))</f>
        <v>992.72726999999998</v>
      </c>
      <c r="P237" s="46">
        <f t="shared" ca="1" si="11"/>
        <v>1.3636363598994728E-4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input_377101!A$2</f>
        <v>377101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IFERROR(VLOOKUP(B238,input_377101!L:R,7,FALSE),VLOOKUP(tables_377101!C238,input_377101!A:H,8,FALSE))</f>
        <v>4940</v>
      </c>
      <c r="P238" s="46">
        <f t="shared" ca="1" si="11"/>
        <v>6.785714285760877E-4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input_377101!A$2</f>
        <v>377101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IFERROR(VLOOKUP(B239,input_377101!L:R,7,FALSE),VLOOKUP(tables_377101!C239,input_377101!A:H,8,FALSE))</f>
        <v>260</v>
      </c>
      <c r="P239" s="46">
        <f t="shared" ca="1" si="11"/>
        <v>3.571428571453093E-5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input_377101!A$2</f>
        <v>377101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IFERROR(VLOOKUP(B240,input_377101!L:R,7,FALSE),VLOOKUP(tables_377101!C240,input_377101!A:H,8,FALSE))</f>
        <v>21190.400000000001</v>
      </c>
      <c r="P240" s="46">
        <f t="shared" ca="1" si="11"/>
        <v>2.9107692307892164E-3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input_377101!A$2</f>
        <v>377101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IFERROR(VLOOKUP(B241,input_377101!L:R,7,FALSE),VLOOKUP(tables_377101!C241,input_377101!A:H,8,FALSE))</f>
        <v>19071.36</v>
      </c>
      <c r="P241" s="46">
        <f t="shared" ca="1" si="11"/>
        <v>2.6196923077102946E-3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input_377101!A$2</f>
        <v>377101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IFERROR(VLOOKUP(B242,input_377101!L:R,7,FALSE),VLOOKUP(tables_377101!C242,input_377101!A:H,8,FALSE))</f>
        <v>2119.04</v>
      </c>
      <c r="P242" s="46">
        <f t="shared" ca="1" si="11"/>
        <v>2.9107692307892165E-4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input_377101!A$2</f>
        <v>377101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IFERROR(VLOOKUP(B243,input_377101!L:R,7,FALSE),VLOOKUP(tables_377101!C243,input_377101!A:H,8,FALSE))</f>
        <v>21190.400000000001</v>
      </c>
      <c r="P243" s="46">
        <f t="shared" ca="1" si="11"/>
        <v>2.9107692307892164E-3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input_377101!A$2</f>
        <v>377101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IFERROR(VLOOKUP(B244,input_377101!L:R,7,FALSE),VLOOKUP(tables_377101!C244,input_377101!A:H,8,FALSE))</f>
        <v>19071.36</v>
      </c>
      <c r="P244" s="46">
        <f t="shared" ca="1" si="11"/>
        <v>2.6196923077102946E-3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input_377101!A$2</f>
        <v>377101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IFERROR(VLOOKUP(B245,input_377101!L:R,7,FALSE),VLOOKUP(tables_377101!C245,input_377101!A:H,8,FALSE))</f>
        <v>2119.04</v>
      </c>
      <c r="P245" s="46">
        <f t="shared" ca="1" si="11"/>
        <v>2.9107692307892165E-4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input_377101!A$2</f>
        <v>377101</v>
      </c>
      <c r="B246" s="60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283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IFERROR(VLOOKUP(B246,input_377101!L:R,7,FALSE),VLOOKUP(tables_377101!C246,input_377101!A:H,8,FALSE))</f>
        <v>103303.2</v>
      </c>
      <c r="P246" s="46">
        <f t="shared" ca="1" si="11"/>
        <v>1.4190000000097428E-2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input_377101!A$2</f>
        <v>377101</v>
      </c>
      <c r="B247" s="60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283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IFERROR(VLOOKUP(B247,input_377101!L:R,7,FALSE),VLOOKUP(tables_377101!C247,input_377101!A:H,8,FALSE))</f>
        <v>92972.88</v>
      </c>
      <c r="P247" s="46">
        <f t="shared" ca="1" si="11"/>
        <v>1.2771000000087688E-2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input_377101!A$2</f>
        <v>377101</v>
      </c>
      <c r="B248" s="60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283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IFERROR(VLOOKUP(B248,input_377101!L:R,7,FALSE),VLOOKUP(tables_377101!C248,input_377101!A:H,8,FALSE))</f>
        <v>10330.32</v>
      </c>
      <c r="P248" s="46">
        <f t="shared" ca="1" si="11"/>
        <v>1.419000000009743E-3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input_377101!A$2</f>
        <v>377101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IFERROR(VLOOKUP(B249,input_377101!L:R,7,FALSE),VLOOKUP(tables_377101!C249,input_377101!A:H,8,FALSE))</f>
        <v>21190.400000000001</v>
      </c>
      <c r="P249" s="46">
        <f t="shared" ca="1" si="11"/>
        <v>2.9107692307892164E-3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input_377101!A$2</f>
        <v>377101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IFERROR(VLOOKUP(B250,input_377101!L:R,7,FALSE),VLOOKUP(tables_377101!C250,input_377101!A:H,8,FALSE))</f>
        <v>19071.36</v>
      </c>
      <c r="P250" s="46">
        <f t="shared" ca="1" si="11"/>
        <v>2.6196923077102946E-3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input_377101!A$2</f>
        <v>377101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IFERROR(VLOOKUP(B251,input_377101!L:R,7,FALSE),VLOOKUP(tables_377101!C251,input_377101!A:H,8,FALSE))</f>
        <v>2119.04</v>
      </c>
      <c r="P251" s="46">
        <f t="shared" ca="1" si="11"/>
        <v>2.9107692307892165E-4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input_377101!A$2</f>
        <v>377101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IFERROR(VLOOKUP(B252,input_377101!L:R,7,FALSE),VLOOKUP(tables_377101!C252,input_377101!A:H,8,FALSE))</f>
        <v>4940</v>
      </c>
      <c r="P252" s="46">
        <f t="shared" ca="1" si="11"/>
        <v>6.785714285760877E-4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input_377101!A$2</f>
        <v>377101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IFERROR(VLOOKUP(B253,input_377101!L:R,7,FALSE),VLOOKUP(tables_377101!C253,input_377101!A:H,8,FALSE))</f>
        <v>260</v>
      </c>
      <c r="P253" s="46">
        <f t="shared" ca="1" si="11"/>
        <v>3.571428571453093E-5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input_377101!A$2</f>
        <v>377101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IFERROR(VLOOKUP(B254,input_377101!L:R,7,FALSE),VLOOKUP(tables_377101!C254,input_377101!A:H,8,FALSE))</f>
        <v>4940</v>
      </c>
      <c r="P254" s="46">
        <f t="shared" ca="1" si="11"/>
        <v>6.785714285760877E-4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input_377101!A$2</f>
        <v>377101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IFERROR(VLOOKUP(B255,input_377101!L:R,7,FALSE),VLOOKUP(tables_377101!C255,input_377101!A:H,8,FALSE))</f>
        <v>260</v>
      </c>
      <c r="P255" s="46">
        <f t="shared" ca="1" si="11"/>
        <v>3.571428571453093E-5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input_377101!A$2</f>
        <v>377101</v>
      </c>
      <c r="B256" s="60">
        <v>728</v>
      </c>
      <c r="C256" s="7" t="str">
        <f t="shared" si="9"/>
        <v>Premium4R3lesscolor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">
        <v>283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IFERROR(VLOOKUP(B256,input_377101!L:R,7,FALSE),VLOOKUP(tables_377101!C256,input_377101!A:H,8,FALSE))</f>
        <v>198306.20727000001</v>
      </c>
      <c r="P256" s="46">
        <f t="shared" ca="1" si="11"/>
        <v>2.7239863636176045E-2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input_377101!A$2</f>
        <v>377101</v>
      </c>
      <c r="B257" s="60">
        <v>729</v>
      </c>
      <c r="C257" s="7" t="str">
        <f t="shared" si="9"/>
        <v>Premium5R3lesscolor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">
        <v>283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IFERROR(VLOOKUP(B257,input_377101!L:R,7,FALSE),VLOOKUP(tables_377101!C257,input_377101!A:H,8,FALSE))</f>
        <v>8300.1927300000007</v>
      </c>
      <c r="P257" s="46">
        <f t="shared" ca="1" si="11"/>
        <v>1.1401363640188174E-3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input_377101!A$2</f>
        <v>377101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IFERROR(VLOOKUP(B258,input_377101!L:R,7,FALSE),VLOOKUP(tables_377101!C258,input_377101!A:H,8,FALSE))</f>
        <v>41283.474289999998</v>
      </c>
      <c r="P258" s="46">
        <f t="shared" ref="P258:P295" ca="1" si="14">O258/SUM(O:O)</f>
        <v>5.6708069080059686E-3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input_377101!A$2</f>
        <v>377101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IFERROR(VLOOKUP(B259,input_377101!L:R,7,FALSE),VLOOKUP(tables_377101!C259,input_377101!A:H,8,FALSE))</f>
        <v>1097.3257100000001</v>
      </c>
      <c r="P259" s="46">
        <f t="shared" ca="1" si="14"/>
        <v>1.5073155357246351E-4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input_377101!A$2</f>
        <v>377101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IFERROR(VLOOKUP(B260,input_377101!L:R,7,FALSE),VLOOKUP(tables_377101!C260,input_377101!A:H,8,FALSE))</f>
        <v>5200</v>
      </c>
      <c r="P260" s="46">
        <f t="shared" ca="1" si="14"/>
        <v>7.1428571429061867E-4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input_377101!A$2</f>
        <v>377101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IFERROR(VLOOKUP(B261,input_377101!L:R,7,FALSE),VLOOKUP(tables_377101!C261,input_377101!A:H,8,FALSE))</f>
        <v>5200</v>
      </c>
      <c r="P261" s="46">
        <f t="shared" ca="1" si="14"/>
        <v>7.1428571429061867E-4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input_377101!A$2</f>
        <v>377101</v>
      </c>
      <c r="B262" s="60">
        <v>770</v>
      </c>
      <c r="C262" s="7" t="str">
        <f t="shared" si="12"/>
        <v>PremiumSS4color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283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IFERROR(VLOOKUP(B262,input_377101!L:R,7,FALSE),VLOOKUP(tables_377101!C262,input_377101!A:H,8,FALSE))</f>
        <v>18861.818179999998</v>
      </c>
      <c r="P262" s="46">
        <f t="shared" ca="1" si="14"/>
        <v>2.5909090906771296E-3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input_377101!A$2</f>
        <v>377101</v>
      </c>
      <c r="B263" s="60">
        <v>771</v>
      </c>
      <c r="C263" s="7" t="str">
        <f t="shared" si="12"/>
        <v>PremiumSS5color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283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IFERROR(VLOOKUP(B263,input_377101!L:R,7,FALSE),VLOOKUP(tables_377101!C263,input_377101!A:H,8,FALSE))</f>
        <v>992.72726999999998</v>
      </c>
      <c r="P263" s="46">
        <f t="shared" ca="1" si="14"/>
        <v>1.3636363598994728E-4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input_377101!A$2</f>
        <v>377101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IFERROR(VLOOKUP(B264,input_377101!L:R,7,FALSE),VLOOKUP(tables_377101!C264,input_377101!A:H,8,FALSE))</f>
        <v>4940</v>
      </c>
      <c r="P264" s="46">
        <f t="shared" ca="1" si="14"/>
        <v>6.785714285760877E-4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input_377101!A$2</f>
        <v>377101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IFERROR(VLOOKUP(B265,input_377101!L:R,7,FALSE),VLOOKUP(tables_377101!C265,input_377101!A:H,8,FALSE))</f>
        <v>260</v>
      </c>
      <c r="P265" s="46">
        <f t="shared" ca="1" si="14"/>
        <v>3.571428571453093E-5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input_377101!A$2</f>
        <v>377101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IFERROR(VLOOKUP(B266,input_377101!L:R,7,FALSE),VLOOKUP(tables_377101!C266,input_377101!A:H,8,FALSE))</f>
        <v>21190.400000000001</v>
      </c>
      <c r="P266" s="46">
        <f t="shared" ca="1" si="14"/>
        <v>2.9107692307892164E-3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input_377101!A$2</f>
        <v>377101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IFERROR(VLOOKUP(B267,input_377101!L:R,7,FALSE),VLOOKUP(tables_377101!C267,input_377101!A:H,8,FALSE))</f>
        <v>19071.36</v>
      </c>
      <c r="P267" s="46">
        <f t="shared" ca="1" si="14"/>
        <v>2.6196923077102946E-3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input_377101!A$2</f>
        <v>377101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IFERROR(VLOOKUP(B268,input_377101!L:R,7,FALSE),VLOOKUP(tables_377101!C268,input_377101!A:H,8,FALSE))</f>
        <v>2119.04</v>
      </c>
      <c r="P268" s="46">
        <f t="shared" ca="1" si="14"/>
        <v>2.9107692307892165E-4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input_377101!A$2</f>
        <v>377101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IFERROR(VLOOKUP(B269,input_377101!L:R,7,FALSE),VLOOKUP(tables_377101!C269,input_377101!A:H,8,FALSE))</f>
        <v>21190.400000000001</v>
      </c>
      <c r="P269" s="46">
        <f t="shared" ca="1" si="14"/>
        <v>2.9107692307892164E-3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input_377101!A$2</f>
        <v>377101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IFERROR(VLOOKUP(B270,input_377101!L:R,7,FALSE),VLOOKUP(tables_377101!C270,input_377101!A:H,8,FALSE))</f>
        <v>19071.36</v>
      </c>
      <c r="P270" s="46">
        <f t="shared" ca="1" si="14"/>
        <v>2.6196923077102946E-3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input_377101!A$2</f>
        <v>377101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IFERROR(VLOOKUP(B271,input_377101!L:R,7,FALSE),VLOOKUP(tables_377101!C271,input_377101!A:H,8,FALSE))</f>
        <v>2119.04</v>
      </c>
      <c r="P271" s="46">
        <f t="shared" ca="1" si="14"/>
        <v>2.9107692307892165E-4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input_377101!A$2</f>
        <v>377101</v>
      </c>
      <c r="B272" s="83">
        <v>848</v>
      </c>
      <c r="C272" s="7" t="str">
        <f t="shared" ref="C272:C283" si="15">D272&amp;J272&amp;E272&amp;F272&amp;G272</f>
        <v>PremiumSS5R5onlycolor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283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IFERROR(VLOOKUP(B272,input_377101!L:R,7,FALSE),VLOOKUP(tables_377101!C272,input_377101!A:H,8,FALSE))</f>
        <v>19854.545450000001</v>
      </c>
      <c r="P272" s="46">
        <f t="shared" ca="1" si="14"/>
        <v>2.7272727266670774E-3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input_377101!A$2</f>
        <v>377101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IFERROR(VLOOKUP(B273,input_377101!L:R,7,FALSE),VLOOKUP(tables_377101!C273,input_377101!A:H,8,FALSE))</f>
        <v>5200</v>
      </c>
      <c r="P273" s="46">
        <f t="shared" ca="1" si="14"/>
        <v>7.1428571429061867E-4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input_377101!A$2</f>
        <v>377101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IFERROR(VLOOKUP(B274,input_377101!L:R,7,FALSE),VLOOKUP(tables_377101!C274,input_377101!A:H,8,FALSE))</f>
        <v>41283.474289999998</v>
      </c>
      <c r="P274" s="46">
        <f t="shared" ca="1" si="14"/>
        <v>5.6708069080059686E-3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input_377101!A$2</f>
        <v>377101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IFERROR(VLOOKUP(B275,input_377101!L:R,7,FALSE),VLOOKUP(tables_377101!C275,input_377101!A:H,8,FALSE))</f>
        <v>1097.3257100000001</v>
      </c>
      <c r="P275" s="46">
        <f t="shared" ca="1" si="14"/>
        <v>1.5073155357246351E-4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input_377101!A$2</f>
        <v>377101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IFERROR(VLOOKUP(B276,input_377101!L:R,7,FALSE),VLOOKUP(tables_377101!C276,input_377101!A:H,8,FALSE))</f>
        <v>41283.474289999998</v>
      </c>
      <c r="P276" s="46">
        <f t="shared" ca="1" si="14"/>
        <v>5.6708069080059686E-3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input_377101!A$2</f>
        <v>377101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IFERROR(VLOOKUP(B277,input_377101!L:R,7,FALSE),VLOOKUP(tables_377101!C277,input_377101!A:H,8,FALSE))</f>
        <v>1097.3257100000001</v>
      </c>
      <c r="P277" s="46">
        <f t="shared" ca="1" si="14"/>
        <v>1.5073155357246351E-4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input_377101!A$2</f>
        <v>377101</v>
      </c>
      <c r="B278" s="83">
        <v>862</v>
      </c>
      <c r="C278" s="7" t="str">
        <f t="shared" si="15"/>
        <v>Premium4R3lesscolor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283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IFERROR(VLOOKUP(B278,input_377101!L:R,7,FALSE),VLOOKUP(tables_377101!C278,input_377101!A:H,8,FALSE))</f>
        <v>198306.20727000001</v>
      </c>
      <c r="P278" s="46">
        <f t="shared" ca="1" si="14"/>
        <v>2.7239863636176045E-2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input_377101!A$2</f>
        <v>377101</v>
      </c>
      <c r="B279" s="83">
        <v>863</v>
      </c>
      <c r="C279" s="7" t="str">
        <f t="shared" si="15"/>
        <v>Premium5R3lesscolor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283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IFERROR(VLOOKUP(B279,input_377101!L:R,7,FALSE),VLOOKUP(tables_377101!C279,input_377101!A:H,8,FALSE))</f>
        <v>8300.1927300000007</v>
      </c>
      <c r="P279" s="46">
        <f t="shared" ca="1" si="14"/>
        <v>1.1401363640188174E-3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input_377101!A$2</f>
        <v>377101</v>
      </c>
      <c r="B280" s="83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IFERROR(VLOOKUP(B280,input_377101!L:R,7,FALSE),VLOOKUP(tables_377101!C280,input_377101!A:H,8,FALSE))</f>
        <v>41283.474289999998</v>
      </c>
      <c r="P280" s="46">
        <f t="shared" ca="1" si="14"/>
        <v>5.6708069080059686E-3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input_377101!A$2</f>
        <v>377101</v>
      </c>
      <c r="B281" s="83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IFERROR(VLOOKUP(B281,input_377101!L:R,7,FALSE),VLOOKUP(tables_377101!C281,input_377101!A:H,8,FALSE))</f>
        <v>1097.3257100000001</v>
      </c>
      <c r="P281" s="46">
        <f t="shared" ca="1" si="14"/>
        <v>1.5073155357246351E-4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input_377101!A$2</f>
        <v>377101</v>
      </c>
      <c r="B282" s="83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IFERROR(VLOOKUP(B282,input_377101!L:R,7,FALSE),VLOOKUP(tables_377101!C282,input_377101!A:H,8,FALSE))</f>
        <v>5200</v>
      </c>
      <c r="P282" s="46">
        <f t="shared" ca="1" si="14"/>
        <v>7.1428571429061867E-4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input_377101!A$2</f>
        <v>377101</v>
      </c>
      <c r="B283" s="83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IFERROR(VLOOKUP(B283,input_377101!L:R,7,FALSE),VLOOKUP(tables_377101!C283,input_377101!A:H,8,FALSE))</f>
        <v>5200</v>
      </c>
      <c r="P283" s="46">
        <f t="shared" ca="1" si="14"/>
        <v>7.1428571429061867E-4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input_377101!A$2</f>
        <v>377101</v>
      </c>
      <c r="B284" s="83">
        <v>742</v>
      </c>
      <c r="C284" s="7" t="str">
        <f t="shared" ref="C284" si="17">D284&amp;J284&amp;E284&amp;F284&amp;G284</f>
        <v>PremiumSS5R5onlycolor</v>
      </c>
      <c r="D284" s="7" t="str">
        <f t="shared" ref="D284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">
        <v>283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IFERROR(VLOOKUP(B284,input_377101!L:R,7,FALSE),VLOOKUP(tables_377101!C284,input_377101!A:H,8,FALSE))</f>
        <v>19854.545450000001</v>
      </c>
      <c r="P284" s="46">
        <f t="shared" ca="1" si="14"/>
        <v>2.7272727266670774E-3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input_377101!A$2</f>
        <v>377101</v>
      </c>
      <c r="B285" s="83">
        <v>744</v>
      </c>
      <c r="C285" s="7" t="str">
        <f t="shared" ref="C285:C290" si="19">D285&amp;J285&amp;E285&amp;F285&amp;G285</f>
        <v>PremiumSS5R5only</v>
      </c>
      <c r="D285" s="7" t="str">
        <f t="shared" ref="D285:D290" si="20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IFERROR(VLOOKUP(B285,input_377101!L:R,7,FALSE),VLOOKUP(tables_377101!C285,input_377101!A:H,8,FALSE))</f>
        <v>5200</v>
      </c>
      <c r="P285" s="46">
        <f t="shared" ca="1" si="14"/>
        <v>7.1428571429061867E-4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input_377101!A$2</f>
        <v>377101</v>
      </c>
      <c r="B286" s="83">
        <v>746</v>
      </c>
      <c r="C286" s="7" t="str">
        <f t="shared" si="19"/>
        <v>Premium4R3less</v>
      </c>
      <c r="D286" s="7" t="str">
        <f t="shared" si="20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IFERROR(VLOOKUP(B286,input_377101!L:R,7,FALSE),VLOOKUP(tables_377101!C286,input_377101!A:H,8,FALSE))</f>
        <v>41283.474289999998</v>
      </c>
      <c r="P286" s="46">
        <f t="shared" ca="1" si="14"/>
        <v>5.6708069080059686E-3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input_377101!A$2</f>
        <v>377101</v>
      </c>
      <c r="B287" s="83">
        <v>747</v>
      </c>
      <c r="C287" s="7" t="str">
        <f t="shared" si="19"/>
        <v>Premium5R3less</v>
      </c>
      <c r="D287" s="7" t="str">
        <f t="shared" si="20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IFERROR(VLOOKUP(B287,input_377101!L:R,7,FALSE),VLOOKUP(tables_377101!C287,input_377101!A:H,8,FALSE))</f>
        <v>1097.3257100000001</v>
      </c>
      <c r="P287" s="46">
        <f t="shared" ca="1" si="14"/>
        <v>1.5073155357246351E-4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input_377101!A$2</f>
        <v>377101</v>
      </c>
      <c r="B288" s="8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IFERROR(VLOOKUP(B288,input_377101!L:R,7,FALSE),VLOOKUP(tables_377101!C288,input_377101!A:H,8,FALSE))</f>
        <v>41283.474289999998</v>
      </c>
      <c r="P288" s="46">
        <f t="shared" ca="1" si="14"/>
        <v>5.6708069080059686E-3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input_377101!A$2</f>
        <v>377101</v>
      </c>
      <c r="B289" s="8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IFERROR(VLOOKUP(B289,input_377101!L:R,7,FALSE),VLOOKUP(tables_377101!C289,input_377101!A:H,8,FALSE))</f>
        <v>1097.3257100000001</v>
      </c>
      <c r="P289" s="46">
        <f t="shared" ca="1" si="14"/>
        <v>1.5073155357246351E-4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input_377101!A$2</f>
        <v>377101</v>
      </c>
      <c r="B290" s="83">
        <v>937</v>
      </c>
      <c r="C290" s="7" t="str">
        <f t="shared" si="19"/>
        <v>PremiumSS5R5onlycolor</v>
      </c>
      <c r="D290" s="7" t="str">
        <f t="shared" si="20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">
        <v>283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IFERROR(VLOOKUP(B290,input_377101!L:R,7,FALSE),VLOOKUP(tables_377101!C290,input_377101!A:H,8,FALSE))</f>
        <v>19854.545450000001</v>
      </c>
      <c r="P290" s="46">
        <f t="shared" ca="1" si="14"/>
        <v>2.7272727266670774E-3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input_377101!A$2</f>
        <v>377101</v>
      </c>
      <c r="B291" s="83">
        <v>939</v>
      </c>
      <c r="C291" s="7" t="str">
        <f t="shared" ref="C291:C295" si="21">D291&amp;J291&amp;E291&amp;F291&amp;G291</f>
        <v>Premium4R3less</v>
      </c>
      <c r="D291" s="7" t="str">
        <f t="shared" ref="D291:D295" si="22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IFERROR(VLOOKUP(B291,input_377101!L:R,7,FALSE),VLOOKUP(tables_377101!C291,input_377101!A:H,8,FALSE))</f>
        <v>41283.474289999998</v>
      </c>
      <c r="P291" s="46">
        <f t="shared" ca="1" si="14"/>
        <v>5.6708069080059686E-3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input_377101!A$2</f>
        <v>377101</v>
      </c>
      <c r="B292" s="83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IFERROR(VLOOKUP(B292,input_377101!L:R,7,FALSE),VLOOKUP(tables_377101!C292,input_377101!A:H,8,FALSE))</f>
        <v>1097.3257100000001</v>
      </c>
      <c r="P292" s="46">
        <f t="shared" ca="1" si="14"/>
        <v>1.5073155357246351E-4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input_377101!A$2</f>
        <v>377101</v>
      </c>
      <c r="B293" s="83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IFERROR(VLOOKUP(B293,input_377101!L:R,7,FALSE),VLOOKUP(tables_377101!C293,input_377101!A:H,8,FALSE))</f>
        <v>5200</v>
      </c>
      <c r="P293" s="46">
        <f t="shared" ca="1" si="14"/>
        <v>7.1428571429061867E-4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input_377101!A$2</f>
        <v>377101</v>
      </c>
      <c r="B294" s="83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IFERROR(VLOOKUP(B294,input_377101!L:R,7,FALSE),VLOOKUP(tables_377101!C294,input_377101!A:H,8,FALSE))</f>
        <v>5200</v>
      </c>
      <c r="P294" s="46">
        <f t="shared" ca="1" si="14"/>
        <v>7.1428571429061867E-4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input_377101!A$2</f>
        <v>377101</v>
      </c>
      <c r="B295" s="83">
        <v>786</v>
      </c>
      <c r="C295" s="7" t="str">
        <f t="shared" si="21"/>
        <v>PremiumSSS5R3lesscolor</v>
      </c>
      <c r="D295" s="7" t="str">
        <f t="shared" si="22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264</v>
      </c>
      <c r="H295" s="7" t="str">
        <f>VLOOKUP(B295,[1]characters!$A:$C,3,FALSE)</f>
        <v>ヘイウェイ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dragon</v>
      </c>
      <c r="N295" s="7" t="str">
        <f>VLOOKUP(B295,[1]characters!$A:$G,7,FALSE)</f>
        <v>男性</v>
      </c>
      <c r="O295" s="45">
        <f ca="1">IFERROR(VLOOKUP(B295,input_377101!L:R,7,FALSE),VLOOKUP(tables_377101!C295,input_377101!A:H,8,FALSE))</f>
        <v>29120</v>
      </c>
      <c r="P295" s="46">
        <f t="shared" ca="1" si="14"/>
        <v>4.0000000000274642E-3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5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workbookViewId="0">
      <selection activeCell="B42" sqref="B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377103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VLOOKUP(L3,tables_377103!B:C,2,FALSE)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VLOOKUP(L4,tables_377103!B:C,2,FALSE)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7.1428571428571439E-4</v>
      </c>
      <c r="F5">
        <f>(COUNTIF(tables_377103!C:C,input_377103!A28)+COUNTIF(tables_377103!C:C,input_377103!A29))</f>
        <v>28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VLOOKUP(L5,tables_377103!B:C,2,FALSE)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2.7272727272727271E-3</v>
      </c>
      <c r="F6">
        <f>(COUNTIF(tables_377103!C:C,input_377103!A43)+COUNTIF(tables_377103!C:C,input_377103!A44))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VLOOKUP(L6,tables_377103!B:C,2,FALSE)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5.8215384615384613E-3</v>
      </c>
      <c r="F7">
        <f>(COUNTIF(tables_377103!C:C,input_377103!A25)+COUNTIF(tables_377103!C:C,input_377103!A18)+COUNTIF(tables_377103!C:C,input_377103!A20)+COUNTIF(tables_377103!C:C,input_377103!A22))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VLOOKUP(L7,tables_377103!B:C,2,FALSE)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2.8379999999999999E-2</v>
      </c>
      <c r="F8">
        <f>(COUNTIF(tables_377103!C:C,input_377103!A40)+COUNTIF(tables_377103!C:C,input_377103!A33)+COUNTIF(tables_377103!C:C,input_377103!A35)+COUNTIF(tables_377103!C:C,input_377103!A37))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VLOOKUP(L8,tables_377103!B:C,2,FALSE)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VLOOKUP(L9,tables_377103!B:C,2,FALSE)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VLOOKUP(L10,tables_377103!B:C,2,FALSE)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VLOOKUP(L11,tables_377103!B:C,2,FALSE)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VLOOKUP(L12,tables_377103!B:C,2,FALSE)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VLOOKUP(L13,tables_377103!B:C,2,FALSE)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VLOOKUP(L14,tables_377103!B:C,2,FALSE)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VLOOKUP(L15,tables_377103!B:C,2,FALSE)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VLOOKUP(L16,tables_377103!B:C,2,FALSE)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COUNTIF(tables_377103!C:C,input_377103!A17)-COUNTIF(Q:Q,A17)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VLOOKUP(L17,tables_377103!B:C,2,FALSE)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8.732307692307692E-2</v>
      </c>
      <c r="C18" s="87">
        <f t="shared" si="2"/>
        <v>0</v>
      </c>
      <c r="D18" s="75">
        <f t="shared" si="3"/>
        <v>8.732307692307692E-2</v>
      </c>
      <c r="E18">
        <f>COUNTIF(tables_377103!C:C,input_377103!A18)-COUNTIF(Q:Q,A18)</f>
        <v>15</v>
      </c>
      <c r="F18" s="43">
        <f>IFERROR(B18/E18,0)</f>
        <v>5.8215384615384613E-3</v>
      </c>
      <c r="G18">
        <f t="shared" si="4"/>
        <v>635712</v>
      </c>
      <c r="H18">
        <f t="shared" si="5"/>
        <v>42380.800000000003</v>
      </c>
      <c r="I18">
        <f t="shared" si="6"/>
        <v>0.80000000000291038</v>
      </c>
      <c r="J18">
        <f t="shared" si="7"/>
        <v>1.2499999999954525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VLOOKUP(L18,tables_377103!B:C,2,FALSE)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COUNTIF(tables_377103!C:C,input_377103!A19)-COUNTIF(Q:Q,A19)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VLOOKUP(L19,tables_377103!B:C,2,FALSE)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0.22121846153846153</v>
      </c>
      <c r="C20" s="87">
        <f t="shared" si="2"/>
        <v>0</v>
      </c>
      <c r="D20" s="75">
        <f t="shared" si="3"/>
        <v>0.22121846153846153</v>
      </c>
      <c r="E20">
        <f>COUNTIF(tables_377103!C:C,input_377103!A20)-COUNTIF(Q:Q,A20)</f>
        <v>40</v>
      </c>
      <c r="F20" s="43">
        <f t="shared" si="8"/>
        <v>5.5304615384615379E-3</v>
      </c>
      <c r="G20">
        <f t="shared" si="4"/>
        <v>1610470.3999999999</v>
      </c>
      <c r="H20">
        <f t="shared" si="5"/>
        <v>40261.760000000002</v>
      </c>
      <c r="I20">
        <f t="shared" si="6"/>
        <v>0.76000000000203727</v>
      </c>
      <c r="J20">
        <f t="shared" si="7"/>
        <v>1.3157894736806834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VLOOKUP(L20,tables_377103!B:C,2,FALSE)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1.1643076923076923E-2</v>
      </c>
      <c r="C21" s="87">
        <f t="shared" si="2"/>
        <v>0</v>
      </c>
      <c r="D21" s="75">
        <f t="shared" si="3"/>
        <v>1.1643076923076923E-2</v>
      </c>
      <c r="E21">
        <f>COUNTIF(tables_377103!C:C,input_377103!A21)-COUNTIF(Q:Q,A21)</f>
        <v>40</v>
      </c>
      <c r="F21" s="43">
        <f t="shared" si="8"/>
        <v>2.9107692307692309E-4</v>
      </c>
      <c r="G21">
        <f t="shared" si="4"/>
        <v>84761.599999999991</v>
      </c>
      <c r="H21">
        <f t="shared" si="5"/>
        <v>2119.04</v>
      </c>
      <c r="I21">
        <f t="shared" si="6"/>
        <v>3.999999999996362E-2</v>
      </c>
      <c r="J21">
        <f t="shared" si="7"/>
        <v>25.000000000022737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3.9695648351648349E-2</v>
      </c>
      <c r="C22" s="87">
        <f t="shared" si="2"/>
        <v>0</v>
      </c>
      <c r="D22" s="75">
        <f t="shared" si="3"/>
        <v>3.9695648351648349E-2</v>
      </c>
      <c r="E22">
        <f>COUNTIF(tables_377103!C:C,input_377103!A22)-COUNTIF(Q:Q,A22)</f>
        <v>7</v>
      </c>
      <c r="F22" s="43">
        <f t="shared" si="8"/>
        <v>5.6708069073783353E-3</v>
      </c>
      <c r="G22">
        <f t="shared" si="4"/>
        <v>288984.32000000001</v>
      </c>
      <c r="H22">
        <f t="shared" si="5"/>
        <v>41283.474289999998</v>
      </c>
      <c r="I22">
        <f t="shared" si="6"/>
        <v>0.47428999999829102</v>
      </c>
      <c r="J22">
        <f t="shared" si="7"/>
        <v>2.1084146830074495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1.0551208791208817E-3</v>
      </c>
      <c r="C23" s="87">
        <f t="shared" si="2"/>
        <v>0</v>
      </c>
      <c r="D23" s="75">
        <f t="shared" si="3"/>
        <v>1.0551208791208817E-3</v>
      </c>
      <c r="E23">
        <f>COUNTIF(tables_377103!C:C,input_377103!A23)-COUNTIF(Q:Q,A23)</f>
        <v>7</v>
      </c>
      <c r="F23" s="43">
        <f t="shared" si="8"/>
        <v>1.5073155416012594E-4</v>
      </c>
      <c r="G23">
        <f t="shared" si="4"/>
        <v>7681.2800000000188</v>
      </c>
      <c r="H23">
        <f t="shared" si="5"/>
        <v>1097.3257100000001</v>
      </c>
      <c r="I23">
        <f t="shared" si="6"/>
        <v>0.32571000000007189</v>
      </c>
      <c r="J23">
        <f t="shared" si="7"/>
        <v>3.0702158361726055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COUNTIF(tables_377103!C:C,input_377103!A24)-COUNTIF(Q:Q,A24)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1.6591384615384612E-2</v>
      </c>
      <c r="C25" s="87">
        <f t="shared" si="2"/>
        <v>0</v>
      </c>
      <c r="D25" s="75">
        <f t="shared" si="3"/>
        <v>1.6591384615384612E-2</v>
      </c>
      <c r="E25">
        <f>COUNTIF(tables_377103!C:C,input_377103!A25)-COUNTIF(Q:Q,A25)</f>
        <v>3</v>
      </c>
      <c r="F25" s="43">
        <f t="shared" si="8"/>
        <v>5.530461538461537E-3</v>
      </c>
      <c r="G25">
        <f t="shared" si="4"/>
        <v>120785.27999999997</v>
      </c>
      <c r="H25">
        <f t="shared" si="5"/>
        <v>40261.760000000002</v>
      </c>
      <c r="I25">
        <f t="shared" si="6"/>
        <v>0.76000000000203727</v>
      </c>
      <c r="J25">
        <f t="shared" si="7"/>
        <v>1.3157894736806834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8.7323076923076926E-4</v>
      </c>
      <c r="C26" s="87">
        <f t="shared" si="2"/>
        <v>0</v>
      </c>
      <c r="D26" s="75">
        <f t="shared" si="3"/>
        <v>8.7323076923076926E-4</v>
      </c>
      <c r="E26">
        <f>COUNTIF(tables_377103!C:C,input_377103!A26)-COUNTIF(Q:Q,A26)</f>
        <v>3</v>
      </c>
      <c r="F26" s="43">
        <f t="shared" si="8"/>
        <v>2.9107692307692309E-4</v>
      </c>
      <c r="G26">
        <f t="shared" si="4"/>
        <v>6357.12</v>
      </c>
      <c r="H26">
        <f t="shared" si="5"/>
        <v>2119.04</v>
      </c>
      <c r="I26">
        <f t="shared" si="6"/>
        <v>3.999999999996362E-2</v>
      </c>
      <c r="J26">
        <f t="shared" si="7"/>
        <v>25.000000000022737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1.3571428571428573E-2</v>
      </c>
      <c r="C27" s="87">
        <f t="shared" si="2"/>
        <v>0</v>
      </c>
      <c r="D27" s="75">
        <f t="shared" si="3"/>
        <v>1.3571428571428573E-2</v>
      </c>
      <c r="E27">
        <f>COUNTIF(tables_377103!C:C,input_377103!A27)-COUNTIF(Q:Q,A27)</f>
        <v>20</v>
      </c>
      <c r="F27" s="43">
        <f>IFERROR(B27/E27,0)</f>
        <v>6.7857142857142866E-4</v>
      </c>
      <c r="G27">
        <f t="shared" si="4"/>
        <v>98800.000000000015</v>
      </c>
      <c r="H27">
        <f t="shared" si="5"/>
        <v>4940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7.1428571428571439E-4</v>
      </c>
      <c r="C28" s="87">
        <f t="shared" si="2"/>
        <v>0</v>
      </c>
      <c r="D28" s="75">
        <f t="shared" si="3"/>
        <v>7.1428571428571439E-4</v>
      </c>
      <c r="E28">
        <f>COUNTIF(tables_377103!C:C,input_377103!A28)-COUNTIF(Q:Q,A28)</f>
        <v>20</v>
      </c>
      <c r="F28" s="43">
        <f t="shared" si="8"/>
        <v>3.5714285714285717E-5</v>
      </c>
      <c r="G28">
        <f t="shared" si="4"/>
        <v>5200.0000000000009</v>
      </c>
      <c r="H28">
        <f t="shared" si="5"/>
        <v>260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5.7142857142857151E-3</v>
      </c>
      <c r="C29" s="87">
        <f t="shared" si="2"/>
        <v>0</v>
      </c>
      <c r="D29" s="75">
        <f t="shared" si="3"/>
        <v>5.7142857142857151E-3</v>
      </c>
      <c r="E29">
        <f>COUNTIF(tables_377103!C:C,input_377103!A29)-COUNTIF(Q:Q,A29)</f>
        <v>8</v>
      </c>
      <c r="F29" s="43">
        <f t="shared" si="8"/>
        <v>7.1428571428571439E-4</v>
      </c>
      <c r="G29">
        <f t="shared" si="4"/>
        <v>41600.000000000007</v>
      </c>
      <c r="H29">
        <f t="shared" si="5"/>
        <v>5200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COUNTIF(tables_377103!C:C,input_377103!A30)-COUNTIF(Q:Q,A30)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COUNTIF(tables_377103!C:C,input_377103!A31)-COUNTIF(Q:Q,A31)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COUNTIF(tables_377103!C:C,input_377103!A32)-COUNTIF(Q:Q,A32)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0.1419</v>
      </c>
      <c r="C33" s="87">
        <f t="shared" si="2"/>
        <v>0</v>
      </c>
      <c r="D33" s="75">
        <f t="shared" si="3"/>
        <v>0.1419</v>
      </c>
      <c r="E33">
        <f>COUNTIF(tables_377103!C:C,input_377103!A33)-COUNTIF(Q:Q,A33)</f>
        <v>5</v>
      </c>
      <c r="F33" s="43">
        <f>IFERROR(B33/E33,0)</f>
        <v>2.8379999999999999E-2</v>
      </c>
      <c r="G33">
        <f t="shared" si="4"/>
        <v>1033032</v>
      </c>
      <c r="H33">
        <f t="shared" si="5"/>
        <v>206606.4</v>
      </c>
      <c r="I33">
        <f t="shared" si="6"/>
        <v>0.39999999999417923</v>
      </c>
      <c r="J33">
        <f t="shared" si="7"/>
        <v>2.5000000000363798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COUNTIF(tables_377103!C:C,input_377103!A34)-COUNTIF(Q:Q,A34)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0.32353199999999999</v>
      </c>
      <c r="C35" s="87">
        <f t="shared" si="2"/>
        <v>0</v>
      </c>
      <c r="D35" s="75">
        <f t="shared" si="3"/>
        <v>0.32353199999999999</v>
      </c>
      <c r="E35">
        <f>COUNTIF(tables_377103!C:C,input_377103!A35)-COUNTIF(Q:Q,A35)</f>
        <v>12</v>
      </c>
      <c r="F35" s="43">
        <f t="shared" si="9"/>
        <v>2.6960999999999999E-2</v>
      </c>
      <c r="G35">
        <f t="shared" si="4"/>
        <v>2355312.96</v>
      </c>
      <c r="H35">
        <f t="shared" si="5"/>
        <v>196276.08</v>
      </c>
      <c r="I35">
        <f t="shared" si="6"/>
        <v>7.9999999987194315E-2</v>
      </c>
      <c r="J35">
        <f t="shared" si="7"/>
        <v>12.500000002000888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1.7027999999999998E-2</v>
      </c>
      <c r="C36" s="87">
        <f t="shared" si="2"/>
        <v>0</v>
      </c>
      <c r="D36" s="75">
        <f t="shared" si="3"/>
        <v>1.7027999999999998E-2</v>
      </c>
      <c r="E36">
        <f>COUNTIF(tables_377103!C:C,input_377103!A36)-COUNTIF(Q:Q,A36)</f>
        <v>12</v>
      </c>
      <c r="F36" s="43">
        <f t="shared" si="9"/>
        <v>1.4189999999999999E-3</v>
      </c>
      <c r="G36">
        <f t="shared" si="4"/>
        <v>123963.83999999998</v>
      </c>
      <c r="H36">
        <f t="shared" si="5"/>
        <v>10330.32</v>
      </c>
      <c r="I36">
        <f t="shared" si="6"/>
        <v>0.31999999999970896</v>
      </c>
      <c r="J36">
        <f t="shared" si="7"/>
        <v>3.1250000000028422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5.4479727272727263E-2</v>
      </c>
      <c r="C37" s="87">
        <f t="shared" si="2"/>
        <v>0</v>
      </c>
      <c r="D37" s="75">
        <f t="shared" si="3"/>
        <v>5.4479727272727263E-2</v>
      </c>
      <c r="E37">
        <f>COUNTIF(tables_377103!C:C,input_377103!A37)-COUNTIF(Q:Q,A37)</f>
        <v>2</v>
      </c>
      <c r="F37" s="43">
        <f t="shared" si="9"/>
        <v>2.7239863636363632E-2</v>
      </c>
      <c r="G37">
        <f t="shared" si="4"/>
        <v>396612.41454545449</v>
      </c>
      <c r="H37">
        <f t="shared" si="5"/>
        <v>198306.20727000001</v>
      </c>
      <c r="I37">
        <f t="shared" si="6"/>
        <v>0.2072700000135228</v>
      </c>
      <c r="J37">
        <f t="shared" si="7"/>
        <v>4.8246248851003886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2.2802727272727315E-3</v>
      </c>
      <c r="C38" s="87">
        <f t="shared" si="2"/>
        <v>0</v>
      </c>
      <c r="D38" s="75">
        <f t="shared" si="3"/>
        <v>2.2802727272727315E-3</v>
      </c>
      <c r="E38">
        <f>COUNTIF(tables_377103!C:C,input_377103!A38)-COUNTIF(Q:Q,A38)</f>
        <v>2</v>
      </c>
      <c r="F38" s="43">
        <f t="shared" si="9"/>
        <v>1.1401363636363657E-3</v>
      </c>
      <c r="G38">
        <f t="shared" si="4"/>
        <v>16600.385454545485</v>
      </c>
      <c r="H38">
        <f t="shared" si="5"/>
        <v>8300.1927300000007</v>
      </c>
      <c r="I38">
        <f t="shared" si="6"/>
        <v>0.19273000000066531</v>
      </c>
      <c r="J38">
        <f t="shared" si="7"/>
        <v>5.1886058215978208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COUNTIF(tables_377103!C:C,input_377103!A39)-COUNTIF(Q:Q,A39)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2.6960999999999999E-2</v>
      </c>
      <c r="C40" s="87">
        <f t="shared" si="2"/>
        <v>0</v>
      </c>
      <c r="D40" s="75">
        <f t="shared" si="3"/>
        <v>2.6960999999999999E-2</v>
      </c>
      <c r="E40">
        <f>COUNTIF(tables_377103!C:C,input_377103!A40)-COUNTIF(Q:Q,A40)</f>
        <v>1</v>
      </c>
      <c r="F40" s="43">
        <f t="shared" si="9"/>
        <v>2.6960999999999999E-2</v>
      </c>
      <c r="G40">
        <f t="shared" si="4"/>
        <v>196276.08</v>
      </c>
      <c r="H40">
        <f t="shared" si="5"/>
        <v>196276.08</v>
      </c>
      <c r="I40">
        <f t="shared" si="6"/>
        <v>7.9999999987194315E-2</v>
      </c>
      <c r="J40">
        <f t="shared" si="7"/>
        <v>12.500000002000888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1.4190000000000001E-3</v>
      </c>
      <c r="C41" s="87">
        <f t="shared" si="2"/>
        <v>0</v>
      </c>
      <c r="D41" s="75">
        <f t="shared" si="3"/>
        <v>1.4190000000000001E-3</v>
      </c>
      <c r="E41">
        <f>COUNTIF(tables_377103!C:C,input_377103!A41)-COUNTIF(Q:Q,A41)</f>
        <v>1</v>
      </c>
      <c r="F41" s="43">
        <f t="shared" si="9"/>
        <v>1.4190000000000001E-3</v>
      </c>
      <c r="G41">
        <f t="shared" si="4"/>
        <v>10330.320000000002</v>
      </c>
      <c r="H41">
        <f t="shared" si="5"/>
        <v>10330.32</v>
      </c>
      <c r="I41">
        <f t="shared" si="6"/>
        <v>0.31999999999970896</v>
      </c>
      <c r="J41">
        <f t="shared" si="7"/>
        <v>3.1250000000028422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2.0727272727272726E-2</v>
      </c>
      <c r="C42" s="87">
        <f t="shared" si="2"/>
        <v>0</v>
      </c>
      <c r="D42" s="75">
        <f t="shared" si="3"/>
        <v>2.0727272727272726E-2</v>
      </c>
      <c r="E42">
        <f>COUNTIF(tables_377103!C:C,input_377103!A42)-COUNTIF(Q:Q,A42)</f>
        <v>8</v>
      </c>
      <c r="F42" s="43">
        <f>IFERROR(B42/E42,0)</f>
        <v>2.5909090909090908E-3</v>
      </c>
      <c r="G42">
        <f t="shared" si="4"/>
        <v>150894.54545454544</v>
      </c>
      <c r="H42">
        <f t="shared" si="5"/>
        <v>18861.818179999998</v>
      </c>
      <c r="I42">
        <f t="shared" si="6"/>
        <v>0.8181799999983923</v>
      </c>
      <c r="J42">
        <f t="shared" si="7"/>
        <v>1.2222249382800423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1.090909090909091E-3</v>
      </c>
      <c r="C43" s="87">
        <f t="shared" si="2"/>
        <v>0</v>
      </c>
      <c r="D43" s="75">
        <f t="shared" si="3"/>
        <v>1.090909090909091E-3</v>
      </c>
      <c r="E43">
        <f>COUNTIF(tables_377103!C:C,input_377103!A43)-COUNTIF(Q:Q,A43)</f>
        <v>8</v>
      </c>
      <c r="F43" s="43">
        <f t="shared" ref="F43:F46" si="10">IFERROR(B43/E43,0)</f>
        <v>1.3636363636363637E-4</v>
      </c>
      <c r="G43">
        <f t="shared" si="4"/>
        <v>7941.818181818182</v>
      </c>
      <c r="H43">
        <f t="shared" si="5"/>
        <v>992.72726999999998</v>
      </c>
      <c r="I43">
        <f t="shared" si="6"/>
        <v>0.72726999999997588</v>
      </c>
      <c r="J43">
        <f t="shared" si="7"/>
        <v>1.3750051562693817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8.1818181818181807E-3</v>
      </c>
      <c r="C44" s="87">
        <f t="shared" si="2"/>
        <v>0</v>
      </c>
      <c r="D44" s="75">
        <f t="shared" si="3"/>
        <v>8.1818181818181807E-3</v>
      </c>
      <c r="E44">
        <f>COUNTIF(tables_377103!C:C,input_377103!A44)-COUNTIF(Q:Q,A44)</f>
        <v>3</v>
      </c>
      <c r="F44" s="43">
        <f t="shared" si="10"/>
        <v>2.7272727272727271E-3</v>
      </c>
      <c r="G44">
        <f t="shared" si="4"/>
        <v>59563.636363636353</v>
      </c>
      <c r="H44">
        <f t="shared" si="5"/>
        <v>19854.545450000001</v>
      </c>
      <c r="I44">
        <f t="shared" si="6"/>
        <v>0.54545000000143773</v>
      </c>
      <c r="J44">
        <f t="shared" si="7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COUNTIF(tables_377103!C:C,input_377103!A45)-COUNTIF(Q:Q,A45)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4.0000000000000001E-3</v>
      </c>
      <c r="C46" s="87">
        <f t="shared" si="2"/>
        <v>0</v>
      </c>
      <c r="D46" s="75">
        <f t="shared" si="3"/>
        <v>4.0000000000000001E-3</v>
      </c>
      <c r="E46">
        <f>COUNTIF(tables_377103!C:C,input_377103!A46)-COUNTIF(Q:Q,A46)</f>
        <v>1</v>
      </c>
      <c r="F46" s="43">
        <f t="shared" si="10"/>
        <v>4.0000000000000001E-3</v>
      </c>
      <c r="G46">
        <f t="shared" si="4"/>
        <v>29120</v>
      </c>
      <c r="H46">
        <f t="shared" si="5"/>
        <v>29120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7280000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SUMIF(tables_377103!C:C,input_377103!A55,tables_377103!O:O)</f>
        <v>0</v>
      </c>
      <c r="C55" s="54">
        <f t="shared" ref="C55:C61" ca="1" si="11">B55/B$62</f>
        <v>0</v>
      </c>
      <c r="E55">
        <v>3</v>
      </c>
      <c r="F55">
        <f ca="1">SUMIF(tables_377103!J:J,input_377103!E55,tables_377103!O:O)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SUMIF(tables_377103!C:C,input_377103!A56,tables_377103!O:O)</f>
        <v>1610470.4000000001</v>
      </c>
      <c r="C56" s="54">
        <f t="shared" ca="1" si="11"/>
        <v>0.89508768185536947</v>
      </c>
      <c r="E56">
        <v>4</v>
      </c>
      <c r="F56">
        <f ca="1">SUMIF(tables_377103!J:J,input_377103!E56,tables_377103!O:O)</f>
        <v>6886880.0000099977</v>
      </c>
      <c r="G56">
        <f ca="1">F56/A51</f>
        <v>0.9460000000013733</v>
      </c>
    </row>
    <row r="57" spans="1:7" x14ac:dyDescent="0.15">
      <c r="A57" s="33" t="s">
        <v>109</v>
      </c>
      <c r="B57">
        <f ca="1">SUMIF(tables_377103!C:C,input_377103!A57,tables_377103!O:O)</f>
        <v>98800</v>
      </c>
      <c r="C57" s="54">
        <f t="shared" ca="1" si="11"/>
        <v>5.4912318144630601E-2</v>
      </c>
      <c r="E57">
        <v>5</v>
      </c>
      <c r="F57">
        <f ca="1">SUMIF(tables_377103!J:J,input_377103!E57,tables_377103!O:O)</f>
        <v>393119.99994000013</v>
      </c>
      <c r="G57">
        <f ca="1">F57/A51</f>
        <v>5.3999999991758259E-2</v>
      </c>
    </row>
    <row r="58" spans="1:7" x14ac:dyDescent="0.15">
      <c r="A58" s="33" t="s">
        <v>113</v>
      </c>
      <c r="B58">
        <f>SUMIF(tables_377103!C:C,input_377103!A58,tables_377103!O:O)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SUMIF(tables_377103!C:C,input_377103!A59,tables_377103!O:O)</f>
        <v>84761.599999999962</v>
      </c>
      <c r="C59" s="54">
        <f t="shared" ca="1" si="11"/>
        <v>4.710987799238784E-2</v>
      </c>
      <c r="E59" t="s">
        <v>55</v>
      </c>
      <c r="F59" s="55"/>
    </row>
    <row r="60" spans="1:7" x14ac:dyDescent="0.15">
      <c r="A60" s="33" t="s">
        <v>110</v>
      </c>
      <c r="B60">
        <f ca="1">SUMIF(tables_377103!C:C,input_377103!A60,tables_377103!O:O)</f>
        <v>5200</v>
      </c>
      <c r="C60" s="54">
        <f t="shared" ca="1" si="11"/>
        <v>2.8901220076121368E-3</v>
      </c>
      <c r="E60" t="s">
        <v>210</v>
      </c>
      <c r="F60" s="55">
        <f ca="1">SUMIF(tables_377103!I:I,input_377103!E60,tables_377103!P:P)</f>
        <v>0.22922307692465146</v>
      </c>
    </row>
    <row r="61" spans="1:7" x14ac:dyDescent="0.15">
      <c r="A61" s="33" t="s">
        <v>111</v>
      </c>
      <c r="B61">
        <f>SUMIF(tables_377103!C:C,input_377103!A61,tables_377103!O:O)</f>
        <v>0</v>
      </c>
      <c r="C61" s="54">
        <f t="shared" ca="1" si="11"/>
        <v>0</v>
      </c>
      <c r="E61" t="s">
        <v>211</v>
      </c>
      <c r="F61" s="55">
        <f ca="1">SUMIF(tables_377103!I:I,input_377103!E61,tables_377103!P:P)</f>
        <v>0.22922307692465146</v>
      </c>
    </row>
    <row r="62" spans="1:7" x14ac:dyDescent="0.15">
      <c r="A62" s="39" t="s">
        <v>60</v>
      </c>
      <c r="B62">
        <f ca="1">SUM(B55:B61)</f>
        <v>1799232</v>
      </c>
      <c r="C62" s="55">
        <f ca="1">SUM(C55:C61)</f>
        <v>1</v>
      </c>
      <c r="E62" t="s">
        <v>212</v>
      </c>
      <c r="F62" s="55">
        <f ca="1">SUMIF(tables_377103!I:I,input_377103!E62,tables_377103!P:P)</f>
        <v>0.48755384615719544</v>
      </c>
    </row>
    <row r="63" spans="1:7" x14ac:dyDescent="0.15">
      <c r="E63" t="s">
        <v>213</v>
      </c>
      <c r="F63" s="55">
        <f ca="1">SUMIF(tables_377103!I:I,input_377103!E63,tables_377103!P:P)</f>
        <v>4.9999999993475305E-2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09" activePane="bottomLeft" state="frozen"/>
      <selection activeCell="L296" sqref="L296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input_377103!A$2</f>
        <v>377103</v>
      </c>
      <c r="B2" s="6">
        <v>126</v>
      </c>
      <c r="C2" s="7" t="str">
        <f t="shared" ref="C2:C65" si="0">D2&amp;J2&amp;E2&amp;F2&amp;G2</f>
        <v>PremiumW3color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284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IFERROR(VLOOKUP(B2,input_377103!L:R,7,FALSE),VLOOKUP(tables_377103!C2,input_377103!A:H,8,FALSE))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input_377103!A$2</f>
        <v>377103</v>
      </c>
      <c r="B3" s="6">
        <v>127</v>
      </c>
      <c r="C3" s="7" t="str">
        <f t="shared" si="0"/>
        <v>PremiumW4color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284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IFERROR(VLOOKUP(B3,input_377103!L:R,7,FALSE),VLOOKUP(tables_377103!C3,input_377103!A:H,8,FALSE))</f>
        <v>206606.4</v>
      </c>
      <c r="P3" s="46">
        <f t="shared" ca="1" si="2"/>
        <v>2.8380000000194933E-2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input_377103!A$2</f>
        <v>377103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IFERROR(VLOOKUP(B4,input_377103!L:R,7,FALSE),VLOOKUP(tables_377103!C4,input_377103!A:H,8,FALSE))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input_377103!A$2</f>
        <v>377103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IFERROR(VLOOKUP(B5,input_377103!L:R,7,FALSE),VLOOKUP(tables_377103!C5,input_377103!A:H,8,FALSE))</f>
        <v>42380.800000000003</v>
      </c>
      <c r="P5" s="46">
        <f t="shared" ca="1" si="2"/>
        <v>5.8215384615784484E-3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input_377103!A$2</f>
        <v>377103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IFERROR(VLOOKUP(B6,input_377103!L:R,7,FALSE),VLOOKUP(tables_377103!C6,input_377103!A:H,8,FALSE))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input_377103!A$2</f>
        <v>377103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IFERROR(VLOOKUP(B7,input_377103!L:R,7,FALSE),VLOOKUP(tables_377103!C7,input_377103!A:H,8,FALSE))</f>
        <v>42380.800000000003</v>
      </c>
      <c r="P7" s="46">
        <f t="shared" ca="1" si="2"/>
        <v>5.8215384615784484E-3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input_377103!A$2</f>
        <v>377103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IFERROR(VLOOKUP(B8,input_377103!L:R,7,FALSE),VLOOKUP(tables_377103!C8,input_377103!A:H,8,FALSE))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input_377103!A$2</f>
        <v>377103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IFERROR(VLOOKUP(B9,input_377103!L:R,7,FALSE),VLOOKUP(tables_377103!C9,input_377103!A:H,8,FALSE))</f>
        <v>42380.800000000003</v>
      </c>
      <c r="P9" s="46">
        <f t="shared" ca="1" si="2"/>
        <v>5.8215384615784484E-3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input_377103!A$2</f>
        <v>377103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284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IFERROR(VLOOKUP(B10,input_377103!L:R,7,FALSE),VLOOKUP(tables_377103!C10,input_377103!A:H,8,FALSE))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input_377103!A$2</f>
        <v>377103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284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IFERROR(VLOOKUP(B11,input_377103!L:R,7,FALSE),VLOOKUP(tables_377103!C11,input_377103!A:H,8,FALSE))</f>
        <v>206606.4</v>
      </c>
      <c r="P11" s="46">
        <f t="shared" ca="1" si="2"/>
        <v>2.8380000000194933E-2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input_377103!A$2</f>
        <v>377103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IFERROR(VLOOKUP(B12,input_377103!L:R,7,FALSE),VLOOKUP(tables_377103!C12,input_377103!A:H,8,FALSE))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input_377103!A$2</f>
        <v>377103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IFERROR(VLOOKUP(B13,input_377103!L:R,7,FALSE),VLOOKUP(tables_377103!C13,input_377103!A:H,8,FALSE))</f>
        <v>42380.800000000003</v>
      </c>
      <c r="P13" s="46">
        <f t="shared" ca="1" si="2"/>
        <v>5.8215384615784484E-3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input_377103!A$2</f>
        <v>377103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IFERROR(VLOOKUP(B14,input_377103!L:R,7,FALSE),VLOOKUP(tables_377103!C14,input_377103!A:H,8,FALSE))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input_377103!A$2</f>
        <v>377103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IFERROR(VLOOKUP(B15,input_377103!L:R,7,FALSE),VLOOKUP(tables_377103!C15,input_377103!A:H,8,FALSE))</f>
        <v>42380.800000000003</v>
      </c>
      <c r="P15" s="46">
        <f t="shared" ca="1" si="2"/>
        <v>5.8215384615784484E-3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input_377103!A$2</f>
        <v>377103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IFERROR(VLOOKUP(B16,input_377103!L:R,7,FALSE),VLOOKUP(tables_377103!C16,input_377103!A:H,8,FALSE))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input_377103!A$2</f>
        <v>377103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IFERROR(VLOOKUP(B17,input_377103!L:R,7,FALSE),VLOOKUP(tables_377103!C17,input_377103!A:H,8,FALSE))</f>
        <v>42380.800000000003</v>
      </c>
      <c r="P17" s="46">
        <f t="shared" ca="1" si="2"/>
        <v>5.8215384615784484E-3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input_377103!A$2</f>
        <v>377103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284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IFERROR(VLOOKUP(B18,input_377103!L:R,7,FALSE),VLOOKUP(tables_377103!C18,input_377103!A:H,8,FALSE))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input_377103!A$2</f>
        <v>377103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284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IFERROR(VLOOKUP(B19,input_377103!L:R,7,FALSE),VLOOKUP(tables_377103!C19,input_377103!A:H,8,FALSE))</f>
        <v>206606.4</v>
      </c>
      <c r="P19" s="46">
        <f t="shared" ca="1" si="2"/>
        <v>2.8380000000194933E-2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input_377103!A$2</f>
        <v>377103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IFERROR(VLOOKUP(B20,input_377103!L:R,7,FALSE),VLOOKUP(tables_377103!C20,input_377103!A:H,8,FALSE))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input_377103!A$2</f>
        <v>377103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IFERROR(VLOOKUP(B21,input_377103!L:R,7,FALSE),VLOOKUP(tables_377103!C21,input_377103!A:H,8,FALSE))</f>
        <v>42380.800000000003</v>
      </c>
      <c r="P21" s="46">
        <f t="shared" ca="1" si="2"/>
        <v>5.8215384615784484E-3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input_377103!A$2</f>
        <v>377103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IFERROR(VLOOKUP(B22,input_377103!L:R,7,FALSE),VLOOKUP(tables_377103!C22,input_377103!A:H,8,FALSE))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input_377103!A$2</f>
        <v>377103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IFERROR(VLOOKUP(B23,input_377103!L:R,7,FALSE),VLOOKUP(tables_377103!C23,input_377103!A:H,8,FALSE))</f>
        <v>42380.800000000003</v>
      </c>
      <c r="P23" s="46">
        <f t="shared" ca="1" si="2"/>
        <v>5.8215384615784484E-3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input_377103!A$2</f>
        <v>377103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IFERROR(VLOOKUP(B24,input_377103!L:R,7,FALSE),VLOOKUP(tables_377103!C24,input_377103!A:H,8,FALSE))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input_377103!A$2</f>
        <v>377103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IFERROR(VLOOKUP(B25,input_377103!L:R,7,FALSE),VLOOKUP(tables_377103!C25,input_377103!A:H,8,FALSE))</f>
        <v>42380.800000000003</v>
      </c>
      <c r="P25" s="46">
        <f t="shared" ca="1" si="2"/>
        <v>5.8215384615784484E-3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input_377103!A$2</f>
        <v>377103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284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IFERROR(VLOOKUP(B26,input_377103!L:R,7,FALSE),VLOOKUP(tables_377103!C26,input_377103!A:H,8,FALSE))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input_377103!A$2</f>
        <v>377103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284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IFERROR(VLOOKUP(B27,input_377103!L:R,7,FALSE),VLOOKUP(tables_377103!C27,input_377103!A:H,8,FALSE))</f>
        <v>206606.4</v>
      </c>
      <c r="P27" s="46">
        <f t="shared" ca="1" si="2"/>
        <v>2.8380000000194933E-2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input_377103!A$2</f>
        <v>377103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IFERROR(VLOOKUP(B28,input_377103!L:R,7,FALSE),VLOOKUP(tables_377103!C28,input_377103!A:H,8,FALSE))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input_377103!A$2</f>
        <v>377103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IFERROR(VLOOKUP(B29,input_377103!L:R,7,FALSE),VLOOKUP(tables_377103!C29,input_377103!A:H,8,FALSE))</f>
        <v>42380.800000000003</v>
      </c>
      <c r="P29" s="46">
        <f t="shared" ca="1" si="2"/>
        <v>5.8215384615784484E-3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input_377103!A$2</f>
        <v>377103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IFERROR(VLOOKUP(B30,input_377103!L:R,7,FALSE),VLOOKUP(tables_377103!C30,input_377103!A:H,8,FALSE))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input_377103!A$2</f>
        <v>377103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IFERROR(VLOOKUP(B31,input_377103!L:R,7,FALSE),VLOOKUP(tables_377103!C31,input_377103!A:H,8,FALSE))</f>
        <v>42380.800000000003</v>
      </c>
      <c r="P31" s="46">
        <f t="shared" ca="1" si="2"/>
        <v>5.8215384615784484E-3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input_377103!A$2</f>
        <v>377103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IFERROR(VLOOKUP(B32,input_377103!L:R,7,FALSE),VLOOKUP(tables_377103!C32,input_377103!A:H,8,FALSE))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input_377103!A$2</f>
        <v>377103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IFERROR(VLOOKUP(B33,input_377103!L:R,7,FALSE),VLOOKUP(tables_377103!C33,input_377103!A:H,8,FALSE))</f>
        <v>42380.800000000003</v>
      </c>
      <c r="P33" s="46">
        <f t="shared" ca="1" si="2"/>
        <v>5.8215384615784484E-3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input_377103!A$2</f>
        <v>377103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284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IFERROR(VLOOKUP(B34,input_377103!L:R,7,FALSE),VLOOKUP(tables_377103!C34,input_377103!A:H,8,FALSE))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input_377103!A$2</f>
        <v>377103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284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IFERROR(VLOOKUP(B35,input_377103!L:R,7,FALSE),VLOOKUP(tables_377103!C35,input_377103!A:H,8,FALSE))</f>
        <v>206606.4</v>
      </c>
      <c r="P35" s="46">
        <f t="shared" ca="1" si="2"/>
        <v>2.8380000000194933E-2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input_377103!A$2</f>
        <v>377103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IFERROR(VLOOKUP(B36,input_377103!L:R,7,FALSE),VLOOKUP(tables_377103!C36,input_377103!A:H,8,FALSE))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input_377103!A$2</f>
        <v>377103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IFERROR(VLOOKUP(B37,input_377103!L:R,7,FALSE),VLOOKUP(tables_377103!C37,input_377103!A:H,8,FALSE))</f>
        <v>42380.800000000003</v>
      </c>
      <c r="P37" s="46">
        <f t="shared" ca="1" si="2"/>
        <v>5.8215384615784484E-3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input_377103!A$2</f>
        <v>377103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IFERROR(VLOOKUP(B38,input_377103!L:R,7,FALSE),VLOOKUP(tables_377103!C38,input_377103!A:H,8,FALSE))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input_377103!A$2</f>
        <v>377103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IFERROR(VLOOKUP(B39,input_377103!L:R,7,FALSE),VLOOKUP(tables_377103!C39,input_377103!A:H,8,FALSE))</f>
        <v>42380.800000000003</v>
      </c>
      <c r="P39" s="46">
        <f t="shared" ca="1" si="2"/>
        <v>5.8215384615784484E-3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input_377103!A$2</f>
        <v>377103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IFERROR(VLOOKUP(B40,input_377103!L:R,7,FALSE),VLOOKUP(tables_377103!C40,input_377103!A:H,8,FALSE))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input_377103!A$2</f>
        <v>377103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IFERROR(VLOOKUP(B41,input_377103!L:R,7,FALSE),VLOOKUP(tables_377103!C41,input_377103!A:H,8,FALSE))</f>
        <v>42380.800000000003</v>
      </c>
      <c r="P41" s="46">
        <f t="shared" ca="1" si="2"/>
        <v>5.8215384615784484E-3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input_377103!A$2</f>
        <v>377103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284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IFERROR(VLOOKUP(B42,input_377103!L:R,7,FALSE),VLOOKUP(tables_377103!C42,input_377103!A:H,8,FALSE))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input_377103!A$2</f>
        <v>377103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284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IFERROR(VLOOKUP(B43,input_377103!L:R,7,FALSE),VLOOKUP(tables_377103!C43,input_377103!A:H,8,FALSE))</f>
        <v>196276.08</v>
      </c>
      <c r="P43" s="46">
        <f t="shared" ca="1" si="2"/>
        <v>2.6961000000185188E-2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input_377103!A$2</f>
        <v>377103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284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IFERROR(VLOOKUP(B44,input_377103!L:R,7,FALSE),VLOOKUP(tables_377103!C44,input_377103!A:H,8,FALSE))</f>
        <v>10330.32</v>
      </c>
      <c r="P44" s="46">
        <f t="shared" ca="1" si="2"/>
        <v>1.4190000000097467E-3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input_377103!A$2</f>
        <v>377103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IFERROR(VLOOKUP(B45,input_377103!L:R,7,FALSE),VLOOKUP(tables_377103!C45,input_377103!A:H,8,FALSE))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input_377103!A$2</f>
        <v>377103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IFERROR(VLOOKUP(B46,input_377103!L:R,7,FALSE),VLOOKUP(tables_377103!C46,input_377103!A:H,8,FALSE))</f>
        <v>40261.760000000002</v>
      </c>
      <c r="P46" s="46">
        <f t="shared" ca="1" si="2"/>
        <v>5.5304615384995258E-3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input_377103!A$2</f>
        <v>377103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IFERROR(VLOOKUP(B47,input_377103!L:R,7,FALSE),VLOOKUP(tables_377103!C47,input_377103!A:H,8,FALSE))</f>
        <v>2119.04</v>
      </c>
      <c r="P47" s="46">
        <f t="shared" ca="1" si="2"/>
        <v>2.9107692307892241E-4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input_377103!A$2</f>
        <v>377103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IFERROR(VLOOKUP(B48,input_377103!L:R,7,FALSE),VLOOKUP(tables_377103!C48,input_377103!A:H,8,FALSE))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input_377103!A$2</f>
        <v>377103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IFERROR(VLOOKUP(B49,input_377103!L:R,7,FALSE),VLOOKUP(tables_377103!C49,input_377103!A:H,8,FALSE))</f>
        <v>40261.760000000002</v>
      </c>
      <c r="P49" s="46">
        <f t="shared" ca="1" si="2"/>
        <v>5.5304615384995258E-3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input_377103!A$2</f>
        <v>377103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IFERROR(VLOOKUP(B50,input_377103!L:R,7,FALSE),VLOOKUP(tables_377103!C50,input_377103!A:H,8,FALSE))</f>
        <v>2119.04</v>
      </c>
      <c r="P50" s="46">
        <f t="shared" ca="1" si="2"/>
        <v>2.9107692307892241E-4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input_377103!A$2</f>
        <v>377103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IFERROR(VLOOKUP(B51,input_377103!L:R,7,FALSE),VLOOKUP(tables_377103!C51,input_377103!A:H,8,FALSE))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input_377103!A$2</f>
        <v>377103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IFERROR(VLOOKUP(B52,input_377103!L:R,7,FALSE),VLOOKUP(tables_377103!C52,input_377103!A:H,8,FALSE))</f>
        <v>40261.760000000002</v>
      </c>
      <c r="P52" s="46">
        <f t="shared" ca="1" si="2"/>
        <v>5.5304615384995258E-3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input_377103!A$2</f>
        <v>377103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IFERROR(VLOOKUP(B53,input_377103!L:R,7,FALSE),VLOOKUP(tables_377103!C53,input_377103!A:H,8,FALSE))</f>
        <v>2119.04</v>
      </c>
      <c r="P53" s="46">
        <f t="shared" ca="1" si="2"/>
        <v>2.9107692307892241E-4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input_377103!A$2</f>
        <v>377103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284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IFERROR(VLOOKUP(B54,input_377103!L:R,7,FALSE),VLOOKUP(tables_377103!C54,input_377103!A:H,8,FALSE))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input_377103!A$2</f>
        <v>377103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284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IFERROR(VLOOKUP(B55,input_377103!L:R,7,FALSE),VLOOKUP(tables_377103!C55,input_377103!A:H,8,FALSE))</f>
        <v>196276.08</v>
      </c>
      <c r="P55" s="46">
        <f t="shared" ca="1" si="2"/>
        <v>2.6961000000185188E-2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input_377103!A$2</f>
        <v>377103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284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IFERROR(VLOOKUP(B56,input_377103!L:R,7,FALSE),VLOOKUP(tables_377103!C56,input_377103!A:H,8,FALSE))</f>
        <v>10330.32</v>
      </c>
      <c r="P56" s="46">
        <f t="shared" ca="1" si="2"/>
        <v>1.4190000000097467E-3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input_377103!A$2</f>
        <v>377103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IFERROR(VLOOKUP(B57,input_377103!L:R,7,FALSE),VLOOKUP(tables_377103!C57,input_377103!A:H,8,FALSE))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input_377103!A$2</f>
        <v>377103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IFERROR(VLOOKUP(B58,input_377103!L:R,7,FALSE),VLOOKUP(tables_377103!C58,input_377103!A:H,8,FALSE))</f>
        <v>40261.760000000002</v>
      </c>
      <c r="P58" s="46">
        <f t="shared" ca="1" si="2"/>
        <v>5.5304615384995258E-3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input_377103!A$2</f>
        <v>377103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IFERROR(VLOOKUP(B59,input_377103!L:R,7,FALSE),VLOOKUP(tables_377103!C59,input_377103!A:H,8,FALSE))</f>
        <v>2119.04</v>
      </c>
      <c r="P59" s="46">
        <f t="shared" ca="1" si="2"/>
        <v>2.9107692307892241E-4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input_377103!A$2</f>
        <v>377103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IFERROR(VLOOKUP(B60,input_377103!L:R,7,FALSE),VLOOKUP(tables_377103!C60,input_377103!A:H,8,FALSE))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input_377103!A$2</f>
        <v>377103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IFERROR(VLOOKUP(B61,input_377103!L:R,7,FALSE),VLOOKUP(tables_377103!C61,input_377103!A:H,8,FALSE))</f>
        <v>40261.760000000002</v>
      </c>
      <c r="P61" s="46">
        <f t="shared" ca="1" si="2"/>
        <v>5.5304615384995258E-3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input_377103!A$2</f>
        <v>377103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IFERROR(VLOOKUP(B62,input_377103!L:R,7,FALSE),VLOOKUP(tables_377103!C62,input_377103!A:H,8,FALSE))</f>
        <v>2119.04</v>
      </c>
      <c r="P62" s="46">
        <f t="shared" ca="1" si="2"/>
        <v>2.9107692307892241E-4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input_377103!A$2</f>
        <v>377103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IFERROR(VLOOKUP(B63,input_377103!L:R,7,FALSE),VLOOKUP(tables_377103!C63,input_377103!A:H,8,FALSE))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input_377103!A$2</f>
        <v>377103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IFERROR(VLOOKUP(B64,input_377103!L:R,7,FALSE),VLOOKUP(tables_377103!C64,input_377103!A:H,8,FALSE))</f>
        <v>40261.760000000002</v>
      </c>
      <c r="P64" s="46">
        <f t="shared" ca="1" si="2"/>
        <v>5.5304615384995258E-3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input_377103!A$2</f>
        <v>377103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IFERROR(VLOOKUP(B65,input_377103!L:R,7,FALSE),VLOOKUP(tables_377103!C65,input_377103!A:H,8,FALSE))</f>
        <v>2119.04</v>
      </c>
      <c r="P65" s="46">
        <f t="shared" ca="1" si="2"/>
        <v>2.9107692307892241E-4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input_377103!A$2</f>
        <v>377103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284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IFERROR(VLOOKUP(B66,input_377103!L:R,7,FALSE),VLOOKUP(tables_377103!C66,input_377103!A:H,8,FALSE))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input_377103!A$2</f>
        <v>377103</v>
      </c>
      <c r="B67" s="6">
        <v>191</v>
      </c>
      <c r="C67" s="7" t="str">
        <f t="shared" si="3"/>
        <v>Premium4color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284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IFERROR(VLOOKUP(B67,input_377103!L:R,7,FALSE),VLOOKUP(tables_377103!C67,input_377103!A:H,8,FALSE))</f>
        <v>196276.08</v>
      </c>
      <c r="P67" s="46">
        <f t="shared" ca="1" si="5"/>
        <v>2.6961000000185188E-2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input_377103!A$2</f>
        <v>377103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284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IFERROR(VLOOKUP(B68,input_377103!L:R,7,FALSE),VLOOKUP(tables_377103!C68,input_377103!A:H,8,FALSE))</f>
        <v>10330.32</v>
      </c>
      <c r="P68" s="46">
        <f t="shared" ca="1" si="5"/>
        <v>1.4190000000097467E-3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input_377103!A$2</f>
        <v>377103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IFERROR(VLOOKUP(B69,input_377103!L:R,7,FALSE),VLOOKUP(tables_377103!C69,input_377103!A:H,8,FALSE))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input_377103!A$2</f>
        <v>377103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IFERROR(VLOOKUP(B70,input_377103!L:R,7,FALSE),VLOOKUP(tables_377103!C70,input_377103!A:H,8,FALSE))</f>
        <v>40261.760000000002</v>
      </c>
      <c r="P70" s="46">
        <f t="shared" ca="1" si="5"/>
        <v>5.5304615384995258E-3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input_377103!A$2</f>
        <v>377103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IFERROR(VLOOKUP(B71,input_377103!L:R,7,FALSE),VLOOKUP(tables_377103!C71,input_377103!A:H,8,FALSE))</f>
        <v>2119.04</v>
      </c>
      <c r="P71" s="46">
        <f t="shared" ca="1" si="5"/>
        <v>2.9107692307892241E-4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input_377103!A$2</f>
        <v>377103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IFERROR(VLOOKUP(B72,input_377103!L:R,7,FALSE),VLOOKUP(tables_377103!C72,input_377103!A:H,8,FALSE))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input_377103!A$2</f>
        <v>377103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IFERROR(VLOOKUP(B73,input_377103!L:R,7,FALSE),VLOOKUP(tables_377103!C73,input_377103!A:H,8,FALSE))</f>
        <v>40261.760000000002</v>
      </c>
      <c r="P73" s="46">
        <f t="shared" ca="1" si="5"/>
        <v>5.5304615384995258E-3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input_377103!A$2</f>
        <v>377103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IFERROR(VLOOKUP(B74,input_377103!L:R,7,FALSE),VLOOKUP(tables_377103!C74,input_377103!A:H,8,FALSE))</f>
        <v>2119.04</v>
      </c>
      <c r="P74" s="46">
        <f t="shared" ca="1" si="5"/>
        <v>2.9107692307892241E-4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input_377103!A$2</f>
        <v>377103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IFERROR(VLOOKUP(B75,input_377103!L:R,7,FALSE),VLOOKUP(tables_377103!C75,input_377103!A:H,8,FALSE))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input_377103!A$2</f>
        <v>377103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IFERROR(VLOOKUP(B76,input_377103!L:R,7,FALSE),VLOOKUP(tables_377103!C76,input_377103!A:H,8,FALSE))</f>
        <v>40261.760000000002</v>
      </c>
      <c r="P76" s="46">
        <f t="shared" ca="1" si="5"/>
        <v>5.5304615384995258E-3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input_377103!A$2</f>
        <v>377103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IFERROR(VLOOKUP(B77,input_377103!L:R,7,FALSE),VLOOKUP(tables_377103!C77,input_377103!A:H,8,FALSE))</f>
        <v>2119.04</v>
      </c>
      <c r="P77" s="46">
        <f t="shared" ca="1" si="5"/>
        <v>2.9107692307892241E-4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input_377103!A$2</f>
        <v>377103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284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IFERROR(VLOOKUP(B78,input_377103!L:R,7,FALSE),VLOOKUP(tables_377103!C78,input_377103!A:H,8,FALSE))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input_377103!A$2</f>
        <v>377103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284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IFERROR(VLOOKUP(B79,input_377103!L:R,7,FALSE),VLOOKUP(tables_377103!C79,input_377103!A:H,8,FALSE))</f>
        <v>196276.08</v>
      </c>
      <c r="P79" s="46">
        <f t="shared" ca="1" si="5"/>
        <v>2.6961000000185188E-2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input_377103!A$2</f>
        <v>377103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284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IFERROR(VLOOKUP(B80,input_377103!L:R,7,FALSE),VLOOKUP(tables_377103!C80,input_377103!A:H,8,FALSE))</f>
        <v>10330.32</v>
      </c>
      <c r="P80" s="46">
        <f t="shared" ca="1" si="5"/>
        <v>1.4190000000097467E-3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input_377103!A$2</f>
        <v>377103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IFERROR(VLOOKUP(B81,input_377103!L:R,7,FALSE),VLOOKUP(tables_377103!C81,input_377103!A:H,8,FALSE))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input_377103!A$2</f>
        <v>377103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IFERROR(VLOOKUP(B82,input_377103!L:R,7,FALSE),VLOOKUP(tables_377103!C82,input_377103!A:H,8,FALSE))</f>
        <v>40261.760000000002</v>
      </c>
      <c r="P82" s="46">
        <f t="shared" ca="1" si="5"/>
        <v>5.5304615384995258E-3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input_377103!A$2</f>
        <v>377103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IFERROR(VLOOKUP(B83,input_377103!L:R,7,FALSE),VLOOKUP(tables_377103!C83,input_377103!A:H,8,FALSE))</f>
        <v>2119.04</v>
      </c>
      <c r="P83" s="46">
        <f t="shared" ca="1" si="5"/>
        <v>2.9107692307892241E-4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input_377103!A$2</f>
        <v>377103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IFERROR(VLOOKUP(B84,input_377103!L:R,7,FALSE),VLOOKUP(tables_377103!C84,input_377103!A:H,8,FALSE))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input_377103!A$2</f>
        <v>377103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IFERROR(VLOOKUP(B85,input_377103!L:R,7,FALSE),VLOOKUP(tables_377103!C85,input_377103!A:H,8,FALSE))</f>
        <v>40261.760000000002</v>
      </c>
      <c r="P85" s="46">
        <f t="shared" ca="1" si="5"/>
        <v>5.5304615384995258E-3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input_377103!A$2</f>
        <v>377103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IFERROR(VLOOKUP(B86,input_377103!L:R,7,FALSE),VLOOKUP(tables_377103!C86,input_377103!A:H,8,FALSE))</f>
        <v>2119.04</v>
      </c>
      <c r="P86" s="46">
        <f t="shared" ca="1" si="5"/>
        <v>2.9107692307892241E-4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input_377103!A$2</f>
        <v>377103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IFERROR(VLOOKUP(B87,input_377103!L:R,7,FALSE),VLOOKUP(tables_377103!C87,input_377103!A:H,8,FALSE))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input_377103!A$2</f>
        <v>377103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IFERROR(VLOOKUP(B88,input_377103!L:R,7,FALSE),VLOOKUP(tables_377103!C88,input_377103!A:H,8,FALSE))</f>
        <v>40261.760000000002</v>
      </c>
      <c r="P88" s="46">
        <f t="shared" ca="1" si="5"/>
        <v>5.5304615384995258E-3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input_377103!A$2</f>
        <v>377103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IFERROR(VLOOKUP(B89,input_377103!L:R,7,FALSE),VLOOKUP(tables_377103!C89,input_377103!A:H,8,FALSE))</f>
        <v>2119.04</v>
      </c>
      <c r="P89" s="46">
        <f t="shared" ca="1" si="5"/>
        <v>2.9107692307892241E-4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input_377103!A$2</f>
        <v>377103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284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IFERROR(VLOOKUP(B90,input_377103!L:R,7,FALSE),VLOOKUP(tables_377103!C90,input_377103!A:H,8,FALSE))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input_377103!A$2</f>
        <v>377103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284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IFERROR(VLOOKUP(B91,input_377103!L:R,7,FALSE),VLOOKUP(tables_377103!C91,input_377103!A:H,8,FALSE))</f>
        <v>196276.08</v>
      </c>
      <c r="P91" s="46">
        <f t="shared" ca="1" si="5"/>
        <v>2.6961000000185188E-2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input_377103!A$2</f>
        <v>377103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284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IFERROR(VLOOKUP(B92,input_377103!L:R,7,FALSE),VLOOKUP(tables_377103!C92,input_377103!A:H,8,FALSE))</f>
        <v>10330.32</v>
      </c>
      <c r="P92" s="46">
        <f t="shared" ca="1" si="5"/>
        <v>1.4190000000097467E-3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input_377103!A$2</f>
        <v>377103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IFERROR(VLOOKUP(B93,input_377103!L:R,7,FALSE),VLOOKUP(tables_377103!C93,input_377103!A:H,8,FALSE))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input_377103!A$2</f>
        <v>377103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IFERROR(VLOOKUP(B94,input_377103!L:R,7,FALSE),VLOOKUP(tables_377103!C94,input_377103!A:H,8,FALSE))</f>
        <v>40261.760000000002</v>
      </c>
      <c r="P94" s="46">
        <f t="shared" ca="1" si="5"/>
        <v>5.5304615384995258E-3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input_377103!A$2</f>
        <v>377103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IFERROR(VLOOKUP(B95,input_377103!L:R,7,FALSE),VLOOKUP(tables_377103!C95,input_377103!A:H,8,FALSE))</f>
        <v>2119.04</v>
      </c>
      <c r="P95" s="46">
        <f t="shared" ca="1" si="5"/>
        <v>2.9107692307892241E-4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input_377103!A$2</f>
        <v>377103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IFERROR(VLOOKUP(B96,input_377103!L:R,7,FALSE),VLOOKUP(tables_377103!C96,input_377103!A:H,8,FALSE))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input_377103!A$2</f>
        <v>377103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IFERROR(VLOOKUP(B97,input_377103!L:R,7,FALSE),VLOOKUP(tables_377103!C97,input_377103!A:H,8,FALSE))</f>
        <v>40261.760000000002</v>
      </c>
      <c r="P97" s="46">
        <f t="shared" ca="1" si="5"/>
        <v>5.5304615384995258E-3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input_377103!A$2</f>
        <v>377103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IFERROR(VLOOKUP(B98,input_377103!L:R,7,FALSE),VLOOKUP(tables_377103!C98,input_377103!A:H,8,FALSE))</f>
        <v>2119.04</v>
      </c>
      <c r="P98" s="46">
        <f t="shared" ca="1" si="5"/>
        <v>2.9107692307892241E-4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input_377103!A$2</f>
        <v>377103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IFERROR(VLOOKUP(B99,input_377103!L:R,7,FALSE),VLOOKUP(tables_377103!C99,input_377103!A:H,8,FALSE))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input_377103!A$2</f>
        <v>377103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IFERROR(VLOOKUP(B100,input_377103!L:R,7,FALSE),VLOOKUP(tables_377103!C100,input_377103!A:H,8,FALSE))</f>
        <v>40261.760000000002</v>
      </c>
      <c r="P100" s="46">
        <f t="shared" ca="1" si="5"/>
        <v>5.5304615384995258E-3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input_377103!A$2</f>
        <v>377103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IFERROR(VLOOKUP(B101,input_377103!L:R,7,FALSE),VLOOKUP(tables_377103!C101,input_377103!A:H,8,FALSE))</f>
        <v>2119.04</v>
      </c>
      <c r="P101" s="46">
        <f t="shared" ca="1" si="5"/>
        <v>2.9107692307892241E-4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input_377103!A$2</f>
        <v>377103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284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IFERROR(VLOOKUP(B102,input_377103!L:R,7,FALSE),VLOOKUP(tables_377103!C102,input_377103!A:H,8,FALSE))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input_377103!A$2</f>
        <v>377103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284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IFERROR(VLOOKUP(B103,input_377103!L:R,7,FALSE),VLOOKUP(tables_377103!C103,input_377103!A:H,8,FALSE))</f>
        <v>196276.08</v>
      </c>
      <c r="P103" s="46">
        <f t="shared" ca="1" si="5"/>
        <v>2.6961000000185188E-2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input_377103!A$2</f>
        <v>377103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284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IFERROR(VLOOKUP(B104,input_377103!L:R,7,FALSE),VLOOKUP(tables_377103!C104,input_377103!A:H,8,FALSE))</f>
        <v>10330.32</v>
      </c>
      <c r="P104" s="46">
        <f t="shared" ca="1" si="5"/>
        <v>1.4190000000097467E-3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input_377103!A$2</f>
        <v>377103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IFERROR(VLOOKUP(B105,input_377103!L:R,7,FALSE),VLOOKUP(tables_377103!C105,input_377103!A:H,8,FALSE))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input_377103!A$2</f>
        <v>377103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IFERROR(VLOOKUP(B106,input_377103!L:R,7,FALSE),VLOOKUP(tables_377103!C106,input_377103!A:H,8,FALSE))</f>
        <v>40261.760000000002</v>
      </c>
      <c r="P106" s="46">
        <f t="shared" ca="1" si="5"/>
        <v>5.5304615384995258E-3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input_377103!A$2</f>
        <v>377103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IFERROR(VLOOKUP(B107,input_377103!L:R,7,FALSE),VLOOKUP(tables_377103!C107,input_377103!A:H,8,FALSE))</f>
        <v>2119.04</v>
      </c>
      <c r="P107" s="46">
        <f t="shared" ca="1" si="5"/>
        <v>2.9107692307892241E-4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input_377103!A$2</f>
        <v>377103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IFERROR(VLOOKUP(B108,input_377103!L:R,7,FALSE),VLOOKUP(tables_377103!C108,input_377103!A:H,8,FALSE))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input_377103!A$2</f>
        <v>377103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IFERROR(VLOOKUP(B109,input_377103!L:R,7,FALSE),VLOOKUP(tables_377103!C109,input_377103!A:H,8,FALSE))</f>
        <v>40261.760000000002</v>
      </c>
      <c r="P109" s="46">
        <f t="shared" ca="1" si="5"/>
        <v>5.5304615384995258E-3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input_377103!A$2</f>
        <v>377103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IFERROR(VLOOKUP(B110,input_377103!L:R,7,FALSE),VLOOKUP(tables_377103!C110,input_377103!A:H,8,FALSE))</f>
        <v>2119.04</v>
      </c>
      <c r="P110" s="46">
        <f t="shared" ca="1" si="5"/>
        <v>2.9107692307892241E-4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input_377103!A$2</f>
        <v>377103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IFERROR(VLOOKUP(B111,input_377103!L:R,7,FALSE),VLOOKUP(tables_377103!C111,input_377103!A:H,8,FALSE))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input_377103!A$2</f>
        <v>377103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IFERROR(VLOOKUP(B112,input_377103!L:R,7,FALSE),VLOOKUP(tables_377103!C112,input_377103!A:H,8,FALSE))</f>
        <v>40261.760000000002</v>
      </c>
      <c r="P112" s="46">
        <f t="shared" ca="1" si="5"/>
        <v>5.5304615384995258E-3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input_377103!A$2</f>
        <v>377103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IFERROR(VLOOKUP(B113,input_377103!L:R,7,FALSE),VLOOKUP(tables_377103!C113,input_377103!A:H,8,FALSE))</f>
        <v>2119.04</v>
      </c>
      <c r="P113" s="46">
        <f t="shared" ca="1" si="5"/>
        <v>2.9107692307892241E-4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input_377103!A$2</f>
        <v>377103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284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IFERROR(VLOOKUP(B114,input_377103!L:R,7,FALSE),VLOOKUP(tables_377103!C114,input_377103!A:H,8,FALSE))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input_377103!A$2</f>
        <v>377103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284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IFERROR(VLOOKUP(B115,input_377103!L:R,7,FALSE),VLOOKUP(tables_377103!C115,input_377103!A:H,8,FALSE))</f>
        <v>196276.08</v>
      </c>
      <c r="P115" s="46">
        <f t="shared" ca="1" si="5"/>
        <v>2.6961000000185188E-2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input_377103!A$2</f>
        <v>377103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284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IFERROR(VLOOKUP(B116,input_377103!L:R,7,FALSE),VLOOKUP(tables_377103!C116,input_377103!A:H,8,FALSE))</f>
        <v>10330.32</v>
      </c>
      <c r="P116" s="46">
        <f t="shared" ca="1" si="5"/>
        <v>1.4190000000097467E-3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input_377103!A$2</f>
        <v>377103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IFERROR(VLOOKUP(B117,input_377103!L:R,7,FALSE),VLOOKUP(tables_377103!C117,input_377103!A:H,8,FALSE))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input_377103!A$2</f>
        <v>377103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IFERROR(VLOOKUP(B118,input_377103!L:R,7,FALSE),VLOOKUP(tables_377103!C118,input_377103!A:H,8,FALSE))</f>
        <v>40261.760000000002</v>
      </c>
      <c r="P118" s="46">
        <f t="shared" ca="1" si="5"/>
        <v>5.5304615384995258E-3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input_377103!A$2</f>
        <v>377103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IFERROR(VLOOKUP(B119,input_377103!L:R,7,FALSE),VLOOKUP(tables_377103!C119,input_377103!A:H,8,FALSE))</f>
        <v>2119.04</v>
      </c>
      <c r="P119" s="46">
        <f t="shared" ca="1" si="5"/>
        <v>2.9107692307892241E-4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input_377103!A$2</f>
        <v>377103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IFERROR(VLOOKUP(B120,input_377103!L:R,7,FALSE),VLOOKUP(tables_377103!C120,input_377103!A:H,8,FALSE))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input_377103!A$2</f>
        <v>377103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IFERROR(VLOOKUP(B121,input_377103!L:R,7,FALSE),VLOOKUP(tables_377103!C121,input_377103!A:H,8,FALSE))</f>
        <v>40261.760000000002</v>
      </c>
      <c r="P121" s="46">
        <f t="shared" ca="1" si="5"/>
        <v>5.5304615384995258E-3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input_377103!A$2</f>
        <v>377103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IFERROR(VLOOKUP(B122,input_377103!L:R,7,FALSE),VLOOKUP(tables_377103!C122,input_377103!A:H,8,FALSE))</f>
        <v>2119.04</v>
      </c>
      <c r="P122" s="46">
        <f t="shared" ca="1" si="5"/>
        <v>2.9107692307892241E-4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input_377103!A$2</f>
        <v>377103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IFERROR(VLOOKUP(B123,input_377103!L:R,7,FALSE),VLOOKUP(tables_377103!C123,input_377103!A:H,8,FALSE))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input_377103!A$2</f>
        <v>377103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IFERROR(VLOOKUP(B124,input_377103!L:R,7,FALSE),VLOOKUP(tables_377103!C124,input_377103!A:H,8,FALSE))</f>
        <v>40261.760000000002</v>
      </c>
      <c r="P124" s="46">
        <f t="shared" ca="1" si="5"/>
        <v>5.5304615384995258E-3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input_377103!A$2</f>
        <v>377103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IFERROR(VLOOKUP(B125,input_377103!L:R,7,FALSE),VLOOKUP(tables_377103!C125,input_377103!A:H,8,FALSE))</f>
        <v>2119.04</v>
      </c>
      <c r="P125" s="46">
        <f t="shared" ca="1" si="5"/>
        <v>2.9107692307892241E-4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input_377103!A$2</f>
        <v>377103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284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IFERROR(VLOOKUP(B126,input_377103!L:R,7,FALSE),VLOOKUP(tables_377103!C126,input_377103!A:H,8,FALSE))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input_377103!A$2</f>
        <v>377103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284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IFERROR(VLOOKUP(B127,input_377103!L:R,7,FALSE),VLOOKUP(tables_377103!C127,input_377103!A:H,8,FALSE))</f>
        <v>196276.08</v>
      </c>
      <c r="P127" s="46">
        <f t="shared" ca="1" si="5"/>
        <v>2.6961000000185188E-2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input_377103!A$2</f>
        <v>377103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284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IFERROR(VLOOKUP(B128,input_377103!L:R,7,FALSE),VLOOKUP(tables_377103!C128,input_377103!A:H,8,FALSE))</f>
        <v>10330.32</v>
      </c>
      <c r="P128" s="46">
        <f t="shared" ca="1" si="5"/>
        <v>1.4190000000097467E-3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input_377103!A$2</f>
        <v>377103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IFERROR(VLOOKUP(B129,input_377103!L:R,7,FALSE),VLOOKUP(tables_377103!C129,input_377103!A:H,8,FALSE))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input_377103!A$2</f>
        <v>377103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IFERROR(VLOOKUP(B130,input_377103!L:R,7,FALSE),VLOOKUP(tables_377103!C130,input_377103!A:H,8,FALSE))</f>
        <v>40261.760000000002</v>
      </c>
      <c r="P130" s="46">
        <f t="shared" ref="P130:P193" ca="1" si="8">O130/SUM(O:O)</f>
        <v>5.5304615384995258E-3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input_377103!A$2</f>
        <v>377103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IFERROR(VLOOKUP(B131,input_377103!L:R,7,FALSE),VLOOKUP(tables_377103!C131,input_377103!A:H,8,FALSE))</f>
        <v>2119.04</v>
      </c>
      <c r="P131" s="46">
        <f t="shared" ca="1" si="8"/>
        <v>2.9107692307892241E-4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input_377103!A$2</f>
        <v>377103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IFERROR(VLOOKUP(B132,input_377103!L:R,7,FALSE),VLOOKUP(tables_377103!C132,input_377103!A:H,8,FALSE))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input_377103!A$2</f>
        <v>377103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IFERROR(VLOOKUP(B133,input_377103!L:R,7,FALSE),VLOOKUP(tables_377103!C133,input_377103!A:H,8,FALSE))</f>
        <v>40261.760000000002</v>
      </c>
      <c r="P133" s="46">
        <f t="shared" ca="1" si="8"/>
        <v>5.5304615384995258E-3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input_377103!A$2</f>
        <v>377103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IFERROR(VLOOKUP(B134,input_377103!L:R,7,FALSE),VLOOKUP(tables_377103!C134,input_377103!A:H,8,FALSE))</f>
        <v>2119.04</v>
      </c>
      <c r="P134" s="46">
        <f t="shared" ca="1" si="8"/>
        <v>2.9107692307892241E-4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input_377103!A$2</f>
        <v>377103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IFERROR(VLOOKUP(B135,input_377103!L:R,7,FALSE),VLOOKUP(tables_377103!C135,input_377103!A:H,8,FALSE))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input_377103!A$2</f>
        <v>377103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IFERROR(VLOOKUP(B136,input_377103!L:R,7,FALSE),VLOOKUP(tables_377103!C136,input_377103!A:H,8,FALSE))</f>
        <v>40261.760000000002</v>
      </c>
      <c r="P136" s="46">
        <f t="shared" ca="1" si="8"/>
        <v>5.5304615384995258E-3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input_377103!A$2</f>
        <v>377103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IFERROR(VLOOKUP(B137,input_377103!L:R,7,FALSE),VLOOKUP(tables_377103!C137,input_377103!A:H,8,FALSE))</f>
        <v>2119.04</v>
      </c>
      <c r="P137" s="46">
        <f t="shared" ca="1" si="8"/>
        <v>2.9107692307892241E-4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input_377103!A$2</f>
        <v>377103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284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IFERROR(VLOOKUP(B138,input_377103!L:R,7,FALSE),VLOOKUP(tables_377103!C138,input_377103!A:H,8,FALSE))</f>
        <v>18861.818179999998</v>
      </c>
      <c r="P138" s="46">
        <f t="shared" ca="1" si="8"/>
        <v>2.590909090677137E-3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input_377103!A$2</f>
        <v>377103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284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IFERROR(VLOOKUP(B139,input_377103!L:R,7,FALSE),VLOOKUP(tables_377103!C139,input_377103!A:H,8,FALSE))</f>
        <v>992.72726999999998</v>
      </c>
      <c r="P139" s="46">
        <f t="shared" ca="1" si="8"/>
        <v>1.3636363598994763E-4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input_377103!A$2</f>
        <v>377103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IFERROR(VLOOKUP(B140,input_377103!L:R,7,FALSE),VLOOKUP(tables_377103!C140,input_377103!A:H,8,FALSE))</f>
        <v>4940</v>
      </c>
      <c r="P140" s="46">
        <f t="shared" ca="1" si="8"/>
        <v>6.7857142857608954E-4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input_377103!A$2</f>
        <v>377103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IFERROR(VLOOKUP(B141,input_377103!L:R,7,FALSE),VLOOKUP(tables_377103!C141,input_377103!A:H,8,FALSE))</f>
        <v>260</v>
      </c>
      <c r="P141" s="46">
        <f t="shared" ca="1" si="8"/>
        <v>3.5714285714531024E-5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input_377103!A$2</f>
        <v>377103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IFERROR(VLOOKUP(B142,input_377103!L:R,7,FALSE),VLOOKUP(tables_377103!C142,input_377103!A:H,8,FALSE))</f>
        <v>4940</v>
      </c>
      <c r="P142" s="46">
        <f t="shared" ca="1" si="8"/>
        <v>6.7857142857608954E-4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input_377103!A$2</f>
        <v>377103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IFERROR(VLOOKUP(B143,input_377103!L:R,7,FALSE),VLOOKUP(tables_377103!C143,input_377103!A:H,8,FALSE))</f>
        <v>260</v>
      </c>
      <c r="P143" s="46">
        <f t="shared" ca="1" si="8"/>
        <v>3.5714285714531024E-5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input_377103!A$2</f>
        <v>377103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IFERROR(VLOOKUP(B144,input_377103!L:R,7,FALSE),VLOOKUP(tables_377103!C144,input_377103!A:H,8,FALSE))</f>
        <v>4940</v>
      </c>
      <c r="P144" s="46">
        <f t="shared" ca="1" si="8"/>
        <v>6.7857142857608954E-4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input_377103!A$2</f>
        <v>377103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IFERROR(VLOOKUP(B145,input_377103!L:R,7,FALSE),VLOOKUP(tables_377103!C145,input_377103!A:H,8,FALSE))</f>
        <v>260</v>
      </c>
      <c r="P145" s="46">
        <f t="shared" ca="1" si="8"/>
        <v>3.5714285714531024E-5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input_377103!A$2</f>
        <v>377103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284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IFERROR(VLOOKUP(B146,input_377103!L:R,7,FALSE),VLOOKUP(tables_377103!C146,input_377103!A:H,8,FALSE))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input_377103!A$2</f>
        <v>377103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284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IFERROR(VLOOKUP(B147,input_377103!L:R,7,FALSE),VLOOKUP(tables_377103!C147,input_377103!A:H,8,FALSE))</f>
        <v>196276.08</v>
      </c>
      <c r="P147" s="46">
        <f t="shared" ca="1" si="8"/>
        <v>2.6961000000185188E-2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input_377103!A$2</f>
        <v>377103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284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IFERROR(VLOOKUP(B148,input_377103!L:R,7,FALSE),VLOOKUP(tables_377103!C148,input_377103!A:H,8,FALSE))</f>
        <v>10330.32</v>
      </c>
      <c r="P148" s="46">
        <f t="shared" ca="1" si="8"/>
        <v>1.4190000000097467E-3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input_377103!A$2</f>
        <v>377103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IFERROR(VLOOKUP(B149,input_377103!L:R,7,FALSE),VLOOKUP(tables_377103!C149,input_377103!A:H,8,FALSE))</f>
        <v>4940</v>
      </c>
      <c r="P149" s="46">
        <f t="shared" ca="1" si="8"/>
        <v>6.7857142857608954E-4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input_377103!A$2</f>
        <v>377103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IFERROR(VLOOKUP(B150,input_377103!L:R,7,FALSE),VLOOKUP(tables_377103!C150,input_377103!A:H,8,FALSE))</f>
        <v>260</v>
      </c>
      <c r="P150" s="46">
        <f t="shared" ca="1" si="8"/>
        <v>3.5714285714531024E-5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input_377103!A$2</f>
        <v>377103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IFERROR(VLOOKUP(B151,input_377103!L:R,7,FALSE),VLOOKUP(tables_377103!C151,input_377103!A:H,8,FALSE))</f>
        <v>4940</v>
      </c>
      <c r="P151" s="46">
        <f t="shared" ca="1" si="8"/>
        <v>6.7857142857608954E-4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input_377103!A$2</f>
        <v>377103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IFERROR(VLOOKUP(B152,input_377103!L:R,7,FALSE),VLOOKUP(tables_377103!C152,input_377103!A:H,8,FALSE))</f>
        <v>260</v>
      </c>
      <c r="P152" s="46">
        <f t="shared" ca="1" si="8"/>
        <v>3.5714285714531024E-5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input_377103!A$2</f>
        <v>377103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IFERROR(VLOOKUP(B153,input_377103!L:R,7,FALSE),VLOOKUP(tables_377103!C153,input_377103!A:H,8,FALSE))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input_377103!A$2</f>
        <v>377103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IFERROR(VLOOKUP(B154,input_377103!L:R,7,FALSE),VLOOKUP(tables_377103!C154,input_377103!A:H,8,FALSE))</f>
        <v>40261.760000000002</v>
      </c>
      <c r="P154" s="46">
        <f t="shared" ca="1" si="8"/>
        <v>5.5304615384995258E-3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input_377103!A$2</f>
        <v>377103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IFERROR(VLOOKUP(B155,input_377103!L:R,7,FALSE),VLOOKUP(tables_377103!C155,input_377103!A:H,8,FALSE))</f>
        <v>2119.04</v>
      </c>
      <c r="P155" s="46">
        <f t="shared" ca="1" si="8"/>
        <v>2.9107692307892241E-4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input_377103!A$2</f>
        <v>377103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284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IFERROR(VLOOKUP(B156,input_377103!L:R,7,FALSE),VLOOKUP(tables_377103!C156,input_377103!A:H,8,FALSE))</f>
        <v>18861.818179999998</v>
      </c>
      <c r="P156" s="46">
        <f t="shared" ca="1" si="8"/>
        <v>2.590909090677137E-3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input_377103!A$2</f>
        <v>377103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284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IFERROR(VLOOKUP(B157,input_377103!L:R,7,FALSE),VLOOKUP(tables_377103!C157,input_377103!A:H,8,FALSE))</f>
        <v>992.72726999999998</v>
      </c>
      <c r="P157" s="46">
        <f t="shared" ca="1" si="8"/>
        <v>1.3636363598994763E-4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input_377103!A$2</f>
        <v>377103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IFERROR(VLOOKUP(B158,input_377103!L:R,7,FALSE),VLOOKUP(tables_377103!C158,input_377103!A:H,8,FALSE))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input_377103!A$2</f>
        <v>377103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IFERROR(VLOOKUP(B159,input_377103!L:R,7,FALSE),VLOOKUP(tables_377103!C159,input_377103!A:H,8,FALSE))</f>
        <v>40261.760000000002</v>
      </c>
      <c r="P159" s="46">
        <f t="shared" ca="1" si="8"/>
        <v>5.5304615384995258E-3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input_377103!A$2</f>
        <v>377103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IFERROR(VLOOKUP(B160,input_377103!L:R,7,FALSE),VLOOKUP(tables_377103!C160,input_377103!A:H,8,FALSE))</f>
        <v>2119.04</v>
      </c>
      <c r="P160" s="46">
        <f t="shared" ca="1" si="8"/>
        <v>2.9107692307892241E-4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input_377103!A$2</f>
        <v>377103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IFERROR(VLOOKUP(B161,input_377103!L:R,7,FALSE),VLOOKUP(tables_377103!C161,input_377103!A:H,8,FALSE))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input_377103!A$2</f>
        <v>377103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IFERROR(VLOOKUP(B162,input_377103!L:R,7,FALSE),VLOOKUP(tables_377103!C162,input_377103!A:H,8,FALSE))</f>
        <v>40261.760000000002</v>
      </c>
      <c r="P162" s="46">
        <f t="shared" ca="1" si="8"/>
        <v>5.5304615384995258E-3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input_377103!A$2</f>
        <v>377103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IFERROR(VLOOKUP(B163,input_377103!L:R,7,FALSE),VLOOKUP(tables_377103!C163,input_377103!A:H,8,FALSE))</f>
        <v>2119.04</v>
      </c>
      <c r="P163" s="46">
        <f t="shared" ca="1" si="8"/>
        <v>2.9107692307892241E-4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input_377103!A$2</f>
        <v>377103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IFERROR(VLOOKUP(B164,input_377103!L:R,7,FALSE),VLOOKUP(tables_377103!C164,input_377103!A:H,8,FALSE))</f>
        <v>4940</v>
      </c>
      <c r="P164" s="46">
        <f t="shared" ca="1" si="8"/>
        <v>6.7857142857608954E-4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input_377103!A$2</f>
        <v>377103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IFERROR(VLOOKUP(B165,input_377103!L:R,7,FALSE),VLOOKUP(tables_377103!C165,input_377103!A:H,8,FALSE))</f>
        <v>260</v>
      </c>
      <c r="P165" s="46">
        <f t="shared" ca="1" si="8"/>
        <v>3.5714285714531024E-5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input_377103!A$2</f>
        <v>377103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284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IFERROR(VLOOKUP(B166,input_377103!L:R,7,FALSE),VLOOKUP(tables_377103!C166,input_377103!A:H,8,FALSE))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input_377103!A$2</f>
        <v>377103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284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IFERROR(VLOOKUP(B167,input_377103!L:R,7,FALSE),VLOOKUP(tables_377103!C167,input_377103!A:H,8,FALSE))</f>
        <v>196276.08</v>
      </c>
      <c r="P167" s="46">
        <f t="shared" ca="1" si="8"/>
        <v>2.6961000000185188E-2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input_377103!A$2</f>
        <v>377103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284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IFERROR(VLOOKUP(B168,input_377103!L:R,7,FALSE),VLOOKUP(tables_377103!C168,input_377103!A:H,8,FALSE))</f>
        <v>10330.32</v>
      </c>
      <c r="P168" s="46">
        <f t="shared" ca="1" si="8"/>
        <v>1.4190000000097467E-3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input_377103!A$2</f>
        <v>377103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IFERROR(VLOOKUP(B169,input_377103!L:R,7,FALSE),VLOOKUP(tables_377103!C169,input_377103!A:H,8,FALSE))</f>
        <v>4940</v>
      </c>
      <c r="P169" s="46">
        <f t="shared" ca="1" si="8"/>
        <v>6.7857142857608954E-4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input_377103!A$2</f>
        <v>377103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IFERROR(VLOOKUP(B170,input_377103!L:R,7,FALSE),VLOOKUP(tables_377103!C170,input_377103!A:H,8,FALSE))</f>
        <v>260</v>
      </c>
      <c r="P170" s="46">
        <f t="shared" ca="1" si="8"/>
        <v>3.5714285714531024E-5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input_377103!A$2</f>
        <v>377103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IFERROR(VLOOKUP(B171,input_377103!L:R,7,FALSE),VLOOKUP(tables_377103!C171,input_377103!A:H,8,FALSE))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input_377103!A$2</f>
        <v>377103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IFERROR(VLOOKUP(B172,input_377103!L:R,7,FALSE),VLOOKUP(tables_377103!C172,input_377103!A:H,8,FALSE))</f>
        <v>40261.760000000002</v>
      </c>
      <c r="P172" s="46">
        <f t="shared" ca="1" si="8"/>
        <v>5.5304615384995258E-3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input_377103!A$2</f>
        <v>377103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IFERROR(VLOOKUP(B173,input_377103!L:R,7,FALSE),VLOOKUP(tables_377103!C173,input_377103!A:H,8,FALSE))</f>
        <v>2119.04</v>
      </c>
      <c r="P173" s="46">
        <f t="shared" ca="1" si="8"/>
        <v>2.9107692307892241E-4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input_377103!A$2</f>
        <v>377103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IFERROR(VLOOKUP(B174,input_377103!L:R,7,FALSE),VLOOKUP(tables_377103!C174,input_377103!A:H,8,FALSE))</f>
        <v>4940</v>
      </c>
      <c r="P174" s="46">
        <f t="shared" ca="1" si="8"/>
        <v>6.7857142857608954E-4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input_377103!A$2</f>
        <v>377103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IFERROR(VLOOKUP(B175,input_377103!L:R,7,FALSE),VLOOKUP(tables_377103!C175,input_377103!A:H,8,FALSE))</f>
        <v>260</v>
      </c>
      <c r="P175" s="46">
        <f t="shared" ca="1" si="8"/>
        <v>3.5714285714531024E-5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input_377103!A$2</f>
        <v>377103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284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IFERROR(VLOOKUP(B176,input_377103!L:R,7,FALSE),VLOOKUP(tables_377103!C176,input_377103!A:H,8,FALSE))</f>
        <v>18861.818179999998</v>
      </c>
      <c r="P176" s="46">
        <f t="shared" ca="1" si="8"/>
        <v>2.590909090677137E-3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input_377103!A$2</f>
        <v>377103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284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IFERROR(VLOOKUP(B177,input_377103!L:R,7,FALSE),VLOOKUP(tables_377103!C177,input_377103!A:H,8,FALSE))</f>
        <v>992.72726999999998</v>
      </c>
      <c r="P177" s="46">
        <f t="shared" ca="1" si="8"/>
        <v>1.3636363598994763E-4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input_377103!A$2</f>
        <v>377103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IFERROR(VLOOKUP(B178,input_377103!L:R,7,FALSE),VLOOKUP(tables_377103!C178,input_377103!A:H,8,FALSE))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input_377103!A$2</f>
        <v>377103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IFERROR(VLOOKUP(B179,input_377103!L:R,7,FALSE),VLOOKUP(tables_377103!C179,input_377103!A:H,8,FALSE))</f>
        <v>40261.760000000002</v>
      </c>
      <c r="P179" s="46">
        <f t="shared" ca="1" si="8"/>
        <v>5.5304615384995258E-3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input_377103!A$2</f>
        <v>377103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IFERROR(VLOOKUP(B180,input_377103!L:R,7,FALSE),VLOOKUP(tables_377103!C180,input_377103!A:H,8,FALSE))</f>
        <v>2119.04</v>
      </c>
      <c r="P180" s="46">
        <f t="shared" ca="1" si="8"/>
        <v>2.9107692307892241E-4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input_377103!A$2</f>
        <v>377103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IFERROR(VLOOKUP(B181,input_377103!L:R,7,FALSE),VLOOKUP(tables_377103!C181,input_377103!A:H,8,FALSE))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input_377103!A$2</f>
        <v>377103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IFERROR(VLOOKUP(B182,input_377103!L:R,7,FALSE),VLOOKUP(tables_377103!C182,input_377103!A:H,8,FALSE))</f>
        <v>40261.760000000002</v>
      </c>
      <c r="P182" s="46">
        <f t="shared" ca="1" si="8"/>
        <v>5.5304615384995258E-3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input_377103!A$2</f>
        <v>377103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IFERROR(VLOOKUP(B183,input_377103!L:R,7,FALSE),VLOOKUP(tables_377103!C183,input_377103!A:H,8,FALSE))</f>
        <v>2119.04</v>
      </c>
      <c r="P183" s="46">
        <f t="shared" ca="1" si="8"/>
        <v>2.9107692307892241E-4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input_377103!A$2</f>
        <v>377103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IFERROR(VLOOKUP(B184,input_377103!L:R,7,FALSE),VLOOKUP(tables_377103!C184,input_377103!A:H,8,FALSE))</f>
        <v>4940</v>
      </c>
      <c r="P184" s="46">
        <f t="shared" ca="1" si="8"/>
        <v>6.7857142857608954E-4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input_377103!A$2</f>
        <v>377103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IFERROR(VLOOKUP(B185,input_377103!L:R,7,FALSE),VLOOKUP(tables_377103!C185,input_377103!A:H,8,FALSE))</f>
        <v>260</v>
      </c>
      <c r="P185" s="46">
        <f t="shared" ca="1" si="8"/>
        <v>3.5714285714531024E-5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input_377103!A$2</f>
        <v>377103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284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IFERROR(VLOOKUP(B186,input_377103!L:R,7,FALSE),VLOOKUP(tables_377103!C186,input_377103!A:H,8,FALSE))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input_377103!A$2</f>
        <v>377103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284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IFERROR(VLOOKUP(B187,input_377103!L:R,7,FALSE),VLOOKUP(tables_377103!C187,input_377103!A:H,8,FALSE))</f>
        <v>196276.08</v>
      </c>
      <c r="P187" s="46">
        <f t="shared" ca="1" si="8"/>
        <v>2.6961000000185188E-2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input_377103!A$2</f>
        <v>377103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284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IFERROR(VLOOKUP(B188,input_377103!L:R,7,FALSE),VLOOKUP(tables_377103!C188,input_377103!A:H,8,FALSE))</f>
        <v>10330.32</v>
      </c>
      <c r="P188" s="46">
        <f t="shared" ca="1" si="8"/>
        <v>1.4190000000097467E-3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input_377103!A$2</f>
        <v>377103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IFERROR(VLOOKUP(B189,input_377103!L:R,7,FALSE),VLOOKUP(tables_377103!C189,input_377103!A:H,8,FALSE))</f>
        <v>4940</v>
      </c>
      <c r="P189" s="46">
        <f t="shared" ca="1" si="8"/>
        <v>6.7857142857608954E-4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input_377103!A$2</f>
        <v>377103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IFERROR(VLOOKUP(B190,input_377103!L:R,7,FALSE),VLOOKUP(tables_377103!C190,input_377103!A:H,8,FALSE))</f>
        <v>260</v>
      </c>
      <c r="P190" s="46">
        <f t="shared" ca="1" si="8"/>
        <v>3.5714285714531024E-5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input_377103!A$2</f>
        <v>377103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IFERROR(VLOOKUP(B191,input_377103!L:R,7,FALSE),VLOOKUP(tables_377103!C191,input_377103!A:H,8,FALSE))</f>
        <v>4940</v>
      </c>
      <c r="P191" s="46">
        <f t="shared" ca="1" si="8"/>
        <v>6.7857142857608954E-4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input_377103!A$2</f>
        <v>377103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IFERROR(VLOOKUP(B192,input_377103!L:R,7,FALSE),VLOOKUP(tables_377103!C192,input_377103!A:H,8,FALSE))</f>
        <v>260</v>
      </c>
      <c r="P192" s="46">
        <f t="shared" ca="1" si="8"/>
        <v>3.5714285714531024E-5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input_377103!A$2</f>
        <v>377103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IFERROR(VLOOKUP(B193,input_377103!L:R,7,FALSE),VLOOKUP(tables_377103!C193,input_377103!A:H,8,FALSE))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input_377103!A$2</f>
        <v>377103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IFERROR(VLOOKUP(B194,input_377103!L:R,7,FALSE),VLOOKUP(tables_377103!C194,input_377103!A:H,8,FALSE))</f>
        <v>40261.760000000002</v>
      </c>
      <c r="P194" s="46">
        <f t="shared" ref="P194:P257" ca="1" si="11">O194/SUM(O:O)</f>
        <v>5.5304615384995258E-3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input_377103!A$2</f>
        <v>377103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IFERROR(VLOOKUP(B195,input_377103!L:R,7,FALSE),VLOOKUP(tables_377103!C195,input_377103!A:H,8,FALSE))</f>
        <v>2119.04</v>
      </c>
      <c r="P195" s="46">
        <f t="shared" ca="1" si="11"/>
        <v>2.9107692307892241E-4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input_377103!A$2</f>
        <v>377103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284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IFERROR(VLOOKUP(B196,input_377103!L:R,7,FALSE),VLOOKUP(tables_377103!C196,input_377103!A:H,8,FALSE))</f>
        <v>18861.818179999998</v>
      </c>
      <c r="P196" s="46">
        <f t="shared" ca="1" si="11"/>
        <v>2.590909090677137E-3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input_377103!A$2</f>
        <v>377103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284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IFERROR(VLOOKUP(B197,input_377103!L:R,7,FALSE),VLOOKUP(tables_377103!C197,input_377103!A:H,8,FALSE))</f>
        <v>992.72726999999998</v>
      </c>
      <c r="P197" s="46">
        <f t="shared" ca="1" si="11"/>
        <v>1.3636363598994763E-4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input_377103!A$2</f>
        <v>377103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IFERROR(VLOOKUP(B198,input_377103!L:R,7,FALSE),VLOOKUP(tables_377103!C198,input_377103!A:H,8,FALSE))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input_377103!A$2</f>
        <v>377103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IFERROR(VLOOKUP(B199,input_377103!L:R,7,FALSE),VLOOKUP(tables_377103!C199,input_377103!A:H,8,FALSE))</f>
        <v>40261.760000000002</v>
      </c>
      <c r="P199" s="46">
        <f t="shared" ca="1" si="11"/>
        <v>5.5304615384995258E-3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input_377103!A$2</f>
        <v>377103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IFERROR(VLOOKUP(B200,input_377103!L:R,7,FALSE),VLOOKUP(tables_377103!C200,input_377103!A:H,8,FALSE))</f>
        <v>2119.04</v>
      </c>
      <c r="P200" s="46">
        <f t="shared" ca="1" si="11"/>
        <v>2.9107692307892241E-4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input_377103!A$2</f>
        <v>377103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IFERROR(VLOOKUP(B201,input_377103!L:R,7,FALSE),VLOOKUP(tables_377103!C201,input_377103!A:H,8,FALSE))</f>
        <v>4940</v>
      </c>
      <c r="P201" s="46">
        <f t="shared" ca="1" si="11"/>
        <v>6.7857142857608954E-4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input_377103!A$2</f>
        <v>377103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IFERROR(VLOOKUP(B202,input_377103!L:R,7,FALSE),VLOOKUP(tables_377103!C202,input_377103!A:H,8,FALSE))</f>
        <v>260</v>
      </c>
      <c r="P202" s="46">
        <f t="shared" ca="1" si="11"/>
        <v>3.5714285714531024E-5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input_377103!A$2</f>
        <v>377103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IFERROR(VLOOKUP(B203,input_377103!L:R,7,FALSE),VLOOKUP(tables_377103!C203,input_377103!A:H,8,FALSE))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input_377103!A$2</f>
        <v>377103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IFERROR(VLOOKUP(B204,input_377103!L:R,7,FALSE),VLOOKUP(tables_377103!C204,input_377103!A:H,8,FALSE))</f>
        <v>40261.760000000002</v>
      </c>
      <c r="P204" s="46">
        <f t="shared" ca="1" si="11"/>
        <v>5.5304615384995258E-3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input_377103!A$2</f>
        <v>377103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IFERROR(VLOOKUP(B205,input_377103!L:R,7,FALSE),VLOOKUP(tables_377103!C205,input_377103!A:H,8,FALSE))</f>
        <v>2119.04</v>
      </c>
      <c r="P205" s="46">
        <f t="shared" ca="1" si="11"/>
        <v>2.9107692307892241E-4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input_377103!A$2</f>
        <v>377103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284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IFERROR(VLOOKUP(B206,input_377103!L:R,7,FALSE),VLOOKUP(tables_377103!C206,input_377103!A:H,8,FALSE))</f>
        <v>18861.818179999998</v>
      </c>
      <c r="P206" s="46">
        <f t="shared" ca="1" si="11"/>
        <v>2.590909090677137E-3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input_377103!A$2</f>
        <v>377103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284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IFERROR(VLOOKUP(B207,input_377103!L:R,7,FALSE),VLOOKUP(tables_377103!C207,input_377103!A:H,8,FALSE))</f>
        <v>992.72726999999998</v>
      </c>
      <c r="P207" s="46">
        <f t="shared" ca="1" si="11"/>
        <v>1.3636363598994763E-4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input_377103!A$2</f>
        <v>377103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IFERROR(VLOOKUP(B208,input_377103!L:R,7,FALSE),VLOOKUP(tables_377103!C208,input_377103!A:H,8,FALSE))</f>
        <v>4940</v>
      </c>
      <c r="P208" s="46">
        <f t="shared" ca="1" si="11"/>
        <v>6.7857142857608954E-4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input_377103!A$2</f>
        <v>377103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IFERROR(VLOOKUP(B209,input_377103!L:R,7,FALSE),VLOOKUP(tables_377103!C209,input_377103!A:H,8,FALSE))</f>
        <v>260</v>
      </c>
      <c r="P209" s="46">
        <f t="shared" ca="1" si="11"/>
        <v>3.5714285714531024E-5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input_377103!A$2</f>
        <v>377103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IFERROR(VLOOKUP(B210,input_377103!L:R,7,FALSE),VLOOKUP(tables_377103!C210,input_377103!A:H,8,FALSE))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input_377103!A$2</f>
        <v>377103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IFERROR(VLOOKUP(B211,input_377103!L:R,7,FALSE),VLOOKUP(tables_377103!C211,input_377103!A:H,8,FALSE))</f>
        <v>40261.760000000002</v>
      </c>
      <c r="P211" s="46">
        <f t="shared" ca="1" si="11"/>
        <v>5.5304615384995258E-3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input_377103!A$2</f>
        <v>377103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IFERROR(VLOOKUP(B212,input_377103!L:R,7,FALSE),VLOOKUP(tables_377103!C212,input_377103!A:H,8,FALSE))</f>
        <v>2119.04</v>
      </c>
      <c r="P212" s="46">
        <f t="shared" ca="1" si="11"/>
        <v>2.9107692307892241E-4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input_377103!A$2</f>
        <v>377103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IFERROR(VLOOKUP(B213,input_377103!L:R,7,FALSE),VLOOKUP(tables_377103!C213,input_377103!A:H,8,FALSE))</f>
        <v>4940</v>
      </c>
      <c r="P213" s="46">
        <f t="shared" ca="1" si="11"/>
        <v>6.7857142857608954E-4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input_377103!A$2</f>
        <v>377103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IFERROR(VLOOKUP(B214,input_377103!L:R,7,FALSE),VLOOKUP(tables_377103!C214,input_377103!A:H,8,FALSE))</f>
        <v>260</v>
      </c>
      <c r="P214" s="46">
        <f t="shared" ca="1" si="11"/>
        <v>3.5714285714531024E-5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input_377103!A$2</f>
        <v>377103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284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IFERROR(VLOOKUP(B215,input_377103!L:R,7,FALSE),VLOOKUP(tables_377103!C215,input_377103!A:H,8,FALSE))</f>
        <v>18861.818179999998</v>
      </c>
      <c r="P215" s="46">
        <f t="shared" ca="1" si="11"/>
        <v>2.590909090677137E-3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input_377103!A$2</f>
        <v>377103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284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IFERROR(VLOOKUP(B216,input_377103!L:R,7,FALSE),VLOOKUP(tables_377103!C216,input_377103!A:H,8,FALSE))</f>
        <v>992.72726999999998</v>
      </c>
      <c r="P216" s="46">
        <f t="shared" ca="1" si="11"/>
        <v>1.3636363598994763E-4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input_377103!A$2</f>
        <v>377103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IFERROR(VLOOKUP(B217,input_377103!L:R,7,FALSE),VLOOKUP(tables_377103!C217,input_377103!A:H,8,FALSE))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input_377103!A$2</f>
        <v>377103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IFERROR(VLOOKUP(B218,input_377103!L:R,7,FALSE),VLOOKUP(tables_377103!C218,input_377103!A:H,8,FALSE))</f>
        <v>40261.760000000002</v>
      </c>
      <c r="P218" s="46">
        <f t="shared" ca="1" si="11"/>
        <v>5.5304615384995258E-3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input_377103!A$2</f>
        <v>377103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IFERROR(VLOOKUP(B219,input_377103!L:R,7,FALSE),VLOOKUP(tables_377103!C219,input_377103!A:H,8,FALSE))</f>
        <v>2119.04</v>
      </c>
      <c r="P219" s="46">
        <f t="shared" ca="1" si="11"/>
        <v>2.9107692307892241E-4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input_377103!A$2</f>
        <v>377103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IFERROR(VLOOKUP(B220,input_377103!L:R,7,FALSE),VLOOKUP(tables_377103!C220,input_377103!A:H,8,FALSE))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input_377103!A$2</f>
        <v>377103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IFERROR(VLOOKUP(B221,input_377103!L:R,7,FALSE),VLOOKUP(tables_377103!C221,input_377103!A:H,8,FALSE))</f>
        <v>40261.760000000002</v>
      </c>
      <c r="P221" s="46">
        <f t="shared" ca="1" si="11"/>
        <v>5.5304615384995258E-3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input_377103!A$2</f>
        <v>377103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IFERROR(VLOOKUP(B222,input_377103!L:R,7,FALSE),VLOOKUP(tables_377103!C222,input_377103!A:H,8,FALSE))</f>
        <v>2119.04</v>
      </c>
      <c r="P222" s="46">
        <f t="shared" ca="1" si="11"/>
        <v>2.9107692307892241E-4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input_377103!A$2</f>
        <v>377103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IFERROR(VLOOKUP(B223,input_377103!L:R,7,FALSE),VLOOKUP(tables_377103!C223,input_377103!A:H,8,FALSE))</f>
        <v>4940</v>
      </c>
      <c r="P223" s="46">
        <f t="shared" ca="1" si="11"/>
        <v>6.7857142857608954E-4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input_377103!A$2</f>
        <v>377103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IFERROR(VLOOKUP(B224,input_377103!L:R,7,FALSE),VLOOKUP(tables_377103!C224,input_377103!A:H,8,FALSE))</f>
        <v>260</v>
      </c>
      <c r="P224" s="46">
        <f t="shared" ca="1" si="11"/>
        <v>3.5714285714531024E-5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input_377103!A$2</f>
        <v>377103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284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IFERROR(VLOOKUP(B225,input_377103!L:R,7,FALSE),VLOOKUP(tables_377103!C225,input_377103!A:H,8,FALSE))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input_377103!A$2</f>
        <v>377103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284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IFERROR(VLOOKUP(B226,input_377103!L:R,7,FALSE),VLOOKUP(tables_377103!C226,input_377103!A:H,8,FALSE))</f>
        <v>196276.08</v>
      </c>
      <c r="P226" s="46">
        <f t="shared" ca="1" si="11"/>
        <v>2.6961000000185188E-2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input_377103!A$2</f>
        <v>377103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284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IFERROR(VLOOKUP(B227,input_377103!L:R,7,FALSE),VLOOKUP(tables_377103!C227,input_377103!A:H,8,FALSE))</f>
        <v>10330.32</v>
      </c>
      <c r="P227" s="46">
        <f t="shared" ca="1" si="11"/>
        <v>1.4190000000097467E-3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input_377103!A$2</f>
        <v>377103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IFERROR(VLOOKUP(B228,input_377103!L:R,7,FALSE),VLOOKUP(tables_377103!C228,input_377103!A:H,8,FALSE))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input_377103!A$2</f>
        <v>377103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IFERROR(VLOOKUP(B229,input_377103!L:R,7,FALSE),VLOOKUP(tables_377103!C229,input_377103!A:H,8,FALSE))</f>
        <v>40261.760000000002</v>
      </c>
      <c r="P229" s="46">
        <f t="shared" ca="1" si="11"/>
        <v>5.5304615384995258E-3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input_377103!A$2</f>
        <v>377103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IFERROR(VLOOKUP(B230,input_377103!L:R,7,FALSE),VLOOKUP(tables_377103!C230,input_377103!A:H,8,FALSE))</f>
        <v>2119.04</v>
      </c>
      <c r="P230" s="46">
        <f t="shared" ca="1" si="11"/>
        <v>2.9107692307892241E-4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input_377103!A$2</f>
        <v>377103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IFERROR(VLOOKUP(B231,input_377103!L:R,7,FALSE),VLOOKUP(tables_377103!C231,input_377103!A:H,8,FALSE))</f>
        <v>4940</v>
      </c>
      <c r="P231" s="46">
        <f t="shared" ca="1" si="11"/>
        <v>6.7857142857608954E-4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input_377103!A$2</f>
        <v>377103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IFERROR(VLOOKUP(B232,input_377103!L:R,7,FALSE),VLOOKUP(tables_377103!C232,input_377103!A:H,8,FALSE))</f>
        <v>260</v>
      </c>
      <c r="P232" s="46">
        <f t="shared" ca="1" si="11"/>
        <v>3.5714285714531024E-5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input_377103!A$2</f>
        <v>377103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IFERROR(VLOOKUP(B233,input_377103!L:R,7,FALSE),VLOOKUP(tables_377103!C233,input_377103!A:H,8,FALSE))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input_377103!A$2</f>
        <v>377103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IFERROR(VLOOKUP(B234,input_377103!L:R,7,FALSE),VLOOKUP(tables_377103!C234,input_377103!A:H,8,FALSE))</f>
        <v>40261.760000000002</v>
      </c>
      <c r="P234" s="46">
        <f t="shared" ca="1" si="11"/>
        <v>5.5304615384995258E-3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input_377103!A$2</f>
        <v>377103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IFERROR(VLOOKUP(B235,input_377103!L:R,7,FALSE),VLOOKUP(tables_377103!C235,input_377103!A:H,8,FALSE))</f>
        <v>2119.04</v>
      </c>
      <c r="P235" s="46">
        <f t="shared" ca="1" si="11"/>
        <v>2.9107692307892241E-4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input_377103!A$2</f>
        <v>377103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284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IFERROR(VLOOKUP(B236,input_377103!L:R,7,FALSE),VLOOKUP(tables_377103!C236,input_377103!A:H,8,FALSE))</f>
        <v>18861.818179999998</v>
      </c>
      <c r="P236" s="46">
        <f t="shared" ca="1" si="11"/>
        <v>2.590909090677137E-3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input_377103!A$2</f>
        <v>377103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284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IFERROR(VLOOKUP(B237,input_377103!L:R,7,FALSE),VLOOKUP(tables_377103!C237,input_377103!A:H,8,FALSE))</f>
        <v>992.72726999999998</v>
      </c>
      <c r="P237" s="46">
        <f t="shared" ca="1" si="11"/>
        <v>1.3636363598994763E-4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input_377103!A$2</f>
        <v>377103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IFERROR(VLOOKUP(B238,input_377103!L:R,7,FALSE),VLOOKUP(tables_377103!C238,input_377103!A:H,8,FALSE))</f>
        <v>4940</v>
      </c>
      <c r="P238" s="46">
        <f t="shared" ca="1" si="11"/>
        <v>6.7857142857608954E-4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input_377103!A$2</f>
        <v>377103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IFERROR(VLOOKUP(B239,input_377103!L:R,7,FALSE),VLOOKUP(tables_377103!C239,input_377103!A:H,8,FALSE))</f>
        <v>260</v>
      </c>
      <c r="P239" s="46">
        <f t="shared" ca="1" si="11"/>
        <v>3.5714285714531024E-5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input_377103!A$2</f>
        <v>377103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IFERROR(VLOOKUP(B240,input_377103!L:R,7,FALSE),VLOOKUP(tables_377103!C240,input_377103!A:H,8,FALSE))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input_377103!A$2</f>
        <v>377103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IFERROR(VLOOKUP(B241,input_377103!L:R,7,FALSE),VLOOKUP(tables_377103!C241,input_377103!A:H,8,FALSE))</f>
        <v>40261.760000000002</v>
      </c>
      <c r="P241" s="46">
        <f t="shared" ca="1" si="11"/>
        <v>5.5304615384995258E-3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input_377103!A$2</f>
        <v>377103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IFERROR(VLOOKUP(B242,input_377103!L:R,7,FALSE),VLOOKUP(tables_377103!C242,input_377103!A:H,8,FALSE))</f>
        <v>2119.04</v>
      </c>
      <c r="P242" s="46">
        <f t="shared" ca="1" si="11"/>
        <v>2.9107692307892241E-4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input_377103!A$2</f>
        <v>377103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IFERROR(VLOOKUP(B243,input_377103!L:R,7,FALSE),VLOOKUP(tables_377103!C243,input_377103!A:H,8,FALSE))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input_377103!A$2</f>
        <v>377103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IFERROR(VLOOKUP(B244,input_377103!L:R,7,FALSE),VLOOKUP(tables_377103!C244,input_377103!A:H,8,FALSE))</f>
        <v>40261.760000000002</v>
      </c>
      <c r="P244" s="46">
        <f t="shared" ca="1" si="11"/>
        <v>5.5304615384995258E-3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input_377103!A$2</f>
        <v>377103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IFERROR(VLOOKUP(B245,input_377103!L:R,7,FALSE),VLOOKUP(tables_377103!C245,input_377103!A:H,8,FALSE))</f>
        <v>2119.04</v>
      </c>
      <c r="P245" s="46">
        <f t="shared" ca="1" si="11"/>
        <v>2.9107692307892241E-4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input_377103!A$2</f>
        <v>377103</v>
      </c>
      <c r="B246" s="60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284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IFERROR(VLOOKUP(B246,input_377103!L:R,7,FALSE),VLOOKUP(tables_377103!C246,input_377103!A:H,8,FALSE))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input_377103!A$2</f>
        <v>377103</v>
      </c>
      <c r="B247" s="60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284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IFERROR(VLOOKUP(B247,input_377103!L:R,7,FALSE),VLOOKUP(tables_377103!C247,input_377103!A:H,8,FALSE))</f>
        <v>196276.08</v>
      </c>
      <c r="P247" s="46">
        <f t="shared" ca="1" si="11"/>
        <v>2.6961000000185188E-2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input_377103!A$2</f>
        <v>377103</v>
      </c>
      <c r="B248" s="60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284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IFERROR(VLOOKUP(B248,input_377103!L:R,7,FALSE),VLOOKUP(tables_377103!C248,input_377103!A:H,8,FALSE))</f>
        <v>10330.32</v>
      </c>
      <c r="P248" s="46">
        <f t="shared" ca="1" si="11"/>
        <v>1.4190000000097467E-3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input_377103!A$2</f>
        <v>377103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IFERROR(VLOOKUP(B249,input_377103!L:R,7,FALSE),VLOOKUP(tables_377103!C249,input_377103!A:H,8,FALSE))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input_377103!A$2</f>
        <v>377103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IFERROR(VLOOKUP(B250,input_377103!L:R,7,FALSE),VLOOKUP(tables_377103!C250,input_377103!A:H,8,FALSE))</f>
        <v>40261.760000000002</v>
      </c>
      <c r="P250" s="46">
        <f t="shared" ca="1" si="11"/>
        <v>5.5304615384995258E-3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input_377103!A$2</f>
        <v>377103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IFERROR(VLOOKUP(B251,input_377103!L:R,7,FALSE),VLOOKUP(tables_377103!C251,input_377103!A:H,8,FALSE))</f>
        <v>2119.04</v>
      </c>
      <c r="P251" s="46">
        <f t="shared" ca="1" si="11"/>
        <v>2.9107692307892241E-4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input_377103!A$2</f>
        <v>377103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IFERROR(VLOOKUP(B252,input_377103!L:R,7,FALSE),VLOOKUP(tables_377103!C252,input_377103!A:H,8,FALSE))</f>
        <v>4940</v>
      </c>
      <c r="P252" s="46">
        <f t="shared" ca="1" si="11"/>
        <v>6.7857142857608954E-4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input_377103!A$2</f>
        <v>377103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IFERROR(VLOOKUP(B253,input_377103!L:R,7,FALSE),VLOOKUP(tables_377103!C253,input_377103!A:H,8,FALSE))</f>
        <v>260</v>
      </c>
      <c r="P253" s="46">
        <f t="shared" ca="1" si="11"/>
        <v>3.5714285714531024E-5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input_377103!A$2</f>
        <v>377103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IFERROR(VLOOKUP(B254,input_377103!L:R,7,FALSE),VLOOKUP(tables_377103!C254,input_377103!A:H,8,FALSE))</f>
        <v>4940</v>
      </c>
      <c r="P254" s="46">
        <f t="shared" ca="1" si="11"/>
        <v>6.7857142857608954E-4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input_377103!A$2</f>
        <v>377103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IFERROR(VLOOKUP(B255,input_377103!L:R,7,FALSE),VLOOKUP(tables_377103!C255,input_377103!A:H,8,FALSE))</f>
        <v>260</v>
      </c>
      <c r="P255" s="46">
        <f t="shared" ca="1" si="11"/>
        <v>3.5714285714531024E-5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input_377103!A$2</f>
        <v>377103</v>
      </c>
      <c r="B256" s="60">
        <v>728</v>
      </c>
      <c r="C256" s="7" t="str">
        <f t="shared" si="9"/>
        <v>Premium4R3lesscolor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">
        <v>284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IFERROR(VLOOKUP(B256,input_377103!L:R,7,FALSE),VLOOKUP(tables_377103!C256,input_377103!A:H,8,FALSE))</f>
        <v>198306.20727000001</v>
      </c>
      <c r="P256" s="46">
        <f t="shared" ca="1" si="11"/>
        <v>2.7239863636176118E-2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input_377103!A$2</f>
        <v>377103</v>
      </c>
      <c r="B257" s="60">
        <v>729</v>
      </c>
      <c r="C257" s="7" t="str">
        <f t="shared" si="9"/>
        <v>Premium5R3lesscolor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">
        <v>284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IFERROR(VLOOKUP(B257,input_377103!L:R,7,FALSE),VLOOKUP(tables_377103!C257,input_377103!A:H,8,FALSE))</f>
        <v>8300.1927300000007</v>
      </c>
      <c r="P257" s="46">
        <f t="shared" ca="1" si="11"/>
        <v>1.1401363640188204E-3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input_377103!A$2</f>
        <v>377103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IFERROR(VLOOKUP(B258,input_377103!L:R,7,FALSE),VLOOKUP(tables_377103!C258,input_377103!A:H,8,FALSE))</f>
        <v>41283.474289999998</v>
      </c>
      <c r="P258" s="46">
        <f t="shared" ref="P258:P295" ca="1" si="14">O258/SUM(O:O)</f>
        <v>5.6708069080059842E-3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input_377103!A$2</f>
        <v>377103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IFERROR(VLOOKUP(B259,input_377103!L:R,7,FALSE),VLOOKUP(tables_377103!C259,input_377103!A:H,8,FALSE))</f>
        <v>1097.3257100000001</v>
      </c>
      <c r="P259" s="46">
        <f t="shared" ca="1" si="14"/>
        <v>1.5073155357246391E-4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input_377103!A$2</f>
        <v>377103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IFERROR(VLOOKUP(B260,input_377103!L:R,7,FALSE),VLOOKUP(tables_377103!C260,input_377103!A:H,8,FALSE))</f>
        <v>5200</v>
      </c>
      <c r="P260" s="46">
        <f t="shared" ca="1" si="14"/>
        <v>7.1428571429062052E-4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input_377103!A$2</f>
        <v>377103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IFERROR(VLOOKUP(B261,input_377103!L:R,7,FALSE),VLOOKUP(tables_377103!C261,input_377103!A:H,8,FALSE))</f>
        <v>5200</v>
      </c>
      <c r="P261" s="46">
        <f t="shared" ca="1" si="14"/>
        <v>7.1428571429062052E-4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input_377103!A$2</f>
        <v>377103</v>
      </c>
      <c r="B262" s="60">
        <v>770</v>
      </c>
      <c r="C262" s="7" t="str">
        <f t="shared" si="12"/>
        <v>PremiumSS4color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284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IFERROR(VLOOKUP(B262,input_377103!L:R,7,FALSE),VLOOKUP(tables_377103!C262,input_377103!A:H,8,FALSE))</f>
        <v>18861.818179999998</v>
      </c>
      <c r="P262" s="46">
        <f t="shared" ca="1" si="14"/>
        <v>2.590909090677137E-3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input_377103!A$2</f>
        <v>377103</v>
      </c>
      <c r="B263" s="60">
        <v>771</v>
      </c>
      <c r="C263" s="7" t="str">
        <f t="shared" si="12"/>
        <v>PremiumSS5color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284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IFERROR(VLOOKUP(B263,input_377103!L:R,7,FALSE),VLOOKUP(tables_377103!C263,input_377103!A:H,8,FALSE))</f>
        <v>992.72726999999998</v>
      </c>
      <c r="P263" s="46">
        <f t="shared" ca="1" si="14"/>
        <v>1.3636363598994763E-4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input_377103!A$2</f>
        <v>377103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IFERROR(VLOOKUP(B264,input_377103!L:R,7,FALSE),VLOOKUP(tables_377103!C264,input_377103!A:H,8,FALSE))</f>
        <v>4940</v>
      </c>
      <c r="P264" s="46">
        <f t="shared" ca="1" si="14"/>
        <v>6.7857142857608954E-4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input_377103!A$2</f>
        <v>377103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IFERROR(VLOOKUP(B265,input_377103!L:R,7,FALSE),VLOOKUP(tables_377103!C265,input_377103!A:H,8,FALSE))</f>
        <v>260</v>
      </c>
      <c r="P265" s="46">
        <f t="shared" ca="1" si="14"/>
        <v>3.5714285714531024E-5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input_377103!A$2</f>
        <v>377103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IFERROR(VLOOKUP(B266,input_377103!L:R,7,FALSE),VLOOKUP(tables_377103!C266,input_377103!A:H,8,FALSE))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input_377103!A$2</f>
        <v>377103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IFERROR(VLOOKUP(B267,input_377103!L:R,7,FALSE),VLOOKUP(tables_377103!C267,input_377103!A:H,8,FALSE))</f>
        <v>40261.760000000002</v>
      </c>
      <c r="P267" s="46">
        <f t="shared" ca="1" si="14"/>
        <v>5.5304615384995258E-3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input_377103!A$2</f>
        <v>377103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IFERROR(VLOOKUP(B268,input_377103!L:R,7,FALSE),VLOOKUP(tables_377103!C268,input_377103!A:H,8,FALSE))</f>
        <v>2119.04</v>
      </c>
      <c r="P268" s="46">
        <f t="shared" ca="1" si="14"/>
        <v>2.9107692307892241E-4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input_377103!A$2</f>
        <v>377103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IFERROR(VLOOKUP(B269,input_377103!L:R,7,FALSE),VLOOKUP(tables_377103!C269,input_377103!A:H,8,FALSE))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input_377103!A$2</f>
        <v>377103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IFERROR(VLOOKUP(B270,input_377103!L:R,7,FALSE),VLOOKUP(tables_377103!C270,input_377103!A:H,8,FALSE))</f>
        <v>40261.760000000002</v>
      </c>
      <c r="P270" s="46">
        <f t="shared" ca="1" si="14"/>
        <v>5.5304615384995258E-3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input_377103!A$2</f>
        <v>377103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IFERROR(VLOOKUP(B271,input_377103!L:R,7,FALSE),VLOOKUP(tables_377103!C271,input_377103!A:H,8,FALSE))</f>
        <v>2119.04</v>
      </c>
      <c r="P271" s="46">
        <f t="shared" ca="1" si="14"/>
        <v>2.9107692307892241E-4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input_377103!A$2</f>
        <v>377103</v>
      </c>
      <c r="B272" s="83">
        <v>848</v>
      </c>
      <c r="C272" s="7" t="str">
        <f t="shared" si="12"/>
        <v>PremiumSS5R5onlycolor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284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IFERROR(VLOOKUP(B272,input_377103!L:R,7,FALSE),VLOOKUP(tables_377103!C272,input_377103!A:H,8,FALSE))</f>
        <v>19854.545450000001</v>
      </c>
      <c r="P272" s="46">
        <f t="shared" ca="1" si="14"/>
        <v>2.7272727266670848E-3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input_377103!A$2</f>
        <v>377103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IFERROR(VLOOKUP(B273,input_377103!L:R,7,FALSE),VLOOKUP(tables_377103!C273,input_377103!A:H,8,FALSE))</f>
        <v>5200</v>
      </c>
      <c r="P273" s="46">
        <f t="shared" ca="1" si="14"/>
        <v>7.1428571429062052E-4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input_377103!A$2</f>
        <v>377103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IFERROR(VLOOKUP(B274,input_377103!L:R,7,FALSE),VLOOKUP(tables_377103!C274,input_377103!A:H,8,FALSE))</f>
        <v>41283.474289999998</v>
      </c>
      <c r="P274" s="46">
        <f t="shared" ca="1" si="14"/>
        <v>5.6708069080059842E-3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input_377103!A$2</f>
        <v>377103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IFERROR(VLOOKUP(B275,input_377103!L:R,7,FALSE),VLOOKUP(tables_377103!C275,input_377103!A:H,8,FALSE))</f>
        <v>1097.3257100000001</v>
      </c>
      <c r="P275" s="46">
        <f t="shared" ca="1" si="14"/>
        <v>1.5073155357246391E-4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input_377103!A$2</f>
        <v>377103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IFERROR(VLOOKUP(B276,input_377103!L:R,7,FALSE),VLOOKUP(tables_377103!C276,input_377103!A:H,8,FALSE))</f>
        <v>41283.474289999998</v>
      </c>
      <c r="P276" s="46">
        <f t="shared" ca="1" si="14"/>
        <v>5.6708069080059842E-3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input_377103!A$2</f>
        <v>377103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IFERROR(VLOOKUP(B277,input_377103!L:R,7,FALSE),VLOOKUP(tables_377103!C277,input_377103!A:H,8,FALSE))</f>
        <v>1097.3257100000001</v>
      </c>
      <c r="P277" s="46">
        <f t="shared" ca="1" si="14"/>
        <v>1.5073155357246391E-4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input_377103!A$2</f>
        <v>377103</v>
      </c>
      <c r="B278" s="83">
        <v>862</v>
      </c>
      <c r="C278" s="7" t="str">
        <f t="shared" si="12"/>
        <v>Premium4R3lesscolor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284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IFERROR(VLOOKUP(B278,input_377103!L:R,7,FALSE),VLOOKUP(tables_377103!C278,input_377103!A:H,8,FALSE))</f>
        <v>198306.20727000001</v>
      </c>
      <c r="P278" s="46">
        <f t="shared" ca="1" si="14"/>
        <v>2.7239863636176118E-2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input_377103!A$2</f>
        <v>377103</v>
      </c>
      <c r="B279" s="83">
        <v>863</v>
      </c>
      <c r="C279" s="7" t="str">
        <f t="shared" si="12"/>
        <v>Premium5R3lesscolor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284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IFERROR(VLOOKUP(B279,input_377103!L:R,7,FALSE),VLOOKUP(tables_377103!C279,input_377103!A:H,8,FALSE))</f>
        <v>8300.1927300000007</v>
      </c>
      <c r="P279" s="46">
        <f t="shared" ca="1" si="14"/>
        <v>1.1401363640188204E-3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input_377103!A$2</f>
        <v>377103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IFERROR(VLOOKUP(B280,input_377103!L:R,7,FALSE),VLOOKUP(tables_377103!C280,input_377103!A:H,8,FALSE))</f>
        <v>41283.474289999998</v>
      </c>
      <c r="P280" s="46">
        <f t="shared" ca="1" si="14"/>
        <v>5.6708069080059842E-3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input_377103!A$2</f>
        <v>377103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IFERROR(VLOOKUP(B281,input_377103!L:R,7,FALSE),VLOOKUP(tables_377103!C281,input_377103!A:H,8,FALSE))</f>
        <v>1097.3257100000001</v>
      </c>
      <c r="P281" s="46">
        <f t="shared" ca="1" si="14"/>
        <v>1.5073155357246391E-4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input_377103!A$2</f>
        <v>377103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IFERROR(VLOOKUP(B282,input_377103!L:R,7,FALSE),VLOOKUP(tables_377103!C282,input_377103!A:H,8,FALSE))</f>
        <v>5200</v>
      </c>
      <c r="P282" s="46">
        <f t="shared" ca="1" si="14"/>
        <v>7.1428571429062052E-4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input_377103!A$2</f>
        <v>377103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IFERROR(VLOOKUP(B283,input_377103!L:R,7,FALSE),VLOOKUP(tables_377103!C283,input_377103!A:H,8,FALSE))</f>
        <v>5200</v>
      </c>
      <c r="P283" s="46">
        <f t="shared" ca="1" si="14"/>
        <v>7.1428571429062052E-4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input_377103!A$2</f>
        <v>377103</v>
      </c>
      <c r="B284" s="83">
        <v>742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">
        <v>284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IFERROR(VLOOKUP(B284,input_377103!L:R,7,FALSE),VLOOKUP(tables_377103!C284,input_377103!A:H,8,FALSE))</f>
        <v>19854.545450000001</v>
      </c>
      <c r="P284" s="46">
        <f t="shared" ca="1" si="14"/>
        <v>2.7272727266670848E-3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input_377103!A$2</f>
        <v>377103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IFERROR(VLOOKUP(B285,input_377103!L:R,7,FALSE),VLOOKUP(tables_377103!C285,input_377103!A:H,8,FALSE))</f>
        <v>5200</v>
      </c>
      <c r="P285" s="46">
        <f t="shared" ca="1" si="14"/>
        <v>7.1428571429062052E-4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input_377103!A$2</f>
        <v>377103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IFERROR(VLOOKUP(B286,input_377103!L:R,7,FALSE),VLOOKUP(tables_377103!C286,input_377103!A:H,8,FALSE))</f>
        <v>41283.474289999998</v>
      </c>
      <c r="P286" s="46">
        <f t="shared" ca="1" si="14"/>
        <v>5.6708069080059842E-3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input_377103!A$2</f>
        <v>377103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IFERROR(VLOOKUP(B287,input_377103!L:R,7,FALSE),VLOOKUP(tables_377103!C287,input_377103!A:H,8,FALSE))</f>
        <v>1097.3257100000001</v>
      </c>
      <c r="P287" s="46">
        <f t="shared" ca="1" si="14"/>
        <v>1.5073155357246391E-4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input_377103!A$2</f>
        <v>377103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IFERROR(VLOOKUP(B288,input_377103!L:R,7,FALSE),VLOOKUP(tables_377103!C288,input_377103!A:H,8,FALSE))</f>
        <v>41283.474289999998</v>
      </c>
      <c r="P288" s="46">
        <f t="shared" ca="1" si="14"/>
        <v>5.6708069080059842E-3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input_377103!A$2</f>
        <v>377103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IFERROR(VLOOKUP(B289,input_377103!L:R,7,FALSE),VLOOKUP(tables_377103!C289,input_377103!A:H,8,FALSE))</f>
        <v>1097.3257100000001</v>
      </c>
      <c r="P289" s="46">
        <f t="shared" ca="1" si="14"/>
        <v>1.5073155357246391E-4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input_377103!A$2</f>
        <v>377103</v>
      </c>
      <c r="B290" s="83">
        <v>937</v>
      </c>
      <c r="C290" s="7" t="str">
        <f t="shared" si="15"/>
        <v>PremiumSS5R5onlycolor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">
        <v>284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IFERROR(VLOOKUP(B290,input_377103!L:R,7,FALSE),VLOOKUP(tables_377103!C290,input_377103!A:H,8,FALSE))</f>
        <v>19854.545450000001</v>
      </c>
      <c r="P290" s="46">
        <f t="shared" ca="1" si="14"/>
        <v>2.7272727266670848E-3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input_377103!A$2</f>
        <v>377103</v>
      </c>
      <c r="B291" s="83">
        <v>939</v>
      </c>
      <c r="C291" s="7" t="str">
        <f t="shared" ref="C291:C295" si="17">D291&amp;J291&amp;E291&amp;F291&amp;G291</f>
        <v>Premium4R3less</v>
      </c>
      <c r="D291" s="7" t="str">
        <f t="shared" ref="D291:D295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IFERROR(VLOOKUP(B291,input_377103!L:R,7,FALSE),VLOOKUP(tables_377103!C291,input_377103!A:H,8,FALSE))</f>
        <v>41283.474289999998</v>
      </c>
      <c r="P291" s="46">
        <f t="shared" ca="1" si="14"/>
        <v>5.6708069080059842E-3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input_377103!A$2</f>
        <v>377103</v>
      </c>
      <c r="B292" s="83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IFERROR(VLOOKUP(B292,input_377103!L:R,7,FALSE),VLOOKUP(tables_377103!C292,input_377103!A:H,8,FALSE))</f>
        <v>1097.3257100000001</v>
      </c>
      <c r="P292" s="46">
        <f t="shared" ca="1" si="14"/>
        <v>1.5073155357246391E-4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input_377103!A$2</f>
        <v>377103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IFERROR(VLOOKUP(B293,input_377103!L:R,7,FALSE),VLOOKUP(tables_377103!C293,input_377103!A:H,8,FALSE))</f>
        <v>5200</v>
      </c>
      <c r="P293" s="46">
        <f t="shared" ca="1" si="14"/>
        <v>7.1428571429062052E-4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input_377103!A$2</f>
        <v>377103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IFERROR(VLOOKUP(B294,input_377103!L:R,7,FALSE),VLOOKUP(tables_377103!C294,input_377103!A:H,8,FALSE))</f>
        <v>5200</v>
      </c>
      <c r="P294" s="46">
        <f t="shared" ca="1" si="14"/>
        <v>7.1428571429062052E-4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input_377103!A$2</f>
        <v>377103</v>
      </c>
      <c r="B295" s="83">
        <v>786</v>
      </c>
      <c r="C295" s="7" t="str">
        <f t="shared" si="17"/>
        <v>PremiumSSS5R3lesscolor</v>
      </c>
      <c r="D295" s="7" t="str">
        <f t="shared" si="18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53</v>
      </c>
      <c r="H295" s="7" t="str">
        <f>VLOOKUP(B295,[1]characters!$A:$C,3,FALSE)</f>
        <v>ヘイウェイ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dragon</v>
      </c>
      <c r="N295" s="7" t="str">
        <f>VLOOKUP(B295,[1]characters!$A:$G,7,FALSE)</f>
        <v>男性</v>
      </c>
      <c r="O295" s="45">
        <f ca="1">IFERROR(VLOOKUP(B295,input_377103!L:R,7,FALSE),VLOOKUP(tables_377103!C295,input_377103!A:H,8,FALSE))</f>
        <v>29120</v>
      </c>
      <c r="P295" s="46">
        <f t="shared" ca="1" si="14"/>
        <v>4.0000000000274746E-3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5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workbookViewId="0">
      <selection activeCell="H44" sqref="H4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377104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VLOOKUP(L3,tables_377104!B:C,2,FALSE)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VLOOKUP(L4,tables_377104!B:C,2,FALSE)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7.1428571428571439E-4</v>
      </c>
      <c r="F5">
        <f>(COUNTIF(tables_377104!C:C,input_377104!A28)+COUNTIF(tables_377104!C:C,input_377104!A29))</f>
        <v>28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VLOOKUP(L5,tables_377104!B:C,2,FALSE)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2.7272727272727271E-3</v>
      </c>
      <c r="F6">
        <f>(COUNTIF(tables_377104!C:C,input_377104!A43)+COUNTIF(tables_377104!C:C,input_377104!A44))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VLOOKUP(L6,tables_377104!B:C,2,FALSE)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5.7969230769230771E-3</v>
      </c>
      <c r="F7">
        <f>(COUNTIF(tables_377104!C:C,input_377104!A26)+COUNTIF(tables_377104!C:C,input_377104!A18)+COUNTIF(tables_377104!C:C,input_377104!A20)+COUNTIF(tables_377104!C:C,input_377104!A22))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VLOOKUP(L7,tables_377104!B:C,2,FALSE)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2.8259999999999997E-2</v>
      </c>
      <c r="F8">
        <f>(COUNTIF(tables_377104!C:C,input_377104!A40)+COUNTIF(tables_377104!C:C,input_377104!A33)+COUNTIF(tables_377104!C:C,input_377104!A35)+COUNTIF(tables_377104!C:C,input_377104!A37))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VLOOKUP(L8,tables_377104!B:C,2,FALSE)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VLOOKUP(L9,tables_377104!B:C,2,FALSE)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VLOOKUP(L10,tables_377104!B:C,2,FALSE)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VLOOKUP(L11,tables_377104!B:C,2,FALSE)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VLOOKUP(L12,tables_377104!B:C,2,FALSE)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VLOOKUP(L13,tables_377104!B:C,2,FALSE)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VLOOKUP(L14,tables_377104!B:C,2,FALSE)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VLOOKUP(L15,tables_377104!B:C,2,FALSE)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VLOOKUP(L16,tables_377104!B:C,2,FALSE)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COUNTIF(tables_377104!C:C,input_377104!A17)-COUNTIF(Q:Q,A17)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VLOOKUP(L17,tables_377104!B:C,2,FALSE)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8.6953846153846159E-2</v>
      </c>
      <c r="C18" s="87">
        <f t="shared" si="2"/>
        <v>0</v>
      </c>
      <c r="D18" s="75">
        <f t="shared" si="3"/>
        <v>8.6953846153846159E-2</v>
      </c>
      <c r="E18">
        <f>COUNTIF(tables_377104!C:C,input_377104!A18)-COUNTIF(Q:Q,A18)</f>
        <v>15</v>
      </c>
      <c r="F18" s="43">
        <f>IFERROR(B18/E18,0)</f>
        <v>5.7969230769230771E-3</v>
      </c>
      <c r="G18">
        <f t="shared" si="4"/>
        <v>633024</v>
      </c>
      <c r="H18">
        <f t="shared" si="5"/>
        <v>42201.599999999999</v>
      </c>
      <c r="I18">
        <f t="shared" si="6"/>
        <v>0.59999999999854481</v>
      </c>
      <c r="J18">
        <f t="shared" si="7"/>
        <v>1.6666666666707088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VLOOKUP(L18,tables_377104!B:C,2,FALSE)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COUNTIF(tables_377104!C:C,input_377104!A19)-COUNTIF(Q:Q,A19)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VLOOKUP(L19,tables_377104!B:C,2,FALSE)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0.22028307692307691</v>
      </c>
      <c r="C20" s="87">
        <f t="shared" si="2"/>
        <v>0</v>
      </c>
      <c r="D20" s="75">
        <f t="shared" si="3"/>
        <v>0.22028307692307691</v>
      </c>
      <c r="E20">
        <f>COUNTIF(tables_377104!C:C,input_377104!A20)-COUNTIF(Q:Q,A20)</f>
        <v>40</v>
      </c>
      <c r="F20" s="43">
        <f t="shared" si="8"/>
        <v>5.5070769230769227E-3</v>
      </c>
      <c r="G20">
        <f t="shared" si="4"/>
        <v>1603660.8</v>
      </c>
      <c r="H20">
        <f t="shared" si="5"/>
        <v>40091.519999999997</v>
      </c>
      <c r="I20">
        <f t="shared" si="6"/>
        <v>0.51999999999679858</v>
      </c>
      <c r="J20">
        <f t="shared" si="7"/>
        <v>1.9230769230887625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VLOOKUP(L20,tables_377104!B:C,2,FALSE)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1.1593846153846156E-2</v>
      </c>
      <c r="C21" s="87">
        <f t="shared" si="2"/>
        <v>0</v>
      </c>
      <c r="D21" s="75">
        <f t="shared" si="3"/>
        <v>1.1593846153846156E-2</v>
      </c>
      <c r="E21">
        <f>COUNTIF(tables_377104!C:C,input_377104!A21)-COUNTIF(Q:Q,A21)</f>
        <v>40</v>
      </c>
      <c r="F21" s="43">
        <f t="shared" si="8"/>
        <v>2.8984615384615388E-4</v>
      </c>
      <c r="G21">
        <f t="shared" si="4"/>
        <v>84403.200000000012</v>
      </c>
      <c r="H21">
        <f t="shared" si="5"/>
        <v>2110.08</v>
      </c>
      <c r="I21">
        <f t="shared" si="6"/>
        <v>7.999999999992724E-2</v>
      </c>
      <c r="J21">
        <f t="shared" si="7"/>
        <v>12.500000000011369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3.9470417582417587E-2</v>
      </c>
      <c r="C22" s="87">
        <f t="shared" si="2"/>
        <v>0</v>
      </c>
      <c r="D22" s="75">
        <f t="shared" si="3"/>
        <v>3.9470417582417587E-2</v>
      </c>
      <c r="E22">
        <f>COUNTIF(tables_377104!C:C,input_377104!A22)-COUNTIF(Q:Q,A22)</f>
        <v>7</v>
      </c>
      <c r="F22" s="43">
        <f t="shared" si="8"/>
        <v>5.6386310832025124E-3</v>
      </c>
      <c r="G22">
        <f t="shared" si="4"/>
        <v>287344.64000000001</v>
      </c>
      <c r="H22">
        <f t="shared" si="5"/>
        <v>41049.23429</v>
      </c>
      <c r="I22">
        <f t="shared" si="6"/>
        <v>0.23429000000032829</v>
      </c>
      <c r="J22">
        <f t="shared" si="7"/>
        <v>4.2682146058244008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1.1080439560439536E-3</v>
      </c>
      <c r="C23" s="87">
        <f t="shared" si="2"/>
        <v>0</v>
      </c>
      <c r="D23" s="75">
        <f t="shared" si="3"/>
        <v>1.1080439560439536E-3</v>
      </c>
      <c r="E23">
        <f>COUNTIF(tables_377104!C:C,input_377104!A23)-COUNTIF(Q:Q,A23)</f>
        <v>7</v>
      </c>
      <c r="F23" s="43">
        <f t="shared" si="8"/>
        <v>1.5829199372056481E-4</v>
      </c>
      <c r="G23">
        <f t="shared" si="4"/>
        <v>8066.5599999999822</v>
      </c>
      <c r="H23">
        <f t="shared" si="5"/>
        <v>1152.36571</v>
      </c>
      <c r="I23">
        <f t="shared" si="6"/>
        <v>0.36571000000003551</v>
      </c>
      <c r="J23">
        <f t="shared" si="7"/>
        <v>2.7344070438322796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COUNTIF(tables_377104!C:C,input_377104!A24)-COUNTIF(Q:Q,A24)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1.6521230769230767E-2</v>
      </c>
      <c r="C25" s="87">
        <f t="shared" si="2"/>
        <v>0</v>
      </c>
      <c r="D25" s="75">
        <f t="shared" si="3"/>
        <v>1.6521230769230767E-2</v>
      </c>
      <c r="E25">
        <f>COUNTIF(tables_377104!C:C,input_377104!A25)-COUNTIF(Q:Q,A25)</f>
        <v>3</v>
      </c>
      <c r="F25" s="43">
        <f t="shared" si="8"/>
        <v>5.5070769230769227E-3</v>
      </c>
      <c r="G25">
        <f t="shared" si="4"/>
        <v>120274.55999999998</v>
      </c>
      <c r="H25">
        <f t="shared" si="5"/>
        <v>40091.519999999997</v>
      </c>
      <c r="I25">
        <f t="shared" si="6"/>
        <v>0.51999999999679858</v>
      </c>
      <c r="J25">
        <f t="shared" si="7"/>
        <v>1.9230769230887625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8.6953846153846163E-4</v>
      </c>
      <c r="C26" s="87">
        <f t="shared" si="2"/>
        <v>0</v>
      </c>
      <c r="D26" s="75">
        <f t="shared" si="3"/>
        <v>8.6953846153846163E-4</v>
      </c>
      <c r="E26">
        <f>COUNTIF(tables_377104!C:C,input_377104!A26)-COUNTIF(Q:Q,A26)</f>
        <v>3</v>
      </c>
      <c r="F26" s="43">
        <f t="shared" si="8"/>
        <v>2.8984615384615388E-4</v>
      </c>
      <c r="G26">
        <f t="shared" si="4"/>
        <v>6330.2400000000007</v>
      </c>
      <c r="H26">
        <f t="shared" si="5"/>
        <v>2110.08</v>
      </c>
      <c r="I26">
        <f t="shared" si="6"/>
        <v>7.999999999992724E-2</v>
      </c>
      <c r="J26">
        <f t="shared" si="7"/>
        <v>12.500000000011369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1.3571428571428573E-2</v>
      </c>
      <c r="C27" s="87">
        <f t="shared" si="2"/>
        <v>0</v>
      </c>
      <c r="D27" s="75">
        <f t="shared" si="3"/>
        <v>1.3571428571428573E-2</v>
      </c>
      <c r="E27">
        <f>COUNTIF(tables_377104!C:C,input_377104!A27)-COUNTIF(Q:Q,A27)</f>
        <v>20</v>
      </c>
      <c r="F27" s="43">
        <f>IFERROR(B27/E27,0)</f>
        <v>6.7857142857142866E-4</v>
      </c>
      <c r="G27">
        <f t="shared" si="4"/>
        <v>98800.000000000015</v>
      </c>
      <c r="H27">
        <f t="shared" si="5"/>
        <v>4940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7.1428571428571439E-4</v>
      </c>
      <c r="C28" s="87">
        <f t="shared" si="2"/>
        <v>0</v>
      </c>
      <c r="D28" s="75">
        <f t="shared" si="3"/>
        <v>7.1428571428571439E-4</v>
      </c>
      <c r="E28">
        <f>COUNTIF(tables_377104!C:C,input_377104!A28)-COUNTIF(Q:Q,A28)</f>
        <v>20</v>
      </c>
      <c r="F28" s="43">
        <f t="shared" si="8"/>
        <v>3.5714285714285717E-5</v>
      </c>
      <c r="G28">
        <f t="shared" si="4"/>
        <v>5200.0000000000009</v>
      </c>
      <c r="H28">
        <f t="shared" si="5"/>
        <v>260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5.7142857142857151E-3</v>
      </c>
      <c r="C29" s="87">
        <f t="shared" si="2"/>
        <v>0</v>
      </c>
      <c r="D29" s="75">
        <f t="shared" si="3"/>
        <v>5.7142857142857151E-3</v>
      </c>
      <c r="E29">
        <f>COUNTIF(tables_377104!C:C,input_377104!A29)-COUNTIF(Q:Q,A29)</f>
        <v>8</v>
      </c>
      <c r="F29" s="43">
        <f t="shared" si="8"/>
        <v>7.1428571428571439E-4</v>
      </c>
      <c r="G29">
        <f t="shared" si="4"/>
        <v>41600.000000000007</v>
      </c>
      <c r="H29">
        <f t="shared" si="5"/>
        <v>5200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COUNTIF(tables_377104!C:C,input_377104!A30)-COUNTIF(Q:Q,A30)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COUNTIF(tables_377104!C:C,input_377104!A31)-COUNTIF(Q:Q,A31)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COUNTIF(tables_377104!C:C,input_377104!A32)-COUNTIF(Q:Q,A32)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0.14129999999999998</v>
      </c>
      <c r="C33" s="87">
        <f t="shared" si="2"/>
        <v>0</v>
      </c>
      <c r="D33" s="75">
        <f t="shared" si="3"/>
        <v>0.14129999999999998</v>
      </c>
      <c r="E33">
        <f>COUNTIF(tables_377104!C:C,input_377104!A33)-COUNTIF(Q:Q,A33)</f>
        <v>5</v>
      </c>
      <c r="F33" s="43">
        <f>IFERROR(B33/E33,0)</f>
        <v>2.8259999999999997E-2</v>
      </c>
      <c r="G33">
        <f t="shared" si="4"/>
        <v>1028663.9999999999</v>
      </c>
      <c r="H33">
        <f t="shared" si="5"/>
        <v>205732.8</v>
      </c>
      <c r="I33">
        <f t="shared" si="6"/>
        <v>0.79999999998835847</v>
      </c>
      <c r="J33">
        <f t="shared" si="7"/>
        <v>1.2500000000181899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COUNTIF(tables_377104!C:C,input_377104!A34)-COUNTIF(Q:Q,A34)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0.32216399999999995</v>
      </c>
      <c r="C35" s="87">
        <f t="shared" si="2"/>
        <v>0</v>
      </c>
      <c r="D35" s="75">
        <f t="shared" si="3"/>
        <v>0.32216399999999995</v>
      </c>
      <c r="E35">
        <f>COUNTIF(tables_377104!C:C,input_377104!A35)-COUNTIF(Q:Q,A35)</f>
        <v>12</v>
      </c>
      <c r="F35" s="43">
        <f t="shared" si="9"/>
        <v>2.6846999999999996E-2</v>
      </c>
      <c r="G35">
        <f t="shared" si="4"/>
        <v>2345353.9199999995</v>
      </c>
      <c r="H35">
        <f t="shared" si="5"/>
        <v>195446.16</v>
      </c>
      <c r="I35">
        <f t="shared" si="6"/>
        <v>0.16000000000349246</v>
      </c>
      <c r="J35">
        <f t="shared" si="7"/>
        <v>6.2499999998635758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1.6955999999999999E-2</v>
      </c>
      <c r="C36" s="87">
        <f t="shared" si="2"/>
        <v>0</v>
      </c>
      <c r="D36" s="75">
        <f t="shared" si="3"/>
        <v>1.6955999999999999E-2</v>
      </c>
      <c r="E36">
        <f>COUNTIF(tables_377104!C:C,input_377104!A36)-COUNTIF(Q:Q,A36)</f>
        <v>12</v>
      </c>
      <c r="F36" s="43">
        <f t="shared" si="9"/>
        <v>1.413E-3</v>
      </c>
      <c r="G36">
        <f t="shared" si="4"/>
        <v>123439.67999999999</v>
      </c>
      <c r="H36">
        <f t="shared" si="5"/>
        <v>10286.64</v>
      </c>
      <c r="I36">
        <f t="shared" si="6"/>
        <v>0.63999999999941792</v>
      </c>
      <c r="J36">
        <f t="shared" si="7"/>
        <v>1.5625000000014211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5.4161727272727264E-2</v>
      </c>
      <c r="C37" s="87">
        <f t="shared" si="2"/>
        <v>0</v>
      </c>
      <c r="D37" s="75">
        <f t="shared" si="3"/>
        <v>5.4161727272727264E-2</v>
      </c>
      <c r="E37">
        <f>COUNTIF(tables_377104!C:C,input_377104!A37)-COUNTIF(Q:Q,A37)</f>
        <v>2</v>
      </c>
      <c r="F37" s="43">
        <f t="shared" si="9"/>
        <v>2.7080863636363632E-2</v>
      </c>
      <c r="G37">
        <f t="shared" si="4"/>
        <v>394297.37454545446</v>
      </c>
      <c r="H37">
        <f t="shared" si="5"/>
        <v>197148.68726999999</v>
      </c>
      <c r="I37">
        <f t="shared" si="6"/>
        <v>0.68726999999489635</v>
      </c>
      <c r="J37">
        <f t="shared" si="7"/>
        <v>1.4550322289746767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2.3582727272727297E-3</v>
      </c>
      <c r="C38" s="87">
        <f t="shared" si="2"/>
        <v>0</v>
      </c>
      <c r="D38" s="75">
        <f t="shared" si="3"/>
        <v>2.3582727272727297E-3</v>
      </c>
      <c r="E38">
        <f>COUNTIF(tables_377104!C:C,input_377104!A38)-COUNTIF(Q:Q,A38)</f>
        <v>2</v>
      </c>
      <c r="F38" s="43">
        <f t="shared" si="9"/>
        <v>1.1791363636363648E-3</v>
      </c>
      <c r="G38">
        <f t="shared" si="4"/>
        <v>17168.225454545471</v>
      </c>
      <c r="H38">
        <f t="shared" si="5"/>
        <v>8584.1127300000007</v>
      </c>
      <c r="I38">
        <f t="shared" si="6"/>
        <v>0.11273000000073807</v>
      </c>
      <c r="J38">
        <f t="shared" si="7"/>
        <v>8.8707531268823985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COUNTIF(tables_377104!C:C,input_377104!A39)-COUNTIF(Q:Q,A39)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2.6846999999999996E-2</v>
      </c>
      <c r="C40" s="87">
        <f t="shared" si="2"/>
        <v>0</v>
      </c>
      <c r="D40" s="75">
        <f t="shared" si="3"/>
        <v>2.6846999999999996E-2</v>
      </c>
      <c r="E40">
        <f>COUNTIF(tables_377104!C:C,input_377104!A40)-COUNTIF(Q:Q,A40)</f>
        <v>1</v>
      </c>
      <c r="F40" s="43">
        <f t="shared" si="9"/>
        <v>2.6846999999999996E-2</v>
      </c>
      <c r="G40">
        <f t="shared" si="4"/>
        <v>195446.15999999997</v>
      </c>
      <c r="H40">
        <f t="shared" si="5"/>
        <v>195446.16</v>
      </c>
      <c r="I40">
        <f t="shared" si="6"/>
        <v>0.16000000000349246</v>
      </c>
      <c r="J40">
        <f t="shared" si="7"/>
        <v>6.2499999998635758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1.413E-3</v>
      </c>
      <c r="C41" s="87">
        <f t="shared" si="2"/>
        <v>0</v>
      </c>
      <c r="D41" s="75">
        <f t="shared" si="3"/>
        <v>1.413E-3</v>
      </c>
      <c r="E41">
        <f>COUNTIF(tables_377104!C:C,input_377104!A41)-COUNTIF(Q:Q,A41)</f>
        <v>1</v>
      </c>
      <c r="F41" s="43">
        <f t="shared" si="9"/>
        <v>1.413E-3</v>
      </c>
      <c r="G41">
        <f t="shared" si="4"/>
        <v>10286.64</v>
      </c>
      <c r="H41">
        <f t="shared" si="5"/>
        <v>10286.64</v>
      </c>
      <c r="I41">
        <f t="shared" si="6"/>
        <v>0.63999999999941792</v>
      </c>
      <c r="J41">
        <f t="shared" si="7"/>
        <v>1.5625000000014211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2.0727272727272726E-2</v>
      </c>
      <c r="C42" s="87">
        <f t="shared" si="2"/>
        <v>0</v>
      </c>
      <c r="D42" s="75">
        <f t="shared" si="3"/>
        <v>2.0727272727272726E-2</v>
      </c>
      <c r="E42">
        <f>COUNTIF(tables_377104!C:C,input_377104!A42)-COUNTIF(Q:Q,A42)</f>
        <v>8</v>
      </c>
      <c r="F42" s="43">
        <f>IFERROR(B42/E42,0)</f>
        <v>2.5909090909090908E-3</v>
      </c>
      <c r="G42">
        <f t="shared" si="4"/>
        <v>150894.54545454544</v>
      </c>
      <c r="H42">
        <f t="shared" si="5"/>
        <v>18861.818179999998</v>
      </c>
      <c r="I42">
        <f t="shared" si="6"/>
        <v>0.8181799999983923</v>
      </c>
      <c r="J42">
        <f t="shared" si="7"/>
        <v>1.2222249382800423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1.090909090909091E-3</v>
      </c>
      <c r="C43" s="87">
        <f t="shared" si="2"/>
        <v>0</v>
      </c>
      <c r="D43" s="75">
        <f t="shared" si="3"/>
        <v>1.090909090909091E-3</v>
      </c>
      <c r="E43">
        <f>COUNTIF(tables_377104!C:C,input_377104!A43)-COUNTIF(Q:Q,A43)</f>
        <v>8</v>
      </c>
      <c r="F43" s="43">
        <f t="shared" ref="F43:F46" si="10">IFERROR(B43/E43,0)</f>
        <v>1.3636363636363637E-4</v>
      </c>
      <c r="G43">
        <f t="shared" si="4"/>
        <v>7941.818181818182</v>
      </c>
      <c r="H43">
        <f t="shared" si="5"/>
        <v>992.72726999999998</v>
      </c>
      <c r="I43">
        <f t="shared" si="6"/>
        <v>0.72726999999997588</v>
      </c>
      <c r="J43">
        <f t="shared" si="7"/>
        <v>1.3750051562693817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8.1818181818181807E-3</v>
      </c>
      <c r="C44" s="87">
        <f t="shared" si="2"/>
        <v>0</v>
      </c>
      <c r="D44" s="75">
        <f t="shared" si="3"/>
        <v>8.1818181818181807E-3</v>
      </c>
      <c r="E44">
        <f>COUNTIF(tables_377104!C:C,input_377104!A44)-COUNTIF(Q:Q,A44)</f>
        <v>3</v>
      </c>
      <c r="F44" s="43">
        <f t="shared" si="10"/>
        <v>2.7272727272727271E-3</v>
      </c>
      <c r="G44">
        <f t="shared" si="4"/>
        <v>59563.636363636353</v>
      </c>
      <c r="H44">
        <f t="shared" si="5"/>
        <v>19854.545450000001</v>
      </c>
      <c r="I44">
        <f t="shared" si="6"/>
        <v>0.54545000000143773</v>
      </c>
      <c r="J44">
        <f t="shared" si="7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COUNTIF(tables_377104!C:C,input_377104!A45)-COUNTIF(Q:Q,A45)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8.0000000000000002E-3</v>
      </c>
      <c r="C46" s="87">
        <f t="shared" si="2"/>
        <v>0</v>
      </c>
      <c r="D46" s="75">
        <f t="shared" si="3"/>
        <v>8.0000000000000002E-3</v>
      </c>
      <c r="E46">
        <f>COUNTIF(tables_377104!C:C,input_377104!A46)-COUNTIF(Q:Q,A46)</f>
        <v>1</v>
      </c>
      <c r="F46" s="43">
        <f t="shared" si="10"/>
        <v>8.0000000000000002E-3</v>
      </c>
      <c r="G46">
        <f t="shared" si="4"/>
        <v>58240</v>
      </c>
      <c r="H46">
        <f t="shared" si="5"/>
        <v>58240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7280000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SUMIF(tables_377104!C:C,input_377104!A55,tables_377104!O:O)</f>
        <v>0</v>
      </c>
      <c r="C55" s="54">
        <f t="shared" ref="C55:C61" ca="1" si="11">B55/B$62</f>
        <v>0</v>
      </c>
      <c r="E55">
        <v>3</v>
      </c>
      <c r="F55">
        <f ca="1">SUMIF(tables_377104!J:J,input_377104!E55,tables_377104!O:O)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SUMIF(tables_377104!C:C,input_377104!A56,tables_377104!O:O)</f>
        <v>1603660.8000000005</v>
      </c>
      <c r="C56" s="54">
        <f t="shared" ca="1" si="11"/>
        <v>0.89486804042712764</v>
      </c>
      <c r="E56">
        <v>4</v>
      </c>
      <c r="F56">
        <f ca="1">SUMIF(tables_377104!J:J,input_377104!E56,tables_377104!O:O)</f>
        <v>6857760.0000099968</v>
      </c>
      <c r="G56">
        <f ca="1">F56/A51</f>
        <v>0.94200000000137318</v>
      </c>
    </row>
    <row r="57" spans="1:7" x14ac:dyDescent="0.15">
      <c r="A57" s="33" t="s">
        <v>109</v>
      </c>
      <c r="B57">
        <f ca="1">SUMIF(tables_377104!C:C,input_377104!A57,tables_377104!O:O)</f>
        <v>98800</v>
      </c>
      <c r="C57" s="54">
        <f t="shared" ca="1" si="11"/>
        <v>5.5131959572872383E-2</v>
      </c>
      <c r="E57">
        <v>5</v>
      </c>
      <c r="F57">
        <f ca="1">SUMIF(tables_377104!J:J,input_377104!E57,tables_377104!O:O)</f>
        <v>422239.99993999966</v>
      </c>
      <c r="G57">
        <f ca="1">F57/A51</f>
        <v>5.7999999991758193E-2</v>
      </c>
    </row>
    <row r="58" spans="1:7" x14ac:dyDescent="0.15">
      <c r="A58" s="33" t="s">
        <v>113</v>
      </c>
      <c r="B58">
        <f>SUMIF(tables_377104!C:C,input_377104!A58,tables_377104!O:O)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SUMIF(tables_377104!C:C,input_377104!A59,tables_377104!O:O)</f>
        <v>84403.200000000055</v>
      </c>
      <c r="C59" s="54">
        <f t="shared" ca="1" si="11"/>
        <v>4.7098317917217261E-2</v>
      </c>
      <c r="E59" t="s">
        <v>55</v>
      </c>
      <c r="F59" s="55"/>
    </row>
    <row r="60" spans="1:7" x14ac:dyDescent="0.15">
      <c r="A60" s="33" t="s">
        <v>110</v>
      </c>
      <c r="B60">
        <f ca="1">SUMIF(tables_377104!C:C,input_377104!A60,tables_377104!O:O)</f>
        <v>5200</v>
      </c>
      <c r="C60" s="54">
        <f t="shared" ca="1" si="11"/>
        <v>2.9016820827827568E-3</v>
      </c>
      <c r="E60" t="s">
        <v>210</v>
      </c>
      <c r="F60" s="55">
        <f ca="1">SUMIF(tables_377104!I:I,input_377104!E60,tables_377104!P:P)</f>
        <v>0.228253846155414</v>
      </c>
    </row>
    <row r="61" spans="1:7" x14ac:dyDescent="0.15">
      <c r="A61" s="33" t="s">
        <v>111</v>
      </c>
      <c r="B61">
        <f>SUMIF(tables_377104!C:C,input_377104!A61,tables_377104!O:O)</f>
        <v>0</v>
      </c>
      <c r="C61" s="54">
        <f t="shared" ca="1" si="11"/>
        <v>0</v>
      </c>
      <c r="E61" t="s">
        <v>211</v>
      </c>
      <c r="F61" s="55">
        <f ca="1">SUMIF(tables_377104!I:I,input_377104!E61,tables_377104!P:P)</f>
        <v>0.22825384615541403</v>
      </c>
    </row>
    <row r="62" spans="1:7" x14ac:dyDescent="0.15">
      <c r="A62" s="39" t="s">
        <v>60</v>
      </c>
      <c r="B62">
        <f ca="1">SUM(B55:B61)</f>
        <v>1792064.0000000005</v>
      </c>
      <c r="C62" s="55">
        <f ca="1">SUM(C55:C61)</f>
        <v>1.0000000000000002</v>
      </c>
      <c r="E62" t="s">
        <v>212</v>
      </c>
      <c r="F62" s="55">
        <f ca="1">SUMIF(tables_377104!I:I,input_377104!E62,tables_377104!P:P)</f>
        <v>0.48549230769564239</v>
      </c>
    </row>
    <row r="63" spans="1:7" x14ac:dyDescent="0.15">
      <c r="E63" t="s">
        <v>213</v>
      </c>
      <c r="F63" s="55">
        <f ca="1">SUMIF(tables_377104!I:I,input_377104!E63,tables_377104!P:P)</f>
        <v>4.9999999993475319E-2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" activePane="bottomLeft" state="frozen"/>
      <selection activeCell="H44" sqref="H44"/>
      <selection pane="bottomLeft" activeCell="H44" sqref="H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input_377104!A$2</f>
        <v>377104</v>
      </c>
      <c r="B2" s="6">
        <v>126</v>
      </c>
      <c r="C2" s="7" t="str">
        <f t="shared" ref="C2:C65" si="0">D2&amp;J2&amp;E2&amp;F2&amp;G2</f>
        <v>PremiumW3color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53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IFERROR(VLOOKUP(B2,input_377104!L:R,7,FALSE),VLOOKUP(tables_377104!C2,input_377104!A:H,8,FALSE))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input_377104!A$2</f>
        <v>377104</v>
      </c>
      <c r="B3" s="6">
        <v>127</v>
      </c>
      <c r="C3" s="7" t="str">
        <f t="shared" si="0"/>
        <v>PremiumW4color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53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IFERROR(VLOOKUP(B3,input_377104!L:R,7,FALSE),VLOOKUP(tables_377104!C3,input_377104!A:H,8,FALSE))</f>
        <v>205732.8</v>
      </c>
      <c r="P3" s="46">
        <f t="shared" ca="1" si="2"/>
        <v>2.8260000000194119E-2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input_377104!A$2</f>
        <v>377104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IFERROR(VLOOKUP(B4,input_377104!L:R,7,FALSE),VLOOKUP(tables_377104!C4,input_377104!A:H,8,FALSE))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input_377104!A$2</f>
        <v>377104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IFERROR(VLOOKUP(B5,input_377104!L:R,7,FALSE),VLOOKUP(tables_377104!C5,input_377104!A:H,8,FALSE))</f>
        <v>42201.599999999999</v>
      </c>
      <c r="P5" s="46">
        <f t="shared" ca="1" si="2"/>
        <v>5.7969230769628968E-3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input_377104!A$2</f>
        <v>377104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IFERROR(VLOOKUP(B6,input_377104!L:R,7,FALSE),VLOOKUP(tables_377104!C6,input_377104!A:H,8,FALSE))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input_377104!A$2</f>
        <v>377104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IFERROR(VLOOKUP(B7,input_377104!L:R,7,FALSE),VLOOKUP(tables_377104!C7,input_377104!A:H,8,FALSE))</f>
        <v>42201.599999999999</v>
      </c>
      <c r="P7" s="46">
        <f t="shared" ca="1" si="2"/>
        <v>5.7969230769628968E-3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input_377104!A$2</f>
        <v>377104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IFERROR(VLOOKUP(B8,input_377104!L:R,7,FALSE),VLOOKUP(tables_377104!C8,input_377104!A:H,8,FALSE))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input_377104!A$2</f>
        <v>377104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IFERROR(VLOOKUP(B9,input_377104!L:R,7,FALSE),VLOOKUP(tables_377104!C9,input_377104!A:H,8,FALSE))</f>
        <v>42201.599999999999</v>
      </c>
      <c r="P9" s="46">
        <f t="shared" ca="1" si="2"/>
        <v>5.7969230769628968E-3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input_377104!A$2</f>
        <v>377104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53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IFERROR(VLOOKUP(B10,input_377104!L:R,7,FALSE),VLOOKUP(tables_377104!C10,input_377104!A:H,8,FALSE))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input_377104!A$2</f>
        <v>377104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53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IFERROR(VLOOKUP(B11,input_377104!L:R,7,FALSE),VLOOKUP(tables_377104!C11,input_377104!A:H,8,FALSE))</f>
        <v>205732.8</v>
      </c>
      <c r="P11" s="46">
        <f t="shared" ca="1" si="2"/>
        <v>2.8260000000194119E-2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input_377104!A$2</f>
        <v>377104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IFERROR(VLOOKUP(B12,input_377104!L:R,7,FALSE),VLOOKUP(tables_377104!C12,input_377104!A:H,8,FALSE))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input_377104!A$2</f>
        <v>377104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IFERROR(VLOOKUP(B13,input_377104!L:R,7,FALSE),VLOOKUP(tables_377104!C13,input_377104!A:H,8,FALSE))</f>
        <v>42201.599999999999</v>
      </c>
      <c r="P13" s="46">
        <f t="shared" ca="1" si="2"/>
        <v>5.7969230769628968E-3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input_377104!A$2</f>
        <v>377104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IFERROR(VLOOKUP(B14,input_377104!L:R,7,FALSE),VLOOKUP(tables_377104!C14,input_377104!A:H,8,FALSE))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input_377104!A$2</f>
        <v>377104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IFERROR(VLOOKUP(B15,input_377104!L:R,7,FALSE),VLOOKUP(tables_377104!C15,input_377104!A:H,8,FALSE))</f>
        <v>42201.599999999999</v>
      </c>
      <c r="P15" s="46">
        <f t="shared" ca="1" si="2"/>
        <v>5.7969230769628968E-3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input_377104!A$2</f>
        <v>377104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IFERROR(VLOOKUP(B16,input_377104!L:R,7,FALSE),VLOOKUP(tables_377104!C16,input_377104!A:H,8,FALSE))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input_377104!A$2</f>
        <v>377104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IFERROR(VLOOKUP(B17,input_377104!L:R,7,FALSE),VLOOKUP(tables_377104!C17,input_377104!A:H,8,FALSE))</f>
        <v>42201.599999999999</v>
      </c>
      <c r="P17" s="46">
        <f t="shared" ca="1" si="2"/>
        <v>5.7969230769628968E-3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input_377104!A$2</f>
        <v>377104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53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IFERROR(VLOOKUP(B18,input_377104!L:R,7,FALSE),VLOOKUP(tables_377104!C18,input_377104!A:H,8,FALSE))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input_377104!A$2</f>
        <v>377104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53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IFERROR(VLOOKUP(B19,input_377104!L:R,7,FALSE),VLOOKUP(tables_377104!C19,input_377104!A:H,8,FALSE))</f>
        <v>205732.8</v>
      </c>
      <c r="P19" s="46">
        <f t="shared" ca="1" si="2"/>
        <v>2.8260000000194119E-2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input_377104!A$2</f>
        <v>377104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IFERROR(VLOOKUP(B20,input_377104!L:R,7,FALSE),VLOOKUP(tables_377104!C20,input_377104!A:H,8,FALSE))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input_377104!A$2</f>
        <v>377104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IFERROR(VLOOKUP(B21,input_377104!L:R,7,FALSE),VLOOKUP(tables_377104!C21,input_377104!A:H,8,FALSE))</f>
        <v>42201.599999999999</v>
      </c>
      <c r="P21" s="46">
        <f t="shared" ca="1" si="2"/>
        <v>5.7969230769628968E-3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input_377104!A$2</f>
        <v>377104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IFERROR(VLOOKUP(B22,input_377104!L:R,7,FALSE),VLOOKUP(tables_377104!C22,input_377104!A:H,8,FALSE))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input_377104!A$2</f>
        <v>377104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IFERROR(VLOOKUP(B23,input_377104!L:R,7,FALSE),VLOOKUP(tables_377104!C23,input_377104!A:H,8,FALSE))</f>
        <v>42201.599999999999</v>
      </c>
      <c r="P23" s="46">
        <f t="shared" ca="1" si="2"/>
        <v>5.7969230769628968E-3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input_377104!A$2</f>
        <v>377104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IFERROR(VLOOKUP(B24,input_377104!L:R,7,FALSE),VLOOKUP(tables_377104!C24,input_377104!A:H,8,FALSE))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input_377104!A$2</f>
        <v>377104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IFERROR(VLOOKUP(B25,input_377104!L:R,7,FALSE),VLOOKUP(tables_377104!C25,input_377104!A:H,8,FALSE))</f>
        <v>42201.599999999999</v>
      </c>
      <c r="P25" s="46">
        <f t="shared" ca="1" si="2"/>
        <v>5.7969230769628968E-3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input_377104!A$2</f>
        <v>377104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53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IFERROR(VLOOKUP(B26,input_377104!L:R,7,FALSE),VLOOKUP(tables_377104!C26,input_377104!A:H,8,FALSE))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input_377104!A$2</f>
        <v>377104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53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IFERROR(VLOOKUP(B27,input_377104!L:R,7,FALSE),VLOOKUP(tables_377104!C27,input_377104!A:H,8,FALSE))</f>
        <v>205732.8</v>
      </c>
      <c r="P27" s="46">
        <f t="shared" ca="1" si="2"/>
        <v>2.8260000000194119E-2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input_377104!A$2</f>
        <v>377104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IFERROR(VLOOKUP(B28,input_377104!L:R,7,FALSE),VLOOKUP(tables_377104!C28,input_377104!A:H,8,FALSE))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input_377104!A$2</f>
        <v>377104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IFERROR(VLOOKUP(B29,input_377104!L:R,7,FALSE),VLOOKUP(tables_377104!C29,input_377104!A:H,8,FALSE))</f>
        <v>42201.599999999999</v>
      </c>
      <c r="P29" s="46">
        <f t="shared" ca="1" si="2"/>
        <v>5.7969230769628968E-3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input_377104!A$2</f>
        <v>377104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IFERROR(VLOOKUP(B30,input_377104!L:R,7,FALSE),VLOOKUP(tables_377104!C30,input_377104!A:H,8,FALSE))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input_377104!A$2</f>
        <v>377104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IFERROR(VLOOKUP(B31,input_377104!L:R,7,FALSE),VLOOKUP(tables_377104!C31,input_377104!A:H,8,FALSE))</f>
        <v>42201.599999999999</v>
      </c>
      <c r="P31" s="46">
        <f t="shared" ca="1" si="2"/>
        <v>5.7969230769628968E-3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input_377104!A$2</f>
        <v>377104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IFERROR(VLOOKUP(B32,input_377104!L:R,7,FALSE),VLOOKUP(tables_377104!C32,input_377104!A:H,8,FALSE))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input_377104!A$2</f>
        <v>377104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IFERROR(VLOOKUP(B33,input_377104!L:R,7,FALSE),VLOOKUP(tables_377104!C33,input_377104!A:H,8,FALSE))</f>
        <v>42201.599999999999</v>
      </c>
      <c r="P33" s="46">
        <f t="shared" ca="1" si="2"/>
        <v>5.7969230769628968E-3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input_377104!A$2</f>
        <v>377104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53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IFERROR(VLOOKUP(B34,input_377104!L:R,7,FALSE),VLOOKUP(tables_377104!C34,input_377104!A:H,8,FALSE))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input_377104!A$2</f>
        <v>377104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53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IFERROR(VLOOKUP(B35,input_377104!L:R,7,FALSE),VLOOKUP(tables_377104!C35,input_377104!A:H,8,FALSE))</f>
        <v>205732.8</v>
      </c>
      <c r="P35" s="46">
        <f t="shared" ca="1" si="2"/>
        <v>2.8260000000194119E-2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input_377104!A$2</f>
        <v>377104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IFERROR(VLOOKUP(B36,input_377104!L:R,7,FALSE),VLOOKUP(tables_377104!C36,input_377104!A:H,8,FALSE))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input_377104!A$2</f>
        <v>377104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IFERROR(VLOOKUP(B37,input_377104!L:R,7,FALSE),VLOOKUP(tables_377104!C37,input_377104!A:H,8,FALSE))</f>
        <v>42201.599999999999</v>
      </c>
      <c r="P37" s="46">
        <f t="shared" ca="1" si="2"/>
        <v>5.7969230769628968E-3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input_377104!A$2</f>
        <v>377104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IFERROR(VLOOKUP(B38,input_377104!L:R,7,FALSE),VLOOKUP(tables_377104!C38,input_377104!A:H,8,FALSE))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input_377104!A$2</f>
        <v>377104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IFERROR(VLOOKUP(B39,input_377104!L:R,7,FALSE),VLOOKUP(tables_377104!C39,input_377104!A:H,8,FALSE))</f>
        <v>42201.599999999999</v>
      </c>
      <c r="P39" s="46">
        <f t="shared" ca="1" si="2"/>
        <v>5.7969230769628968E-3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input_377104!A$2</f>
        <v>377104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IFERROR(VLOOKUP(B40,input_377104!L:R,7,FALSE),VLOOKUP(tables_377104!C40,input_377104!A:H,8,FALSE))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input_377104!A$2</f>
        <v>377104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IFERROR(VLOOKUP(B41,input_377104!L:R,7,FALSE),VLOOKUP(tables_377104!C41,input_377104!A:H,8,FALSE))</f>
        <v>42201.599999999999</v>
      </c>
      <c r="P41" s="46">
        <f t="shared" ca="1" si="2"/>
        <v>5.7969230769628968E-3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input_377104!A$2</f>
        <v>377104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53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IFERROR(VLOOKUP(B42,input_377104!L:R,7,FALSE),VLOOKUP(tables_377104!C42,input_377104!A:H,8,FALSE))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input_377104!A$2</f>
        <v>377104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53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IFERROR(VLOOKUP(B43,input_377104!L:R,7,FALSE),VLOOKUP(tables_377104!C43,input_377104!A:H,8,FALSE))</f>
        <v>195446.16</v>
      </c>
      <c r="P43" s="46">
        <f t="shared" ca="1" si="2"/>
        <v>2.6847000000184418E-2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input_377104!A$2</f>
        <v>377104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53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IFERROR(VLOOKUP(B44,input_377104!L:R,7,FALSE),VLOOKUP(tables_377104!C44,input_377104!A:H,8,FALSE))</f>
        <v>10286.64</v>
      </c>
      <c r="P44" s="46">
        <f t="shared" ca="1" si="2"/>
        <v>1.413000000009706E-3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input_377104!A$2</f>
        <v>377104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IFERROR(VLOOKUP(B45,input_377104!L:R,7,FALSE),VLOOKUP(tables_377104!C45,input_377104!A:H,8,FALSE))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input_377104!A$2</f>
        <v>377104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IFERROR(VLOOKUP(B46,input_377104!L:R,7,FALSE),VLOOKUP(tables_377104!C46,input_377104!A:H,8,FALSE))</f>
        <v>40091.519999999997</v>
      </c>
      <c r="P46" s="46">
        <f t="shared" ca="1" si="2"/>
        <v>5.5070769231147518E-3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input_377104!A$2</f>
        <v>377104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IFERROR(VLOOKUP(B47,input_377104!L:R,7,FALSE),VLOOKUP(tables_377104!C47,input_377104!A:H,8,FALSE))</f>
        <v>2110.08</v>
      </c>
      <c r="P47" s="46">
        <f t="shared" ca="1" si="2"/>
        <v>2.8984615384814485E-4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input_377104!A$2</f>
        <v>377104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IFERROR(VLOOKUP(B48,input_377104!L:R,7,FALSE),VLOOKUP(tables_377104!C48,input_377104!A:H,8,FALSE))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input_377104!A$2</f>
        <v>377104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IFERROR(VLOOKUP(B49,input_377104!L:R,7,FALSE),VLOOKUP(tables_377104!C49,input_377104!A:H,8,FALSE))</f>
        <v>40091.519999999997</v>
      </c>
      <c r="P49" s="46">
        <f t="shared" ca="1" si="2"/>
        <v>5.5070769231147518E-3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input_377104!A$2</f>
        <v>377104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IFERROR(VLOOKUP(B50,input_377104!L:R,7,FALSE),VLOOKUP(tables_377104!C50,input_377104!A:H,8,FALSE))</f>
        <v>2110.08</v>
      </c>
      <c r="P50" s="46">
        <f t="shared" ca="1" si="2"/>
        <v>2.8984615384814485E-4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input_377104!A$2</f>
        <v>377104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IFERROR(VLOOKUP(B51,input_377104!L:R,7,FALSE),VLOOKUP(tables_377104!C51,input_377104!A:H,8,FALSE))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input_377104!A$2</f>
        <v>377104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IFERROR(VLOOKUP(B52,input_377104!L:R,7,FALSE),VLOOKUP(tables_377104!C52,input_377104!A:H,8,FALSE))</f>
        <v>40091.519999999997</v>
      </c>
      <c r="P52" s="46">
        <f t="shared" ca="1" si="2"/>
        <v>5.5070769231147518E-3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input_377104!A$2</f>
        <v>377104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IFERROR(VLOOKUP(B53,input_377104!L:R,7,FALSE),VLOOKUP(tables_377104!C53,input_377104!A:H,8,FALSE))</f>
        <v>2110.08</v>
      </c>
      <c r="P53" s="46">
        <f t="shared" ca="1" si="2"/>
        <v>2.8984615384814485E-4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input_377104!A$2</f>
        <v>377104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53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IFERROR(VLOOKUP(B54,input_377104!L:R,7,FALSE),VLOOKUP(tables_377104!C54,input_377104!A:H,8,FALSE))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input_377104!A$2</f>
        <v>377104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53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IFERROR(VLOOKUP(B55,input_377104!L:R,7,FALSE),VLOOKUP(tables_377104!C55,input_377104!A:H,8,FALSE))</f>
        <v>195446.16</v>
      </c>
      <c r="P55" s="46">
        <f t="shared" ca="1" si="2"/>
        <v>2.6847000000184418E-2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input_377104!A$2</f>
        <v>377104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53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IFERROR(VLOOKUP(B56,input_377104!L:R,7,FALSE),VLOOKUP(tables_377104!C56,input_377104!A:H,8,FALSE))</f>
        <v>10286.64</v>
      </c>
      <c r="P56" s="46">
        <f t="shared" ca="1" si="2"/>
        <v>1.413000000009706E-3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input_377104!A$2</f>
        <v>377104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IFERROR(VLOOKUP(B57,input_377104!L:R,7,FALSE),VLOOKUP(tables_377104!C57,input_377104!A:H,8,FALSE))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input_377104!A$2</f>
        <v>377104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IFERROR(VLOOKUP(B58,input_377104!L:R,7,FALSE),VLOOKUP(tables_377104!C58,input_377104!A:H,8,FALSE))</f>
        <v>40091.519999999997</v>
      </c>
      <c r="P58" s="46">
        <f t="shared" ca="1" si="2"/>
        <v>5.5070769231147518E-3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input_377104!A$2</f>
        <v>377104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IFERROR(VLOOKUP(B59,input_377104!L:R,7,FALSE),VLOOKUP(tables_377104!C59,input_377104!A:H,8,FALSE))</f>
        <v>2110.08</v>
      </c>
      <c r="P59" s="46">
        <f t="shared" ca="1" si="2"/>
        <v>2.8984615384814485E-4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input_377104!A$2</f>
        <v>377104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IFERROR(VLOOKUP(B60,input_377104!L:R,7,FALSE),VLOOKUP(tables_377104!C60,input_377104!A:H,8,FALSE))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input_377104!A$2</f>
        <v>377104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IFERROR(VLOOKUP(B61,input_377104!L:R,7,FALSE),VLOOKUP(tables_377104!C61,input_377104!A:H,8,FALSE))</f>
        <v>40091.519999999997</v>
      </c>
      <c r="P61" s="46">
        <f t="shared" ca="1" si="2"/>
        <v>5.5070769231147518E-3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input_377104!A$2</f>
        <v>377104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IFERROR(VLOOKUP(B62,input_377104!L:R,7,FALSE),VLOOKUP(tables_377104!C62,input_377104!A:H,8,FALSE))</f>
        <v>2110.08</v>
      </c>
      <c r="P62" s="46">
        <f t="shared" ca="1" si="2"/>
        <v>2.8984615384814485E-4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input_377104!A$2</f>
        <v>377104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IFERROR(VLOOKUP(B63,input_377104!L:R,7,FALSE),VLOOKUP(tables_377104!C63,input_377104!A:H,8,FALSE))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input_377104!A$2</f>
        <v>377104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IFERROR(VLOOKUP(B64,input_377104!L:R,7,FALSE),VLOOKUP(tables_377104!C64,input_377104!A:H,8,FALSE))</f>
        <v>40091.519999999997</v>
      </c>
      <c r="P64" s="46">
        <f t="shared" ca="1" si="2"/>
        <v>5.5070769231147518E-3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input_377104!A$2</f>
        <v>377104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IFERROR(VLOOKUP(B65,input_377104!L:R,7,FALSE),VLOOKUP(tables_377104!C65,input_377104!A:H,8,FALSE))</f>
        <v>2110.08</v>
      </c>
      <c r="P65" s="46">
        <f t="shared" ca="1" si="2"/>
        <v>2.8984615384814485E-4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input_377104!A$2</f>
        <v>377104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53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IFERROR(VLOOKUP(B66,input_377104!L:R,7,FALSE),VLOOKUP(tables_377104!C66,input_377104!A:H,8,FALSE))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input_377104!A$2</f>
        <v>377104</v>
      </c>
      <c r="B67" s="6">
        <v>191</v>
      </c>
      <c r="C67" s="7" t="str">
        <f t="shared" si="3"/>
        <v>Premium4color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53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IFERROR(VLOOKUP(B67,input_377104!L:R,7,FALSE),VLOOKUP(tables_377104!C67,input_377104!A:H,8,FALSE))</f>
        <v>195446.16</v>
      </c>
      <c r="P67" s="46">
        <f t="shared" ca="1" si="5"/>
        <v>2.6847000000184418E-2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input_377104!A$2</f>
        <v>377104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53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IFERROR(VLOOKUP(B68,input_377104!L:R,7,FALSE),VLOOKUP(tables_377104!C68,input_377104!A:H,8,FALSE))</f>
        <v>10286.64</v>
      </c>
      <c r="P68" s="46">
        <f t="shared" ca="1" si="5"/>
        <v>1.413000000009706E-3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input_377104!A$2</f>
        <v>377104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IFERROR(VLOOKUP(B69,input_377104!L:R,7,FALSE),VLOOKUP(tables_377104!C69,input_377104!A:H,8,FALSE))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input_377104!A$2</f>
        <v>377104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IFERROR(VLOOKUP(B70,input_377104!L:R,7,FALSE),VLOOKUP(tables_377104!C70,input_377104!A:H,8,FALSE))</f>
        <v>40091.519999999997</v>
      </c>
      <c r="P70" s="46">
        <f t="shared" ca="1" si="5"/>
        <v>5.5070769231147518E-3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input_377104!A$2</f>
        <v>377104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IFERROR(VLOOKUP(B71,input_377104!L:R,7,FALSE),VLOOKUP(tables_377104!C71,input_377104!A:H,8,FALSE))</f>
        <v>2110.08</v>
      </c>
      <c r="P71" s="46">
        <f t="shared" ca="1" si="5"/>
        <v>2.8984615384814485E-4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input_377104!A$2</f>
        <v>377104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IFERROR(VLOOKUP(B72,input_377104!L:R,7,FALSE),VLOOKUP(tables_377104!C72,input_377104!A:H,8,FALSE))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input_377104!A$2</f>
        <v>377104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IFERROR(VLOOKUP(B73,input_377104!L:R,7,FALSE),VLOOKUP(tables_377104!C73,input_377104!A:H,8,FALSE))</f>
        <v>40091.519999999997</v>
      </c>
      <c r="P73" s="46">
        <f t="shared" ca="1" si="5"/>
        <v>5.5070769231147518E-3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input_377104!A$2</f>
        <v>377104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IFERROR(VLOOKUP(B74,input_377104!L:R,7,FALSE),VLOOKUP(tables_377104!C74,input_377104!A:H,8,FALSE))</f>
        <v>2110.08</v>
      </c>
      <c r="P74" s="46">
        <f t="shared" ca="1" si="5"/>
        <v>2.8984615384814485E-4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input_377104!A$2</f>
        <v>377104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IFERROR(VLOOKUP(B75,input_377104!L:R,7,FALSE),VLOOKUP(tables_377104!C75,input_377104!A:H,8,FALSE))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input_377104!A$2</f>
        <v>377104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IFERROR(VLOOKUP(B76,input_377104!L:R,7,FALSE),VLOOKUP(tables_377104!C76,input_377104!A:H,8,FALSE))</f>
        <v>40091.519999999997</v>
      </c>
      <c r="P76" s="46">
        <f t="shared" ca="1" si="5"/>
        <v>5.5070769231147518E-3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input_377104!A$2</f>
        <v>377104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IFERROR(VLOOKUP(B77,input_377104!L:R,7,FALSE),VLOOKUP(tables_377104!C77,input_377104!A:H,8,FALSE))</f>
        <v>2110.08</v>
      </c>
      <c r="P77" s="46">
        <f t="shared" ca="1" si="5"/>
        <v>2.8984615384814485E-4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input_377104!A$2</f>
        <v>377104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53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IFERROR(VLOOKUP(B78,input_377104!L:R,7,FALSE),VLOOKUP(tables_377104!C78,input_377104!A:H,8,FALSE))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input_377104!A$2</f>
        <v>377104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53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IFERROR(VLOOKUP(B79,input_377104!L:R,7,FALSE),VLOOKUP(tables_377104!C79,input_377104!A:H,8,FALSE))</f>
        <v>195446.16</v>
      </c>
      <c r="P79" s="46">
        <f t="shared" ca="1" si="5"/>
        <v>2.6847000000184418E-2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input_377104!A$2</f>
        <v>377104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53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IFERROR(VLOOKUP(B80,input_377104!L:R,7,FALSE),VLOOKUP(tables_377104!C80,input_377104!A:H,8,FALSE))</f>
        <v>10286.64</v>
      </c>
      <c r="P80" s="46">
        <f t="shared" ca="1" si="5"/>
        <v>1.413000000009706E-3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input_377104!A$2</f>
        <v>377104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IFERROR(VLOOKUP(B81,input_377104!L:R,7,FALSE),VLOOKUP(tables_377104!C81,input_377104!A:H,8,FALSE))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input_377104!A$2</f>
        <v>377104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IFERROR(VLOOKUP(B82,input_377104!L:R,7,FALSE),VLOOKUP(tables_377104!C82,input_377104!A:H,8,FALSE))</f>
        <v>40091.519999999997</v>
      </c>
      <c r="P82" s="46">
        <f t="shared" ca="1" si="5"/>
        <v>5.5070769231147518E-3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input_377104!A$2</f>
        <v>377104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IFERROR(VLOOKUP(B83,input_377104!L:R,7,FALSE),VLOOKUP(tables_377104!C83,input_377104!A:H,8,FALSE))</f>
        <v>2110.08</v>
      </c>
      <c r="P83" s="46">
        <f t="shared" ca="1" si="5"/>
        <v>2.8984615384814485E-4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input_377104!A$2</f>
        <v>377104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IFERROR(VLOOKUP(B84,input_377104!L:R,7,FALSE),VLOOKUP(tables_377104!C84,input_377104!A:H,8,FALSE))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input_377104!A$2</f>
        <v>377104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IFERROR(VLOOKUP(B85,input_377104!L:R,7,FALSE),VLOOKUP(tables_377104!C85,input_377104!A:H,8,FALSE))</f>
        <v>40091.519999999997</v>
      </c>
      <c r="P85" s="46">
        <f t="shared" ca="1" si="5"/>
        <v>5.5070769231147518E-3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input_377104!A$2</f>
        <v>377104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IFERROR(VLOOKUP(B86,input_377104!L:R,7,FALSE),VLOOKUP(tables_377104!C86,input_377104!A:H,8,FALSE))</f>
        <v>2110.08</v>
      </c>
      <c r="P86" s="46">
        <f t="shared" ca="1" si="5"/>
        <v>2.8984615384814485E-4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input_377104!A$2</f>
        <v>377104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IFERROR(VLOOKUP(B87,input_377104!L:R,7,FALSE),VLOOKUP(tables_377104!C87,input_377104!A:H,8,FALSE))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input_377104!A$2</f>
        <v>377104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IFERROR(VLOOKUP(B88,input_377104!L:R,7,FALSE),VLOOKUP(tables_377104!C88,input_377104!A:H,8,FALSE))</f>
        <v>40091.519999999997</v>
      </c>
      <c r="P88" s="46">
        <f t="shared" ca="1" si="5"/>
        <v>5.5070769231147518E-3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input_377104!A$2</f>
        <v>377104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IFERROR(VLOOKUP(B89,input_377104!L:R,7,FALSE),VLOOKUP(tables_377104!C89,input_377104!A:H,8,FALSE))</f>
        <v>2110.08</v>
      </c>
      <c r="P89" s="46">
        <f t="shared" ca="1" si="5"/>
        <v>2.8984615384814485E-4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input_377104!A$2</f>
        <v>377104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53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IFERROR(VLOOKUP(B90,input_377104!L:R,7,FALSE),VLOOKUP(tables_377104!C90,input_377104!A:H,8,FALSE))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input_377104!A$2</f>
        <v>377104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53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IFERROR(VLOOKUP(B91,input_377104!L:R,7,FALSE),VLOOKUP(tables_377104!C91,input_377104!A:H,8,FALSE))</f>
        <v>195446.16</v>
      </c>
      <c r="P91" s="46">
        <f t="shared" ca="1" si="5"/>
        <v>2.6847000000184418E-2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input_377104!A$2</f>
        <v>377104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53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IFERROR(VLOOKUP(B92,input_377104!L:R,7,FALSE),VLOOKUP(tables_377104!C92,input_377104!A:H,8,FALSE))</f>
        <v>10286.64</v>
      </c>
      <c r="P92" s="46">
        <f t="shared" ca="1" si="5"/>
        <v>1.413000000009706E-3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input_377104!A$2</f>
        <v>377104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IFERROR(VLOOKUP(B93,input_377104!L:R,7,FALSE),VLOOKUP(tables_377104!C93,input_377104!A:H,8,FALSE))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input_377104!A$2</f>
        <v>377104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IFERROR(VLOOKUP(B94,input_377104!L:R,7,FALSE),VLOOKUP(tables_377104!C94,input_377104!A:H,8,FALSE))</f>
        <v>40091.519999999997</v>
      </c>
      <c r="P94" s="46">
        <f t="shared" ca="1" si="5"/>
        <v>5.5070769231147518E-3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input_377104!A$2</f>
        <v>377104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IFERROR(VLOOKUP(B95,input_377104!L:R,7,FALSE),VLOOKUP(tables_377104!C95,input_377104!A:H,8,FALSE))</f>
        <v>2110.08</v>
      </c>
      <c r="P95" s="46">
        <f t="shared" ca="1" si="5"/>
        <v>2.8984615384814485E-4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input_377104!A$2</f>
        <v>377104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IFERROR(VLOOKUP(B96,input_377104!L:R,7,FALSE),VLOOKUP(tables_377104!C96,input_377104!A:H,8,FALSE))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input_377104!A$2</f>
        <v>377104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IFERROR(VLOOKUP(B97,input_377104!L:R,7,FALSE),VLOOKUP(tables_377104!C97,input_377104!A:H,8,FALSE))</f>
        <v>40091.519999999997</v>
      </c>
      <c r="P97" s="46">
        <f t="shared" ca="1" si="5"/>
        <v>5.5070769231147518E-3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input_377104!A$2</f>
        <v>377104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IFERROR(VLOOKUP(B98,input_377104!L:R,7,FALSE),VLOOKUP(tables_377104!C98,input_377104!A:H,8,FALSE))</f>
        <v>2110.08</v>
      </c>
      <c r="P98" s="46">
        <f t="shared" ca="1" si="5"/>
        <v>2.8984615384814485E-4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input_377104!A$2</f>
        <v>377104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IFERROR(VLOOKUP(B99,input_377104!L:R,7,FALSE),VLOOKUP(tables_377104!C99,input_377104!A:H,8,FALSE))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input_377104!A$2</f>
        <v>377104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IFERROR(VLOOKUP(B100,input_377104!L:R,7,FALSE),VLOOKUP(tables_377104!C100,input_377104!A:H,8,FALSE))</f>
        <v>40091.519999999997</v>
      </c>
      <c r="P100" s="46">
        <f t="shared" ca="1" si="5"/>
        <v>5.5070769231147518E-3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input_377104!A$2</f>
        <v>377104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IFERROR(VLOOKUP(B101,input_377104!L:R,7,FALSE),VLOOKUP(tables_377104!C101,input_377104!A:H,8,FALSE))</f>
        <v>2110.08</v>
      </c>
      <c r="P101" s="46">
        <f t="shared" ca="1" si="5"/>
        <v>2.8984615384814485E-4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input_377104!A$2</f>
        <v>377104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53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IFERROR(VLOOKUP(B102,input_377104!L:R,7,FALSE),VLOOKUP(tables_377104!C102,input_377104!A:H,8,FALSE))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input_377104!A$2</f>
        <v>377104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53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IFERROR(VLOOKUP(B103,input_377104!L:R,7,FALSE),VLOOKUP(tables_377104!C103,input_377104!A:H,8,FALSE))</f>
        <v>195446.16</v>
      </c>
      <c r="P103" s="46">
        <f t="shared" ca="1" si="5"/>
        <v>2.6847000000184418E-2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input_377104!A$2</f>
        <v>377104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53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IFERROR(VLOOKUP(B104,input_377104!L:R,7,FALSE),VLOOKUP(tables_377104!C104,input_377104!A:H,8,FALSE))</f>
        <v>10286.64</v>
      </c>
      <c r="P104" s="46">
        <f t="shared" ca="1" si="5"/>
        <v>1.413000000009706E-3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input_377104!A$2</f>
        <v>377104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IFERROR(VLOOKUP(B105,input_377104!L:R,7,FALSE),VLOOKUP(tables_377104!C105,input_377104!A:H,8,FALSE))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input_377104!A$2</f>
        <v>377104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IFERROR(VLOOKUP(B106,input_377104!L:R,7,FALSE),VLOOKUP(tables_377104!C106,input_377104!A:H,8,FALSE))</f>
        <v>40091.519999999997</v>
      </c>
      <c r="P106" s="46">
        <f t="shared" ca="1" si="5"/>
        <v>5.5070769231147518E-3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input_377104!A$2</f>
        <v>377104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IFERROR(VLOOKUP(B107,input_377104!L:R,7,FALSE),VLOOKUP(tables_377104!C107,input_377104!A:H,8,FALSE))</f>
        <v>2110.08</v>
      </c>
      <c r="P107" s="46">
        <f t="shared" ca="1" si="5"/>
        <v>2.8984615384814485E-4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input_377104!A$2</f>
        <v>377104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IFERROR(VLOOKUP(B108,input_377104!L:R,7,FALSE),VLOOKUP(tables_377104!C108,input_377104!A:H,8,FALSE))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input_377104!A$2</f>
        <v>377104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IFERROR(VLOOKUP(B109,input_377104!L:R,7,FALSE),VLOOKUP(tables_377104!C109,input_377104!A:H,8,FALSE))</f>
        <v>40091.519999999997</v>
      </c>
      <c r="P109" s="46">
        <f t="shared" ca="1" si="5"/>
        <v>5.5070769231147518E-3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input_377104!A$2</f>
        <v>377104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IFERROR(VLOOKUP(B110,input_377104!L:R,7,FALSE),VLOOKUP(tables_377104!C110,input_377104!A:H,8,FALSE))</f>
        <v>2110.08</v>
      </c>
      <c r="P110" s="46">
        <f t="shared" ca="1" si="5"/>
        <v>2.8984615384814485E-4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input_377104!A$2</f>
        <v>377104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IFERROR(VLOOKUP(B111,input_377104!L:R,7,FALSE),VLOOKUP(tables_377104!C111,input_377104!A:H,8,FALSE))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input_377104!A$2</f>
        <v>377104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IFERROR(VLOOKUP(B112,input_377104!L:R,7,FALSE),VLOOKUP(tables_377104!C112,input_377104!A:H,8,FALSE))</f>
        <v>40091.519999999997</v>
      </c>
      <c r="P112" s="46">
        <f t="shared" ca="1" si="5"/>
        <v>5.5070769231147518E-3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input_377104!A$2</f>
        <v>377104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IFERROR(VLOOKUP(B113,input_377104!L:R,7,FALSE),VLOOKUP(tables_377104!C113,input_377104!A:H,8,FALSE))</f>
        <v>2110.08</v>
      </c>
      <c r="P113" s="46">
        <f t="shared" ca="1" si="5"/>
        <v>2.8984615384814485E-4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input_377104!A$2</f>
        <v>377104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53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IFERROR(VLOOKUP(B114,input_377104!L:R,7,FALSE),VLOOKUP(tables_377104!C114,input_377104!A:H,8,FALSE))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input_377104!A$2</f>
        <v>377104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53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IFERROR(VLOOKUP(B115,input_377104!L:R,7,FALSE),VLOOKUP(tables_377104!C115,input_377104!A:H,8,FALSE))</f>
        <v>195446.16</v>
      </c>
      <c r="P115" s="46">
        <f t="shared" ca="1" si="5"/>
        <v>2.6847000000184418E-2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input_377104!A$2</f>
        <v>377104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53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IFERROR(VLOOKUP(B116,input_377104!L:R,7,FALSE),VLOOKUP(tables_377104!C116,input_377104!A:H,8,FALSE))</f>
        <v>10286.64</v>
      </c>
      <c r="P116" s="46">
        <f t="shared" ca="1" si="5"/>
        <v>1.413000000009706E-3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input_377104!A$2</f>
        <v>377104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IFERROR(VLOOKUP(B117,input_377104!L:R,7,FALSE),VLOOKUP(tables_377104!C117,input_377104!A:H,8,FALSE))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input_377104!A$2</f>
        <v>377104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IFERROR(VLOOKUP(B118,input_377104!L:R,7,FALSE),VLOOKUP(tables_377104!C118,input_377104!A:H,8,FALSE))</f>
        <v>40091.519999999997</v>
      </c>
      <c r="P118" s="46">
        <f t="shared" ca="1" si="5"/>
        <v>5.5070769231147518E-3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input_377104!A$2</f>
        <v>377104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IFERROR(VLOOKUP(B119,input_377104!L:R,7,FALSE),VLOOKUP(tables_377104!C119,input_377104!A:H,8,FALSE))</f>
        <v>2110.08</v>
      </c>
      <c r="P119" s="46">
        <f t="shared" ca="1" si="5"/>
        <v>2.8984615384814485E-4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input_377104!A$2</f>
        <v>377104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IFERROR(VLOOKUP(B120,input_377104!L:R,7,FALSE),VLOOKUP(tables_377104!C120,input_377104!A:H,8,FALSE))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input_377104!A$2</f>
        <v>377104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IFERROR(VLOOKUP(B121,input_377104!L:R,7,FALSE),VLOOKUP(tables_377104!C121,input_377104!A:H,8,FALSE))</f>
        <v>40091.519999999997</v>
      </c>
      <c r="P121" s="46">
        <f t="shared" ca="1" si="5"/>
        <v>5.5070769231147518E-3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input_377104!A$2</f>
        <v>377104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IFERROR(VLOOKUP(B122,input_377104!L:R,7,FALSE),VLOOKUP(tables_377104!C122,input_377104!A:H,8,FALSE))</f>
        <v>2110.08</v>
      </c>
      <c r="P122" s="46">
        <f t="shared" ca="1" si="5"/>
        <v>2.8984615384814485E-4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input_377104!A$2</f>
        <v>377104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IFERROR(VLOOKUP(B123,input_377104!L:R,7,FALSE),VLOOKUP(tables_377104!C123,input_377104!A:H,8,FALSE))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input_377104!A$2</f>
        <v>377104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IFERROR(VLOOKUP(B124,input_377104!L:R,7,FALSE),VLOOKUP(tables_377104!C124,input_377104!A:H,8,FALSE))</f>
        <v>40091.519999999997</v>
      </c>
      <c r="P124" s="46">
        <f t="shared" ca="1" si="5"/>
        <v>5.5070769231147518E-3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input_377104!A$2</f>
        <v>377104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IFERROR(VLOOKUP(B125,input_377104!L:R,7,FALSE),VLOOKUP(tables_377104!C125,input_377104!A:H,8,FALSE))</f>
        <v>2110.08</v>
      </c>
      <c r="P125" s="46">
        <f t="shared" ca="1" si="5"/>
        <v>2.8984615384814485E-4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input_377104!A$2</f>
        <v>377104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53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IFERROR(VLOOKUP(B126,input_377104!L:R,7,FALSE),VLOOKUP(tables_377104!C126,input_377104!A:H,8,FALSE))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input_377104!A$2</f>
        <v>377104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53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IFERROR(VLOOKUP(B127,input_377104!L:R,7,FALSE),VLOOKUP(tables_377104!C127,input_377104!A:H,8,FALSE))</f>
        <v>195446.16</v>
      </c>
      <c r="P127" s="46">
        <f t="shared" ca="1" si="5"/>
        <v>2.6847000000184418E-2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input_377104!A$2</f>
        <v>377104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53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IFERROR(VLOOKUP(B128,input_377104!L:R,7,FALSE),VLOOKUP(tables_377104!C128,input_377104!A:H,8,FALSE))</f>
        <v>10286.64</v>
      </c>
      <c r="P128" s="46">
        <f t="shared" ca="1" si="5"/>
        <v>1.413000000009706E-3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input_377104!A$2</f>
        <v>377104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IFERROR(VLOOKUP(B129,input_377104!L:R,7,FALSE),VLOOKUP(tables_377104!C129,input_377104!A:H,8,FALSE))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input_377104!A$2</f>
        <v>377104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IFERROR(VLOOKUP(B130,input_377104!L:R,7,FALSE),VLOOKUP(tables_377104!C130,input_377104!A:H,8,FALSE))</f>
        <v>40091.519999999997</v>
      </c>
      <c r="P130" s="46">
        <f t="shared" ref="P130:P193" ca="1" si="8">O130/SUM(O:O)</f>
        <v>5.5070769231147518E-3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input_377104!A$2</f>
        <v>377104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IFERROR(VLOOKUP(B131,input_377104!L:R,7,FALSE),VLOOKUP(tables_377104!C131,input_377104!A:H,8,FALSE))</f>
        <v>2110.08</v>
      </c>
      <c r="P131" s="46">
        <f t="shared" ca="1" si="8"/>
        <v>2.8984615384814485E-4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input_377104!A$2</f>
        <v>377104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IFERROR(VLOOKUP(B132,input_377104!L:R,7,FALSE),VLOOKUP(tables_377104!C132,input_377104!A:H,8,FALSE))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input_377104!A$2</f>
        <v>377104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IFERROR(VLOOKUP(B133,input_377104!L:R,7,FALSE),VLOOKUP(tables_377104!C133,input_377104!A:H,8,FALSE))</f>
        <v>40091.519999999997</v>
      </c>
      <c r="P133" s="46">
        <f t="shared" ca="1" si="8"/>
        <v>5.5070769231147518E-3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input_377104!A$2</f>
        <v>377104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IFERROR(VLOOKUP(B134,input_377104!L:R,7,FALSE),VLOOKUP(tables_377104!C134,input_377104!A:H,8,FALSE))</f>
        <v>2110.08</v>
      </c>
      <c r="P134" s="46">
        <f t="shared" ca="1" si="8"/>
        <v>2.8984615384814485E-4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input_377104!A$2</f>
        <v>377104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IFERROR(VLOOKUP(B135,input_377104!L:R,7,FALSE),VLOOKUP(tables_377104!C135,input_377104!A:H,8,FALSE))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input_377104!A$2</f>
        <v>377104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IFERROR(VLOOKUP(B136,input_377104!L:R,7,FALSE),VLOOKUP(tables_377104!C136,input_377104!A:H,8,FALSE))</f>
        <v>40091.519999999997</v>
      </c>
      <c r="P136" s="46">
        <f t="shared" ca="1" si="8"/>
        <v>5.5070769231147518E-3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input_377104!A$2</f>
        <v>377104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IFERROR(VLOOKUP(B137,input_377104!L:R,7,FALSE),VLOOKUP(tables_377104!C137,input_377104!A:H,8,FALSE))</f>
        <v>2110.08</v>
      </c>
      <c r="P137" s="46">
        <f t="shared" ca="1" si="8"/>
        <v>2.8984615384814485E-4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input_377104!A$2</f>
        <v>377104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53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IFERROR(VLOOKUP(B138,input_377104!L:R,7,FALSE),VLOOKUP(tables_377104!C138,input_377104!A:H,8,FALSE))</f>
        <v>18861.818179999998</v>
      </c>
      <c r="P138" s="46">
        <f t="shared" ca="1" si="8"/>
        <v>2.5909090906771379E-3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input_377104!A$2</f>
        <v>377104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53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IFERROR(VLOOKUP(B139,input_377104!L:R,7,FALSE),VLOOKUP(tables_377104!C139,input_377104!A:H,8,FALSE))</f>
        <v>992.72726999999998</v>
      </c>
      <c r="P139" s="46">
        <f t="shared" ca="1" si="8"/>
        <v>1.3636363598994769E-4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input_377104!A$2</f>
        <v>377104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IFERROR(VLOOKUP(B140,input_377104!L:R,7,FALSE),VLOOKUP(tables_377104!C140,input_377104!A:H,8,FALSE))</f>
        <v>4940</v>
      </c>
      <c r="P140" s="46">
        <f t="shared" ca="1" si="8"/>
        <v>6.7857142857608976E-4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input_377104!A$2</f>
        <v>377104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IFERROR(VLOOKUP(B141,input_377104!L:R,7,FALSE),VLOOKUP(tables_377104!C141,input_377104!A:H,8,FALSE))</f>
        <v>260</v>
      </c>
      <c r="P141" s="46">
        <f t="shared" ca="1" si="8"/>
        <v>3.5714285714531038E-5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input_377104!A$2</f>
        <v>377104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IFERROR(VLOOKUP(B142,input_377104!L:R,7,FALSE),VLOOKUP(tables_377104!C142,input_377104!A:H,8,FALSE))</f>
        <v>4940</v>
      </c>
      <c r="P142" s="46">
        <f t="shared" ca="1" si="8"/>
        <v>6.7857142857608976E-4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input_377104!A$2</f>
        <v>377104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IFERROR(VLOOKUP(B143,input_377104!L:R,7,FALSE),VLOOKUP(tables_377104!C143,input_377104!A:H,8,FALSE))</f>
        <v>260</v>
      </c>
      <c r="P143" s="46">
        <f t="shared" ca="1" si="8"/>
        <v>3.5714285714531038E-5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input_377104!A$2</f>
        <v>377104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IFERROR(VLOOKUP(B144,input_377104!L:R,7,FALSE),VLOOKUP(tables_377104!C144,input_377104!A:H,8,FALSE))</f>
        <v>4940</v>
      </c>
      <c r="P144" s="46">
        <f t="shared" ca="1" si="8"/>
        <v>6.7857142857608976E-4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input_377104!A$2</f>
        <v>377104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IFERROR(VLOOKUP(B145,input_377104!L:R,7,FALSE),VLOOKUP(tables_377104!C145,input_377104!A:H,8,FALSE))</f>
        <v>260</v>
      </c>
      <c r="P145" s="46">
        <f t="shared" ca="1" si="8"/>
        <v>3.5714285714531038E-5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input_377104!A$2</f>
        <v>377104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53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IFERROR(VLOOKUP(B146,input_377104!L:R,7,FALSE),VLOOKUP(tables_377104!C146,input_377104!A:H,8,FALSE))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input_377104!A$2</f>
        <v>377104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53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IFERROR(VLOOKUP(B147,input_377104!L:R,7,FALSE),VLOOKUP(tables_377104!C147,input_377104!A:H,8,FALSE))</f>
        <v>195446.16</v>
      </c>
      <c r="P147" s="46">
        <f t="shared" ca="1" si="8"/>
        <v>2.6847000000184418E-2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input_377104!A$2</f>
        <v>377104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53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IFERROR(VLOOKUP(B148,input_377104!L:R,7,FALSE),VLOOKUP(tables_377104!C148,input_377104!A:H,8,FALSE))</f>
        <v>10286.64</v>
      </c>
      <c r="P148" s="46">
        <f t="shared" ca="1" si="8"/>
        <v>1.413000000009706E-3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input_377104!A$2</f>
        <v>377104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IFERROR(VLOOKUP(B149,input_377104!L:R,7,FALSE),VLOOKUP(tables_377104!C149,input_377104!A:H,8,FALSE))</f>
        <v>4940</v>
      </c>
      <c r="P149" s="46">
        <f t="shared" ca="1" si="8"/>
        <v>6.7857142857608976E-4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input_377104!A$2</f>
        <v>377104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IFERROR(VLOOKUP(B150,input_377104!L:R,7,FALSE),VLOOKUP(tables_377104!C150,input_377104!A:H,8,FALSE))</f>
        <v>260</v>
      </c>
      <c r="P150" s="46">
        <f t="shared" ca="1" si="8"/>
        <v>3.5714285714531038E-5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input_377104!A$2</f>
        <v>377104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IFERROR(VLOOKUP(B151,input_377104!L:R,7,FALSE),VLOOKUP(tables_377104!C151,input_377104!A:H,8,FALSE))</f>
        <v>4940</v>
      </c>
      <c r="P151" s="46">
        <f t="shared" ca="1" si="8"/>
        <v>6.7857142857608976E-4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input_377104!A$2</f>
        <v>377104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IFERROR(VLOOKUP(B152,input_377104!L:R,7,FALSE),VLOOKUP(tables_377104!C152,input_377104!A:H,8,FALSE))</f>
        <v>260</v>
      </c>
      <c r="P152" s="46">
        <f t="shared" ca="1" si="8"/>
        <v>3.5714285714531038E-5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input_377104!A$2</f>
        <v>377104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IFERROR(VLOOKUP(B153,input_377104!L:R,7,FALSE),VLOOKUP(tables_377104!C153,input_377104!A:H,8,FALSE))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input_377104!A$2</f>
        <v>377104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IFERROR(VLOOKUP(B154,input_377104!L:R,7,FALSE),VLOOKUP(tables_377104!C154,input_377104!A:H,8,FALSE))</f>
        <v>40091.519999999997</v>
      </c>
      <c r="P154" s="46">
        <f t="shared" ca="1" si="8"/>
        <v>5.5070769231147518E-3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input_377104!A$2</f>
        <v>377104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IFERROR(VLOOKUP(B155,input_377104!L:R,7,FALSE),VLOOKUP(tables_377104!C155,input_377104!A:H,8,FALSE))</f>
        <v>2110.08</v>
      </c>
      <c r="P155" s="46">
        <f t="shared" ca="1" si="8"/>
        <v>2.8984615384814485E-4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input_377104!A$2</f>
        <v>377104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53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IFERROR(VLOOKUP(B156,input_377104!L:R,7,FALSE),VLOOKUP(tables_377104!C156,input_377104!A:H,8,FALSE))</f>
        <v>18861.818179999998</v>
      </c>
      <c r="P156" s="46">
        <f t="shared" ca="1" si="8"/>
        <v>2.5909090906771379E-3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input_377104!A$2</f>
        <v>377104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53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IFERROR(VLOOKUP(B157,input_377104!L:R,7,FALSE),VLOOKUP(tables_377104!C157,input_377104!A:H,8,FALSE))</f>
        <v>992.72726999999998</v>
      </c>
      <c r="P157" s="46">
        <f t="shared" ca="1" si="8"/>
        <v>1.3636363598994769E-4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input_377104!A$2</f>
        <v>377104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IFERROR(VLOOKUP(B158,input_377104!L:R,7,FALSE),VLOOKUP(tables_377104!C158,input_377104!A:H,8,FALSE))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input_377104!A$2</f>
        <v>377104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IFERROR(VLOOKUP(B159,input_377104!L:R,7,FALSE),VLOOKUP(tables_377104!C159,input_377104!A:H,8,FALSE))</f>
        <v>40091.519999999997</v>
      </c>
      <c r="P159" s="46">
        <f t="shared" ca="1" si="8"/>
        <v>5.5070769231147518E-3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input_377104!A$2</f>
        <v>377104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IFERROR(VLOOKUP(B160,input_377104!L:R,7,FALSE),VLOOKUP(tables_377104!C160,input_377104!A:H,8,FALSE))</f>
        <v>2110.08</v>
      </c>
      <c r="P160" s="46">
        <f t="shared" ca="1" si="8"/>
        <v>2.8984615384814485E-4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input_377104!A$2</f>
        <v>377104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IFERROR(VLOOKUP(B161,input_377104!L:R,7,FALSE),VLOOKUP(tables_377104!C161,input_377104!A:H,8,FALSE))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input_377104!A$2</f>
        <v>377104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IFERROR(VLOOKUP(B162,input_377104!L:R,7,FALSE),VLOOKUP(tables_377104!C162,input_377104!A:H,8,FALSE))</f>
        <v>40091.519999999997</v>
      </c>
      <c r="P162" s="46">
        <f t="shared" ca="1" si="8"/>
        <v>5.5070769231147518E-3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input_377104!A$2</f>
        <v>377104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IFERROR(VLOOKUP(B163,input_377104!L:R,7,FALSE),VLOOKUP(tables_377104!C163,input_377104!A:H,8,FALSE))</f>
        <v>2110.08</v>
      </c>
      <c r="P163" s="46">
        <f t="shared" ca="1" si="8"/>
        <v>2.8984615384814485E-4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input_377104!A$2</f>
        <v>377104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IFERROR(VLOOKUP(B164,input_377104!L:R,7,FALSE),VLOOKUP(tables_377104!C164,input_377104!A:H,8,FALSE))</f>
        <v>4940</v>
      </c>
      <c r="P164" s="46">
        <f t="shared" ca="1" si="8"/>
        <v>6.7857142857608976E-4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input_377104!A$2</f>
        <v>377104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IFERROR(VLOOKUP(B165,input_377104!L:R,7,FALSE),VLOOKUP(tables_377104!C165,input_377104!A:H,8,FALSE))</f>
        <v>260</v>
      </c>
      <c r="P165" s="46">
        <f t="shared" ca="1" si="8"/>
        <v>3.5714285714531038E-5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input_377104!A$2</f>
        <v>377104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53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IFERROR(VLOOKUP(B166,input_377104!L:R,7,FALSE),VLOOKUP(tables_377104!C166,input_377104!A:H,8,FALSE))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input_377104!A$2</f>
        <v>377104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53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IFERROR(VLOOKUP(B167,input_377104!L:R,7,FALSE),VLOOKUP(tables_377104!C167,input_377104!A:H,8,FALSE))</f>
        <v>195446.16</v>
      </c>
      <c r="P167" s="46">
        <f t="shared" ca="1" si="8"/>
        <v>2.6847000000184418E-2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input_377104!A$2</f>
        <v>377104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53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IFERROR(VLOOKUP(B168,input_377104!L:R,7,FALSE),VLOOKUP(tables_377104!C168,input_377104!A:H,8,FALSE))</f>
        <v>10286.64</v>
      </c>
      <c r="P168" s="46">
        <f t="shared" ca="1" si="8"/>
        <v>1.413000000009706E-3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input_377104!A$2</f>
        <v>377104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IFERROR(VLOOKUP(B169,input_377104!L:R,7,FALSE),VLOOKUP(tables_377104!C169,input_377104!A:H,8,FALSE))</f>
        <v>4940</v>
      </c>
      <c r="P169" s="46">
        <f t="shared" ca="1" si="8"/>
        <v>6.7857142857608976E-4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input_377104!A$2</f>
        <v>377104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IFERROR(VLOOKUP(B170,input_377104!L:R,7,FALSE),VLOOKUP(tables_377104!C170,input_377104!A:H,8,FALSE))</f>
        <v>260</v>
      </c>
      <c r="P170" s="46">
        <f t="shared" ca="1" si="8"/>
        <v>3.5714285714531038E-5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input_377104!A$2</f>
        <v>377104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IFERROR(VLOOKUP(B171,input_377104!L:R,7,FALSE),VLOOKUP(tables_377104!C171,input_377104!A:H,8,FALSE))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input_377104!A$2</f>
        <v>377104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IFERROR(VLOOKUP(B172,input_377104!L:R,7,FALSE),VLOOKUP(tables_377104!C172,input_377104!A:H,8,FALSE))</f>
        <v>40091.519999999997</v>
      </c>
      <c r="P172" s="46">
        <f t="shared" ca="1" si="8"/>
        <v>5.5070769231147518E-3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input_377104!A$2</f>
        <v>377104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IFERROR(VLOOKUP(B173,input_377104!L:R,7,FALSE),VLOOKUP(tables_377104!C173,input_377104!A:H,8,FALSE))</f>
        <v>2110.08</v>
      </c>
      <c r="P173" s="46">
        <f t="shared" ca="1" si="8"/>
        <v>2.8984615384814485E-4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input_377104!A$2</f>
        <v>377104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IFERROR(VLOOKUP(B174,input_377104!L:R,7,FALSE),VLOOKUP(tables_377104!C174,input_377104!A:H,8,FALSE))</f>
        <v>4940</v>
      </c>
      <c r="P174" s="46">
        <f t="shared" ca="1" si="8"/>
        <v>6.7857142857608976E-4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input_377104!A$2</f>
        <v>377104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IFERROR(VLOOKUP(B175,input_377104!L:R,7,FALSE),VLOOKUP(tables_377104!C175,input_377104!A:H,8,FALSE))</f>
        <v>260</v>
      </c>
      <c r="P175" s="46">
        <f t="shared" ca="1" si="8"/>
        <v>3.5714285714531038E-5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input_377104!A$2</f>
        <v>377104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53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IFERROR(VLOOKUP(B176,input_377104!L:R,7,FALSE),VLOOKUP(tables_377104!C176,input_377104!A:H,8,FALSE))</f>
        <v>18861.818179999998</v>
      </c>
      <c r="P176" s="46">
        <f t="shared" ca="1" si="8"/>
        <v>2.5909090906771379E-3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input_377104!A$2</f>
        <v>377104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53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IFERROR(VLOOKUP(B177,input_377104!L:R,7,FALSE),VLOOKUP(tables_377104!C177,input_377104!A:H,8,FALSE))</f>
        <v>992.72726999999998</v>
      </c>
      <c r="P177" s="46">
        <f t="shared" ca="1" si="8"/>
        <v>1.3636363598994769E-4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input_377104!A$2</f>
        <v>377104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IFERROR(VLOOKUP(B178,input_377104!L:R,7,FALSE),VLOOKUP(tables_377104!C178,input_377104!A:H,8,FALSE))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input_377104!A$2</f>
        <v>377104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IFERROR(VLOOKUP(B179,input_377104!L:R,7,FALSE),VLOOKUP(tables_377104!C179,input_377104!A:H,8,FALSE))</f>
        <v>40091.519999999997</v>
      </c>
      <c r="P179" s="46">
        <f t="shared" ca="1" si="8"/>
        <v>5.5070769231147518E-3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input_377104!A$2</f>
        <v>377104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IFERROR(VLOOKUP(B180,input_377104!L:R,7,FALSE),VLOOKUP(tables_377104!C180,input_377104!A:H,8,FALSE))</f>
        <v>2110.08</v>
      </c>
      <c r="P180" s="46">
        <f t="shared" ca="1" si="8"/>
        <v>2.8984615384814485E-4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input_377104!A$2</f>
        <v>377104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IFERROR(VLOOKUP(B181,input_377104!L:R,7,FALSE),VLOOKUP(tables_377104!C181,input_377104!A:H,8,FALSE))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input_377104!A$2</f>
        <v>377104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IFERROR(VLOOKUP(B182,input_377104!L:R,7,FALSE),VLOOKUP(tables_377104!C182,input_377104!A:H,8,FALSE))</f>
        <v>40091.519999999997</v>
      </c>
      <c r="P182" s="46">
        <f t="shared" ca="1" si="8"/>
        <v>5.5070769231147518E-3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input_377104!A$2</f>
        <v>377104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IFERROR(VLOOKUP(B183,input_377104!L:R,7,FALSE),VLOOKUP(tables_377104!C183,input_377104!A:H,8,FALSE))</f>
        <v>2110.08</v>
      </c>
      <c r="P183" s="46">
        <f t="shared" ca="1" si="8"/>
        <v>2.8984615384814485E-4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input_377104!A$2</f>
        <v>377104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IFERROR(VLOOKUP(B184,input_377104!L:R,7,FALSE),VLOOKUP(tables_377104!C184,input_377104!A:H,8,FALSE))</f>
        <v>4940</v>
      </c>
      <c r="P184" s="46">
        <f t="shared" ca="1" si="8"/>
        <v>6.7857142857608976E-4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input_377104!A$2</f>
        <v>377104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IFERROR(VLOOKUP(B185,input_377104!L:R,7,FALSE),VLOOKUP(tables_377104!C185,input_377104!A:H,8,FALSE))</f>
        <v>260</v>
      </c>
      <c r="P185" s="46">
        <f t="shared" ca="1" si="8"/>
        <v>3.5714285714531038E-5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input_377104!A$2</f>
        <v>377104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53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IFERROR(VLOOKUP(B186,input_377104!L:R,7,FALSE),VLOOKUP(tables_377104!C186,input_377104!A:H,8,FALSE))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input_377104!A$2</f>
        <v>377104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53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IFERROR(VLOOKUP(B187,input_377104!L:R,7,FALSE),VLOOKUP(tables_377104!C187,input_377104!A:H,8,FALSE))</f>
        <v>195446.16</v>
      </c>
      <c r="P187" s="46">
        <f t="shared" ca="1" si="8"/>
        <v>2.6847000000184418E-2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input_377104!A$2</f>
        <v>377104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53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IFERROR(VLOOKUP(B188,input_377104!L:R,7,FALSE),VLOOKUP(tables_377104!C188,input_377104!A:H,8,FALSE))</f>
        <v>10286.64</v>
      </c>
      <c r="P188" s="46">
        <f t="shared" ca="1" si="8"/>
        <v>1.413000000009706E-3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input_377104!A$2</f>
        <v>377104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IFERROR(VLOOKUP(B189,input_377104!L:R,7,FALSE),VLOOKUP(tables_377104!C189,input_377104!A:H,8,FALSE))</f>
        <v>4940</v>
      </c>
      <c r="P189" s="46">
        <f t="shared" ca="1" si="8"/>
        <v>6.7857142857608976E-4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input_377104!A$2</f>
        <v>377104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IFERROR(VLOOKUP(B190,input_377104!L:R,7,FALSE),VLOOKUP(tables_377104!C190,input_377104!A:H,8,FALSE))</f>
        <v>260</v>
      </c>
      <c r="P190" s="46">
        <f t="shared" ca="1" si="8"/>
        <v>3.5714285714531038E-5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input_377104!A$2</f>
        <v>377104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IFERROR(VLOOKUP(B191,input_377104!L:R,7,FALSE),VLOOKUP(tables_377104!C191,input_377104!A:H,8,FALSE))</f>
        <v>4940</v>
      </c>
      <c r="P191" s="46">
        <f t="shared" ca="1" si="8"/>
        <v>6.7857142857608976E-4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input_377104!A$2</f>
        <v>377104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IFERROR(VLOOKUP(B192,input_377104!L:R,7,FALSE),VLOOKUP(tables_377104!C192,input_377104!A:H,8,FALSE))</f>
        <v>260</v>
      </c>
      <c r="P192" s="46">
        <f t="shared" ca="1" si="8"/>
        <v>3.5714285714531038E-5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input_377104!A$2</f>
        <v>377104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IFERROR(VLOOKUP(B193,input_377104!L:R,7,FALSE),VLOOKUP(tables_377104!C193,input_377104!A:H,8,FALSE))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input_377104!A$2</f>
        <v>377104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IFERROR(VLOOKUP(B194,input_377104!L:R,7,FALSE),VLOOKUP(tables_377104!C194,input_377104!A:H,8,FALSE))</f>
        <v>40091.519999999997</v>
      </c>
      <c r="P194" s="46">
        <f t="shared" ref="P194:P257" ca="1" si="11">O194/SUM(O:O)</f>
        <v>5.5070769231147518E-3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input_377104!A$2</f>
        <v>377104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IFERROR(VLOOKUP(B195,input_377104!L:R,7,FALSE),VLOOKUP(tables_377104!C195,input_377104!A:H,8,FALSE))</f>
        <v>2110.08</v>
      </c>
      <c r="P195" s="46">
        <f t="shared" ca="1" si="11"/>
        <v>2.8984615384814485E-4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input_377104!A$2</f>
        <v>377104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53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IFERROR(VLOOKUP(B196,input_377104!L:R,7,FALSE),VLOOKUP(tables_377104!C196,input_377104!A:H,8,FALSE))</f>
        <v>18861.818179999998</v>
      </c>
      <c r="P196" s="46">
        <f t="shared" ca="1" si="11"/>
        <v>2.5909090906771379E-3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input_377104!A$2</f>
        <v>377104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53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IFERROR(VLOOKUP(B197,input_377104!L:R,7,FALSE),VLOOKUP(tables_377104!C197,input_377104!A:H,8,FALSE))</f>
        <v>992.72726999999998</v>
      </c>
      <c r="P197" s="46">
        <f t="shared" ca="1" si="11"/>
        <v>1.3636363598994769E-4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input_377104!A$2</f>
        <v>377104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IFERROR(VLOOKUP(B198,input_377104!L:R,7,FALSE),VLOOKUP(tables_377104!C198,input_377104!A:H,8,FALSE))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input_377104!A$2</f>
        <v>377104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IFERROR(VLOOKUP(B199,input_377104!L:R,7,FALSE),VLOOKUP(tables_377104!C199,input_377104!A:H,8,FALSE))</f>
        <v>40091.519999999997</v>
      </c>
      <c r="P199" s="46">
        <f t="shared" ca="1" si="11"/>
        <v>5.5070769231147518E-3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input_377104!A$2</f>
        <v>377104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IFERROR(VLOOKUP(B200,input_377104!L:R,7,FALSE),VLOOKUP(tables_377104!C200,input_377104!A:H,8,FALSE))</f>
        <v>2110.08</v>
      </c>
      <c r="P200" s="46">
        <f t="shared" ca="1" si="11"/>
        <v>2.8984615384814485E-4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input_377104!A$2</f>
        <v>377104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IFERROR(VLOOKUP(B201,input_377104!L:R,7,FALSE),VLOOKUP(tables_377104!C201,input_377104!A:H,8,FALSE))</f>
        <v>4940</v>
      </c>
      <c r="P201" s="46">
        <f t="shared" ca="1" si="11"/>
        <v>6.7857142857608976E-4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input_377104!A$2</f>
        <v>377104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IFERROR(VLOOKUP(B202,input_377104!L:R,7,FALSE),VLOOKUP(tables_377104!C202,input_377104!A:H,8,FALSE))</f>
        <v>260</v>
      </c>
      <c r="P202" s="46">
        <f t="shared" ca="1" si="11"/>
        <v>3.5714285714531038E-5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input_377104!A$2</f>
        <v>377104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IFERROR(VLOOKUP(B203,input_377104!L:R,7,FALSE),VLOOKUP(tables_377104!C203,input_377104!A:H,8,FALSE))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input_377104!A$2</f>
        <v>377104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IFERROR(VLOOKUP(B204,input_377104!L:R,7,FALSE),VLOOKUP(tables_377104!C204,input_377104!A:H,8,FALSE))</f>
        <v>40091.519999999997</v>
      </c>
      <c r="P204" s="46">
        <f t="shared" ca="1" si="11"/>
        <v>5.5070769231147518E-3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input_377104!A$2</f>
        <v>377104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IFERROR(VLOOKUP(B205,input_377104!L:R,7,FALSE),VLOOKUP(tables_377104!C205,input_377104!A:H,8,FALSE))</f>
        <v>2110.08</v>
      </c>
      <c r="P205" s="46">
        <f t="shared" ca="1" si="11"/>
        <v>2.8984615384814485E-4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input_377104!A$2</f>
        <v>377104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53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IFERROR(VLOOKUP(B206,input_377104!L:R,7,FALSE),VLOOKUP(tables_377104!C206,input_377104!A:H,8,FALSE))</f>
        <v>18861.818179999998</v>
      </c>
      <c r="P206" s="46">
        <f t="shared" ca="1" si="11"/>
        <v>2.5909090906771379E-3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input_377104!A$2</f>
        <v>377104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53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IFERROR(VLOOKUP(B207,input_377104!L:R,7,FALSE),VLOOKUP(tables_377104!C207,input_377104!A:H,8,FALSE))</f>
        <v>992.72726999999998</v>
      </c>
      <c r="P207" s="46">
        <f t="shared" ca="1" si="11"/>
        <v>1.3636363598994769E-4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input_377104!A$2</f>
        <v>377104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IFERROR(VLOOKUP(B208,input_377104!L:R,7,FALSE),VLOOKUP(tables_377104!C208,input_377104!A:H,8,FALSE))</f>
        <v>4940</v>
      </c>
      <c r="P208" s="46">
        <f t="shared" ca="1" si="11"/>
        <v>6.7857142857608976E-4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input_377104!A$2</f>
        <v>377104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IFERROR(VLOOKUP(B209,input_377104!L:R,7,FALSE),VLOOKUP(tables_377104!C209,input_377104!A:H,8,FALSE))</f>
        <v>260</v>
      </c>
      <c r="P209" s="46">
        <f t="shared" ca="1" si="11"/>
        <v>3.5714285714531038E-5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input_377104!A$2</f>
        <v>377104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IFERROR(VLOOKUP(B210,input_377104!L:R,7,FALSE),VLOOKUP(tables_377104!C210,input_377104!A:H,8,FALSE))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input_377104!A$2</f>
        <v>377104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IFERROR(VLOOKUP(B211,input_377104!L:R,7,FALSE),VLOOKUP(tables_377104!C211,input_377104!A:H,8,FALSE))</f>
        <v>40091.519999999997</v>
      </c>
      <c r="P211" s="46">
        <f t="shared" ca="1" si="11"/>
        <v>5.5070769231147518E-3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input_377104!A$2</f>
        <v>377104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IFERROR(VLOOKUP(B212,input_377104!L:R,7,FALSE),VLOOKUP(tables_377104!C212,input_377104!A:H,8,FALSE))</f>
        <v>2110.08</v>
      </c>
      <c r="P212" s="46">
        <f t="shared" ca="1" si="11"/>
        <v>2.8984615384814485E-4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input_377104!A$2</f>
        <v>377104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IFERROR(VLOOKUP(B213,input_377104!L:R,7,FALSE),VLOOKUP(tables_377104!C213,input_377104!A:H,8,FALSE))</f>
        <v>4940</v>
      </c>
      <c r="P213" s="46">
        <f t="shared" ca="1" si="11"/>
        <v>6.7857142857608976E-4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input_377104!A$2</f>
        <v>377104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IFERROR(VLOOKUP(B214,input_377104!L:R,7,FALSE),VLOOKUP(tables_377104!C214,input_377104!A:H,8,FALSE))</f>
        <v>260</v>
      </c>
      <c r="P214" s="46">
        <f t="shared" ca="1" si="11"/>
        <v>3.5714285714531038E-5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input_377104!A$2</f>
        <v>377104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53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IFERROR(VLOOKUP(B215,input_377104!L:R,7,FALSE),VLOOKUP(tables_377104!C215,input_377104!A:H,8,FALSE))</f>
        <v>18861.818179999998</v>
      </c>
      <c r="P215" s="46">
        <f t="shared" ca="1" si="11"/>
        <v>2.5909090906771379E-3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input_377104!A$2</f>
        <v>377104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53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IFERROR(VLOOKUP(B216,input_377104!L:R,7,FALSE),VLOOKUP(tables_377104!C216,input_377104!A:H,8,FALSE))</f>
        <v>992.72726999999998</v>
      </c>
      <c r="P216" s="46">
        <f t="shared" ca="1" si="11"/>
        <v>1.3636363598994769E-4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input_377104!A$2</f>
        <v>377104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IFERROR(VLOOKUP(B217,input_377104!L:R,7,FALSE),VLOOKUP(tables_377104!C217,input_377104!A:H,8,FALSE))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input_377104!A$2</f>
        <v>377104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IFERROR(VLOOKUP(B218,input_377104!L:R,7,FALSE),VLOOKUP(tables_377104!C218,input_377104!A:H,8,FALSE))</f>
        <v>40091.519999999997</v>
      </c>
      <c r="P218" s="46">
        <f t="shared" ca="1" si="11"/>
        <v>5.5070769231147518E-3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input_377104!A$2</f>
        <v>377104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IFERROR(VLOOKUP(B219,input_377104!L:R,7,FALSE),VLOOKUP(tables_377104!C219,input_377104!A:H,8,FALSE))</f>
        <v>2110.08</v>
      </c>
      <c r="P219" s="46">
        <f t="shared" ca="1" si="11"/>
        <v>2.8984615384814485E-4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input_377104!A$2</f>
        <v>377104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IFERROR(VLOOKUP(B220,input_377104!L:R,7,FALSE),VLOOKUP(tables_377104!C220,input_377104!A:H,8,FALSE))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input_377104!A$2</f>
        <v>377104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IFERROR(VLOOKUP(B221,input_377104!L:R,7,FALSE),VLOOKUP(tables_377104!C221,input_377104!A:H,8,FALSE))</f>
        <v>40091.519999999997</v>
      </c>
      <c r="P221" s="46">
        <f t="shared" ca="1" si="11"/>
        <v>5.5070769231147518E-3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input_377104!A$2</f>
        <v>377104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IFERROR(VLOOKUP(B222,input_377104!L:R,7,FALSE),VLOOKUP(tables_377104!C222,input_377104!A:H,8,FALSE))</f>
        <v>2110.08</v>
      </c>
      <c r="P222" s="46">
        <f t="shared" ca="1" si="11"/>
        <v>2.8984615384814485E-4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input_377104!A$2</f>
        <v>377104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IFERROR(VLOOKUP(B223,input_377104!L:R,7,FALSE),VLOOKUP(tables_377104!C223,input_377104!A:H,8,FALSE))</f>
        <v>4940</v>
      </c>
      <c r="P223" s="46">
        <f t="shared" ca="1" si="11"/>
        <v>6.7857142857608976E-4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input_377104!A$2</f>
        <v>377104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IFERROR(VLOOKUP(B224,input_377104!L:R,7,FALSE),VLOOKUP(tables_377104!C224,input_377104!A:H,8,FALSE))</f>
        <v>260</v>
      </c>
      <c r="P224" s="46">
        <f t="shared" ca="1" si="11"/>
        <v>3.5714285714531038E-5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input_377104!A$2</f>
        <v>377104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53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IFERROR(VLOOKUP(B225,input_377104!L:R,7,FALSE),VLOOKUP(tables_377104!C225,input_377104!A:H,8,FALSE))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input_377104!A$2</f>
        <v>377104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53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IFERROR(VLOOKUP(B226,input_377104!L:R,7,FALSE),VLOOKUP(tables_377104!C226,input_377104!A:H,8,FALSE))</f>
        <v>195446.16</v>
      </c>
      <c r="P226" s="46">
        <f t="shared" ca="1" si="11"/>
        <v>2.6847000000184418E-2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input_377104!A$2</f>
        <v>377104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53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IFERROR(VLOOKUP(B227,input_377104!L:R,7,FALSE),VLOOKUP(tables_377104!C227,input_377104!A:H,8,FALSE))</f>
        <v>10286.64</v>
      </c>
      <c r="P227" s="46">
        <f t="shared" ca="1" si="11"/>
        <v>1.413000000009706E-3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input_377104!A$2</f>
        <v>377104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IFERROR(VLOOKUP(B228,input_377104!L:R,7,FALSE),VLOOKUP(tables_377104!C228,input_377104!A:H,8,FALSE))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input_377104!A$2</f>
        <v>377104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IFERROR(VLOOKUP(B229,input_377104!L:R,7,FALSE),VLOOKUP(tables_377104!C229,input_377104!A:H,8,FALSE))</f>
        <v>40091.519999999997</v>
      </c>
      <c r="P229" s="46">
        <f t="shared" ca="1" si="11"/>
        <v>5.5070769231147518E-3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input_377104!A$2</f>
        <v>377104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IFERROR(VLOOKUP(B230,input_377104!L:R,7,FALSE),VLOOKUP(tables_377104!C230,input_377104!A:H,8,FALSE))</f>
        <v>2110.08</v>
      </c>
      <c r="P230" s="46">
        <f t="shared" ca="1" si="11"/>
        <v>2.8984615384814485E-4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input_377104!A$2</f>
        <v>377104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IFERROR(VLOOKUP(B231,input_377104!L:R,7,FALSE),VLOOKUP(tables_377104!C231,input_377104!A:H,8,FALSE))</f>
        <v>4940</v>
      </c>
      <c r="P231" s="46">
        <f t="shared" ca="1" si="11"/>
        <v>6.7857142857608976E-4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input_377104!A$2</f>
        <v>377104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IFERROR(VLOOKUP(B232,input_377104!L:R,7,FALSE),VLOOKUP(tables_377104!C232,input_377104!A:H,8,FALSE))</f>
        <v>260</v>
      </c>
      <c r="P232" s="46">
        <f t="shared" ca="1" si="11"/>
        <v>3.5714285714531038E-5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input_377104!A$2</f>
        <v>377104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IFERROR(VLOOKUP(B233,input_377104!L:R,7,FALSE),VLOOKUP(tables_377104!C233,input_377104!A:H,8,FALSE))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input_377104!A$2</f>
        <v>377104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IFERROR(VLOOKUP(B234,input_377104!L:R,7,FALSE),VLOOKUP(tables_377104!C234,input_377104!A:H,8,FALSE))</f>
        <v>40091.519999999997</v>
      </c>
      <c r="P234" s="46">
        <f t="shared" ca="1" si="11"/>
        <v>5.5070769231147518E-3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input_377104!A$2</f>
        <v>377104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IFERROR(VLOOKUP(B235,input_377104!L:R,7,FALSE),VLOOKUP(tables_377104!C235,input_377104!A:H,8,FALSE))</f>
        <v>2110.08</v>
      </c>
      <c r="P235" s="46">
        <f t="shared" ca="1" si="11"/>
        <v>2.8984615384814485E-4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input_377104!A$2</f>
        <v>377104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53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IFERROR(VLOOKUP(B236,input_377104!L:R,7,FALSE),VLOOKUP(tables_377104!C236,input_377104!A:H,8,FALSE))</f>
        <v>18861.818179999998</v>
      </c>
      <c r="P236" s="46">
        <f t="shared" ca="1" si="11"/>
        <v>2.5909090906771379E-3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input_377104!A$2</f>
        <v>377104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53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IFERROR(VLOOKUP(B237,input_377104!L:R,7,FALSE),VLOOKUP(tables_377104!C237,input_377104!A:H,8,FALSE))</f>
        <v>992.72726999999998</v>
      </c>
      <c r="P237" s="46">
        <f t="shared" ca="1" si="11"/>
        <v>1.3636363598994769E-4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input_377104!A$2</f>
        <v>377104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IFERROR(VLOOKUP(B238,input_377104!L:R,7,FALSE),VLOOKUP(tables_377104!C238,input_377104!A:H,8,FALSE))</f>
        <v>4940</v>
      </c>
      <c r="P238" s="46">
        <f t="shared" ca="1" si="11"/>
        <v>6.7857142857608976E-4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input_377104!A$2</f>
        <v>377104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IFERROR(VLOOKUP(B239,input_377104!L:R,7,FALSE),VLOOKUP(tables_377104!C239,input_377104!A:H,8,FALSE))</f>
        <v>260</v>
      </c>
      <c r="P239" s="46">
        <f t="shared" ca="1" si="11"/>
        <v>3.5714285714531038E-5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input_377104!A$2</f>
        <v>377104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IFERROR(VLOOKUP(B240,input_377104!L:R,7,FALSE),VLOOKUP(tables_377104!C240,input_377104!A:H,8,FALSE))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input_377104!A$2</f>
        <v>377104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IFERROR(VLOOKUP(B241,input_377104!L:R,7,FALSE),VLOOKUP(tables_377104!C241,input_377104!A:H,8,FALSE))</f>
        <v>40091.519999999997</v>
      </c>
      <c r="P241" s="46">
        <f t="shared" ca="1" si="11"/>
        <v>5.5070769231147518E-3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input_377104!A$2</f>
        <v>377104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IFERROR(VLOOKUP(B242,input_377104!L:R,7,FALSE),VLOOKUP(tables_377104!C242,input_377104!A:H,8,FALSE))</f>
        <v>2110.08</v>
      </c>
      <c r="P242" s="46">
        <f t="shared" ca="1" si="11"/>
        <v>2.8984615384814485E-4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input_377104!A$2</f>
        <v>377104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IFERROR(VLOOKUP(B243,input_377104!L:R,7,FALSE),VLOOKUP(tables_377104!C243,input_377104!A:H,8,FALSE))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input_377104!A$2</f>
        <v>377104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IFERROR(VLOOKUP(B244,input_377104!L:R,7,FALSE),VLOOKUP(tables_377104!C244,input_377104!A:H,8,FALSE))</f>
        <v>40091.519999999997</v>
      </c>
      <c r="P244" s="46">
        <f t="shared" ca="1" si="11"/>
        <v>5.5070769231147518E-3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input_377104!A$2</f>
        <v>377104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IFERROR(VLOOKUP(B245,input_377104!L:R,7,FALSE),VLOOKUP(tables_377104!C245,input_377104!A:H,8,FALSE))</f>
        <v>2110.08</v>
      </c>
      <c r="P245" s="46">
        <f t="shared" ca="1" si="11"/>
        <v>2.8984615384814485E-4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input_377104!A$2</f>
        <v>377104</v>
      </c>
      <c r="B246" s="60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53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IFERROR(VLOOKUP(B246,input_377104!L:R,7,FALSE),VLOOKUP(tables_377104!C246,input_377104!A:H,8,FALSE))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input_377104!A$2</f>
        <v>377104</v>
      </c>
      <c r="B247" s="60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53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IFERROR(VLOOKUP(B247,input_377104!L:R,7,FALSE),VLOOKUP(tables_377104!C247,input_377104!A:H,8,FALSE))</f>
        <v>195446.16</v>
      </c>
      <c r="P247" s="46">
        <f t="shared" ca="1" si="11"/>
        <v>2.6847000000184418E-2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input_377104!A$2</f>
        <v>377104</v>
      </c>
      <c r="B248" s="60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53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IFERROR(VLOOKUP(B248,input_377104!L:R,7,FALSE),VLOOKUP(tables_377104!C248,input_377104!A:H,8,FALSE))</f>
        <v>10286.64</v>
      </c>
      <c r="P248" s="46">
        <f t="shared" ca="1" si="11"/>
        <v>1.413000000009706E-3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input_377104!A$2</f>
        <v>377104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IFERROR(VLOOKUP(B249,input_377104!L:R,7,FALSE),VLOOKUP(tables_377104!C249,input_377104!A:H,8,FALSE))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input_377104!A$2</f>
        <v>377104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IFERROR(VLOOKUP(B250,input_377104!L:R,7,FALSE),VLOOKUP(tables_377104!C250,input_377104!A:H,8,FALSE))</f>
        <v>40091.519999999997</v>
      </c>
      <c r="P250" s="46">
        <f t="shared" ca="1" si="11"/>
        <v>5.5070769231147518E-3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input_377104!A$2</f>
        <v>377104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IFERROR(VLOOKUP(B251,input_377104!L:R,7,FALSE),VLOOKUP(tables_377104!C251,input_377104!A:H,8,FALSE))</f>
        <v>2110.08</v>
      </c>
      <c r="P251" s="46">
        <f t="shared" ca="1" si="11"/>
        <v>2.8984615384814485E-4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input_377104!A$2</f>
        <v>377104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IFERROR(VLOOKUP(B252,input_377104!L:R,7,FALSE),VLOOKUP(tables_377104!C252,input_377104!A:H,8,FALSE))</f>
        <v>4940</v>
      </c>
      <c r="P252" s="46">
        <f t="shared" ca="1" si="11"/>
        <v>6.7857142857608976E-4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input_377104!A$2</f>
        <v>377104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IFERROR(VLOOKUP(B253,input_377104!L:R,7,FALSE),VLOOKUP(tables_377104!C253,input_377104!A:H,8,FALSE))</f>
        <v>260</v>
      </c>
      <c r="P253" s="46">
        <f t="shared" ca="1" si="11"/>
        <v>3.5714285714531038E-5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input_377104!A$2</f>
        <v>377104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IFERROR(VLOOKUP(B254,input_377104!L:R,7,FALSE),VLOOKUP(tables_377104!C254,input_377104!A:H,8,FALSE))</f>
        <v>4940</v>
      </c>
      <c r="P254" s="46">
        <f t="shared" ca="1" si="11"/>
        <v>6.7857142857608976E-4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input_377104!A$2</f>
        <v>377104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IFERROR(VLOOKUP(B255,input_377104!L:R,7,FALSE),VLOOKUP(tables_377104!C255,input_377104!A:H,8,FALSE))</f>
        <v>260</v>
      </c>
      <c r="P255" s="46">
        <f t="shared" ca="1" si="11"/>
        <v>3.5714285714531038E-5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input_377104!A$2</f>
        <v>377104</v>
      </c>
      <c r="B256" s="60">
        <v>728</v>
      </c>
      <c r="C256" s="7" t="str">
        <f t="shared" si="9"/>
        <v>Premium4R3lesscolor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">
        <v>53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IFERROR(VLOOKUP(B256,input_377104!L:R,7,FALSE),VLOOKUP(tables_377104!C256,input_377104!A:H,8,FALSE))</f>
        <v>197148.68726999999</v>
      </c>
      <c r="P256" s="46">
        <f t="shared" ca="1" si="11"/>
        <v>2.7080863636175033E-2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input_377104!A$2</f>
        <v>377104</v>
      </c>
      <c r="B257" s="60">
        <v>729</v>
      </c>
      <c r="C257" s="7" t="str">
        <f t="shared" si="9"/>
        <v>Premium5R3lesscolor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">
        <v>53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IFERROR(VLOOKUP(B257,input_377104!L:R,7,FALSE),VLOOKUP(tables_377104!C257,input_377104!A:H,8,FALSE))</f>
        <v>8584.1127300000007</v>
      </c>
      <c r="P257" s="46">
        <f t="shared" ca="1" si="11"/>
        <v>1.1791363640190889E-3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input_377104!A$2</f>
        <v>377104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IFERROR(VLOOKUP(B258,input_377104!L:R,7,FALSE),VLOOKUP(tables_377104!C258,input_377104!A:H,8,FALSE))</f>
        <v>41049.23429</v>
      </c>
      <c r="P258" s="46">
        <f t="shared" ref="P258:P295" ca="1" si="14">O258/SUM(O:O)</f>
        <v>5.6386310838299411E-3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input_377104!A$2</f>
        <v>377104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IFERROR(VLOOKUP(B259,input_377104!L:R,7,FALSE),VLOOKUP(tables_377104!C259,input_377104!A:H,8,FALSE))</f>
        <v>1152.36571</v>
      </c>
      <c r="P259" s="46">
        <f t="shared" ca="1" si="14"/>
        <v>1.5829199313295548E-4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input_377104!A$2</f>
        <v>377104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IFERROR(VLOOKUP(B260,input_377104!L:R,7,FALSE),VLOOKUP(tables_377104!C260,input_377104!A:H,8,FALSE))</f>
        <v>5200</v>
      </c>
      <c r="P260" s="46">
        <f t="shared" ca="1" si="14"/>
        <v>7.1428571429062084E-4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input_377104!A$2</f>
        <v>377104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IFERROR(VLOOKUP(B261,input_377104!L:R,7,FALSE),VLOOKUP(tables_377104!C261,input_377104!A:H,8,FALSE))</f>
        <v>5200</v>
      </c>
      <c r="P261" s="46">
        <f t="shared" ca="1" si="14"/>
        <v>7.1428571429062084E-4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input_377104!A$2</f>
        <v>377104</v>
      </c>
      <c r="B262" s="60">
        <v>770</v>
      </c>
      <c r="C262" s="7" t="str">
        <f t="shared" si="12"/>
        <v>PremiumSS4color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53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IFERROR(VLOOKUP(B262,input_377104!L:R,7,FALSE),VLOOKUP(tables_377104!C262,input_377104!A:H,8,FALSE))</f>
        <v>18861.818179999998</v>
      </c>
      <c r="P262" s="46">
        <f t="shared" ca="1" si="14"/>
        <v>2.5909090906771379E-3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input_377104!A$2</f>
        <v>377104</v>
      </c>
      <c r="B263" s="60">
        <v>771</v>
      </c>
      <c r="C263" s="7" t="str">
        <f t="shared" si="12"/>
        <v>PremiumSS5color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53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IFERROR(VLOOKUP(B263,input_377104!L:R,7,FALSE),VLOOKUP(tables_377104!C263,input_377104!A:H,8,FALSE))</f>
        <v>992.72726999999998</v>
      </c>
      <c r="P263" s="46">
        <f t="shared" ca="1" si="14"/>
        <v>1.3636363598994769E-4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input_377104!A$2</f>
        <v>377104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IFERROR(VLOOKUP(B264,input_377104!L:R,7,FALSE),VLOOKUP(tables_377104!C264,input_377104!A:H,8,FALSE))</f>
        <v>4940</v>
      </c>
      <c r="P264" s="46">
        <f t="shared" ca="1" si="14"/>
        <v>6.7857142857608976E-4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input_377104!A$2</f>
        <v>377104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IFERROR(VLOOKUP(B265,input_377104!L:R,7,FALSE),VLOOKUP(tables_377104!C265,input_377104!A:H,8,FALSE))</f>
        <v>260</v>
      </c>
      <c r="P265" s="46">
        <f t="shared" ca="1" si="14"/>
        <v>3.5714285714531038E-5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input_377104!A$2</f>
        <v>377104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IFERROR(VLOOKUP(B266,input_377104!L:R,7,FALSE),VLOOKUP(tables_377104!C266,input_377104!A:H,8,FALSE))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input_377104!A$2</f>
        <v>377104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IFERROR(VLOOKUP(B267,input_377104!L:R,7,FALSE),VLOOKUP(tables_377104!C267,input_377104!A:H,8,FALSE))</f>
        <v>40091.519999999997</v>
      </c>
      <c r="P267" s="46">
        <f t="shared" ca="1" si="14"/>
        <v>5.5070769231147518E-3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input_377104!A$2</f>
        <v>377104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IFERROR(VLOOKUP(B268,input_377104!L:R,7,FALSE),VLOOKUP(tables_377104!C268,input_377104!A:H,8,FALSE))</f>
        <v>2110.08</v>
      </c>
      <c r="P268" s="46">
        <f t="shared" ca="1" si="14"/>
        <v>2.8984615384814485E-4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input_377104!A$2</f>
        <v>377104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IFERROR(VLOOKUP(B269,input_377104!L:R,7,FALSE),VLOOKUP(tables_377104!C269,input_377104!A:H,8,FALSE))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input_377104!A$2</f>
        <v>377104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IFERROR(VLOOKUP(B270,input_377104!L:R,7,FALSE),VLOOKUP(tables_377104!C270,input_377104!A:H,8,FALSE))</f>
        <v>40091.519999999997</v>
      </c>
      <c r="P270" s="46">
        <f t="shared" ca="1" si="14"/>
        <v>5.5070769231147518E-3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input_377104!A$2</f>
        <v>377104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IFERROR(VLOOKUP(B271,input_377104!L:R,7,FALSE),VLOOKUP(tables_377104!C271,input_377104!A:H,8,FALSE))</f>
        <v>2110.08</v>
      </c>
      <c r="P271" s="46">
        <f t="shared" ca="1" si="14"/>
        <v>2.8984615384814485E-4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input_377104!A$2</f>
        <v>377104</v>
      </c>
      <c r="B272" s="83">
        <v>848</v>
      </c>
      <c r="C272" s="7" t="str">
        <f t="shared" si="12"/>
        <v>PremiumSS5R5onlycolor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53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IFERROR(VLOOKUP(B272,input_377104!L:R,7,FALSE),VLOOKUP(tables_377104!C272,input_377104!A:H,8,FALSE))</f>
        <v>19854.545450000001</v>
      </c>
      <c r="P272" s="46">
        <f t="shared" ca="1" si="14"/>
        <v>2.7272727266670861E-3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input_377104!A$2</f>
        <v>377104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IFERROR(VLOOKUP(B273,input_377104!L:R,7,FALSE),VLOOKUP(tables_377104!C273,input_377104!A:H,8,FALSE))</f>
        <v>5200</v>
      </c>
      <c r="P273" s="46">
        <f t="shared" ca="1" si="14"/>
        <v>7.1428571429062084E-4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input_377104!A$2</f>
        <v>377104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IFERROR(VLOOKUP(B274,input_377104!L:R,7,FALSE),VLOOKUP(tables_377104!C274,input_377104!A:H,8,FALSE))</f>
        <v>41049.23429</v>
      </c>
      <c r="P274" s="46">
        <f t="shared" ca="1" si="14"/>
        <v>5.6386310838299411E-3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input_377104!A$2</f>
        <v>377104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IFERROR(VLOOKUP(B275,input_377104!L:R,7,FALSE),VLOOKUP(tables_377104!C275,input_377104!A:H,8,FALSE))</f>
        <v>1152.36571</v>
      </c>
      <c r="P275" s="46">
        <f t="shared" ca="1" si="14"/>
        <v>1.5829199313295548E-4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input_377104!A$2</f>
        <v>377104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IFERROR(VLOOKUP(B276,input_377104!L:R,7,FALSE),VLOOKUP(tables_377104!C276,input_377104!A:H,8,FALSE))</f>
        <v>41049.23429</v>
      </c>
      <c r="P276" s="46">
        <f t="shared" ca="1" si="14"/>
        <v>5.6386310838299411E-3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input_377104!A$2</f>
        <v>377104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IFERROR(VLOOKUP(B277,input_377104!L:R,7,FALSE),VLOOKUP(tables_377104!C277,input_377104!A:H,8,FALSE))</f>
        <v>1152.36571</v>
      </c>
      <c r="P277" s="46">
        <f t="shared" ca="1" si="14"/>
        <v>1.5829199313295548E-4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input_377104!A$2</f>
        <v>377104</v>
      </c>
      <c r="B278" s="83">
        <v>862</v>
      </c>
      <c r="C278" s="7" t="str">
        <f t="shared" si="12"/>
        <v>Premium4R3lesscolor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53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IFERROR(VLOOKUP(B278,input_377104!L:R,7,FALSE),VLOOKUP(tables_377104!C278,input_377104!A:H,8,FALSE))</f>
        <v>197148.68726999999</v>
      </c>
      <c r="P278" s="46">
        <f t="shared" ca="1" si="14"/>
        <v>2.7080863636175033E-2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input_377104!A$2</f>
        <v>377104</v>
      </c>
      <c r="B279" s="83">
        <v>863</v>
      </c>
      <c r="C279" s="7" t="str">
        <f t="shared" si="12"/>
        <v>Premium5R3lesscolor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53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IFERROR(VLOOKUP(B279,input_377104!L:R,7,FALSE),VLOOKUP(tables_377104!C279,input_377104!A:H,8,FALSE))</f>
        <v>8584.1127300000007</v>
      </c>
      <c r="P279" s="46">
        <f t="shared" ca="1" si="14"/>
        <v>1.1791363640190889E-3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input_377104!A$2</f>
        <v>377104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IFERROR(VLOOKUP(B280,input_377104!L:R,7,FALSE),VLOOKUP(tables_377104!C280,input_377104!A:H,8,FALSE))</f>
        <v>41049.23429</v>
      </c>
      <c r="P280" s="46">
        <f t="shared" ca="1" si="14"/>
        <v>5.6386310838299411E-3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input_377104!A$2</f>
        <v>377104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IFERROR(VLOOKUP(B281,input_377104!L:R,7,FALSE),VLOOKUP(tables_377104!C281,input_377104!A:H,8,FALSE))</f>
        <v>1152.36571</v>
      </c>
      <c r="P281" s="46">
        <f t="shared" ca="1" si="14"/>
        <v>1.5829199313295548E-4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input_377104!A$2</f>
        <v>377104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IFERROR(VLOOKUP(B282,input_377104!L:R,7,FALSE),VLOOKUP(tables_377104!C282,input_377104!A:H,8,FALSE))</f>
        <v>5200</v>
      </c>
      <c r="P282" s="46">
        <f t="shared" ca="1" si="14"/>
        <v>7.1428571429062084E-4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input_377104!A$2</f>
        <v>377104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IFERROR(VLOOKUP(B283,input_377104!L:R,7,FALSE),VLOOKUP(tables_377104!C283,input_377104!A:H,8,FALSE))</f>
        <v>5200</v>
      </c>
      <c r="P283" s="46">
        <f t="shared" ca="1" si="14"/>
        <v>7.1428571429062084E-4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input_377104!A$2</f>
        <v>377104</v>
      </c>
      <c r="B284" s="83">
        <v>742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">
        <v>53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IFERROR(VLOOKUP(B284,input_377104!L:R,7,FALSE),VLOOKUP(tables_377104!C284,input_377104!A:H,8,FALSE))</f>
        <v>19854.545450000001</v>
      </c>
      <c r="P284" s="46">
        <f t="shared" ca="1" si="14"/>
        <v>2.7272727266670861E-3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input_377104!A$2</f>
        <v>377104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IFERROR(VLOOKUP(B285,input_377104!L:R,7,FALSE),VLOOKUP(tables_377104!C285,input_377104!A:H,8,FALSE))</f>
        <v>5200</v>
      </c>
      <c r="P285" s="46">
        <f t="shared" ca="1" si="14"/>
        <v>7.1428571429062084E-4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input_377104!A$2</f>
        <v>377104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IFERROR(VLOOKUP(B286,input_377104!L:R,7,FALSE),VLOOKUP(tables_377104!C286,input_377104!A:H,8,FALSE))</f>
        <v>41049.23429</v>
      </c>
      <c r="P286" s="46">
        <f t="shared" ca="1" si="14"/>
        <v>5.6386310838299411E-3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input_377104!A$2</f>
        <v>377104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IFERROR(VLOOKUP(B287,input_377104!L:R,7,FALSE),VLOOKUP(tables_377104!C287,input_377104!A:H,8,FALSE))</f>
        <v>1152.36571</v>
      </c>
      <c r="P287" s="46">
        <f t="shared" ca="1" si="14"/>
        <v>1.5829199313295548E-4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input_377104!A$2</f>
        <v>377104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IFERROR(VLOOKUP(B288,input_377104!L:R,7,FALSE),VLOOKUP(tables_377104!C288,input_377104!A:H,8,FALSE))</f>
        <v>41049.23429</v>
      </c>
      <c r="P288" s="46">
        <f t="shared" ca="1" si="14"/>
        <v>5.6386310838299411E-3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input_377104!A$2</f>
        <v>377104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IFERROR(VLOOKUP(B289,input_377104!L:R,7,FALSE),VLOOKUP(tables_377104!C289,input_377104!A:H,8,FALSE))</f>
        <v>1152.36571</v>
      </c>
      <c r="P289" s="46">
        <f t="shared" ca="1" si="14"/>
        <v>1.5829199313295548E-4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input_377104!A$2</f>
        <v>377104</v>
      </c>
      <c r="B290" s="83">
        <v>937</v>
      </c>
      <c r="C290" s="7" t="str">
        <f t="shared" si="15"/>
        <v>PremiumSS5R5onlycolor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">
        <v>53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IFERROR(VLOOKUP(B290,input_377104!L:R,7,FALSE),VLOOKUP(tables_377104!C290,input_377104!A:H,8,FALSE))</f>
        <v>19854.545450000001</v>
      </c>
      <c r="P290" s="46">
        <f t="shared" ca="1" si="14"/>
        <v>2.7272727266670861E-3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input_377104!A$2</f>
        <v>377104</v>
      </c>
      <c r="B291" s="83">
        <v>939</v>
      </c>
      <c r="C291" s="7" t="str">
        <f t="shared" ref="C291:C295" si="17">D291&amp;J291&amp;E291&amp;F291&amp;G291</f>
        <v>Premium4R3less</v>
      </c>
      <c r="D291" s="7" t="str">
        <f t="shared" ref="D291:D295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IFERROR(VLOOKUP(B291,input_377104!L:R,7,FALSE),VLOOKUP(tables_377104!C291,input_377104!A:H,8,FALSE))</f>
        <v>41049.23429</v>
      </c>
      <c r="P291" s="46">
        <f t="shared" ca="1" si="14"/>
        <v>5.6386310838299411E-3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input_377104!A$2</f>
        <v>377104</v>
      </c>
      <c r="B292" s="83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IFERROR(VLOOKUP(B292,input_377104!L:R,7,FALSE),VLOOKUP(tables_377104!C292,input_377104!A:H,8,FALSE))</f>
        <v>1152.36571</v>
      </c>
      <c r="P292" s="46">
        <f t="shared" ca="1" si="14"/>
        <v>1.5829199313295548E-4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input_377104!A$2</f>
        <v>377104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IFERROR(VLOOKUP(B293,input_377104!L:R,7,FALSE),VLOOKUP(tables_377104!C293,input_377104!A:H,8,FALSE))</f>
        <v>5200</v>
      </c>
      <c r="P293" s="46">
        <f t="shared" ca="1" si="14"/>
        <v>7.1428571429062084E-4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input_377104!A$2</f>
        <v>377104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IFERROR(VLOOKUP(B294,input_377104!L:R,7,FALSE),VLOOKUP(tables_377104!C294,input_377104!A:H,8,FALSE))</f>
        <v>5200</v>
      </c>
      <c r="P294" s="46">
        <f t="shared" ca="1" si="14"/>
        <v>7.1428571429062084E-4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input_377104!A$2</f>
        <v>377104</v>
      </c>
      <c r="B295" s="83">
        <v>786</v>
      </c>
      <c r="C295" s="7" t="str">
        <f t="shared" si="17"/>
        <v>PremiumSSS5R3lesscolor</v>
      </c>
      <c r="D295" s="7" t="str">
        <f t="shared" si="18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264</v>
      </c>
      <c r="H295" s="7" t="str">
        <f>VLOOKUP(B295,[1]characters!$A:$C,3,FALSE)</f>
        <v>ヘイウェイ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dragon</v>
      </c>
      <c r="N295" s="7" t="str">
        <f>VLOOKUP(B295,[1]characters!$A:$G,7,FALSE)</f>
        <v>男性</v>
      </c>
      <c r="O295" s="45">
        <f ca="1">IFERROR(VLOOKUP(B295,input_377104!L:R,7,FALSE),VLOOKUP(tables_377104!C295,input_377104!A:H,8,FALSE))</f>
        <v>58240</v>
      </c>
      <c r="P295" s="46">
        <f t="shared" ca="1" si="14"/>
        <v>8.0000000000549527E-3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5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3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377105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VLOOKUP(L3,tables_377105!B:C,2,FALSE)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VLOOKUP(L4,tables_377105!B:C,2,FALSE)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7.1428571428571439E-4</v>
      </c>
      <c r="F5">
        <f>(COUNTIF(tables_377105!C:C,input_377105!A28)+COUNTIF(tables_377105!C:C,input_377105!A29))</f>
        <v>28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VLOOKUP(L5,tables_377105!B:C,2,FALSE)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2.7272727272727271E-3</v>
      </c>
      <c r="F6">
        <f>(COUNTIF(tables_377105!C:C,input_377105!A43)+COUNTIF(tables_377105!C:C,input_377105!A44))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VLOOKUP(L6,tables_377105!B:C,2,FALSE)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5.772307692307692E-3</v>
      </c>
      <c r="F7">
        <f>(COUNTIF(tables_377105!C:C,input_377105!A26)+COUNTIF(tables_377105!C:C,input_377105!A18)+COUNTIF(tables_377105!C:C,input_377105!A20)+COUNTIF(tables_377105!C:C,input_377105!A22))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VLOOKUP(L7,tables_377105!B:C,2,FALSE)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2.8139999999999998E-2</v>
      </c>
      <c r="F8">
        <f>(COUNTIF(tables_377105!C:C,input_377105!A40)+COUNTIF(tables_377105!C:C,input_377105!A33)+COUNTIF(tables_377105!C:C,input_377105!A35)+COUNTIF(tables_377105!C:C,input_377105!A37))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VLOOKUP(L8,tables_377105!B:C,2,FALSE)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VLOOKUP(L9,tables_377105!B:C,2,FALSE)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VLOOKUP(L10,tables_377105!B:C,2,FALSE)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VLOOKUP(L11,tables_377105!B:C,2,FALSE)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VLOOKUP(L12,tables_377105!B:C,2,FALSE)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VLOOKUP(L13,tables_377105!B:C,2,FALSE)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VLOOKUP(L14,tables_377105!B:C,2,FALSE)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VLOOKUP(L15,tables_377105!B:C,2,FALSE)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VLOOKUP(L16,tables_377105!B:C,2,FALSE)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COUNTIF(tables_377105!C:C,input_377105!A17)-COUNTIF(Q:Q,A17)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VLOOKUP(L17,tables_377105!B:C,2,FALSE)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8.6584615384615385E-2</v>
      </c>
      <c r="C18" s="87">
        <f t="shared" si="2"/>
        <v>0</v>
      </c>
      <c r="D18" s="75">
        <f t="shared" si="3"/>
        <v>8.6584615384615385E-2</v>
      </c>
      <c r="E18">
        <f>COUNTIF(tables_377105!C:C,input_377105!A18)-COUNTIF(Q:Q,A18)</f>
        <v>15</v>
      </c>
      <c r="F18" s="43">
        <f>IFERROR(B18/E18,0)</f>
        <v>5.772307692307692E-3</v>
      </c>
      <c r="G18">
        <f t="shared" si="4"/>
        <v>630336</v>
      </c>
      <c r="H18">
        <f t="shared" si="5"/>
        <v>42022.400000000001</v>
      </c>
      <c r="I18">
        <f t="shared" si="6"/>
        <v>0.40000000000145519</v>
      </c>
      <c r="J18">
        <f t="shared" si="7"/>
        <v>2.4999999999909051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VLOOKUP(L18,tables_377105!B:C,2,FALSE)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COUNTIF(tables_377105!C:C,input_377105!A19)-COUNTIF(Q:Q,A19)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VLOOKUP(L19,tables_377105!B:C,2,FALSE)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0.21934769230769227</v>
      </c>
      <c r="C20" s="87">
        <f t="shared" si="2"/>
        <v>0</v>
      </c>
      <c r="D20" s="75">
        <f t="shared" si="3"/>
        <v>0.21934769230769227</v>
      </c>
      <c r="E20">
        <f>COUNTIF(tables_377105!C:C,input_377105!A20)-COUNTIF(Q:Q,A20)</f>
        <v>40</v>
      </c>
      <c r="F20" s="43">
        <f t="shared" si="8"/>
        <v>5.4836923076923066E-3</v>
      </c>
      <c r="G20">
        <f t="shared" si="4"/>
        <v>1596851.1999999997</v>
      </c>
      <c r="H20">
        <f t="shared" si="5"/>
        <v>39921.279999999999</v>
      </c>
      <c r="I20">
        <f t="shared" si="6"/>
        <v>0.27999999999883585</v>
      </c>
      <c r="J20">
        <f t="shared" si="7"/>
        <v>3.5714285714434202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VLOOKUP(L20,tables_377105!B:C,2,FALSE)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1.1544615384615384E-2</v>
      </c>
      <c r="C21" s="87">
        <f t="shared" si="2"/>
        <v>0</v>
      </c>
      <c r="D21" s="75">
        <f t="shared" si="3"/>
        <v>1.1544615384615384E-2</v>
      </c>
      <c r="E21">
        <f>COUNTIF(tables_377105!C:C,input_377105!A21)-COUNTIF(Q:Q,A21)</f>
        <v>40</v>
      </c>
      <c r="F21" s="43">
        <f t="shared" si="8"/>
        <v>2.8861538461538461E-4</v>
      </c>
      <c r="G21">
        <f t="shared" si="4"/>
        <v>84044.800000000003</v>
      </c>
      <c r="H21">
        <f t="shared" si="5"/>
        <v>2101.12</v>
      </c>
      <c r="I21">
        <f t="shared" si="6"/>
        <v>0.11999999999989086</v>
      </c>
      <c r="J21">
        <f t="shared" si="7"/>
        <v>8.3333333333409119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3.9245186813186811E-2</v>
      </c>
      <c r="C22" s="87">
        <f t="shared" si="2"/>
        <v>0</v>
      </c>
      <c r="D22" s="75">
        <f t="shared" si="3"/>
        <v>3.9245186813186811E-2</v>
      </c>
      <c r="E22">
        <f>COUNTIF(tables_377105!C:C,input_377105!A22)-COUNTIF(Q:Q,A22)</f>
        <v>7</v>
      </c>
      <c r="F22" s="43">
        <f t="shared" si="8"/>
        <v>5.606455259026687E-3</v>
      </c>
      <c r="G22">
        <f t="shared" si="4"/>
        <v>285704.95999999996</v>
      </c>
      <c r="H22">
        <f t="shared" si="5"/>
        <v>40814.994290000002</v>
      </c>
      <c r="I22">
        <f t="shared" si="6"/>
        <v>0.99429000000236556</v>
      </c>
      <c r="J22">
        <f t="shared" si="7"/>
        <v>1.0057427913361503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1.1609670329670342E-3</v>
      </c>
      <c r="C23" s="87">
        <f t="shared" si="2"/>
        <v>0</v>
      </c>
      <c r="D23" s="75">
        <f t="shared" si="3"/>
        <v>1.1609670329670342E-3</v>
      </c>
      <c r="E23">
        <f>COUNTIF(tables_377105!C:C,input_377105!A23)-COUNTIF(Q:Q,A23)</f>
        <v>7</v>
      </c>
      <c r="F23" s="43">
        <f t="shared" si="8"/>
        <v>1.6585243328100488E-4</v>
      </c>
      <c r="G23">
        <f t="shared" si="4"/>
        <v>8451.8400000000092</v>
      </c>
      <c r="H23">
        <f t="shared" si="5"/>
        <v>1207.40571</v>
      </c>
      <c r="I23">
        <f t="shared" si="6"/>
        <v>0.40570999999999913</v>
      </c>
      <c r="J23">
        <f t="shared" si="7"/>
        <v>2.4648147691701023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COUNTIF(tables_377105!C:C,input_377105!A24)-COUNTIF(Q:Q,A24)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1.6451076923076922E-2</v>
      </c>
      <c r="C25" s="87">
        <f t="shared" si="2"/>
        <v>0</v>
      </c>
      <c r="D25" s="75">
        <f t="shared" si="3"/>
        <v>1.6451076923076922E-2</v>
      </c>
      <c r="E25">
        <f>COUNTIF(tables_377105!C:C,input_377105!A25)-COUNTIF(Q:Q,A25)</f>
        <v>3</v>
      </c>
      <c r="F25" s="43">
        <f t="shared" si="8"/>
        <v>5.4836923076923075E-3</v>
      </c>
      <c r="G25">
        <f t="shared" si="4"/>
        <v>119763.84</v>
      </c>
      <c r="H25">
        <f t="shared" si="5"/>
        <v>39921.279999999999</v>
      </c>
      <c r="I25">
        <f t="shared" si="6"/>
        <v>0.27999999999883585</v>
      </c>
      <c r="J25">
        <f t="shared" si="7"/>
        <v>3.5714285714434202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8.6584615384615389E-4</v>
      </c>
      <c r="C26" s="87">
        <f t="shared" si="2"/>
        <v>0</v>
      </c>
      <c r="D26" s="75">
        <f t="shared" si="3"/>
        <v>8.6584615384615389E-4</v>
      </c>
      <c r="E26">
        <f>COUNTIF(tables_377105!C:C,input_377105!A26)-COUNTIF(Q:Q,A26)</f>
        <v>3</v>
      </c>
      <c r="F26" s="43">
        <f t="shared" si="8"/>
        <v>2.8861538461538461E-4</v>
      </c>
      <c r="G26">
        <f t="shared" si="4"/>
        <v>6303.3600000000006</v>
      </c>
      <c r="H26">
        <f t="shared" si="5"/>
        <v>2101.12</v>
      </c>
      <c r="I26">
        <f t="shared" si="6"/>
        <v>0.11999999999989086</v>
      </c>
      <c r="J26">
        <f t="shared" si="7"/>
        <v>8.3333333333409119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1.3571428571428573E-2</v>
      </c>
      <c r="C27" s="87">
        <f t="shared" si="2"/>
        <v>0</v>
      </c>
      <c r="D27" s="75">
        <f t="shared" si="3"/>
        <v>1.3571428571428573E-2</v>
      </c>
      <c r="E27">
        <f>COUNTIF(tables_377105!C:C,input_377105!A27)-COUNTIF(Q:Q,A27)</f>
        <v>20</v>
      </c>
      <c r="F27" s="43">
        <f>IFERROR(B27/E27,0)</f>
        <v>6.7857142857142866E-4</v>
      </c>
      <c r="G27">
        <f t="shared" si="4"/>
        <v>98800.000000000015</v>
      </c>
      <c r="H27">
        <f t="shared" si="5"/>
        <v>4940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7.1428571428571439E-4</v>
      </c>
      <c r="C28" s="87">
        <f t="shared" si="2"/>
        <v>0</v>
      </c>
      <c r="D28" s="75">
        <f t="shared" si="3"/>
        <v>7.1428571428571439E-4</v>
      </c>
      <c r="E28">
        <f>COUNTIF(tables_377105!C:C,input_377105!A28)-COUNTIF(Q:Q,A28)</f>
        <v>20</v>
      </c>
      <c r="F28" s="43">
        <f t="shared" si="8"/>
        <v>3.5714285714285717E-5</v>
      </c>
      <c r="G28">
        <f t="shared" si="4"/>
        <v>5200.0000000000009</v>
      </c>
      <c r="H28">
        <f t="shared" si="5"/>
        <v>260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5.7142857142857151E-3</v>
      </c>
      <c r="C29" s="87">
        <f t="shared" si="2"/>
        <v>0</v>
      </c>
      <c r="D29" s="75">
        <f t="shared" si="3"/>
        <v>5.7142857142857151E-3</v>
      </c>
      <c r="E29">
        <f>COUNTIF(tables_377105!C:C,input_377105!A29)-COUNTIF(Q:Q,A29)</f>
        <v>8</v>
      </c>
      <c r="F29" s="43">
        <f t="shared" si="8"/>
        <v>7.1428571428571439E-4</v>
      </c>
      <c r="G29">
        <f t="shared" si="4"/>
        <v>41600.000000000007</v>
      </c>
      <c r="H29">
        <f t="shared" si="5"/>
        <v>5200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COUNTIF(tables_377105!C:C,input_377105!A30)-COUNTIF(Q:Q,A30)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COUNTIF(tables_377105!C:C,input_377105!A31)-COUNTIF(Q:Q,A31)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COUNTIF(tables_377105!C:C,input_377105!A32)-COUNTIF(Q:Q,A32)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0.14069999999999999</v>
      </c>
      <c r="C33" s="87">
        <f t="shared" si="2"/>
        <v>0</v>
      </c>
      <c r="D33" s="75">
        <f t="shared" si="3"/>
        <v>0.14069999999999999</v>
      </c>
      <c r="E33">
        <f>COUNTIF(tables_377105!C:C,input_377105!A33)-COUNTIF(Q:Q,A33)</f>
        <v>5</v>
      </c>
      <c r="F33" s="43">
        <f>IFERROR(B33/E33,0)</f>
        <v>2.8139999999999998E-2</v>
      </c>
      <c r="G33">
        <f t="shared" si="4"/>
        <v>1024295.9999999999</v>
      </c>
      <c r="H33">
        <f t="shared" si="5"/>
        <v>204859.2</v>
      </c>
      <c r="I33">
        <f t="shared" si="6"/>
        <v>0.20000000001164153</v>
      </c>
      <c r="J33">
        <f t="shared" si="7"/>
        <v>4.9999999997089617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COUNTIF(tables_377105!C:C,input_377105!A34)-COUNTIF(Q:Q,A34)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0.32079599999999997</v>
      </c>
      <c r="C35" s="87">
        <f t="shared" si="2"/>
        <v>0</v>
      </c>
      <c r="D35" s="75">
        <f t="shared" si="3"/>
        <v>0.32079599999999997</v>
      </c>
      <c r="E35">
        <f>COUNTIF(tables_377105!C:C,input_377105!A35)-COUNTIF(Q:Q,A35)</f>
        <v>12</v>
      </c>
      <c r="F35" s="43">
        <f t="shared" si="9"/>
        <v>2.6732999999999996E-2</v>
      </c>
      <c r="G35">
        <f t="shared" si="4"/>
        <v>2335394.88</v>
      </c>
      <c r="H35">
        <f t="shared" si="5"/>
        <v>194616.24</v>
      </c>
      <c r="I35">
        <f t="shared" si="6"/>
        <v>0.23999999999068677</v>
      </c>
      <c r="J35">
        <f t="shared" si="7"/>
        <v>4.1666666668283545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1.6884E-2</v>
      </c>
      <c r="C36" s="87">
        <f t="shared" si="2"/>
        <v>0</v>
      </c>
      <c r="D36" s="75">
        <f t="shared" si="3"/>
        <v>1.6884E-2</v>
      </c>
      <c r="E36">
        <f>COUNTIF(tables_377105!C:C,input_377105!A36)-COUNTIF(Q:Q,A36)</f>
        <v>12</v>
      </c>
      <c r="F36" s="43">
        <f t="shared" si="9"/>
        <v>1.407E-3</v>
      </c>
      <c r="G36">
        <f t="shared" si="4"/>
        <v>122915.52</v>
      </c>
      <c r="H36">
        <f t="shared" si="5"/>
        <v>10242.959999999999</v>
      </c>
      <c r="I36">
        <f t="shared" si="6"/>
        <v>0.95999999999912689</v>
      </c>
      <c r="J36">
        <f t="shared" si="7"/>
        <v>1.041666666667614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5.3843727272727265E-2</v>
      </c>
      <c r="C37" s="87">
        <f t="shared" si="2"/>
        <v>0</v>
      </c>
      <c r="D37" s="75">
        <f t="shared" si="3"/>
        <v>5.3843727272727265E-2</v>
      </c>
      <c r="E37">
        <f>COUNTIF(tables_377105!C:C,input_377105!A37)-COUNTIF(Q:Q,A37)</f>
        <v>2</v>
      </c>
      <c r="F37" s="43">
        <f t="shared" si="9"/>
        <v>2.6921863636363633E-2</v>
      </c>
      <c r="G37">
        <f t="shared" si="4"/>
        <v>391982.33454545448</v>
      </c>
      <c r="H37">
        <f t="shared" si="5"/>
        <v>195991.16727000001</v>
      </c>
      <c r="I37">
        <f t="shared" si="6"/>
        <v>0.16727000000537373</v>
      </c>
      <c r="J37">
        <f t="shared" si="7"/>
        <v>5.9783583426070059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2.4362727272727279E-3</v>
      </c>
      <c r="C38" s="87">
        <f t="shared" si="2"/>
        <v>0</v>
      </c>
      <c r="D38" s="75">
        <f t="shared" si="3"/>
        <v>2.4362727272727279E-3</v>
      </c>
      <c r="E38">
        <f>COUNTIF(tables_377105!C:C,input_377105!A38)-COUNTIF(Q:Q,A38)</f>
        <v>2</v>
      </c>
      <c r="F38" s="43">
        <f t="shared" si="9"/>
        <v>1.2181363636363639E-3</v>
      </c>
      <c r="G38">
        <f t="shared" si="4"/>
        <v>17736.06545454546</v>
      </c>
      <c r="H38">
        <f t="shared" si="5"/>
        <v>8868.0327300000008</v>
      </c>
      <c r="I38">
        <f t="shared" si="6"/>
        <v>3.2730000000810833E-2</v>
      </c>
      <c r="J38">
        <f t="shared" si="7"/>
        <v>30.553009470676034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COUNTIF(tables_377105!C:C,input_377105!A39)-COUNTIF(Q:Q,A39)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2.6732999999999996E-2</v>
      </c>
      <c r="C40" s="87">
        <f t="shared" si="2"/>
        <v>0</v>
      </c>
      <c r="D40" s="75">
        <f t="shared" si="3"/>
        <v>2.6732999999999996E-2</v>
      </c>
      <c r="E40">
        <f>COUNTIF(tables_377105!C:C,input_377105!A40)-COUNTIF(Q:Q,A40)</f>
        <v>1</v>
      </c>
      <c r="F40" s="43">
        <f t="shared" si="9"/>
        <v>2.6732999999999996E-2</v>
      </c>
      <c r="G40">
        <f t="shared" si="4"/>
        <v>194616.23999999996</v>
      </c>
      <c r="H40">
        <f t="shared" si="5"/>
        <v>194616.24</v>
      </c>
      <c r="I40">
        <f t="shared" si="6"/>
        <v>0.23999999999068677</v>
      </c>
      <c r="J40">
        <f t="shared" si="7"/>
        <v>4.1666666668283545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1.407E-3</v>
      </c>
      <c r="C41" s="87">
        <f t="shared" si="2"/>
        <v>0</v>
      </c>
      <c r="D41" s="75">
        <f t="shared" si="3"/>
        <v>1.407E-3</v>
      </c>
      <c r="E41">
        <f>COUNTIF(tables_377105!C:C,input_377105!A41)-COUNTIF(Q:Q,A41)</f>
        <v>1</v>
      </c>
      <c r="F41" s="43">
        <f t="shared" si="9"/>
        <v>1.407E-3</v>
      </c>
      <c r="G41">
        <f t="shared" si="4"/>
        <v>10242.960000000001</v>
      </c>
      <c r="H41">
        <f t="shared" si="5"/>
        <v>10242.959999999999</v>
      </c>
      <c r="I41">
        <f t="shared" si="6"/>
        <v>0.95999999999912689</v>
      </c>
      <c r="J41">
        <f t="shared" si="7"/>
        <v>1.041666666667614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2.0727272727272726E-2</v>
      </c>
      <c r="C42" s="87">
        <f t="shared" si="2"/>
        <v>0</v>
      </c>
      <c r="D42" s="75">
        <f t="shared" si="3"/>
        <v>2.0727272727272726E-2</v>
      </c>
      <c r="E42">
        <f>COUNTIF(tables_377105!C:C,input_377105!A42)-COUNTIF(Q:Q,A42)</f>
        <v>8</v>
      </c>
      <c r="F42" s="43">
        <f>IFERROR(B42/E42,0)</f>
        <v>2.5909090909090908E-3</v>
      </c>
      <c r="G42">
        <f t="shared" si="4"/>
        <v>150894.54545454544</v>
      </c>
      <c r="H42">
        <f t="shared" si="5"/>
        <v>18861.818179999998</v>
      </c>
      <c r="I42">
        <f t="shared" si="6"/>
        <v>0.8181799999983923</v>
      </c>
      <c r="J42">
        <f t="shared" si="7"/>
        <v>1.2222249382800423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1.090909090909091E-3</v>
      </c>
      <c r="C43" s="87">
        <f t="shared" si="2"/>
        <v>0</v>
      </c>
      <c r="D43" s="75">
        <f t="shared" si="3"/>
        <v>1.090909090909091E-3</v>
      </c>
      <c r="E43">
        <f>COUNTIF(tables_377105!C:C,input_377105!A43)-COUNTIF(Q:Q,A43)</f>
        <v>8</v>
      </c>
      <c r="F43" s="43">
        <f t="shared" ref="F43:F46" si="10">IFERROR(B43/E43,0)</f>
        <v>1.3636363636363637E-4</v>
      </c>
      <c r="G43">
        <f t="shared" si="4"/>
        <v>7941.818181818182</v>
      </c>
      <c r="H43">
        <f t="shared" si="5"/>
        <v>992.72726999999998</v>
      </c>
      <c r="I43">
        <f t="shared" si="6"/>
        <v>0.72726999999997588</v>
      </c>
      <c r="J43">
        <f t="shared" si="7"/>
        <v>1.3750051562693817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8.1818181818181807E-3</v>
      </c>
      <c r="C44" s="87">
        <f t="shared" si="2"/>
        <v>0</v>
      </c>
      <c r="D44" s="75">
        <f t="shared" si="3"/>
        <v>8.1818181818181807E-3</v>
      </c>
      <c r="E44">
        <f>COUNTIF(tables_377105!C:C,input_377105!A44)-COUNTIF(Q:Q,A44)</f>
        <v>3</v>
      </c>
      <c r="F44" s="43">
        <f t="shared" si="10"/>
        <v>2.7272727272727271E-3</v>
      </c>
      <c r="G44">
        <f t="shared" si="4"/>
        <v>59563.636363636353</v>
      </c>
      <c r="H44">
        <f t="shared" si="5"/>
        <v>19854.545450000001</v>
      </c>
      <c r="I44">
        <f t="shared" si="6"/>
        <v>0.54545000000143773</v>
      </c>
      <c r="J44">
        <f t="shared" si="7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COUNTIF(tables_377105!C:C,input_377105!A45)-COUNTIF(Q:Q,A45)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1.2E-2</v>
      </c>
      <c r="C46" s="87">
        <f t="shared" si="2"/>
        <v>0</v>
      </c>
      <c r="D46" s="75">
        <f t="shared" si="3"/>
        <v>1.2E-2</v>
      </c>
      <c r="E46">
        <f>COUNTIF(tables_377105!C:C,input_377105!A46)-COUNTIF(Q:Q,A46)</f>
        <v>1</v>
      </c>
      <c r="F46" s="43">
        <f t="shared" si="10"/>
        <v>1.2E-2</v>
      </c>
      <c r="G46">
        <f t="shared" si="4"/>
        <v>87360</v>
      </c>
      <c r="H46">
        <f t="shared" si="5"/>
        <v>87360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7280000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SUMIF(tables_377105!C:C,input_377105!A55,tables_377105!O:O)</f>
        <v>0</v>
      </c>
      <c r="C55" s="54">
        <f t="shared" ref="C55:C61" ca="1" si="11">B55/B$62</f>
        <v>0</v>
      </c>
      <c r="E55">
        <v>3</v>
      </c>
      <c r="F55">
        <f ca="1">SUMIF(tables_377105!J:J,input_377105!E55,tables_377105!O:O)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SUMIF(tables_377105!C:C,input_377105!A56,tables_377105!O:O)</f>
        <v>1596851.2000000009</v>
      </c>
      <c r="C56" s="54">
        <f t="shared" ca="1" si="11"/>
        <v>0.89464663487396467</v>
      </c>
      <c r="E56">
        <v>4</v>
      </c>
      <c r="F56">
        <f ca="1">SUMIF(tables_377105!J:J,input_377105!E56,tables_377105!O:O)</f>
        <v>6828640.0000100024</v>
      </c>
      <c r="G56">
        <f ca="1">F56/A51</f>
        <v>0.93800000000137396</v>
      </c>
    </row>
    <row r="57" spans="1:7" x14ac:dyDescent="0.15">
      <c r="A57" s="33" t="s">
        <v>109</v>
      </c>
      <c r="B57">
        <f ca="1">SUMIF(tables_377105!C:C,input_377105!A57,tables_377105!O:O)</f>
        <v>98800</v>
      </c>
      <c r="C57" s="54">
        <f t="shared" ca="1" si="11"/>
        <v>5.5353365126035323E-2</v>
      </c>
      <c r="E57">
        <v>5</v>
      </c>
      <c r="F57">
        <f ca="1">SUMIF(tables_377105!J:J,input_377105!E57,tables_377105!O:O)</f>
        <v>451359.99993999983</v>
      </c>
      <c r="G57">
        <f ca="1">F57/A51</f>
        <v>6.1999999991758217E-2</v>
      </c>
    </row>
    <row r="58" spans="1:7" x14ac:dyDescent="0.15">
      <c r="A58" s="33" t="s">
        <v>113</v>
      </c>
      <c r="B58">
        <f>SUMIF(tables_377105!C:C,input_377105!A58,tables_377105!O:O)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SUMIF(tables_377105!C:C,input_377105!A59,tables_377105!O:O)</f>
        <v>84044.799999999988</v>
      </c>
      <c r="C59" s="54">
        <f t="shared" ca="1" si="11"/>
        <v>4.7086664993366528E-2</v>
      </c>
      <c r="E59" t="s">
        <v>55</v>
      </c>
      <c r="F59" s="55"/>
    </row>
    <row r="60" spans="1:7" x14ac:dyDescent="0.15">
      <c r="A60" s="33" t="s">
        <v>110</v>
      </c>
      <c r="B60">
        <f ca="1">SUMIF(tables_377105!C:C,input_377105!A60,tables_377105!O:O)</f>
        <v>5200</v>
      </c>
      <c r="C60" s="54">
        <f t="shared" ca="1" si="11"/>
        <v>2.9133350066334381E-3</v>
      </c>
      <c r="E60" t="s">
        <v>210</v>
      </c>
      <c r="F60" s="55">
        <f ca="1">SUMIF(tables_377105!I:I,input_377105!E60,tables_377105!P:P)</f>
        <v>0.22728461538617623</v>
      </c>
    </row>
    <row r="61" spans="1:7" x14ac:dyDescent="0.15">
      <c r="A61" s="33" t="s">
        <v>111</v>
      </c>
      <c r="B61">
        <f>SUMIF(tables_377105!C:C,input_377105!A61,tables_377105!O:O)</f>
        <v>0</v>
      </c>
      <c r="C61" s="54">
        <f t="shared" ca="1" si="11"/>
        <v>0</v>
      </c>
      <c r="E61" t="s">
        <v>211</v>
      </c>
      <c r="F61" s="55">
        <f ca="1">SUMIF(tables_377105!I:I,input_377105!E61,tables_377105!P:P)</f>
        <v>0.22728461538617614</v>
      </c>
    </row>
    <row r="62" spans="1:7" x14ac:dyDescent="0.15">
      <c r="A62" s="39" t="s">
        <v>60</v>
      </c>
      <c r="B62">
        <f ca="1">SUM(B55:B61)</f>
        <v>1784896.0000000009</v>
      </c>
      <c r="C62" s="55">
        <f ca="1">SUM(C55:C61)</f>
        <v>1</v>
      </c>
      <c r="E62" t="s">
        <v>212</v>
      </c>
      <c r="F62" s="55">
        <f ca="1">SUMIF(tables_377105!I:I,input_377105!E62,tables_377105!P:P)</f>
        <v>0.48343076923408951</v>
      </c>
    </row>
    <row r="63" spans="1:7" x14ac:dyDescent="0.15">
      <c r="E63" t="s">
        <v>213</v>
      </c>
      <c r="F63" s="55">
        <f ca="1">SUMIF(tables_377105!I:I,input_377105!E63,tables_377105!P:P)</f>
        <v>4.9999999993475257E-2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138" activePane="bottomLeft" state="frozen"/>
      <selection activeCell="U32" sqref="U32"/>
      <selection pane="bottomLeft" activeCell="M191" sqref="M19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input_377105!A$2</f>
        <v>377105</v>
      </c>
      <c r="B2" s="6">
        <v>126</v>
      </c>
      <c r="C2" s="7" t="str">
        <f t="shared" ref="C2:C65" si="0">D2&amp;J2&amp;E2&amp;F2&amp;G2</f>
        <v>PremiumW3color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53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IFERROR(VLOOKUP(B2,input_377105!L:R,7,FALSE),VLOOKUP(tables_377105!C2,input_377105!A:H,8,FALSE))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input_377105!A$2</f>
        <v>377105</v>
      </c>
      <c r="B3" s="6">
        <v>127</v>
      </c>
      <c r="C3" s="7" t="str">
        <f t="shared" si="0"/>
        <v>PremiumW4color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53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IFERROR(VLOOKUP(B3,input_377105!L:R,7,FALSE),VLOOKUP(tables_377105!C3,input_377105!A:H,8,FALSE))</f>
        <v>204859.2</v>
      </c>
      <c r="P3" s="46">
        <f t="shared" ca="1" si="2"/>
        <v>2.8140000000193257E-2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input_377105!A$2</f>
        <v>377105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IFERROR(VLOOKUP(B4,input_377105!L:R,7,FALSE),VLOOKUP(tables_377105!C4,input_377105!A:H,8,FALSE))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input_377105!A$2</f>
        <v>377105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IFERROR(VLOOKUP(B5,input_377105!L:R,7,FALSE),VLOOKUP(tables_377105!C5,input_377105!A:H,8,FALSE))</f>
        <v>42022.400000000001</v>
      </c>
      <c r="P5" s="46">
        <f t="shared" ca="1" si="2"/>
        <v>5.7723076923473348E-3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input_377105!A$2</f>
        <v>377105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IFERROR(VLOOKUP(B6,input_377105!L:R,7,FALSE),VLOOKUP(tables_377105!C6,input_377105!A:H,8,FALSE))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input_377105!A$2</f>
        <v>377105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IFERROR(VLOOKUP(B7,input_377105!L:R,7,FALSE),VLOOKUP(tables_377105!C7,input_377105!A:H,8,FALSE))</f>
        <v>42022.400000000001</v>
      </c>
      <c r="P7" s="46">
        <f t="shared" ca="1" si="2"/>
        <v>5.7723076923473348E-3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input_377105!A$2</f>
        <v>377105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IFERROR(VLOOKUP(B8,input_377105!L:R,7,FALSE),VLOOKUP(tables_377105!C8,input_377105!A:H,8,FALSE))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input_377105!A$2</f>
        <v>377105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IFERROR(VLOOKUP(B9,input_377105!L:R,7,FALSE),VLOOKUP(tables_377105!C9,input_377105!A:H,8,FALSE))</f>
        <v>42022.400000000001</v>
      </c>
      <c r="P9" s="46">
        <f t="shared" ca="1" si="2"/>
        <v>5.7723076923473348E-3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input_377105!A$2</f>
        <v>377105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53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IFERROR(VLOOKUP(B10,input_377105!L:R,7,FALSE),VLOOKUP(tables_377105!C10,input_377105!A:H,8,FALSE))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input_377105!A$2</f>
        <v>377105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53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IFERROR(VLOOKUP(B11,input_377105!L:R,7,FALSE),VLOOKUP(tables_377105!C11,input_377105!A:H,8,FALSE))</f>
        <v>204859.2</v>
      </c>
      <c r="P11" s="46">
        <f t="shared" ca="1" si="2"/>
        <v>2.8140000000193257E-2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input_377105!A$2</f>
        <v>377105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IFERROR(VLOOKUP(B12,input_377105!L:R,7,FALSE),VLOOKUP(tables_377105!C12,input_377105!A:H,8,FALSE))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input_377105!A$2</f>
        <v>377105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IFERROR(VLOOKUP(B13,input_377105!L:R,7,FALSE),VLOOKUP(tables_377105!C13,input_377105!A:H,8,FALSE))</f>
        <v>42022.400000000001</v>
      </c>
      <c r="P13" s="46">
        <f t="shared" ca="1" si="2"/>
        <v>5.7723076923473348E-3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input_377105!A$2</f>
        <v>377105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IFERROR(VLOOKUP(B14,input_377105!L:R,7,FALSE),VLOOKUP(tables_377105!C14,input_377105!A:H,8,FALSE))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input_377105!A$2</f>
        <v>377105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IFERROR(VLOOKUP(B15,input_377105!L:R,7,FALSE),VLOOKUP(tables_377105!C15,input_377105!A:H,8,FALSE))</f>
        <v>42022.400000000001</v>
      </c>
      <c r="P15" s="46">
        <f t="shared" ca="1" si="2"/>
        <v>5.7723076923473348E-3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input_377105!A$2</f>
        <v>377105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IFERROR(VLOOKUP(B16,input_377105!L:R,7,FALSE),VLOOKUP(tables_377105!C16,input_377105!A:H,8,FALSE))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input_377105!A$2</f>
        <v>377105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IFERROR(VLOOKUP(B17,input_377105!L:R,7,FALSE),VLOOKUP(tables_377105!C17,input_377105!A:H,8,FALSE))</f>
        <v>42022.400000000001</v>
      </c>
      <c r="P17" s="46">
        <f t="shared" ca="1" si="2"/>
        <v>5.7723076923473348E-3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input_377105!A$2</f>
        <v>377105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53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IFERROR(VLOOKUP(B18,input_377105!L:R,7,FALSE),VLOOKUP(tables_377105!C18,input_377105!A:H,8,FALSE))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input_377105!A$2</f>
        <v>377105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53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IFERROR(VLOOKUP(B19,input_377105!L:R,7,FALSE),VLOOKUP(tables_377105!C19,input_377105!A:H,8,FALSE))</f>
        <v>204859.2</v>
      </c>
      <c r="P19" s="46">
        <f t="shared" ca="1" si="2"/>
        <v>2.8140000000193257E-2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input_377105!A$2</f>
        <v>377105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IFERROR(VLOOKUP(B20,input_377105!L:R,7,FALSE),VLOOKUP(tables_377105!C20,input_377105!A:H,8,FALSE))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input_377105!A$2</f>
        <v>377105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IFERROR(VLOOKUP(B21,input_377105!L:R,7,FALSE),VLOOKUP(tables_377105!C21,input_377105!A:H,8,FALSE))</f>
        <v>42022.400000000001</v>
      </c>
      <c r="P21" s="46">
        <f t="shared" ca="1" si="2"/>
        <v>5.7723076923473348E-3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input_377105!A$2</f>
        <v>377105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IFERROR(VLOOKUP(B22,input_377105!L:R,7,FALSE),VLOOKUP(tables_377105!C22,input_377105!A:H,8,FALSE))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input_377105!A$2</f>
        <v>377105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IFERROR(VLOOKUP(B23,input_377105!L:R,7,FALSE),VLOOKUP(tables_377105!C23,input_377105!A:H,8,FALSE))</f>
        <v>42022.400000000001</v>
      </c>
      <c r="P23" s="46">
        <f t="shared" ca="1" si="2"/>
        <v>5.7723076923473348E-3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input_377105!A$2</f>
        <v>377105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IFERROR(VLOOKUP(B24,input_377105!L:R,7,FALSE),VLOOKUP(tables_377105!C24,input_377105!A:H,8,FALSE))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input_377105!A$2</f>
        <v>377105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IFERROR(VLOOKUP(B25,input_377105!L:R,7,FALSE),VLOOKUP(tables_377105!C25,input_377105!A:H,8,FALSE))</f>
        <v>42022.400000000001</v>
      </c>
      <c r="P25" s="46">
        <f t="shared" ca="1" si="2"/>
        <v>5.7723076923473348E-3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input_377105!A$2</f>
        <v>377105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53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IFERROR(VLOOKUP(B26,input_377105!L:R,7,FALSE),VLOOKUP(tables_377105!C26,input_377105!A:H,8,FALSE))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input_377105!A$2</f>
        <v>377105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53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IFERROR(VLOOKUP(B27,input_377105!L:R,7,FALSE),VLOOKUP(tables_377105!C27,input_377105!A:H,8,FALSE))</f>
        <v>204859.2</v>
      </c>
      <c r="P27" s="46">
        <f t="shared" ca="1" si="2"/>
        <v>2.8140000000193257E-2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input_377105!A$2</f>
        <v>377105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IFERROR(VLOOKUP(B28,input_377105!L:R,7,FALSE),VLOOKUP(tables_377105!C28,input_377105!A:H,8,FALSE))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input_377105!A$2</f>
        <v>377105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IFERROR(VLOOKUP(B29,input_377105!L:R,7,FALSE),VLOOKUP(tables_377105!C29,input_377105!A:H,8,FALSE))</f>
        <v>42022.400000000001</v>
      </c>
      <c r="P29" s="46">
        <f t="shared" ca="1" si="2"/>
        <v>5.7723076923473348E-3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input_377105!A$2</f>
        <v>377105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IFERROR(VLOOKUP(B30,input_377105!L:R,7,FALSE),VLOOKUP(tables_377105!C30,input_377105!A:H,8,FALSE))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input_377105!A$2</f>
        <v>377105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IFERROR(VLOOKUP(B31,input_377105!L:R,7,FALSE),VLOOKUP(tables_377105!C31,input_377105!A:H,8,FALSE))</f>
        <v>42022.400000000001</v>
      </c>
      <c r="P31" s="46">
        <f t="shared" ca="1" si="2"/>
        <v>5.7723076923473348E-3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input_377105!A$2</f>
        <v>377105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IFERROR(VLOOKUP(B32,input_377105!L:R,7,FALSE),VLOOKUP(tables_377105!C32,input_377105!A:H,8,FALSE))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input_377105!A$2</f>
        <v>377105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IFERROR(VLOOKUP(B33,input_377105!L:R,7,FALSE),VLOOKUP(tables_377105!C33,input_377105!A:H,8,FALSE))</f>
        <v>42022.400000000001</v>
      </c>
      <c r="P33" s="46">
        <f t="shared" ca="1" si="2"/>
        <v>5.7723076923473348E-3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input_377105!A$2</f>
        <v>377105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53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IFERROR(VLOOKUP(B34,input_377105!L:R,7,FALSE),VLOOKUP(tables_377105!C34,input_377105!A:H,8,FALSE))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input_377105!A$2</f>
        <v>377105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53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IFERROR(VLOOKUP(B35,input_377105!L:R,7,FALSE),VLOOKUP(tables_377105!C35,input_377105!A:H,8,FALSE))</f>
        <v>204859.2</v>
      </c>
      <c r="P35" s="46">
        <f t="shared" ca="1" si="2"/>
        <v>2.8140000000193257E-2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input_377105!A$2</f>
        <v>377105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IFERROR(VLOOKUP(B36,input_377105!L:R,7,FALSE),VLOOKUP(tables_377105!C36,input_377105!A:H,8,FALSE))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input_377105!A$2</f>
        <v>377105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IFERROR(VLOOKUP(B37,input_377105!L:R,7,FALSE),VLOOKUP(tables_377105!C37,input_377105!A:H,8,FALSE))</f>
        <v>42022.400000000001</v>
      </c>
      <c r="P37" s="46">
        <f t="shared" ca="1" si="2"/>
        <v>5.7723076923473348E-3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input_377105!A$2</f>
        <v>377105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IFERROR(VLOOKUP(B38,input_377105!L:R,7,FALSE),VLOOKUP(tables_377105!C38,input_377105!A:H,8,FALSE))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input_377105!A$2</f>
        <v>377105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IFERROR(VLOOKUP(B39,input_377105!L:R,7,FALSE),VLOOKUP(tables_377105!C39,input_377105!A:H,8,FALSE))</f>
        <v>42022.400000000001</v>
      </c>
      <c r="P39" s="46">
        <f t="shared" ca="1" si="2"/>
        <v>5.7723076923473348E-3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input_377105!A$2</f>
        <v>377105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IFERROR(VLOOKUP(B40,input_377105!L:R,7,FALSE),VLOOKUP(tables_377105!C40,input_377105!A:H,8,FALSE))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input_377105!A$2</f>
        <v>377105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IFERROR(VLOOKUP(B41,input_377105!L:R,7,FALSE),VLOOKUP(tables_377105!C41,input_377105!A:H,8,FALSE))</f>
        <v>42022.400000000001</v>
      </c>
      <c r="P41" s="46">
        <f t="shared" ca="1" si="2"/>
        <v>5.7723076923473348E-3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input_377105!A$2</f>
        <v>377105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53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IFERROR(VLOOKUP(B42,input_377105!L:R,7,FALSE),VLOOKUP(tables_377105!C42,input_377105!A:H,8,FALSE))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input_377105!A$2</f>
        <v>377105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53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IFERROR(VLOOKUP(B43,input_377105!L:R,7,FALSE),VLOOKUP(tables_377105!C43,input_377105!A:H,8,FALSE))</f>
        <v>194616.24</v>
      </c>
      <c r="P43" s="46">
        <f t="shared" ca="1" si="2"/>
        <v>2.6733000000183589E-2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hidden="1" customHeight="1" x14ac:dyDescent="0.15">
      <c r="A44" s="2" t="str">
        <f ca="1">input_377105!A$2</f>
        <v>377105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53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IFERROR(VLOOKUP(B44,input_377105!L:R,7,FALSE),VLOOKUP(tables_377105!C44,input_377105!A:H,8,FALSE))</f>
        <v>10242.959999999999</v>
      </c>
      <c r="P44" s="46">
        <f t="shared" ca="1" si="2"/>
        <v>1.4070000000096627E-3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input_377105!A$2</f>
        <v>377105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IFERROR(VLOOKUP(B45,input_377105!L:R,7,FALSE),VLOOKUP(tables_377105!C45,input_377105!A:H,8,FALSE))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input_377105!A$2</f>
        <v>377105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IFERROR(VLOOKUP(B46,input_377105!L:R,7,FALSE),VLOOKUP(tables_377105!C46,input_377105!A:H,8,FALSE))</f>
        <v>39921.279999999999</v>
      </c>
      <c r="P46" s="46">
        <f t="shared" ca="1" si="2"/>
        <v>5.4836923077299675E-3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hidden="1" customHeight="1" x14ac:dyDescent="0.15">
      <c r="A47" s="2" t="str">
        <f ca="1">input_377105!A$2</f>
        <v>377105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IFERROR(VLOOKUP(B47,input_377105!L:R,7,FALSE),VLOOKUP(tables_377105!C47,input_377105!A:H,8,FALSE))</f>
        <v>2101.12</v>
      </c>
      <c r="P47" s="46">
        <f t="shared" ca="1" si="2"/>
        <v>2.886153846173667E-4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input_377105!A$2</f>
        <v>377105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IFERROR(VLOOKUP(B48,input_377105!L:R,7,FALSE),VLOOKUP(tables_377105!C48,input_377105!A:H,8,FALSE))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input_377105!A$2</f>
        <v>377105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IFERROR(VLOOKUP(B49,input_377105!L:R,7,FALSE),VLOOKUP(tables_377105!C49,input_377105!A:H,8,FALSE))</f>
        <v>39921.279999999999</v>
      </c>
      <c r="P49" s="46">
        <f t="shared" ca="1" si="2"/>
        <v>5.4836923077299675E-3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hidden="1" customHeight="1" x14ac:dyDescent="0.15">
      <c r="A50" s="2" t="str">
        <f ca="1">input_377105!A$2</f>
        <v>377105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IFERROR(VLOOKUP(B50,input_377105!L:R,7,FALSE),VLOOKUP(tables_377105!C50,input_377105!A:H,8,FALSE))</f>
        <v>2101.12</v>
      </c>
      <c r="P50" s="46">
        <f t="shared" ca="1" si="2"/>
        <v>2.886153846173667E-4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input_377105!A$2</f>
        <v>377105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IFERROR(VLOOKUP(B51,input_377105!L:R,7,FALSE),VLOOKUP(tables_377105!C51,input_377105!A:H,8,FALSE))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input_377105!A$2</f>
        <v>377105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IFERROR(VLOOKUP(B52,input_377105!L:R,7,FALSE),VLOOKUP(tables_377105!C52,input_377105!A:H,8,FALSE))</f>
        <v>39921.279999999999</v>
      </c>
      <c r="P52" s="46">
        <f t="shared" ca="1" si="2"/>
        <v>5.4836923077299675E-3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hidden="1" customHeight="1" x14ac:dyDescent="0.15">
      <c r="A53" s="2" t="str">
        <f ca="1">input_377105!A$2</f>
        <v>377105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IFERROR(VLOOKUP(B53,input_377105!L:R,7,FALSE),VLOOKUP(tables_377105!C53,input_377105!A:H,8,FALSE))</f>
        <v>2101.12</v>
      </c>
      <c r="P53" s="46">
        <f t="shared" ca="1" si="2"/>
        <v>2.886153846173667E-4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input_377105!A$2</f>
        <v>377105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53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IFERROR(VLOOKUP(B54,input_377105!L:R,7,FALSE),VLOOKUP(tables_377105!C54,input_377105!A:H,8,FALSE))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input_377105!A$2</f>
        <v>377105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53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IFERROR(VLOOKUP(B55,input_377105!L:R,7,FALSE),VLOOKUP(tables_377105!C55,input_377105!A:H,8,FALSE))</f>
        <v>194616.24</v>
      </c>
      <c r="P55" s="46">
        <f t="shared" ca="1" si="2"/>
        <v>2.6733000000183589E-2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hidden="1" customHeight="1" x14ac:dyDescent="0.15">
      <c r="A56" s="2" t="str">
        <f ca="1">input_377105!A$2</f>
        <v>377105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53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IFERROR(VLOOKUP(B56,input_377105!L:R,7,FALSE),VLOOKUP(tables_377105!C56,input_377105!A:H,8,FALSE))</f>
        <v>10242.959999999999</v>
      </c>
      <c r="P56" s="46">
        <f t="shared" ca="1" si="2"/>
        <v>1.4070000000096627E-3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input_377105!A$2</f>
        <v>377105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IFERROR(VLOOKUP(B57,input_377105!L:R,7,FALSE),VLOOKUP(tables_377105!C57,input_377105!A:H,8,FALSE))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input_377105!A$2</f>
        <v>377105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IFERROR(VLOOKUP(B58,input_377105!L:R,7,FALSE),VLOOKUP(tables_377105!C58,input_377105!A:H,8,FALSE))</f>
        <v>39921.279999999999</v>
      </c>
      <c r="P58" s="46">
        <f t="shared" ca="1" si="2"/>
        <v>5.4836923077299675E-3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hidden="1" customHeight="1" x14ac:dyDescent="0.15">
      <c r="A59" s="2" t="str">
        <f ca="1">input_377105!A$2</f>
        <v>377105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IFERROR(VLOOKUP(B59,input_377105!L:R,7,FALSE),VLOOKUP(tables_377105!C59,input_377105!A:H,8,FALSE))</f>
        <v>2101.12</v>
      </c>
      <c r="P59" s="46">
        <f t="shared" ca="1" si="2"/>
        <v>2.886153846173667E-4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input_377105!A$2</f>
        <v>377105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IFERROR(VLOOKUP(B60,input_377105!L:R,7,FALSE),VLOOKUP(tables_377105!C60,input_377105!A:H,8,FALSE))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input_377105!A$2</f>
        <v>377105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IFERROR(VLOOKUP(B61,input_377105!L:R,7,FALSE),VLOOKUP(tables_377105!C61,input_377105!A:H,8,FALSE))</f>
        <v>39921.279999999999</v>
      </c>
      <c r="P61" s="46">
        <f t="shared" ca="1" si="2"/>
        <v>5.4836923077299675E-3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hidden="1" customHeight="1" x14ac:dyDescent="0.15">
      <c r="A62" s="2" t="str">
        <f ca="1">input_377105!A$2</f>
        <v>377105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IFERROR(VLOOKUP(B62,input_377105!L:R,7,FALSE),VLOOKUP(tables_377105!C62,input_377105!A:H,8,FALSE))</f>
        <v>2101.12</v>
      </c>
      <c r="P62" s="46">
        <f t="shared" ca="1" si="2"/>
        <v>2.886153846173667E-4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input_377105!A$2</f>
        <v>377105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IFERROR(VLOOKUP(B63,input_377105!L:R,7,FALSE),VLOOKUP(tables_377105!C63,input_377105!A:H,8,FALSE))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input_377105!A$2</f>
        <v>377105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IFERROR(VLOOKUP(B64,input_377105!L:R,7,FALSE),VLOOKUP(tables_377105!C64,input_377105!A:H,8,FALSE))</f>
        <v>39921.279999999999</v>
      </c>
      <c r="P64" s="46">
        <f t="shared" ca="1" si="2"/>
        <v>5.4836923077299675E-3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hidden="1" customHeight="1" x14ac:dyDescent="0.15">
      <c r="A65" s="2" t="str">
        <f ca="1">input_377105!A$2</f>
        <v>377105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IFERROR(VLOOKUP(B65,input_377105!L:R,7,FALSE),VLOOKUP(tables_377105!C65,input_377105!A:H,8,FALSE))</f>
        <v>2101.12</v>
      </c>
      <c r="P65" s="46">
        <f t="shared" ca="1" si="2"/>
        <v>2.886153846173667E-4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input_377105!A$2</f>
        <v>377105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53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IFERROR(VLOOKUP(B66,input_377105!L:R,7,FALSE),VLOOKUP(tables_377105!C66,input_377105!A:H,8,FALSE))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input_377105!A$2</f>
        <v>377105</v>
      </c>
      <c r="B67" s="6">
        <v>191</v>
      </c>
      <c r="C67" s="7" t="str">
        <f t="shared" si="3"/>
        <v>Premium4color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53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IFERROR(VLOOKUP(B67,input_377105!L:R,7,FALSE),VLOOKUP(tables_377105!C67,input_377105!A:H,8,FALSE))</f>
        <v>194616.24</v>
      </c>
      <c r="P67" s="46">
        <f t="shared" ca="1" si="5"/>
        <v>2.6733000000183589E-2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hidden="1" customHeight="1" x14ac:dyDescent="0.15">
      <c r="A68" s="2" t="str">
        <f ca="1">input_377105!A$2</f>
        <v>377105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53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IFERROR(VLOOKUP(B68,input_377105!L:R,7,FALSE),VLOOKUP(tables_377105!C68,input_377105!A:H,8,FALSE))</f>
        <v>10242.959999999999</v>
      </c>
      <c r="P68" s="46">
        <f t="shared" ca="1" si="5"/>
        <v>1.4070000000096627E-3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input_377105!A$2</f>
        <v>377105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IFERROR(VLOOKUP(B69,input_377105!L:R,7,FALSE),VLOOKUP(tables_377105!C69,input_377105!A:H,8,FALSE))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input_377105!A$2</f>
        <v>377105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IFERROR(VLOOKUP(B70,input_377105!L:R,7,FALSE),VLOOKUP(tables_377105!C70,input_377105!A:H,8,FALSE))</f>
        <v>39921.279999999999</v>
      </c>
      <c r="P70" s="46">
        <f t="shared" ca="1" si="5"/>
        <v>5.4836923077299675E-3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hidden="1" customHeight="1" x14ac:dyDescent="0.15">
      <c r="A71" s="2" t="str">
        <f ca="1">input_377105!A$2</f>
        <v>377105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IFERROR(VLOOKUP(B71,input_377105!L:R,7,FALSE),VLOOKUP(tables_377105!C71,input_377105!A:H,8,FALSE))</f>
        <v>2101.12</v>
      </c>
      <c r="P71" s="46">
        <f t="shared" ca="1" si="5"/>
        <v>2.886153846173667E-4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input_377105!A$2</f>
        <v>377105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IFERROR(VLOOKUP(B72,input_377105!L:R,7,FALSE),VLOOKUP(tables_377105!C72,input_377105!A:H,8,FALSE))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input_377105!A$2</f>
        <v>377105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IFERROR(VLOOKUP(B73,input_377105!L:R,7,FALSE),VLOOKUP(tables_377105!C73,input_377105!A:H,8,FALSE))</f>
        <v>39921.279999999999</v>
      </c>
      <c r="P73" s="46">
        <f t="shared" ca="1" si="5"/>
        <v>5.4836923077299675E-3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hidden="1" customHeight="1" x14ac:dyDescent="0.15">
      <c r="A74" s="2" t="str">
        <f ca="1">input_377105!A$2</f>
        <v>377105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IFERROR(VLOOKUP(B74,input_377105!L:R,7,FALSE),VLOOKUP(tables_377105!C74,input_377105!A:H,8,FALSE))</f>
        <v>2101.12</v>
      </c>
      <c r="P74" s="46">
        <f t="shared" ca="1" si="5"/>
        <v>2.886153846173667E-4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input_377105!A$2</f>
        <v>377105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IFERROR(VLOOKUP(B75,input_377105!L:R,7,FALSE),VLOOKUP(tables_377105!C75,input_377105!A:H,8,FALSE))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input_377105!A$2</f>
        <v>377105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IFERROR(VLOOKUP(B76,input_377105!L:R,7,FALSE),VLOOKUP(tables_377105!C76,input_377105!A:H,8,FALSE))</f>
        <v>39921.279999999999</v>
      </c>
      <c r="P76" s="46">
        <f t="shared" ca="1" si="5"/>
        <v>5.4836923077299675E-3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hidden="1" customHeight="1" x14ac:dyDescent="0.15">
      <c r="A77" s="2" t="str">
        <f ca="1">input_377105!A$2</f>
        <v>377105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IFERROR(VLOOKUP(B77,input_377105!L:R,7,FALSE),VLOOKUP(tables_377105!C77,input_377105!A:H,8,FALSE))</f>
        <v>2101.12</v>
      </c>
      <c r="P77" s="46">
        <f t="shared" ca="1" si="5"/>
        <v>2.886153846173667E-4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input_377105!A$2</f>
        <v>377105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53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IFERROR(VLOOKUP(B78,input_377105!L:R,7,FALSE),VLOOKUP(tables_377105!C78,input_377105!A:H,8,FALSE))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input_377105!A$2</f>
        <v>377105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53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IFERROR(VLOOKUP(B79,input_377105!L:R,7,FALSE),VLOOKUP(tables_377105!C79,input_377105!A:H,8,FALSE))</f>
        <v>194616.24</v>
      </c>
      <c r="P79" s="46">
        <f t="shared" ca="1" si="5"/>
        <v>2.6733000000183589E-2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hidden="1" customHeight="1" x14ac:dyDescent="0.15">
      <c r="A80" s="2" t="str">
        <f ca="1">input_377105!A$2</f>
        <v>377105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53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IFERROR(VLOOKUP(B80,input_377105!L:R,7,FALSE),VLOOKUP(tables_377105!C80,input_377105!A:H,8,FALSE))</f>
        <v>10242.959999999999</v>
      </c>
      <c r="P80" s="46">
        <f t="shared" ca="1" si="5"/>
        <v>1.4070000000096627E-3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input_377105!A$2</f>
        <v>377105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IFERROR(VLOOKUP(B81,input_377105!L:R,7,FALSE),VLOOKUP(tables_377105!C81,input_377105!A:H,8,FALSE))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input_377105!A$2</f>
        <v>377105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IFERROR(VLOOKUP(B82,input_377105!L:R,7,FALSE),VLOOKUP(tables_377105!C82,input_377105!A:H,8,FALSE))</f>
        <v>39921.279999999999</v>
      </c>
      <c r="P82" s="46">
        <f t="shared" ca="1" si="5"/>
        <v>5.4836923077299675E-3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hidden="1" customHeight="1" x14ac:dyDescent="0.15">
      <c r="A83" s="2" t="str">
        <f ca="1">input_377105!A$2</f>
        <v>377105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IFERROR(VLOOKUP(B83,input_377105!L:R,7,FALSE),VLOOKUP(tables_377105!C83,input_377105!A:H,8,FALSE))</f>
        <v>2101.12</v>
      </c>
      <c r="P83" s="46">
        <f t="shared" ca="1" si="5"/>
        <v>2.886153846173667E-4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input_377105!A$2</f>
        <v>377105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IFERROR(VLOOKUP(B84,input_377105!L:R,7,FALSE),VLOOKUP(tables_377105!C84,input_377105!A:H,8,FALSE))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input_377105!A$2</f>
        <v>377105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IFERROR(VLOOKUP(B85,input_377105!L:R,7,FALSE),VLOOKUP(tables_377105!C85,input_377105!A:H,8,FALSE))</f>
        <v>39921.279999999999</v>
      </c>
      <c r="P85" s="46">
        <f t="shared" ca="1" si="5"/>
        <v>5.4836923077299675E-3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hidden="1" customHeight="1" x14ac:dyDescent="0.15">
      <c r="A86" s="2" t="str">
        <f ca="1">input_377105!A$2</f>
        <v>377105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IFERROR(VLOOKUP(B86,input_377105!L:R,7,FALSE),VLOOKUP(tables_377105!C86,input_377105!A:H,8,FALSE))</f>
        <v>2101.12</v>
      </c>
      <c r="P86" s="46">
        <f t="shared" ca="1" si="5"/>
        <v>2.886153846173667E-4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input_377105!A$2</f>
        <v>377105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IFERROR(VLOOKUP(B87,input_377105!L:R,7,FALSE),VLOOKUP(tables_377105!C87,input_377105!A:H,8,FALSE))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input_377105!A$2</f>
        <v>377105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IFERROR(VLOOKUP(B88,input_377105!L:R,7,FALSE),VLOOKUP(tables_377105!C88,input_377105!A:H,8,FALSE))</f>
        <v>39921.279999999999</v>
      </c>
      <c r="P88" s="46">
        <f t="shared" ca="1" si="5"/>
        <v>5.4836923077299675E-3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hidden="1" customHeight="1" x14ac:dyDescent="0.15">
      <c r="A89" s="2" t="str">
        <f ca="1">input_377105!A$2</f>
        <v>377105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IFERROR(VLOOKUP(B89,input_377105!L:R,7,FALSE),VLOOKUP(tables_377105!C89,input_377105!A:H,8,FALSE))</f>
        <v>2101.12</v>
      </c>
      <c r="P89" s="46">
        <f t="shared" ca="1" si="5"/>
        <v>2.886153846173667E-4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input_377105!A$2</f>
        <v>377105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53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IFERROR(VLOOKUP(B90,input_377105!L:R,7,FALSE),VLOOKUP(tables_377105!C90,input_377105!A:H,8,FALSE))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input_377105!A$2</f>
        <v>377105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53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IFERROR(VLOOKUP(B91,input_377105!L:R,7,FALSE),VLOOKUP(tables_377105!C91,input_377105!A:H,8,FALSE))</f>
        <v>194616.24</v>
      </c>
      <c r="P91" s="46">
        <f t="shared" ca="1" si="5"/>
        <v>2.6733000000183589E-2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hidden="1" customHeight="1" x14ac:dyDescent="0.15">
      <c r="A92" s="2" t="str">
        <f ca="1">input_377105!A$2</f>
        <v>377105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53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IFERROR(VLOOKUP(B92,input_377105!L:R,7,FALSE),VLOOKUP(tables_377105!C92,input_377105!A:H,8,FALSE))</f>
        <v>10242.959999999999</v>
      </c>
      <c r="P92" s="46">
        <f t="shared" ca="1" si="5"/>
        <v>1.4070000000096627E-3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input_377105!A$2</f>
        <v>377105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IFERROR(VLOOKUP(B93,input_377105!L:R,7,FALSE),VLOOKUP(tables_377105!C93,input_377105!A:H,8,FALSE))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input_377105!A$2</f>
        <v>377105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IFERROR(VLOOKUP(B94,input_377105!L:R,7,FALSE),VLOOKUP(tables_377105!C94,input_377105!A:H,8,FALSE))</f>
        <v>39921.279999999999</v>
      </c>
      <c r="P94" s="46">
        <f t="shared" ca="1" si="5"/>
        <v>5.4836923077299675E-3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hidden="1" customHeight="1" x14ac:dyDescent="0.15">
      <c r="A95" s="2" t="str">
        <f ca="1">input_377105!A$2</f>
        <v>377105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IFERROR(VLOOKUP(B95,input_377105!L:R,7,FALSE),VLOOKUP(tables_377105!C95,input_377105!A:H,8,FALSE))</f>
        <v>2101.12</v>
      </c>
      <c r="P95" s="46">
        <f t="shared" ca="1" si="5"/>
        <v>2.886153846173667E-4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input_377105!A$2</f>
        <v>377105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IFERROR(VLOOKUP(B96,input_377105!L:R,7,FALSE),VLOOKUP(tables_377105!C96,input_377105!A:H,8,FALSE))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input_377105!A$2</f>
        <v>377105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IFERROR(VLOOKUP(B97,input_377105!L:R,7,FALSE),VLOOKUP(tables_377105!C97,input_377105!A:H,8,FALSE))</f>
        <v>39921.279999999999</v>
      </c>
      <c r="P97" s="46">
        <f t="shared" ca="1" si="5"/>
        <v>5.4836923077299675E-3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hidden="1" customHeight="1" x14ac:dyDescent="0.15">
      <c r="A98" s="2" t="str">
        <f ca="1">input_377105!A$2</f>
        <v>377105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IFERROR(VLOOKUP(B98,input_377105!L:R,7,FALSE),VLOOKUP(tables_377105!C98,input_377105!A:H,8,FALSE))</f>
        <v>2101.12</v>
      </c>
      <c r="P98" s="46">
        <f t="shared" ca="1" si="5"/>
        <v>2.886153846173667E-4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input_377105!A$2</f>
        <v>377105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IFERROR(VLOOKUP(B99,input_377105!L:R,7,FALSE),VLOOKUP(tables_377105!C99,input_377105!A:H,8,FALSE))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input_377105!A$2</f>
        <v>377105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IFERROR(VLOOKUP(B100,input_377105!L:R,7,FALSE),VLOOKUP(tables_377105!C100,input_377105!A:H,8,FALSE))</f>
        <v>39921.279999999999</v>
      </c>
      <c r="P100" s="46">
        <f t="shared" ca="1" si="5"/>
        <v>5.4836923077299675E-3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hidden="1" customHeight="1" x14ac:dyDescent="0.15">
      <c r="A101" s="2" t="str">
        <f ca="1">input_377105!A$2</f>
        <v>377105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IFERROR(VLOOKUP(B101,input_377105!L:R,7,FALSE),VLOOKUP(tables_377105!C101,input_377105!A:H,8,FALSE))</f>
        <v>2101.12</v>
      </c>
      <c r="P101" s="46">
        <f t="shared" ca="1" si="5"/>
        <v>2.886153846173667E-4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input_377105!A$2</f>
        <v>377105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53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IFERROR(VLOOKUP(B102,input_377105!L:R,7,FALSE),VLOOKUP(tables_377105!C102,input_377105!A:H,8,FALSE))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input_377105!A$2</f>
        <v>377105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53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IFERROR(VLOOKUP(B103,input_377105!L:R,7,FALSE),VLOOKUP(tables_377105!C103,input_377105!A:H,8,FALSE))</f>
        <v>194616.24</v>
      </c>
      <c r="P103" s="46">
        <f t="shared" ca="1" si="5"/>
        <v>2.6733000000183589E-2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hidden="1" customHeight="1" x14ac:dyDescent="0.15">
      <c r="A104" s="2" t="str">
        <f ca="1">input_377105!A$2</f>
        <v>377105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53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IFERROR(VLOOKUP(B104,input_377105!L:R,7,FALSE),VLOOKUP(tables_377105!C104,input_377105!A:H,8,FALSE))</f>
        <v>10242.959999999999</v>
      </c>
      <c r="P104" s="46">
        <f t="shared" ca="1" si="5"/>
        <v>1.4070000000096627E-3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input_377105!A$2</f>
        <v>377105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IFERROR(VLOOKUP(B105,input_377105!L:R,7,FALSE),VLOOKUP(tables_377105!C105,input_377105!A:H,8,FALSE))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input_377105!A$2</f>
        <v>377105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IFERROR(VLOOKUP(B106,input_377105!L:R,7,FALSE),VLOOKUP(tables_377105!C106,input_377105!A:H,8,FALSE))</f>
        <v>39921.279999999999</v>
      </c>
      <c r="P106" s="46">
        <f t="shared" ca="1" si="5"/>
        <v>5.4836923077299675E-3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hidden="1" customHeight="1" x14ac:dyDescent="0.15">
      <c r="A107" s="2" t="str">
        <f ca="1">input_377105!A$2</f>
        <v>377105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IFERROR(VLOOKUP(B107,input_377105!L:R,7,FALSE),VLOOKUP(tables_377105!C107,input_377105!A:H,8,FALSE))</f>
        <v>2101.12</v>
      </c>
      <c r="P107" s="46">
        <f t="shared" ca="1" si="5"/>
        <v>2.886153846173667E-4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input_377105!A$2</f>
        <v>377105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IFERROR(VLOOKUP(B108,input_377105!L:R,7,FALSE),VLOOKUP(tables_377105!C108,input_377105!A:H,8,FALSE))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input_377105!A$2</f>
        <v>377105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IFERROR(VLOOKUP(B109,input_377105!L:R,7,FALSE),VLOOKUP(tables_377105!C109,input_377105!A:H,8,FALSE))</f>
        <v>39921.279999999999</v>
      </c>
      <c r="P109" s="46">
        <f t="shared" ca="1" si="5"/>
        <v>5.4836923077299675E-3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hidden="1" customHeight="1" x14ac:dyDescent="0.15">
      <c r="A110" s="2" t="str">
        <f ca="1">input_377105!A$2</f>
        <v>377105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IFERROR(VLOOKUP(B110,input_377105!L:R,7,FALSE),VLOOKUP(tables_377105!C110,input_377105!A:H,8,FALSE))</f>
        <v>2101.12</v>
      </c>
      <c r="P110" s="46">
        <f t="shared" ca="1" si="5"/>
        <v>2.886153846173667E-4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input_377105!A$2</f>
        <v>377105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IFERROR(VLOOKUP(B111,input_377105!L:R,7,FALSE),VLOOKUP(tables_377105!C111,input_377105!A:H,8,FALSE))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input_377105!A$2</f>
        <v>377105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IFERROR(VLOOKUP(B112,input_377105!L:R,7,FALSE),VLOOKUP(tables_377105!C112,input_377105!A:H,8,FALSE))</f>
        <v>39921.279999999999</v>
      </c>
      <c r="P112" s="46">
        <f t="shared" ca="1" si="5"/>
        <v>5.4836923077299675E-3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hidden="1" customHeight="1" x14ac:dyDescent="0.15">
      <c r="A113" s="2" t="str">
        <f ca="1">input_377105!A$2</f>
        <v>377105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IFERROR(VLOOKUP(B113,input_377105!L:R,7,FALSE),VLOOKUP(tables_377105!C113,input_377105!A:H,8,FALSE))</f>
        <v>2101.12</v>
      </c>
      <c r="P113" s="46">
        <f t="shared" ca="1" si="5"/>
        <v>2.886153846173667E-4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input_377105!A$2</f>
        <v>377105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53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IFERROR(VLOOKUP(B114,input_377105!L:R,7,FALSE),VLOOKUP(tables_377105!C114,input_377105!A:H,8,FALSE))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input_377105!A$2</f>
        <v>377105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53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IFERROR(VLOOKUP(B115,input_377105!L:R,7,FALSE),VLOOKUP(tables_377105!C115,input_377105!A:H,8,FALSE))</f>
        <v>194616.24</v>
      </c>
      <c r="P115" s="46">
        <f t="shared" ca="1" si="5"/>
        <v>2.6733000000183589E-2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hidden="1" customHeight="1" x14ac:dyDescent="0.15">
      <c r="A116" s="2" t="str">
        <f ca="1">input_377105!A$2</f>
        <v>377105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53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IFERROR(VLOOKUP(B116,input_377105!L:R,7,FALSE),VLOOKUP(tables_377105!C116,input_377105!A:H,8,FALSE))</f>
        <v>10242.959999999999</v>
      </c>
      <c r="P116" s="46">
        <f t="shared" ca="1" si="5"/>
        <v>1.4070000000096627E-3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input_377105!A$2</f>
        <v>377105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IFERROR(VLOOKUP(B117,input_377105!L:R,7,FALSE),VLOOKUP(tables_377105!C117,input_377105!A:H,8,FALSE))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input_377105!A$2</f>
        <v>377105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IFERROR(VLOOKUP(B118,input_377105!L:R,7,FALSE),VLOOKUP(tables_377105!C118,input_377105!A:H,8,FALSE))</f>
        <v>39921.279999999999</v>
      </c>
      <c r="P118" s="46">
        <f t="shared" ca="1" si="5"/>
        <v>5.4836923077299675E-3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hidden="1" customHeight="1" x14ac:dyDescent="0.15">
      <c r="A119" s="2" t="str">
        <f ca="1">input_377105!A$2</f>
        <v>377105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IFERROR(VLOOKUP(B119,input_377105!L:R,7,FALSE),VLOOKUP(tables_377105!C119,input_377105!A:H,8,FALSE))</f>
        <v>2101.12</v>
      </c>
      <c r="P119" s="46">
        <f t="shared" ca="1" si="5"/>
        <v>2.886153846173667E-4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input_377105!A$2</f>
        <v>377105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IFERROR(VLOOKUP(B120,input_377105!L:R,7,FALSE),VLOOKUP(tables_377105!C120,input_377105!A:H,8,FALSE))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input_377105!A$2</f>
        <v>377105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IFERROR(VLOOKUP(B121,input_377105!L:R,7,FALSE),VLOOKUP(tables_377105!C121,input_377105!A:H,8,FALSE))</f>
        <v>39921.279999999999</v>
      </c>
      <c r="P121" s="46">
        <f t="shared" ca="1" si="5"/>
        <v>5.4836923077299675E-3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hidden="1" customHeight="1" x14ac:dyDescent="0.15">
      <c r="A122" s="2" t="str">
        <f ca="1">input_377105!A$2</f>
        <v>377105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IFERROR(VLOOKUP(B122,input_377105!L:R,7,FALSE),VLOOKUP(tables_377105!C122,input_377105!A:H,8,FALSE))</f>
        <v>2101.12</v>
      </c>
      <c r="P122" s="46">
        <f t="shared" ca="1" si="5"/>
        <v>2.886153846173667E-4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input_377105!A$2</f>
        <v>377105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IFERROR(VLOOKUP(B123,input_377105!L:R,7,FALSE),VLOOKUP(tables_377105!C123,input_377105!A:H,8,FALSE))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input_377105!A$2</f>
        <v>377105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IFERROR(VLOOKUP(B124,input_377105!L:R,7,FALSE),VLOOKUP(tables_377105!C124,input_377105!A:H,8,FALSE))</f>
        <v>39921.279999999999</v>
      </c>
      <c r="P124" s="46">
        <f t="shared" ca="1" si="5"/>
        <v>5.4836923077299675E-3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hidden="1" customHeight="1" x14ac:dyDescent="0.15">
      <c r="A125" s="2" t="str">
        <f ca="1">input_377105!A$2</f>
        <v>377105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IFERROR(VLOOKUP(B125,input_377105!L:R,7,FALSE),VLOOKUP(tables_377105!C125,input_377105!A:H,8,FALSE))</f>
        <v>2101.12</v>
      </c>
      <c r="P125" s="46">
        <f t="shared" ca="1" si="5"/>
        <v>2.886153846173667E-4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input_377105!A$2</f>
        <v>377105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53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IFERROR(VLOOKUP(B126,input_377105!L:R,7,FALSE),VLOOKUP(tables_377105!C126,input_377105!A:H,8,FALSE))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input_377105!A$2</f>
        <v>377105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53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IFERROR(VLOOKUP(B127,input_377105!L:R,7,FALSE),VLOOKUP(tables_377105!C127,input_377105!A:H,8,FALSE))</f>
        <v>194616.24</v>
      </c>
      <c r="P127" s="46">
        <f t="shared" ca="1" si="5"/>
        <v>2.6733000000183589E-2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hidden="1" customHeight="1" x14ac:dyDescent="0.15">
      <c r="A128" s="2" t="str">
        <f ca="1">input_377105!A$2</f>
        <v>377105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53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IFERROR(VLOOKUP(B128,input_377105!L:R,7,FALSE),VLOOKUP(tables_377105!C128,input_377105!A:H,8,FALSE))</f>
        <v>10242.959999999999</v>
      </c>
      <c r="P128" s="46">
        <f t="shared" ca="1" si="5"/>
        <v>1.4070000000096627E-3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input_377105!A$2</f>
        <v>377105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IFERROR(VLOOKUP(B129,input_377105!L:R,7,FALSE),VLOOKUP(tables_377105!C129,input_377105!A:H,8,FALSE))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input_377105!A$2</f>
        <v>377105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IFERROR(VLOOKUP(B130,input_377105!L:R,7,FALSE),VLOOKUP(tables_377105!C130,input_377105!A:H,8,FALSE))</f>
        <v>39921.279999999999</v>
      </c>
      <c r="P130" s="46">
        <f t="shared" ref="P130:P193" ca="1" si="8">O130/SUM(O:O)</f>
        <v>5.4836923077299675E-3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hidden="1" customHeight="1" x14ac:dyDescent="0.15">
      <c r="A131" s="2" t="str">
        <f ca="1">input_377105!A$2</f>
        <v>377105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IFERROR(VLOOKUP(B131,input_377105!L:R,7,FALSE),VLOOKUP(tables_377105!C131,input_377105!A:H,8,FALSE))</f>
        <v>2101.12</v>
      </c>
      <c r="P131" s="46">
        <f t="shared" ca="1" si="8"/>
        <v>2.886153846173667E-4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input_377105!A$2</f>
        <v>377105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IFERROR(VLOOKUP(B132,input_377105!L:R,7,FALSE),VLOOKUP(tables_377105!C132,input_377105!A:H,8,FALSE))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input_377105!A$2</f>
        <v>377105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IFERROR(VLOOKUP(B133,input_377105!L:R,7,FALSE),VLOOKUP(tables_377105!C133,input_377105!A:H,8,FALSE))</f>
        <v>39921.279999999999</v>
      </c>
      <c r="P133" s="46">
        <f t="shared" ca="1" si="8"/>
        <v>5.4836923077299675E-3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hidden="1" customHeight="1" x14ac:dyDescent="0.15">
      <c r="A134" s="2" t="str">
        <f ca="1">input_377105!A$2</f>
        <v>377105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IFERROR(VLOOKUP(B134,input_377105!L:R,7,FALSE),VLOOKUP(tables_377105!C134,input_377105!A:H,8,FALSE))</f>
        <v>2101.12</v>
      </c>
      <c r="P134" s="46">
        <f t="shared" ca="1" si="8"/>
        <v>2.886153846173667E-4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input_377105!A$2</f>
        <v>377105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IFERROR(VLOOKUP(B135,input_377105!L:R,7,FALSE),VLOOKUP(tables_377105!C135,input_377105!A:H,8,FALSE))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input_377105!A$2</f>
        <v>377105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IFERROR(VLOOKUP(B136,input_377105!L:R,7,FALSE),VLOOKUP(tables_377105!C136,input_377105!A:H,8,FALSE))</f>
        <v>39921.279999999999</v>
      </c>
      <c r="P136" s="46">
        <f t="shared" ca="1" si="8"/>
        <v>5.4836923077299675E-3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hidden="1" customHeight="1" x14ac:dyDescent="0.15">
      <c r="A137" s="2" t="str">
        <f ca="1">input_377105!A$2</f>
        <v>377105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IFERROR(VLOOKUP(B137,input_377105!L:R,7,FALSE),VLOOKUP(tables_377105!C137,input_377105!A:H,8,FALSE))</f>
        <v>2101.12</v>
      </c>
      <c r="P137" s="46">
        <f t="shared" ca="1" si="8"/>
        <v>2.886153846173667E-4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input_377105!A$2</f>
        <v>377105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53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IFERROR(VLOOKUP(B138,input_377105!L:R,7,FALSE),VLOOKUP(tables_377105!C138,input_377105!A:H,8,FALSE))</f>
        <v>18861.818179999998</v>
      </c>
      <c r="P138" s="46">
        <f t="shared" ca="1" si="8"/>
        <v>2.590909090677134E-3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input_377105!A$2</f>
        <v>377105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53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IFERROR(VLOOKUP(B139,input_377105!L:R,7,FALSE),VLOOKUP(tables_377105!C139,input_377105!A:H,8,FALSE))</f>
        <v>992.72726999999998</v>
      </c>
      <c r="P139" s="46">
        <f t="shared" ca="1" si="8"/>
        <v>1.3636363598994747E-4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input_377105!A$2</f>
        <v>377105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IFERROR(VLOOKUP(B140,input_377105!L:R,7,FALSE),VLOOKUP(tables_377105!C140,input_377105!A:H,8,FALSE))</f>
        <v>4940</v>
      </c>
      <c r="P140" s="46">
        <f t="shared" ca="1" si="8"/>
        <v>6.7857142857608878E-4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input_377105!A$2</f>
        <v>377105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IFERROR(VLOOKUP(B141,input_377105!L:R,7,FALSE),VLOOKUP(tables_377105!C141,input_377105!A:H,8,FALSE))</f>
        <v>260</v>
      </c>
      <c r="P141" s="46">
        <f t="shared" ca="1" si="8"/>
        <v>3.5714285714530984E-5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input_377105!A$2</f>
        <v>377105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IFERROR(VLOOKUP(B142,input_377105!L:R,7,FALSE),VLOOKUP(tables_377105!C142,input_377105!A:H,8,FALSE))</f>
        <v>4940</v>
      </c>
      <c r="P142" s="46">
        <f t="shared" ca="1" si="8"/>
        <v>6.7857142857608878E-4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input_377105!A$2</f>
        <v>377105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IFERROR(VLOOKUP(B143,input_377105!L:R,7,FALSE),VLOOKUP(tables_377105!C143,input_377105!A:H,8,FALSE))</f>
        <v>260</v>
      </c>
      <c r="P143" s="46">
        <f t="shared" ca="1" si="8"/>
        <v>3.5714285714530984E-5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input_377105!A$2</f>
        <v>377105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IFERROR(VLOOKUP(B144,input_377105!L:R,7,FALSE),VLOOKUP(tables_377105!C144,input_377105!A:H,8,FALSE))</f>
        <v>4940</v>
      </c>
      <c r="P144" s="46">
        <f t="shared" ca="1" si="8"/>
        <v>6.7857142857608878E-4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input_377105!A$2</f>
        <v>377105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IFERROR(VLOOKUP(B145,input_377105!L:R,7,FALSE),VLOOKUP(tables_377105!C145,input_377105!A:H,8,FALSE))</f>
        <v>260</v>
      </c>
      <c r="P145" s="46">
        <f t="shared" ca="1" si="8"/>
        <v>3.5714285714530984E-5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input_377105!A$2</f>
        <v>377105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53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IFERROR(VLOOKUP(B146,input_377105!L:R,7,FALSE),VLOOKUP(tables_377105!C146,input_377105!A:H,8,FALSE))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input_377105!A$2</f>
        <v>377105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53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IFERROR(VLOOKUP(B147,input_377105!L:R,7,FALSE),VLOOKUP(tables_377105!C147,input_377105!A:H,8,FALSE))</f>
        <v>194616.24</v>
      </c>
      <c r="P147" s="46">
        <f t="shared" ca="1" si="8"/>
        <v>2.6733000000183589E-2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hidden="1" customHeight="1" x14ac:dyDescent="0.15">
      <c r="A148" s="2" t="str">
        <f ca="1">input_377105!A$2</f>
        <v>377105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53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IFERROR(VLOOKUP(B148,input_377105!L:R,7,FALSE),VLOOKUP(tables_377105!C148,input_377105!A:H,8,FALSE))</f>
        <v>10242.959999999999</v>
      </c>
      <c r="P148" s="46">
        <f t="shared" ca="1" si="8"/>
        <v>1.4070000000096627E-3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input_377105!A$2</f>
        <v>377105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IFERROR(VLOOKUP(B149,input_377105!L:R,7,FALSE),VLOOKUP(tables_377105!C149,input_377105!A:H,8,FALSE))</f>
        <v>4940</v>
      </c>
      <c r="P149" s="46">
        <f t="shared" ca="1" si="8"/>
        <v>6.7857142857608878E-4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input_377105!A$2</f>
        <v>377105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IFERROR(VLOOKUP(B150,input_377105!L:R,7,FALSE),VLOOKUP(tables_377105!C150,input_377105!A:H,8,FALSE))</f>
        <v>260</v>
      </c>
      <c r="P150" s="46">
        <f t="shared" ca="1" si="8"/>
        <v>3.5714285714530984E-5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input_377105!A$2</f>
        <v>377105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IFERROR(VLOOKUP(B151,input_377105!L:R,7,FALSE),VLOOKUP(tables_377105!C151,input_377105!A:H,8,FALSE))</f>
        <v>4940</v>
      </c>
      <c r="P151" s="46">
        <f t="shared" ca="1" si="8"/>
        <v>6.7857142857608878E-4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input_377105!A$2</f>
        <v>377105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IFERROR(VLOOKUP(B152,input_377105!L:R,7,FALSE),VLOOKUP(tables_377105!C152,input_377105!A:H,8,FALSE))</f>
        <v>260</v>
      </c>
      <c r="P152" s="46">
        <f t="shared" ca="1" si="8"/>
        <v>3.5714285714530984E-5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input_377105!A$2</f>
        <v>377105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IFERROR(VLOOKUP(B153,input_377105!L:R,7,FALSE),VLOOKUP(tables_377105!C153,input_377105!A:H,8,FALSE))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input_377105!A$2</f>
        <v>377105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IFERROR(VLOOKUP(B154,input_377105!L:R,7,FALSE),VLOOKUP(tables_377105!C154,input_377105!A:H,8,FALSE))</f>
        <v>39921.279999999999</v>
      </c>
      <c r="P154" s="46">
        <f t="shared" ca="1" si="8"/>
        <v>5.4836923077299675E-3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hidden="1" customHeight="1" x14ac:dyDescent="0.15">
      <c r="A155" s="2" t="str">
        <f ca="1">input_377105!A$2</f>
        <v>377105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IFERROR(VLOOKUP(B155,input_377105!L:R,7,FALSE),VLOOKUP(tables_377105!C155,input_377105!A:H,8,FALSE))</f>
        <v>2101.12</v>
      </c>
      <c r="P155" s="46">
        <f t="shared" ca="1" si="8"/>
        <v>2.886153846173667E-4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input_377105!A$2</f>
        <v>377105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53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IFERROR(VLOOKUP(B156,input_377105!L:R,7,FALSE),VLOOKUP(tables_377105!C156,input_377105!A:H,8,FALSE))</f>
        <v>18861.818179999998</v>
      </c>
      <c r="P156" s="46">
        <f t="shared" ca="1" si="8"/>
        <v>2.590909090677134E-3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input_377105!A$2</f>
        <v>377105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53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IFERROR(VLOOKUP(B157,input_377105!L:R,7,FALSE),VLOOKUP(tables_377105!C157,input_377105!A:H,8,FALSE))</f>
        <v>992.72726999999998</v>
      </c>
      <c r="P157" s="46">
        <f t="shared" ca="1" si="8"/>
        <v>1.3636363598994747E-4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input_377105!A$2</f>
        <v>377105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IFERROR(VLOOKUP(B158,input_377105!L:R,7,FALSE),VLOOKUP(tables_377105!C158,input_377105!A:H,8,FALSE))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input_377105!A$2</f>
        <v>377105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IFERROR(VLOOKUP(B159,input_377105!L:R,7,FALSE),VLOOKUP(tables_377105!C159,input_377105!A:H,8,FALSE))</f>
        <v>39921.279999999999</v>
      </c>
      <c r="P159" s="46">
        <f t="shared" ca="1" si="8"/>
        <v>5.4836923077299675E-3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hidden="1" customHeight="1" x14ac:dyDescent="0.15">
      <c r="A160" s="2" t="str">
        <f ca="1">input_377105!A$2</f>
        <v>377105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IFERROR(VLOOKUP(B160,input_377105!L:R,7,FALSE),VLOOKUP(tables_377105!C160,input_377105!A:H,8,FALSE))</f>
        <v>2101.12</v>
      </c>
      <c r="P160" s="46">
        <f t="shared" ca="1" si="8"/>
        <v>2.886153846173667E-4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input_377105!A$2</f>
        <v>377105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IFERROR(VLOOKUP(B161,input_377105!L:R,7,FALSE),VLOOKUP(tables_377105!C161,input_377105!A:H,8,FALSE))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input_377105!A$2</f>
        <v>377105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IFERROR(VLOOKUP(B162,input_377105!L:R,7,FALSE),VLOOKUP(tables_377105!C162,input_377105!A:H,8,FALSE))</f>
        <v>39921.279999999999</v>
      </c>
      <c r="P162" s="46">
        <f t="shared" ca="1" si="8"/>
        <v>5.4836923077299675E-3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hidden="1" customHeight="1" x14ac:dyDescent="0.15">
      <c r="A163" s="2" t="str">
        <f ca="1">input_377105!A$2</f>
        <v>377105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IFERROR(VLOOKUP(B163,input_377105!L:R,7,FALSE),VLOOKUP(tables_377105!C163,input_377105!A:H,8,FALSE))</f>
        <v>2101.12</v>
      </c>
      <c r="P163" s="46">
        <f t="shared" ca="1" si="8"/>
        <v>2.886153846173667E-4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input_377105!A$2</f>
        <v>377105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IFERROR(VLOOKUP(B164,input_377105!L:R,7,FALSE),VLOOKUP(tables_377105!C164,input_377105!A:H,8,FALSE))</f>
        <v>4940</v>
      </c>
      <c r="P164" s="46">
        <f t="shared" ca="1" si="8"/>
        <v>6.7857142857608878E-4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input_377105!A$2</f>
        <v>377105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IFERROR(VLOOKUP(B165,input_377105!L:R,7,FALSE),VLOOKUP(tables_377105!C165,input_377105!A:H,8,FALSE))</f>
        <v>260</v>
      </c>
      <c r="P165" s="46">
        <f t="shared" ca="1" si="8"/>
        <v>3.5714285714530984E-5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input_377105!A$2</f>
        <v>377105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53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IFERROR(VLOOKUP(B166,input_377105!L:R,7,FALSE),VLOOKUP(tables_377105!C166,input_377105!A:H,8,FALSE))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input_377105!A$2</f>
        <v>377105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53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IFERROR(VLOOKUP(B167,input_377105!L:R,7,FALSE),VLOOKUP(tables_377105!C167,input_377105!A:H,8,FALSE))</f>
        <v>194616.24</v>
      </c>
      <c r="P167" s="46">
        <f t="shared" ca="1" si="8"/>
        <v>2.6733000000183589E-2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hidden="1" customHeight="1" x14ac:dyDescent="0.15">
      <c r="A168" s="2" t="str">
        <f ca="1">input_377105!A$2</f>
        <v>377105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53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IFERROR(VLOOKUP(B168,input_377105!L:R,7,FALSE),VLOOKUP(tables_377105!C168,input_377105!A:H,8,FALSE))</f>
        <v>10242.959999999999</v>
      </c>
      <c r="P168" s="46">
        <f t="shared" ca="1" si="8"/>
        <v>1.4070000000096627E-3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input_377105!A$2</f>
        <v>377105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IFERROR(VLOOKUP(B169,input_377105!L:R,7,FALSE),VLOOKUP(tables_377105!C169,input_377105!A:H,8,FALSE))</f>
        <v>4940</v>
      </c>
      <c r="P169" s="46">
        <f t="shared" ca="1" si="8"/>
        <v>6.7857142857608878E-4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input_377105!A$2</f>
        <v>377105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IFERROR(VLOOKUP(B170,input_377105!L:R,7,FALSE),VLOOKUP(tables_377105!C170,input_377105!A:H,8,FALSE))</f>
        <v>260</v>
      </c>
      <c r="P170" s="46">
        <f t="shared" ca="1" si="8"/>
        <v>3.5714285714530984E-5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input_377105!A$2</f>
        <v>377105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IFERROR(VLOOKUP(B171,input_377105!L:R,7,FALSE),VLOOKUP(tables_377105!C171,input_377105!A:H,8,FALSE))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input_377105!A$2</f>
        <v>377105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IFERROR(VLOOKUP(B172,input_377105!L:R,7,FALSE),VLOOKUP(tables_377105!C172,input_377105!A:H,8,FALSE))</f>
        <v>39921.279999999999</v>
      </c>
      <c r="P172" s="46">
        <f t="shared" ca="1" si="8"/>
        <v>5.4836923077299675E-3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hidden="1" customHeight="1" x14ac:dyDescent="0.15">
      <c r="A173" s="2" t="str">
        <f ca="1">input_377105!A$2</f>
        <v>377105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IFERROR(VLOOKUP(B173,input_377105!L:R,7,FALSE),VLOOKUP(tables_377105!C173,input_377105!A:H,8,FALSE))</f>
        <v>2101.12</v>
      </c>
      <c r="P173" s="46">
        <f t="shared" ca="1" si="8"/>
        <v>2.886153846173667E-4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input_377105!A$2</f>
        <v>377105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IFERROR(VLOOKUP(B174,input_377105!L:R,7,FALSE),VLOOKUP(tables_377105!C174,input_377105!A:H,8,FALSE))</f>
        <v>4940</v>
      </c>
      <c r="P174" s="46">
        <f t="shared" ca="1" si="8"/>
        <v>6.7857142857608878E-4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input_377105!A$2</f>
        <v>377105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IFERROR(VLOOKUP(B175,input_377105!L:R,7,FALSE),VLOOKUP(tables_377105!C175,input_377105!A:H,8,FALSE))</f>
        <v>260</v>
      </c>
      <c r="P175" s="46">
        <f t="shared" ca="1" si="8"/>
        <v>3.5714285714530984E-5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input_377105!A$2</f>
        <v>377105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53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IFERROR(VLOOKUP(B176,input_377105!L:R,7,FALSE),VLOOKUP(tables_377105!C176,input_377105!A:H,8,FALSE))</f>
        <v>18861.818179999998</v>
      </c>
      <c r="P176" s="46">
        <f t="shared" ca="1" si="8"/>
        <v>2.590909090677134E-3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input_377105!A$2</f>
        <v>377105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53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IFERROR(VLOOKUP(B177,input_377105!L:R,7,FALSE),VLOOKUP(tables_377105!C177,input_377105!A:H,8,FALSE))</f>
        <v>992.72726999999998</v>
      </c>
      <c r="P177" s="46">
        <f t="shared" ca="1" si="8"/>
        <v>1.3636363598994747E-4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input_377105!A$2</f>
        <v>377105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IFERROR(VLOOKUP(B178,input_377105!L:R,7,FALSE),VLOOKUP(tables_377105!C178,input_377105!A:H,8,FALSE))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input_377105!A$2</f>
        <v>377105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IFERROR(VLOOKUP(B179,input_377105!L:R,7,FALSE),VLOOKUP(tables_377105!C179,input_377105!A:H,8,FALSE))</f>
        <v>39921.279999999999</v>
      </c>
      <c r="P179" s="46">
        <f t="shared" ca="1" si="8"/>
        <v>5.4836923077299675E-3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hidden="1" customHeight="1" x14ac:dyDescent="0.15">
      <c r="A180" s="2" t="str">
        <f ca="1">input_377105!A$2</f>
        <v>377105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IFERROR(VLOOKUP(B180,input_377105!L:R,7,FALSE),VLOOKUP(tables_377105!C180,input_377105!A:H,8,FALSE))</f>
        <v>2101.12</v>
      </c>
      <c r="P180" s="46">
        <f t="shared" ca="1" si="8"/>
        <v>2.886153846173667E-4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input_377105!A$2</f>
        <v>377105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IFERROR(VLOOKUP(B181,input_377105!L:R,7,FALSE),VLOOKUP(tables_377105!C181,input_377105!A:H,8,FALSE))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input_377105!A$2</f>
        <v>377105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IFERROR(VLOOKUP(B182,input_377105!L:R,7,FALSE),VLOOKUP(tables_377105!C182,input_377105!A:H,8,FALSE))</f>
        <v>39921.279999999999</v>
      </c>
      <c r="P182" s="46">
        <f t="shared" ca="1" si="8"/>
        <v>5.4836923077299675E-3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hidden="1" customHeight="1" x14ac:dyDescent="0.15">
      <c r="A183" s="2" t="str">
        <f ca="1">input_377105!A$2</f>
        <v>377105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IFERROR(VLOOKUP(B183,input_377105!L:R,7,FALSE),VLOOKUP(tables_377105!C183,input_377105!A:H,8,FALSE))</f>
        <v>2101.12</v>
      </c>
      <c r="P183" s="46">
        <f t="shared" ca="1" si="8"/>
        <v>2.886153846173667E-4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input_377105!A$2</f>
        <v>377105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IFERROR(VLOOKUP(B184,input_377105!L:R,7,FALSE),VLOOKUP(tables_377105!C184,input_377105!A:H,8,FALSE))</f>
        <v>4940</v>
      </c>
      <c r="P184" s="46">
        <f t="shared" ca="1" si="8"/>
        <v>6.7857142857608878E-4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input_377105!A$2</f>
        <v>377105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IFERROR(VLOOKUP(B185,input_377105!L:R,7,FALSE),VLOOKUP(tables_377105!C185,input_377105!A:H,8,FALSE))</f>
        <v>260</v>
      </c>
      <c r="P185" s="46">
        <f t="shared" ca="1" si="8"/>
        <v>3.5714285714530984E-5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input_377105!A$2</f>
        <v>377105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53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IFERROR(VLOOKUP(B186,input_377105!L:R,7,FALSE),VLOOKUP(tables_377105!C186,input_377105!A:H,8,FALSE))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input_377105!A$2</f>
        <v>377105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53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IFERROR(VLOOKUP(B187,input_377105!L:R,7,FALSE),VLOOKUP(tables_377105!C187,input_377105!A:H,8,FALSE))</f>
        <v>194616.24</v>
      </c>
      <c r="P187" s="46">
        <f t="shared" ca="1" si="8"/>
        <v>2.6733000000183589E-2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hidden="1" customHeight="1" x14ac:dyDescent="0.15">
      <c r="A188" s="2" t="str">
        <f ca="1">input_377105!A$2</f>
        <v>377105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53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IFERROR(VLOOKUP(B188,input_377105!L:R,7,FALSE),VLOOKUP(tables_377105!C188,input_377105!A:H,8,FALSE))</f>
        <v>10242.959999999999</v>
      </c>
      <c r="P188" s="46">
        <f t="shared" ca="1" si="8"/>
        <v>1.4070000000096627E-3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input_377105!A$2</f>
        <v>377105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IFERROR(VLOOKUP(B189,input_377105!L:R,7,FALSE),VLOOKUP(tables_377105!C189,input_377105!A:H,8,FALSE))</f>
        <v>4940</v>
      </c>
      <c r="P189" s="46">
        <f t="shared" ca="1" si="8"/>
        <v>6.7857142857608878E-4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input_377105!A$2</f>
        <v>377105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IFERROR(VLOOKUP(B190,input_377105!L:R,7,FALSE),VLOOKUP(tables_377105!C190,input_377105!A:H,8,FALSE))</f>
        <v>260</v>
      </c>
      <c r="P190" s="46">
        <f t="shared" ca="1" si="8"/>
        <v>3.5714285714530984E-5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input_377105!A$2</f>
        <v>377105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IFERROR(VLOOKUP(B191,input_377105!L:R,7,FALSE),VLOOKUP(tables_377105!C191,input_377105!A:H,8,FALSE))</f>
        <v>4940</v>
      </c>
      <c r="P191" s="46">
        <f t="shared" ca="1" si="8"/>
        <v>6.7857142857608878E-4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input_377105!A$2</f>
        <v>377105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IFERROR(VLOOKUP(B192,input_377105!L:R,7,FALSE),VLOOKUP(tables_377105!C192,input_377105!A:H,8,FALSE))</f>
        <v>260</v>
      </c>
      <c r="P192" s="46">
        <f t="shared" ca="1" si="8"/>
        <v>3.5714285714530984E-5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input_377105!A$2</f>
        <v>377105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IFERROR(VLOOKUP(B193,input_377105!L:R,7,FALSE),VLOOKUP(tables_377105!C193,input_377105!A:H,8,FALSE))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input_377105!A$2</f>
        <v>377105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IFERROR(VLOOKUP(B194,input_377105!L:R,7,FALSE),VLOOKUP(tables_377105!C194,input_377105!A:H,8,FALSE))</f>
        <v>39921.279999999999</v>
      </c>
      <c r="P194" s="46">
        <f t="shared" ref="P194:P257" ca="1" si="11">O194/SUM(O:O)</f>
        <v>5.4836923077299675E-3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hidden="1" customHeight="1" x14ac:dyDescent="0.15">
      <c r="A195" s="2" t="str">
        <f ca="1">input_377105!A$2</f>
        <v>377105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IFERROR(VLOOKUP(B195,input_377105!L:R,7,FALSE),VLOOKUP(tables_377105!C195,input_377105!A:H,8,FALSE))</f>
        <v>2101.12</v>
      </c>
      <c r="P195" s="46">
        <f t="shared" ca="1" si="11"/>
        <v>2.886153846173667E-4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input_377105!A$2</f>
        <v>377105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53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IFERROR(VLOOKUP(B196,input_377105!L:R,7,FALSE),VLOOKUP(tables_377105!C196,input_377105!A:H,8,FALSE))</f>
        <v>18861.818179999998</v>
      </c>
      <c r="P196" s="46">
        <f t="shared" ca="1" si="11"/>
        <v>2.590909090677134E-3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input_377105!A$2</f>
        <v>377105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53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IFERROR(VLOOKUP(B197,input_377105!L:R,7,FALSE),VLOOKUP(tables_377105!C197,input_377105!A:H,8,FALSE))</f>
        <v>992.72726999999998</v>
      </c>
      <c r="P197" s="46">
        <f t="shared" ca="1" si="11"/>
        <v>1.3636363598994747E-4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input_377105!A$2</f>
        <v>377105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IFERROR(VLOOKUP(B198,input_377105!L:R,7,FALSE),VLOOKUP(tables_377105!C198,input_377105!A:H,8,FALSE))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input_377105!A$2</f>
        <v>377105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IFERROR(VLOOKUP(B199,input_377105!L:R,7,FALSE),VLOOKUP(tables_377105!C199,input_377105!A:H,8,FALSE))</f>
        <v>39921.279999999999</v>
      </c>
      <c r="P199" s="46">
        <f t="shared" ca="1" si="11"/>
        <v>5.4836923077299675E-3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hidden="1" customHeight="1" x14ac:dyDescent="0.15">
      <c r="A200" s="2" t="str">
        <f ca="1">input_377105!A$2</f>
        <v>377105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IFERROR(VLOOKUP(B200,input_377105!L:R,7,FALSE),VLOOKUP(tables_377105!C200,input_377105!A:H,8,FALSE))</f>
        <v>2101.12</v>
      </c>
      <c r="P200" s="46">
        <f t="shared" ca="1" si="11"/>
        <v>2.886153846173667E-4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input_377105!A$2</f>
        <v>377105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IFERROR(VLOOKUP(B201,input_377105!L:R,7,FALSE),VLOOKUP(tables_377105!C201,input_377105!A:H,8,FALSE))</f>
        <v>4940</v>
      </c>
      <c r="P201" s="46">
        <f t="shared" ca="1" si="11"/>
        <v>6.7857142857608878E-4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input_377105!A$2</f>
        <v>377105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IFERROR(VLOOKUP(B202,input_377105!L:R,7,FALSE),VLOOKUP(tables_377105!C202,input_377105!A:H,8,FALSE))</f>
        <v>260</v>
      </c>
      <c r="P202" s="46">
        <f t="shared" ca="1" si="11"/>
        <v>3.5714285714530984E-5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input_377105!A$2</f>
        <v>377105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IFERROR(VLOOKUP(B203,input_377105!L:R,7,FALSE),VLOOKUP(tables_377105!C203,input_377105!A:H,8,FALSE))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input_377105!A$2</f>
        <v>377105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IFERROR(VLOOKUP(B204,input_377105!L:R,7,FALSE),VLOOKUP(tables_377105!C204,input_377105!A:H,8,FALSE))</f>
        <v>39921.279999999999</v>
      </c>
      <c r="P204" s="46">
        <f t="shared" ca="1" si="11"/>
        <v>5.4836923077299675E-3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hidden="1" customHeight="1" x14ac:dyDescent="0.15">
      <c r="A205" s="2" t="str">
        <f ca="1">input_377105!A$2</f>
        <v>377105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IFERROR(VLOOKUP(B205,input_377105!L:R,7,FALSE),VLOOKUP(tables_377105!C205,input_377105!A:H,8,FALSE))</f>
        <v>2101.12</v>
      </c>
      <c r="P205" s="46">
        <f t="shared" ca="1" si="11"/>
        <v>2.886153846173667E-4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input_377105!A$2</f>
        <v>377105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53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IFERROR(VLOOKUP(B206,input_377105!L:R,7,FALSE),VLOOKUP(tables_377105!C206,input_377105!A:H,8,FALSE))</f>
        <v>18861.818179999998</v>
      </c>
      <c r="P206" s="46">
        <f t="shared" ca="1" si="11"/>
        <v>2.590909090677134E-3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input_377105!A$2</f>
        <v>377105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53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IFERROR(VLOOKUP(B207,input_377105!L:R,7,FALSE),VLOOKUP(tables_377105!C207,input_377105!A:H,8,FALSE))</f>
        <v>992.72726999999998</v>
      </c>
      <c r="P207" s="46">
        <f t="shared" ca="1" si="11"/>
        <v>1.3636363598994747E-4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input_377105!A$2</f>
        <v>377105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IFERROR(VLOOKUP(B208,input_377105!L:R,7,FALSE),VLOOKUP(tables_377105!C208,input_377105!A:H,8,FALSE))</f>
        <v>4940</v>
      </c>
      <c r="P208" s="46">
        <f t="shared" ca="1" si="11"/>
        <v>6.7857142857608878E-4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input_377105!A$2</f>
        <v>377105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IFERROR(VLOOKUP(B209,input_377105!L:R,7,FALSE),VLOOKUP(tables_377105!C209,input_377105!A:H,8,FALSE))</f>
        <v>260</v>
      </c>
      <c r="P209" s="46">
        <f t="shared" ca="1" si="11"/>
        <v>3.5714285714530984E-5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input_377105!A$2</f>
        <v>377105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IFERROR(VLOOKUP(B210,input_377105!L:R,7,FALSE),VLOOKUP(tables_377105!C210,input_377105!A:H,8,FALSE))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input_377105!A$2</f>
        <v>377105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IFERROR(VLOOKUP(B211,input_377105!L:R,7,FALSE),VLOOKUP(tables_377105!C211,input_377105!A:H,8,FALSE))</f>
        <v>39921.279999999999</v>
      </c>
      <c r="P211" s="46">
        <f t="shared" ca="1" si="11"/>
        <v>5.4836923077299675E-3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hidden="1" customHeight="1" x14ac:dyDescent="0.15">
      <c r="A212" s="2" t="str">
        <f ca="1">input_377105!A$2</f>
        <v>377105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IFERROR(VLOOKUP(B212,input_377105!L:R,7,FALSE),VLOOKUP(tables_377105!C212,input_377105!A:H,8,FALSE))</f>
        <v>2101.12</v>
      </c>
      <c r="P212" s="46">
        <f t="shared" ca="1" si="11"/>
        <v>2.886153846173667E-4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input_377105!A$2</f>
        <v>377105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IFERROR(VLOOKUP(B213,input_377105!L:R,7,FALSE),VLOOKUP(tables_377105!C213,input_377105!A:H,8,FALSE))</f>
        <v>4940</v>
      </c>
      <c r="P213" s="46">
        <f t="shared" ca="1" si="11"/>
        <v>6.7857142857608878E-4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input_377105!A$2</f>
        <v>377105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IFERROR(VLOOKUP(B214,input_377105!L:R,7,FALSE),VLOOKUP(tables_377105!C214,input_377105!A:H,8,FALSE))</f>
        <v>260</v>
      </c>
      <c r="P214" s="46">
        <f t="shared" ca="1" si="11"/>
        <v>3.5714285714530984E-5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input_377105!A$2</f>
        <v>377105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53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IFERROR(VLOOKUP(B215,input_377105!L:R,7,FALSE),VLOOKUP(tables_377105!C215,input_377105!A:H,8,FALSE))</f>
        <v>18861.818179999998</v>
      </c>
      <c r="P215" s="46">
        <f t="shared" ca="1" si="11"/>
        <v>2.590909090677134E-3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input_377105!A$2</f>
        <v>377105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53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IFERROR(VLOOKUP(B216,input_377105!L:R,7,FALSE),VLOOKUP(tables_377105!C216,input_377105!A:H,8,FALSE))</f>
        <v>992.72726999999998</v>
      </c>
      <c r="P216" s="46">
        <f t="shared" ca="1" si="11"/>
        <v>1.3636363598994747E-4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input_377105!A$2</f>
        <v>377105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IFERROR(VLOOKUP(B217,input_377105!L:R,7,FALSE),VLOOKUP(tables_377105!C217,input_377105!A:H,8,FALSE))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input_377105!A$2</f>
        <v>377105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IFERROR(VLOOKUP(B218,input_377105!L:R,7,FALSE),VLOOKUP(tables_377105!C218,input_377105!A:H,8,FALSE))</f>
        <v>39921.279999999999</v>
      </c>
      <c r="P218" s="46">
        <f t="shared" ca="1" si="11"/>
        <v>5.4836923077299675E-3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hidden="1" customHeight="1" x14ac:dyDescent="0.15">
      <c r="A219" s="2" t="str">
        <f ca="1">input_377105!A$2</f>
        <v>377105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IFERROR(VLOOKUP(B219,input_377105!L:R,7,FALSE),VLOOKUP(tables_377105!C219,input_377105!A:H,8,FALSE))</f>
        <v>2101.12</v>
      </c>
      <c r="P219" s="46">
        <f t="shared" ca="1" si="11"/>
        <v>2.886153846173667E-4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input_377105!A$2</f>
        <v>377105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IFERROR(VLOOKUP(B220,input_377105!L:R,7,FALSE),VLOOKUP(tables_377105!C220,input_377105!A:H,8,FALSE))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input_377105!A$2</f>
        <v>377105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IFERROR(VLOOKUP(B221,input_377105!L:R,7,FALSE),VLOOKUP(tables_377105!C221,input_377105!A:H,8,FALSE))</f>
        <v>39921.279999999999</v>
      </c>
      <c r="P221" s="46">
        <f t="shared" ca="1" si="11"/>
        <v>5.4836923077299675E-3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hidden="1" customHeight="1" x14ac:dyDescent="0.15">
      <c r="A222" s="2" t="str">
        <f ca="1">input_377105!A$2</f>
        <v>377105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IFERROR(VLOOKUP(B222,input_377105!L:R,7,FALSE),VLOOKUP(tables_377105!C222,input_377105!A:H,8,FALSE))</f>
        <v>2101.12</v>
      </c>
      <c r="P222" s="46">
        <f t="shared" ca="1" si="11"/>
        <v>2.886153846173667E-4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input_377105!A$2</f>
        <v>377105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IFERROR(VLOOKUP(B223,input_377105!L:R,7,FALSE),VLOOKUP(tables_377105!C223,input_377105!A:H,8,FALSE))</f>
        <v>4940</v>
      </c>
      <c r="P223" s="46">
        <f t="shared" ca="1" si="11"/>
        <v>6.7857142857608878E-4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input_377105!A$2</f>
        <v>377105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IFERROR(VLOOKUP(B224,input_377105!L:R,7,FALSE),VLOOKUP(tables_377105!C224,input_377105!A:H,8,FALSE))</f>
        <v>260</v>
      </c>
      <c r="P224" s="46">
        <f t="shared" ca="1" si="11"/>
        <v>3.5714285714530984E-5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input_377105!A$2</f>
        <v>377105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53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IFERROR(VLOOKUP(B225,input_377105!L:R,7,FALSE),VLOOKUP(tables_377105!C225,input_377105!A:H,8,FALSE))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input_377105!A$2</f>
        <v>377105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53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IFERROR(VLOOKUP(B226,input_377105!L:R,7,FALSE),VLOOKUP(tables_377105!C226,input_377105!A:H,8,FALSE))</f>
        <v>194616.24</v>
      </c>
      <c r="P226" s="46">
        <f t="shared" ca="1" si="11"/>
        <v>2.6733000000183589E-2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input_377105!A$2</f>
        <v>377105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53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IFERROR(VLOOKUP(B227,input_377105!L:R,7,FALSE),VLOOKUP(tables_377105!C227,input_377105!A:H,8,FALSE))</f>
        <v>10242.959999999999</v>
      </c>
      <c r="P227" s="46">
        <f t="shared" ca="1" si="11"/>
        <v>1.4070000000096627E-3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input_377105!A$2</f>
        <v>377105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IFERROR(VLOOKUP(B228,input_377105!L:R,7,FALSE),VLOOKUP(tables_377105!C228,input_377105!A:H,8,FALSE))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input_377105!A$2</f>
        <v>377105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IFERROR(VLOOKUP(B229,input_377105!L:R,7,FALSE),VLOOKUP(tables_377105!C229,input_377105!A:H,8,FALSE))</f>
        <v>39921.279999999999</v>
      </c>
      <c r="P229" s="46">
        <f t="shared" ca="1" si="11"/>
        <v>5.4836923077299675E-3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hidden="1" customHeight="1" x14ac:dyDescent="0.15">
      <c r="A230" s="2" t="str">
        <f ca="1">input_377105!A$2</f>
        <v>377105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IFERROR(VLOOKUP(B230,input_377105!L:R,7,FALSE),VLOOKUP(tables_377105!C230,input_377105!A:H,8,FALSE))</f>
        <v>2101.12</v>
      </c>
      <c r="P230" s="46">
        <f t="shared" ca="1" si="11"/>
        <v>2.886153846173667E-4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input_377105!A$2</f>
        <v>377105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IFERROR(VLOOKUP(B231,input_377105!L:R,7,FALSE),VLOOKUP(tables_377105!C231,input_377105!A:H,8,FALSE))</f>
        <v>4940</v>
      </c>
      <c r="P231" s="46">
        <f t="shared" ca="1" si="11"/>
        <v>6.7857142857608878E-4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input_377105!A$2</f>
        <v>377105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IFERROR(VLOOKUP(B232,input_377105!L:R,7,FALSE),VLOOKUP(tables_377105!C232,input_377105!A:H,8,FALSE))</f>
        <v>260</v>
      </c>
      <c r="P232" s="46">
        <f t="shared" ca="1" si="11"/>
        <v>3.5714285714530984E-5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input_377105!A$2</f>
        <v>377105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IFERROR(VLOOKUP(B233,input_377105!L:R,7,FALSE),VLOOKUP(tables_377105!C233,input_377105!A:H,8,FALSE))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input_377105!A$2</f>
        <v>377105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IFERROR(VLOOKUP(B234,input_377105!L:R,7,FALSE),VLOOKUP(tables_377105!C234,input_377105!A:H,8,FALSE))</f>
        <v>39921.279999999999</v>
      </c>
      <c r="P234" s="46">
        <f t="shared" ca="1" si="11"/>
        <v>5.4836923077299675E-3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input_377105!A$2</f>
        <v>377105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IFERROR(VLOOKUP(B235,input_377105!L:R,7,FALSE),VLOOKUP(tables_377105!C235,input_377105!A:H,8,FALSE))</f>
        <v>2101.12</v>
      </c>
      <c r="P235" s="46">
        <f t="shared" ca="1" si="11"/>
        <v>2.886153846173667E-4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input_377105!A$2</f>
        <v>377105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53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IFERROR(VLOOKUP(B236,input_377105!L:R,7,FALSE),VLOOKUP(tables_377105!C236,input_377105!A:H,8,FALSE))</f>
        <v>18861.818179999998</v>
      </c>
      <c r="P236" s="46">
        <f t="shared" ca="1" si="11"/>
        <v>2.590909090677134E-3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input_377105!A$2</f>
        <v>377105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53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IFERROR(VLOOKUP(B237,input_377105!L:R,7,FALSE),VLOOKUP(tables_377105!C237,input_377105!A:H,8,FALSE))</f>
        <v>992.72726999999998</v>
      </c>
      <c r="P237" s="46">
        <f t="shared" ca="1" si="11"/>
        <v>1.3636363598994747E-4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input_377105!A$2</f>
        <v>377105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IFERROR(VLOOKUP(B238,input_377105!L:R,7,FALSE),VLOOKUP(tables_377105!C238,input_377105!A:H,8,FALSE))</f>
        <v>4940</v>
      </c>
      <c r="P238" s="46">
        <f t="shared" ca="1" si="11"/>
        <v>6.7857142857608878E-4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input_377105!A$2</f>
        <v>377105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IFERROR(VLOOKUP(B239,input_377105!L:R,7,FALSE),VLOOKUP(tables_377105!C239,input_377105!A:H,8,FALSE))</f>
        <v>260</v>
      </c>
      <c r="P239" s="46">
        <f t="shared" ca="1" si="11"/>
        <v>3.5714285714530984E-5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input_377105!A$2</f>
        <v>377105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IFERROR(VLOOKUP(B240,input_377105!L:R,7,FALSE),VLOOKUP(tables_377105!C240,input_377105!A:H,8,FALSE))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input_377105!A$2</f>
        <v>377105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IFERROR(VLOOKUP(B241,input_377105!L:R,7,FALSE),VLOOKUP(tables_377105!C241,input_377105!A:H,8,FALSE))</f>
        <v>39921.279999999999</v>
      </c>
      <c r="P241" s="46">
        <f t="shared" ca="1" si="11"/>
        <v>5.4836923077299675E-3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input_377105!A$2</f>
        <v>377105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IFERROR(VLOOKUP(B242,input_377105!L:R,7,FALSE),VLOOKUP(tables_377105!C242,input_377105!A:H,8,FALSE))</f>
        <v>2101.12</v>
      </c>
      <c r="P242" s="46">
        <f t="shared" ca="1" si="11"/>
        <v>2.886153846173667E-4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input_377105!A$2</f>
        <v>377105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IFERROR(VLOOKUP(B243,input_377105!L:R,7,FALSE),VLOOKUP(tables_377105!C243,input_377105!A:H,8,FALSE))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input_377105!A$2</f>
        <v>377105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IFERROR(VLOOKUP(B244,input_377105!L:R,7,FALSE),VLOOKUP(tables_377105!C244,input_377105!A:H,8,FALSE))</f>
        <v>39921.279999999999</v>
      </c>
      <c r="P244" s="46">
        <f t="shared" ca="1" si="11"/>
        <v>5.4836923077299675E-3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hidden="1" customHeight="1" x14ac:dyDescent="0.15">
      <c r="A245" s="2" t="str">
        <f ca="1">input_377105!A$2</f>
        <v>377105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IFERROR(VLOOKUP(B245,input_377105!L:R,7,FALSE),VLOOKUP(tables_377105!C245,input_377105!A:H,8,FALSE))</f>
        <v>2101.12</v>
      </c>
      <c r="P245" s="46">
        <f t="shared" ca="1" si="11"/>
        <v>2.886153846173667E-4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input_377105!A$2</f>
        <v>377105</v>
      </c>
      <c r="B246" s="60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53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IFERROR(VLOOKUP(B246,input_377105!L:R,7,FALSE),VLOOKUP(tables_377105!C246,input_377105!A:H,8,FALSE))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input_377105!A$2</f>
        <v>377105</v>
      </c>
      <c r="B247" s="60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53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IFERROR(VLOOKUP(B247,input_377105!L:R,7,FALSE),VLOOKUP(tables_377105!C247,input_377105!A:H,8,FALSE))</f>
        <v>194616.24</v>
      </c>
      <c r="P247" s="46">
        <f t="shared" ca="1" si="11"/>
        <v>2.6733000000183589E-2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hidden="1" customHeight="1" x14ac:dyDescent="0.15">
      <c r="A248" s="2" t="str">
        <f ca="1">input_377105!A$2</f>
        <v>377105</v>
      </c>
      <c r="B248" s="60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53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IFERROR(VLOOKUP(B248,input_377105!L:R,7,FALSE),VLOOKUP(tables_377105!C248,input_377105!A:H,8,FALSE))</f>
        <v>10242.959999999999</v>
      </c>
      <c r="P248" s="46">
        <f t="shared" ca="1" si="11"/>
        <v>1.4070000000096627E-3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input_377105!A$2</f>
        <v>377105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IFERROR(VLOOKUP(B249,input_377105!L:R,7,FALSE),VLOOKUP(tables_377105!C249,input_377105!A:H,8,FALSE))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input_377105!A$2</f>
        <v>377105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IFERROR(VLOOKUP(B250,input_377105!L:R,7,FALSE),VLOOKUP(tables_377105!C250,input_377105!A:H,8,FALSE))</f>
        <v>39921.279999999999</v>
      </c>
      <c r="P250" s="46">
        <f t="shared" ca="1" si="11"/>
        <v>5.4836923077299675E-3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hidden="1" customHeight="1" x14ac:dyDescent="0.15">
      <c r="A251" s="2" t="str">
        <f ca="1">input_377105!A$2</f>
        <v>377105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IFERROR(VLOOKUP(B251,input_377105!L:R,7,FALSE),VLOOKUP(tables_377105!C251,input_377105!A:H,8,FALSE))</f>
        <v>2101.12</v>
      </c>
      <c r="P251" s="46">
        <f t="shared" ca="1" si="11"/>
        <v>2.886153846173667E-4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input_377105!A$2</f>
        <v>377105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IFERROR(VLOOKUP(B252,input_377105!L:R,7,FALSE),VLOOKUP(tables_377105!C252,input_377105!A:H,8,FALSE))</f>
        <v>4940</v>
      </c>
      <c r="P252" s="46">
        <f t="shared" ca="1" si="11"/>
        <v>6.7857142857608878E-4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input_377105!A$2</f>
        <v>377105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IFERROR(VLOOKUP(B253,input_377105!L:R,7,FALSE),VLOOKUP(tables_377105!C253,input_377105!A:H,8,FALSE))</f>
        <v>260</v>
      </c>
      <c r="P253" s="46">
        <f t="shared" ca="1" si="11"/>
        <v>3.5714285714530984E-5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input_377105!A$2</f>
        <v>377105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IFERROR(VLOOKUP(B254,input_377105!L:R,7,FALSE),VLOOKUP(tables_377105!C254,input_377105!A:H,8,FALSE))</f>
        <v>4940</v>
      </c>
      <c r="P254" s="46">
        <f t="shared" ca="1" si="11"/>
        <v>6.7857142857608878E-4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input_377105!A$2</f>
        <v>377105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IFERROR(VLOOKUP(B255,input_377105!L:R,7,FALSE),VLOOKUP(tables_377105!C255,input_377105!A:H,8,FALSE))</f>
        <v>260</v>
      </c>
      <c r="P255" s="46">
        <f t="shared" ca="1" si="11"/>
        <v>3.5714285714530984E-5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input_377105!A$2</f>
        <v>377105</v>
      </c>
      <c r="B256" s="60">
        <v>728</v>
      </c>
      <c r="C256" s="7" t="str">
        <f t="shared" si="9"/>
        <v>Premium4R3lesscolor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">
        <v>53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IFERROR(VLOOKUP(B256,input_377105!L:R,7,FALSE),VLOOKUP(tables_377105!C256,input_377105!A:H,8,FALSE))</f>
        <v>195991.16727000001</v>
      </c>
      <c r="P256" s="46">
        <f t="shared" ca="1" si="11"/>
        <v>2.6921863636173899E-2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hidden="1" customHeight="1" x14ac:dyDescent="0.15">
      <c r="A257" s="2" t="str">
        <f ca="1">input_377105!A$2</f>
        <v>377105</v>
      </c>
      <c r="B257" s="60">
        <v>729</v>
      </c>
      <c r="C257" s="7" t="str">
        <f t="shared" si="9"/>
        <v>Premium5R3lesscolor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">
        <v>53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IFERROR(VLOOKUP(B257,input_377105!L:R,7,FALSE),VLOOKUP(tables_377105!C257,input_377105!A:H,8,FALSE))</f>
        <v>8868.0327300000008</v>
      </c>
      <c r="P257" s="46">
        <f t="shared" ca="1" si="11"/>
        <v>1.2181363640193549E-3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input_377105!A$2</f>
        <v>377105</v>
      </c>
      <c r="B258" s="60">
        <v>730</v>
      </c>
      <c r="C258" s="7" t="str">
        <f t="shared" ref="C258:C295" si="12">D258&amp;J258&amp;E258&amp;F258&amp;G258</f>
        <v>Premium4R3less</v>
      </c>
      <c r="D258" s="7" t="str">
        <f t="shared" ref="D258:D295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IFERROR(VLOOKUP(B258,input_377105!L:R,7,FALSE),VLOOKUP(tables_377105!C258,input_377105!A:H,8,FALSE))</f>
        <v>40814.994290000002</v>
      </c>
      <c r="P258" s="46">
        <f t="shared" ref="P258:P295" ca="1" si="14">O258/SUM(O:O)</f>
        <v>5.6064552596538876E-3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hidden="1" customHeight="1" x14ac:dyDescent="0.15">
      <c r="A259" s="2" t="str">
        <f ca="1">input_377105!A$2</f>
        <v>377105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IFERROR(VLOOKUP(B259,input_377105!L:R,7,FALSE),VLOOKUP(tables_377105!C259,input_377105!A:H,8,FALSE))</f>
        <v>1207.40571</v>
      </c>
      <c r="P259" s="46">
        <f t="shared" ca="1" si="14"/>
        <v>1.6585243269344669E-4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input_377105!A$2</f>
        <v>377105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IFERROR(VLOOKUP(B260,input_377105!L:R,7,FALSE),VLOOKUP(tables_377105!C260,input_377105!A:H,8,FALSE))</f>
        <v>5200</v>
      </c>
      <c r="P260" s="46">
        <f t="shared" ca="1" si="14"/>
        <v>7.1428571429061976E-4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input_377105!A$2</f>
        <v>377105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IFERROR(VLOOKUP(B261,input_377105!L:R,7,FALSE),VLOOKUP(tables_377105!C261,input_377105!A:H,8,FALSE))</f>
        <v>5200</v>
      </c>
      <c r="P261" s="46">
        <f t="shared" ca="1" si="14"/>
        <v>7.1428571429061976E-4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input_377105!A$2</f>
        <v>377105</v>
      </c>
      <c r="B262" s="60">
        <v>770</v>
      </c>
      <c r="C262" s="7" t="str">
        <f t="shared" si="12"/>
        <v>PremiumSS4color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53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IFERROR(VLOOKUP(B262,input_377105!L:R,7,FALSE),VLOOKUP(tables_377105!C262,input_377105!A:H,8,FALSE))</f>
        <v>18861.818179999998</v>
      </c>
      <c r="P262" s="46">
        <f t="shared" ca="1" si="14"/>
        <v>2.590909090677134E-3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input_377105!A$2</f>
        <v>377105</v>
      </c>
      <c r="B263" s="60">
        <v>771</v>
      </c>
      <c r="C263" s="7" t="str">
        <f t="shared" si="12"/>
        <v>PremiumSS5color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53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IFERROR(VLOOKUP(B263,input_377105!L:R,7,FALSE),VLOOKUP(tables_377105!C263,input_377105!A:H,8,FALSE))</f>
        <v>992.72726999999998</v>
      </c>
      <c r="P263" s="46">
        <f t="shared" ca="1" si="14"/>
        <v>1.3636363598994747E-4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input_377105!A$2</f>
        <v>377105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IFERROR(VLOOKUP(B264,input_377105!L:R,7,FALSE),VLOOKUP(tables_377105!C264,input_377105!A:H,8,FALSE))</f>
        <v>4940</v>
      </c>
      <c r="P264" s="46">
        <f t="shared" ca="1" si="14"/>
        <v>6.7857142857608878E-4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input_377105!A$2</f>
        <v>377105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IFERROR(VLOOKUP(B265,input_377105!L:R,7,FALSE),VLOOKUP(tables_377105!C265,input_377105!A:H,8,FALSE))</f>
        <v>260</v>
      </c>
      <c r="P265" s="46">
        <f t="shared" ca="1" si="14"/>
        <v>3.5714285714530984E-5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input_377105!A$2</f>
        <v>377105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IFERROR(VLOOKUP(B266,input_377105!L:R,7,FALSE),VLOOKUP(tables_377105!C266,input_377105!A:H,8,FALSE))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input_377105!A$2</f>
        <v>377105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IFERROR(VLOOKUP(B267,input_377105!L:R,7,FALSE),VLOOKUP(tables_377105!C267,input_377105!A:H,8,FALSE))</f>
        <v>39921.279999999999</v>
      </c>
      <c r="P267" s="46">
        <f t="shared" ca="1" si="14"/>
        <v>5.4836923077299675E-3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hidden="1" customHeight="1" x14ac:dyDescent="0.15">
      <c r="A268" s="2" t="str">
        <f ca="1">input_377105!A$2</f>
        <v>377105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IFERROR(VLOOKUP(B268,input_377105!L:R,7,FALSE),VLOOKUP(tables_377105!C268,input_377105!A:H,8,FALSE))</f>
        <v>2101.12</v>
      </c>
      <c r="P268" s="46">
        <f t="shared" ca="1" si="14"/>
        <v>2.886153846173667E-4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input_377105!A$2</f>
        <v>377105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IFERROR(VLOOKUP(B269,input_377105!L:R,7,FALSE),VLOOKUP(tables_377105!C269,input_377105!A:H,8,FALSE))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input_377105!A$2</f>
        <v>377105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IFERROR(VLOOKUP(B270,input_377105!L:R,7,FALSE),VLOOKUP(tables_377105!C270,input_377105!A:H,8,FALSE))</f>
        <v>39921.279999999999</v>
      </c>
      <c r="P270" s="46">
        <f t="shared" ca="1" si="14"/>
        <v>5.4836923077299675E-3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hidden="1" customHeight="1" x14ac:dyDescent="0.15">
      <c r="A271" s="2" t="str">
        <f ca="1">input_377105!A$2</f>
        <v>377105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IFERROR(VLOOKUP(B271,input_377105!L:R,7,FALSE),VLOOKUP(tables_377105!C271,input_377105!A:H,8,FALSE))</f>
        <v>2101.12</v>
      </c>
      <c r="P271" s="46">
        <f t="shared" ca="1" si="14"/>
        <v>2.886153846173667E-4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input_377105!A$2</f>
        <v>377105</v>
      </c>
      <c r="B272" s="83">
        <v>848</v>
      </c>
      <c r="C272" s="7" t="str">
        <f t="shared" si="12"/>
        <v>PremiumSS5R5onlycolor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53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IFERROR(VLOOKUP(B272,input_377105!L:R,7,FALSE),VLOOKUP(tables_377105!C272,input_377105!A:H,8,FALSE))</f>
        <v>19854.545450000001</v>
      </c>
      <c r="P272" s="46">
        <f t="shared" ca="1" si="14"/>
        <v>2.7272727266670817E-3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input_377105!A$2</f>
        <v>377105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IFERROR(VLOOKUP(B273,input_377105!L:R,7,FALSE),VLOOKUP(tables_377105!C273,input_377105!A:H,8,FALSE))</f>
        <v>5200</v>
      </c>
      <c r="P273" s="46">
        <f t="shared" ca="1" si="14"/>
        <v>7.1428571429061976E-4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input_377105!A$2</f>
        <v>377105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IFERROR(VLOOKUP(B274,input_377105!L:R,7,FALSE),VLOOKUP(tables_377105!C274,input_377105!A:H,8,FALSE))</f>
        <v>40814.994290000002</v>
      </c>
      <c r="P274" s="46">
        <f t="shared" ca="1" si="14"/>
        <v>5.6064552596538876E-3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hidden="1" customHeight="1" x14ac:dyDescent="0.15">
      <c r="A275" s="2" t="str">
        <f ca="1">input_377105!A$2</f>
        <v>377105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IFERROR(VLOOKUP(B275,input_377105!L:R,7,FALSE),VLOOKUP(tables_377105!C275,input_377105!A:H,8,FALSE))</f>
        <v>1207.40571</v>
      </c>
      <c r="P275" s="46">
        <f t="shared" ca="1" si="14"/>
        <v>1.6585243269344669E-4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input_377105!A$2</f>
        <v>377105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IFERROR(VLOOKUP(B276,input_377105!L:R,7,FALSE),VLOOKUP(tables_377105!C276,input_377105!A:H,8,FALSE))</f>
        <v>40814.994290000002</v>
      </c>
      <c r="P276" s="46">
        <f t="shared" ca="1" si="14"/>
        <v>5.6064552596538876E-3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hidden="1" customHeight="1" x14ac:dyDescent="0.15">
      <c r="A277" s="2" t="str">
        <f ca="1">input_377105!A$2</f>
        <v>377105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IFERROR(VLOOKUP(B277,input_377105!L:R,7,FALSE),VLOOKUP(tables_377105!C277,input_377105!A:H,8,FALSE))</f>
        <v>1207.40571</v>
      </c>
      <c r="P277" s="46">
        <f t="shared" ca="1" si="14"/>
        <v>1.6585243269344669E-4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input_377105!A$2</f>
        <v>377105</v>
      </c>
      <c r="B278" s="83">
        <v>862</v>
      </c>
      <c r="C278" s="7" t="str">
        <f t="shared" si="12"/>
        <v>Premium4R3lesscolor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53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IFERROR(VLOOKUP(B278,input_377105!L:R,7,FALSE),VLOOKUP(tables_377105!C278,input_377105!A:H,8,FALSE))</f>
        <v>195991.16727000001</v>
      </c>
      <c r="P278" s="46">
        <f t="shared" ca="1" si="14"/>
        <v>2.6921863636173899E-2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input_377105!A$2</f>
        <v>377105</v>
      </c>
      <c r="B279" s="83">
        <v>863</v>
      </c>
      <c r="C279" s="7" t="str">
        <f t="shared" si="12"/>
        <v>Premium5R3lesscolor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53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IFERROR(VLOOKUP(B279,input_377105!L:R,7,FALSE),VLOOKUP(tables_377105!C279,input_377105!A:H,8,FALSE))</f>
        <v>8868.0327300000008</v>
      </c>
      <c r="P279" s="46">
        <f t="shared" ca="1" si="14"/>
        <v>1.2181363640193549E-3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input_377105!A$2</f>
        <v>377105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IFERROR(VLOOKUP(B280,input_377105!L:R,7,FALSE),VLOOKUP(tables_377105!C280,input_377105!A:H,8,FALSE))</f>
        <v>40814.994290000002</v>
      </c>
      <c r="P280" s="46">
        <f t="shared" ca="1" si="14"/>
        <v>5.6064552596538876E-3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input_377105!A$2</f>
        <v>377105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IFERROR(VLOOKUP(B281,input_377105!L:R,7,FALSE),VLOOKUP(tables_377105!C281,input_377105!A:H,8,FALSE))</f>
        <v>1207.40571</v>
      </c>
      <c r="P281" s="46">
        <f t="shared" ca="1" si="14"/>
        <v>1.6585243269344669E-4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input_377105!A$2</f>
        <v>377105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IFERROR(VLOOKUP(B282,input_377105!L:R,7,FALSE),VLOOKUP(tables_377105!C282,input_377105!A:H,8,FALSE))</f>
        <v>5200</v>
      </c>
      <c r="P282" s="46">
        <f t="shared" ca="1" si="14"/>
        <v>7.1428571429061976E-4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input_377105!A$2</f>
        <v>377105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IFERROR(VLOOKUP(B283,input_377105!L:R,7,FALSE),VLOOKUP(tables_377105!C283,input_377105!A:H,8,FALSE))</f>
        <v>5200</v>
      </c>
      <c r="P283" s="46">
        <f t="shared" ca="1" si="14"/>
        <v>7.1428571429061976E-4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input_377105!A$2</f>
        <v>377105</v>
      </c>
      <c r="B284" s="83">
        <v>742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">
        <v>53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IFERROR(VLOOKUP(B284,input_377105!L:R,7,FALSE),VLOOKUP(tables_377105!C284,input_377105!A:H,8,FALSE))</f>
        <v>19854.545450000001</v>
      </c>
      <c r="P284" s="46">
        <f t="shared" ca="1" si="14"/>
        <v>2.7272727266670817E-3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input_377105!A$2</f>
        <v>377105</v>
      </c>
      <c r="B285" s="83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IFERROR(VLOOKUP(B285,input_377105!L:R,7,FALSE),VLOOKUP(tables_377105!C285,input_377105!A:H,8,FALSE))</f>
        <v>5200</v>
      </c>
      <c r="P285" s="46">
        <f t="shared" ca="1" si="14"/>
        <v>7.1428571429061976E-4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input_377105!A$2</f>
        <v>377105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IFERROR(VLOOKUP(B286,input_377105!L:R,7,FALSE),VLOOKUP(tables_377105!C286,input_377105!A:H,8,FALSE))</f>
        <v>40814.994290000002</v>
      </c>
      <c r="P286" s="46">
        <f t="shared" ca="1" si="14"/>
        <v>5.6064552596538876E-3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hidden="1" customHeight="1" x14ac:dyDescent="0.15">
      <c r="A287" s="2" t="str">
        <f ca="1">input_377105!A$2</f>
        <v>377105</v>
      </c>
      <c r="B287" s="83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IFERROR(VLOOKUP(B287,input_377105!L:R,7,FALSE),VLOOKUP(tables_377105!C287,input_377105!A:H,8,FALSE))</f>
        <v>1207.40571</v>
      </c>
      <c r="P287" s="46">
        <f t="shared" ca="1" si="14"/>
        <v>1.6585243269344669E-4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input_377105!A$2</f>
        <v>377105</v>
      </c>
      <c r="B288" s="83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IFERROR(VLOOKUP(B288,input_377105!L:R,7,FALSE),VLOOKUP(tables_377105!C288,input_377105!A:H,8,FALSE))</f>
        <v>40814.994290000002</v>
      </c>
      <c r="P288" s="46">
        <f t="shared" ca="1" si="14"/>
        <v>5.6064552596538876E-3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hidden="1" customHeight="1" x14ac:dyDescent="0.15">
      <c r="A289" s="2" t="str">
        <f ca="1">input_377105!A$2</f>
        <v>377105</v>
      </c>
      <c r="B289" s="83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IFERROR(VLOOKUP(B289,input_377105!L:R,7,FALSE),VLOOKUP(tables_377105!C289,input_377105!A:H,8,FALSE))</f>
        <v>1207.40571</v>
      </c>
      <c r="P289" s="46">
        <f t="shared" ca="1" si="14"/>
        <v>1.6585243269344669E-4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input_377105!A$2</f>
        <v>377105</v>
      </c>
      <c r="B290" s="83">
        <v>937</v>
      </c>
      <c r="C290" s="7" t="str">
        <f t="shared" si="12"/>
        <v>PremiumSS5R5onlycolor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">
        <v>53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IFERROR(VLOOKUP(B290,input_377105!L:R,7,FALSE),VLOOKUP(tables_377105!C290,input_377105!A:H,8,FALSE))</f>
        <v>19854.545450000001</v>
      </c>
      <c r="P290" s="46">
        <f t="shared" ca="1" si="14"/>
        <v>2.7272727266670817E-3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input_377105!A$2</f>
        <v>377105</v>
      </c>
      <c r="B291" s="83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IFERROR(VLOOKUP(B291,input_377105!L:R,7,FALSE),VLOOKUP(tables_377105!C291,input_377105!A:H,8,FALSE))</f>
        <v>40814.994290000002</v>
      </c>
      <c r="P291" s="46">
        <f t="shared" ca="1" si="14"/>
        <v>5.6064552596538876E-3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input_377105!A$2</f>
        <v>377105</v>
      </c>
      <c r="B292" s="83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IFERROR(VLOOKUP(B292,input_377105!L:R,7,FALSE),VLOOKUP(tables_377105!C292,input_377105!A:H,8,FALSE))</f>
        <v>1207.40571</v>
      </c>
      <c r="P292" s="46">
        <f t="shared" ca="1" si="14"/>
        <v>1.6585243269344669E-4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input_377105!A$2</f>
        <v>377105</v>
      </c>
      <c r="B293" s="83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IFERROR(VLOOKUP(B293,input_377105!L:R,7,FALSE),VLOOKUP(tables_377105!C293,input_377105!A:H,8,FALSE))</f>
        <v>5200</v>
      </c>
      <c r="P293" s="46">
        <f t="shared" ca="1" si="14"/>
        <v>7.1428571429061976E-4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input_377105!A$2</f>
        <v>377105</v>
      </c>
      <c r="B294" s="83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IFERROR(VLOOKUP(B294,input_377105!L:R,7,FALSE),VLOOKUP(tables_377105!C294,input_377105!A:H,8,FALSE))</f>
        <v>5200</v>
      </c>
      <c r="P294" s="46">
        <f t="shared" ca="1" si="14"/>
        <v>7.1428571429061976E-4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hidden="1" customHeight="1" x14ac:dyDescent="0.15">
      <c r="A295" s="2" t="str">
        <f ca="1">input_377105!A$2</f>
        <v>377105</v>
      </c>
      <c r="B295" s="83">
        <v>786</v>
      </c>
      <c r="C295" s="7" t="str">
        <f t="shared" si="12"/>
        <v>PremiumSSS5R3lesscolor</v>
      </c>
      <c r="D295" s="7" t="str">
        <f t="shared" si="13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53</v>
      </c>
      <c r="H295" s="7" t="str">
        <f>VLOOKUP(B295,[1]characters!$A:$C,3,FALSE)</f>
        <v>ヘイウェイ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dragon</v>
      </c>
      <c r="N295" s="7" t="str">
        <f>VLOOKUP(B295,[1]characters!$A:$G,7,FALSE)</f>
        <v>男性</v>
      </c>
      <c r="O295" s="45">
        <f ca="1">IFERROR(VLOOKUP(B295,input_377105!L:R,7,FALSE),VLOOKUP(tables_377105!C295,input_377105!A:H,8,FALSE))</f>
        <v>87360</v>
      </c>
      <c r="P295" s="46">
        <f t="shared" ca="1" si="14"/>
        <v>1.2000000000082412E-2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5">
    <filterColumn colId="8">
      <filters>
        <filter val="PremiumSS"/>
      </filters>
    </filterColumn>
  </autoFilter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workbookViewId="0">
      <selection activeCell="B40" sqref="B4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377100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VLOOKUP(L3,tables_377100!B:C,2,FALSE)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VLOOKUP(L4,tables_377100!B:C,2,FALSE)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7.1428571428571439E-4</v>
      </c>
      <c r="F5">
        <f>(COUNTIF(tables_377100!C:C,input_377100!A28)+COUNTIF(tables_377100!C:C,input_377100!A29))</f>
        <v>28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VLOOKUP(L5,tables_377100!B:C,2,FALSE)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2.7272727272727271E-3</v>
      </c>
      <c r="F6">
        <f>(COUNTIF(tables_377100!C:C,input_377100!A43)+COUNTIF(tables_377100!C:C,input_377100!A44))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VLOOKUP(L6,tables_377100!B:C,2,FALSE)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5.7230769230769227E-3</v>
      </c>
      <c r="F7">
        <f>(COUNTIF(tables_377100!C:C,input_377100!A25)+COUNTIF(tables_377100!C:C,input_377100!A18)+COUNTIF(tables_377100!C:C,input_377100!A20)+COUNTIF(tables_377100!C:C,input_377100!A22))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VLOOKUP(L7,tables_377100!B:C,2,FALSE)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2.7899999999999998E-2</v>
      </c>
      <c r="F8">
        <f>(COUNTIF(tables_377100!C:C,input_377100!A40)+COUNTIF(tables_377100!C:C,input_377100!A33)+COUNTIF(tables_377100!C:C,input_377100!A35)+COUNTIF(tables_377100!C:C,input_377100!A37))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VLOOKUP(L8,tables_377100!B:C,2,FALSE)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VLOOKUP(L9,tables_377100!B:C,2,FALSE)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VLOOKUP(L10,tables_377100!B:C,2,FALSE)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0.05</v>
      </c>
      <c r="C11" t="s">
        <v>277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VLOOKUP(L11,tables_377100!B:C,2,FALSE)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VLOOKUP(L12,tables_377100!B:C,2,FALSE)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VLOOKUP(L13,tables_377100!B:C,2,FALSE)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VLOOKUP(L14,tables_377100!B:C,2,FALSE)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VLOOKUP(L15,tables_377100!B:C,2,FALSE)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VLOOKUP(L16,tables_377100!B:C,2,FALSE)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COUNTIF(tables_377100!C:C,input_377100!A17)-COUNTIF(Q:Q,A17)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8.5846153846153836E-2</v>
      </c>
      <c r="C18" s="87">
        <f t="shared" si="2"/>
        <v>0</v>
      </c>
      <c r="D18" s="75">
        <f t="shared" si="3"/>
        <v>8.5846153846153836E-2</v>
      </c>
      <c r="E18">
        <f>COUNTIF(tables_377100!C:C,input_377100!A18)-COUNTIF(Q:Q,A18)</f>
        <v>15</v>
      </c>
      <c r="F18" s="43">
        <f>IFERROR(B18/E18,0)</f>
        <v>5.7230769230769227E-3</v>
      </c>
      <c r="G18">
        <f t="shared" si="4"/>
        <v>624959.99999999988</v>
      </c>
      <c r="H18">
        <f t="shared" si="5"/>
        <v>41664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COUNTIF(tables_377100!C:C,input_377100!A19)-COUNTIF(Q:Q,A19)</f>
        <v>40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0.21747692307692304</v>
      </c>
      <c r="C20" s="87">
        <f t="shared" si="2"/>
        <v>0</v>
      </c>
      <c r="D20" s="75">
        <f t="shared" si="3"/>
        <v>0.21747692307692304</v>
      </c>
      <c r="E20">
        <f>COUNTIF(tables_377100!C:C,input_377100!A20)-COUNTIF(Q:Q,A20)</f>
        <v>40</v>
      </c>
      <c r="F20" s="43">
        <f t="shared" si="8"/>
        <v>5.4369230769230762E-3</v>
      </c>
      <c r="G20">
        <f t="shared" si="4"/>
        <v>1583231.9999999998</v>
      </c>
      <c r="H20">
        <f t="shared" si="5"/>
        <v>39580.800000000003</v>
      </c>
      <c r="I20">
        <f t="shared" si="6"/>
        <v>0.80000000000291038</v>
      </c>
      <c r="J20">
        <f t="shared" si="7"/>
        <v>1.2499999999954525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1.1446153846153845E-2</v>
      </c>
      <c r="C21" s="87">
        <f t="shared" si="2"/>
        <v>0</v>
      </c>
      <c r="D21" s="75">
        <f t="shared" si="3"/>
        <v>1.1446153846153845E-2</v>
      </c>
      <c r="E21">
        <f>COUNTIF(tables_377100!C:C,input_377100!A21)-COUNTIF(Q:Q,A21)</f>
        <v>40</v>
      </c>
      <c r="F21" s="43">
        <f t="shared" si="8"/>
        <v>2.8615384615384614E-4</v>
      </c>
      <c r="G21">
        <f t="shared" si="4"/>
        <v>83328</v>
      </c>
      <c r="H21">
        <f t="shared" si="5"/>
        <v>2083.1999999999998</v>
      </c>
      <c r="I21">
        <f t="shared" si="6"/>
        <v>0.1999999999998181</v>
      </c>
      <c r="J21">
        <f t="shared" si="7"/>
        <v>5.0000000000045475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3.8794725274725272E-2</v>
      </c>
      <c r="C22" s="87">
        <f t="shared" si="2"/>
        <v>0</v>
      </c>
      <c r="D22" s="75">
        <f t="shared" si="3"/>
        <v>3.8794725274725272E-2</v>
      </c>
      <c r="E22">
        <f>COUNTIF(tables_377100!C:C,input_377100!A22)-COUNTIF(Q:Q,A22)</f>
        <v>7</v>
      </c>
      <c r="F22" s="43">
        <f t="shared" si="8"/>
        <v>5.5421036106750388E-3</v>
      </c>
      <c r="G22">
        <f t="shared" si="4"/>
        <v>282425.59999999998</v>
      </c>
      <c r="H22">
        <f t="shared" si="5"/>
        <v>40346.514289999999</v>
      </c>
      <c r="I22">
        <f t="shared" si="6"/>
        <v>0.51428999999916414</v>
      </c>
      <c r="J22">
        <f t="shared" si="7"/>
        <v>1.9444282408789306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1.2668131868131902E-3</v>
      </c>
      <c r="C23" s="87">
        <f t="shared" si="2"/>
        <v>0</v>
      </c>
      <c r="D23" s="75">
        <f t="shared" si="3"/>
        <v>1.2668131868131902E-3</v>
      </c>
      <c r="E23">
        <f>COUNTIF(tables_377100!C:C,input_377100!A23)-COUNTIF(Q:Q,A23)</f>
        <v>7</v>
      </c>
      <c r="F23" s="43">
        <f t="shared" si="8"/>
        <v>1.8097331240188433E-4</v>
      </c>
      <c r="G23">
        <f t="shared" si="4"/>
        <v>9222.4000000000251</v>
      </c>
      <c r="H23">
        <f t="shared" si="5"/>
        <v>1317.4857099999999</v>
      </c>
      <c r="I23">
        <f t="shared" si="6"/>
        <v>0.48570999999992637</v>
      </c>
      <c r="J23">
        <f t="shared" si="7"/>
        <v>2.0588416956623328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7">
        <f t="shared" si="2"/>
        <v>0</v>
      </c>
      <c r="D24" s="75">
        <f t="shared" si="3"/>
        <v>0</v>
      </c>
      <c r="E24">
        <f>COUNTIF(tables_377100!C:C,input_377100!A24)-COUNTIF(Q:Q,A24)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1.6310769230769229E-2</v>
      </c>
      <c r="C25" s="87">
        <f t="shared" si="2"/>
        <v>0</v>
      </c>
      <c r="D25" s="75">
        <f t="shared" si="3"/>
        <v>1.6310769230769229E-2</v>
      </c>
      <c r="E25">
        <f>COUNTIF(tables_377100!C:C,input_377100!A25)-COUNTIF(Q:Q,A25)</f>
        <v>3</v>
      </c>
      <c r="F25" s="43">
        <f t="shared" si="8"/>
        <v>5.4369230769230762E-3</v>
      </c>
      <c r="G25">
        <f t="shared" si="4"/>
        <v>118742.39999999999</v>
      </c>
      <c r="H25">
        <f t="shared" si="5"/>
        <v>39580.800000000003</v>
      </c>
      <c r="I25">
        <f t="shared" si="6"/>
        <v>0.80000000000291038</v>
      </c>
      <c r="J25">
        <f t="shared" si="7"/>
        <v>1.2499999999954525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8.5846153846153841E-4</v>
      </c>
      <c r="C26" s="87">
        <f t="shared" si="2"/>
        <v>0</v>
      </c>
      <c r="D26" s="75">
        <f t="shared" si="3"/>
        <v>8.5846153846153841E-4</v>
      </c>
      <c r="E26">
        <f>COUNTIF(tables_377100!C:C,input_377100!A26)-COUNTIF(Q:Q,A26)</f>
        <v>3</v>
      </c>
      <c r="F26" s="43">
        <f t="shared" si="8"/>
        <v>2.8615384615384614E-4</v>
      </c>
      <c r="G26">
        <f t="shared" si="4"/>
        <v>6249.5999999999995</v>
      </c>
      <c r="H26">
        <f t="shared" si="5"/>
        <v>2083.1999999999998</v>
      </c>
      <c r="I26">
        <f t="shared" si="6"/>
        <v>0.1999999999998181</v>
      </c>
      <c r="J26">
        <f t="shared" si="7"/>
        <v>5.0000000000045475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1.3571428571428573E-2</v>
      </c>
      <c r="C27" s="87">
        <f t="shared" si="2"/>
        <v>0</v>
      </c>
      <c r="D27" s="75">
        <f t="shared" si="3"/>
        <v>1.3571428571428573E-2</v>
      </c>
      <c r="E27">
        <f>COUNTIF(tables_377100!C:C,input_377100!A27)-COUNTIF(Q:Q,A27)</f>
        <v>20</v>
      </c>
      <c r="F27" s="43">
        <f>IFERROR(B27/E27,0)</f>
        <v>6.7857142857142866E-4</v>
      </c>
      <c r="G27">
        <f t="shared" si="4"/>
        <v>98800.000000000015</v>
      </c>
      <c r="H27">
        <f t="shared" si="5"/>
        <v>4940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7.1428571428571439E-4</v>
      </c>
      <c r="C28" s="87">
        <f t="shared" si="2"/>
        <v>0</v>
      </c>
      <c r="D28" s="75">
        <f t="shared" si="3"/>
        <v>7.1428571428571439E-4</v>
      </c>
      <c r="E28">
        <f>COUNTIF(tables_377100!C:C,input_377100!A28)-COUNTIF(Q:Q,A28)</f>
        <v>20</v>
      </c>
      <c r="F28" s="43">
        <f t="shared" si="8"/>
        <v>3.5714285714285717E-5</v>
      </c>
      <c r="G28">
        <f t="shared" si="4"/>
        <v>5200.0000000000009</v>
      </c>
      <c r="H28">
        <f t="shared" si="5"/>
        <v>260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5.7142857142857151E-3</v>
      </c>
      <c r="C29" s="87">
        <f t="shared" si="2"/>
        <v>0</v>
      </c>
      <c r="D29" s="75">
        <f t="shared" si="3"/>
        <v>5.7142857142857151E-3</v>
      </c>
      <c r="E29">
        <f>COUNTIF(tables_377100!C:C,input_377100!A29)-COUNTIF(Q:Q,A29)</f>
        <v>8</v>
      </c>
      <c r="F29" s="43">
        <f t="shared" si="8"/>
        <v>7.1428571428571439E-4</v>
      </c>
      <c r="G29">
        <f t="shared" si="4"/>
        <v>41600.000000000007</v>
      </c>
      <c r="H29">
        <f t="shared" si="5"/>
        <v>5200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COUNTIF(tables_377100!C:C,input_377100!A30)-COUNTIF(Q:Q,A30)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COUNTIF(tables_377100!C:C,input_377100!A31)-COUNTIF(Q:Q,A31)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COUNTIF(tables_377100!C:C,input_377100!A32)-COUNTIF(Q:Q,A32)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0.13949999999999999</v>
      </c>
      <c r="C33" s="87">
        <f t="shared" si="2"/>
        <v>0</v>
      </c>
      <c r="D33" s="75">
        <f t="shared" si="3"/>
        <v>0.13949999999999999</v>
      </c>
      <c r="E33">
        <f>COUNTIF(tables_377100!C:C,input_377100!A33)-COUNTIF(Q:Q,A33)</f>
        <v>5</v>
      </c>
      <c r="F33" s="43">
        <f>IFERROR(B33/E33,0)</f>
        <v>2.7899999999999998E-2</v>
      </c>
      <c r="G33">
        <f t="shared" si="4"/>
        <v>1015559.9999999999</v>
      </c>
      <c r="H33">
        <f t="shared" si="5"/>
        <v>203112</v>
      </c>
      <c r="I33">
        <f t="shared" si="6"/>
        <v>0</v>
      </c>
      <c r="J33">
        <f t="shared" si="7"/>
        <v>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COUNTIF(tables_377100!C:C,input_377100!A34)-COUNTIF(Q:Q,A34)</f>
        <v>12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0.31805999999999995</v>
      </c>
      <c r="C35" s="87">
        <f t="shared" si="2"/>
        <v>0</v>
      </c>
      <c r="D35" s="75">
        <f t="shared" si="3"/>
        <v>0.31805999999999995</v>
      </c>
      <c r="E35">
        <f>COUNTIF(tables_377100!C:C,input_377100!A35)-COUNTIF(Q:Q,A35)</f>
        <v>12</v>
      </c>
      <c r="F35" s="43">
        <f t="shared" si="9"/>
        <v>2.6504999999999997E-2</v>
      </c>
      <c r="G35">
        <f t="shared" si="4"/>
        <v>2315476.7999999998</v>
      </c>
      <c r="H35">
        <f t="shared" si="5"/>
        <v>192956.4</v>
      </c>
      <c r="I35">
        <f t="shared" si="6"/>
        <v>0.39999999999417923</v>
      </c>
      <c r="J35">
        <f t="shared" si="7"/>
        <v>2.5000000000363798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1.6740000000000001E-2</v>
      </c>
      <c r="C36" s="87">
        <f t="shared" si="2"/>
        <v>0</v>
      </c>
      <c r="D36" s="75">
        <f t="shared" si="3"/>
        <v>1.6740000000000001E-2</v>
      </c>
      <c r="E36">
        <f>COUNTIF(tables_377100!C:C,input_377100!A36)-COUNTIF(Q:Q,A36)</f>
        <v>12</v>
      </c>
      <c r="F36" s="43">
        <f t="shared" si="9"/>
        <v>1.3950000000000002E-3</v>
      </c>
      <c r="G36">
        <f t="shared" si="4"/>
        <v>121867.20000000001</v>
      </c>
      <c r="H36">
        <f t="shared" si="5"/>
        <v>10155.6</v>
      </c>
      <c r="I36">
        <f t="shared" si="6"/>
        <v>0.6000000000003638</v>
      </c>
      <c r="J36">
        <f t="shared" si="7"/>
        <v>1.6666666666656562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5.3207727272727268E-2</v>
      </c>
      <c r="C37" s="87">
        <f t="shared" si="2"/>
        <v>0</v>
      </c>
      <c r="D37" s="75">
        <f t="shared" si="3"/>
        <v>5.3207727272727268E-2</v>
      </c>
      <c r="E37">
        <f>COUNTIF(tables_377100!C:C,input_377100!A37)-COUNTIF(Q:Q,A37)</f>
        <v>2</v>
      </c>
      <c r="F37" s="43">
        <f t="shared" si="9"/>
        <v>2.6603863636363634E-2</v>
      </c>
      <c r="G37">
        <f t="shared" si="4"/>
        <v>387352.25454545452</v>
      </c>
      <c r="H37">
        <f t="shared" si="5"/>
        <v>193676.12727</v>
      </c>
      <c r="I37">
        <f t="shared" si="6"/>
        <v>0.12726999999722466</v>
      </c>
      <c r="J37">
        <f t="shared" si="7"/>
        <v>7.8573112282690873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2.5922727272727243E-3</v>
      </c>
      <c r="C38" s="87">
        <f t="shared" si="2"/>
        <v>0</v>
      </c>
      <c r="D38" s="75">
        <f t="shared" si="3"/>
        <v>2.5922727272727243E-3</v>
      </c>
      <c r="E38">
        <f>COUNTIF(tables_377100!C:C,input_377100!A38)-COUNTIF(Q:Q,A38)</f>
        <v>2</v>
      </c>
      <c r="F38" s="43">
        <f t="shared" si="9"/>
        <v>1.2961363636363622E-3</v>
      </c>
      <c r="G38">
        <f t="shared" si="4"/>
        <v>18871.745454545435</v>
      </c>
      <c r="H38">
        <f t="shared" si="5"/>
        <v>9435.8727299999991</v>
      </c>
      <c r="I38">
        <f t="shared" si="6"/>
        <v>0.87272999999913736</v>
      </c>
      <c r="J38">
        <f t="shared" si="7"/>
        <v>1.1458297526164889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7">
        <f t="shared" si="2"/>
        <v>0</v>
      </c>
      <c r="D39" s="75">
        <f t="shared" si="3"/>
        <v>0</v>
      </c>
      <c r="E39">
        <f>COUNTIF(tables_377100!C:C,input_377100!A39)-COUNTIF(Q:Q,A39)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2.6504999999999997E-2</v>
      </c>
      <c r="C40" s="87">
        <f t="shared" si="2"/>
        <v>0</v>
      </c>
      <c r="D40" s="75">
        <f t="shared" si="3"/>
        <v>2.6504999999999997E-2</v>
      </c>
      <c r="E40">
        <f>COUNTIF(tables_377100!C:C,input_377100!A40)-COUNTIF(Q:Q,A40)</f>
        <v>1</v>
      </c>
      <c r="F40" s="43">
        <f t="shared" si="9"/>
        <v>2.6504999999999997E-2</v>
      </c>
      <c r="G40">
        <f t="shared" si="4"/>
        <v>192956.4</v>
      </c>
      <c r="H40">
        <f t="shared" si="5"/>
        <v>192956.4</v>
      </c>
      <c r="I40">
        <f t="shared" si="6"/>
        <v>0.39999999999417923</v>
      </c>
      <c r="J40">
        <f t="shared" si="7"/>
        <v>2.5000000000363798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1.395E-3</v>
      </c>
      <c r="C41" s="87">
        <f t="shared" si="2"/>
        <v>0</v>
      </c>
      <c r="D41" s="75">
        <f t="shared" si="3"/>
        <v>1.395E-3</v>
      </c>
      <c r="E41">
        <f>COUNTIF(tables_377100!C:C,input_377100!A41)-COUNTIF(Q:Q,A41)</f>
        <v>1</v>
      </c>
      <c r="F41" s="43">
        <f t="shared" si="9"/>
        <v>1.395E-3</v>
      </c>
      <c r="G41">
        <f t="shared" si="4"/>
        <v>10155.6</v>
      </c>
      <c r="H41">
        <f t="shared" si="5"/>
        <v>10155.6</v>
      </c>
      <c r="I41">
        <f t="shared" si="6"/>
        <v>0.6000000000003638</v>
      </c>
      <c r="J41">
        <f t="shared" si="7"/>
        <v>1.6666666666656562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2.0727272727272726E-2</v>
      </c>
      <c r="C42" s="87">
        <f t="shared" si="2"/>
        <v>0</v>
      </c>
      <c r="D42" s="75">
        <f t="shared" si="3"/>
        <v>2.0727272727272726E-2</v>
      </c>
      <c r="E42">
        <f>COUNTIF(tables_377100!C:C,input_377100!A42)-COUNTIF(Q:Q,A42)</f>
        <v>8</v>
      </c>
      <c r="F42" s="43">
        <f>IFERROR(B42/E42,0)</f>
        <v>2.5909090909090908E-3</v>
      </c>
      <c r="G42">
        <f t="shared" si="4"/>
        <v>150894.54545454544</v>
      </c>
      <c r="H42">
        <f t="shared" si="5"/>
        <v>18861.818179999998</v>
      </c>
      <c r="I42">
        <f t="shared" si="6"/>
        <v>0.8181799999983923</v>
      </c>
      <c r="J42">
        <f t="shared" si="7"/>
        <v>1.2222249382800423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1.090909090909091E-3</v>
      </c>
      <c r="C43" s="87">
        <f t="shared" si="2"/>
        <v>0</v>
      </c>
      <c r="D43" s="75">
        <f t="shared" si="3"/>
        <v>1.090909090909091E-3</v>
      </c>
      <c r="E43">
        <f>COUNTIF(tables_377100!C:C,input_377100!A43)-COUNTIF(Q:Q,A43)</f>
        <v>8</v>
      </c>
      <c r="F43" s="43">
        <f t="shared" ref="F43:F46" si="10">IFERROR(B43/E43,0)</f>
        <v>1.3636363636363637E-4</v>
      </c>
      <c r="G43">
        <f t="shared" si="4"/>
        <v>7941.818181818182</v>
      </c>
      <c r="H43">
        <f t="shared" si="5"/>
        <v>992.72726999999998</v>
      </c>
      <c r="I43">
        <f t="shared" si="6"/>
        <v>0.72726999999997588</v>
      </c>
      <c r="J43">
        <f t="shared" si="7"/>
        <v>1.3750051562693817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8.1818181818181807E-3</v>
      </c>
      <c r="C44" s="87">
        <f t="shared" si="2"/>
        <v>0</v>
      </c>
      <c r="D44" s="75">
        <f t="shared" si="3"/>
        <v>8.1818181818181807E-3</v>
      </c>
      <c r="E44">
        <f>COUNTIF(tables_377100!C:C,input_377100!A44)-COUNTIF(Q:Q,A44)</f>
        <v>3</v>
      </c>
      <c r="F44" s="43">
        <f t="shared" si="10"/>
        <v>2.7272727272727271E-3</v>
      </c>
      <c r="G44">
        <f t="shared" si="4"/>
        <v>59563.636363636353</v>
      </c>
      <c r="H44">
        <f t="shared" si="5"/>
        <v>19854.545450000001</v>
      </c>
      <c r="I44">
        <f t="shared" si="6"/>
        <v>0.54545000000143773</v>
      </c>
      <c r="J44">
        <f t="shared" si="7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COUNTIF(tables_377100!C:C,input_377100!A45)-COUNTIF(Q:Q,A45)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0.02</v>
      </c>
      <c r="C46" s="87">
        <f t="shared" si="2"/>
        <v>0</v>
      </c>
      <c r="D46" s="75">
        <f t="shared" si="3"/>
        <v>0.02</v>
      </c>
      <c r="E46">
        <f>COUNTIF(tables_377100!C:C,input_377100!A46)-COUNTIF(Q:Q,A46)</f>
        <v>1</v>
      </c>
      <c r="F46" s="43">
        <f t="shared" si="10"/>
        <v>0.02</v>
      </c>
      <c r="G46">
        <f t="shared" si="4"/>
        <v>145600</v>
      </c>
      <c r="H46">
        <f t="shared" si="5"/>
        <v>145600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7280000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SUMIF(tables_377100!C:C,input_377100!A55,tables_377100!O:O)</f>
        <v>0</v>
      </c>
      <c r="C55" s="54">
        <f t="shared" ref="C55:C61" ca="1" si="11">B55/B$62</f>
        <v>0</v>
      </c>
      <c r="E55">
        <v>3</v>
      </c>
      <c r="F55">
        <f ca="1">SUMIF(tables_377100!J:J,input_377100!E55,tables_377100!O:O)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SUMIF(tables_377100!C:C,input_377100!A56,tables_377100!O:O)</f>
        <v>1583232.0000000012</v>
      </c>
      <c r="C56" s="54">
        <f t="shared" ca="1" si="11"/>
        <v>0.89419844568949947</v>
      </c>
      <c r="E56">
        <v>4</v>
      </c>
      <c r="F56">
        <f ca="1">SUMIF(tables_377100!J:J,input_377100!E56,tables_377100!O:O)</f>
        <v>6770400.0000099987</v>
      </c>
      <c r="G56">
        <f ca="1">F56/A51</f>
        <v>0.93000000000137339</v>
      </c>
    </row>
    <row r="57" spans="1:7" x14ac:dyDescent="0.15">
      <c r="A57" s="33" t="s">
        <v>109</v>
      </c>
      <c r="B57">
        <f ca="1">SUMIF(tables_377100!C:C,input_377100!A57,tables_377100!O:O)</f>
        <v>98800</v>
      </c>
      <c r="C57" s="54">
        <f t="shared" ca="1" si="11"/>
        <v>5.5801554310500594E-2</v>
      </c>
      <c r="E57">
        <v>5</v>
      </c>
      <c r="F57">
        <f ca="1">SUMIF(tables_377100!J:J,input_377100!E57,tables_377100!O:O)</f>
        <v>509599.99994000007</v>
      </c>
      <c r="G57">
        <f ca="1">F57/A51</f>
        <v>6.9999999991758252E-2</v>
      </c>
    </row>
    <row r="58" spans="1:7" x14ac:dyDescent="0.15">
      <c r="A58" s="33" t="s">
        <v>113</v>
      </c>
      <c r="B58">
        <f>SUMIF(tables_377100!C:C,input_377100!A58,tables_377100!O:O)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SUMIF(tables_377100!C:C,input_377100!A59,tables_377100!O:O)</f>
        <v>83327.999999999942</v>
      </c>
      <c r="C59" s="54">
        <f t="shared" ca="1" si="11"/>
        <v>4.7063076088920956E-2</v>
      </c>
      <c r="E59" t="s">
        <v>55</v>
      </c>
      <c r="F59" s="55"/>
    </row>
    <row r="60" spans="1:7" x14ac:dyDescent="0.15">
      <c r="A60" s="33" t="s">
        <v>110</v>
      </c>
      <c r="B60">
        <f ca="1">SUMIF(tables_377100!C:C,input_377100!A60,tables_377100!O:O)</f>
        <v>5200</v>
      </c>
      <c r="C60" s="54">
        <f t="shared" ca="1" si="11"/>
        <v>2.9369239110789789E-3</v>
      </c>
      <c r="E60" t="s">
        <v>210</v>
      </c>
      <c r="F60" s="55">
        <f ca="1">SUMIF(tables_377100!I:I,input_377100!E60,tables_377100!P:P)</f>
        <v>0.2253461538477014</v>
      </c>
    </row>
    <row r="61" spans="1:7" x14ac:dyDescent="0.15">
      <c r="A61" s="33" t="s">
        <v>111</v>
      </c>
      <c r="B61">
        <f>SUMIF(tables_377100!C:C,input_377100!A61,tables_377100!O:O)</f>
        <v>0</v>
      </c>
      <c r="C61" s="54">
        <f t="shared" ca="1" si="11"/>
        <v>0</v>
      </c>
      <c r="E61" t="s">
        <v>211</v>
      </c>
      <c r="F61" s="55">
        <f ca="1">SUMIF(tables_377100!I:I,input_377100!E61,tables_377100!P:P)</f>
        <v>0.22534615384770162</v>
      </c>
    </row>
    <row r="62" spans="1:7" x14ac:dyDescent="0.15">
      <c r="A62" s="39" t="s">
        <v>60</v>
      </c>
      <c r="B62">
        <f ca="1">SUM(B55:B61)</f>
        <v>1770560.0000000012</v>
      </c>
      <c r="C62" s="55">
        <f ca="1">SUM(C55:C61)</f>
        <v>1</v>
      </c>
      <c r="E62" t="s">
        <v>212</v>
      </c>
      <c r="F62" s="55">
        <f ca="1">SUMIF(tables_377100!I:I,input_377100!E62,tables_377100!P:P)</f>
        <v>0.47930769231098452</v>
      </c>
    </row>
    <row r="63" spans="1:7" x14ac:dyDescent="0.15">
      <c r="E63" t="s">
        <v>213</v>
      </c>
      <c r="F63" s="55">
        <f ca="1">SUMIF(tables_377100!I:I,input_377100!E63,tables_377100!P:P)</f>
        <v>4.9999999993475285E-2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filterMode="1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13" activePane="bottomLeft" state="frozen"/>
      <selection activeCell="Q291" sqref="Q291"/>
      <selection pane="bottomLeft" activeCell="N285" sqref="N2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input_377100!A$2</f>
        <v>377100</v>
      </c>
      <c r="B2" s="6">
        <v>126</v>
      </c>
      <c r="C2" s="7" t="str">
        <f t="shared" ref="C2:C65" si="0">D2&amp;J2&amp;E2&amp;F2&amp;G2</f>
        <v>PremiumW3color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340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IFERROR(VLOOKUP(B2,input_377100!L:R,7,FALSE),VLOOKUP(tables_377100!C2,input_377100!A:H,8,FALSE))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input_377100!A$2</f>
        <v>377100</v>
      </c>
      <c r="B3" s="6">
        <v>127</v>
      </c>
      <c r="C3" s="7" t="str">
        <f t="shared" si="0"/>
        <v>PremiumW4color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340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IFERROR(VLOOKUP(B3,input_377100!L:R,7,FALSE),VLOOKUP(tables_377100!C3,input_377100!A:H,8,FALSE))</f>
        <v>203112</v>
      </c>
      <c r="P3" s="46">
        <f t="shared" ca="1" si="2"/>
        <v>2.7900000000191615E-2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input_377100!A$2</f>
        <v>377100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IFERROR(VLOOKUP(B4,input_377100!L:R,7,FALSE),VLOOKUP(tables_377100!C4,input_377100!A:H,8,FALSE))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input_377100!A$2</f>
        <v>377100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IFERROR(VLOOKUP(B5,input_377100!L:R,7,FALSE),VLOOKUP(tables_377100!C5,input_377100!A:H,8,FALSE))</f>
        <v>41664</v>
      </c>
      <c r="P5" s="46">
        <f t="shared" ca="1" si="2"/>
        <v>5.723076923116229E-3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input_377100!A$2</f>
        <v>377100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IFERROR(VLOOKUP(B6,input_377100!L:R,7,FALSE),VLOOKUP(tables_377100!C6,input_377100!A:H,8,FALSE))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input_377100!A$2</f>
        <v>377100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IFERROR(VLOOKUP(B7,input_377100!L:R,7,FALSE),VLOOKUP(tables_377100!C7,input_377100!A:H,8,FALSE))</f>
        <v>41664</v>
      </c>
      <c r="P7" s="46">
        <f t="shared" ca="1" si="2"/>
        <v>5.723076923116229E-3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input_377100!A$2</f>
        <v>377100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IFERROR(VLOOKUP(B8,input_377100!L:R,7,FALSE),VLOOKUP(tables_377100!C8,input_377100!A:H,8,FALSE))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input_377100!A$2</f>
        <v>377100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IFERROR(VLOOKUP(B9,input_377100!L:R,7,FALSE),VLOOKUP(tables_377100!C9,input_377100!A:H,8,FALSE))</f>
        <v>41664</v>
      </c>
      <c r="P9" s="46">
        <f t="shared" ca="1" si="2"/>
        <v>5.723076923116229E-3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input_377100!A$2</f>
        <v>377100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340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IFERROR(VLOOKUP(B10,input_377100!L:R,7,FALSE),VLOOKUP(tables_377100!C10,input_377100!A:H,8,FALSE))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input_377100!A$2</f>
        <v>377100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340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IFERROR(VLOOKUP(B11,input_377100!L:R,7,FALSE),VLOOKUP(tables_377100!C11,input_377100!A:H,8,FALSE))</f>
        <v>203112</v>
      </c>
      <c r="P11" s="46">
        <f t="shared" ca="1" si="2"/>
        <v>2.7900000000191615E-2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input_377100!A$2</f>
        <v>377100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IFERROR(VLOOKUP(B12,input_377100!L:R,7,FALSE),VLOOKUP(tables_377100!C12,input_377100!A:H,8,FALSE))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input_377100!A$2</f>
        <v>377100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IFERROR(VLOOKUP(B13,input_377100!L:R,7,FALSE),VLOOKUP(tables_377100!C13,input_377100!A:H,8,FALSE))</f>
        <v>41664</v>
      </c>
      <c r="P13" s="46">
        <f t="shared" ca="1" si="2"/>
        <v>5.723076923116229E-3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input_377100!A$2</f>
        <v>377100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IFERROR(VLOOKUP(B14,input_377100!L:R,7,FALSE),VLOOKUP(tables_377100!C14,input_377100!A:H,8,FALSE))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input_377100!A$2</f>
        <v>377100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IFERROR(VLOOKUP(B15,input_377100!L:R,7,FALSE),VLOOKUP(tables_377100!C15,input_377100!A:H,8,FALSE))</f>
        <v>41664</v>
      </c>
      <c r="P15" s="46">
        <f t="shared" ca="1" si="2"/>
        <v>5.723076923116229E-3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input_377100!A$2</f>
        <v>377100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IFERROR(VLOOKUP(B16,input_377100!L:R,7,FALSE),VLOOKUP(tables_377100!C16,input_377100!A:H,8,FALSE))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input_377100!A$2</f>
        <v>377100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IFERROR(VLOOKUP(B17,input_377100!L:R,7,FALSE),VLOOKUP(tables_377100!C17,input_377100!A:H,8,FALSE))</f>
        <v>41664</v>
      </c>
      <c r="P17" s="46">
        <f t="shared" ca="1" si="2"/>
        <v>5.723076923116229E-3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input_377100!A$2</f>
        <v>377100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340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IFERROR(VLOOKUP(B18,input_377100!L:R,7,FALSE),VLOOKUP(tables_377100!C18,input_377100!A:H,8,FALSE))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input_377100!A$2</f>
        <v>377100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340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IFERROR(VLOOKUP(B19,input_377100!L:R,7,FALSE),VLOOKUP(tables_377100!C19,input_377100!A:H,8,FALSE))</f>
        <v>203112</v>
      </c>
      <c r="P19" s="46">
        <f t="shared" ca="1" si="2"/>
        <v>2.7900000000191615E-2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input_377100!A$2</f>
        <v>377100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IFERROR(VLOOKUP(B20,input_377100!L:R,7,FALSE),VLOOKUP(tables_377100!C20,input_377100!A:H,8,FALSE))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input_377100!A$2</f>
        <v>377100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IFERROR(VLOOKUP(B21,input_377100!L:R,7,FALSE),VLOOKUP(tables_377100!C21,input_377100!A:H,8,FALSE))</f>
        <v>41664</v>
      </c>
      <c r="P21" s="46">
        <f t="shared" ca="1" si="2"/>
        <v>5.723076923116229E-3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input_377100!A$2</f>
        <v>377100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IFERROR(VLOOKUP(B22,input_377100!L:R,7,FALSE),VLOOKUP(tables_377100!C22,input_377100!A:H,8,FALSE))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input_377100!A$2</f>
        <v>377100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IFERROR(VLOOKUP(B23,input_377100!L:R,7,FALSE),VLOOKUP(tables_377100!C23,input_377100!A:H,8,FALSE))</f>
        <v>41664</v>
      </c>
      <c r="P23" s="46">
        <f t="shared" ca="1" si="2"/>
        <v>5.723076923116229E-3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input_377100!A$2</f>
        <v>377100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IFERROR(VLOOKUP(B24,input_377100!L:R,7,FALSE),VLOOKUP(tables_377100!C24,input_377100!A:H,8,FALSE))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input_377100!A$2</f>
        <v>377100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IFERROR(VLOOKUP(B25,input_377100!L:R,7,FALSE),VLOOKUP(tables_377100!C25,input_377100!A:H,8,FALSE))</f>
        <v>41664</v>
      </c>
      <c r="P25" s="46">
        <f t="shared" ca="1" si="2"/>
        <v>5.723076923116229E-3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input_377100!A$2</f>
        <v>377100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340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IFERROR(VLOOKUP(B26,input_377100!L:R,7,FALSE),VLOOKUP(tables_377100!C26,input_377100!A:H,8,FALSE))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input_377100!A$2</f>
        <v>377100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340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IFERROR(VLOOKUP(B27,input_377100!L:R,7,FALSE),VLOOKUP(tables_377100!C27,input_377100!A:H,8,FALSE))</f>
        <v>203112</v>
      </c>
      <c r="P27" s="46">
        <f t="shared" ca="1" si="2"/>
        <v>2.7900000000191615E-2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input_377100!A$2</f>
        <v>377100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IFERROR(VLOOKUP(B28,input_377100!L:R,7,FALSE),VLOOKUP(tables_377100!C28,input_377100!A:H,8,FALSE))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input_377100!A$2</f>
        <v>377100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IFERROR(VLOOKUP(B29,input_377100!L:R,7,FALSE),VLOOKUP(tables_377100!C29,input_377100!A:H,8,FALSE))</f>
        <v>41664</v>
      </c>
      <c r="P29" s="46">
        <f t="shared" ca="1" si="2"/>
        <v>5.723076923116229E-3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input_377100!A$2</f>
        <v>377100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IFERROR(VLOOKUP(B30,input_377100!L:R,7,FALSE),VLOOKUP(tables_377100!C30,input_377100!A:H,8,FALSE))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input_377100!A$2</f>
        <v>377100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IFERROR(VLOOKUP(B31,input_377100!L:R,7,FALSE),VLOOKUP(tables_377100!C31,input_377100!A:H,8,FALSE))</f>
        <v>41664</v>
      </c>
      <c r="P31" s="46">
        <f t="shared" ca="1" si="2"/>
        <v>5.723076923116229E-3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input_377100!A$2</f>
        <v>377100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IFERROR(VLOOKUP(B32,input_377100!L:R,7,FALSE),VLOOKUP(tables_377100!C32,input_377100!A:H,8,FALSE))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input_377100!A$2</f>
        <v>377100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IFERROR(VLOOKUP(B33,input_377100!L:R,7,FALSE),VLOOKUP(tables_377100!C33,input_377100!A:H,8,FALSE))</f>
        <v>41664</v>
      </c>
      <c r="P33" s="46">
        <f t="shared" ca="1" si="2"/>
        <v>5.723076923116229E-3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input_377100!A$2</f>
        <v>377100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340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IFERROR(VLOOKUP(B34,input_377100!L:R,7,FALSE),VLOOKUP(tables_377100!C34,input_377100!A:H,8,FALSE))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input_377100!A$2</f>
        <v>377100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340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IFERROR(VLOOKUP(B35,input_377100!L:R,7,FALSE),VLOOKUP(tables_377100!C35,input_377100!A:H,8,FALSE))</f>
        <v>203112</v>
      </c>
      <c r="P35" s="46">
        <f t="shared" ca="1" si="2"/>
        <v>2.7900000000191615E-2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input_377100!A$2</f>
        <v>377100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IFERROR(VLOOKUP(B36,input_377100!L:R,7,FALSE),VLOOKUP(tables_377100!C36,input_377100!A:H,8,FALSE))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input_377100!A$2</f>
        <v>377100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IFERROR(VLOOKUP(B37,input_377100!L:R,7,FALSE),VLOOKUP(tables_377100!C37,input_377100!A:H,8,FALSE))</f>
        <v>41664</v>
      </c>
      <c r="P37" s="46">
        <f t="shared" ca="1" si="2"/>
        <v>5.723076923116229E-3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input_377100!A$2</f>
        <v>377100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IFERROR(VLOOKUP(B38,input_377100!L:R,7,FALSE),VLOOKUP(tables_377100!C38,input_377100!A:H,8,FALSE))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input_377100!A$2</f>
        <v>377100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IFERROR(VLOOKUP(B39,input_377100!L:R,7,FALSE),VLOOKUP(tables_377100!C39,input_377100!A:H,8,FALSE))</f>
        <v>41664</v>
      </c>
      <c r="P39" s="46">
        <f t="shared" ca="1" si="2"/>
        <v>5.723076923116229E-3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input_377100!A$2</f>
        <v>377100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IFERROR(VLOOKUP(B40,input_377100!L:R,7,FALSE),VLOOKUP(tables_377100!C40,input_377100!A:H,8,FALSE))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input_377100!A$2</f>
        <v>377100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IFERROR(VLOOKUP(B41,input_377100!L:R,7,FALSE),VLOOKUP(tables_377100!C41,input_377100!A:H,8,FALSE))</f>
        <v>41664</v>
      </c>
      <c r="P41" s="46">
        <f t="shared" ca="1" si="2"/>
        <v>5.723076923116229E-3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input_377100!A$2</f>
        <v>377100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340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IFERROR(VLOOKUP(B42,input_377100!L:R,7,FALSE),VLOOKUP(tables_377100!C42,input_377100!A:H,8,FALSE))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input_377100!A$2</f>
        <v>377100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340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IFERROR(VLOOKUP(B43,input_377100!L:R,7,FALSE),VLOOKUP(tables_377100!C43,input_377100!A:H,8,FALSE))</f>
        <v>192956.4</v>
      </c>
      <c r="P43" s="46">
        <f t="shared" ca="1" si="2"/>
        <v>2.6505000000182036E-2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hidden="1" customHeight="1" x14ac:dyDescent="0.15">
      <c r="A44" s="2" t="str">
        <f ca="1">input_377100!A$2</f>
        <v>377100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340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IFERROR(VLOOKUP(B44,input_377100!L:R,7,FALSE),VLOOKUP(tables_377100!C44,input_377100!A:H,8,FALSE))</f>
        <v>10155.6</v>
      </c>
      <c r="P44" s="46">
        <f t="shared" ca="1" si="2"/>
        <v>1.3950000000095809E-3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input_377100!A$2</f>
        <v>377100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IFERROR(VLOOKUP(B45,input_377100!L:R,7,FALSE),VLOOKUP(tables_377100!C45,input_377100!A:H,8,FALSE))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input_377100!A$2</f>
        <v>377100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IFERROR(VLOOKUP(B46,input_377100!L:R,7,FALSE),VLOOKUP(tables_377100!C46,input_377100!A:H,8,FALSE))</f>
        <v>39580.800000000003</v>
      </c>
      <c r="P46" s="46">
        <f t="shared" ca="1" si="2"/>
        <v>5.4369230769604178E-3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hidden="1" customHeight="1" x14ac:dyDescent="0.15">
      <c r="A47" s="2" t="str">
        <f ca="1">input_377100!A$2</f>
        <v>377100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IFERROR(VLOOKUP(B47,input_377100!L:R,7,FALSE),VLOOKUP(tables_377100!C47,input_377100!A:H,8,FALSE))</f>
        <v>2083.1999999999998</v>
      </c>
      <c r="P47" s="46">
        <f t="shared" ca="1" si="2"/>
        <v>2.8615384615581142E-4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input_377100!A$2</f>
        <v>377100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IFERROR(VLOOKUP(B48,input_377100!L:R,7,FALSE),VLOOKUP(tables_377100!C48,input_377100!A:H,8,FALSE))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input_377100!A$2</f>
        <v>377100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IFERROR(VLOOKUP(B49,input_377100!L:R,7,FALSE),VLOOKUP(tables_377100!C49,input_377100!A:H,8,FALSE))</f>
        <v>39580.800000000003</v>
      </c>
      <c r="P49" s="46">
        <f t="shared" ca="1" si="2"/>
        <v>5.4369230769604178E-3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hidden="1" customHeight="1" x14ac:dyDescent="0.15">
      <c r="A50" s="2" t="str">
        <f ca="1">input_377100!A$2</f>
        <v>377100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IFERROR(VLOOKUP(B50,input_377100!L:R,7,FALSE),VLOOKUP(tables_377100!C50,input_377100!A:H,8,FALSE))</f>
        <v>2083.1999999999998</v>
      </c>
      <c r="P50" s="46">
        <f t="shared" ca="1" si="2"/>
        <v>2.8615384615581142E-4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input_377100!A$2</f>
        <v>377100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IFERROR(VLOOKUP(B51,input_377100!L:R,7,FALSE),VLOOKUP(tables_377100!C51,input_377100!A:H,8,FALSE))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input_377100!A$2</f>
        <v>377100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IFERROR(VLOOKUP(B52,input_377100!L:R,7,FALSE),VLOOKUP(tables_377100!C52,input_377100!A:H,8,FALSE))</f>
        <v>39580.800000000003</v>
      </c>
      <c r="P52" s="46">
        <f t="shared" ca="1" si="2"/>
        <v>5.4369230769604178E-3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hidden="1" customHeight="1" x14ac:dyDescent="0.15">
      <c r="A53" s="2" t="str">
        <f ca="1">input_377100!A$2</f>
        <v>377100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IFERROR(VLOOKUP(B53,input_377100!L:R,7,FALSE),VLOOKUP(tables_377100!C53,input_377100!A:H,8,FALSE))</f>
        <v>2083.1999999999998</v>
      </c>
      <c r="P53" s="46">
        <f t="shared" ca="1" si="2"/>
        <v>2.8615384615581142E-4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input_377100!A$2</f>
        <v>377100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340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IFERROR(VLOOKUP(B54,input_377100!L:R,7,FALSE),VLOOKUP(tables_377100!C54,input_377100!A:H,8,FALSE))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input_377100!A$2</f>
        <v>377100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340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IFERROR(VLOOKUP(B55,input_377100!L:R,7,FALSE),VLOOKUP(tables_377100!C55,input_377100!A:H,8,FALSE))</f>
        <v>192956.4</v>
      </c>
      <c r="P55" s="46">
        <f t="shared" ca="1" si="2"/>
        <v>2.6505000000182036E-2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hidden="1" customHeight="1" x14ac:dyDescent="0.15">
      <c r="A56" s="2" t="str">
        <f ca="1">input_377100!A$2</f>
        <v>377100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340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IFERROR(VLOOKUP(B56,input_377100!L:R,7,FALSE),VLOOKUP(tables_377100!C56,input_377100!A:H,8,FALSE))</f>
        <v>10155.6</v>
      </c>
      <c r="P56" s="46">
        <f t="shared" ca="1" si="2"/>
        <v>1.3950000000095809E-3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input_377100!A$2</f>
        <v>377100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IFERROR(VLOOKUP(B57,input_377100!L:R,7,FALSE),VLOOKUP(tables_377100!C57,input_377100!A:H,8,FALSE))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input_377100!A$2</f>
        <v>377100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IFERROR(VLOOKUP(B58,input_377100!L:R,7,FALSE),VLOOKUP(tables_377100!C58,input_377100!A:H,8,FALSE))</f>
        <v>39580.800000000003</v>
      </c>
      <c r="P58" s="46">
        <f t="shared" ca="1" si="2"/>
        <v>5.4369230769604178E-3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hidden="1" customHeight="1" x14ac:dyDescent="0.15">
      <c r="A59" s="2" t="str">
        <f ca="1">input_377100!A$2</f>
        <v>377100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IFERROR(VLOOKUP(B59,input_377100!L:R,7,FALSE),VLOOKUP(tables_377100!C59,input_377100!A:H,8,FALSE))</f>
        <v>2083.1999999999998</v>
      </c>
      <c r="P59" s="46">
        <f t="shared" ca="1" si="2"/>
        <v>2.8615384615581142E-4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input_377100!A$2</f>
        <v>377100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IFERROR(VLOOKUP(B60,input_377100!L:R,7,FALSE),VLOOKUP(tables_377100!C60,input_377100!A:H,8,FALSE))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input_377100!A$2</f>
        <v>377100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IFERROR(VLOOKUP(B61,input_377100!L:R,7,FALSE),VLOOKUP(tables_377100!C61,input_377100!A:H,8,FALSE))</f>
        <v>39580.800000000003</v>
      </c>
      <c r="P61" s="46">
        <f t="shared" ca="1" si="2"/>
        <v>5.4369230769604178E-3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hidden="1" customHeight="1" x14ac:dyDescent="0.15">
      <c r="A62" s="2" t="str">
        <f ca="1">input_377100!A$2</f>
        <v>377100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IFERROR(VLOOKUP(B62,input_377100!L:R,7,FALSE),VLOOKUP(tables_377100!C62,input_377100!A:H,8,FALSE))</f>
        <v>2083.1999999999998</v>
      </c>
      <c r="P62" s="46">
        <f t="shared" ca="1" si="2"/>
        <v>2.8615384615581142E-4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input_377100!A$2</f>
        <v>377100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IFERROR(VLOOKUP(B63,input_377100!L:R,7,FALSE),VLOOKUP(tables_377100!C63,input_377100!A:H,8,FALSE))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input_377100!A$2</f>
        <v>377100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IFERROR(VLOOKUP(B64,input_377100!L:R,7,FALSE),VLOOKUP(tables_377100!C64,input_377100!A:H,8,FALSE))</f>
        <v>39580.800000000003</v>
      </c>
      <c r="P64" s="46">
        <f t="shared" ca="1" si="2"/>
        <v>5.4369230769604178E-3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hidden="1" customHeight="1" x14ac:dyDescent="0.15">
      <c r="A65" s="2" t="str">
        <f ca="1">input_377100!A$2</f>
        <v>377100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IFERROR(VLOOKUP(B65,input_377100!L:R,7,FALSE),VLOOKUP(tables_377100!C65,input_377100!A:H,8,FALSE))</f>
        <v>2083.1999999999998</v>
      </c>
      <c r="P65" s="46">
        <f t="shared" ca="1" si="2"/>
        <v>2.8615384615581142E-4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input_377100!A$2</f>
        <v>377100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340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IFERROR(VLOOKUP(B66,input_377100!L:R,7,FALSE),VLOOKUP(tables_377100!C66,input_377100!A:H,8,FALSE))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input_377100!A$2</f>
        <v>377100</v>
      </c>
      <c r="B67" s="6">
        <v>191</v>
      </c>
      <c r="C67" s="7" t="str">
        <f t="shared" si="3"/>
        <v>Premium4color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340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IFERROR(VLOOKUP(B67,input_377100!L:R,7,FALSE),VLOOKUP(tables_377100!C67,input_377100!A:H,8,FALSE))</f>
        <v>192956.4</v>
      </c>
      <c r="P67" s="46">
        <f t="shared" ca="1" si="5"/>
        <v>2.6505000000182036E-2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hidden="1" customHeight="1" x14ac:dyDescent="0.15">
      <c r="A68" s="2" t="str">
        <f ca="1">input_377100!A$2</f>
        <v>377100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340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IFERROR(VLOOKUP(B68,input_377100!L:R,7,FALSE),VLOOKUP(tables_377100!C68,input_377100!A:H,8,FALSE))</f>
        <v>10155.6</v>
      </c>
      <c r="P68" s="46">
        <f t="shared" ca="1" si="5"/>
        <v>1.3950000000095809E-3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input_377100!A$2</f>
        <v>377100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IFERROR(VLOOKUP(B69,input_377100!L:R,7,FALSE),VLOOKUP(tables_377100!C69,input_377100!A:H,8,FALSE))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input_377100!A$2</f>
        <v>377100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IFERROR(VLOOKUP(B70,input_377100!L:R,7,FALSE),VLOOKUP(tables_377100!C70,input_377100!A:H,8,FALSE))</f>
        <v>39580.800000000003</v>
      </c>
      <c r="P70" s="46">
        <f t="shared" ca="1" si="5"/>
        <v>5.4369230769604178E-3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hidden="1" customHeight="1" x14ac:dyDescent="0.15">
      <c r="A71" s="2" t="str">
        <f ca="1">input_377100!A$2</f>
        <v>377100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IFERROR(VLOOKUP(B71,input_377100!L:R,7,FALSE),VLOOKUP(tables_377100!C71,input_377100!A:H,8,FALSE))</f>
        <v>2083.1999999999998</v>
      </c>
      <c r="P71" s="46">
        <f t="shared" ca="1" si="5"/>
        <v>2.8615384615581142E-4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input_377100!A$2</f>
        <v>377100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IFERROR(VLOOKUP(B72,input_377100!L:R,7,FALSE),VLOOKUP(tables_377100!C72,input_377100!A:H,8,FALSE))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input_377100!A$2</f>
        <v>377100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IFERROR(VLOOKUP(B73,input_377100!L:R,7,FALSE),VLOOKUP(tables_377100!C73,input_377100!A:H,8,FALSE))</f>
        <v>39580.800000000003</v>
      </c>
      <c r="P73" s="46">
        <f t="shared" ca="1" si="5"/>
        <v>5.4369230769604178E-3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hidden="1" customHeight="1" x14ac:dyDescent="0.15">
      <c r="A74" s="2" t="str">
        <f ca="1">input_377100!A$2</f>
        <v>377100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IFERROR(VLOOKUP(B74,input_377100!L:R,7,FALSE),VLOOKUP(tables_377100!C74,input_377100!A:H,8,FALSE))</f>
        <v>2083.1999999999998</v>
      </c>
      <c r="P74" s="46">
        <f t="shared" ca="1" si="5"/>
        <v>2.8615384615581142E-4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input_377100!A$2</f>
        <v>377100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IFERROR(VLOOKUP(B75,input_377100!L:R,7,FALSE),VLOOKUP(tables_377100!C75,input_377100!A:H,8,FALSE))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input_377100!A$2</f>
        <v>377100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IFERROR(VLOOKUP(B76,input_377100!L:R,7,FALSE),VLOOKUP(tables_377100!C76,input_377100!A:H,8,FALSE))</f>
        <v>39580.800000000003</v>
      </c>
      <c r="P76" s="46">
        <f t="shared" ca="1" si="5"/>
        <v>5.4369230769604178E-3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hidden="1" customHeight="1" x14ac:dyDescent="0.15">
      <c r="A77" s="2" t="str">
        <f ca="1">input_377100!A$2</f>
        <v>377100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IFERROR(VLOOKUP(B77,input_377100!L:R,7,FALSE),VLOOKUP(tables_377100!C77,input_377100!A:H,8,FALSE))</f>
        <v>2083.1999999999998</v>
      </c>
      <c r="P77" s="46">
        <f t="shared" ca="1" si="5"/>
        <v>2.8615384615581142E-4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input_377100!A$2</f>
        <v>377100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340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IFERROR(VLOOKUP(B78,input_377100!L:R,7,FALSE),VLOOKUP(tables_377100!C78,input_377100!A:H,8,FALSE))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input_377100!A$2</f>
        <v>377100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340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IFERROR(VLOOKUP(B79,input_377100!L:R,7,FALSE),VLOOKUP(tables_377100!C79,input_377100!A:H,8,FALSE))</f>
        <v>192956.4</v>
      </c>
      <c r="P79" s="46">
        <f t="shared" ca="1" si="5"/>
        <v>2.6505000000182036E-2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hidden="1" customHeight="1" x14ac:dyDescent="0.15">
      <c r="A80" s="2" t="str">
        <f ca="1">input_377100!A$2</f>
        <v>377100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340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IFERROR(VLOOKUP(B80,input_377100!L:R,7,FALSE),VLOOKUP(tables_377100!C80,input_377100!A:H,8,FALSE))</f>
        <v>10155.6</v>
      </c>
      <c r="P80" s="46">
        <f t="shared" ca="1" si="5"/>
        <v>1.3950000000095809E-3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input_377100!A$2</f>
        <v>377100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IFERROR(VLOOKUP(B81,input_377100!L:R,7,FALSE),VLOOKUP(tables_377100!C81,input_377100!A:H,8,FALSE))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input_377100!A$2</f>
        <v>377100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IFERROR(VLOOKUP(B82,input_377100!L:R,7,FALSE),VLOOKUP(tables_377100!C82,input_377100!A:H,8,FALSE))</f>
        <v>39580.800000000003</v>
      </c>
      <c r="P82" s="46">
        <f t="shared" ca="1" si="5"/>
        <v>5.4369230769604178E-3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hidden="1" customHeight="1" x14ac:dyDescent="0.15">
      <c r="A83" s="2" t="str">
        <f ca="1">input_377100!A$2</f>
        <v>377100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IFERROR(VLOOKUP(B83,input_377100!L:R,7,FALSE),VLOOKUP(tables_377100!C83,input_377100!A:H,8,FALSE))</f>
        <v>2083.1999999999998</v>
      </c>
      <c r="P83" s="46">
        <f t="shared" ca="1" si="5"/>
        <v>2.8615384615581142E-4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input_377100!A$2</f>
        <v>377100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IFERROR(VLOOKUP(B84,input_377100!L:R,7,FALSE),VLOOKUP(tables_377100!C84,input_377100!A:H,8,FALSE))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input_377100!A$2</f>
        <v>377100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IFERROR(VLOOKUP(B85,input_377100!L:R,7,FALSE),VLOOKUP(tables_377100!C85,input_377100!A:H,8,FALSE))</f>
        <v>39580.800000000003</v>
      </c>
      <c r="P85" s="46">
        <f t="shared" ca="1" si="5"/>
        <v>5.4369230769604178E-3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hidden="1" customHeight="1" x14ac:dyDescent="0.15">
      <c r="A86" s="2" t="str">
        <f ca="1">input_377100!A$2</f>
        <v>377100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IFERROR(VLOOKUP(B86,input_377100!L:R,7,FALSE),VLOOKUP(tables_377100!C86,input_377100!A:H,8,FALSE))</f>
        <v>2083.1999999999998</v>
      </c>
      <c r="P86" s="46">
        <f t="shared" ca="1" si="5"/>
        <v>2.8615384615581142E-4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input_377100!A$2</f>
        <v>377100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IFERROR(VLOOKUP(B87,input_377100!L:R,7,FALSE),VLOOKUP(tables_377100!C87,input_377100!A:H,8,FALSE))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input_377100!A$2</f>
        <v>377100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IFERROR(VLOOKUP(B88,input_377100!L:R,7,FALSE),VLOOKUP(tables_377100!C88,input_377100!A:H,8,FALSE))</f>
        <v>39580.800000000003</v>
      </c>
      <c r="P88" s="46">
        <f t="shared" ca="1" si="5"/>
        <v>5.4369230769604178E-3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hidden="1" customHeight="1" x14ac:dyDescent="0.15">
      <c r="A89" s="2" t="str">
        <f ca="1">input_377100!A$2</f>
        <v>377100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IFERROR(VLOOKUP(B89,input_377100!L:R,7,FALSE),VLOOKUP(tables_377100!C89,input_377100!A:H,8,FALSE))</f>
        <v>2083.1999999999998</v>
      </c>
      <c r="P89" s="46">
        <f t="shared" ca="1" si="5"/>
        <v>2.8615384615581142E-4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input_377100!A$2</f>
        <v>377100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340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IFERROR(VLOOKUP(B90,input_377100!L:R,7,FALSE),VLOOKUP(tables_377100!C90,input_377100!A:H,8,FALSE))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input_377100!A$2</f>
        <v>377100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340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IFERROR(VLOOKUP(B91,input_377100!L:R,7,FALSE),VLOOKUP(tables_377100!C91,input_377100!A:H,8,FALSE))</f>
        <v>192956.4</v>
      </c>
      <c r="P91" s="46">
        <f t="shared" ca="1" si="5"/>
        <v>2.6505000000182036E-2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hidden="1" customHeight="1" x14ac:dyDescent="0.15">
      <c r="A92" s="2" t="str">
        <f ca="1">input_377100!A$2</f>
        <v>377100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340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IFERROR(VLOOKUP(B92,input_377100!L:R,7,FALSE),VLOOKUP(tables_377100!C92,input_377100!A:H,8,FALSE))</f>
        <v>10155.6</v>
      </c>
      <c r="P92" s="46">
        <f t="shared" ca="1" si="5"/>
        <v>1.3950000000095809E-3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input_377100!A$2</f>
        <v>377100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IFERROR(VLOOKUP(B93,input_377100!L:R,7,FALSE),VLOOKUP(tables_377100!C93,input_377100!A:H,8,FALSE))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input_377100!A$2</f>
        <v>377100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IFERROR(VLOOKUP(B94,input_377100!L:R,7,FALSE),VLOOKUP(tables_377100!C94,input_377100!A:H,8,FALSE))</f>
        <v>39580.800000000003</v>
      </c>
      <c r="P94" s="46">
        <f t="shared" ca="1" si="5"/>
        <v>5.4369230769604178E-3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hidden="1" customHeight="1" x14ac:dyDescent="0.15">
      <c r="A95" s="2" t="str">
        <f ca="1">input_377100!A$2</f>
        <v>377100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IFERROR(VLOOKUP(B95,input_377100!L:R,7,FALSE),VLOOKUP(tables_377100!C95,input_377100!A:H,8,FALSE))</f>
        <v>2083.1999999999998</v>
      </c>
      <c r="P95" s="46">
        <f t="shared" ca="1" si="5"/>
        <v>2.8615384615581142E-4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input_377100!A$2</f>
        <v>377100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IFERROR(VLOOKUP(B96,input_377100!L:R,7,FALSE),VLOOKUP(tables_377100!C96,input_377100!A:H,8,FALSE))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input_377100!A$2</f>
        <v>377100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IFERROR(VLOOKUP(B97,input_377100!L:R,7,FALSE),VLOOKUP(tables_377100!C97,input_377100!A:H,8,FALSE))</f>
        <v>39580.800000000003</v>
      </c>
      <c r="P97" s="46">
        <f t="shared" ca="1" si="5"/>
        <v>5.4369230769604178E-3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hidden="1" customHeight="1" x14ac:dyDescent="0.15">
      <c r="A98" s="2" t="str">
        <f ca="1">input_377100!A$2</f>
        <v>377100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IFERROR(VLOOKUP(B98,input_377100!L:R,7,FALSE),VLOOKUP(tables_377100!C98,input_377100!A:H,8,FALSE))</f>
        <v>2083.1999999999998</v>
      </c>
      <c r="P98" s="46">
        <f t="shared" ca="1" si="5"/>
        <v>2.8615384615581142E-4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input_377100!A$2</f>
        <v>377100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IFERROR(VLOOKUP(B99,input_377100!L:R,7,FALSE),VLOOKUP(tables_377100!C99,input_377100!A:H,8,FALSE))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input_377100!A$2</f>
        <v>377100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IFERROR(VLOOKUP(B100,input_377100!L:R,7,FALSE),VLOOKUP(tables_377100!C100,input_377100!A:H,8,FALSE))</f>
        <v>39580.800000000003</v>
      </c>
      <c r="P100" s="46">
        <f t="shared" ca="1" si="5"/>
        <v>5.4369230769604178E-3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hidden="1" customHeight="1" x14ac:dyDescent="0.15">
      <c r="A101" s="2" t="str">
        <f ca="1">input_377100!A$2</f>
        <v>377100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IFERROR(VLOOKUP(B101,input_377100!L:R,7,FALSE),VLOOKUP(tables_377100!C101,input_377100!A:H,8,FALSE))</f>
        <v>2083.1999999999998</v>
      </c>
      <c r="P101" s="46">
        <f t="shared" ca="1" si="5"/>
        <v>2.8615384615581142E-4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input_377100!A$2</f>
        <v>377100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340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IFERROR(VLOOKUP(B102,input_377100!L:R,7,FALSE),VLOOKUP(tables_377100!C102,input_377100!A:H,8,FALSE))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input_377100!A$2</f>
        <v>377100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340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IFERROR(VLOOKUP(B103,input_377100!L:R,7,FALSE),VLOOKUP(tables_377100!C103,input_377100!A:H,8,FALSE))</f>
        <v>192956.4</v>
      </c>
      <c r="P103" s="46">
        <f t="shared" ca="1" si="5"/>
        <v>2.6505000000182036E-2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hidden="1" customHeight="1" x14ac:dyDescent="0.15">
      <c r="A104" s="2" t="str">
        <f ca="1">input_377100!A$2</f>
        <v>377100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340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IFERROR(VLOOKUP(B104,input_377100!L:R,7,FALSE),VLOOKUP(tables_377100!C104,input_377100!A:H,8,FALSE))</f>
        <v>10155.6</v>
      </c>
      <c r="P104" s="46">
        <f t="shared" ca="1" si="5"/>
        <v>1.3950000000095809E-3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input_377100!A$2</f>
        <v>377100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IFERROR(VLOOKUP(B105,input_377100!L:R,7,FALSE),VLOOKUP(tables_377100!C105,input_377100!A:H,8,FALSE))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input_377100!A$2</f>
        <v>377100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IFERROR(VLOOKUP(B106,input_377100!L:R,7,FALSE),VLOOKUP(tables_377100!C106,input_377100!A:H,8,FALSE))</f>
        <v>39580.800000000003</v>
      </c>
      <c r="P106" s="46">
        <f t="shared" ca="1" si="5"/>
        <v>5.4369230769604178E-3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hidden="1" customHeight="1" x14ac:dyDescent="0.15">
      <c r="A107" s="2" t="str">
        <f ca="1">input_377100!A$2</f>
        <v>377100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IFERROR(VLOOKUP(B107,input_377100!L:R,7,FALSE),VLOOKUP(tables_377100!C107,input_377100!A:H,8,FALSE))</f>
        <v>2083.1999999999998</v>
      </c>
      <c r="P107" s="46">
        <f t="shared" ca="1" si="5"/>
        <v>2.8615384615581142E-4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input_377100!A$2</f>
        <v>377100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IFERROR(VLOOKUP(B108,input_377100!L:R,7,FALSE),VLOOKUP(tables_377100!C108,input_377100!A:H,8,FALSE))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input_377100!A$2</f>
        <v>377100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IFERROR(VLOOKUP(B109,input_377100!L:R,7,FALSE),VLOOKUP(tables_377100!C109,input_377100!A:H,8,FALSE))</f>
        <v>39580.800000000003</v>
      </c>
      <c r="P109" s="46">
        <f t="shared" ca="1" si="5"/>
        <v>5.4369230769604178E-3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hidden="1" customHeight="1" x14ac:dyDescent="0.15">
      <c r="A110" s="2" t="str">
        <f ca="1">input_377100!A$2</f>
        <v>377100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IFERROR(VLOOKUP(B110,input_377100!L:R,7,FALSE),VLOOKUP(tables_377100!C110,input_377100!A:H,8,FALSE))</f>
        <v>2083.1999999999998</v>
      </c>
      <c r="P110" s="46">
        <f t="shared" ca="1" si="5"/>
        <v>2.8615384615581142E-4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input_377100!A$2</f>
        <v>377100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IFERROR(VLOOKUP(B111,input_377100!L:R,7,FALSE),VLOOKUP(tables_377100!C111,input_377100!A:H,8,FALSE))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input_377100!A$2</f>
        <v>377100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IFERROR(VLOOKUP(B112,input_377100!L:R,7,FALSE),VLOOKUP(tables_377100!C112,input_377100!A:H,8,FALSE))</f>
        <v>39580.800000000003</v>
      </c>
      <c r="P112" s="46">
        <f t="shared" ca="1" si="5"/>
        <v>5.4369230769604178E-3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hidden="1" customHeight="1" x14ac:dyDescent="0.15">
      <c r="A113" s="2" t="str">
        <f ca="1">input_377100!A$2</f>
        <v>377100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IFERROR(VLOOKUP(B113,input_377100!L:R,7,FALSE),VLOOKUP(tables_377100!C113,input_377100!A:H,8,FALSE))</f>
        <v>2083.1999999999998</v>
      </c>
      <c r="P113" s="46">
        <f t="shared" ca="1" si="5"/>
        <v>2.8615384615581142E-4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input_377100!A$2</f>
        <v>377100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340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IFERROR(VLOOKUP(B114,input_377100!L:R,7,FALSE),VLOOKUP(tables_377100!C114,input_377100!A:H,8,FALSE))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input_377100!A$2</f>
        <v>377100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340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IFERROR(VLOOKUP(B115,input_377100!L:R,7,FALSE),VLOOKUP(tables_377100!C115,input_377100!A:H,8,FALSE))</f>
        <v>192956.4</v>
      </c>
      <c r="P115" s="46">
        <f t="shared" ca="1" si="5"/>
        <v>2.6505000000182036E-2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hidden="1" customHeight="1" x14ac:dyDescent="0.15">
      <c r="A116" s="2" t="str">
        <f ca="1">input_377100!A$2</f>
        <v>377100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340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IFERROR(VLOOKUP(B116,input_377100!L:R,7,FALSE),VLOOKUP(tables_377100!C116,input_377100!A:H,8,FALSE))</f>
        <v>10155.6</v>
      </c>
      <c r="P116" s="46">
        <f t="shared" ca="1" si="5"/>
        <v>1.3950000000095809E-3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input_377100!A$2</f>
        <v>377100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IFERROR(VLOOKUP(B117,input_377100!L:R,7,FALSE),VLOOKUP(tables_377100!C117,input_377100!A:H,8,FALSE))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input_377100!A$2</f>
        <v>377100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IFERROR(VLOOKUP(B118,input_377100!L:R,7,FALSE),VLOOKUP(tables_377100!C118,input_377100!A:H,8,FALSE))</f>
        <v>39580.800000000003</v>
      </c>
      <c r="P118" s="46">
        <f t="shared" ca="1" si="5"/>
        <v>5.4369230769604178E-3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hidden="1" customHeight="1" x14ac:dyDescent="0.15">
      <c r="A119" s="2" t="str">
        <f ca="1">input_377100!A$2</f>
        <v>377100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IFERROR(VLOOKUP(B119,input_377100!L:R,7,FALSE),VLOOKUP(tables_377100!C119,input_377100!A:H,8,FALSE))</f>
        <v>2083.1999999999998</v>
      </c>
      <c r="P119" s="46">
        <f t="shared" ca="1" si="5"/>
        <v>2.8615384615581142E-4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input_377100!A$2</f>
        <v>377100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IFERROR(VLOOKUP(B120,input_377100!L:R,7,FALSE),VLOOKUP(tables_377100!C120,input_377100!A:H,8,FALSE))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input_377100!A$2</f>
        <v>377100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IFERROR(VLOOKUP(B121,input_377100!L:R,7,FALSE),VLOOKUP(tables_377100!C121,input_377100!A:H,8,FALSE))</f>
        <v>39580.800000000003</v>
      </c>
      <c r="P121" s="46">
        <f t="shared" ca="1" si="5"/>
        <v>5.4369230769604178E-3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hidden="1" customHeight="1" x14ac:dyDescent="0.15">
      <c r="A122" s="2" t="str">
        <f ca="1">input_377100!A$2</f>
        <v>377100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IFERROR(VLOOKUP(B122,input_377100!L:R,7,FALSE),VLOOKUP(tables_377100!C122,input_377100!A:H,8,FALSE))</f>
        <v>2083.1999999999998</v>
      </c>
      <c r="P122" s="46">
        <f t="shared" ca="1" si="5"/>
        <v>2.8615384615581142E-4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input_377100!A$2</f>
        <v>377100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IFERROR(VLOOKUP(B123,input_377100!L:R,7,FALSE),VLOOKUP(tables_377100!C123,input_377100!A:H,8,FALSE))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input_377100!A$2</f>
        <v>377100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IFERROR(VLOOKUP(B124,input_377100!L:R,7,FALSE),VLOOKUP(tables_377100!C124,input_377100!A:H,8,FALSE))</f>
        <v>39580.800000000003</v>
      </c>
      <c r="P124" s="46">
        <f t="shared" ca="1" si="5"/>
        <v>5.4369230769604178E-3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hidden="1" customHeight="1" x14ac:dyDescent="0.15">
      <c r="A125" s="2" t="str">
        <f ca="1">input_377100!A$2</f>
        <v>377100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IFERROR(VLOOKUP(B125,input_377100!L:R,7,FALSE),VLOOKUP(tables_377100!C125,input_377100!A:H,8,FALSE))</f>
        <v>2083.1999999999998</v>
      </c>
      <c r="P125" s="46">
        <f t="shared" ca="1" si="5"/>
        <v>2.8615384615581142E-4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input_377100!A$2</f>
        <v>377100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340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IFERROR(VLOOKUP(B126,input_377100!L:R,7,FALSE),VLOOKUP(tables_377100!C126,input_377100!A:H,8,FALSE))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input_377100!A$2</f>
        <v>377100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340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IFERROR(VLOOKUP(B127,input_377100!L:R,7,FALSE),VLOOKUP(tables_377100!C127,input_377100!A:H,8,FALSE))</f>
        <v>192956.4</v>
      </c>
      <c r="P127" s="46">
        <f t="shared" ca="1" si="5"/>
        <v>2.6505000000182036E-2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hidden="1" customHeight="1" x14ac:dyDescent="0.15">
      <c r="A128" s="2" t="str">
        <f ca="1">input_377100!A$2</f>
        <v>377100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340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IFERROR(VLOOKUP(B128,input_377100!L:R,7,FALSE),VLOOKUP(tables_377100!C128,input_377100!A:H,8,FALSE))</f>
        <v>10155.6</v>
      </c>
      <c r="P128" s="46">
        <f t="shared" ca="1" si="5"/>
        <v>1.3950000000095809E-3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input_377100!A$2</f>
        <v>377100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IFERROR(VLOOKUP(B129,input_377100!L:R,7,FALSE),VLOOKUP(tables_377100!C129,input_377100!A:H,8,FALSE))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input_377100!A$2</f>
        <v>377100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IFERROR(VLOOKUP(B130,input_377100!L:R,7,FALSE),VLOOKUP(tables_377100!C130,input_377100!A:H,8,FALSE))</f>
        <v>39580.800000000003</v>
      </c>
      <c r="P130" s="46">
        <f t="shared" ref="P130:P193" ca="1" si="8">O130/SUM(O:O)</f>
        <v>5.4369230769604178E-3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hidden="1" customHeight="1" x14ac:dyDescent="0.15">
      <c r="A131" s="2" t="str">
        <f ca="1">input_377100!A$2</f>
        <v>377100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IFERROR(VLOOKUP(B131,input_377100!L:R,7,FALSE),VLOOKUP(tables_377100!C131,input_377100!A:H,8,FALSE))</f>
        <v>2083.1999999999998</v>
      </c>
      <c r="P131" s="46">
        <f t="shared" ca="1" si="8"/>
        <v>2.8615384615581142E-4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input_377100!A$2</f>
        <v>377100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IFERROR(VLOOKUP(B132,input_377100!L:R,7,FALSE),VLOOKUP(tables_377100!C132,input_377100!A:H,8,FALSE))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input_377100!A$2</f>
        <v>377100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IFERROR(VLOOKUP(B133,input_377100!L:R,7,FALSE),VLOOKUP(tables_377100!C133,input_377100!A:H,8,FALSE))</f>
        <v>39580.800000000003</v>
      </c>
      <c r="P133" s="46">
        <f t="shared" ca="1" si="8"/>
        <v>5.4369230769604178E-3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hidden="1" customHeight="1" x14ac:dyDescent="0.15">
      <c r="A134" s="2" t="str">
        <f ca="1">input_377100!A$2</f>
        <v>377100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IFERROR(VLOOKUP(B134,input_377100!L:R,7,FALSE),VLOOKUP(tables_377100!C134,input_377100!A:H,8,FALSE))</f>
        <v>2083.1999999999998</v>
      </c>
      <c r="P134" s="46">
        <f t="shared" ca="1" si="8"/>
        <v>2.8615384615581142E-4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input_377100!A$2</f>
        <v>377100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IFERROR(VLOOKUP(B135,input_377100!L:R,7,FALSE),VLOOKUP(tables_377100!C135,input_377100!A:H,8,FALSE))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input_377100!A$2</f>
        <v>377100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IFERROR(VLOOKUP(B136,input_377100!L:R,7,FALSE),VLOOKUP(tables_377100!C136,input_377100!A:H,8,FALSE))</f>
        <v>39580.800000000003</v>
      </c>
      <c r="P136" s="46">
        <f t="shared" ca="1" si="8"/>
        <v>5.4369230769604178E-3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hidden="1" customHeight="1" x14ac:dyDescent="0.15">
      <c r="A137" s="2" t="str">
        <f ca="1">input_377100!A$2</f>
        <v>377100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IFERROR(VLOOKUP(B137,input_377100!L:R,7,FALSE),VLOOKUP(tables_377100!C137,input_377100!A:H,8,FALSE))</f>
        <v>2083.1999999999998</v>
      </c>
      <c r="P137" s="46">
        <f t="shared" ca="1" si="8"/>
        <v>2.8615384615581142E-4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input_377100!A$2</f>
        <v>377100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340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IFERROR(VLOOKUP(B138,input_377100!L:R,7,FALSE),VLOOKUP(tables_377100!C138,input_377100!A:H,8,FALSE))</f>
        <v>18861.818179999998</v>
      </c>
      <c r="P138" s="46">
        <f t="shared" ca="1" si="8"/>
        <v>2.5909090906771348E-3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input_377100!A$2</f>
        <v>377100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340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IFERROR(VLOOKUP(B139,input_377100!L:R,7,FALSE),VLOOKUP(tables_377100!C139,input_377100!A:H,8,FALSE))</f>
        <v>992.72726999999998</v>
      </c>
      <c r="P139" s="46">
        <f t="shared" ca="1" si="8"/>
        <v>1.3636363598994752E-4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input_377100!A$2</f>
        <v>377100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IFERROR(VLOOKUP(B140,input_377100!L:R,7,FALSE),VLOOKUP(tables_377100!C140,input_377100!A:H,8,FALSE))</f>
        <v>4940</v>
      </c>
      <c r="P140" s="46">
        <f t="shared" ca="1" si="8"/>
        <v>6.78571428576089E-4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input_377100!A$2</f>
        <v>377100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IFERROR(VLOOKUP(B141,input_377100!L:R,7,FALSE),VLOOKUP(tables_377100!C141,input_377100!A:H,8,FALSE))</f>
        <v>260</v>
      </c>
      <c r="P141" s="46">
        <f t="shared" ca="1" si="8"/>
        <v>3.5714285714530997E-5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input_377100!A$2</f>
        <v>377100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IFERROR(VLOOKUP(B142,input_377100!L:R,7,FALSE),VLOOKUP(tables_377100!C142,input_377100!A:H,8,FALSE))</f>
        <v>4940</v>
      </c>
      <c r="P142" s="46">
        <f t="shared" ca="1" si="8"/>
        <v>6.78571428576089E-4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input_377100!A$2</f>
        <v>377100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IFERROR(VLOOKUP(B143,input_377100!L:R,7,FALSE),VLOOKUP(tables_377100!C143,input_377100!A:H,8,FALSE))</f>
        <v>260</v>
      </c>
      <c r="P143" s="46">
        <f t="shared" ca="1" si="8"/>
        <v>3.5714285714530997E-5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input_377100!A$2</f>
        <v>377100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IFERROR(VLOOKUP(B144,input_377100!L:R,7,FALSE),VLOOKUP(tables_377100!C144,input_377100!A:H,8,FALSE))</f>
        <v>4940</v>
      </c>
      <c r="P144" s="46">
        <f t="shared" ca="1" si="8"/>
        <v>6.78571428576089E-4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input_377100!A$2</f>
        <v>377100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IFERROR(VLOOKUP(B145,input_377100!L:R,7,FALSE),VLOOKUP(tables_377100!C145,input_377100!A:H,8,FALSE))</f>
        <v>260</v>
      </c>
      <c r="P145" s="46">
        <f t="shared" ca="1" si="8"/>
        <v>3.5714285714530997E-5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input_377100!A$2</f>
        <v>377100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340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IFERROR(VLOOKUP(B146,input_377100!L:R,7,FALSE),VLOOKUP(tables_377100!C146,input_377100!A:H,8,FALSE))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input_377100!A$2</f>
        <v>377100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340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IFERROR(VLOOKUP(B147,input_377100!L:R,7,FALSE),VLOOKUP(tables_377100!C147,input_377100!A:H,8,FALSE))</f>
        <v>192956.4</v>
      </c>
      <c r="P147" s="46">
        <f t="shared" ca="1" si="8"/>
        <v>2.6505000000182036E-2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hidden="1" customHeight="1" x14ac:dyDescent="0.15">
      <c r="A148" s="2" t="str">
        <f ca="1">input_377100!A$2</f>
        <v>377100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340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IFERROR(VLOOKUP(B148,input_377100!L:R,7,FALSE),VLOOKUP(tables_377100!C148,input_377100!A:H,8,FALSE))</f>
        <v>10155.6</v>
      </c>
      <c r="P148" s="46">
        <f t="shared" ca="1" si="8"/>
        <v>1.3950000000095809E-3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input_377100!A$2</f>
        <v>377100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IFERROR(VLOOKUP(B149,input_377100!L:R,7,FALSE),VLOOKUP(tables_377100!C149,input_377100!A:H,8,FALSE))</f>
        <v>4940</v>
      </c>
      <c r="P149" s="46">
        <f t="shared" ca="1" si="8"/>
        <v>6.78571428576089E-4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input_377100!A$2</f>
        <v>377100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IFERROR(VLOOKUP(B150,input_377100!L:R,7,FALSE),VLOOKUP(tables_377100!C150,input_377100!A:H,8,FALSE))</f>
        <v>260</v>
      </c>
      <c r="P150" s="46">
        <f t="shared" ca="1" si="8"/>
        <v>3.5714285714530997E-5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input_377100!A$2</f>
        <v>377100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IFERROR(VLOOKUP(B151,input_377100!L:R,7,FALSE),VLOOKUP(tables_377100!C151,input_377100!A:H,8,FALSE))</f>
        <v>4940</v>
      </c>
      <c r="P151" s="46">
        <f t="shared" ca="1" si="8"/>
        <v>6.78571428576089E-4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input_377100!A$2</f>
        <v>377100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IFERROR(VLOOKUP(B152,input_377100!L:R,7,FALSE),VLOOKUP(tables_377100!C152,input_377100!A:H,8,FALSE))</f>
        <v>260</v>
      </c>
      <c r="P152" s="46">
        <f t="shared" ca="1" si="8"/>
        <v>3.5714285714530997E-5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input_377100!A$2</f>
        <v>377100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IFERROR(VLOOKUP(B153,input_377100!L:R,7,FALSE),VLOOKUP(tables_377100!C153,input_377100!A:H,8,FALSE))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input_377100!A$2</f>
        <v>377100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IFERROR(VLOOKUP(B154,input_377100!L:R,7,FALSE),VLOOKUP(tables_377100!C154,input_377100!A:H,8,FALSE))</f>
        <v>39580.800000000003</v>
      </c>
      <c r="P154" s="46">
        <f t="shared" ca="1" si="8"/>
        <v>5.4369230769604178E-3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hidden="1" customHeight="1" x14ac:dyDescent="0.15">
      <c r="A155" s="2" t="str">
        <f ca="1">input_377100!A$2</f>
        <v>377100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IFERROR(VLOOKUP(B155,input_377100!L:R,7,FALSE),VLOOKUP(tables_377100!C155,input_377100!A:H,8,FALSE))</f>
        <v>2083.1999999999998</v>
      </c>
      <c r="P155" s="46">
        <f t="shared" ca="1" si="8"/>
        <v>2.8615384615581142E-4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input_377100!A$2</f>
        <v>377100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340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IFERROR(VLOOKUP(B156,input_377100!L:R,7,FALSE),VLOOKUP(tables_377100!C156,input_377100!A:H,8,FALSE))</f>
        <v>18861.818179999998</v>
      </c>
      <c r="P156" s="46">
        <f t="shared" ca="1" si="8"/>
        <v>2.5909090906771348E-3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input_377100!A$2</f>
        <v>377100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340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IFERROR(VLOOKUP(B157,input_377100!L:R,7,FALSE),VLOOKUP(tables_377100!C157,input_377100!A:H,8,FALSE))</f>
        <v>992.72726999999998</v>
      </c>
      <c r="P157" s="46">
        <f t="shared" ca="1" si="8"/>
        <v>1.3636363598994752E-4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input_377100!A$2</f>
        <v>377100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IFERROR(VLOOKUP(B158,input_377100!L:R,7,FALSE),VLOOKUP(tables_377100!C158,input_377100!A:H,8,FALSE))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input_377100!A$2</f>
        <v>377100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IFERROR(VLOOKUP(B159,input_377100!L:R,7,FALSE),VLOOKUP(tables_377100!C159,input_377100!A:H,8,FALSE))</f>
        <v>39580.800000000003</v>
      </c>
      <c r="P159" s="46">
        <f t="shared" ca="1" si="8"/>
        <v>5.4369230769604178E-3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hidden="1" customHeight="1" x14ac:dyDescent="0.15">
      <c r="A160" s="2" t="str">
        <f ca="1">input_377100!A$2</f>
        <v>377100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IFERROR(VLOOKUP(B160,input_377100!L:R,7,FALSE),VLOOKUP(tables_377100!C160,input_377100!A:H,8,FALSE))</f>
        <v>2083.1999999999998</v>
      </c>
      <c r="P160" s="46">
        <f t="shared" ca="1" si="8"/>
        <v>2.8615384615581142E-4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input_377100!A$2</f>
        <v>377100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IFERROR(VLOOKUP(B161,input_377100!L:R,7,FALSE),VLOOKUP(tables_377100!C161,input_377100!A:H,8,FALSE))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input_377100!A$2</f>
        <v>377100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IFERROR(VLOOKUP(B162,input_377100!L:R,7,FALSE),VLOOKUP(tables_377100!C162,input_377100!A:H,8,FALSE))</f>
        <v>39580.800000000003</v>
      </c>
      <c r="P162" s="46">
        <f t="shared" ca="1" si="8"/>
        <v>5.4369230769604178E-3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hidden="1" customHeight="1" x14ac:dyDescent="0.15">
      <c r="A163" s="2" t="str">
        <f ca="1">input_377100!A$2</f>
        <v>377100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IFERROR(VLOOKUP(B163,input_377100!L:R,7,FALSE),VLOOKUP(tables_377100!C163,input_377100!A:H,8,FALSE))</f>
        <v>2083.1999999999998</v>
      </c>
      <c r="P163" s="46">
        <f t="shared" ca="1" si="8"/>
        <v>2.8615384615581142E-4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input_377100!A$2</f>
        <v>377100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IFERROR(VLOOKUP(B164,input_377100!L:R,7,FALSE),VLOOKUP(tables_377100!C164,input_377100!A:H,8,FALSE))</f>
        <v>4940</v>
      </c>
      <c r="P164" s="46">
        <f t="shared" ca="1" si="8"/>
        <v>6.78571428576089E-4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input_377100!A$2</f>
        <v>377100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IFERROR(VLOOKUP(B165,input_377100!L:R,7,FALSE),VLOOKUP(tables_377100!C165,input_377100!A:H,8,FALSE))</f>
        <v>260</v>
      </c>
      <c r="P165" s="46">
        <f t="shared" ca="1" si="8"/>
        <v>3.5714285714530997E-5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input_377100!A$2</f>
        <v>377100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340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IFERROR(VLOOKUP(B166,input_377100!L:R,7,FALSE),VLOOKUP(tables_377100!C166,input_377100!A:H,8,FALSE))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input_377100!A$2</f>
        <v>377100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340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IFERROR(VLOOKUP(B167,input_377100!L:R,7,FALSE),VLOOKUP(tables_377100!C167,input_377100!A:H,8,FALSE))</f>
        <v>192956.4</v>
      </c>
      <c r="P167" s="46">
        <f t="shared" ca="1" si="8"/>
        <v>2.6505000000182036E-2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hidden="1" customHeight="1" x14ac:dyDescent="0.15">
      <c r="A168" s="2" t="str">
        <f ca="1">input_377100!A$2</f>
        <v>377100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340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IFERROR(VLOOKUP(B168,input_377100!L:R,7,FALSE),VLOOKUP(tables_377100!C168,input_377100!A:H,8,FALSE))</f>
        <v>10155.6</v>
      </c>
      <c r="P168" s="46">
        <f t="shared" ca="1" si="8"/>
        <v>1.3950000000095809E-3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input_377100!A$2</f>
        <v>377100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IFERROR(VLOOKUP(B169,input_377100!L:R,7,FALSE),VLOOKUP(tables_377100!C169,input_377100!A:H,8,FALSE))</f>
        <v>4940</v>
      </c>
      <c r="P169" s="46">
        <f t="shared" ca="1" si="8"/>
        <v>6.78571428576089E-4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input_377100!A$2</f>
        <v>377100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IFERROR(VLOOKUP(B170,input_377100!L:R,7,FALSE),VLOOKUP(tables_377100!C170,input_377100!A:H,8,FALSE))</f>
        <v>260</v>
      </c>
      <c r="P170" s="46">
        <f t="shared" ca="1" si="8"/>
        <v>3.5714285714530997E-5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input_377100!A$2</f>
        <v>377100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IFERROR(VLOOKUP(B171,input_377100!L:R,7,FALSE),VLOOKUP(tables_377100!C171,input_377100!A:H,8,FALSE))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input_377100!A$2</f>
        <v>377100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IFERROR(VLOOKUP(B172,input_377100!L:R,7,FALSE),VLOOKUP(tables_377100!C172,input_377100!A:H,8,FALSE))</f>
        <v>39580.800000000003</v>
      </c>
      <c r="P172" s="46">
        <f t="shared" ca="1" si="8"/>
        <v>5.4369230769604178E-3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hidden="1" customHeight="1" x14ac:dyDescent="0.15">
      <c r="A173" s="2" t="str">
        <f ca="1">input_377100!A$2</f>
        <v>377100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IFERROR(VLOOKUP(B173,input_377100!L:R,7,FALSE),VLOOKUP(tables_377100!C173,input_377100!A:H,8,FALSE))</f>
        <v>2083.1999999999998</v>
      </c>
      <c r="P173" s="46">
        <f t="shared" ca="1" si="8"/>
        <v>2.8615384615581142E-4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input_377100!A$2</f>
        <v>377100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IFERROR(VLOOKUP(B174,input_377100!L:R,7,FALSE),VLOOKUP(tables_377100!C174,input_377100!A:H,8,FALSE))</f>
        <v>4940</v>
      </c>
      <c r="P174" s="46">
        <f t="shared" ca="1" si="8"/>
        <v>6.78571428576089E-4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input_377100!A$2</f>
        <v>377100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IFERROR(VLOOKUP(B175,input_377100!L:R,7,FALSE),VLOOKUP(tables_377100!C175,input_377100!A:H,8,FALSE))</f>
        <v>260</v>
      </c>
      <c r="P175" s="46">
        <f t="shared" ca="1" si="8"/>
        <v>3.5714285714530997E-5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input_377100!A$2</f>
        <v>377100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340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IFERROR(VLOOKUP(B176,input_377100!L:R,7,FALSE),VLOOKUP(tables_377100!C176,input_377100!A:H,8,FALSE))</f>
        <v>18861.818179999998</v>
      </c>
      <c r="P176" s="46">
        <f t="shared" ca="1" si="8"/>
        <v>2.5909090906771348E-3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input_377100!A$2</f>
        <v>377100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340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IFERROR(VLOOKUP(B177,input_377100!L:R,7,FALSE),VLOOKUP(tables_377100!C177,input_377100!A:H,8,FALSE))</f>
        <v>992.72726999999998</v>
      </c>
      <c r="P177" s="46">
        <f t="shared" ca="1" si="8"/>
        <v>1.3636363598994752E-4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input_377100!A$2</f>
        <v>377100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IFERROR(VLOOKUP(B178,input_377100!L:R,7,FALSE),VLOOKUP(tables_377100!C178,input_377100!A:H,8,FALSE))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input_377100!A$2</f>
        <v>377100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IFERROR(VLOOKUP(B179,input_377100!L:R,7,FALSE),VLOOKUP(tables_377100!C179,input_377100!A:H,8,FALSE))</f>
        <v>39580.800000000003</v>
      </c>
      <c r="P179" s="46">
        <f t="shared" ca="1" si="8"/>
        <v>5.4369230769604178E-3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hidden="1" customHeight="1" x14ac:dyDescent="0.15">
      <c r="A180" s="2" t="str">
        <f ca="1">input_377100!A$2</f>
        <v>377100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IFERROR(VLOOKUP(B180,input_377100!L:R,7,FALSE),VLOOKUP(tables_377100!C180,input_377100!A:H,8,FALSE))</f>
        <v>2083.1999999999998</v>
      </c>
      <c r="P180" s="46">
        <f t="shared" ca="1" si="8"/>
        <v>2.8615384615581142E-4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input_377100!A$2</f>
        <v>377100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IFERROR(VLOOKUP(B181,input_377100!L:R,7,FALSE),VLOOKUP(tables_377100!C181,input_377100!A:H,8,FALSE))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input_377100!A$2</f>
        <v>377100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IFERROR(VLOOKUP(B182,input_377100!L:R,7,FALSE),VLOOKUP(tables_377100!C182,input_377100!A:H,8,FALSE))</f>
        <v>39580.800000000003</v>
      </c>
      <c r="P182" s="46">
        <f t="shared" ca="1" si="8"/>
        <v>5.4369230769604178E-3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hidden="1" customHeight="1" x14ac:dyDescent="0.15">
      <c r="A183" s="2" t="str">
        <f ca="1">input_377100!A$2</f>
        <v>377100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IFERROR(VLOOKUP(B183,input_377100!L:R,7,FALSE),VLOOKUP(tables_377100!C183,input_377100!A:H,8,FALSE))</f>
        <v>2083.1999999999998</v>
      </c>
      <c r="P183" s="46">
        <f t="shared" ca="1" si="8"/>
        <v>2.8615384615581142E-4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input_377100!A$2</f>
        <v>377100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IFERROR(VLOOKUP(B184,input_377100!L:R,7,FALSE),VLOOKUP(tables_377100!C184,input_377100!A:H,8,FALSE))</f>
        <v>4940</v>
      </c>
      <c r="P184" s="46">
        <f t="shared" ca="1" si="8"/>
        <v>6.78571428576089E-4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input_377100!A$2</f>
        <v>377100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IFERROR(VLOOKUP(B185,input_377100!L:R,7,FALSE),VLOOKUP(tables_377100!C185,input_377100!A:H,8,FALSE))</f>
        <v>260</v>
      </c>
      <c r="P185" s="46">
        <f t="shared" ca="1" si="8"/>
        <v>3.5714285714530997E-5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input_377100!A$2</f>
        <v>377100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340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IFERROR(VLOOKUP(B186,input_377100!L:R,7,FALSE),VLOOKUP(tables_377100!C186,input_377100!A:H,8,FALSE))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input_377100!A$2</f>
        <v>377100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340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IFERROR(VLOOKUP(B187,input_377100!L:R,7,FALSE),VLOOKUP(tables_377100!C187,input_377100!A:H,8,FALSE))</f>
        <v>192956.4</v>
      </c>
      <c r="P187" s="46">
        <f t="shared" ca="1" si="8"/>
        <v>2.6505000000182036E-2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hidden="1" customHeight="1" x14ac:dyDescent="0.15">
      <c r="A188" s="2" t="str">
        <f ca="1">input_377100!A$2</f>
        <v>377100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340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IFERROR(VLOOKUP(B188,input_377100!L:R,7,FALSE),VLOOKUP(tables_377100!C188,input_377100!A:H,8,FALSE))</f>
        <v>10155.6</v>
      </c>
      <c r="P188" s="46">
        <f t="shared" ca="1" si="8"/>
        <v>1.3950000000095809E-3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input_377100!A$2</f>
        <v>377100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IFERROR(VLOOKUP(B189,input_377100!L:R,7,FALSE),VLOOKUP(tables_377100!C189,input_377100!A:H,8,FALSE))</f>
        <v>4940</v>
      </c>
      <c r="P189" s="46">
        <f t="shared" ca="1" si="8"/>
        <v>6.78571428576089E-4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input_377100!A$2</f>
        <v>377100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IFERROR(VLOOKUP(B190,input_377100!L:R,7,FALSE),VLOOKUP(tables_377100!C190,input_377100!A:H,8,FALSE))</f>
        <v>260</v>
      </c>
      <c r="P190" s="46">
        <f t="shared" ca="1" si="8"/>
        <v>3.5714285714530997E-5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input_377100!A$2</f>
        <v>377100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IFERROR(VLOOKUP(B191,input_377100!L:R,7,FALSE),VLOOKUP(tables_377100!C191,input_377100!A:H,8,FALSE))</f>
        <v>4940</v>
      </c>
      <c r="P191" s="46">
        <f t="shared" ca="1" si="8"/>
        <v>6.78571428576089E-4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input_377100!A$2</f>
        <v>377100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IFERROR(VLOOKUP(B192,input_377100!L:R,7,FALSE),VLOOKUP(tables_377100!C192,input_377100!A:H,8,FALSE))</f>
        <v>260</v>
      </c>
      <c r="P192" s="46">
        <f t="shared" ca="1" si="8"/>
        <v>3.5714285714530997E-5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input_377100!A$2</f>
        <v>377100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IFERROR(VLOOKUP(B193,input_377100!L:R,7,FALSE),VLOOKUP(tables_377100!C193,input_377100!A:H,8,FALSE))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input_377100!A$2</f>
        <v>377100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IFERROR(VLOOKUP(B194,input_377100!L:R,7,FALSE),VLOOKUP(tables_377100!C194,input_377100!A:H,8,FALSE))</f>
        <v>39580.800000000003</v>
      </c>
      <c r="P194" s="46">
        <f t="shared" ref="P194:P257" ca="1" si="11">O194/SUM(O:O)</f>
        <v>5.4369230769604178E-3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hidden="1" customHeight="1" x14ac:dyDescent="0.15">
      <c r="A195" s="2" t="str">
        <f ca="1">input_377100!A$2</f>
        <v>377100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IFERROR(VLOOKUP(B195,input_377100!L:R,7,FALSE),VLOOKUP(tables_377100!C195,input_377100!A:H,8,FALSE))</f>
        <v>2083.1999999999998</v>
      </c>
      <c r="P195" s="46">
        <f t="shared" ca="1" si="11"/>
        <v>2.8615384615581142E-4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input_377100!A$2</f>
        <v>377100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340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IFERROR(VLOOKUP(B196,input_377100!L:R,7,FALSE),VLOOKUP(tables_377100!C196,input_377100!A:H,8,FALSE))</f>
        <v>18861.818179999998</v>
      </c>
      <c r="P196" s="46">
        <f t="shared" ca="1" si="11"/>
        <v>2.5909090906771348E-3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input_377100!A$2</f>
        <v>377100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340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IFERROR(VLOOKUP(B197,input_377100!L:R,7,FALSE),VLOOKUP(tables_377100!C197,input_377100!A:H,8,FALSE))</f>
        <v>992.72726999999998</v>
      </c>
      <c r="P197" s="46">
        <f t="shared" ca="1" si="11"/>
        <v>1.3636363598994752E-4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input_377100!A$2</f>
        <v>377100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IFERROR(VLOOKUP(B198,input_377100!L:R,7,FALSE),VLOOKUP(tables_377100!C198,input_377100!A:H,8,FALSE))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input_377100!A$2</f>
        <v>377100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IFERROR(VLOOKUP(B199,input_377100!L:R,7,FALSE),VLOOKUP(tables_377100!C199,input_377100!A:H,8,FALSE))</f>
        <v>39580.800000000003</v>
      </c>
      <c r="P199" s="46">
        <f t="shared" ca="1" si="11"/>
        <v>5.4369230769604178E-3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hidden="1" customHeight="1" x14ac:dyDescent="0.15">
      <c r="A200" s="2" t="str">
        <f ca="1">input_377100!A$2</f>
        <v>377100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IFERROR(VLOOKUP(B200,input_377100!L:R,7,FALSE),VLOOKUP(tables_377100!C200,input_377100!A:H,8,FALSE))</f>
        <v>2083.1999999999998</v>
      </c>
      <c r="P200" s="46">
        <f t="shared" ca="1" si="11"/>
        <v>2.8615384615581142E-4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input_377100!A$2</f>
        <v>377100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IFERROR(VLOOKUP(B201,input_377100!L:R,7,FALSE),VLOOKUP(tables_377100!C201,input_377100!A:H,8,FALSE))</f>
        <v>4940</v>
      </c>
      <c r="P201" s="46">
        <f t="shared" ca="1" si="11"/>
        <v>6.78571428576089E-4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input_377100!A$2</f>
        <v>377100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IFERROR(VLOOKUP(B202,input_377100!L:R,7,FALSE),VLOOKUP(tables_377100!C202,input_377100!A:H,8,FALSE))</f>
        <v>260</v>
      </c>
      <c r="P202" s="46">
        <f t="shared" ca="1" si="11"/>
        <v>3.5714285714530997E-5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input_377100!A$2</f>
        <v>377100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IFERROR(VLOOKUP(B203,input_377100!L:R,7,FALSE),VLOOKUP(tables_377100!C203,input_377100!A:H,8,FALSE))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input_377100!A$2</f>
        <v>377100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IFERROR(VLOOKUP(B204,input_377100!L:R,7,FALSE),VLOOKUP(tables_377100!C204,input_377100!A:H,8,FALSE))</f>
        <v>39580.800000000003</v>
      </c>
      <c r="P204" s="46">
        <f t="shared" ca="1" si="11"/>
        <v>5.4369230769604178E-3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hidden="1" customHeight="1" x14ac:dyDescent="0.15">
      <c r="A205" s="2" t="str">
        <f ca="1">input_377100!A$2</f>
        <v>377100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IFERROR(VLOOKUP(B205,input_377100!L:R,7,FALSE),VLOOKUP(tables_377100!C205,input_377100!A:H,8,FALSE))</f>
        <v>2083.1999999999998</v>
      </c>
      <c r="P205" s="46">
        <f t="shared" ca="1" si="11"/>
        <v>2.8615384615581142E-4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input_377100!A$2</f>
        <v>377100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340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IFERROR(VLOOKUP(B206,input_377100!L:R,7,FALSE),VLOOKUP(tables_377100!C206,input_377100!A:H,8,FALSE))</f>
        <v>18861.818179999998</v>
      </c>
      <c r="P206" s="46">
        <f t="shared" ca="1" si="11"/>
        <v>2.5909090906771348E-3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input_377100!A$2</f>
        <v>377100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340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IFERROR(VLOOKUP(B207,input_377100!L:R,7,FALSE),VLOOKUP(tables_377100!C207,input_377100!A:H,8,FALSE))</f>
        <v>992.72726999999998</v>
      </c>
      <c r="P207" s="46">
        <f t="shared" ca="1" si="11"/>
        <v>1.3636363598994752E-4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input_377100!A$2</f>
        <v>377100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IFERROR(VLOOKUP(B208,input_377100!L:R,7,FALSE),VLOOKUP(tables_377100!C208,input_377100!A:H,8,FALSE))</f>
        <v>4940</v>
      </c>
      <c r="P208" s="46">
        <f t="shared" ca="1" si="11"/>
        <v>6.78571428576089E-4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input_377100!A$2</f>
        <v>377100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IFERROR(VLOOKUP(B209,input_377100!L:R,7,FALSE),VLOOKUP(tables_377100!C209,input_377100!A:H,8,FALSE))</f>
        <v>260</v>
      </c>
      <c r="P209" s="46">
        <f t="shared" ca="1" si="11"/>
        <v>3.5714285714530997E-5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input_377100!A$2</f>
        <v>377100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IFERROR(VLOOKUP(B210,input_377100!L:R,7,FALSE),VLOOKUP(tables_377100!C210,input_377100!A:H,8,FALSE))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input_377100!A$2</f>
        <v>377100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IFERROR(VLOOKUP(B211,input_377100!L:R,7,FALSE),VLOOKUP(tables_377100!C211,input_377100!A:H,8,FALSE))</f>
        <v>39580.800000000003</v>
      </c>
      <c r="P211" s="46">
        <f t="shared" ca="1" si="11"/>
        <v>5.4369230769604178E-3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hidden="1" customHeight="1" x14ac:dyDescent="0.15">
      <c r="A212" s="2" t="str">
        <f ca="1">input_377100!A$2</f>
        <v>377100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IFERROR(VLOOKUP(B212,input_377100!L:R,7,FALSE),VLOOKUP(tables_377100!C212,input_377100!A:H,8,FALSE))</f>
        <v>2083.1999999999998</v>
      </c>
      <c r="P212" s="46">
        <f t="shared" ca="1" si="11"/>
        <v>2.8615384615581142E-4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input_377100!A$2</f>
        <v>377100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IFERROR(VLOOKUP(B213,input_377100!L:R,7,FALSE),VLOOKUP(tables_377100!C213,input_377100!A:H,8,FALSE))</f>
        <v>4940</v>
      </c>
      <c r="P213" s="46">
        <f t="shared" ca="1" si="11"/>
        <v>6.78571428576089E-4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input_377100!A$2</f>
        <v>377100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IFERROR(VLOOKUP(B214,input_377100!L:R,7,FALSE),VLOOKUP(tables_377100!C214,input_377100!A:H,8,FALSE))</f>
        <v>260</v>
      </c>
      <c r="P214" s="46">
        <f t="shared" ca="1" si="11"/>
        <v>3.5714285714530997E-5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input_377100!A$2</f>
        <v>377100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340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IFERROR(VLOOKUP(B215,input_377100!L:R,7,FALSE),VLOOKUP(tables_377100!C215,input_377100!A:H,8,FALSE))</f>
        <v>18861.818179999998</v>
      </c>
      <c r="P215" s="46">
        <f t="shared" ca="1" si="11"/>
        <v>2.5909090906771348E-3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input_377100!A$2</f>
        <v>377100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340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IFERROR(VLOOKUP(B216,input_377100!L:R,7,FALSE),VLOOKUP(tables_377100!C216,input_377100!A:H,8,FALSE))</f>
        <v>992.72726999999998</v>
      </c>
      <c r="P216" s="46">
        <f t="shared" ca="1" si="11"/>
        <v>1.3636363598994752E-4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input_377100!A$2</f>
        <v>377100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IFERROR(VLOOKUP(B217,input_377100!L:R,7,FALSE),VLOOKUP(tables_377100!C217,input_377100!A:H,8,FALSE))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input_377100!A$2</f>
        <v>377100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IFERROR(VLOOKUP(B218,input_377100!L:R,7,FALSE),VLOOKUP(tables_377100!C218,input_377100!A:H,8,FALSE))</f>
        <v>39580.800000000003</v>
      </c>
      <c r="P218" s="46">
        <f t="shared" ca="1" si="11"/>
        <v>5.4369230769604178E-3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hidden="1" customHeight="1" x14ac:dyDescent="0.15">
      <c r="A219" s="2" t="str">
        <f ca="1">input_377100!A$2</f>
        <v>377100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IFERROR(VLOOKUP(B219,input_377100!L:R,7,FALSE),VLOOKUP(tables_377100!C219,input_377100!A:H,8,FALSE))</f>
        <v>2083.1999999999998</v>
      </c>
      <c r="P219" s="46">
        <f t="shared" ca="1" si="11"/>
        <v>2.8615384615581142E-4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input_377100!A$2</f>
        <v>377100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IFERROR(VLOOKUP(B220,input_377100!L:R,7,FALSE),VLOOKUP(tables_377100!C220,input_377100!A:H,8,FALSE))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input_377100!A$2</f>
        <v>377100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IFERROR(VLOOKUP(B221,input_377100!L:R,7,FALSE),VLOOKUP(tables_377100!C221,input_377100!A:H,8,FALSE))</f>
        <v>39580.800000000003</v>
      </c>
      <c r="P221" s="46">
        <f t="shared" ca="1" si="11"/>
        <v>5.4369230769604178E-3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hidden="1" customHeight="1" x14ac:dyDescent="0.15">
      <c r="A222" s="2" t="str">
        <f ca="1">input_377100!A$2</f>
        <v>377100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IFERROR(VLOOKUP(B222,input_377100!L:R,7,FALSE),VLOOKUP(tables_377100!C222,input_377100!A:H,8,FALSE))</f>
        <v>2083.1999999999998</v>
      </c>
      <c r="P222" s="46">
        <f t="shared" ca="1" si="11"/>
        <v>2.8615384615581142E-4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input_377100!A$2</f>
        <v>377100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IFERROR(VLOOKUP(B223,input_377100!L:R,7,FALSE),VLOOKUP(tables_377100!C223,input_377100!A:H,8,FALSE))</f>
        <v>4940</v>
      </c>
      <c r="P223" s="46">
        <f t="shared" ca="1" si="11"/>
        <v>6.78571428576089E-4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input_377100!A$2</f>
        <v>377100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IFERROR(VLOOKUP(B224,input_377100!L:R,7,FALSE),VLOOKUP(tables_377100!C224,input_377100!A:H,8,FALSE))</f>
        <v>260</v>
      </c>
      <c r="P224" s="46">
        <f t="shared" ca="1" si="11"/>
        <v>3.5714285714530997E-5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input_377100!A$2</f>
        <v>377100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340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IFERROR(VLOOKUP(B225,input_377100!L:R,7,FALSE),VLOOKUP(tables_377100!C225,input_377100!A:H,8,FALSE))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input_377100!A$2</f>
        <v>377100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340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IFERROR(VLOOKUP(B226,input_377100!L:R,7,FALSE),VLOOKUP(tables_377100!C226,input_377100!A:H,8,FALSE))</f>
        <v>192956.4</v>
      </c>
      <c r="P226" s="46">
        <f t="shared" ca="1" si="11"/>
        <v>2.6505000000182036E-2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input_377100!A$2</f>
        <v>377100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340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IFERROR(VLOOKUP(B227,input_377100!L:R,7,FALSE),VLOOKUP(tables_377100!C227,input_377100!A:H,8,FALSE))</f>
        <v>10155.6</v>
      </c>
      <c r="P227" s="46">
        <f t="shared" ca="1" si="11"/>
        <v>1.3950000000095809E-3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input_377100!A$2</f>
        <v>377100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IFERROR(VLOOKUP(B228,input_377100!L:R,7,FALSE),VLOOKUP(tables_377100!C228,input_377100!A:H,8,FALSE))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input_377100!A$2</f>
        <v>377100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IFERROR(VLOOKUP(B229,input_377100!L:R,7,FALSE),VLOOKUP(tables_377100!C229,input_377100!A:H,8,FALSE))</f>
        <v>39580.800000000003</v>
      </c>
      <c r="P229" s="46">
        <f t="shared" ca="1" si="11"/>
        <v>5.4369230769604178E-3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hidden="1" customHeight="1" x14ac:dyDescent="0.15">
      <c r="A230" s="2" t="str">
        <f ca="1">input_377100!A$2</f>
        <v>377100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IFERROR(VLOOKUP(B230,input_377100!L:R,7,FALSE),VLOOKUP(tables_377100!C230,input_377100!A:H,8,FALSE))</f>
        <v>2083.1999999999998</v>
      </c>
      <c r="P230" s="46">
        <f t="shared" ca="1" si="11"/>
        <v>2.8615384615581142E-4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input_377100!A$2</f>
        <v>377100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IFERROR(VLOOKUP(B231,input_377100!L:R,7,FALSE),VLOOKUP(tables_377100!C231,input_377100!A:H,8,FALSE))</f>
        <v>4940</v>
      </c>
      <c r="P231" s="46">
        <f t="shared" ca="1" si="11"/>
        <v>6.78571428576089E-4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input_377100!A$2</f>
        <v>377100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IFERROR(VLOOKUP(B232,input_377100!L:R,7,FALSE),VLOOKUP(tables_377100!C232,input_377100!A:H,8,FALSE))</f>
        <v>260</v>
      </c>
      <c r="P232" s="46">
        <f t="shared" ca="1" si="11"/>
        <v>3.5714285714530997E-5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input_377100!A$2</f>
        <v>377100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IFERROR(VLOOKUP(B233,input_377100!L:R,7,FALSE),VLOOKUP(tables_377100!C233,input_377100!A:H,8,FALSE))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input_377100!A$2</f>
        <v>377100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IFERROR(VLOOKUP(B234,input_377100!L:R,7,FALSE),VLOOKUP(tables_377100!C234,input_377100!A:H,8,FALSE))</f>
        <v>39580.800000000003</v>
      </c>
      <c r="P234" s="46">
        <f t="shared" ca="1" si="11"/>
        <v>5.4369230769604178E-3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input_377100!A$2</f>
        <v>377100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IFERROR(VLOOKUP(B235,input_377100!L:R,7,FALSE),VLOOKUP(tables_377100!C235,input_377100!A:H,8,FALSE))</f>
        <v>2083.1999999999998</v>
      </c>
      <c r="P235" s="46">
        <f t="shared" ca="1" si="11"/>
        <v>2.8615384615581142E-4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input_377100!A$2</f>
        <v>377100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340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IFERROR(VLOOKUP(B236,input_377100!L:R,7,FALSE),VLOOKUP(tables_377100!C236,input_377100!A:H,8,FALSE))</f>
        <v>18861.818179999998</v>
      </c>
      <c r="P236" s="46">
        <f t="shared" ca="1" si="11"/>
        <v>2.5909090906771348E-3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input_377100!A$2</f>
        <v>377100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340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IFERROR(VLOOKUP(B237,input_377100!L:R,7,FALSE),VLOOKUP(tables_377100!C237,input_377100!A:H,8,FALSE))</f>
        <v>992.72726999999998</v>
      </c>
      <c r="P237" s="46">
        <f t="shared" ca="1" si="11"/>
        <v>1.3636363598994752E-4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input_377100!A$2</f>
        <v>377100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IFERROR(VLOOKUP(B238,input_377100!L:R,7,FALSE),VLOOKUP(tables_377100!C238,input_377100!A:H,8,FALSE))</f>
        <v>4940</v>
      </c>
      <c r="P238" s="46">
        <f t="shared" ca="1" si="11"/>
        <v>6.78571428576089E-4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input_377100!A$2</f>
        <v>377100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IFERROR(VLOOKUP(B239,input_377100!L:R,7,FALSE),VLOOKUP(tables_377100!C239,input_377100!A:H,8,FALSE))</f>
        <v>260</v>
      </c>
      <c r="P239" s="46">
        <f t="shared" ca="1" si="11"/>
        <v>3.5714285714530997E-5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input_377100!A$2</f>
        <v>377100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IFERROR(VLOOKUP(B240,input_377100!L:R,7,FALSE),VLOOKUP(tables_377100!C240,input_377100!A:H,8,FALSE))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input_377100!A$2</f>
        <v>377100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IFERROR(VLOOKUP(B241,input_377100!L:R,7,FALSE),VLOOKUP(tables_377100!C241,input_377100!A:H,8,FALSE))</f>
        <v>39580.800000000003</v>
      </c>
      <c r="P241" s="46">
        <f t="shared" ca="1" si="11"/>
        <v>5.4369230769604178E-3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input_377100!A$2</f>
        <v>377100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IFERROR(VLOOKUP(B242,input_377100!L:R,7,FALSE),VLOOKUP(tables_377100!C242,input_377100!A:H,8,FALSE))</f>
        <v>2083.1999999999998</v>
      </c>
      <c r="P242" s="46">
        <f t="shared" ca="1" si="11"/>
        <v>2.8615384615581142E-4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input_377100!A$2</f>
        <v>377100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IFERROR(VLOOKUP(B243,input_377100!L:R,7,FALSE),VLOOKUP(tables_377100!C243,input_377100!A:H,8,FALSE))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input_377100!A$2</f>
        <v>377100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IFERROR(VLOOKUP(B244,input_377100!L:R,7,FALSE),VLOOKUP(tables_377100!C244,input_377100!A:H,8,FALSE))</f>
        <v>39580.800000000003</v>
      </c>
      <c r="P244" s="46">
        <f t="shared" ca="1" si="11"/>
        <v>5.4369230769604178E-3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hidden="1" customHeight="1" x14ac:dyDescent="0.15">
      <c r="A245" s="2" t="str">
        <f ca="1">input_377100!A$2</f>
        <v>377100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IFERROR(VLOOKUP(B245,input_377100!L:R,7,FALSE),VLOOKUP(tables_377100!C245,input_377100!A:H,8,FALSE))</f>
        <v>2083.1999999999998</v>
      </c>
      <c r="P245" s="46">
        <f t="shared" ca="1" si="11"/>
        <v>2.8615384615581142E-4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input_377100!A$2</f>
        <v>377100</v>
      </c>
      <c r="B246" s="60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340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IFERROR(VLOOKUP(B246,input_377100!L:R,7,FALSE),VLOOKUP(tables_377100!C246,input_377100!A:H,8,FALSE))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input_377100!A$2</f>
        <v>377100</v>
      </c>
      <c r="B247" s="60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340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IFERROR(VLOOKUP(B247,input_377100!L:R,7,FALSE),VLOOKUP(tables_377100!C247,input_377100!A:H,8,FALSE))</f>
        <v>192956.4</v>
      </c>
      <c r="P247" s="46">
        <f t="shared" ca="1" si="11"/>
        <v>2.6505000000182036E-2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hidden="1" customHeight="1" x14ac:dyDescent="0.15">
      <c r="A248" s="2" t="str">
        <f ca="1">input_377100!A$2</f>
        <v>377100</v>
      </c>
      <c r="B248" s="60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340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IFERROR(VLOOKUP(B248,input_377100!L:R,7,FALSE),VLOOKUP(tables_377100!C248,input_377100!A:H,8,FALSE))</f>
        <v>10155.6</v>
      </c>
      <c r="P248" s="46">
        <f t="shared" ca="1" si="11"/>
        <v>1.3950000000095809E-3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input_377100!A$2</f>
        <v>377100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IFERROR(VLOOKUP(B249,input_377100!L:R,7,FALSE),VLOOKUP(tables_377100!C249,input_377100!A:H,8,FALSE))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input_377100!A$2</f>
        <v>377100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IFERROR(VLOOKUP(B250,input_377100!L:R,7,FALSE),VLOOKUP(tables_377100!C250,input_377100!A:H,8,FALSE))</f>
        <v>39580.800000000003</v>
      </c>
      <c r="P250" s="46">
        <f t="shared" ca="1" si="11"/>
        <v>5.4369230769604178E-3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hidden="1" customHeight="1" x14ac:dyDescent="0.15">
      <c r="A251" s="2" t="str">
        <f ca="1">input_377100!A$2</f>
        <v>377100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IFERROR(VLOOKUP(B251,input_377100!L:R,7,FALSE),VLOOKUP(tables_377100!C251,input_377100!A:H,8,FALSE))</f>
        <v>2083.1999999999998</v>
      </c>
      <c r="P251" s="46">
        <f t="shared" ca="1" si="11"/>
        <v>2.8615384615581142E-4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input_377100!A$2</f>
        <v>377100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IFERROR(VLOOKUP(B252,input_377100!L:R,7,FALSE),VLOOKUP(tables_377100!C252,input_377100!A:H,8,FALSE))</f>
        <v>4940</v>
      </c>
      <c r="P252" s="46">
        <f t="shared" ca="1" si="11"/>
        <v>6.78571428576089E-4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input_377100!A$2</f>
        <v>377100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IFERROR(VLOOKUP(B253,input_377100!L:R,7,FALSE),VLOOKUP(tables_377100!C253,input_377100!A:H,8,FALSE))</f>
        <v>260</v>
      </c>
      <c r="P253" s="46">
        <f t="shared" ca="1" si="11"/>
        <v>3.5714285714530997E-5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input_377100!A$2</f>
        <v>377100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IFERROR(VLOOKUP(B254,input_377100!L:R,7,FALSE),VLOOKUP(tables_377100!C254,input_377100!A:H,8,FALSE))</f>
        <v>4940</v>
      </c>
      <c r="P254" s="46">
        <f t="shared" ca="1" si="11"/>
        <v>6.78571428576089E-4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input_377100!A$2</f>
        <v>377100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IFERROR(VLOOKUP(B255,input_377100!L:R,7,FALSE),VLOOKUP(tables_377100!C255,input_377100!A:H,8,FALSE))</f>
        <v>260</v>
      </c>
      <c r="P255" s="46">
        <f t="shared" ca="1" si="11"/>
        <v>3.5714285714530997E-5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input_377100!A$2</f>
        <v>377100</v>
      </c>
      <c r="B256" s="60">
        <v>728</v>
      </c>
      <c r="C256" s="7" t="str">
        <f t="shared" si="9"/>
        <v>Premium4R3lesscolor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">
        <v>340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IFERROR(VLOOKUP(B256,input_377100!L:R,7,FALSE),VLOOKUP(tables_377100!C256,input_377100!A:H,8,FALSE))</f>
        <v>193676.12727</v>
      </c>
      <c r="P256" s="46">
        <f t="shared" ca="1" si="11"/>
        <v>2.6603863636171725E-2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hidden="1" customHeight="1" x14ac:dyDescent="0.15">
      <c r="A257" s="2" t="str">
        <f ca="1">input_377100!A$2</f>
        <v>377100</v>
      </c>
      <c r="B257" s="60">
        <v>729</v>
      </c>
      <c r="C257" s="7" t="str">
        <f t="shared" si="9"/>
        <v>Premium5R3lesscolor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">
        <v>340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IFERROR(VLOOKUP(B257,input_377100!L:R,7,FALSE),VLOOKUP(tables_377100!C257,input_377100!A:H,8,FALSE))</f>
        <v>9435.8727299999991</v>
      </c>
      <c r="P257" s="46">
        <f t="shared" ca="1" si="11"/>
        <v>1.2961363640198907E-3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input_377100!A$2</f>
        <v>377100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IFERROR(VLOOKUP(B258,input_377100!L:R,7,FALSE),VLOOKUP(tables_377100!C258,input_377100!A:H,8,FALSE))</f>
        <v>40346.514289999999</v>
      </c>
      <c r="P258" s="46">
        <f t="shared" ref="P258:P295" ca="1" si="14">O258/SUM(O:O)</f>
        <v>5.5421036113017996E-3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hidden="1" customHeight="1" x14ac:dyDescent="0.15">
      <c r="A259" s="2" t="str">
        <f ca="1">input_377100!A$2</f>
        <v>377100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IFERROR(VLOOKUP(B259,input_377100!L:R,7,FALSE),VLOOKUP(tables_377100!C259,input_377100!A:H,8,FALSE))</f>
        <v>1317.4857099999999</v>
      </c>
      <c r="P259" s="46">
        <f t="shared" ca="1" si="14"/>
        <v>1.8097331181442974E-4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input_377100!A$2</f>
        <v>377100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IFERROR(VLOOKUP(B260,input_377100!L:R,7,FALSE),VLOOKUP(tables_377100!C260,input_377100!A:H,8,FALSE))</f>
        <v>5200</v>
      </c>
      <c r="P260" s="46">
        <f t="shared" ca="1" si="14"/>
        <v>7.1428571429061997E-4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input_377100!A$2</f>
        <v>377100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IFERROR(VLOOKUP(B261,input_377100!L:R,7,FALSE),VLOOKUP(tables_377100!C261,input_377100!A:H,8,FALSE))</f>
        <v>5200</v>
      </c>
      <c r="P261" s="46">
        <f t="shared" ca="1" si="14"/>
        <v>7.1428571429061997E-4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input_377100!A$2</f>
        <v>377100</v>
      </c>
      <c r="B262" s="60">
        <v>770</v>
      </c>
      <c r="C262" s="7" t="str">
        <f t="shared" si="12"/>
        <v>PremiumSS4color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340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IFERROR(VLOOKUP(B262,input_377100!L:R,7,FALSE),VLOOKUP(tables_377100!C262,input_377100!A:H,8,FALSE))</f>
        <v>18861.818179999998</v>
      </c>
      <c r="P262" s="46">
        <f t="shared" ca="1" si="14"/>
        <v>2.5909090906771348E-3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input_377100!A$2</f>
        <v>377100</v>
      </c>
      <c r="B263" s="60">
        <v>771</v>
      </c>
      <c r="C263" s="7" t="str">
        <f t="shared" si="12"/>
        <v>PremiumSS5color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340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IFERROR(VLOOKUP(B263,input_377100!L:R,7,FALSE),VLOOKUP(tables_377100!C263,input_377100!A:H,8,FALSE))</f>
        <v>992.72726999999998</v>
      </c>
      <c r="P263" s="46">
        <f t="shared" ca="1" si="14"/>
        <v>1.3636363598994752E-4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input_377100!A$2</f>
        <v>377100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IFERROR(VLOOKUP(B264,input_377100!L:R,7,FALSE),VLOOKUP(tables_377100!C264,input_377100!A:H,8,FALSE))</f>
        <v>4940</v>
      </c>
      <c r="P264" s="46">
        <f t="shared" ca="1" si="14"/>
        <v>6.78571428576089E-4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input_377100!A$2</f>
        <v>377100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IFERROR(VLOOKUP(B265,input_377100!L:R,7,FALSE),VLOOKUP(tables_377100!C265,input_377100!A:H,8,FALSE))</f>
        <v>260</v>
      </c>
      <c r="P265" s="46">
        <f t="shared" ca="1" si="14"/>
        <v>3.5714285714530997E-5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input_377100!A$2</f>
        <v>377100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IFERROR(VLOOKUP(B266,input_377100!L:R,7,FALSE),VLOOKUP(tables_377100!C266,input_377100!A:H,8,FALSE))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input_377100!A$2</f>
        <v>377100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IFERROR(VLOOKUP(B267,input_377100!L:R,7,FALSE),VLOOKUP(tables_377100!C267,input_377100!A:H,8,FALSE))</f>
        <v>39580.800000000003</v>
      </c>
      <c r="P267" s="46">
        <f t="shared" ca="1" si="14"/>
        <v>5.4369230769604178E-3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hidden="1" customHeight="1" x14ac:dyDescent="0.15">
      <c r="A268" s="2" t="str">
        <f ca="1">input_377100!A$2</f>
        <v>377100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IFERROR(VLOOKUP(B268,input_377100!L:R,7,FALSE),VLOOKUP(tables_377100!C268,input_377100!A:H,8,FALSE))</f>
        <v>2083.1999999999998</v>
      </c>
      <c r="P268" s="46">
        <f t="shared" ca="1" si="14"/>
        <v>2.8615384615581142E-4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input_377100!A$2</f>
        <v>377100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IFERROR(VLOOKUP(B269,input_377100!L:R,7,FALSE),VLOOKUP(tables_377100!C269,input_377100!A:H,8,FALSE))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input_377100!A$2</f>
        <v>377100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IFERROR(VLOOKUP(B270,input_377100!L:R,7,FALSE),VLOOKUP(tables_377100!C270,input_377100!A:H,8,FALSE))</f>
        <v>39580.800000000003</v>
      </c>
      <c r="P270" s="46">
        <f t="shared" ca="1" si="14"/>
        <v>5.4369230769604178E-3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hidden="1" customHeight="1" x14ac:dyDescent="0.15">
      <c r="A271" s="2" t="str">
        <f ca="1">input_377100!A$2</f>
        <v>377100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IFERROR(VLOOKUP(B271,input_377100!L:R,7,FALSE),VLOOKUP(tables_377100!C271,input_377100!A:H,8,FALSE))</f>
        <v>2083.1999999999998</v>
      </c>
      <c r="P271" s="46">
        <f t="shared" ca="1" si="14"/>
        <v>2.8615384615581142E-4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input_377100!A$2</f>
        <v>377100</v>
      </c>
      <c r="B272" s="83">
        <v>848</v>
      </c>
      <c r="C272" s="7" t="str">
        <f t="shared" si="12"/>
        <v>PremiumSS5R5onlycolor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340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IFERROR(VLOOKUP(B272,input_377100!L:R,7,FALSE),VLOOKUP(tables_377100!C272,input_377100!A:H,8,FALSE))</f>
        <v>19854.545450000001</v>
      </c>
      <c r="P272" s="46">
        <f t="shared" ca="1" si="14"/>
        <v>2.7272727266670826E-3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input_377100!A$2</f>
        <v>377100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IFERROR(VLOOKUP(B273,input_377100!L:R,7,FALSE),VLOOKUP(tables_377100!C273,input_377100!A:H,8,FALSE))</f>
        <v>5200</v>
      </c>
      <c r="P273" s="46">
        <f t="shared" ca="1" si="14"/>
        <v>7.1428571429061997E-4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input_377100!A$2</f>
        <v>377100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IFERROR(VLOOKUP(B274,input_377100!L:R,7,FALSE),VLOOKUP(tables_377100!C274,input_377100!A:H,8,FALSE))</f>
        <v>40346.514289999999</v>
      </c>
      <c r="P274" s="46">
        <f t="shared" ca="1" si="14"/>
        <v>5.5421036113017996E-3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hidden="1" customHeight="1" x14ac:dyDescent="0.15">
      <c r="A275" s="2" t="str">
        <f ca="1">input_377100!A$2</f>
        <v>377100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IFERROR(VLOOKUP(B275,input_377100!L:R,7,FALSE),VLOOKUP(tables_377100!C275,input_377100!A:H,8,FALSE))</f>
        <v>1317.4857099999999</v>
      </c>
      <c r="P275" s="46">
        <f t="shared" ca="1" si="14"/>
        <v>1.8097331181442974E-4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input_377100!A$2</f>
        <v>377100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IFERROR(VLOOKUP(B276,input_377100!L:R,7,FALSE),VLOOKUP(tables_377100!C276,input_377100!A:H,8,FALSE))</f>
        <v>40346.514289999999</v>
      </c>
      <c r="P276" s="46">
        <f t="shared" ca="1" si="14"/>
        <v>5.5421036113017996E-3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hidden="1" customHeight="1" x14ac:dyDescent="0.15">
      <c r="A277" s="2" t="str">
        <f ca="1">input_377100!A$2</f>
        <v>377100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IFERROR(VLOOKUP(B277,input_377100!L:R,7,FALSE),VLOOKUP(tables_377100!C277,input_377100!A:H,8,FALSE))</f>
        <v>1317.4857099999999</v>
      </c>
      <c r="P277" s="46">
        <f t="shared" ca="1" si="14"/>
        <v>1.8097331181442974E-4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input_377100!A$2</f>
        <v>377100</v>
      </c>
      <c r="B278" s="83">
        <v>862</v>
      </c>
      <c r="C278" s="7" t="str">
        <f t="shared" si="12"/>
        <v>Premium4R3lesscolor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340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IFERROR(VLOOKUP(B278,input_377100!L:R,7,FALSE),VLOOKUP(tables_377100!C278,input_377100!A:H,8,FALSE))</f>
        <v>193676.12727</v>
      </c>
      <c r="P278" s="46">
        <f t="shared" ca="1" si="14"/>
        <v>2.6603863636171725E-2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input_377100!A$2</f>
        <v>377100</v>
      </c>
      <c r="B279" s="83">
        <v>863</v>
      </c>
      <c r="C279" s="7" t="str">
        <f t="shared" si="12"/>
        <v>Premium5R3lesscolor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340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IFERROR(VLOOKUP(B279,input_377100!L:R,7,FALSE),VLOOKUP(tables_377100!C279,input_377100!A:H,8,FALSE))</f>
        <v>9435.8727299999991</v>
      </c>
      <c r="P279" s="46">
        <f t="shared" ca="1" si="14"/>
        <v>1.2961363640198907E-3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input_377100!A$2</f>
        <v>377100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IFERROR(VLOOKUP(B280,input_377100!L:R,7,FALSE),VLOOKUP(tables_377100!C280,input_377100!A:H,8,FALSE))</f>
        <v>40346.514289999999</v>
      </c>
      <c r="P280" s="46">
        <f t="shared" ca="1" si="14"/>
        <v>5.5421036113017996E-3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input_377100!A$2</f>
        <v>377100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IFERROR(VLOOKUP(B281,input_377100!L:R,7,FALSE),VLOOKUP(tables_377100!C281,input_377100!A:H,8,FALSE))</f>
        <v>1317.4857099999999</v>
      </c>
      <c r="P281" s="46">
        <f t="shared" ca="1" si="14"/>
        <v>1.8097331181442974E-4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input_377100!A$2</f>
        <v>377100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IFERROR(VLOOKUP(B282,input_377100!L:R,7,FALSE),VLOOKUP(tables_377100!C282,input_377100!A:H,8,FALSE))</f>
        <v>5200</v>
      </c>
      <c r="P282" s="46">
        <f t="shared" ca="1" si="14"/>
        <v>7.1428571429061997E-4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input_377100!A$2</f>
        <v>377100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IFERROR(VLOOKUP(B283,input_377100!L:R,7,FALSE),VLOOKUP(tables_377100!C283,input_377100!A:H,8,FALSE))</f>
        <v>5200</v>
      </c>
      <c r="P283" s="46">
        <f t="shared" ca="1" si="14"/>
        <v>7.1428571429061997E-4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input_377100!A$2</f>
        <v>377100</v>
      </c>
      <c r="B284" s="83">
        <v>742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">
        <v>340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IFERROR(VLOOKUP(B284,input_377100!L:R,7,FALSE),VLOOKUP(tables_377100!C284,input_377100!A:H,8,FALSE))</f>
        <v>19854.545450000001</v>
      </c>
      <c r="P284" s="46">
        <f t="shared" ca="1" si="14"/>
        <v>2.7272727266670826E-3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input_377100!A$2</f>
        <v>377100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IFERROR(VLOOKUP(B285,input_377100!L:R,7,FALSE),VLOOKUP(tables_377100!C285,input_377100!A:H,8,FALSE))</f>
        <v>5200</v>
      </c>
      <c r="P285" s="46">
        <f t="shared" ca="1" si="14"/>
        <v>7.1428571429061997E-4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input_377100!A$2</f>
        <v>377100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IFERROR(VLOOKUP(B286,input_377100!L:R,7,FALSE),VLOOKUP(tables_377100!C286,input_377100!A:H,8,FALSE))</f>
        <v>40346.514289999999</v>
      </c>
      <c r="P286" s="46">
        <f t="shared" ca="1" si="14"/>
        <v>5.5421036113017996E-3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hidden="1" customHeight="1" x14ac:dyDescent="0.15">
      <c r="A287" s="2" t="str">
        <f ca="1">input_377100!A$2</f>
        <v>377100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IFERROR(VLOOKUP(B287,input_377100!L:R,7,FALSE),VLOOKUP(tables_377100!C287,input_377100!A:H,8,FALSE))</f>
        <v>1317.4857099999999</v>
      </c>
      <c r="P287" s="46">
        <f t="shared" ca="1" si="14"/>
        <v>1.8097331181442974E-4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input_377100!A$2</f>
        <v>377100</v>
      </c>
      <c r="B288" s="83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IFERROR(VLOOKUP(B288,input_377100!L:R,7,FALSE),VLOOKUP(tables_377100!C288,input_377100!A:H,8,FALSE))</f>
        <v>40346.514289999999</v>
      </c>
      <c r="P288" s="46">
        <f t="shared" ca="1" si="14"/>
        <v>5.5421036113017996E-3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hidden="1" customHeight="1" x14ac:dyDescent="0.15">
      <c r="A289" s="2" t="str">
        <f ca="1">input_377100!A$2</f>
        <v>377100</v>
      </c>
      <c r="B289" s="83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IFERROR(VLOOKUP(B289,input_377100!L:R,7,FALSE),VLOOKUP(tables_377100!C289,input_377100!A:H,8,FALSE))</f>
        <v>1317.4857099999999</v>
      </c>
      <c r="P289" s="46">
        <f t="shared" ca="1" si="14"/>
        <v>1.8097331181442974E-4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input_377100!A$2</f>
        <v>377100</v>
      </c>
      <c r="B290" s="83">
        <v>937</v>
      </c>
      <c r="C290" s="7" t="str">
        <f t="shared" si="15"/>
        <v>PremiumSS5R5onlycolor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">
        <v>340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IFERROR(VLOOKUP(B290,input_377100!L:R,7,FALSE),VLOOKUP(tables_377100!C290,input_377100!A:H,8,FALSE))</f>
        <v>19854.545450000001</v>
      </c>
      <c r="P290" s="46">
        <f t="shared" ca="1" si="14"/>
        <v>2.7272727266670826E-3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input_377100!A$2</f>
        <v>377100</v>
      </c>
      <c r="B291" s="83">
        <v>939</v>
      </c>
      <c r="C291" s="7" t="str">
        <f t="shared" ref="C291:C295" si="17">D291&amp;J291&amp;E291&amp;F291&amp;G291</f>
        <v>Premium4R3less</v>
      </c>
      <c r="D291" s="7" t="str">
        <f t="shared" ref="D291:D295" si="18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IFERROR(VLOOKUP(B291,input_377100!L:R,7,FALSE),VLOOKUP(tables_377100!C291,input_377100!A:H,8,FALSE))</f>
        <v>40346.514289999999</v>
      </c>
      <c r="P291" s="46">
        <f t="shared" ca="1" si="14"/>
        <v>5.5421036113017996E-3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input_377100!A$2</f>
        <v>377100</v>
      </c>
      <c r="B292" s="83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IFERROR(VLOOKUP(B292,input_377100!L:R,7,FALSE),VLOOKUP(tables_377100!C292,input_377100!A:H,8,FALSE))</f>
        <v>1317.4857099999999</v>
      </c>
      <c r="P292" s="46">
        <f t="shared" ca="1" si="14"/>
        <v>1.8097331181442974E-4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input_377100!A$2</f>
        <v>377100</v>
      </c>
      <c r="B293" s="83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IFERROR(VLOOKUP(B293,input_377100!L:R,7,FALSE),VLOOKUP(tables_377100!C293,input_377100!A:H,8,FALSE))</f>
        <v>5200</v>
      </c>
      <c r="P293" s="46">
        <f t="shared" ca="1" si="14"/>
        <v>7.1428571429061997E-4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input_377100!A$2</f>
        <v>377100</v>
      </c>
      <c r="B294" s="83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IFERROR(VLOOKUP(B294,input_377100!L:R,7,FALSE),VLOOKUP(tables_377100!C294,input_377100!A:H,8,FALSE))</f>
        <v>5200</v>
      </c>
      <c r="P294" s="46">
        <f t="shared" ca="1" si="14"/>
        <v>7.1428571429061997E-4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hidden="1" customHeight="1" x14ac:dyDescent="0.15">
      <c r="A295" s="2" t="str">
        <f ca="1">input_377100!A$2</f>
        <v>377100</v>
      </c>
      <c r="B295" s="83">
        <v>786</v>
      </c>
      <c r="C295" s="7" t="str">
        <f t="shared" si="17"/>
        <v>PremiumSSS5R3lesscolor</v>
      </c>
      <c r="D295" s="7" t="str">
        <f t="shared" si="18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53</v>
      </c>
      <c r="H295" s="7" t="str">
        <f>VLOOKUP(B295,[1]characters!$A:$C,3,FALSE)</f>
        <v>ヘイウェイ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dragon</v>
      </c>
      <c r="N295" s="7" t="str">
        <f>VLOOKUP(B295,[1]characters!$A:$G,7,FALSE)</f>
        <v>男性</v>
      </c>
      <c r="O295" s="45">
        <f ca="1">IFERROR(VLOOKUP(B295,input_377100!L:R,7,FALSE),VLOOKUP(tables_377100!C295,input_377100!A:H,8,FALSE))</f>
        <v>145600</v>
      </c>
      <c r="P295" s="46">
        <f t="shared" ca="1" si="14"/>
        <v>2.0000000000137359E-2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5">
    <filterColumn colId="8">
      <filters>
        <filter val="PremiumSS"/>
      </filters>
    </filterColumn>
  </autoFilter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"/>
  <sheetViews>
    <sheetView showGridLines="0" tabSelected="1" zoomScale="75" zoomScaleNormal="75" zoomScalePageLayoutView="75" workbookViewId="0">
      <pane ySplit="1" topLeftCell="A2" activePane="bottomLeft" state="frozen"/>
      <selection activeCell="L296" sqref="L296"/>
      <selection pane="bottomLeft" activeCell="O26" sqref="O2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377103</v>
      </c>
      <c r="B2" s="6">
        <v>168</v>
      </c>
      <c r="C2" s="7" t="s">
        <v>201</v>
      </c>
      <c r="D2" s="7" t="s">
        <v>285</v>
      </c>
      <c r="E2" s="7" t="s">
        <v>286</v>
      </c>
      <c r="F2" s="7" t="s">
        <v>287</v>
      </c>
      <c r="G2" s="7"/>
      <c r="H2" s="7" t="s">
        <v>288</v>
      </c>
      <c r="I2" s="7" t="s">
        <v>289</v>
      </c>
      <c r="J2" s="7">
        <v>5</v>
      </c>
      <c r="K2" s="7" t="s">
        <v>290</v>
      </c>
      <c r="L2" s="7" t="s">
        <v>291</v>
      </c>
      <c r="M2" s="7" t="s">
        <v>292</v>
      </c>
      <c r="N2" s="7" t="s">
        <v>293</v>
      </c>
      <c r="O2" s="45">
        <f>ROUND(1000*(1-0.05-0.004)*100/COUNTIFS(D$2:D$28,"&lt;&gt;PremiumSS",D$2:D$28,"&lt;&gt;PremiumSSS"),0)</f>
        <v>6307</v>
      </c>
      <c r="P2" s="46">
        <f>O2/SUM(O:O)</f>
        <v>6.3063693630636936E-2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377103</v>
      </c>
      <c r="B3" s="6">
        <v>180</v>
      </c>
      <c r="C3" s="7" t="s">
        <v>108</v>
      </c>
      <c r="D3" s="7" t="s">
        <v>285</v>
      </c>
      <c r="E3" s="7" t="s">
        <v>286</v>
      </c>
      <c r="F3" s="7" t="s">
        <v>286</v>
      </c>
      <c r="G3" s="7"/>
      <c r="H3" s="7" t="s">
        <v>294</v>
      </c>
      <c r="I3" s="7" t="s">
        <v>289</v>
      </c>
      <c r="J3" s="7">
        <v>5</v>
      </c>
      <c r="K3" s="7" t="s">
        <v>290</v>
      </c>
      <c r="L3" s="7" t="s">
        <v>295</v>
      </c>
      <c r="M3" s="7" t="s">
        <v>296</v>
      </c>
      <c r="N3" s="7" t="s">
        <v>297</v>
      </c>
      <c r="O3" s="45">
        <f>ROUND(1000*(1-0.05-0.004)*100/COUNTIFS(D$2:D$28,"&lt;&gt;PremiumSS",D$2:D$28,"&lt;&gt;PremiumSSS"),0)</f>
        <v>6307</v>
      </c>
      <c r="P3" s="46">
        <f t="shared" ref="P3:P27" si="0">O3/SUM(O:O)</f>
        <v>6.3063693630636936E-2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377103</v>
      </c>
      <c r="B4" s="6">
        <v>192</v>
      </c>
      <c r="C4" s="7" t="s">
        <v>108</v>
      </c>
      <c r="D4" s="7" t="s">
        <v>285</v>
      </c>
      <c r="E4" s="7" t="s">
        <v>286</v>
      </c>
      <c r="F4" s="7" t="s">
        <v>286</v>
      </c>
      <c r="G4" s="7"/>
      <c r="H4" s="7" t="s">
        <v>298</v>
      </c>
      <c r="I4" s="7" t="s">
        <v>289</v>
      </c>
      <c r="J4" s="7">
        <v>5</v>
      </c>
      <c r="K4" s="7" t="s">
        <v>290</v>
      </c>
      <c r="L4" s="7" t="s">
        <v>295</v>
      </c>
      <c r="M4" s="7" t="s">
        <v>299</v>
      </c>
      <c r="N4" s="7" t="s">
        <v>297</v>
      </c>
      <c r="O4" s="45">
        <f>ROUND(1000*(1-0.05-0.004)*100/COUNTIFS(D$2:D$28,"&lt;&gt;PremiumSS",D$2:D$28,"&lt;&gt;PremiumSSS"),0)</f>
        <v>6307</v>
      </c>
      <c r="P4" s="46">
        <f t="shared" si="0"/>
        <v>6.3063693630636936E-2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377103</v>
      </c>
      <c r="B5" s="5">
        <v>204</v>
      </c>
      <c r="C5" s="7" t="s">
        <v>108</v>
      </c>
      <c r="D5" s="7" t="s">
        <v>285</v>
      </c>
      <c r="E5" s="7" t="s">
        <v>286</v>
      </c>
      <c r="F5" s="7" t="s">
        <v>286</v>
      </c>
      <c r="G5" s="7"/>
      <c r="H5" s="7" t="s">
        <v>300</v>
      </c>
      <c r="I5" s="7" t="s">
        <v>289</v>
      </c>
      <c r="J5" s="7">
        <v>5</v>
      </c>
      <c r="K5" s="7" t="s">
        <v>290</v>
      </c>
      <c r="L5" s="7" t="s">
        <v>301</v>
      </c>
      <c r="M5" s="7" t="s">
        <v>292</v>
      </c>
      <c r="N5" s="7" t="s">
        <v>293</v>
      </c>
      <c r="O5" s="45">
        <f>ROUND(1000*(1-0.05-0.004)*100/COUNTIFS(D$2:D$28,"&lt;&gt;PremiumSS",D$2:D$28,"&lt;&gt;PremiumSSS"),0)</f>
        <v>6307</v>
      </c>
      <c r="P5" s="46">
        <f t="shared" si="0"/>
        <v>6.3063693630636936E-2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377103</v>
      </c>
      <c r="B6" s="5">
        <v>216</v>
      </c>
      <c r="C6" s="7" t="s">
        <v>108</v>
      </c>
      <c r="D6" s="7" t="s">
        <v>285</v>
      </c>
      <c r="E6" s="7" t="s">
        <v>286</v>
      </c>
      <c r="F6" s="7" t="s">
        <v>286</v>
      </c>
      <c r="G6" s="7"/>
      <c r="H6" s="7" t="s">
        <v>302</v>
      </c>
      <c r="I6" s="7" t="s">
        <v>289</v>
      </c>
      <c r="J6" s="7">
        <v>5</v>
      </c>
      <c r="K6" s="7" t="s">
        <v>290</v>
      </c>
      <c r="L6" s="7" t="s">
        <v>295</v>
      </c>
      <c r="M6" s="7" t="s">
        <v>292</v>
      </c>
      <c r="N6" s="7" t="s">
        <v>297</v>
      </c>
      <c r="O6" s="45">
        <f>ROUND(1000*(1-0.05-0.004)*100/COUNTIFS(D$2:D$28,"&lt;&gt;PremiumSS",D$2:D$28,"&lt;&gt;PremiumSSS"),0)</f>
        <v>6307</v>
      </c>
      <c r="P6" s="46">
        <f t="shared" si="0"/>
        <v>6.3063693630636936E-2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377103</v>
      </c>
      <c r="B7" s="5">
        <v>228</v>
      </c>
      <c r="C7" s="7" t="s">
        <v>108</v>
      </c>
      <c r="D7" s="7" t="s">
        <v>285</v>
      </c>
      <c r="E7" s="7" t="s">
        <v>286</v>
      </c>
      <c r="F7" s="7" t="s">
        <v>286</v>
      </c>
      <c r="G7" s="7"/>
      <c r="H7" s="7" t="s">
        <v>303</v>
      </c>
      <c r="I7" s="7" t="s">
        <v>304</v>
      </c>
      <c r="J7" s="7">
        <v>5</v>
      </c>
      <c r="K7" s="7" t="s">
        <v>290</v>
      </c>
      <c r="L7" s="7" t="s">
        <v>291</v>
      </c>
      <c r="M7" s="7" t="s">
        <v>292</v>
      </c>
      <c r="N7" s="7" t="s">
        <v>293</v>
      </c>
      <c r="O7" s="45">
        <f>ROUND(1000*(1-0.05-0.004)*100/COUNTIFS(D$2:D$28,"&lt;&gt;PremiumSS",D$2:D$28,"&lt;&gt;PremiumSSS"),0)</f>
        <v>6307</v>
      </c>
      <c r="P7" s="46">
        <f t="shared" si="0"/>
        <v>6.3063693630636936E-2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377103</v>
      </c>
      <c r="B8" s="5">
        <v>240</v>
      </c>
      <c r="C8" s="7" t="s">
        <v>108</v>
      </c>
      <c r="D8" s="7" t="s">
        <v>285</v>
      </c>
      <c r="E8" s="7" t="s">
        <v>286</v>
      </c>
      <c r="F8" s="7" t="s">
        <v>286</v>
      </c>
      <c r="G8" s="7"/>
      <c r="H8" s="7" t="s">
        <v>305</v>
      </c>
      <c r="I8" s="7" t="s">
        <v>304</v>
      </c>
      <c r="J8" s="7">
        <v>5</v>
      </c>
      <c r="K8" s="7" t="s">
        <v>290</v>
      </c>
      <c r="L8" s="7" t="s">
        <v>301</v>
      </c>
      <c r="M8" s="7" t="s">
        <v>306</v>
      </c>
      <c r="N8" s="7" t="s">
        <v>297</v>
      </c>
      <c r="O8" s="45">
        <f>ROUND(1000*(1-0.05-0.004)*100/COUNTIFS(D$2:D$28,"&lt;&gt;PremiumSS",D$2:D$28,"&lt;&gt;PremiumSSS"),0)</f>
        <v>6307</v>
      </c>
      <c r="P8" s="46">
        <f t="shared" si="0"/>
        <v>6.3063693630636936E-2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377103</v>
      </c>
      <c r="B9" s="6">
        <v>252</v>
      </c>
      <c r="C9" s="7" t="s">
        <v>108</v>
      </c>
      <c r="D9" s="7" t="s">
        <v>285</v>
      </c>
      <c r="E9" s="7" t="s">
        <v>286</v>
      </c>
      <c r="F9" s="7" t="s">
        <v>286</v>
      </c>
      <c r="G9" s="7"/>
      <c r="H9" s="7" t="s">
        <v>307</v>
      </c>
      <c r="I9" s="7" t="s">
        <v>304</v>
      </c>
      <c r="J9" s="7">
        <v>5</v>
      </c>
      <c r="K9" s="7" t="s">
        <v>290</v>
      </c>
      <c r="L9" s="7" t="s">
        <v>295</v>
      </c>
      <c r="M9" s="7" t="s">
        <v>292</v>
      </c>
      <c r="N9" s="7" t="s">
        <v>297</v>
      </c>
      <c r="O9" s="45">
        <f>ROUND(1000*(1-0.05-0.004)*100/COUNTIFS(D$2:D$28,"&lt;&gt;PremiumSS",D$2:D$28,"&lt;&gt;PremiumSSS"),0)</f>
        <v>6307</v>
      </c>
      <c r="P9" s="46">
        <f t="shared" si="0"/>
        <v>6.3063693630636936E-2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377103</v>
      </c>
      <c r="B10" s="6">
        <v>321</v>
      </c>
      <c r="C10" s="7" t="s">
        <v>308</v>
      </c>
      <c r="D10" s="7" t="s">
        <v>309</v>
      </c>
      <c r="E10" s="7" t="s">
        <v>286</v>
      </c>
      <c r="F10" s="7" t="s">
        <v>286</v>
      </c>
      <c r="G10" s="7"/>
      <c r="H10" s="7" t="s">
        <v>310</v>
      </c>
      <c r="I10" s="7" t="s">
        <v>309</v>
      </c>
      <c r="J10" s="7">
        <v>5</v>
      </c>
      <c r="K10" s="7" t="s">
        <v>290</v>
      </c>
      <c r="L10" s="7" t="s">
        <v>301</v>
      </c>
      <c r="M10" s="7" t="s">
        <v>299</v>
      </c>
      <c r="N10" s="7" t="s">
        <v>293</v>
      </c>
      <c r="O10" s="45">
        <f>ROUND(1000*0.05*100/COUNTIF(D$2:D$28,"=PremiumSS"),0)</f>
        <v>455</v>
      </c>
      <c r="P10" s="46">
        <f t="shared" si="0"/>
        <v>4.5495450454954506E-3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377103</v>
      </c>
      <c r="B11" s="6">
        <v>382</v>
      </c>
      <c r="C11" s="7" t="s">
        <v>108</v>
      </c>
      <c r="D11" s="7" t="s">
        <v>285</v>
      </c>
      <c r="E11" s="7" t="s">
        <v>286</v>
      </c>
      <c r="F11" s="7" t="s">
        <v>286</v>
      </c>
      <c r="G11" s="7"/>
      <c r="H11" s="7" t="s">
        <v>311</v>
      </c>
      <c r="I11" s="7" t="s">
        <v>304</v>
      </c>
      <c r="J11" s="7">
        <v>5</v>
      </c>
      <c r="K11" s="7" t="s">
        <v>290</v>
      </c>
      <c r="L11" s="7" t="s">
        <v>312</v>
      </c>
      <c r="M11" s="7" t="s">
        <v>313</v>
      </c>
      <c r="N11" s="7" t="s">
        <v>297</v>
      </c>
      <c r="O11" s="45">
        <f>ROUND(1000*(1-0.05-0.004)*100/COUNTIFS(D$2:D$28,"&lt;&gt;PremiumSS",D$2:D$28,"&lt;&gt;PremiumSSS"),0)</f>
        <v>6307</v>
      </c>
      <c r="P11" s="46">
        <f t="shared" si="0"/>
        <v>6.3063693630636936E-2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377103</v>
      </c>
      <c r="B12" s="6">
        <v>391</v>
      </c>
      <c r="C12" s="7" t="s">
        <v>308</v>
      </c>
      <c r="D12" s="7" t="s">
        <v>309</v>
      </c>
      <c r="E12" s="7" t="s">
        <v>286</v>
      </c>
      <c r="F12" s="7" t="s">
        <v>286</v>
      </c>
      <c r="G12" s="7"/>
      <c r="H12" s="7" t="s">
        <v>314</v>
      </c>
      <c r="I12" s="7" t="s">
        <v>309</v>
      </c>
      <c r="J12" s="7">
        <v>5</v>
      </c>
      <c r="K12" s="7" t="s">
        <v>290</v>
      </c>
      <c r="L12" s="7" t="s">
        <v>315</v>
      </c>
      <c r="M12" s="7" t="s">
        <v>299</v>
      </c>
      <c r="N12" s="7" t="s">
        <v>297</v>
      </c>
      <c r="O12" s="45">
        <f>ROUND(1000*0.05*100/COUNTIF(D$2:D$28,"=PremiumSS"),0)</f>
        <v>455</v>
      </c>
      <c r="P12" s="46">
        <f t="shared" si="0"/>
        <v>4.5495450454954506E-3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377103</v>
      </c>
      <c r="B13" s="6">
        <v>402</v>
      </c>
      <c r="C13" s="7" t="s">
        <v>108</v>
      </c>
      <c r="D13" s="7" t="s">
        <v>285</v>
      </c>
      <c r="E13" s="7" t="s">
        <v>286</v>
      </c>
      <c r="F13" s="7" t="s">
        <v>286</v>
      </c>
      <c r="G13" s="7"/>
      <c r="H13" s="7" t="s">
        <v>316</v>
      </c>
      <c r="I13" s="7" t="s">
        <v>304</v>
      </c>
      <c r="J13" s="7">
        <v>5</v>
      </c>
      <c r="K13" s="7" t="s">
        <v>290</v>
      </c>
      <c r="L13" s="7" t="s">
        <v>291</v>
      </c>
      <c r="M13" s="7" t="s">
        <v>296</v>
      </c>
      <c r="N13" s="7" t="s">
        <v>297</v>
      </c>
      <c r="O13" s="45">
        <f>ROUND(1000*(1-0.05-0.004)*100/COUNTIFS(D$2:D$28,"&lt;&gt;PremiumSS",D$2:D$28,"&lt;&gt;PremiumSSS"),0)</f>
        <v>6307</v>
      </c>
      <c r="P13" s="46">
        <f t="shared" si="0"/>
        <v>6.3063693630636936E-2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377103</v>
      </c>
      <c r="B14" s="6">
        <v>435</v>
      </c>
      <c r="C14" s="7" t="s">
        <v>308</v>
      </c>
      <c r="D14" s="7" t="s">
        <v>309</v>
      </c>
      <c r="E14" s="7" t="s">
        <v>286</v>
      </c>
      <c r="F14" s="7" t="s">
        <v>286</v>
      </c>
      <c r="G14" s="7"/>
      <c r="H14" s="7" t="s">
        <v>317</v>
      </c>
      <c r="I14" s="7" t="s">
        <v>309</v>
      </c>
      <c r="J14" s="7">
        <v>5</v>
      </c>
      <c r="K14" s="7" t="s">
        <v>290</v>
      </c>
      <c r="L14" s="7" t="s">
        <v>295</v>
      </c>
      <c r="M14" s="7" t="s">
        <v>299</v>
      </c>
      <c r="N14" s="7" t="s">
        <v>297</v>
      </c>
      <c r="O14" s="45">
        <f>ROUND(1000*0.05*100/COUNTIF(D$2:D$28,"=PremiumSS"),0)</f>
        <v>455</v>
      </c>
      <c r="P14" s="46">
        <f t="shared" si="0"/>
        <v>4.5495450454954506E-3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377103</v>
      </c>
      <c r="B15" s="8">
        <v>464</v>
      </c>
      <c r="C15" s="7" t="s">
        <v>108</v>
      </c>
      <c r="D15" s="7" t="s">
        <v>285</v>
      </c>
      <c r="E15" s="7" t="s">
        <v>286</v>
      </c>
      <c r="F15" s="7" t="s">
        <v>286</v>
      </c>
      <c r="G15" s="7"/>
      <c r="H15" s="7" t="s">
        <v>318</v>
      </c>
      <c r="I15" s="7" t="s">
        <v>304</v>
      </c>
      <c r="J15" s="7">
        <v>5</v>
      </c>
      <c r="K15" s="7" t="s">
        <v>290</v>
      </c>
      <c r="L15" s="7" t="s">
        <v>301</v>
      </c>
      <c r="M15" s="7" t="s">
        <v>299</v>
      </c>
      <c r="N15" s="7" t="s">
        <v>293</v>
      </c>
      <c r="O15" s="45">
        <f>ROUND(1000*(1-0.05-0.004)*100/COUNTIFS(D$2:D$28,"&lt;&gt;PremiumSS",D$2:D$28,"&lt;&gt;PremiumSSS"),0)</f>
        <v>6307</v>
      </c>
      <c r="P15" s="46">
        <f t="shared" si="0"/>
        <v>6.3063693630636936E-2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377103</v>
      </c>
      <c r="B16" s="6">
        <v>475</v>
      </c>
      <c r="C16" s="7" t="s">
        <v>308</v>
      </c>
      <c r="D16" s="7" t="s">
        <v>309</v>
      </c>
      <c r="E16" s="7" t="s">
        <v>286</v>
      </c>
      <c r="F16" s="7" t="s">
        <v>286</v>
      </c>
      <c r="G16" s="7"/>
      <c r="H16" s="7" t="s">
        <v>319</v>
      </c>
      <c r="I16" s="7" t="s">
        <v>309</v>
      </c>
      <c r="J16" s="7">
        <v>5</v>
      </c>
      <c r="K16" s="7" t="s">
        <v>290</v>
      </c>
      <c r="L16" s="7" t="s">
        <v>291</v>
      </c>
      <c r="M16" s="7" t="s">
        <v>313</v>
      </c>
      <c r="N16" s="7" t="s">
        <v>320</v>
      </c>
      <c r="O16" s="45">
        <f>ROUND(1000*0.05*100/COUNTIF(D$2:D$28,"=PremiumSS"),0)</f>
        <v>455</v>
      </c>
      <c r="P16" s="46">
        <f t="shared" si="0"/>
        <v>4.5495450454954506E-3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377103</v>
      </c>
      <c r="B17" s="6">
        <v>493</v>
      </c>
      <c r="C17" s="7" t="s">
        <v>308</v>
      </c>
      <c r="D17" s="7" t="s">
        <v>309</v>
      </c>
      <c r="E17" s="7" t="s">
        <v>286</v>
      </c>
      <c r="F17" s="7" t="s">
        <v>286</v>
      </c>
      <c r="G17" s="7"/>
      <c r="H17" s="7" t="s">
        <v>321</v>
      </c>
      <c r="I17" s="7" t="s">
        <v>309</v>
      </c>
      <c r="J17" s="7">
        <v>5</v>
      </c>
      <c r="K17" s="7" t="s">
        <v>290</v>
      </c>
      <c r="L17" s="7" t="s">
        <v>301</v>
      </c>
      <c r="M17" s="7" t="s">
        <v>296</v>
      </c>
      <c r="N17" s="7" t="s">
        <v>320</v>
      </c>
      <c r="O17" s="45">
        <f>ROUND(1000*0.05*100/COUNTIF(D$2:D$28,"=PremiumSS"),0)</f>
        <v>455</v>
      </c>
      <c r="P17" s="46">
        <f t="shared" si="0"/>
        <v>4.5495450454954506E-3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377103</v>
      </c>
      <c r="B18" s="6">
        <v>587</v>
      </c>
      <c r="C18" s="7" t="s">
        <v>308</v>
      </c>
      <c r="D18" s="7" t="s">
        <v>309</v>
      </c>
      <c r="E18" s="7" t="s">
        <v>286</v>
      </c>
      <c r="F18" s="7" t="s">
        <v>286</v>
      </c>
      <c r="G18" s="7"/>
      <c r="H18" s="7" t="s">
        <v>322</v>
      </c>
      <c r="I18" s="7" t="s">
        <v>309</v>
      </c>
      <c r="J18" s="7">
        <v>5</v>
      </c>
      <c r="K18" s="7" t="s">
        <v>290</v>
      </c>
      <c r="L18" s="7" t="s">
        <v>301</v>
      </c>
      <c r="M18" s="7" t="s">
        <v>306</v>
      </c>
      <c r="N18" s="7" t="s">
        <v>320</v>
      </c>
      <c r="O18" s="45">
        <f>ROUND(1000*0.05*100/COUNTIF(D$2:D$28,"=PremiumSS"),0)</f>
        <v>455</v>
      </c>
      <c r="P18" s="46">
        <f t="shared" si="0"/>
        <v>4.5495450454954506E-3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377103</v>
      </c>
      <c r="B19" s="6">
        <v>598</v>
      </c>
      <c r="C19" s="7" t="s">
        <v>108</v>
      </c>
      <c r="D19" s="7" t="s">
        <v>285</v>
      </c>
      <c r="E19" s="7" t="s">
        <v>286</v>
      </c>
      <c r="F19" s="7" t="s">
        <v>286</v>
      </c>
      <c r="G19" s="7"/>
      <c r="H19" s="7" t="s">
        <v>323</v>
      </c>
      <c r="I19" s="7" t="s">
        <v>304</v>
      </c>
      <c r="J19" s="7">
        <v>5</v>
      </c>
      <c r="K19" s="7" t="s">
        <v>290</v>
      </c>
      <c r="L19" s="7" t="s">
        <v>295</v>
      </c>
      <c r="M19" s="7" t="s">
        <v>299</v>
      </c>
      <c r="N19" s="7" t="s">
        <v>293</v>
      </c>
      <c r="O19" s="45">
        <f>ROUND(1000*(1-0.05-0.004)*100/COUNTIFS(D$2:D$28,"&lt;&gt;PremiumSS",D$2:D$28,"&lt;&gt;PremiumSSS"),0)</f>
        <v>6307</v>
      </c>
      <c r="P19" s="46">
        <f t="shared" si="0"/>
        <v>6.3063693630636936E-2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377103</v>
      </c>
      <c r="B20" s="6">
        <v>659</v>
      </c>
      <c r="C20" s="7" t="s">
        <v>308</v>
      </c>
      <c r="D20" s="7" t="s">
        <v>309</v>
      </c>
      <c r="E20" s="7" t="s">
        <v>286</v>
      </c>
      <c r="F20" s="7" t="s">
        <v>286</v>
      </c>
      <c r="G20" s="7"/>
      <c r="H20" s="7" t="s">
        <v>324</v>
      </c>
      <c r="I20" s="7" t="s">
        <v>309</v>
      </c>
      <c r="J20" s="7">
        <v>5</v>
      </c>
      <c r="K20" s="7" t="s">
        <v>290</v>
      </c>
      <c r="L20" s="7" t="s">
        <v>291</v>
      </c>
      <c r="M20" s="7" t="s">
        <v>296</v>
      </c>
      <c r="N20" s="7" t="s">
        <v>297</v>
      </c>
      <c r="O20" s="45">
        <f>ROUND(1000*0.05*100/COUNTIF(D$2:D$28,"=PremiumSS"),0)</f>
        <v>455</v>
      </c>
      <c r="P20" s="46">
        <f t="shared" si="0"/>
        <v>4.5495450454954506E-3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377103</v>
      </c>
      <c r="B21" s="60">
        <v>670</v>
      </c>
      <c r="C21" s="7" t="s">
        <v>108</v>
      </c>
      <c r="D21" s="7" t="s">
        <v>285</v>
      </c>
      <c r="E21" s="7" t="s">
        <v>286</v>
      </c>
      <c r="F21" s="7" t="s">
        <v>286</v>
      </c>
      <c r="G21" s="7"/>
      <c r="H21" s="7" t="s">
        <v>325</v>
      </c>
      <c r="I21" s="7" t="s">
        <v>304</v>
      </c>
      <c r="J21" s="7">
        <v>5</v>
      </c>
      <c r="K21" s="7" t="s">
        <v>290</v>
      </c>
      <c r="L21" s="7" t="s">
        <v>301</v>
      </c>
      <c r="M21" s="7" t="s">
        <v>292</v>
      </c>
      <c r="N21" s="7" t="s">
        <v>293</v>
      </c>
      <c r="O21" s="45">
        <f>ROUND(1000*(1-0.05-0.004)*100/COUNTIFS(D$2:D$28,"&lt;&gt;PremiumSS",D$2:D$28,"&lt;&gt;PremiumSSS"),0)</f>
        <v>6307</v>
      </c>
      <c r="P21" s="46">
        <f t="shared" si="0"/>
        <v>6.3063693630636936E-2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377103</v>
      </c>
      <c r="B22" s="60">
        <v>729</v>
      </c>
      <c r="C22" s="7" t="s">
        <v>203</v>
      </c>
      <c r="D22" s="7" t="s">
        <v>285</v>
      </c>
      <c r="E22" s="7" t="s">
        <v>326</v>
      </c>
      <c r="F22" s="7" t="s">
        <v>286</v>
      </c>
      <c r="G22" s="7"/>
      <c r="H22" s="7" t="s">
        <v>327</v>
      </c>
      <c r="I22" s="7" t="s">
        <v>304</v>
      </c>
      <c r="J22" s="7">
        <v>5</v>
      </c>
      <c r="K22" s="7" t="s">
        <v>290</v>
      </c>
      <c r="L22" s="7" t="s">
        <v>295</v>
      </c>
      <c r="M22" s="7" t="s">
        <v>299</v>
      </c>
      <c r="N22" s="7" t="s">
        <v>297</v>
      </c>
      <c r="O22" s="45">
        <f>ROUND(1000*(1-0.05-0.004)*100/COUNTIFS(D$2:D$28,"&lt;&gt;PremiumSS",D$2:D$28,"&lt;&gt;PremiumSSS"),0)</f>
        <v>6307</v>
      </c>
      <c r="P22" s="46">
        <f t="shared" si="0"/>
        <v>6.3063693630636936E-2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377103</v>
      </c>
      <c r="B23" s="60">
        <v>771</v>
      </c>
      <c r="C23" s="7" t="s">
        <v>308</v>
      </c>
      <c r="D23" s="7" t="s">
        <v>309</v>
      </c>
      <c r="E23" s="7" t="s">
        <v>286</v>
      </c>
      <c r="F23" s="7" t="s">
        <v>286</v>
      </c>
      <c r="G23" s="7"/>
      <c r="H23" s="7" t="s">
        <v>328</v>
      </c>
      <c r="I23" s="7" t="s">
        <v>309</v>
      </c>
      <c r="J23" s="7">
        <v>5</v>
      </c>
      <c r="K23" s="7" t="s">
        <v>290</v>
      </c>
      <c r="L23" s="7" t="s">
        <v>295</v>
      </c>
      <c r="M23" s="7" t="s">
        <v>296</v>
      </c>
      <c r="N23" s="7" t="s">
        <v>297</v>
      </c>
      <c r="O23" s="45">
        <f>ROUND(1000*0.05*100/COUNTIF(D$2:D$28,"=PremiumSS"),0)</f>
        <v>455</v>
      </c>
      <c r="P23" s="46">
        <f t="shared" si="0"/>
        <v>4.5495450454954506E-3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377103</v>
      </c>
      <c r="B24" s="83">
        <v>848</v>
      </c>
      <c r="C24" s="7" t="s">
        <v>205</v>
      </c>
      <c r="D24" s="7" t="s">
        <v>309</v>
      </c>
      <c r="E24" s="7" t="s">
        <v>329</v>
      </c>
      <c r="F24" s="7" t="s">
        <v>286</v>
      </c>
      <c r="G24" s="7"/>
      <c r="H24" s="7" t="s">
        <v>330</v>
      </c>
      <c r="I24" s="7" t="s">
        <v>309</v>
      </c>
      <c r="J24" s="7">
        <v>5</v>
      </c>
      <c r="K24" s="7" t="s">
        <v>290</v>
      </c>
      <c r="L24" s="7" t="s">
        <v>295</v>
      </c>
      <c r="M24" s="7" t="s">
        <v>292</v>
      </c>
      <c r="N24" s="7" t="s">
        <v>293</v>
      </c>
      <c r="O24" s="45">
        <f>ROUND(1000*0.05*100/COUNTIF(D$2:D$28,"=PremiumSS"),0)</f>
        <v>455</v>
      </c>
      <c r="P24" s="46">
        <f t="shared" si="0"/>
        <v>4.5495450454954506E-3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377103</v>
      </c>
      <c r="B25" s="83">
        <v>863</v>
      </c>
      <c r="C25" s="7" t="s">
        <v>203</v>
      </c>
      <c r="D25" s="7" t="s">
        <v>285</v>
      </c>
      <c r="E25" s="7" t="s">
        <v>326</v>
      </c>
      <c r="F25" s="7" t="s">
        <v>286</v>
      </c>
      <c r="G25" s="7"/>
      <c r="H25" s="7" t="s">
        <v>331</v>
      </c>
      <c r="I25" s="7" t="s">
        <v>304</v>
      </c>
      <c r="J25" s="7">
        <v>5</v>
      </c>
      <c r="K25" s="7" t="s">
        <v>290</v>
      </c>
      <c r="L25" s="7" t="s">
        <v>295</v>
      </c>
      <c r="M25" s="7" t="s">
        <v>296</v>
      </c>
      <c r="N25" s="7" t="s">
        <v>293</v>
      </c>
      <c r="O25" s="45">
        <f>ROUND(1000*(1-0.05-0.004)*100/COUNTIFS(D$2:D$28,"&lt;&gt;PremiumSS",D$2:D$28,"&lt;&gt;PremiumSSS"),0)</f>
        <v>6307</v>
      </c>
      <c r="P25" s="46">
        <f t="shared" si="0"/>
        <v>6.3063693630636936E-2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377103</v>
      </c>
      <c r="B26" s="83">
        <v>742</v>
      </c>
      <c r="C26" s="7" t="s">
        <v>205</v>
      </c>
      <c r="D26" s="7" t="s">
        <v>309</v>
      </c>
      <c r="E26" s="7" t="s">
        <v>329</v>
      </c>
      <c r="F26" s="7" t="s">
        <v>286</v>
      </c>
      <c r="G26" s="7"/>
      <c r="H26" s="7" t="s">
        <v>332</v>
      </c>
      <c r="I26" s="7" t="s">
        <v>309</v>
      </c>
      <c r="J26" s="7">
        <v>5</v>
      </c>
      <c r="K26" s="7" t="s">
        <v>290</v>
      </c>
      <c r="L26" s="7" t="s">
        <v>291</v>
      </c>
      <c r="M26" s="7" t="s">
        <v>292</v>
      </c>
      <c r="N26" s="7" t="s">
        <v>293</v>
      </c>
      <c r="O26" s="45">
        <f>ROUND(1000*0.05*100/COUNTIF(D$2:D$28,"=PremiumSS"),0)</f>
        <v>455</v>
      </c>
      <c r="P26" s="46">
        <f t="shared" si="0"/>
        <v>4.5495450454954506E-3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377103</v>
      </c>
      <c r="B27" s="83">
        <v>937</v>
      </c>
      <c r="C27" s="7" t="s">
        <v>205</v>
      </c>
      <c r="D27" s="7" t="s">
        <v>309</v>
      </c>
      <c r="E27" s="7" t="s">
        <v>329</v>
      </c>
      <c r="F27" s="7" t="s">
        <v>286</v>
      </c>
      <c r="G27" s="7"/>
      <c r="H27" s="7" t="s">
        <v>333</v>
      </c>
      <c r="I27" s="7" t="s">
        <v>309</v>
      </c>
      <c r="J27" s="7">
        <v>5</v>
      </c>
      <c r="K27" s="7" t="s">
        <v>290</v>
      </c>
      <c r="L27" s="7" t="s">
        <v>295</v>
      </c>
      <c r="M27" s="7" t="s">
        <v>299</v>
      </c>
      <c r="N27" s="7" t="s">
        <v>293</v>
      </c>
      <c r="O27" s="45">
        <f>ROUND(1000*0.05*100/COUNTIF(D$2:D$28,"=PremiumSS"),0)</f>
        <v>455</v>
      </c>
      <c r="P27" s="46">
        <f t="shared" si="0"/>
        <v>4.5495450454954506E-3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377103</v>
      </c>
      <c r="B28" s="83">
        <v>786</v>
      </c>
      <c r="C28" s="7" t="str">
        <f t="shared" ref="C28" si="1">D28&amp;J28&amp;E28&amp;F28&amp;G28</f>
        <v>PremiumSSS5R3less</v>
      </c>
      <c r="D28" s="7" t="str">
        <f t="shared" ref="D28" si="2">IF(I28="PremiumSS",I28,IF(I28="PremiumSSS",I28,IF(I28="PremiumW",I28,"Premium")))</f>
        <v>PremiumSSS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ヘイウェイ</v>
      </c>
      <c r="I28" s="7" t="str">
        <f>VLOOKUP(B28,[1]characters!$A:$J,10,FALSE)</f>
        <v>PremiumSSS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attack</v>
      </c>
      <c r="M28" s="7" t="str">
        <f>VLOOKUP(B28,[1]characters!$A:$M,13,FALSE)</f>
        <v>dragon</v>
      </c>
      <c r="N28" s="7" t="str">
        <f>VLOOKUP(B28,[1]characters!$A:$G,7,FALSE)</f>
        <v>男性</v>
      </c>
      <c r="O28" s="45">
        <v>400</v>
      </c>
      <c r="P28" s="46">
        <f>O28/SUM(O:O)</f>
        <v>3.9996000399960003E-3</v>
      </c>
      <c r="Q28" s="89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N20" sqref="N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279</v>
      </c>
      <c r="B2" s="80" t="s">
        <v>281</v>
      </c>
      <c r="C2" s="81" t="s">
        <v>269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221</v>
      </c>
      <c r="O2" s="81" t="s">
        <v>271</v>
      </c>
      <c r="P2" s="81" t="s">
        <v>272</v>
      </c>
      <c r="Q2" s="82" t="s">
        <v>273</v>
      </c>
    </row>
    <row r="3" spans="1:17" ht="21" customHeight="1" x14ac:dyDescent="0.15">
      <c r="A3" s="80" t="s">
        <v>280</v>
      </c>
      <c r="B3" s="80" t="s">
        <v>282</v>
      </c>
      <c r="C3" s="1" t="s">
        <v>248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221</v>
      </c>
      <c r="O3" s="81" t="s">
        <v>270</v>
      </c>
      <c r="P3" s="81" t="s">
        <v>272</v>
      </c>
      <c r="Q3" s="82" t="s">
        <v>274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input_377101</vt:lpstr>
      <vt:lpstr>tables_377101</vt:lpstr>
      <vt:lpstr>input_377103</vt:lpstr>
      <vt:lpstr>tables_377103</vt:lpstr>
      <vt:lpstr>input_377104</vt:lpstr>
      <vt:lpstr>tables_377104</vt:lpstr>
      <vt:lpstr>input_377105</vt:lpstr>
      <vt:lpstr>tables_377105</vt:lpstr>
      <vt:lpstr>input_377100</vt:lpstr>
      <vt:lpstr>tables_377100</vt:lpstr>
      <vt:lpstr>tables_settle_377103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2016-07-22T03:00:06Z</dcterms:modified>
</cp:coreProperties>
</file>