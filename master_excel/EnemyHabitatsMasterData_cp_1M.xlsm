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3080" yWindow="380" windowWidth="23320" windowHeight="15960" tabRatio="740" activeTab="4"/>
  </bookViews>
  <sheets>
    <sheet name="output" sheetId="16" r:id="rId1"/>
    <sheet name="floors" sheetId="2" r:id="rId2"/>
    <sheet name="enemy_habitats" sheetId="1" r:id="rId3"/>
    <sheet name="enemy_skill_sets" sheetId="9" r:id="rId4"/>
    <sheet name="enemy_skills" sheetId="10" r:id="rId5"/>
    <sheet name="enemy_skill_triggers" sheetId="11" r:id="rId6"/>
  </sheets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2" hidden="1">enemy_habitats!$B$1:$AH$7</definedName>
    <definedName name="_xlnm._FilterDatabase" localSheetId="3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Excel_BuiltIn__FilterDatabase_6_1" localSheetId="3">[1]unit_skills!#REF!</definedName>
    <definedName name="Excel_BuiltIn__FilterDatabase_6_1" localSheetId="5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0" l="1"/>
  <c r="S5" i="10"/>
  <c r="V5" i="10"/>
  <c r="U5" i="10"/>
  <c r="W5" i="10"/>
  <c r="T5" i="10"/>
  <c r="X5" i="10"/>
  <c r="M5" i="10"/>
  <c r="P5" i="10"/>
  <c r="O5" i="10"/>
  <c r="Q5" i="10"/>
  <c r="N5" i="10"/>
  <c r="R5" i="10"/>
  <c r="F5" i="10"/>
  <c r="I5" i="10"/>
  <c r="H5" i="10"/>
  <c r="J5" i="10"/>
  <c r="G5" i="10"/>
  <c r="K5" i="10"/>
  <c r="L9" i="10"/>
  <c r="S9" i="10"/>
  <c r="V9" i="10"/>
  <c r="U9" i="10"/>
  <c r="W9" i="10"/>
  <c r="T9" i="10"/>
  <c r="X9" i="10"/>
  <c r="M9" i="10"/>
  <c r="P9" i="10"/>
  <c r="O9" i="10"/>
  <c r="Q9" i="10"/>
  <c r="N9" i="10"/>
  <c r="R9" i="10"/>
  <c r="F9" i="10"/>
  <c r="I9" i="10"/>
  <c r="H9" i="10"/>
  <c r="J9" i="10"/>
  <c r="G9" i="10"/>
  <c r="K9" i="10"/>
  <c r="L7" i="10"/>
  <c r="S7" i="10"/>
  <c r="V7" i="10"/>
  <c r="U7" i="10"/>
  <c r="W7" i="10"/>
  <c r="T7" i="10"/>
  <c r="X7" i="10"/>
  <c r="M7" i="10"/>
  <c r="P7" i="10"/>
  <c r="O7" i="10"/>
  <c r="Q7" i="10"/>
  <c r="N7" i="10"/>
  <c r="R7" i="10"/>
  <c r="F7" i="10"/>
  <c r="I7" i="10"/>
  <c r="H7" i="10"/>
  <c r="J7" i="10"/>
  <c r="G7" i="10"/>
  <c r="K7" i="10"/>
  <c r="AA3" i="1"/>
  <c r="J7" i="11"/>
  <c r="O13" i="9"/>
  <c r="N13" i="9"/>
  <c r="M13" i="9"/>
  <c r="L13" i="9"/>
  <c r="K13" i="9"/>
  <c r="J13" i="9"/>
  <c r="I13" i="9"/>
  <c r="H13" i="9"/>
  <c r="G13" i="9"/>
  <c r="E13" i="9"/>
  <c r="D13" i="9"/>
  <c r="A13" i="9"/>
  <c r="J5" i="11"/>
  <c r="L11" i="10"/>
  <c r="S11" i="10"/>
  <c r="V11" i="10"/>
  <c r="U11" i="10"/>
  <c r="W11" i="10"/>
  <c r="T11" i="10"/>
  <c r="X11" i="10"/>
  <c r="M11" i="10"/>
  <c r="P11" i="10"/>
  <c r="O11" i="10"/>
  <c r="Q11" i="10"/>
  <c r="N11" i="10"/>
  <c r="R11" i="10"/>
  <c r="F11" i="10"/>
  <c r="I11" i="10"/>
  <c r="H11" i="10"/>
  <c r="J11" i="10"/>
  <c r="G11" i="10"/>
  <c r="K11" i="10"/>
  <c r="E14" i="9"/>
  <c r="V10" i="1"/>
  <c r="V9" i="1"/>
  <c r="V8" i="1"/>
  <c r="V7" i="1"/>
  <c r="E10" i="9"/>
  <c r="V6" i="1"/>
  <c r="E8" i="9"/>
  <c r="V5" i="1"/>
  <c r="E6" i="9"/>
  <c r="V4" i="1"/>
  <c r="E4" i="9"/>
  <c r="V3" i="1"/>
  <c r="E2" i="9"/>
  <c r="V2" i="1"/>
  <c r="J11" i="11"/>
  <c r="J12" i="11"/>
  <c r="J10" i="11"/>
  <c r="J6" i="11"/>
  <c r="J8" i="11"/>
  <c r="J9" i="11"/>
  <c r="J4" i="11"/>
  <c r="J3" i="11"/>
  <c r="O9" i="9"/>
  <c r="N9" i="9"/>
  <c r="M9" i="9"/>
  <c r="L9" i="9"/>
  <c r="K9" i="9"/>
  <c r="J9" i="9"/>
  <c r="I9" i="9"/>
  <c r="H9" i="9"/>
  <c r="G9" i="9"/>
  <c r="E9" i="9"/>
  <c r="D9" i="9"/>
  <c r="A9" i="9"/>
  <c r="O5" i="9"/>
  <c r="N5" i="9"/>
  <c r="M5" i="9"/>
  <c r="L5" i="9"/>
  <c r="K5" i="9"/>
  <c r="J5" i="9"/>
  <c r="I5" i="9"/>
  <c r="H5" i="9"/>
  <c r="G5" i="9"/>
  <c r="E5" i="9"/>
  <c r="D5" i="9"/>
  <c r="A5" i="9"/>
  <c r="O7" i="9"/>
  <c r="N7" i="9"/>
  <c r="M7" i="9"/>
  <c r="L7" i="9"/>
  <c r="K7" i="9"/>
  <c r="J7" i="9"/>
  <c r="I7" i="9"/>
  <c r="H7" i="9"/>
  <c r="G7" i="9"/>
  <c r="E7" i="9"/>
  <c r="D7" i="9"/>
  <c r="A7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L15" i="10"/>
  <c r="S15" i="10"/>
  <c r="V15" i="10"/>
  <c r="U15" i="10"/>
  <c r="W15" i="10"/>
  <c r="T15" i="10"/>
  <c r="X15" i="10"/>
  <c r="M15" i="10"/>
  <c r="P15" i="10"/>
  <c r="O15" i="10"/>
  <c r="Q15" i="10"/>
  <c r="N15" i="10"/>
  <c r="R15" i="10"/>
  <c r="F15" i="10"/>
  <c r="I15" i="10"/>
  <c r="H15" i="10"/>
  <c r="J15" i="10"/>
  <c r="G15" i="10"/>
  <c r="K15" i="10"/>
  <c r="L14" i="10"/>
  <c r="S14" i="10"/>
  <c r="V14" i="10"/>
  <c r="U14" i="10"/>
  <c r="W14" i="10"/>
  <c r="T14" i="10"/>
  <c r="X14" i="10"/>
  <c r="M14" i="10"/>
  <c r="P14" i="10"/>
  <c r="O14" i="10"/>
  <c r="Q14" i="10"/>
  <c r="N14" i="10"/>
  <c r="R14" i="10"/>
  <c r="F14" i="10"/>
  <c r="I14" i="10"/>
  <c r="H14" i="10"/>
  <c r="J14" i="10"/>
  <c r="G14" i="10"/>
  <c r="K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L10" i="10"/>
  <c r="S10" i="10"/>
  <c r="V10" i="10"/>
  <c r="U10" i="10"/>
  <c r="W10" i="10"/>
  <c r="T10" i="10"/>
  <c r="X10" i="10"/>
  <c r="M10" i="10"/>
  <c r="P10" i="10"/>
  <c r="O10" i="10"/>
  <c r="Q10" i="10"/>
  <c r="N10" i="10"/>
  <c r="R10" i="10"/>
  <c r="F10" i="10"/>
  <c r="I10" i="10"/>
  <c r="H10" i="10"/>
  <c r="J10" i="10"/>
  <c r="G10" i="10"/>
  <c r="K10" i="10"/>
  <c r="O3" i="9"/>
  <c r="N3" i="9"/>
  <c r="M3" i="9"/>
  <c r="L3" i="9"/>
  <c r="K3" i="9"/>
  <c r="J3" i="9"/>
  <c r="I3" i="9"/>
  <c r="H3" i="9"/>
  <c r="G3" i="9"/>
  <c r="E3" i="9"/>
  <c r="D3" i="9"/>
  <c r="A3" i="9"/>
  <c r="L8" i="10"/>
  <c r="S8" i="10"/>
  <c r="V8" i="10"/>
  <c r="U8" i="10"/>
  <c r="W8" i="10"/>
  <c r="T8" i="10"/>
  <c r="X8" i="10"/>
  <c r="M8" i="10"/>
  <c r="P8" i="10"/>
  <c r="O8" i="10"/>
  <c r="Q8" i="10"/>
  <c r="N8" i="10"/>
  <c r="R8" i="10"/>
  <c r="F8" i="10"/>
  <c r="I8" i="10"/>
  <c r="H8" i="10"/>
  <c r="J8" i="10"/>
  <c r="G8" i="10"/>
  <c r="K8" i="10"/>
  <c r="L6" i="10"/>
  <c r="S6" i="10"/>
  <c r="V6" i="10"/>
  <c r="U6" i="10"/>
  <c r="W6" i="10"/>
  <c r="T6" i="10"/>
  <c r="X6" i="10"/>
  <c r="M6" i="10"/>
  <c r="P6" i="10"/>
  <c r="O6" i="10"/>
  <c r="Q6" i="10"/>
  <c r="N6" i="10"/>
  <c r="R6" i="10"/>
  <c r="F6" i="10"/>
  <c r="I6" i="10"/>
  <c r="H6" i="10"/>
  <c r="J6" i="10"/>
  <c r="G6" i="10"/>
  <c r="K6" i="10"/>
  <c r="L4" i="10"/>
  <c r="S4" i="10"/>
  <c r="V4" i="10"/>
  <c r="U4" i="10"/>
  <c r="W4" i="10"/>
  <c r="T4" i="10"/>
  <c r="X4" i="10"/>
  <c r="M4" i="10"/>
  <c r="P4" i="10"/>
  <c r="O4" i="10"/>
  <c r="Q4" i="10"/>
  <c r="N4" i="10"/>
  <c r="R4" i="10"/>
  <c r="F4" i="10"/>
  <c r="I4" i="10"/>
  <c r="H4" i="10"/>
  <c r="J4" i="10"/>
  <c r="G4" i="10"/>
  <c r="K4" i="10"/>
  <c r="L2" i="10"/>
  <c r="S2" i="10"/>
  <c r="V2" i="10"/>
  <c r="U2" i="10"/>
  <c r="W2" i="10"/>
  <c r="T2" i="10"/>
  <c r="X2" i="10"/>
  <c r="M2" i="10"/>
  <c r="P2" i="10"/>
  <c r="O2" i="10"/>
  <c r="Q2" i="10"/>
  <c r="N2" i="10"/>
  <c r="R2" i="10"/>
  <c r="F2" i="10"/>
  <c r="I2" i="10"/>
  <c r="H2" i="10"/>
  <c r="J2" i="10"/>
  <c r="G2" i="10"/>
  <c r="K2" i="10"/>
  <c r="J2" i="11"/>
  <c r="O4" i="9"/>
  <c r="N4" i="9"/>
  <c r="M4" i="9"/>
  <c r="L4" i="9"/>
  <c r="K4" i="9"/>
  <c r="J4" i="9"/>
  <c r="I4" i="9"/>
  <c r="H4" i="9"/>
  <c r="G4" i="9"/>
  <c r="D4" i="9"/>
  <c r="A4" i="9"/>
  <c r="O6" i="9"/>
  <c r="N6" i="9"/>
  <c r="M6" i="9"/>
  <c r="L6" i="9"/>
  <c r="K6" i="9"/>
  <c r="J6" i="9"/>
  <c r="I6" i="9"/>
  <c r="H6" i="9"/>
  <c r="G6" i="9"/>
  <c r="D6" i="9"/>
  <c r="A6" i="9"/>
  <c r="O14" i="9"/>
  <c r="N14" i="9"/>
  <c r="M14" i="9"/>
  <c r="L14" i="9"/>
  <c r="K14" i="9"/>
  <c r="J14" i="9"/>
  <c r="I14" i="9"/>
  <c r="H14" i="9"/>
  <c r="G14" i="9"/>
  <c r="D14" i="9"/>
  <c r="A14" i="9"/>
  <c r="O10" i="9"/>
  <c r="N10" i="9"/>
  <c r="M10" i="9"/>
  <c r="L10" i="9"/>
  <c r="K10" i="9"/>
  <c r="J10" i="9"/>
  <c r="I10" i="9"/>
  <c r="H10" i="9"/>
  <c r="G10" i="9"/>
  <c r="D10" i="9"/>
  <c r="A10" i="9"/>
  <c r="O8" i="9"/>
  <c r="N8" i="9"/>
  <c r="M8" i="9"/>
  <c r="L8" i="9"/>
  <c r="K8" i="9"/>
  <c r="J8" i="9"/>
  <c r="I8" i="9"/>
  <c r="H8" i="9"/>
  <c r="G8" i="9"/>
  <c r="D8" i="9"/>
  <c r="A8" i="9"/>
  <c r="AB6" i="1"/>
  <c r="AD6" i="1"/>
  <c r="AG6" i="1"/>
  <c r="AE6" i="1"/>
  <c r="AC6" i="1"/>
  <c r="AA6" i="1"/>
  <c r="Q6" i="1"/>
  <c r="P6" i="1"/>
  <c r="O6" i="1"/>
  <c r="N6" i="1"/>
  <c r="M6" i="1"/>
  <c r="H6" i="1"/>
  <c r="G2" i="2"/>
  <c r="A2" i="2"/>
  <c r="G3" i="2"/>
  <c r="A3" i="2"/>
  <c r="G4" i="2"/>
  <c r="A4" i="2"/>
  <c r="G5" i="2"/>
  <c r="A5" i="2"/>
  <c r="J6" i="1"/>
  <c r="I6" i="1"/>
  <c r="D6" i="1"/>
  <c r="F6" i="1"/>
  <c r="E6" i="1"/>
  <c r="A6" i="1"/>
  <c r="AB3" i="1"/>
  <c r="AD3" i="1"/>
  <c r="AG3" i="1"/>
  <c r="AE3" i="1"/>
  <c r="AC3" i="1"/>
  <c r="Q3" i="1"/>
  <c r="P3" i="1"/>
  <c r="O3" i="1"/>
  <c r="N3" i="1"/>
  <c r="M3" i="1"/>
  <c r="H3" i="1"/>
  <c r="J3" i="1"/>
  <c r="I3" i="1"/>
  <c r="D3" i="1"/>
  <c r="F3" i="1"/>
  <c r="E3" i="1"/>
  <c r="A3" i="1"/>
  <c r="AB4" i="1"/>
  <c r="AD4" i="1"/>
  <c r="AG4" i="1"/>
  <c r="AE4" i="1"/>
  <c r="AC4" i="1"/>
  <c r="AA4" i="1"/>
  <c r="Q4" i="1"/>
  <c r="P4" i="1"/>
  <c r="O4" i="1"/>
  <c r="N4" i="1"/>
  <c r="M4" i="1"/>
  <c r="H4" i="1"/>
  <c r="J4" i="1"/>
  <c r="I4" i="1"/>
  <c r="D4" i="1"/>
  <c r="F4" i="1"/>
  <c r="E4" i="1"/>
  <c r="A4" i="1"/>
  <c r="AB5" i="1"/>
  <c r="AD5" i="1"/>
  <c r="AG5" i="1"/>
  <c r="AE5" i="1"/>
  <c r="AC5" i="1"/>
  <c r="AA5" i="1"/>
  <c r="Q5" i="1"/>
  <c r="P5" i="1"/>
  <c r="O5" i="1"/>
  <c r="N5" i="1"/>
  <c r="M5" i="1"/>
  <c r="H5" i="1"/>
  <c r="J5" i="1"/>
  <c r="I5" i="1"/>
  <c r="D5" i="1"/>
  <c r="F5" i="1"/>
  <c r="E5" i="1"/>
  <c r="A5" i="1"/>
  <c r="AB2" i="1"/>
  <c r="AD2" i="1"/>
  <c r="AG2" i="1"/>
  <c r="AE2" i="1"/>
  <c r="AC2" i="1"/>
  <c r="AA2" i="1"/>
  <c r="Q2" i="1"/>
  <c r="P2" i="1"/>
  <c r="O2" i="1"/>
  <c r="N2" i="1"/>
  <c r="M2" i="1"/>
  <c r="H2" i="1"/>
  <c r="J2" i="1"/>
  <c r="I2" i="1"/>
  <c r="D2" i="1"/>
  <c r="F2" i="1"/>
  <c r="E2" i="1"/>
  <c r="A2" i="1"/>
  <c r="AB10" i="1"/>
  <c r="AD10" i="1"/>
  <c r="AG10" i="1"/>
  <c r="AE10" i="1"/>
  <c r="AC10" i="1"/>
  <c r="AA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H9" i="1"/>
  <c r="J9" i="1"/>
  <c r="I9" i="1"/>
  <c r="D9" i="1"/>
  <c r="F9" i="1"/>
  <c r="E9" i="1"/>
  <c r="A9" i="1"/>
  <c r="H5" i="2"/>
  <c r="E5" i="2"/>
  <c r="D5" i="2"/>
  <c r="H8" i="1"/>
  <c r="H7" i="1"/>
  <c r="B5" i="2"/>
  <c r="H4" i="2"/>
  <c r="E4" i="2"/>
  <c r="D4" i="2"/>
  <c r="B4" i="2"/>
  <c r="H3" i="2"/>
  <c r="E3" i="2"/>
  <c r="D3" i="2"/>
  <c r="B3" i="2"/>
  <c r="AB8" i="1"/>
  <c r="AE8" i="1"/>
  <c r="AD8" i="1"/>
  <c r="AC8" i="1"/>
  <c r="AB7" i="1"/>
  <c r="AE7" i="1"/>
  <c r="AD7" i="1"/>
  <c r="AC7" i="1"/>
  <c r="AA8" i="1"/>
  <c r="AA7" i="1"/>
  <c r="Q8" i="1"/>
  <c r="P8" i="1"/>
  <c r="O8" i="1"/>
  <c r="N8" i="1"/>
  <c r="M8" i="1"/>
  <c r="Q7" i="1"/>
  <c r="P7" i="1"/>
  <c r="O7" i="1"/>
  <c r="N7" i="1"/>
  <c r="M7" i="1"/>
  <c r="L3" i="10"/>
  <c r="S3" i="10"/>
  <c r="U3" i="10"/>
  <c r="M3" i="10"/>
  <c r="O3" i="10"/>
  <c r="F3" i="10"/>
  <c r="H3" i="10"/>
  <c r="W3" i="10"/>
  <c r="V3" i="10"/>
  <c r="T3" i="10"/>
  <c r="X3" i="10"/>
  <c r="Q3" i="10"/>
  <c r="P3" i="10"/>
  <c r="N3" i="10"/>
  <c r="R3" i="10"/>
  <c r="J3" i="10"/>
  <c r="I3" i="10"/>
  <c r="G3" i="10"/>
  <c r="K3" i="10"/>
  <c r="AG7" i="1"/>
  <c r="D2" i="9"/>
  <c r="E8" i="16"/>
  <c r="E7" i="16"/>
  <c r="E6" i="16"/>
  <c r="E5" i="16"/>
  <c r="E4" i="16"/>
  <c r="E3" i="16"/>
  <c r="E2" i="16"/>
  <c r="A8" i="1"/>
  <c r="A7" i="1"/>
  <c r="AG8" i="1"/>
  <c r="O2" i="9"/>
  <c r="N2" i="9"/>
  <c r="M2" i="9"/>
  <c r="L2" i="9"/>
  <c r="K2" i="9"/>
  <c r="J2" i="9"/>
  <c r="I2" i="9"/>
  <c r="H2" i="9"/>
  <c r="G2" i="9"/>
  <c r="A2" i="9"/>
  <c r="J8" i="1"/>
  <c r="I8" i="1"/>
  <c r="D8" i="1"/>
  <c r="F8" i="1"/>
  <c r="E8" i="1"/>
  <c r="J7" i="1"/>
  <c r="I7" i="1"/>
  <c r="D2" i="2"/>
  <c r="E2" i="2"/>
  <c r="H2" i="2"/>
  <c r="D7" i="1"/>
  <c r="E7" i="1"/>
  <c r="F7" i="1"/>
  <c r="B2" i="2"/>
</calcChain>
</file>

<file path=xl/comments1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<sst xmlns="http://schemas.openxmlformats.org/spreadsheetml/2006/main" count="325" uniqueCount="195">
  <si>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</si>
  <si>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</si>
  <si>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</si>
  <si>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</si>
  <si>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</si>
  <si>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</si>
  <si>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</si>
  <si>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</si>
  <si>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</si>
  <si>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</si>
  <si>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</si>
  <si>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</si>
  <si>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</si>
  <si>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</si>
  <si>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</si>
  <si>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</si>
  <si>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</si>
  <si>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</si>
  <si>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</si>
  <si>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</si>
  <si>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</si>
  <si>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</si>
  <si>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</si>
  <si>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</si>
  <si>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</si>
  <si>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</si>
  <si>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</si>
  <si>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</si>
  <si>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</si>
  <si>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</si>
  <si>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</si>
  <si>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</si>
  <si>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</si>
  <si>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</si>
  <si>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</si>
  <si>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</si>
  <si>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</si>
  <si>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</si>
  <si>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</si>
  <si>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</si>
  <si>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</si>
  <si>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</si>
  <si>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</si>
  <si>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</si>
  <si>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</si>
  <si>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</si>
  <si>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</si>
  <si>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</si>
  <si>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</si>
  <si>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</si>
  <si>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</si>
  <si>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</si>
  <si>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</si>
  <si>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</si>
  <si>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</si>
  <si>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</si>
  <si>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</si>
  <si>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</si>
  <si>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</si>
  <si>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</si>
  <si>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</si>
  <si>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</si>
  <si>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</si>
  <si>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</si>
  <si>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</si>
  <si>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</si>
  <si>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</si>
  <si>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</si>
  <si>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</si>
  <si>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</si>
  <si>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</si>
  <si>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</si>
  <si>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</si>
  <si>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</si>
  <si>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</si>
  <si>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</si>
  <si>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</si>
  <si>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</si>
  <si>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</si>
  <si>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</si>
  <si>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</si>
  <si>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</si>
  <si>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</si>
  <si>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</si>
  <si>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</si>
  <si>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</si>
  <si>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</si>
  <si>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</si>
  <si>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</si>
  <si>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</si>
  <si>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</si>
  <si>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</si>
  <si>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</si>
  <si>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</si>
  <si>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</si>
  <si>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</si>
  <si>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</si>
  <si>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</si>
  <si>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</si>
  <si>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</si>
  <si>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</si>
  <si>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</si>
  <si>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</si>
  <si>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</si>
  <si>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</si>
  <si>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</si>
  <si>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</si>
  <si>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</si>
  <si>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</si>
  <si>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</si>
  <si>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</si>
  <si>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</si>
  <si>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</si>
  <si>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</si>
  <si>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</si>
  <si>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</si>
  <si>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</si>
  <si>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</si>
  <si>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</si>
  <si>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</si>
  <si>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</si>
  <si>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</si>
  <si>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</si>
  <si>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</si>
  <si>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</si>
  <si>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</si>
  <si>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</si>
  <si>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</si>
  <si>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</si>
  <si>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出力flg</t>
    <rPh sb="0" eb="2">
      <t>シュツリョク</t>
    </rPh>
    <phoneticPr fontId="3"/>
  </si>
  <si>
    <t>中間文字列１</t>
    <rPh sb="0" eb="2">
      <t>チュウカン</t>
    </rPh>
    <rPh sb="2" eb="5">
      <t>モジレツ</t>
    </rPh>
    <phoneticPr fontId="3"/>
  </si>
  <si>
    <t>効果１文字列</t>
    <rPh sb="0" eb="2">
      <t>コウカ</t>
    </rPh>
    <rPh sb="3" eb="6">
      <t>モジレツ</t>
    </rPh>
    <phoneticPr fontId="3"/>
  </si>
  <si>
    <t>効果１簡易デコード</t>
    <rPh sb="0" eb="2">
      <t>コウカ</t>
    </rPh>
    <rPh sb="3" eb="5">
      <t>カンイ</t>
    </rPh>
    <phoneticPr fontId="3"/>
  </si>
  <si>
    <t>効果２文字列</t>
    <rPh sb="0" eb="2">
      <t>コウカ</t>
    </rPh>
    <rPh sb="3" eb="6">
      <t>モジレツ</t>
    </rPh>
    <phoneticPr fontId="3"/>
  </si>
  <si>
    <t>効果２簡易デコード</t>
    <rPh sb="0" eb="2">
      <t>コウカ</t>
    </rPh>
    <rPh sb="3" eb="5">
      <t>カンイ</t>
    </rPh>
    <phoneticPr fontId="3"/>
  </si>
  <si>
    <t>効果３文字列</t>
    <rPh sb="0" eb="2">
      <t>コウカ</t>
    </rPh>
    <rPh sb="3" eb="6">
      <t>モジレツ</t>
    </rPh>
    <phoneticPr fontId="3"/>
  </si>
  <si>
    <t>効果３簡易デコード</t>
    <rPh sb="0" eb="2">
      <t>コウカ</t>
    </rPh>
    <rPh sb="3" eb="5">
      <t>カンイ</t>
    </rPh>
    <phoneticPr fontId="3"/>
  </si>
  <si>
    <t>効果１efect位置</t>
    <rPh sb="0" eb="2">
      <t>コウカ</t>
    </rPh>
    <rPh sb="8" eb="10">
      <t>イチ</t>
    </rPh>
    <phoneticPr fontId="3"/>
  </si>
  <si>
    <t>効果１target位置</t>
    <rPh sb="0" eb="2">
      <t>コウカ</t>
    </rPh>
    <rPh sb="9" eb="11">
      <t>イチ</t>
    </rPh>
    <phoneticPr fontId="3"/>
  </si>
  <si>
    <t>効果1終了位置</t>
    <rPh sb="0" eb="2">
      <t>コウカ</t>
    </rPh>
    <rPh sb="3" eb="5">
      <t>シュウリョウ</t>
    </rPh>
    <rPh sb="5" eb="7">
      <t>イチ</t>
    </rPh>
    <phoneticPr fontId="3"/>
  </si>
  <si>
    <t>効果1target終了位置</t>
    <rPh sb="0" eb="2">
      <t>コウカ</t>
    </rPh>
    <rPh sb="9" eb="11">
      <t>シュウリョウ</t>
    </rPh>
    <rPh sb="11" eb="13">
      <t>イチ</t>
    </rPh>
    <phoneticPr fontId="3"/>
  </si>
  <si>
    <t>効果2efect位置</t>
    <rPh sb="0" eb="2">
      <t>コウカ</t>
    </rPh>
    <rPh sb="8" eb="10">
      <t>イチ</t>
    </rPh>
    <phoneticPr fontId="3"/>
  </si>
  <si>
    <t>効果2終了位置</t>
    <rPh sb="0" eb="2">
      <t>コウカ</t>
    </rPh>
    <rPh sb="3" eb="5">
      <t>シュウリョウ</t>
    </rPh>
    <rPh sb="5" eb="7">
      <t>イチ</t>
    </rPh>
    <phoneticPr fontId="3"/>
  </si>
  <si>
    <t>効果2target位置</t>
    <rPh sb="0" eb="2">
      <t>コウカ</t>
    </rPh>
    <rPh sb="9" eb="11">
      <t>イチ</t>
    </rPh>
    <phoneticPr fontId="3"/>
  </si>
  <si>
    <t>効果2target終了位置</t>
    <rPh sb="0" eb="2">
      <t>コウカ</t>
    </rPh>
    <rPh sb="9" eb="11">
      <t>シュウリョウ</t>
    </rPh>
    <rPh sb="11" eb="13">
      <t>イチ</t>
    </rPh>
    <phoneticPr fontId="3"/>
  </si>
  <si>
    <t>効果3efect位置</t>
    <rPh sb="0" eb="2">
      <t>コウカ</t>
    </rPh>
    <rPh sb="8" eb="10">
      <t>イチ</t>
    </rPh>
    <phoneticPr fontId="3"/>
  </si>
  <si>
    <t>効果3終了位置</t>
    <rPh sb="0" eb="2">
      <t>コウカ</t>
    </rPh>
    <rPh sb="3" eb="5">
      <t>シュウリョウ</t>
    </rPh>
    <rPh sb="5" eb="7">
      <t>イチ</t>
    </rPh>
    <phoneticPr fontId="3"/>
  </si>
  <si>
    <t>効果3target位置</t>
    <rPh sb="0" eb="2">
      <t>コウカ</t>
    </rPh>
    <rPh sb="9" eb="11">
      <t>イチ</t>
    </rPh>
    <phoneticPr fontId="3"/>
  </si>
  <si>
    <t>効果3target終了位置</t>
    <rPh sb="0" eb="2">
      <t>コウカ</t>
    </rPh>
    <rPh sb="9" eb="11">
      <t>シュウリョウ</t>
    </rPh>
    <rPh sb="11" eb="13">
      <t>イチ</t>
    </rPh>
    <phoneticPr fontId="3"/>
  </si>
  <si>
    <t>old</t>
    <phoneticPr fontId="3"/>
  </si>
  <si>
    <t>1M</t>
    <phoneticPr fontId="3"/>
  </si>
  <si>
    <t>null</t>
    <phoneticPr fontId="3"/>
  </si>
  <si>
    <t>null</t>
    <phoneticPr fontId="3"/>
  </si>
  <si>
    <t>null</t>
    <phoneticPr fontId="3"/>
  </si>
  <si>
    <t>[effect:fix_speed, target:myself, turn:1]</t>
    <phoneticPr fontId="3"/>
  </si>
  <si>
    <t>[effect:kamikaze, val:0.0]</t>
    <phoneticPr fontId="3"/>
  </si>
  <si>
    <t>[effect:nothing]</t>
    <phoneticPr fontId="3"/>
  </si>
  <si>
    <t>ハッピー！？</t>
  </si>
  <si>
    <t>とても幸せそうだ</t>
    <rPh sb="3" eb="4">
      <t>シアワ</t>
    </rPh>
    <phoneticPr fontId="2"/>
  </si>
  <si>
    <t>浮かれるな…家畜ども！</t>
    <phoneticPr fontId="3"/>
  </si>
  <si>
    <t>…大丈夫グヮ…？</t>
    <phoneticPr fontId="3"/>
  </si>
  <si>
    <t>[effect:kamikaze, val:0.0]</t>
    <phoneticPr fontId="3"/>
  </si>
  <si>
    <t>100万ダウンロード達成か！</t>
    <phoneticPr fontId="3"/>
  </si>
  <si>
    <t>でも、タダじゃつかまらないグヮ</t>
    <phoneticPr fontId="3"/>
  </si>
  <si>
    <t>こざかしい力、封じてやったわ</t>
    <rPh sb="5" eb="6">
      <t>チカラ</t>
    </rPh>
    <rPh sb="7" eb="8">
      <t>フウ</t>
    </rPh>
    <phoneticPr fontId="3"/>
  </si>
  <si>
    <t>ミリオンダックより愛をこめて！</t>
    <rPh sb="9" eb="10">
      <t>アイ</t>
    </rPh>
    <phoneticPr fontId="3"/>
  </si>
  <si>
    <t>[effect:fix_speed, target:myself, turn:4]</t>
    <phoneticPr fontId="3"/>
  </si>
  <si>
    <t>かわりに、その玉で遊ぶがいい</t>
    <rPh sb="7" eb="8">
      <t>タマ</t>
    </rPh>
    <rPh sb="9" eb="10">
      <t>アソ</t>
    </rPh>
    <phoneticPr fontId="3"/>
  </si>
  <si>
    <t>[effect:fix_speed, target:myself, turn:3]</t>
    <phoneticPr fontId="3"/>
  </si>
  <si>
    <t>[effect:fix_speed, target:myself, turn:2]</t>
    <phoneticPr fontId="3"/>
  </si>
  <si>
    <t>ヽ(｀▽´)/</t>
    <phoneticPr fontId="3"/>
  </si>
  <si>
    <t>だから、これからも【クラフィ】をよろしくグヮッ！</t>
    <phoneticPr fontId="3"/>
  </si>
  <si>
    <t>ハッピー！！</t>
    <phoneticPr fontId="3"/>
  </si>
  <si>
    <t>やはり幸せそうだ</t>
    <rPh sb="3" eb="4">
      <t>シアワ</t>
    </rPh>
    <phoneticPr fontId="2"/>
  </si>
  <si>
    <t>(≡ΦωΦ≡)★</t>
    <phoneticPr fontId="3"/>
  </si>
  <si>
    <t>この世界は「アナタ」を必要としている</t>
    <rPh sb="2" eb="4">
      <t>セカイ</t>
    </rPh>
    <rPh sb="11" eb="13">
      <t>ヒツヨウ</t>
    </rPh>
    <phoneticPr fontId="3"/>
  </si>
  <si>
    <t>ミリオンダックが あらわれた！</t>
    <phoneticPr fontId="3"/>
  </si>
  <si>
    <t>逃げるミリオンダックを 追いかけよう！</t>
    <rPh sb="0" eb="1">
      <t>ニ</t>
    </rPh>
    <rPh sb="12" eb="13">
      <t>オ</t>
    </rPh>
    <phoneticPr fontId="3"/>
  </si>
  <si>
    <t>ALICEの世界は お祭り騒ぎだ！</t>
    <phoneticPr fontId="3"/>
  </si>
  <si>
    <t>お祭り気分で 浮かれている</t>
    <rPh sb="1" eb="2">
      <t>マツ</t>
    </rPh>
    <phoneticPr fontId="3"/>
  </si>
  <si>
    <t>女王の手先、アザゼルが襲来した！</t>
    <phoneticPr fontId="3"/>
  </si>
  <si>
    <t>時限式ダメージパネルが カウントダウン！</t>
    <rPh sb="0" eb="3">
      <t>ジゲンシキ</t>
    </rPh>
    <phoneticPr fontId="3"/>
  </si>
  <si>
    <t>アザゼルは 去っていった…</t>
    <rPh sb="6" eb="7">
      <t>サ</t>
    </rPh>
    <phoneticPr fontId="3"/>
  </si>
  <si>
    <t>ミリオンダックが 助けに来た！</t>
    <rPh sb="9" eb="10">
      <t>タス</t>
    </rPh>
    <rPh sb="12" eb="13">
      <t>キ</t>
    </rPh>
    <phoneticPr fontId="3"/>
  </si>
  <si>
    <t>ミリオンダックは いただきニャ</t>
    <phoneticPr fontId="3"/>
  </si>
  <si>
    <t>ALICEの平和は みんなにかかっているグヮ</t>
    <phoneticPr fontId="3"/>
  </si>
  <si>
    <t>みんなが ミリオンダックを 狙っている！</t>
    <phoneticPr fontId="3"/>
  </si>
  <si>
    <t>[effect:fix_speed, target:myself, turn:1][effect:force_change_block, new_block:block_heart, target:block_all, color:block_heart, count:0, val:0.0]</t>
    <phoneticPr fontId="3"/>
  </si>
  <si>
    <t>[effect:kamikaze, val:0.0][effect:force_change_block, new_block:block_heart, target:block_all, color:block_heart, count:0, val:0.0]</t>
    <phoneticPr fontId="3"/>
  </si>
  <si>
    <t>ハッキングで あらゆる機能が狂っている！</t>
    <rPh sb="11" eb="13">
      <t>キノウ</t>
    </rPh>
    <rPh sb="14" eb="15">
      <t>クル</t>
    </rPh>
    <phoneticPr fontId="3"/>
  </si>
  <si>
    <t>家畜の邪魔が入ったな…また遊んでやろう！</t>
    <rPh sb="0" eb="2">
      <t>カチク</t>
    </rPh>
    <rPh sb="3" eb="5">
      <t>ジャマ</t>
    </rPh>
    <rPh sb="6" eb="7">
      <t>ハイ</t>
    </rPh>
    <rPh sb="13" eb="14">
      <t>アソ</t>
    </rPh>
    <phoneticPr fontId="3"/>
  </si>
  <si>
    <t>100万ダウンロード ありがとうグヮ！</t>
    <rPh sb="3" eb="4">
      <t>マン</t>
    </rPh>
    <phoneticPr fontId="3"/>
  </si>
  <si>
    <t>null</t>
    <phoneticPr fontId="3"/>
  </si>
  <si>
    <t>skip</t>
    <phoneticPr fontId="3"/>
  </si>
  <si>
    <t>[effect:fix_speed, target:myself, turn:1][effect:degrade_crash, count:50, special:50, turn:3, animation:enemy_crash_extend][effect:hungup, target:unit_all, turn:-1, rate:1.0][effect:force_change_block, new_block:block_blue, target:block_all, color:block_blue, count:0, val:0.0][effect:dis_panel, target:block_heart, turn:3][effect:change_block, new_block:time_bomb, target:block_all, color:block_green, count:3, val:0.30][effect:change_panel_ratio, block_type:green, turn:3, val:0.0][effect:degrade_fever, val:1000.0]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</si>
</sst>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84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1" fillId="11" borderId="7" xfId="434" applyFont="1" applyFill="1" applyBorder="1" applyAlignment="1"/>
    <xf numFmtId="0" fontId="22" fillId="0" borderId="7" xfId="434" applyBorder="1" applyAlignment="1"/>
    <xf numFmtId="0" fontId="0" fillId="13" borderId="7" xfId="0" applyFill="1" applyBorder="1"/>
    <xf numFmtId="0" fontId="14" fillId="3" borderId="7" xfId="0" applyFont="1" applyFill="1" applyBorder="1" applyAlignment="1">
      <alignment horizontal="left" vertical="center" wrapText="1"/>
    </xf>
    <xf numFmtId="0" fontId="9" fillId="0" borderId="7" xfId="0" applyFont="1" applyBorder="1" applyAlignment="1">
      <alignment vertical="center"/>
    </xf>
    <xf numFmtId="0" fontId="14" fillId="0" borderId="7" xfId="0" applyFont="1" applyFill="1" applyBorder="1" applyAlignment="1">
      <alignment vertical="center" wrapText="1"/>
    </xf>
  </cellXfs>
  <cellStyles count="844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桁区切り 2" xfId="429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無題1" xfId="43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5.xml"/><Relationship Id="rId12" Type="http://schemas.openxmlformats.org/officeDocument/2006/relationships/externalLink" Target="externalLinks/externalLink6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externalLink" Target="externalLinks/externalLink3.xml"/><Relationship Id="rId10" Type="http://schemas.openxmlformats.org/officeDocument/2006/relationships/externalLink" Target="externalLinks/externalLink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位置付け</v>
          </cell>
          <cell r="H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12001</v>
          </cell>
        </row>
        <row r="71">
          <cell r="A71">
            <v>12002</v>
          </cell>
        </row>
        <row r="72">
          <cell r="A72">
            <v>13001</v>
          </cell>
        </row>
        <row r="73">
          <cell r="A73">
            <v>20001</v>
          </cell>
        </row>
        <row r="74">
          <cell r="A74">
            <v>20002</v>
          </cell>
        </row>
        <row r="75">
          <cell r="A75">
            <v>20003</v>
          </cell>
        </row>
        <row r="76">
          <cell r="A76">
            <v>20004</v>
          </cell>
        </row>
        <row r="77">
          <cell r="A77">
            <v>20005</v>
          </cell>
        </row>
        <row r="78">
          <cell r="A78">
            <v>20006</v>
          </cell>
        </row>
        <row r="79">
          <cell r="A79">
            <v>20007</v>
          </cell>
        </row>
        <row r="80">
          <cell r="A80">
            <v>20008</v>
          </cell>
        </row>
        <row r="81">
          <cell r="A81">
            <v>20009</v>
          </cell>
        </row>
        <row r="82">
          <cell r="A82">
            <v>20010</v>
          </cell>
        </row>
        <row r="83">
          <cell r="A83">
            <v>20011</v>
          </cell>
        </row>
        <row r="84">
          <cell r="A84">
            <v>20012</v>
          </cell>
        </row>
        <row r="85">
          <cell r="A85">
            <v>30001</v>
          </cell>
        </row>
        <row r="86">
          <cell r="A86">
            <v>30002</v>
          </cell>
        </row>
        <row r="87">
          <cell r="A87">
            <v>30003</v>
          </cell>
        </row>
        <row r="88">
          <cell r="A88">
            <v>30004</v>
          </cell>
        </row>
        <row r="89">
          <cell r="A89">
            <v>30005</v>
          </cell>
        </row>
        <row r="90">
          <cell r="A90">
            <v>30006</v>
          </cell>
        </row>
        <row r="91">
          <cell r="A91">
            <v>30007</v>
          </cell>
        </row>
        <row r="92">
          <cell r="A92">
            <v>30008</v>
          </cell>
        </row>
        <row r="93">
          <cell r="A93">
            <v>30009</v>
          </cell>
        </row>
        <row r="94">
          <cell r="A94">
            <v>30010</v>
          </cell>
        </row>
        <row r="95">
          <cell r="A95">
            <v>30011</v>
          </cell>
        </row>
        <row r="96">
          <cell r="A96">
            <v>30012</v>
          </cell>
        </row>
        <row r="97">
          <cell r="A97">
            <v>30013</v>
          </cell>
        </row>
        <row r="98">
          <cell r="A98">
            <v>30014</v>
          </cell>
        </row>
        <row r="99">
          <cell r="A99">
            <v>30015</v>
          </cell>
        </row>
        <row r="100">
          <cell r="A100">
            <v>30016</v>
          </cell>
        </row>
        <row r="101">
          <cell r="A101">
            <v>40001</v>
          </cell>
        </row>
        <row r="102">
          <cell r="A102">
            <v>40002</v>
          </cell>
        </row>
        <row r="103">
          <cell r="A103">
            <v>40003</v>
          </cell>
        </row>
        <row r="104">
          <cell r="A104">
            <v>40004</v>
          </cell>
        </row>
        <row r="105">
          <cell r="A105">
            <v>50001</v>
          </cell>
        </row>
        <row r="106">
          <cell r="A106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completable_time</v>
          </cell>
          <cell r="Y2" t="str">
            <v>background</v>
          </cell>
          <cell r="Z2" t="str">
            <v>crash_panel_materials</v>
          </cell>
          <cell r="AA2" t="str">
            <v>stage_target</v>
          </cell>
          <cell r="AB2" t="str">
            <v>bgm</v>
          </cell>
          <cell r="AC2" t="str">
            <v>bgm_boss</v>
          </cell>
          <cell r="AD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12001_1</v>
          </cell>
        </row>
        <row r="255">
          <cell r="A255" t="str">
            <v>12001_2</v>
          </cell>
        </row>
        <row r="256">
          <cell r="A256" t="str">
            <v>12001_3</v>
          </cell>
        </row>
        <row r="257">
          <cell r="A257" t="str">
            <v>12002_3</v>
          </cell>
        </row>
        <row r="258">
          <cell r="A258" t="str">
            <v>12002_2</v>
          </cell>
        </row>
        <row r="259">
          <cell r="A259" t="str">
            <v>12002_1</v>
          </cell>
        </row>
        <row r="260">
          <cell r="A260" t="str">
            <v>13001_1</v>
          </cell>
        </row>
        <row r="261">
          <cell r="A261" t="str">
            <v>13001_2</v>
          </cell>
        </row>
        <row r="262">
          <cell r="A262" t="str">
            <v>13001_3</v>
          </cell>
        </row>
        <row r="263">
          <cell r="A263" t="str">
            <v>13001_4</v>
          </cell>
        </row>
        <row r="264">
          <cell r="A264" t="str">
            <v>13001_5</v>
          </cell>
        </row>
        <row r="265">
          <cell r="A265" t="str">
            <v>13001_6</v>
          </cell>
        </row>
        <row r="266">
          <cell r="A266" t="str">
            <v>13001_7</v>
          </cell>
        </row>
        <row r="267">
          <cell r="A267" t="str">
            <v>13001_8</v>
          </cell>
        </row>
        <row r="268">
          <cell r="A268" t="str">
            <v>13001_9</v>
          </cell>
        </row>
        <row r="269">
          <cell r="A269" t="str">
            <v>13001_10</v>
          </cell>
        </row>
        <row r="270">
          <cell r="A270" t="str">
            <v>13001_11</v>
          </cell>
        </row>
        <row r="271">
          <cell r="A271" t="str">
            <v>13001_12</v>
          </cell>
        </row>
        <row r="272">
          <cell r="A272" t="str">
            <v>13001_13</v>
          </cell>
        </row>
        <row r="273">
          <cell r="A273" t="str">
            <v>13001_14</v>
          </cell>
        </row>
        <row r="274">
          <cell r="A274" t="str">
            <v>13001_15</v>
          </cell>
        </row>
        <row r="275">
          <cell r="A275" t="str">
            <v>13001_16</v>
          </cell>
        </row>
        <row r="276">
          <cell r="A276" t="str">
            <v>13001_17</v>
          </cell>
        </row>
        <row r="277">
          <cell r="A277" t="str">
            <v>13001_18</v>
          </cell>
        </row>
        <row r="278">
          <cell r="A278" t="str">
            <v>13001_19</v>
          </cell>
        </row>
        <row r="279">
          <cell r="A279" t="str">
            <v>13001_20</v>
          </cell>
        </row>
        <row r="280">
          <cell r="A280" t="str">
            <v>13001_21</v>
          </cell>
        </row>
        <row r="281">
          <cell r="A281" t="str">
            <v>13001_22</v>
          </cell>
        </row>
        <row r="282">
          <cell r="A282" t="str">
            <v>13001_23</v>
          </cell>
        </row>
        <row r="283">
          <cell r="A283" t="str">
            <v>13001_24</v>
          </cell>
        </row>
        <row r="284">
          <cell r="A284" t="str">
            <v>13001_25</v>
          </cell>
        </row>
        <row r="285">
          <cell r="A285" t="str">
            <v>20001_1</v>
          </cell>
        </row>
        <row r="286">
          <cell r="A286" t="str">
            <v>20001_2</v>
          </cell>
        </row>
        <row r="287">
          <cell r="A287" t="str">
            <v>20001_3</v>
          </cell>
        </row>
        <row r="288">
          <cell r="A288" t="str">
            <v>20002_1</v>
          </cell>
        </row>
        <row r="289">
          <cell r="A289" t="str">
            <v>20002_2</v>
          </cell>
        </row>
        <row r="290">
          <cell r="A290" t="str">
            <v>20002_3</v>
          </cell>
        </row>
        <row r="291">
          <cell r="A291" t="str">
            <v>20003_1</v>
          </cell>
        </row>
        <row r="292">
          <cell r="A292" t="str">
            <v>20003_2</v>
          </cell>
        </row>
        <row r="293">
          <cell r="A293" t="str">
            <v>20003_3</v>
          </cell>
        </row>
        <row r="294">
          <cell r="A294" t="str">
            <v>20004_1</v>
          </cell>
        </row>
        <row r="295">
          <cell r="A295" t="str">
            <v>20004_2</v>
          </cell>
        </row>
        <row r="296">
          <cell r="A296" t="str">
            <v>20004_3</v>
          </cell>
        </row>
        <row r="297">
          <cell r="A297" t="str">
            <v>20005_1</v>
          </cell>
        </row>
        <row r="298">
          <cell r="A298" t="str">
            <v>20005_2</v>
          </cell>
        </row>
        <row r="299">
          <cell r="A299" t="str">
            <v>20005_3</v>
          </cell>
        </row>
        <row r="300">
          <cell r="A300" t="str">
            <v>20006_1</v>
          </cell>
        </row>
        <row r="301">
          <cell r="A301" t="str">
            <v>20006_2</v>
          </cell>
        </row>
        <row r="302">
          <cell r="A302" t="str">
            <v>20006_3</v>
          </cell>
        </row>
        <row r="303">
          <cell r="A303" t="str">
            <v>20007_1</v>
          </cell>
        </row>
        <row r="304">
          <cell r="A304" t="str">
            <v>20007_2</v>
          </cell>
        </row>
        <row r="305">
          <cell r="A305" t="str">
            <v>20007_3</v>
          </cell>
        </row>
        <row r="306">
          <cell r="A306" t="str">
            <v>20008_1</v>
          </cell>
        </row>
        <row r="307">
          <cell r="A307" t="str">
            <v>20008_2</v>
          </cell>
        </row>
        <row r="308">
          <cell r="A308" t="str">
            <v>20008_3</v>
          </cell>
        </row>
        <row r="309">
          <cell r="A309" t="str">
            <v>20009_1</v>
          </cell>
        </row>
        <row r="310">
          <cell r="A310" t="str">
            <v>20009_2</v>
          </cell>
        </row>
        <row r="311">
          <cell r="A311" t="str">
            <v>20009_3</v>
          </cell>
        </row>
        <row r="312">
          <cell r="A312" t="str">
            <v>20010_1</v>
          </cell>
        </row>
        <row r="313">
          <cell r="A313" t="str">
            <v>20010_2</v>
          </cell>
        </row>
        <row r="314">
          <cell r="A314" t="str">
            <v>20010_3</v>
          </cell>
        </row>
        <row r="315">
          <cell r="A315" t="str">
            <v>20011_1</v>
          </cell>
        </row>
        <row r="316">
          <cell r="A316" t="str">
            <v>20011_2</v>
          </cell>
        </row>
        <row r="317">
          <cell r="A317" t="str">
            <v>20011_3</v>
          </cell>
        </row>
        <row r="318">
          <cell r="A318" t="str">
            <v>20012_1</v>
          </cell>
        </row>
        <row r="319">
          <cell r="A319" t="str">
            <v>20012_2</v>
          </cell>
        </row>
        <row r="320">
          <cell r="A320" t="str">
            <v>20012_3</v>
          </cell>
        </row>
        <row r="321">
          <cell r="A321" t="str">
            <v>30001_1</v>
          </cell>
        </row>
        <row r="322">
          <cell r="A322" t="str">
            <v>30001_2</v>
          </cell>
        </row>
        <row r="323">
          <cell r="A323" t="str">
            <v>30001_3</v>
          </cell>
        </row>
        <row r="324">
          <cell r="A324" t="str">
            <v>30002_1</v>
          </cell>
        </row>
        <row r="325">
          <cell r="A325" t="str">
            <v>30002_2</v>
          </cell>
        </row>
        <row r="326">
          <cell r="A326" t="str">
            <v>30002_3</v>
          </cell>
        </row>
        <row r="327">
          <cell r="A327" t="str">
            <v>30003_1</v>
          </cell>
        </row>
        <row r="328">
          <cell r="A328" t="str">
            <v>30003_2</v>
          </cell>
        </row>
        <row r="329">
          <cell r="A329" t="str">
            <v>30003_3</v>
          </cell>
        </row>
        <row r="330">
          <cell r="A330" t="str">
            <v>30004_1</v>
          </cell>
        </row>
        <row r="331">
          <cell r="A331" t="str">
            <v>30004_2</v>
          </cell>
        </row>
        <row r="332">
          <cell r="A332" t="str">
            <v>30004_3</v>
          </cell>
        </row>
        <row r="333">
          <cell r="A333" t="str">
            <v>30005_1</v>
          </cell>
        </row>
        <row r="334">
          <cell r="A334" t="str">
            <v>30005_2</v>
          </cell>
        </row>
        <row r="335">
          <cell r="A335" t="str">
            <v>30005_3</v>
          </cell>
        </row>
        <row r="336">
          <cell r="A336" t="str">
            <v>30006_1</v>
          </cell>
        </row>
        <row r="337">
          <cell r="A337" t="str">
            <v>30006_2</v>
          </cell>
        </row>
        <row r="338">
          <cell r="A338" t="str">
            <v>30006_3</v>
          </cell>
        </row>
        <row r="339">
          <cell r="A339" t="str">
            <v>30007_1</v>
          </cell>
        </row>
        <row r="340">
          <cell r="A340" t="str">
            <v>30007_2</v>
          </cell>
        </row>
        <row r="341">
          <cell r="A341" t="str">
            <v>30007_3</v>
          </cell>
        </row>
        <row r="342">
          <cell r="A342" t="str">
            <v>30008_1</v>
          </cell>
        </row>
        <row r="343">
          <cell r="A343" t="str">
            <v>30008_2</v>
          </cell>
        </row>
        <row r="344">
          <cell r="A344" t="str">
            <v>30008_3</v>
          </cell>
        </row>
        <row r="345">
          <cell r="A345" t="str">
            <v>30009_3</v>
          </cell>
        </row>
        <row r="346">
          <cell r="A346" t="str">
            <v>30009_1</v>
          </cell>
        </row>
        <row r="347">
          <cell r="A347" t="str">
            <v>30009_2</v>
          </cell>
        </row>
        <row r="348">
          <cell r="A348" t="str">
            <v>30010_1</v>
          </cell>
        </row>
        <row r="349">
          <cell r="A349" t="str">
            <v>30010_2</v>
          </cell>
        </row>
        <row r="350">
          <cell r="A350" t="str">
            <v>30010_3</v>
          </cell>
        </row>
        <row r="351">
          <cell r="A351" t="str">
            <v>30011_1</v>
          </cell>
        </row>
        <row r="352">
          <cell r="A352" t="str">
            <v>30011_2</v>
          </cell>
        </row>
        <row r="353">
          <cell r="A353" t="str">
            <v>30011_3</v>
          </cell>
        </row>
        <row r="354">
          <cell r="A354" t="str">
            <v>30012_1</v>
          </cell>
        </row>
        <row r="355">
          <cell r="A355" t="str">
            <v>30012_2</v>
          </cell>
        </row>
        <row r="356">
          <cell r="A356" t="str">
            <v>30012_3</v>
          </cell>
        </row>
        <row r="357">
          <cell r="A357" t="str">
            <v>30013_1</v>
          </cell>
        </row>
        <row r="358">
          <cell r="A358" t="str">
            <v>30013_2</v>
          </cell>
        </row>
        <row r="359">
          <cell r="A359" t="str">
            <v>30014_1</v>
          </cell>
        </row>
        <row r="360">
          <cell r="A360" t="str">
            <v>30014_2</v>
          </cell>
        </row>
        <row r="361">
          <cell r="A361" t="str">
            <v>30015_1</v>
          </cell>
        </row>
        <row r="362">
          <cell r="A362" t="str">
            <v>30015_2</v>
          </cell>
        </row>
        <row r="363">
          <cell r="A363" t="str">
            <v>30016_1</v>
          </cell>
        </row>
        <row r="364">
          <cell r="A364" t="str">
            <v>30016_2</v>
          </cell>
        </row>
        <row r="365">
          <cell r="A365" t="str">
            <v>40001_1</v>
          </cell>
        </row>
        <row r="366">
          <cell r="A366" t="str">
            <v>40002_1</v>
          </cell>
        </row>
        <row r="367">
          <cell r="A367" t="str">
            <v>40002_2</v>
          </cell>
        </row>
        <row r="368">
          <cell r="A368" t="str">
            <v>40002_3</v>
          </cell>
        </row>
        <row r="369">
          <cell r="A369" t="str">
            <v>40003_1</v>
          </cell>
        </row>
        <row r="370">
          <cell r="A370" t="str">
            <v>40004_1</v>
          </cell>
        </row>
        <row r="371">
          <cell r="A371" t="str">
            <v>50001_1</v>
          </cell>
        </row>
        <row r="372">
          <cell r="A372" t="str">
            <v>65535_1</v>
          </cell>
        </row>
        <row r="373">
          <cell r="A373" t="str">
            <v>65535_2</v>
          </cell>
        </row>
        <row r="374">
          <cell r="A374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侵食性ウイルス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ハース・スポイル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A4" sqref="A4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29">
      <c r="A1" s="60" t="s">
        <v>129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>
      <c r="A2" s="61" t="s">
        <v>149</v>
      </c>
      <c r="B2" s="57" t="s">
        <v>107</v>
      </c>
      <c r="C2" s="62" t="s">
        <v>150</v>
      </c>
      <c r="D2" s="57" t="s">
        <v>108</v>
      </c>
      <c r="E2" s="56" t="str">
        <f>B2&amp;C2&amp;D2</f>
        <v>floors_1M.tmp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29">
      <c r="A3" s="61" t="s">
        <v>149</v>
      </c>
      <c r="B3" s="57" t="s">
        <v>110</v>
      </c>
      <c r="C3" s="62" t="s">
        <v>150</v>
      </c>
      <c r="D3" s="57" t="s">
        <v>108</v>
      </c>
      <c r="E3" s="56" t="str">
        <f>B3&amp;C3&amp;D3</f>
        <v>enemy_habitats_1M.tmp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</row>
    <row r="4" spans="1:29">
      <c r="A4" s="61" t="s">
        <v>193</v>
      </c>
      <c r="B4" s="57" t="s">
        <v>112</v>
      </c>
      <c r="C4" s="62" t="s">
        <v>150</v>
      </c>
      <c r="D4" s="57" t="s">
        <v>108</v>
      </c>
      <c r="E4" s="56" t="str">
        <f>B4&amp;C4&amp;D4</f>
        <v>enemy_habitat_S_1M.tmp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29">
      <c r="A5" s="61" t="s">
        <v>149</v>
      </c>
      <c r="B5" s="57" t="s">
        <v>114</v>
      </c>
      <c r="C5" s="62" t="s">
        <v>150</v>
      </c>
      <c r="D5" s="57" t="s">
        <v>108</v>
      </c>
      <c r="E5" s="56" t="str">
        <f>B5&amp;C5&amp;D5</f>
        <v>enemy_skill_sets_1M.tmp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29">
      <c r="A6" s="61" t="s">
        <v>149</v>
      </c>
      <c r="B6" s="57" t="s">
        <v>116</v>
      </c>
      <c r="C6" s="62" t="s">
        <v>150</v>
      </c>
      <c r="D6" s="57" t="s">
        <v>117</v>
      </c>
      <c r="E6" s="56" t="str">
        <f t="shared" ref="E6:E8" si="0">B6&amp;C6&amp;D6</f>
        <v>enemy_skills_tmp_1M.tmp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29">
      <c r="A7" s="61" t="s">
        <v>149</v>
      </c>
      <c r="B7" s="57" t="s">
        <v>118</v>
      </c>
      <c r="C7" s="62" t="s">
        <v>150</v>
      </c>
      <c r="D7" s="57" t="s">
        <v>108</v>
      </c>
      <c r="E7" s="56" t="str">
        <f>B7&amp;C7&amp;D7</f>
        <v>enemy_skills_i18n_1M.tmp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29">
      <c r="A8" s="61" t="s">
        <v>149</v>
      </c>
      <c r="B8" s="57" t="s">
        <v>120</v>
      </c>
      <c r="C8" s="62" t="s">
        <v>150</v>
      </c>
      <c r="D8" s="57" t="s">
        <v>121</v>
      </c>
      <c r="E8" s="56" t="str">
        <f t="shared" si="0"/>
        <v>enemy_skill_triggers_1M.tmp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F4" sqref="F4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21.5" style="3" bestFit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11212_1-1</v>
      </c>
      <c r="B2" s="16" t="str">
        <f>IF(COUNTIF(enemy_habitats!$H:$H,A2),"OK","NG")</f>
        <v>OK</v>
      </c>
      <c r="C2" s="7">
        <v>11212</v>
      </c>
      <c r="D2" s="11" t="str">
        <f ca="1">VLOOKUP($C2,OFFSET([2]quests!$A$1,0,0,COUNTA([2]quests!$A:$A),MATCH(D$1,[2]quests!$1:$1,0)-MATCH($C$1,[2]quests!$1:$1,0)+1),MATCH(D$1,[2]quests!$1:$1,0)-MATCH($C$1,[2]quests!$1:$1,0)+1,FALSE)</f>
        <v>100万DL記念★特別クエスト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100万DL記念★特別クエスト</v>
      </c>
      <c r="F2" s="21">
        <v>1</v>
      </c>
      <c r="G2" s="23" t="str">
        <f>C2&amp;"_"&amp;F2</f>
        <v>11212_1</v>
      </c>
      <c r="H2" s="15" t="str">
        <f ca="1">VLOOKUP($G2,OFFSET([2]stages!$A$1,0,0,COUNTA([2]stages!$A:$A),MATCH(H$1,[2]stages!$2:$2,0)-MATCH($G$1,[2]stages!$2:$2,0)+1),MATCH(H$1,[2]stages!$2:$2,0)-MATCH($G$1,[2]stages!$2:$2,0)+1,FALSE)</f>
        <v>ミリオンダックより愛をこめて</v>
      </c>
      <c r="I2" s="21">
        <v>1</v>
      </c>
      <c r="J2" s="12">
        <v>20</v>
      </c>
      <c r="K2" s="12">
        <v>20</v>
      </c>
    </row>
    <row r="3" spans="1:11" ht="21" customHeight="1">
      <c r="A3" s="16" t="str">
        <f t="shared" ref="A3:A5" si="0">G3&amp;"-"&amp;I3</f>
        <v>11212_1-2</v>
      </c>
      <c r="B3" s="16" t="str">
        <f>IF(COUNTIF(enemy_habitats!$H:$H,A3),"OK","NG")</f>
        <v>OK</v>
      </c>
      <c r="C3" s="7">
        <v>11212</v>
      </c>
      <c r="D3" s="11" t="str">
        <f ca="1">VLOOKUP($C3,OFFSET([2]quests!$A$1,0,0,COUNTA([2]quests!$A:$A),MATCH(D$1,[2]quests!$1:$1,0)-MATCH($C$1,[2]quests!$1:$1,0)+1),MATCH(D$1,[2]quests!$1:$1,0)-MATCH($C$1,[2]quests!$1:$1,0)+1,FALSE)</f>
        <v>100万DL記念★特別クエスト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100万DL記念★特別クエスト</v>
      </c>
      <c r="F3" s="21">
        <v>1</v>
      </c>
      <c r="G3" s="23" t="str">
        <f t="shared" ref="G3:G5" si="1">C3&amp;"_"&amp;F3</f>
        <v>11212_1</v>
      </c>
      <c r="H3" s="15" t="str">
        <f ca="1">VLOOKUP($G3,OFFSET([2]stages!$A$1,0,0,COUNTA([2]stages!$A:$A),MATCH(H$1,[2]stages!$2:$2,0)-MATCH($G$1,[2]stages!$2:$2,0)+1),MATCH(H$1,[2]stages!$2:$2,0)-MATCH($G$1,[2]stages!$2:$2,0)+1,FALSE)</f>
        <v>ミリオンダックより愛をこめて</v>
      </c>
      <c r="I3" s="21">
        <v>2</v>
      </c>
      <c r="J3" s="12">
        <v>50</v>
      </c>
      <c r="K3" s="12">
        <v>50</v>
      </c>
    </row>
    <row r="4" spans="1:11" ht="21" customHeight="1">
      <c r="A4" s="16" t="str">
        <f t="shared" si="0"/>
        <v>11212_1-3</v>
      </c>
      <c r="B4" s="16" t="str">
        <f>IF(COUNTIF(enemy_habitats!$H:$H,A4),"OK","NG")</f>
        <v>OK</v>
      </c>
      <c r="C4" s="7">
        <v>11212</v>
      </c>
      <c r="D4" s="11" t="str">
        <f ca="1">VLOOKUP($C4,OFFSET([2]quests!$A$1,0,0,COUNTA([2]quests!$A:$A),MATCH(D$1,[2]quests!$1:$1,0)-MATCH($C$1,[2]quests!$1:$1,0)+1),MATCH(D$1,[2]quests!$1:$1,0)-MATCH($C$1,[2]quests!$1:$1,0)+1,FALSE)</f>
        <v>100万DL記念★特別クエスト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100万DL記念★特別クエスト</v>
      </c>
      <c r="F4" s="21">
        <v>1</v>
      </c>
      <c r="G4" s="23" t="str">
        <f t="shared" si="1"/>
        <v>11212_1</v>
      </c>
      <c r="H4" s="15" t="str">
        <f ca="1">VLOOKUP($G4,OFFSET([2]stages!$A$1,0,0,COUNTA([2]stages!$A:$A),MATCH(H$1,[2]stages!$2:$2,0)-MATCH($G$1,[2]stages!$2:$2,0)+1),MATCH(H$1,[2]stages!$2:$2,0)-MATCH($G$1,[2]stages!$2:$2,0)+1,FALSE)</f>
        <v>ミリオンダックより愛をこめて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 t="shared" si="0"/>
        <v>11212_1-4</v>
      </c>
      <c r="B5" s="16" t="str">
        <f>IF(COUNTIF(enemy_habitats!$H:$H,A5),"OK","NG")</f>
        <v>OK</v>
      </c>
      <c r="C5" s="7">
        <v>11212</v>
      </c>
      <c r="D5" s="11" t="str">
        <f ca="1">VLOOKUP($C5,OFFSET([2]quests!$A$1,0,0,COUNTA([2]quests!$A:$A),MATCH(D$1,[2]quests!$1:$1,0)-MATCH($C$1,[2]quests!$1:$1,0)+1),MATCH(D$1,[2]quests!$1:$1,0)-MATCH($C$1,[2]quests!$1:$1,0)+1,FALSE)</f>
        <v>100万DL記念★特別クエスト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100万DL記念★特別クエスト</v>
      </c>
      <c r="F5" s="21">
        <v>1</v>
      </c>
      <c r="G5" s="23" t="str">
        <f t="shared" si="1"/>
        <v>11212_1</v>
      </c>
      <c r="H5" s="15" t="str">
        <f ca="1">VLOOKUP($G5,OFFSET([2]stages!$A$1,0,0,COUNTA([2]stages!$A:$A),MATCH(H$1,[2]stages!$2:$2,0)-MATCH($G$1,[2]stages!$2:$2,0)+1),MATCH(H$1,[2]stages!$2:$2,0)-MATCH($G$1,[2]stages!$2:$2,0)+1,FALSE)</f>
        <v>ミリオンダックより愛をこめて</v>
      </c>
      <c r="I5" s="21">
        <v>4</v>
      </c>
      <c r="J5" s="12">
        <v>20</v>
      </c>
      <c r="K5" s="12">
        <v>20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0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K6" sqref="K6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4.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9.1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</row>
    <row r="2" spans="1:39" ht="21" customHeight="1">
      <c r="A2" s="16" t="str">
        <f t="shared" ref="A2:A10" ca="1" si="0">B2&amp;"_"&amp;C2&amp;"-"&amp;G2&amp;"/"&amp;L2&amp;"&lt;lv"&amp;R2&amp;"&gt;s"&amp;AA2</f>
        <v>11212_1-1/97&lt;lv100&gt;s1</v>
      </c>
      <c r="B2" s="22">
        <v>11212</v>
      </c>
      <c r="C2" s="21">
        <v>1</v>
      </c>
      <c r="D2" s="2" t="str">
        <f t="shared" ref="D2:D10" si="1">B2&amp;"_"&amp;C2</f>
        <v>11212_1</v>
      </c>
      <c r="E2" s="4" t="str">
        <f ca="1">VLOOKUP($B2,OFFSET([2]quests!$A$1,0,0,COUNTA([2]quests!$A:$A),MATCH(E$1,[2]quests!$1:$1,0)-MATCH($B$1,[2]quests!$1:$1,0)+1),MATCH(E$1,[2]quests!$1:$1,0)-MATCH($B$1,[2]quests!$1:$1,0)+1,FALSE)</f>
        <v>100万DL記念★特別クエスト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ミリオンダックより愛をこめて</v>
      </c>
      <c r="G2" s="21">
        <v>1</v>
      </c>
      <c r="H2" s="15" t="str">
        <f t="shared" ref="H2:H10" si="2">B2&amp;"_"&amp;C2&amp;"-"&amp;G2</f>
        <v>11212_1-1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97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炎のミリオンダック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100</v>
      </c>
      <c r="S2" s="25">
        <v>0.1</v>
      </c>
      <c r="T2" s="25">
        <v>1</v>
      </c>
      <c r="U2" s="5">
        <v>65535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100万ダウンロード ありがとうグヮ！</v>
      </c>
      <c r="W2" s="64">
        <v>112121100</v>
      </c>
      <c r="X2" s="6">
        <v>1</v>
      </c>
      <c r="Y2" s="6">
        <v>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 t="shared" ref="AB2:AB10" si="3">L2</f>
        <v>97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炎のミリオンダック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6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10" ca="1" si="4">AD2</f>
        <v>6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>
      <c r="A3" s="16" t="str">
        <f t="shared" ca="1" si="0"/>
        <v>11212_1-2/49&lt;lv1&gt;s2</v>
      </c>
      <c r="B3" s="22">
        <v>11212</v>
      </c>
      <c r="C3" s="21">
        <v>1</v>
      </c>
      <c r="D3" s="2" t="str">
        <f t="shared" si="1"/>
        <v>11212_1</v>
      </c>
      <c r="E3" s="4" t="str">
        <f ca="1">VLOOKUP($B3,OFFSET([2]quests!$A$1,0,0,COUNTA([2]quests!$A:$A),MATCH(E$1,[2]quests!$1:$1,0)-MATCH($B$1,[2]quests!$1:$1,0)+1),MATCH(E$1,[2]quests!$1:$1,0)-MATCH($B$1,[2]quests!$1:$1,0)+1,FALSE)</f>
        <v>100万DL記念★特別クエスト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ミリオンダックより愛をこめて</v>
      </c>
      <c r="G3" s="21">
        <v>2</v>
      </c>
      <c r="H3" s="15" t="str">
        <f t="shared" si="2"/>
        <v>11212_1-2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49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ヨシタカ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100万ダウンロード達成か！</v>
      </c>
      <c r="W3" s="64">
        <v>112121200</v>
      </c>
      <c r="X3" s="6">
        <v>1</v>
      </c>
      <c r="Y3" s="6">
        <v>0</v>
      </c>
      <c r="Z3" s="6">
        <v>2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49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>
      <c r="A4" s="16" t="str">
        <f t="shared" ca="1" si="0"/>
        <v>11212_1-2/79&lt;lv1&gt;s2</v>
      </c>
      <c r="B4" s="22">
        <v>11212</v>
      </c>
      <c r="C4" s="21">
        <v>1</v>
      </c>
      <c r="D4" s="2" t="str">
        <f t="shared" si="1"/>
        <v>11212_1</v>
      </c>
      <c r="E4" s="4" t="str">
        <f ca="1">VLOOKUP($B4,OFFSET([2]quests!$A$1,0,0,COUNTA([2]quests!$A:$A),MATCH(E$1,[2]quests!$1:$1,0)-MATCH($B$1,[2]quests!$1:$1,0)+1),MATCH(E$1,[2]quests!$1:$1,0)-MATCH($B$1,[2]quests!$1:$1,0)+1,FALSE)</f>
        <v>100万DL記念★特別クエスト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ミリオンダックより愛をこめて</v>
      </c>
      <c r="G4" s="21">
        <v>2</v>
      </c>
      <c r="H4" s="15" t="str">
        <f t="shared" si="2"/>
        <v>11212_1-2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79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ハッピー100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0.5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ハッピー！？</v>
      </c>
      <c r="W4" s="64">
        <v>112121210</v>
      </c>
      <c r="X4" s="6">
        <v>1</v>
      </c>
      <c r="Y4" s="6">
        <v>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79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>
      <c r="A5" s="16" t="str">
        <f t="shared" ca="1" si="0"/>
        <v>11212_1-2/13&lt;lv1&gt;s2</v>
      </c>
      <c r="B5" s="22">
        <v>11212</v>
      </c>
      <c r="C5" s="21">
        <v>1</v>
      </c>
      <c r="D5" s="2" t="str">
        <f t="shared" si="1"/>
        <v>11212_1</v>
      </c>
      <c r="E5" s="4" t="str">
        <f ca="1">VLOOKUP($B5,OFFSET([2]quests!$A$1,0,0,COUNTA([2]quests!$A:$A),MATCH(E$1,[2]quests!$1:$1,0)-MATCH($B$1,[2]quests!$1:$1,0)+1),MATCH(E$1,[2]quests!$1:$1,0)-MATCH($B$1,[2]quests!$1:$1,0)+1,FALSE)</f>
        <v>100万DL記念★特別クエスト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ミリオンダックより愛をこめて</v>
      </c>
      <c r="G5" s="21">
        <v>2</v>
      </c>
      <c r="H5" s="15" t="str">
        <f t="shared" si="2"/>
        <v>11212_1-2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 t="s">
        <v>53</v>
      </c>
      <c r="L5" s="20">
        <v>13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ミリオンダックは いただきニャ</v>
      </c>
      <c r="W5" s="64">
        <v>112121220</v>
      </c>
      <c r="X5" s="6">
        <v>1</v>
      </c>
      <c r="Y5" s="6">
        <v>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13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4">
        <f t="shared" ca="1" si="4"/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>
      <c r="A6" s="16" t="str">
        <f t="shared" ca="1" si="0"/>
        <v>11212_1-3/297&lt;lv99&gt;s2</v>
      </c>
      <c r="B6" s="22">
        <v>11212</v>
      </c>
      <c r="C6" s="21">
        <v>1</v>
      </c>
      <c r="D6" s="2" t="str">
        <f t="shared" si="1"/>
        <v>11212_1</v>
      </c>
      <c r="E6" s="4" t="str">
        <f ca="1">VLOOKUP($B6,OFFSET([2]quests!$A$1,0,0,COUNTA([2]quests!$A:$A),MATCH(E$1,[2]quests!$1:$1,0)-MATCH($B$1,[2]quests!$1:$1,0)+1),MATCH(E$1,[2]quests!$1:$1,0)-MATCH($B$1,[2]quests!$1:$1,0)+1,FALSE)</f>
        <v>100万DL記念★特別クエスト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ミリオンダックより愛をこめて</v>
      </c>
      <c r="G6" s="21">
        <v>3</v>
      </c>
      <c r="H6" s="15" t="str">
        <f t="shared" si="2"/>
        <v>11212_1-3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192</v>
      </c>
      <c r="L6" s="20">
        <v>297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狂靭なる双撃 アザゼル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99</v>
      </c>
      <c r="S6" s="25">
        <v>99.9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浮かれるな…家畜ども！</v>
      </c>
      <c r="W6" s="64">
        <v>112121300</v>
      </c>
      <c r="X6" s="6">
        <v>1</v>
      </c>
      <c r="Y6" s="6">
        <v>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si="3"/>
        <v>297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狂靭なる双撃 アザゼル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>
      <c r="A7" s="16" t="str">
        <f t="shared" ca="1" si="0"/>
        <v>11212_1-4/97&lt;lv100&gt;s1</v>
      </c>
      <c r="B7" s="22">
        <v>11212</v>
      </c>
      <c r="C7" s="21">
        <v>1</v>
      </c>
      <c r="D7" s="2" t="str">
        <f t="shared" si="1"/>
        <v>11212_1</v>
      </c>
      <c r="E7" s="4" t="str">
        <f ca="1">VLOOKUP($B7,OFFSET([2]quests!$A$1,0,0,COUNTA([2]quests!$A:$A),MATCH(E$1,[2]quests!$1:$1,0)-MATCH($B$1,[2]quests!$1:$1,0)+1),MATCH(E$1,[2]quests!$1:$1,0)-MATCH($B$1,[2]quests!$1:$1,0)+1,FALSE)</f>
        <v>100万DL記念★特別クエスト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ミリオンダックより愛をこめて</v>
      </c>
      <c r="G7" s="21">
        <v>4</v>
      </c>
      <c r="H7" s="15" t="str">
        <f t="shared" si="2"/>
        <v>11212_1-4</v>
      </c>
      <c r="I7" s="4">
        <f ca="1">VLOOKUP($H7,OFFSET(floors!$A$1,0,0,COUNTA(floors!$A:$A),MATCH(I$1,floors!$1:$1,0)-MATCH($H$1,floors!$1:$1,0)+1),MATCH(I$1,floors!$1:$1,0)-MATCH($H$1,floors!$1:$1,0)+1,FALSE)</f>
        <v>20</v>
      </c>
      <c r="J7" s="4">
        <f ca="1">VLOOKUP($H7,OFFSET(floors!$A$1,0,0,COUNTA(floors!$A:$A),MATCH(J$1,floors!$1:$1,0)-MATCH($H$1,floors!$1:$1,0)+1),MATCH(J$1,floors!$1:$1,0)-MATCH($H$1,floors!$1:$1,0)+1,FALSE)</f>
        <v>20</v>
      </c>
      <c r="K7" s="38" t="s">
        <v>53</v>
      </c>
      <c r="L7" s="20">
        <v>97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炎のミリオンダック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100</v>
      </c>
      <c r="S7" s="25">
        <v>0.1</v>
      </c>
      <c r="T7" s="25">
        <v>1</v>
      </c>
      <c r="U7" s="5">
        <v>65535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…大丈夫グヮ…？</v>
      </c>
      <c r="W7" s="64">
        <v>112121400</v>
      </c>
      <c r="X7" s="6">
        <v>0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1</v>
      </c>
      <c r="AB7" s="24">
        <f t="shared" si="3"/>
        <v>97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炎のミリオンダック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6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6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>
      <c r="A8" s="16" t="str">
        <f t="shared" ca="1" si="0"/>
        <v>11212_1-4/98&lt;lv100&gt;s1</v>
      </c>
      <c r="B8" s="22">
        <v>11212</v>
      </c>
      <c r="C8" s="21">
        <v>1</v>
      </c>
      <c r="D8" s="2" t="str">
        <f t="shared" si="1"/>
        <v>11212_1</v>
      </c>
      <c r="E8" s="4" t="str">
        <f ca="1">VLOOKUP($B8,OFFSET([2]quests!$A$1,0,0,COUNTA([2]quests!$A:$A),MATCH(E$1,[2]quests!$1:$1,0)-MATCH($B$1,[2]quests!$1:$1,0)+1),MATCH(E$1,[2]quests!$1:$1,0)-MATCH($B$1,[2]quests!$1:$1,0)+1,FALSE)</f>
        <v>100万DL記念★特別クエスト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ミリオンダックより愛をこめて</v>
      </c>
      <c r="G8" s="21">
        <v>4</v>
      </c>
      <c r="H8" s="15" t="str">
        <f t="shared" si="2"/>
        <v>11212_1-4</v>
      </c>
      <c r="I8" s="4">
        <f ca="1">VLOOKUP($H8,OFFSET(floors!$A$1,0,0,COUNTA(floors!$A:$A),MATCH(I$1,floors!$1:$1,0)-MATCH($H$1,floors!$1:$1,0)+1),MATCH(I$1,floors!$1:$1,0)-MATCH($H$1,floors!$1:$1,0)+1,FALSE)</f>
        <v>20</v>
      </c>
      <c r="J8" s="4">
        <f ca="1">VLOOKUP($H8,OFFSET(floors!$A$1,0,0,COUNTA(floors!$A:$A),MATCH(J$1,floors!$1:$1,0)-MATCH($H$1,floors!$1:$1,0)+1),MATCH(J$1,floors!$1:$1,0)-MATCH($H$1,floors!$1:$1,0)+1,FALSE)</f>
        <v>20</v>
      </c>
      <c r="K8" s="38" t="s">
        <v>151</v>
      </c>
      <c r="L8" s="20">
        <v>98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森のミリオンダック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100</v>
      </c>
      <c r="S8" s="25">
        <v>0.1</v>
      </c>
      <c r="T8" s="25">
        <v>1</v>
      </c>
      <c r="U8" s="5">
        <v>65535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…大丈夫グヮ…？</v>
      </c>
      <c r="W8" s="64">
        <v>112121400</v>
      </c>
      <c r="X8" s="6">
        <v>0</v>
      </c>
      <c r="Y8" s="6">
        <v>100</v>
      </c>
      <c r="Z8" s="6">
        <v>1</v>
      </c>
      <c r="AA8" s="17">
        <f ca="1">VLOOKUP($L8,OFFSET([3]enemies!$A$1,0,0,COUNTA([3]enemies!$A:$A),MATCH(AA$1,[3]enemies!$1:$1,0)-MATCH($L$1,[3]enemies!$1:$1,0)+1),MATCH(AA$1,[3]enemies!$1:$1,0)-MATCH($L$1,[3]enemies!$1:$1,0)+1,FALSE)</f>
        <v>1</v>
      </c>
      <c r="AB8" s="24">
        <f t="shared" si="3"/>
        <v>98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森のミリオンダック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6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ca="1" si="4"/>
        <v>6</v>
      </c>
      <c r="AH8" s="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>
      <c r="A9" s="16" t="str">
        <f t="shared" ca="1" si="0"/>
        <v>11212_1-4/99&lt;lv100&gt;s1</v>
      </c>
      <c r="B9" s="22">
        <v>11212</v>
      </c>
      <c r="C9" s="21">
        <v>1</v>
      </c>
      <c r="D9" s="2" t="str">
        <f t="shared" si="1"/>
        <v>11212_1</v>
      </c>
      <c r="E9" s="4" t="str">
        <f ca="1">VLOOKUP($B9,OFFSET([2]quests!$A$1,0,0,COUNTA([2]quests!$A:$A),MATCH(E$1,[2]quests!$1:$1,0)-MATCH($B$1,[2]quests!$1:$1,0)+1),MATCH(E$1,[2]quests!$1:$1,0)-MATCH($B$1,[2]quests!$1:$1,0)+1,FALSE)</f>
        <v>100万DL記念★特別クエスト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ミリオンダックより愛をこめて</v>
      </c>
      <c r="G9" s="21">
        <v>4</v>
      </c>
      <c r="H9" s="15" t="str">
        <f t="shared" si="2"/>
        <v>11212_1-4</v>
      </c>
      <c r="I9" s="4">
        <f ca="1">VLOOKUP($H9,OFFSET(floors!$A$1,0,0,COUNTA(floors!$A:$A),MATCH(I$1,floors!$1:$1,0)-MATCH($H$1,floors!$1:$1,0)+1),MATCH(I$1,floors!$1:$1,0)-MATCH($H$1,floors!$1:$1,0)+1,FALSE)</f>
        <v>20</v>
      </c>
      <c r="J9" s="4">
        <f ca="1">VLOOKUP($H9,OFFSET(floors!$A$1,0,0,COUNTA(floors!$A:$A),MATCH(J$1,floors!$1:$1,0)-MATCH($H$1,floors!$1:$1,0)+1),MATCH(J$1,floors!$1:$1,0)-MATCH($H$1,floors!$1:$1,0)+1,FALSE)</f>
        <v>20</v>
      </c>
      <c r="K9" s="38" t="s">
        <v>53</v>
      </c>
      <c r="L9" s="20">
        <v>99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水のミリオンダック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100</v>
      </c>
      <c r="S9" s="25">
        <v>0.1</v>
      </c>
      <c r="T9" s="25">
        <v>1</v>
      </c>
      <c r="U9" s="5">
        <v>65535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…大丈夫グヮ…？</v>
      </c>
      <c r="W9" s="64">
        <v>112121400</v>
      </c>
      <c r="X9" s="6">
        <v>0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1</v>
      </c>
      <c r="AB9" s="24">
        <f t="shared" si="3"/>
        <v>99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水のミリオンダック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6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4"/>
        <v>6</v>
      </c>
      <c r="AH9" s="8">
        <v>100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>
      <c r="A10" s="16" t="str">
        <f t="shared" ca="1" si="0"/>
        <v>11212_1-4/100&lt;lv100&gt;s1</v>
      </c>
      <c r="B10" s="22">
        <v>11212</v>
      </c>
      <c r="C10" s="21">
        <v>1</v>
      </c>
      <c r="D10" s="2" t="str">
        <f t="shared" si="1"/>
        <v>11212_1</v>
      </c>
      <c r="E10" s="4" t="str">
        <f ca="1">VLOOKUP($B10,OFFSET([2]quests!$A$1,0,0,COUNTA([2]quests!$A:$A),MATCH(E$1,[2]quests!$1:$1,0)-MATCH($B$1,[2]quests!$1:$1,0)+1),MATCH(E$1,[2]quests!$1:$1,0)-MATCH($B$1,[2]quests!$1:$1,0)+1,FALSE)</f>
        <v>100万DL記念★特別クエスト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ミリオンダックより愛をこめて</v>
      </c>
      <c r="G10" s="21">
        <v>4</v>
      </c>
      <c r="H10" s="15" t="str">
        <f t="shared" si="2"/>
        <v>11212_1-4</v>
      </c>
      <c r="I10" s="4">
        <f ca="1">VLOOKUP($H10,OFFSET(floors!$A$1,0,0,COUNTA(floors!$A:$A),MATCH(I$1,floors!$1:$1,0)-MATCH($H$1,floors!$1:$1,0)+1),MATCH(I$1,floors!$1:$1,0)-MATCH($H$1,floors!$1:$1,0)+1,FALSE)</f>
        <v>20</v>
      </c>
      <c r="J10" s="4">
        <f ca="1">VLOOKUP($H10,OFFSET(floors!$A$1,0,0,COUNTA(floors!$A:$A),MATCH(J$1,floors!$1:$1,0)-MATCH($H$1,floors!$1:$1,0)+1),MATCH(J$1,floors!$1:$1,0)-MATCH($H$1,floors!$1:$1,0)+1,FALSE)</f>
        <v>20</v>
      </c>
      <c r="K10" s="38" t="s">
        <v>153</v>
      </c>
      <c r="L10" s="20">
        <v>100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雷のミリオンダック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100</v>
      </c>
      <c r="S10" s="25">
        <v>0.1</v>
      </c>
      <c r="T10" s="25">
        <v>1</v>
      </c>
      <c r="U10" s="5">
        <v>65535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…大丈夫グヮ…？</v>
      </c>
      <c r="W10" s="64">
        <v>112121400</v>
      </c>
      <c r="X10" s="6">
        <v>0</v>
      </c>
      <c r="Y10" s="6">
        <v>100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1</v>
      </c>
      <c r="AB10" s="24">
        <f t="shared" si="3"/>
        <v>100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雷のミリオンダック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6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ca="1" si="4"/>
        <v>6</v>
      </c>
      <c r="AH10" s="8">
        <v>100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</sheetData>
  <sheetProtection selectLockedCells="1" selectUnlockedCells="1"/>
  <autoFilter ref="B1:AH7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6"/>
  <sheetViews>
    <sheetView showGridLines="0" zoomScale="75" zoomScaleNormal="75" zoomScalePageLayoutView="75" workbookViewId="0">
      <pane xSplit="5" ySplit="1" topLeftCell="F2" activePane="bottomRight" state="frozen"/>
      <selection activeCell="F3" sqref="F3"/>
      <selection pane="topRight" activeCell="F3" sqref="F3"/>
      <selection pane="bottomLeft" activeCell="F3" sqref="F3"/>
      <selection pane="bottomRight" activeCell="E9" sqref="E9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10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:A6" si="0">B2&amp;"_"&amp;C2</f>
        <v>112121100_112121100</v>
      </c>
      <c r="B2" s="47">
        <v>112121100</v>
      </c>
      <c r="C2" s="47">
        <v>112121100</v>
      </c>
      <c r="D2" s="46" t="str">
        <f>IFERROR(VLOOKUP(C2,enemy_skills!A:Y,4,FALSE),VLOOKUP(C2,[5]enemy_skills!$A:$E,4,FALSE))</f>
        <v>ja</v>
      </c>
      <c r="E2" s="46" t="str">
        <f>IFERROR(VLOOKUP(C2,enemy_skills!A:Y,5,FALSE),VLOOKUP(C2,[5]enemy_skills!$A:$E,5,FALSE))</f>
        <v>100万ダウンロード ありがとうグヮ！</v>
      </c>
      <c r="F2" s="47">
        <v>112121100</v>
      </c>
      <c r="G2" s="48">
        <f>VLOOKUP($F2,enemy_skill_triggers!$A:$J,2,FALSE)</f>
        <v>1</v>
      </c>
      <c r="H2" s="48" t="str">
        <f>VLOOKUP($F2,enemy_skill_triggers!$A:$J,3,FALSE)</f>
        <v>null</v>
      </c>
      <c r="I2" s="48">
        <f>VLOOKUP($F2,enemy_skill_triggers!$A:$J,4,FALSE)</f>
        <v>0</v>
      </c>
      <c r="J2" s="48" t="str">
        <f>VLOOKUP($F2,enemy_skill_triggers!$A:$J,5,FALSE)</f>
        <v>null</v>
      </c>
      <c r="K2" s="48" t="str">
        <f>VLOOKUP($F2,enemy_skill_triggers!$A:$J,6,FALSE)</f>
        <v>null</v>
      </c>
      <c r="L2" s="48">
        <f>VLOOKUP($F2,enemy_skill_triggers!$A:$J,7,FALSE)</f>
        <v>1</v>
      </c>
      <c r="M2" s="48" t="str">
        <f>VLOOKUP($F2,enemy_skill_triggers!$A:$J,8,FALSE)</f>
        <v>null</v>
      </c>
      <c r="N2" s="48" t="str">
        <f>VLOOKUP($F2,enemy_skill_triggers!$A:$J,9,FALSE)</f>
        <v>null</v>
      </c>
      <c r="O2" s="48">
        <f>VLOOKUP($F2,enemy_skill_triggers!$A:$J,10,FALSE)</f>
        <v>0</v>
      </c>
      <c r="P2" s="47"/>
      <c r="Q2" s="47"/>
      <c r="R2" s="47"/>
    </row>
    <row r="3" spans="1:18" ht="21" customHeight="1">
      <c r="A3" s="39" t="str">
        <f t="shared" ref="A3" si="1">B3&amp;"_"&amp;C3</f>
        <v>112121100_112121101</v>
      </c>
      <c r="B3" s="47">
        <v>112121100</v>
      </c>
      <c r="C3" s="47">
        <v>112121101</v>
      </c>
      <c r="D3" s="46" t="str">
        <f>IFERROR(VLOOKUP(C3,enemy_skills!A:Y,4,FALSE),VLOOKUP(C3,[5]enemy_skills!$A:$E,4,FALSE))</f>
        <v>ja</v>
      </c>
      <c r="E3" s="46" t="str">
        <f>IFERROR(VLOOKUP(C3,enemy_skills!A:Y,5,FALSE),VLOOKUP(C3,[5]enemy_skills!$A:$E,5,FALSE))</f>
        <v>でも、タダじゃつかまらないグヮ</v>
      </c>
      <c r="F3" s="47">
        <v>112121101</v>
      </c>
      <c r="G3" s="48">
        <f>VLOOKUP($F3,enemy_skill_triggers!$A:$J,2,FALSE)</f>
        <v>0</v>
      </c>
      <c r="H3" s="48" t="str">
        <f>VLOOKUP($F3,enemy_skill_triggers!$A:$J,3,FALSE)</f>
        <v>null</v>
      </c>
      <c r="I3" s="48">
        <f>VLOOKUP($F3,enemy_skill_triggers!$A:$J,4,FALSE)</f>
        <v>100</v>
      </c>
      <c r="J3" s="48" t="str">
        <f>VLOOKUP($F3,enemy_skill_triggers!$A:$J,5,FALSE)</f>
        <v>null</v>
      </c>
      <c r="K3" s="48" t="str">
        <f>VLOOKUP($F3,enemy_skill_triggers!$A:$J,6,FALSE)</f>
        <v>null</v>
      </c>
      <c r="L3" s="48" t="str">
        <f>VLOOKUP($F3,enemy_skill_triggers!$A:$J,7,FALSE)</f>
        <v>null</v>
      </c>
      <c r="M3" s="48" t="str">
        <f>VLOOKUP($F3,enemy_skill_triggers!$A:$J,8,FALSE)</f>
        <v>null</v>
      </c>
      <c r="N3" s="48" t="str">
        <f>VLOOKUP($F3,enemy_skill_triggers!$A:$J,9,FALSE)</f>
        <v>null</v>
      </c>
      <c r="O3" s="48">
        <f>VLOOKUP($F3,enemy_skill_triggers!$A:$J,10,FALSE)</f>
        <v>100</v>
      </c>
      <c r="P3" s="47"/>
      <c r="Q3" s="47"/>
      <c r="R3" s="47"/>
    </row>
    <row r="4" spans="1:18" ht="21" customHeight="1">
      <c r="A4" s="39" t="str">
        <f t="shared" ref="A4" si="2">B4&amp;"_"&amp;C4</f>
        <v>112121200_112121200</v>
      </c>
      <c r="B4" s="47">
        <v>112121200</v>
      </c>
      <c r="C4" s="47">
        <v>112121200</v>
      </c>
      <c r="D4" s="46" t="str">
        <f>IFERROR(VLOOKUP(C4,enemy_skills!A:Y,4,FALSE),VLOOKUP(C4,[5]enemy_skills!$A:$E,4,FALSE))</f>
        <v>ja</v>
      </c>
      <c r="E4" s="46" t="str">
        <f>IFERROR(VLOOKUP(C4,enemy_skills!A:Y,5,FALSE),VLOOKUP(C4,[5]enemy_skills!$A:$E,5,FALSE))</f>
        <v>100万ダウンロード達成か！</v>
      </c>
      <c r="F4" s="47">
        <v>112121100</v>
      </c>
      <c r="G4" s="48">
        <f>VLOOKUP($F4,enemy_skill_triggers!$A:$J,2,FALSE)</f>
        <v>1</v>
      </c>
      <c r="H4" s="48" t="str">
        <f>VLOOKUP($F4,enemy_skill_triggers!$A:$J,3,FALSE)</f>
        <v>null</v>
      </c>
      <c r="I4" s="48">
        <f>VLOOKUP($F4,enemy_skill_triggers!$A:$J,4,FALSE)</f>
        <v>0</v>
      </c>
      <c r="J4" s="48" t="str">
        <f>VLOOKUP($F4,enemy_skill_triggers!$A:$J,5,FALSE)</f>
        <v>null</v>
      </c>
      <c r="K4" s="48" t="str">
        <f>VLOOKUP($F4,enemy_skill_triggers!$A:$J,6,FALSE)</f>
        <v>null</v>
      </c>
      <c r="L4" s="48">
        <f>VLOOKUP($F4,enemy_skill_triggers!$A:$J,7,FALSE)</f>
        <v>1</v>
      </c>
      <c r="M4" s="48" t="str">
        <f>VLOOKUP($F4,enemy_skill_triggers!$A:$J,8,FALSE)</f>
        <v>null</v>
      </c>
      <c r="N4" s="48" t="str">
        <f>VLOOKUP($F4,enemy_skill_triggers!$A:$J,9,FALSE)</f>
        <v>null</v>
      </c>
      <c r="O4" s="48">
        <f>VLOOKUP($F4,enemy_skill_triggers!$A:$J,10,FALSE)</f>
        <v>0</v>
      </c>
      <c r="P4" s="47"/>
      <c r="Q4" s="47"/>
      <c r="R4" s="47"/>
    </row>
    <row r="5" spans="1:18" ht="21" customHeight="1">
      <c r="A5" s="39" t="str">
        <f t="shared" ref="A5" si="3">B5&amp;"_"&amp;C5</f>
        <v>112121200_112121201</v>
      </c>
      <c r="B5" s="47">
        <v>112121200</v>
      </c>
      <c r="C5" s="47">
        <v>112121201</v>
      </c>
      <c r="D5" s="46" t="str">
        <f>IFERROR(VLOOKUP(C5,enemy_skills!A:Y,4,FALSE),VLOOKUP(C5,[5]enemy_skills!$A:$E,4,FALSE))</f>
        <v>ja</v>
      </c>
      <c r="E5" s="46" t="str">
        <f>IFERROR(VLOOKUP(C5,enemy_skills!A:Y,5,FALSE),VLOOKUP(C5,[5]enemy_skills!$A:$E,5,FALSE))</f>
        <v>ヽ(｀▽´)/</v>
      </c>
      <c r="F5" s="47">
        <v>112121101</v>
      </c>
      <c r="G5" s="48">
        <f>VLOOKUP($F5,enemy_skill_triggers!$A:$J,2,FALSE)</f>
        <v>0</v>
      </c>
      <c r="H5" s="48" t="str">
        <f>VLOOKUP($F5,enemy_skill_triggers!$A:$J,3,FALSE)</f>
        <v>null</v>
      </c>
      <c r="I5" s="48">
        <f>VLOOKUP($F5,enemy_skill_triggers!$A:$J,4,FALSE)</f>
        <v>100</v>
      </c>
      <c r="J5" s="48" t="str">
        <f>VLOOKUP($F5,enemy_skill_triggers!$A:$J,5,FALSE)</f>
        <v>null</v>
      </c>
      <c r="K5" s="48" t="str">
        <f>VLOOKUP($F5,enemy_skill_triggers!$A:$J,6,FALSE)</f>
        <v>null</v>
      </c>
      <c r="L5" s="48" t="str">
        <f>VLOOKUP($F5,enemy_skill_triggers!$A:$J,7,FALSE)</f>
        <v>null</v>
      </c>
      <c r="M5" s="48" t="str">
        <f>VLOOKUP($F5,enemy_skill_triggers!$A:$J,8,FALSE)</f>
        <v>null</v>
      </c>
      <c r="N5" s="48" t="str">
        <f>VLOOKUP($F5,enemy_skill_triggers!$A:$J,9,FALSE)</f>
        <v>null</v>
      </c>
      <c r="O5" s="48">
        <f>VLOOKUP($F5,enemy_skill_triggers!$A:$J,10,FALSE)</f>
        <v>100</v>
      </c>
      <c r="P5" s="47"/>
      <c r="Q5" s="47"/>
      <c r="R5" s="47"/>
    </row>
    <row r="6" spans="1:18" ht="21" customHeight="1">
      <c r="A6" s="39" t="str">
        <f t="shared" si="0"/>
        <v>112121210_112121210</v>
      </c>
      <c r="B6" s="47">
        <v>112121210</v>
      </c>
      <c r="C6" s="47">
        <v>112121210</v>
      </c>
      <c r="D6" s="46" t="str">
        <f>IFERROR(VLOOKUP(C6,enemy_skills!A:Y,4,FALSE),VLOOKUP(C6,[5]enemy_skills!$A:$E,4,FALSE))</f>
        <v>ja</v>
      </c>
      <c r="E6" s="46" t="str">
        <f>IFERROR(VLOOKUP(C6,enemy_skills!A:Y,5,FALSE),VLOOKUP(C6,[5]enemy_skills!$A:$E,5,FALSE))</f>
        <v>ハッピー！？</v>
      </c>
      <c r="F6" s="47">
        <v>112121100</v>
      </c>
      <c r="G6" s="48">
        <f>VLOOKUP($F6,enemy_skill_triggers!$A:$J,2,FALSE)</f>
        <v>1</v>
      </c>
      <c r="H6" s="48" t="str">
        <f>VLOOKUP($F6,enemy_skill_triggers!$A:$J,3,FALSE)</f>
        <v>null</v>
      </c>
      <c r="I6" s="48">
        <f>VLOOKUP($F6,enemy_skill_triggers!$A:$J,4,FALSE)</f>
        <v>0</v>
      </c>
      <c r="J6" s="48" t="str">
        <f>VLOOKUP($F6,enemy_skill_triggers!$A:$J,5,FALSE)</f>
        <v>null</v>
      </c>
      <c r="K6" s="48" t="str">
        <f>VLOOKUP($F6,enemy_skill_triggers!$A:$J,6,FALSE)</f>
        <v>null</v>
      </c>
      <c r="L6" s="48">
        <f>VLOOKUP($F6,enemy_skill_triggers!$A:$J,7,FALSE)</f>
        <v>1</v>
      </c>
      <c r="M6" s="48" t="str">
        <f>VLOOKUP($F6,enemy_skill_triggers!$A:$J,8,FALSE)</f>
        <v>null</v>
      </c>
      <c r="N6" s="48" t="str">
        <f>VLOOKUP($F6,enemy_skill_triggers!$A:$J,9,FALSE)</f>
        <v>null</v>
      </c>
      <c r="O6" s="48">
        <f>VLOOKUP($F6,enemy_skill_triggers!$A:$J,10,FALSE)</f>
        <v>0</v>
      </c>
      <c r="P6" s="47"/>
      <c r="Q6" s="47"/>
      <c r="R6" s="47"/>
    </row>
    <row r="7" spans="1:18" ht="21" customHeight="1">
      <c r="A7" s="39" t="str">
        <f t="shared" ref="A7" si="4">B7&amp;"_"&amp;C7</f>
        <v>112121210_112121211</v>
      </c>
      <c r="B7" s="47">
        <v>112121210</v>
      </c>
      <c r="C7" s="47">
        <v>112121211</v>
      </c>
      <c r="D7" s="46" t="str">
        <f>IFERROR(VLOOKUP(C7,enemy_skills!A:Y,4,FALSE),VLOOKUP(C7,[5]enemy_skills!$A:$E,4,FALSE))</f>
        <v>ja</v>
      </c>
      <c r="E7" s="46" t="str">
        <f>IFERROR(VLOOKUP(C7,enemy_skills!A:Y,5,FALSE),VLOOKUP(C7,[5]enemy_skills!$A:$E,5,FALSE))</f>
        <v>ハッピー！！</v>
      </c>
      <c r="F7" s="47">
        <v>112121101</v>
      </c>
      <c r="G7" s="48">
        <f>VLOOKUP($F7,enemy_skill_triggers!$A:$J,2,FALSE)</f>
        <v>0</v>
      </c>
      <c r="H7" s="48" t="str">
        <f>VLOOKUP($F7,enemy_skill_triggers!$A:$J,3,FALSE)</f>
        <v>null</v>
      </c>
      <c r="I7" s="48">
        <f>VLOOKUP($F7,enemy_skill_triggers!$A:$J,4,FALSE)</f>
        <v>100</v>
      </c>
      <c r="J7" s="48" t="str">
        <f>VLOOKUP($F7,enemy_skill_triggers!$A:$J,5,FALSE)</f>
        <v>null</v>
      </c>
      <c r="K7" s="48" t="str">
        <f>VLOOKUP($F7,enemy_skill_triggers!$A:$J,6,FALSE)</f>
        <v>null</v>
      </c>
      <c r="L7" s="48" t="str">
        <f>VLOOKUP($F7,enemy_skill_triggers!$A:$J,7,FALSE)</f>
        <v>null</v>
      </c>
      <c r="M7" s="48" t="str">
        <f>VLOOKUP($F7,enemy_skill_triggers!$A:$J,8,FALSE)</f>
        <v>null</v>
      </c>
      <c r="N7" s="48" t="str">
        <f>VLOOKUP($F7,enemy_skill_triggers!$A:$J,9,FALSE)</f>
        <v>null</v>
      </c>
      <c r="O7" s="48">
        <f>VLOOKUP($F7,enemy_skill_triggers!$A:$J,10,FALSE)</f>
        <v>100</v>
      </c>
      <c r="P7" s="47"/>
      <c r="Q7" s="47"/>
      <c r="R7" s="47"/>
    </row>
    <row r="8" spans="1:18" ht="21" customHeight="1">
      <c r="A8" s="39" t="str">
        <f t="shared" ref="A8" si="5">B8&amp;"_"&amp;C8</f>
        <v>112121220_112121220</v>
      </c>
      <c r="B8" s="47">
        <v>112121220</v>
      </c>
      <c r="C8" s="47">
        <v>112121220</v>
      </c>
      <c r="D8" s="46" t="str">
        <f>IFERROR(VLOOKUP(C8,enemy_skills!A:Y,4,FALSE),VLOOKUP(C8,[5]enemy_skills!$A:$E,4,FALSE))</f>
        <v>ja</v>
      </c>
      <c r="E8" s="46" t="str">
        <f>IFERROR(VLOOKUP(C8,enemy_skills!A:Y,5,FALSE),VLOOKUP(C8,[5]enemy_skills!$A:$E,5,FALSE))</f>
        <v>ミリオンダックは いただきニャ</v>
      </c>
      <c r="F8" s="47">
        <v>112121100</v>
      </c>
      <c r="G8" s="48">
        <f>VLOOKUP($F8,enemy_skill_triggers!$A:$J,2,FALSE)</f>
        <v>1</v>
      </c>
      <c r="H8" s="48" t="str">
        <f>VLOOKUP($F8,enemy_skill_triggers!$A:$J,3,FALSE)</f>
        <v>null</v>
      </c>
      <c r="I8" s="48">
        <f>VLOOKUP($F8,enemy_skill_triggers!$A:$J,4,FALSE)</f>
        <v>0</v>
      </c>
      <c r="J8" s="48" t="str">
        <f>VLOOKUP($F8,enemy_skill_triggers!$A:$J,5,FALSE)</f>
        <v>null</v>
      </c>
      <c r="K8" s="48" t="str">
        <f>VLOOKUP($F8,enemy_skill_triggers!$A:$J,6,FALSE)</f>
        <v>null</v>
      </c>
      <c r="L8" s="48">
        <f>VLOOKUP($F8,enemy_skill_triggers!$A:$J,7,FALSE)</f>
        <v>1</v>
      </c>
      <c r="M8" s="48" t="str">
        <f>VLOOKUP($F8,enemy_skill_triggers!$A:$J,8,FALSE)</f>
        <v>null</v>
      </c>
      <c r="N8" s="48" t="str">
        <f>VLOOKUP($F8,enemy_skill_triggers!$A:$J,9,FALSE)</f>
        <v>null</v>
      </c>
      <c r="O8" s="48">
        <f>VLOOKUP($F8,enemy_skill_triggers!$A:$J,10,FALSE)</f>
        <v>0</v>
      </c>
      <c r="P8" s="47"/>
      <c r="Q8" s="47"/>
      <c r="R8" s="47"/>
    </row>
    <row r="9" spans="1:18" ht="21" customHeight="1">
      <c r="A9" s="39" t="str">
        <f t="shared" ref="A9" si="6">B9&amp;"_"&amp;C9</f>
        <v>112121220_112121221</v>
      </c>
      <c r="B9" s="47">
        <v>112121220</v>
      </c>
      <c r="C9" s="47">
        <v>112121221</v>
      </c>
      <c r="D9" s="46" t="str">
        <f>IFERROR(VLOOKUP(C9,enemy_skills!A:Y,4,FALSE),VLOOKUP(C9,[5]enemy_skills!$A:$E,4,FALSE))</f>
        <v>ja</v>
      </c>
      <c r="E9" s="46" t="str">
        <f>IFERROR(VLOOKUP(C9,enemy_skills!A:Y,5,FALSE),VLOOKUP(C9,[5]enemy_skills!$A:$E,5,FALSE))</f>
        <v>(≡ΦωΦ≡)★</v>
      </c>
      <c r="F9" s="47">
        <v>112121101</v>
      </c>
      <c r="G9" s="48">
        <f>VLOOKUP($F9,enemy_skill_triggers!$A:$J,2,FALSE)</f>
        <v>0</v>
      </c>
      <c r="H9" s="48" t="str">
        <f>VLOOKUP($F9,enemy_skill_triggers!$A:$J,3,FALSE)</f>
        <v>null</v>
      </c>
      <c r="I9" s="48">
        <f>VLOOKUP($F9,enemy_skill_triggers!$A:$J,4,FALSE)</f>
        <v>100</v>
      </c>
      <c r="J9" s="48" t="str">
        <f>VLOOKUP($F9,enemy_skill_triggers!$A:$J,5,FALSE)</f>
        <v>null</v>
      </c>
      <c r="K9" s="48" t="str">
        <f>VLOOKUP($F9,enemy_skill_triggers!$A:$J,6,FALSE)</f>
        <v>null</v>
      </c>
      <c r="L9" s="48" t="str">
        <f>VLOOKUP($F9,enemy_skill_triggers!$A:$J,7,FALSE)</f>
        <v>null</v>
      </c>
      <c r="M9" s="48" t="str">
        <f>VLOOKUP($F9,enemy_skill_triggers!$A:$J,8,FALSE)</f>
        <v>null</v>
      </c>
      <c r="N9" s="48" t="str">
        <f>VLOOKUP($F9,enemy_skill_triggers!$A:$J,9,FALSE)</f>
        <v>null</v>
      </c>
      <c r="O9" s="48">
        <f>VLOOKUP($F9,enemy_skill_triggers!$A:$J,10,FALSE)</f>
        <v>100</v>
      </c>
      <c r="P9" s="47"/>
      <c r="Q9" s="47"/>
      <c r="R9" s="47"/>
    </row>
    <row r="10" spans="1:18" ht="21" customHeight="1">
      <c r="A10" s="39" t="str">
        <f t="shared" ref="A10" si="7">B10&amp;"_"&amp;C10</f>
        <v>112121300_112121300</v>
      </c>
      <c r="B10" s="47">
        <v>112121300</v>
      </c>
      <c r="C10" s="47">
        <v>112121300</v>
      </c>
      <c r="D10" s="46" t="str">
        <f>IFERROR(VLOOKUP(C10,enemy_skills!A:Y,4,FALSE),VLOOKUP(C10,[5]enemy_skills!$A:$E,4,FALSE))</f>
        <v>ja</v>
      </c>
      <c r="E10" s="46" t="str">
        <f>IFERROR(VLOOKUP(C10,enemy_skills!A:Y,5,FALSE),VLOOKUP(C10,[5]enemy_skills!$A:$E,5,FALSE))</f>
        <v>浮かれるな…家畜ども！</v>
      </c>
      <c r="F10" s="47">
        <v>112121300</v>
      </c>
      <c r="G10" s="48">
        <f>VLOOKUP($F10,enemy_skill_triggers!$A:$J,2,FALSE)</f>
        <v>1</v>
      </c>
      <c r="H10" s="48">
        <f>VLOOKUP($F10,enemy_skill_triggers!$A:$J,3,FALSE)</f>
        <v>4</v>
      </c>
      <c r="I10" s="48">
        <f>VLOOKUP($F10,enemy_skill_triggers!$A:$J,4,FALSE)</f>
        <v>0</v>
      </c>
      <c r="J10" s="48" t="str">
        <f>VLOOKUP($F10,enemy_skill_triggers!$A:$J,5,FALSE)</f>
        <v>null</v>
      </c>
      <c r="K10" s="48" t="str">
        <f>VLOOKUP($F10,enemy_skill_triggers!$A:$J,6,FALSE)</f>
        <v>null</v>
      </c>
      <c r="L10" s="48">
        <f>VLOOKUP($F10,enemy_skill_triggers!$A:$J,7,FALSE)</f>
        <v>1</v>
      </c>
      <c r="M10" s="48" t="str">
        <f>VLOOKUP($F10,enemy_skill_triggers!$A:$J,8,FALSE)</f>
        <v>null</v>
      </c>
      <c r="N10" s="48" t="str">
        <f>VLOOKUP($F10,enemy_skill_triggers!$A:$J,9,FALSE)</f>
        <v>null</v>
      </c>
      <c r="O10" s="48">
        <f>VLOOKUP($F10,enemy_skill_triggers!$A:$J,10,FALSE)</f>
        <v>0</v>
      </c>
      <c r="P10" s="47"/>
      <c r="Q10" s="47"/>
      <c r="R10" s="47"/>
    </row>
    <row r="11" spans="1:18" ht="21" customHeight="1">
      <c r="A11" s="39" t="str">
        <f t="shared" ref="A11:A12" si="8">B11&amp;"_"&amp;C11</f>
        <v>112121300_112121301</v>
      </c>
      <c r="B11" s="47">
        <v>112121300</v>
      </c>
      <c r="C11" s="47">
        <v>112121301</v>
      </c>
      <c r="D11" s="46" t="str">
        <f>IFERROR(VLOOKUP(C11,enemy_skills!A:Y,4,FALSE),VLOOKUP(C11,[5]enemy_skills!$A:$E,4,FALSE))</f>
        <v>ja</v>
      </c>
      <c r="E11" s="46" t="str">
        <f>IFERROR(VLOOKUP(C11,enemy_skills!A:Y,5,FALSE),VLOOKUP(C11,[5]enemy_skills!$A:$E,5,FALSE))</f>
        <v>こざかしい力、封じてやったわ</v>
      </c>
      <c r="F11" s="47">
        <v>112121301</v>
      </c>
      <c r="G11" s="48">
        <f>VLOOKUP($F11,enemy_skill_triggers!$A:$J,2,FALSE)</f>
        <v>0</v>
      </c>
      <c r="H11" s="48">
        <f>VLOOKUP($F11,enemy_skill_triggers!$A:$J,3,FALSE)</f>
        <v>3</v>
      </c>
      <c r="I11" s="48">
        <f>VLOOKUP($F11,enemy_skill_triggers!$A:$J,4,FALSE)</f>
        <v>100</v>
      </c>
      <c r="J11" s="48" t="str">
        <f>VLOOKUP($F11,enemy_skill_triggers!$A:$J,5,FALSE)</f>
        <v>null</v>
      </c>
      <c r="K11" s="48" t="str">
        <f>VLOOKUP($F11,enemy_skill_triggers!$A:$J,6,FALSE)</f>
        <v>null</v>
      </c>
      <c r="L11" s="48">
        <f>VLOOKUP($F11,enemy_skill_triggers!$A:$J,7,FALSE)</f>
        <v>1</v>
      </c>
      <c r="M11" s="48" t="str">
        <f>VLOOKUP($F11,enemy_skill_triggers!$A:$J,8,FALSE)</f>
        <v>null</v>
      </c>
      <c r="N11" s="48" t="str">
        <f>VLOOKUP($F11,enemy_skill_triggers!$A:$J,9,FALSE)</f>
        <v>null</v>
      </c>
      <c r="O11" s="48">
        <f>VLOOKUP($F11,enemy_skill_triggers!$A:$J,10,FALSE)</f>
        <v>100</v>
      </c>
      <c r="P11" s="47"/>
      <c r="Q11" s="47"/>
      <c r="R11" s="47"/>
    </row>
    <row r="12" spans="1:18" ht="21" customHeight="1">
      <c r="A12" s="39" t="str">
        <f t="shared" si="8"/>
        <v>112121300_112121302</v>
      </c>
      <c r="B12" s="47">
        <v>112121300</v>
      </c>
      <c r="C12" s="47">
        <v>112121302</v>
      </c>
      <c r="D12" s="46" t="str">
        <f>IFERROR(VLOOKUP(C12,enemy_skills!A:Y,4,FALSE),VLOOKUP(C12,[5]enemy_skills!$A:$E,4,FALSE))</f>
        <v>ja</v>
      </c>
      <c r="E12" s="46" t="str">
        <f>IFERROR(VLOOKUP(C12,enemy_skills!A:Y,5,FALSE),VLOOKUP(C12,[5]enemy_skills!$A:$E,5,FALSE))</f>
        <v>かわりに、その玉で遊ぶがいい</v>
      </c>
      <c r="F12" s="47">
        <v>112121302</v>
      </c>
      <c r="G12" s="48">
        <f>VLOOKUP($F12,enemy_skill_triggers!$A:$J,2,FALSE)</f>
        <v>0</v>
      </c>
      <c r="H12" s="48">
        <f>VLOOKUP($F12,enemy_skill_triggers!$A:$J,3,FALSE)</f>
        <v>2</v>
      </c>
      <c r="I12" s="48">
        <f>VLOOKUP($F12,enemy_skill_triggers!$A:$J,4,FALSE)</f>
        <v>100</v>
      </c>
      <c r="J12" s="48" t="str">
        <f>VLOOKUP($F12,enemy_skill_triggers!$A:$J,5,FALSE)</f>
        <v>null</v>
      </c>
      <c r="K12" s="48" t="str">
        <f>VLOOKUP($F12,enemy_skill_triggers!$A:$J,6,FALSE)</f>
        <v>null</v>
      </c>
      <c r="L12" s="48">
        <f>VLOOKUP($F12,enemy_skill_triggers!$A:$J,7,FALSE)</f>
        <v>1</v>
      </c>
      <c r="M12" s="48" t="str">
        <f>VLOOKUP($F12,enemy_skill_triggers!$A:$J,8,FALSE)</f>
        <v>null</v>
      </c>
      <c r="N12" s="48" t="str">
        <f>VLOOKUP($F12,enemy_skill_triggers!$A:$J,9,FALSE)</f>
        <v>null</v>
      </c>
      <c r="O12" s="48">
        <f>VLOOKUP($F12,enemy_skill_triggers!$A:$J,10,FALSE)</f>
        <v>100</v>
      </c>
      <c r="P12" s="47"/>
      <c r="Q12" s="47"/>
      <c r="R12" s="47"/>
    </row>
    <row r="13" spans="1:18" ht="21" customHeight="1">
      <c r="A13" s="39" t="str">
        <f t="shared" ref="A13" si="9">B13&amp;"_"&amp;C13</f>
        <v>112121300_112121303</v>
      </c>
      <c r="B13" s="47">
        <v>112121300</v>
      </c>
      <c r="C13" s="47">
        <v>112121303</v>
      </c>
      <c r="D13" s="46" t="str">
        <f>IFERROR(VLOOKUP(C13,enemy_skills!A:Y,4,FALSE),VLOOKUP(C13,[5]enemy_skills!$A:$E,4,FALSE))</f>
        <v>ja</v>
      </c>
      <c r="E13" s="46" t="str">
        <f>IFERROR(VLOOKUP(C13,enemy_skills!A:Y,5,FALSE),VLOOKUP(C13,[5]enemy_skills!$A:$E,5,FALSE))</f>
        <v>家畜の邪魔が入ったな…また遊んでやろう！</v>
      </c>
      <c r="F13" s="47">
        <v>112121303</v>
      </c>
      <c r="G13" s="48">
        <f>VLOOKUP($F13,enemy_skill_triggers!$A:$J,2,FALSE)</f>
        <v>0</v>
      </c>
      <c r="H13" s="48">
        <f>VLOOKUP($F13,enemy_skill_triggers!$A:$J,3,FALSE)</f>
        <v>1</v>
      </c>
      <c r="I13" s="48">
        <f>VLOOKUP($F13,enemy_skill_triggers!$A:$J,4,FALSE)</f>
        <v>100</v>
      </c>
      <c r="J13" s="48" t="str">
        <f>VLOOKUP($F13,enemy_skill_triggers!$A:$J,5,FALSE)</f>
        <v>null</v>
      </c>
      <c r="K13" s="48" t="str">
        <f>VLOOKUP($F13,enemy_skill_triggers!$A:$J,6,FALSE)</f>
        <v>null</v>
      </c>
      <c r="L13" s="48">
        <f>VLOOKUP($F13,enemy_skill_triggers!$A:$J,7,FALSE)</f>
        <v>1</v>
      </c>
      <c r="M13" s="48" t="str">
        <f>VLOOKUP($F13,enemy_skill_triggers!$A:$J,8,FALSE)</f>
        <v>null</v>
      </c>
      <c r="N13" s="48" t="str">
        <f>VLOOKUP($F13,enemy_skill_triggers!$A:$J,9,FALSE)</f>
        <v>null</v>
      </c>
      <c r="O13" s="48">
        <f>VLOOKUP($F13,enemy_skill_triggers!$A:$J,10,FALSE)</f>
        <v>100</v>
      </c>
      <c r="P13" s="47"/>
      <c r="Q13" s="47"/>
      <c r="R13" s="47"/>
    </row>
    <row r="14" spans="1:18" ht="21" customHeight="1">
      <c r="A14" s="39" t="str">
        <f t="shared" ref="A14" si="10">B14&amp;"_"&amp;C14</f>
        <v>112121400_112121400</v>
      </c>
      <c r="B14" s="47">
        <v>112121400</v>
      </c>
      <c r="C14" s="47">
        <v>112121400</v>
      </c>
      <c r="D14" s="46" t="str">
        <f>IFERROR(VLOOKUP(C14,enemy_skills!A:Y,4,FALSE),VLOOKUP(C14,[5]enemy_skills!$A:$E,4,FALSE))</f>
        <v>ja</v>
      </c>
      <c r="E14" s="46" t="str">
        <f>IFERROR(VLOOKUP(C14,enemy_skills!A:Y,5,FALSE),VLOOKUP(C14,[5]enemy_skills!$A:$E,5,FALSE))</f>
        <v>…大丈夫グヮ…？</v>
      </c>
      <c r="F14" s="47">
        <v>112121400</v>
      </c>
      <c r="G14" s="48">
        <f>VLOOKUP($F14,enemy_skill_triggers!$A:$J,2,FALSE)</f>
        <v>1</v>
      </c>
      <c r="H14" s="48">
        <f>VLOOKUP($F14,enemy_skill_triggers!$A:$J,3,FALSE)</f>
        <v>4</v>
      </c>
      <c r="I14" s="48">
        <f>VLOOKUP($F14,enemy_skill_triggers!$A:$J,4,FALSE)</f>
        <v>0</v>
      </c>
      <c r="J14" s="48" t="str">
        <f>VLOOKUP($F14,enemy_skill_triggers!$A:$J,5,FALSE)</f>
        <v>null</v>
      </c>
      <c r="K14" s="48" t="str">
        <f>VLOOKUP($F14,enemy_skill_triggers!$A:$J,6,FALSE)</f>
        <v>null</v>
      </c>
      <c r="L14" s="48">
        <f>VLOOKUP($F14,enemy_skill_triggers!$A:$J,7,FALSE)</f>
        <v>1</v>
      </c>
      <c r="M14" s="48" t="str">
        <f>VLOOKUP($F14,enemy_skill_triggers!$A:$J,8,FALSE)</f>
        <v>null</v>
      </c>
      <c r="N14" s="48" t="str">
        <f>VLOOKUP($F14,enemy_skill_triggers!$A:$J,9,FALSE)</f>
        <v>null</v>
      </c>
      <c r="O14" s="48">
        <f>VLOOKUP($F14,enemy_skill_triggers!$A:$J,10,FALSE)</f>
        <v>0</v>
      </c>
      <c r="P14" s="47"/>
      <c r="Q14" s="47"/>
      <c r="R14" s="47"/>
    </row>
    <row r="15" spans="1:18" ht="21" customHeight="1">
      <c r="A15" s="39" t="str">
        <f t="shared" ref="A15:A16" si="11">B15&amp;"_"&amp;C15</f>
        <v>112121400_112121401</v>
      </c>
      <c r="B15" s="47">
        <v>112121400</v>
      </c>
      <c r="C15" s="47">
        <v>112121401</v>
      </c>
      <c r="D15" s="46" t="str">
        <f>IFERROR(VLOOKUP(C15,enemy_skills!A:Y,4,FALSE),VLOOKUP(C15,[5]enemy_skills!$A:$E,4,FALSE))</f>
        <v>ja</v>
      </c>
      <c r="E15" s="46" t="str">
        <f>IFERROR(VLOOKUP(C15,enemy_skills!A:Y,5,FALSE),VLOOKUP(C15,[5]enemy_skills!$A:$E,5,FALSE))</f>
        <v>ALICEの平和は みんなにかかっているグヮ</v>
      </c>
      <c r="F15" s="47">
        <v>112121401</v>
      </c>
      <c r="G15" s="48">
        <f>VLOOKUP($F15,enemy_skill_triggers!$A:$J,2,FALSE)</f>
        <v>0</v>
      </c>
      <c r="H15" s="48">
        <f>VLOOKUP($F15,enemy_skill_triggers!$A:$J,3,FALSE)</f>
        <v>3</v>
      </c>
      <c r="I15" s="48">
        <f>VLOOKUP($F15,enemy_skill_triggers!$A:$J,4,FALSE)</f>
        <v>100</v>
      </c>
      <c r="J15" s="48" t="str">
        <f>VLOOKUP($F15,enemy_skill_triggers!$A:$J,5,FALSE)</f>
        <v>null</v>
      </c>
      <c r="K15" s="48" t="str">
        <f>VLOOKUP($F15,enemy_skill_triggers!$A:$J,6,FALSE)</f>
        <v>null</v>
      </c>
      <c r="L15" s="48">
        <f>VLOOKUP($F15,enemy_skill_triggers!$A:$J,7,FALSE)</f>
        <v>1</v>
      </c>
      <c r="M15" s="48" t="str">
        <f>VLOOKUP($F15,enemy_skill_triggers!$A:$J,8,FALSE)</f>
        <v>null</v>
      </c>
      <c r="N15" s="48" t="str">
        <f>VLOOKUP($F15,enemy_skill_triggers!$A:$J,9,FALSE)</f>
        <v>null</v>
      </c>
      <c r="O15" s="48">
        <f>VLOOKUP($F15,enemy_skill_triggers!$A:$J,10,FALSE)</f>
        <v>100</v>
      </c>
      <c r="P15" s="47"/>
      <c r="Q15" s="47"/>
      <c r="R15" s="47"/>
    </row>
    <row r="16" spans="1:18" ht="21" customHeight="1">
      <c r="A16" s="39" t="str">
        <f t="shared" si="11"/>
        <v>112121400_112121402</v>
      </c>
      <c r="B16" s="47">
        <v>112121400</v>
      </c>
      <c r="C16" s="47">
        <v>112121402</v>
      </c>
      <c r="D16" s="46" t="str">
        <f>IFERROR(VLOOKUP(C16,enemy_skills!A:Y,4,FALSE),VLOOKUP(C16,[5]enemy_skills!$A:$E,4,FALSE))</f>
        <v>ja</v>
      </c>
      <c r="E16" s="46" t="str">
        <f>IFERROR(VLOOKUP(C16,enemy_skills!A:Y,5,FALSE),VLOOKUP(C16,[5]enemy_skills!$A:$E,5,FALSE))</f>
        <v>だから、これからも【クラフィ】をよろしくグヮッ！</v>
      </c>
      <c r="F16" s="47">
        <v>112121402</v>
      </c>
      <c r="G16" s="48">
        <f>VLOOKUP($F16,enemy_skill_triggers!$A:$J,2,FALSE)</f>
        <v>0</v>
      </c>
      <c r="H16" s="48">
        <f>VLOOKUP($F16,enemy_skill_triggers!$A:$J,3,FALSE)</f>
        <v>2</v>
      </c>
      <c r="I16" s="48">
        <f>VLOOKUP($F16,enemy_skill_triggers!$A:$J,4,FALSE)</f>
        <v>100</v>
      </c>
      <c r="J16" s="48" t="str">
        <f>VLOOKUP($F16,enemy_skill_triggers!$A:$J,5,FALSE)</f>
        <v>null</v>
      </c>
      <c r="K16" s="48" t="str">
        <f>VLOOKUP($F16,enemy_skill_triggers!$A:$J,6,FALSE)</f>
        <v>null</v>
      </c>
      <c r="L16" s="48">
        <f>VLOOKUP($F16,enemy_skill_triggers!$A:$J,7,FALSE)</f>
        <v>1</v>
      </c>
      <c r="M16" s="48" t="str">
        <f>VLOOKUP($F16,enemy_skill_triggers!$A:$J,8,FALSE)</f>
        <v>null</v>
      </c>
      <c r="N16" s="48" t="str">
        <f>VLOOKUP($F16,enemy_skill_triggers!$A:$J,9,FALSE)</f>
        <v>null</v>
      </c>
      <c r="O16" s="48">
        <f>VLOOKUP($F16,enemy_skill_triggers!$A:$J,10,FALSE)</f>
        <v>100</v>
      </c>
      <c r="P16" s="47"/>
      <c r="Q16" s="47"/>
      <c r="R16" s="47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6"/>
  <sheetViews>
    <sheetView showGridLines="0" tabSelected="1" topLeftCell="B1" zoomScale="75" zoomScaleNormal="75" zoomScalePageLayoutView="75" workbookViewId="0">
      <pane ySplit="1" topLeftCell="A2" activePane="bottomLeft" state="frozenSplit"/>
      <selection activeCell="F3" sqref="F3"/>
      <selection pane="bottomLeft" activeCell="B11" sqref="B11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31.33203125" style="49" bestFit="1" customWidth="1"/>
    <col min="6" max="6" width="52" style="49" hidden="1" customWidth="1" outlineLevel="1"/>
    <col min="7" max="7" width="18.33203125" style="49" hidden="1" customWidth="1" outlineLevel="1"/>
    <col min="8" max="10" width="18.6640625" style="49" hidden="1" customWidth="1" outlineLevel="1"/>
    <col min="11" max="11" width="23.6640625" style="49" customWidth="1" collapsed="1"/>
    <col min="12" max="17" width="23.6640625" style="49" hidden="1" customWidth="1" outlineLevel="1"/>
    <col min="18" max="18" width="23.6640625" style="49" customWidth="1" collapsed="1"/>
    <col min="19" max="23" width="23.6640625" style="49" hidden="1" customWidth="1" outlineLevel="1"/>
    <col min="24" max="24" width="23.6640625" style="49" customWidth="1" collapsed="1"/>
    <col min="25" max="25" width="44.1640625" style="49" bestFit="1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1" t="s">
        <v>131</v>
      </c>
      <c r="G1" s="41" t="s">
        <v>137</v>
      </c>
      <c r="H1" s="41" t="s">
        <v>139</v>
      </c>
      <c r="I1" s="41" t="s">
        <v>138</v>
      </c>
      <c r="J1" s="41" t="s">
        <v>140</v>
      </c>
      <c r="K1" s="41" t="s">
        <v>132</v>
      </c>
      <c r="L1" s="41" t="s">
        <v>130</v>
      </c>
      <c r="M1" s="41" t="s">
        <v>133</v>
      </c>
      <c r="N1" s="41" t="s">
        <v>141</v>
      </c>
      <c r="O1" s="41" t="s">
        <v>142</v>
      </c>
      <c r="P1" s="41" t="s">
        <v>143</v>
      </c>
      <c r="Q1" s="41" t="s">
        <v>144</v>
      </c>
      <c r="R1" s="41" t="s">
        <v>134</v>
      </c>
      <c r="S1" s="41" t="s">
        <v>135</v>
      </c>
      <c r="T1" s="41" t="s">
        <v>145</v>
      </c>
      <c r="U1" s="41" t="s">
        <v>146</v>
      </c>
      <c r="V1" s="41" t="s">
        <v>147</v>
      </c>
      <c r="W1" s="41" t="s">
        <v>148</v>
      </c>
      <c r="X1" s="41" t="s">
        <v>136</v>
      </c>
      <c r="Y1" s="40" t="s">
        <v>83</v>
      </c>
      <c r="Z1" s="41" t="s">
        <v>76</v>
      </c>
      <c r="AA1" s="41" t="s">
        <v>77</v>
      </c>
      <c r="AB1" s="41" t="s">
        <v>78</v>
      </c>
    </row>
    <row r="2" spans="1:28" ht="21" customHeight="1">
      <c r="A2" s="64">
        <v>112121100</v>
      </c>
      <c r="B2" s="47" t="s">
        <v>154</v>
      </c>
      <c r="C2" s="50">
        <v>3</v>
      </c>
      <c r="D2" s="50" t="s">
        <v>128</v>
      </c>
      <c r="E2" s="51" t="s">
        <v>191</v>
      </c>
      <c r="F2" s="63" t="str">
        <f t="shared" ref="F2:F10" si="0">IFERROR(LEFT(B2,FIND("],",B2)),B2)</f>
        <v>[effect:fix_speed, target:myself, turn:1]</v>
      </c>
      <c r="G2" s="63">
        <f t="shared" ref="G2:G10" si="1">FIND("effect:",F2)+7</f>
        <v>9</v>
      </c>
      <c r="H2" s="63">
        <f t="shared" ref="H2:H10" si="2">IFERROR(FIND(",",F2),LEN(F2))</f>
        <v>18</v>
      </c>
      <c r="I2" s="63">
        <f t="shared" ref="I2:I10" si="3">FIND("target:",F2)+7</f>
        <v>27</v>
      </c>
      <c r="J2" s="63">
        <f t="shared" ref="J2:J10" si="4">FIND(",",F2,H2+1)</f>
        <v>33</v>
      </c>
      <c r="K2" s="63" t="str">
        <f>IFERROR(VLOOKUP(MID(F2,I2,J2-I2),[6]skilldef!$C:$D,2,FALSE),"-") &amp; " / " &amp; IFERROR(VLOOKUP(MID(F2,G2,H2-G2),[6]skilldef!$A:$B,2,FALSE),"-")</f>
        <v>自分自身に / 行動値設定</v>
      </c>
      <c r="L2" s="63" t="str">
        <f t="shared" ref="L2:L10" si="5">IFERROR(RIGHT(B2,LEN(B2)-FIND("],",B2)-1),"none")</f>
        <v>none</v>
      </c>
      <c r="M2" s="48" t="str">
        <f>IFERROR(LEFT(L2,FIND("],",L2)+R19),L2)</f>
        <v>none</v>
      </c>
      <c r="N2" s="63" t="e">
        <f t="shared" ref="N2:N10" si="6">FIND("effect:",M2)+7</f>
        <v>#VALUE!</v>
      </c>
      <c r="O2" s="63">
        <f t="shared" ref="O2:O10" si="7">IFERROR(FIND(",",M2),LEN(M2))</f>
        <v>4</v>
      </c>
      <c r="P2" s="63" t="e">
        <f t="shared" ref="P2:P10" si="8">FIND("target:",M2)+7</f>
        <v>#VALUE!</v>
      </c>
      <c r="Q2" s="63" t="e">
        <f t="shared" ref="Q2:Q10" si="9">FIND(",",M2,O2+1)</f>
        <v>#VALUE!</v>
      </c>
      <c r="R2" s="63" t="str">
        <f>IFERROR(VLOOKUP(MID(M2,P2,Q2-P2),[6]skilldef!$C:$D,2,FALSE),"-") &amp; " / " &amp; IFERROR(VLOOKUP(MID(M2,N2,O2-N2),[6]skilldef!$A:$B,2,FALSE),"-")</f>
        <v>- / -</v>
      </c>
      <c r="S2" s="48" t="str">
        <f t="shared" ref="S2:S10" si="10">IFERROR(RIGHT(L2,LEN(L2)-FIND("],",L2)-1),"none")</f>
        <v>none</v>
      </c>
      <c r="T2" s="63" t="e">
        <f t="shared" ref="T2:T10" si="11">FIND("effect:",S2)+7</f>
        <v>#VALUE!</v>
      </c>
      <c r="U2" s="63">
        <f t="shared" ref="U2:U10" si="12">IFERROR(FIND(",",S2),LEN(S2))</f>
        <v>4</v>
      </c>
      <c r="V2" s="63" t="e">
        <f t="shared" ref="V2:V10" si="13">FIND("target:",S2)+7</f>
        <v>#VALUE!</v>
      </c>
      <c r="W2" s="63" t="e">
        <f t="shared" ref="W2:W10" si="14">FIND(",",S2,U2+1)</f>
        <v>#VALUE!</v>
      </c>
      <c r="X2" s="63" t="str">
        <f>IFERROR(VLOOKUP(MID(S2,V2,W2-V2),[6]skilldef!$C:$D,2,FALSE),"-") &amp; " / " &amp; IFERROR(VLOOKUP(MID(S2,T2,U2-T2),[6]skilldef!$A:$B,2,FALSE),"-")</f>
        <v>- / -</v>
      </c>
      <c r="Y2" s="51" t="s">
        <v>176</v>
      </c>
      <c r="Z2" s="50"/>
      <c r="AA2" s="52"/>
      <c r="AB2" s="50"/>
    </row>
    <row r="3" spans="1:28" ht="21" customHeight="1">
      <c r="A3" s="64">
        <v>112121101</v>
      </c>
      <c r="B3" s="47" t="s">
        <v>155</v>
      </c>
      <c r="C3" s="50">
        <v>3</v>
      </c>
      <c r="D3" s="50" t="s">
        <v>128</v>
      </c>
      <c r="E3" s="51" t="s">
        <v>163</v>
      </c>
      <c r="F3" s="63" t="str">
        <f t="shared" si="0"/>
        <v>[effect:kamikaze, val:0.0]</v>
      </c>
      <c r="G3" s="63">
        <f t="shared" si="1"/>
        <v>9</v>
      </c>
      <c r="H3" s="63">
        <f t="shared" si="2"/>
        <v>17</v>
      </c>
      <c r="I3" s="63" t="e">
        <f t="shared" si="3"/>
        <v>#VALUE!</v>
      </c>
      <c r="J3" s="63" t="e">
        <f t="shared" si="4"/>
        <v>#VALUE!</v>
      </c>
      <c r="K3" s="63" t="str">
        <f>IFERROR(VLOOKUP(MID(F3,I3,J3-I3),[6]skilldef!$C:$D,2,FALSE),"-") &amp; " / " &amp; IFERROR(VLOOKUP(MID(F3,G3,H3-G3),[6]skilldef!$A:$B,2,FALSE),"-")</f>
        <v>- / 自爆</v>
      </c>
      <c r="L3" s="63" t="str">
        <f t="shared" si="5"/>
        <v>none</v>
      </c>
      <c r="M3" s="48" t="str">
        <f>IFERROR(LEFT(L3,FIND("],",L3)+R20),L3)</f>
        <v>none</v>
      </c>
      <c r="N3" s="63" t="e">
        <f t="shared" si="6"/>
        <v>#VALUE!</v>
      </c>
      <c r="O3" s="63">
        <f t="shared" si="7"/>
        <v>4</v>
      </c>
      <c r="P3" s="63" t="e">
        <f t="shared" si="8"/>
        <v>#VALUE!</v>
      </c>
      <c r="Q3" s="63" t="e">
        <f t="shared" si="9"/>
        <v>#VALUE!</v>
      </c>
      <c r="R3" s="63" t="str">
        <f>IFERROR(VLOOKUP(MID(M3,P3,Q3-P3),[6]skilldef!$C:$D,2,FALSE),"-") &amp; " / " &amp; IFERROR(VLOOKUP(MID(M3,N3,O3-N3),[6]skilldef!$A:$B,2,FALSE),"-")</f>
        <v>- / -</v>
      </c>
      <c r="S3" s="48" t="str">
        <f t="shared" si="10"/>
        <v>none</v>
      </c>
      <c r="T3" s="63" t="e">
        <f t="shared" si="11"/>
        <v>#VALUE!</v>
      </c>
      <c r="U3" s="63">
        <f t="shared" si="12"/>
        <v>4</v>
      </c>
      <c r="V3" s="63" t="e">
        <f t="shared" si="13"/>
        <v>#VALUE!</v>
      </c>
      <c r="W3" s="63" t="e">
        <f t="shared" si="14"/>
        <v>#VALUE!</v>
      </c>
      <c r="X3" s="63" t="str">
        <f>IFERROR(VLOOKUP(MID(S3,V3,W3-V3),[6]skilldef!$C:$D,2,FALSE),"-") &amp; " / " &amp; IFERROR(VLOOKUP(MID(S3,T3,U3-T3),[6]skilldef!$A:$B,2,FALSE),"-")</f>
        <v>- / -</v>
      </c>
      <c r="Y3" s="51" t="s">
        <v>177</v>
      </c>
      <c r="Z3" s="50"/>
      <c r="AA3" s="52"/>
      <c r="AB3" s="50"/>
    </row>
    <row r="4" spans="1:28" ht="21" customHeight="1">
      <c r="A4" s="64">
        <v>112121200</v>
      </c>
      <c r="B4" s="47" t="s">
        <v>166</v>
      </c>
      <c r="C4" s="50">
        <v>3</v>
      </c>
      <c r="D4" s="50" t="s">
        <v>128</v>
      </c>
      <c r="E4" s="51" t="s">
        <v>162</v>
      </c>
      <c r="F4" s="63" t="str">
        <f t="shared" si="0"/>
        <v>[effect:fix_speed, target:myself, turn:4]</v>
      </c>
      <c r="G4" s="63">
        <f t="shared" si="1"/>
        <v>9</v>
      </c>
      <c r="H4" s="63">
        <f t="shared" si="2"/>
        <v>18</v>
      </c>
      <c r="I4" s="63">
        <f t="shared" si="3"/>
        <v>27</v>
      </c>
      <c r="J4" s="63">
        <f t="shared" si="4"/>
        <v>33</v>
      </c>
      <c r="K4" s="63" t="str">
        <f>IFERROR(VLOOKUP(MID(F4,I4,J4-I4),[6]skilldef!$C:$D,2,FALSE),"-") &amp; " / " &amp; IFERROR(VLOOKUP(MID(F4,G4,H4-G4),[6]skilldef!$A:$B,2,FALSE),"-")</f>
        <v>自分自身に / 行動値設定</v>
      </c>
      <c r="L4" s="63" t="str">
        <f t="shared" si="5"/>
        <v>none</v>
      </c>
      <c r="M4" s="48" t="str">
        <f>IFERROR(LEFT(L4,FIND("],",L4)+R21),L4)</f>
        <v>none</v>
      </c>
      <c r="N4" s="63" t="e">
        <f t="shared" si="6"/>
        <v>#VALUE!</v>
      </c>
      <c r="O4" s="63">
        <f t="shared" si="7"/>
        <v>4</v>
      </c>
      <c r="P4" s="63" t="e">
        <f t="shared" si="8"/>
        <v>#VALUE!</v>
      </c>
      <c r="Q4" s="63" t="e">
        <f t="shared" si="9"/>
        <v>#VALUE!</v>
      </c>
      <c r="R4" s="63" t="str">
        <f>IFERROR(VLOOKUP(MID(M4,P4,Q4-P4),[6]skilldef!$C:$D,2,FALSE),"-") &amp; " / " &amp; IFERROR(VLOOKUP(MID(M4,N4,O4-N4),[6]skilldef!$A:$B,2,FALSE),"-")</f>
        <v>- / -</v>
      </c>
      <c r="S4" s="48" t="str">
        <f t="shared" si="10"/>
        <v>none</v>
      </c>
      <c r="T4" s="63" t="e">
        <f t="shared" si="11"/>
        <v>#VALUE!</v>
      </c>
      <c r="U4" s="63">
        <f t="shared" si="12"/>
        <v>4</v>
      </c>
      <c r="V4" s="63" t="e">
        <f t="shared" si="13"/>
        <v>#VALUE!</v>
      </c>
      <c r="W4" s="63" t="e">
        <f t="shared" si="14"/>
        <v>#VALUE!</v>
      </c>
      <c r="X4" s="63" t="str">
        <f>IFERROR(VLOOKUP(MID(S4,V4,W4-V4),[6]skilldef!$C:$D,2,FALSE),"-") &amp; " / " &amp; IFERROR(VLOOKUP(MID(S4,T4,U4-T4),[6]skilldef!$A:$B,2,FALSE),"-")</f>
        <v>- / -</v>
      </c>
      <c r="Y4" s="51" t="s">
        <v>178</v>
      </c>
      <c r="Z4" s="50"/>
      <c r="AA4" s="52"/>
      <c r="AB4" s="50"/>
    </row>
    <row r="5" spans="1:28" ht="21" customHeight="1">
      <c r="A5" s="64">
        <v>112121201</v>
      </c>
      <c r="B5" s="47" t="s">
        <v>156</v>
      </c>
      <c r="C5" s="50">
        <v>3</v>
      </c>
      <c r="D5" s="50" t="s">
        <v>128</v>
      </c>
      <c r="E5" s="51" t="s">
        <v>170</v>
      </c>
      <c r="F5" s="63" t="str">
        <f t="shared" ref="F5" si="15">IFERROR(LEFT(B5,FIND("],",B5)),B5)</f>
        <v>[effect:nothing]</v>
      </c>
      <c r="G5" s="63">
        <f t="shared" ref="G5" si="16">FIND("effect:",F5)+7</f>
        <v>9</v>
      </c>
      <c r="H5" s="63">
        <f t="shared" ref="H5" si="17">IFERROR(FIND(",",F5),LEN(F5))</f>
        <v>16</v>
      </c>
      <c r="I5" s="63" t="e">
        <f t="shared" ref="I5" si="18">FIND("target:",F5)+7</f>
        <v>#VALUE!</v>
      </c>
      <c r="J5" s="63" t="e">
        <f t="shared" ref="J5" si="19">FIND(",",F5,H5+1)</f>
        <v>#VALUE!</v>
      </c>
      <c r="K5" s="63" t="str">
        <f>IFERROR(VLOOKUP(MID(F5,I5,J5-I5),[6]skilldef!$C:$D,2,FALSE),"-") &amp; " / " &amp; IFERROR(VLOOKUP(MID(F5,G5,H5-G5),[6]skilldef!$A:$B,2,FALSE),"-")</f>
        <v>- / 何もしない</v>
      </c>
      <c r="L5" s="63" t="str">
        <f t="shared" ref="L5" si="20">IFERROR(RIGHT(B5,LEN(B5)-FIND("],",B5)-1),"none")</f>
        <v>none</v>
      </c>
      <c r="M5" s="48" t="str">
        <f>IFERROR(LEFT(L5,FIND("],",L5)+R22),L5)</f>
        <v>none</v>
      </c>
      <c r="N5" s="63" t="e">
        <f t="shared" ref="N5" si="21">FIND("effect:",M5)+7</f>
        <v>#VALUE!</v>
      </c>
      <c r="O5" s="63">
        <f t="shared" ref="O5" si="22">IFERROR(FIND(",",M5),LEN(M5))</f>
        <v>4</v>
      </c>
      <c r="P5" s="63" t="e">
        <f t="shared" ref="P5" si="23">FIND("target:",M5)+7</f>
        <v>#VALUE!</v>
      </c>
      <c r="Q5" s="63" t="e">
        <f t="shared" ref="Q5" si="24">FIND(",",M5,O5+1)</f>
        <v>#VALUE!</v>
      </c>
      <c r="R5" s="63" t="str">
        <f>IFERROR(VLOOKUP(MID(M5,P5,Q5-P5),[6]skilldef!$C:$D,2,FALSE),"-") &amp; " / " &amp; IFERROR(VLOOKUP(MID(M5,N5,O5-N5),[6]skilldef!$A:$B,2,FALSE),"-")</f>
        <v>- / -</v>
      </c>
      <c r="S5" s="48" t="str">
        <f t="shared" ref="S5" si="25">IFERROR(RIGHT(L5,LEN(L5)-FIND("],",L5)-1),"none")</f>
        <v>none</v>
      </c>
      <c r="T5" s="63" t="e">
        <f t="shared" ref="T5" si="26">FIND("effect:",S5)+7</f>
        <v>#VALUE!</v>
      </c>
      <c r="U5" s="63">
        <f t="shared" ref="U5" si="27">IFERROR(FIND(",",S5),LEN(S5))</f>
        <v>4</v>
      </c>
      <c r="V5" s="63" t="e">
        <f t="shared" ref="V5" si="28">FIND("target:",S5)+7</f>
        <v>#VALUE!</v>
      </c>
      <c r="W5" s="63" t="e">
        <f t="shared" ref="W5" si="29">FIND(",",S5,U5+1)</f>
        <v>#VALUE!</v>
      </c>
      <c r="X5" s="63" t="str">
        <f>IFERROR(VLOOKUP(MID(S5,V5,W5-V5),[6]skilldef!$C:$D,2,FALSE),"-") &amp; " / " &amp; IFERROR(VLOOKUP(MID(S5,T5,U5-T5),[6]skilldef!$A:$B,2,FALSE),"-")</f>
        <v>- / -</v>
      </c>
      <c r="Y5" s="51" t="s">
        <v>179</v>
      </c>
      <c r="Z5" s="50"/>
      <c r="AA5" s="52"/>
      <c r="AB5" s="50"/>
    </row>
    <row r="6" spans="1:28" ht="21" customHeight="1">
      <c r="A6" s="64">
        <v>112121210</v>
      </c>
      <c r="B6" s="47" t="s">
        <v>168</v>
      </c>
      <c r="C6" s="50">
        <v>3</v>
      </c>
      <c r="D6" s="50" t="s">
        <v>128</v>
      </c>
      <c r="E6" s="51" t="s">
        <v>157</v>
      </c>
      <c r="F6" s="63" t="str">
        <f t="shared" si="0"/>
        <v>[effect:fix_speed, target:myself, turn:3]</v>
      </c>
      <c r="G6" s="63">
        <f t="shared" si="1"/>
        <v>9</v>
      </c>
      <c r="H6" s="63">
        <f t="shared" si="2"/>
        <v>18</v>
      </c>
      <c r="I6" s="63">
        <f t="shared" si="3"/>
        <v>27</v>
      </c>
      <c r="J6" s="63">
        <f t="shared" si="4"/>
        <v>33</v>
      </c>
      <c r="K6" s="63" t="str">
        <f>IFERROR(VLOOKUP(MID(F6,I6,J6-I6),[6]skilldef!$C:$D,2,FALSE),"-") &amp; " / " &amp; IFERROR(VLOOKUP(MID(F6,G6,H6-G6),[6]skilldef!$A:$B,2,FALSE),"-")</f>
        <v>自分自身に / 行動値設定</v>
      </c>
      <c r="L6" s="63" t="str">
        <f t="shared" si="5"/>
        <v>none</v>
      </c>
      <c r="M6" s="48" t="str">
        <f>IFERROR(LEFT(L6,FIND("],",L6)+R22),L6)</f>
        <v>none</v>
      </c>
      <c r="N6" s="63" t="e">
        <f t="shared" si="6"/>
        <v>#VALUE!</v>
      </c>
      <c r="O6" s="63">
        <f t="shared" si="7"/>
        <v>4</v>
      </c>
      <c r="P6" s="63" t="e">
        <f t="shared" si="8"/>
        <v>#VALUE!</v>
      </c>
      <c r="Q6" s="63" t="e">
        <f t="shared" si="9"/>
        <v>#VALUE!</v>
      </c>
      <c r="R6" s="63" t="str">
        <f>IFERROR(VLOOKUP(MID(M6,P6,Q6-P6),[6]skilldef!$C:$D,2,FALSE),"-") &amp; " / " &amp; IFERROR(VLOOKUP(MID(M6,N6,O6-N6),[6]skilldef!$A:$B,2,FALSE),"-")</f>
        <v>- / -</v>
      </c>
      <c r="S6" s="48" t="str">
        <f t="shared" si="10"/>
        <v>none</v>
      </c>
      <c r="T6" s="63" t="e">
        <f t="shared" si="11"/>
        <v>#VALUE!</v>
      </c>
      <c r="U6" s="63">
        <f t="shared" si="12"/>
        <v>4</v>
      </c>
      <c r="V6" s="63" t="e">
        <f t="shared" si="13"/>
        <v>#VALUE!</v>
      </c>
      <c r="W6" s="63" t="e">
        <f t="shared" si="14"/>
        <v>#VALUE!</v>
      </c>
      <c r="X6" s="63" t="str">
        <f>IFERROR(VLOOKUP(MID(S6,V6,W6-V6),[6]skilldef!$C:$D,2,FALSE),"-") &amp; " / " &amp; IFERROR(VLOOKUP(MID(S6,T6,U6-T6),[6]skilldef!$A:$B,2,FALSE),"-")</f>
        <v>- / -</v>
      </c>
      <c r="Y6" s="51" t="s">
        <v>158</v>
      </c>
      <c r="Z6" s="50"/>
      <c r="AA6" s="52"/>
      <c r="AB6" s="50"/>
    </row>
    <row r="7" spans="1:28" ht="21" customHeight="1">
      <c r="A7" s="64">
        <v>112121211</v>
      </c>
      <c r="B7" s="47" t="s">
        <v>156</v>
      </c>
      <c r="C7" s="50">
        <v>3</v>
      </c>
      <c r="D7" s="50" t="s">
        <v>128</v>
      </c>
      <c r="E7" s="51" t="s">
        <v>172</v>
      </c>
      <c r="F7" s="63" t="str">
        <f t="shared" ref="F7" si="30">IFERROR(LEFT(B7,FIND("],",B7)),B7)</f>
        <v>[effect:nothing]</v>
      </c>
      <c r="G7" s="63">
        <f t="shared" ref="G7" si="31">FIND("effect:",F7)+7</f>
        <v>9</v>
      </c>
      <c r="H7" s="63">
        <f t="shared" ref="H7" si="32">IFERROR(FIND(",",F7),LEN(F7))</f>
        <v>16</v>
      </c>
      <c r="I7" s="63" t="e">
        <f t="shared" ref="I7" si="33">FIND("target:",F7)+7</f>
        <v>#VALUE!</v>
      </c>
      <c r="J7" s="63" t="e">
        <f t="shared" ref="J7" si="34">FIND(",",F7,H7+1)</f>
        <v>#VALUE!</v>
      </c>
      <c r="K7" s="63" t="str">
        <f>IFERROR(VLOOKUP(MID(F7,I7,J7-I7),[6]skilldef!$C:$D,2,FALSE),"-") &amp; " / " &amp; IFERROR(VLOOKUP(MID(F7,G7,H7-G7),[6]skilldef!$A:$B,2,FALSE),"-")</f>
        <v>- / 何もしない</v>
      </c>
      <c r="L7" s="63" t="str">
        <f t="shared" ref="L7" si="35">IFERROR(RIGHT(B7,LEN(B7)-FIND("],",B7)-1),"none")</f>
        <v>none</v>
      </c>
      <c r="M7" s="48" t="str">
        <f>IFERROR(LEFT(L7,FIND("],",L7)+R23),L7)</f>
        <v>none</v>
      </c>
      <c r="N7" s="63" t="e">
        <f t="shared" ref="N7" si="36">FIND("effect:",M7)+7</f>
        <v>#VALUE!</v>
      </c>
      <c r="O7" s="63">
        <f t="shared" ref="O7" si="37">IFERROR(FIND(",",M7),LEN(M7))</f>
        <v>4</v>
      </c>
      <c r="P7" s="63" t="e">
        <f t="shared" ref="P7" si="38">FIND("target:",M7)+7</f>
        <v>#VALUE!</v>
      </c>
      <c r="Q7" s="63" t="e">
        <f t="shared" ref="Q7" si="39">FIND(",",M7,O7+1)</f>
        <v>#VALUE!</v>
      </c>
      <c r="R7" s="63" t="str">
        <f>IFERROR(VLOOKUP(MID(M7,P7,Q7-P7),[6]skilldef!$C:$D,2,FALSE),"-") &amp; " / " &amp; IFERROR(VLOOKUP(MID(M7,N7,O7-N7),[6]skilldef!$A:$B,2,FALSE),"-")</f>
        <v>- / -</v>
      </c>
      <c r="S7" s="48" t="str">
        <f t="shared" ref="S7" si="40">IFERROR(RIGHT(L7,LEN(L7)-FIND("],",L7)-1),"none")</f>
        <v>none</v>
      </c>
      <c r="T7" s="63" t="e">
        <f t="shared" ref="T7" si="41">FIND("effect:",S7)+7</f>
        <v>#VALUE!</v>
      </c>
      <c r="U7" s="63">
        <f t="shared" ref="U7" si="42">IFERROR(FIND(",",S7),LEN(S7))</f>
        <v>4</v>
      </c>
      <c r="V7" s="63" t="e">
        <f t="shared" ref="V7" si="43">FIND("target:",S7)+7</f>
        <v>#VALUE!</v>
      </c>
      <c r="W7" s="63" t="e">
        <f t="shared" ref="W7" si="44">FIND(",",S7,U7+1)</f>
        <v>#VALUE!</v>
      </c>
      <c r="X7" s="63" t="str">
        <f>IFERROR(VLOOKUP(MID(S7,V7,W7-V7),[6]skilldef!$C:$D,2,FALSE),"-") &amp; " / " &amp; IFERROR(VLOOKUP(MID(S7,T7,U7-T7),[6]skilldef!$A:$B,2,FALSE),"-")</f>
        <v>- / -</v>
      </c>
      <c r="Y7" s="51" t="s">
        <v>173</v>
      </c>
      <c r="Z7" s="50"/>
      <c r="AA7" s="52"/>
      <c r="AB7" s="50"/>
    </row>
    <row r="8" spans="1:28" ht="21" customHeight="1">
      <c r="A8" s="64">
        <v>112121220</v>
      </c>
      <c r="B8" s="47" t="s">
        <v>169</v>
      </c>
      <c r="C8" s="50">
        <v>3</v>
      </c>
      <c r="D8" s="50" t="s">
        <v>128</v>
      </c>
      <c r="E8" s="51" t="s">
        <v>184</v>
      </c>
      <c r="F8" s="63" t="str">
        <f t="shared" si="0"/>
        <v>[effect:fix_speed, target:myself, turn:2]</v>
      </c>
      <c r="G8" s="63">
        <f t="shared" si="1"/>
        <v>9</v>
      </c>
      <c r="H8" s="63">
        <f t="shared" si="2"/>
        <v>18</v>
      </c>
      <c r="I8" s="63">
        <f t="shared" si="3"/>
        <v>27</v>
      </c>
      <c r="J8" s="63">
        <f t="shared" si="4"/>
        <v>33</v>
      </c>
      <c r="K8" s="63" t="str">
        <f>IFERROR(VLOOKUP(MID(F8,I8,J8-I8),[6]skilldef!$C:$D,2,FALSE),"-") &amp; " / " &amp; IFERROR(VLOOKUP(MID(F8,G8,H8-G8),[6]skilldef!$A:$B,2,FALSE),"-")</f>
        <v>自分自身に / 行動値設定</v>
      </c>
      <c r="L8" s="63" t="str">
        <f t="shared" si="5"/>
        <v>none</v>
      </c>
      <c r="M8" s="48" t="str">
        <f>IFERROR(LEFT(L8,FIND("],",L8)+R23),L8)</f>
        <v>none</v>
      </c>
      <c r="N8" s="63" t="e">
        <f t="shared" si="6"/>
        <v>#VALUE!</v>
      </c>
      <c r="O8" s="63">
        <f t="shared" si="7"/>
        <v>4</v>
      </c>
      <c r="P8" s="63" t="e">
        <f t="shared" si="8"/>
        <v>#VALUE!</v>
      </c>
      <c r="Q8" s="63" t="e">
        <f t="shared" si="9"/>
        <v>#VALUE!</v>
      </c>
      <c r="R8" s="63" t="str">
        <f>IFERROR(VLOOKUP(MID(M8,P8,Q8-P8),[6]skilldef!$C:$D,2,FALSE),"-") &amp; " / " &amp; IFERROR(VLOOKUP(MID(M8,N8,O8-N8),[6]skilldef!$A:$B,2,FALSE),"-")</f>
        <v>- / -</v>
      </c>
      <c r="S8" s="48" t="str">
        <f t="shared" si="10"/>
        <v>none</v>
      </c>
      <c r="T8" s="63" t="e">
        <f t="shared" si="11"/>
        <v>#VALUE!</v>
      </c>
      <c r="U8" s="63">
        <f t="shared" si="12"/>
        <v>4</v>
      </c>
      <c r="V8" s="63" t="e">
        <f t="shared" si="13"/>
        <v>#VALUE!</v>
      </c>
      <c r="W8" s="63" t="e">
        <f t="shared" si="14"/>
        <v>#VALUE!</v>
      </c>
      <c r="X8" s="63" t="str">
        <f>IFERROR(VLOOKUP(MID(S8,V8,W8-V8),[6]skilldef!$C:$D,2,FALSE),"-") &amp; " / " &amp; IFERROR(VLOOKUP(MID(S8,T8,U8-T8),[6]skilldef!$A:$B,2,FALSE),"-")</f>
        <v>- / -</v>
      </c>
      <c r="Y8" s="51" t="s">
        <v>186</v>
      </c>
      <c r="Z8" s="50"/>
      <c r="AA8" s="52"/>
      <c r="AB8" s="50"/>
    </row>
    <row r="9" spans="1:28" ht="21" customHeight="1">
      <c r="A9" s="64">
        <v>112121221</v>
      </c>
      <c r="B9" s="47" t="s">
        <v>156</v>
      </c>
      <c r="C9" s="50">
        <v>3</v>
      </c>
      <c r="D9" s="50" t="s">
        <v>128</v>
      </c>
      <c r="E9" s="51" t="s">
        <v>174</v>
      </c>
      <c r="F9" s="63" t="str">
        <f t="shared" ref="F9" si="45">IFERROR(LEFT(B9,FIND("],",B9)),B9)</f>
        <v>[effect:nothing]</v>
      </c>
      <c r="G9" s="63">
        <f t="shared" ref="G9" si="46">FIND("effect:",F9)+7</f>
        <v>9</v>
      </c>
      <c r="H9" s="63">
        <f t="shared" ref="H9" si="47">IFERROR(FIND(",",F9),LEN(F9))</f>
        <v>16</v>
      </c>
      <c r="I9" s="63" t="e">
        <f t="shared" ref="I9" si="48">FIND("target:",F9)+7</f>
        <v>#VALUE!</v>
      </c>
      <c r="J9" s="63" t="e">
        <f t="shared" ref="J9" si="49">FIND(",",F9,H9+1)</f>
        <v>#VALUE!</v>
      </c>
      <c r="K9" s="63" t="str">
        <f>IFERROR(VLOOKUP(MID(F9,I9,J9-I9),[6]skilldef!$C:$D,2,FALSE),"-") &amp; " / " &amp; IFERROR(VLOOKUP(MID(F9,G9,H9-G9),[6]skilldef!$A:$B,2,FALSE),"-")</f>
        <v>- / 何もしない</v>
      </c>
      <c r="L9" s="63" t="str">
        <f t="shared" ref="L9" si="50">IFERROR(RIGHT(B9,LEN(B9)-FIND("],",B9)-1),"none")</f>
        <v>none</v>
      </c>
      <c r="M9" s="48" t="str">
        <f>IFERROR(LEFT(L9,FIND("],",L9)+R24),L9)</f>
        <v>none</v>
      </c>
      <c r="N9" s="63" t="e">
        <f t="shared" ref="N9" si="51">FIND("effect:",M9)+7</f>
        <v>#VALUE!</v>
      </c>
      <c r="O9" s="63">
        <f t="shared" ref="O9" si="52">IFERROR(FIND(",",M9),LEN(M9))</f>
        <v>4</v>
      </c>
      <c r="P9" s="63" t="e">
        <f t="shared" ref="P9" si="53">FIND("target:",M9)+7</f>
        <v>#VALUE!</v>
      </c>
      <c r="Q9" s="63" t="e">
        <f t="shared" ref="Q9" si="54">FIND(",",M9,O9+1)</f>
        <v>#VALUE!</v>
      </c>
      <c r="R9" s="63" t="str">
        <f>IFERROR(VLOOKUP(MID(M9,P9,Q9-P9),[6]skilldef!$C:$D,2,FALSE),"-") &amp; " / " &amp; IFERROR(VLOOKUP(MID(M9,N9,O9-N9),[6]skilldef!$A:$B,2,FALSE),"-")</f>
        <v>- / -</v>
      </c>
      <c r="S9" s="48" t="str">
        <f t="shared" ref="S9" si="55">IFERROR(RIGHT(L9,LEN(L9)-FIND("],",L9)-1),"none")</f>
        <v>none</v>
      </c>
      <c r="T9" s="63" t="e">
        <f t="shared" ref="T9" si="56">FIND("effect:",S9)+7</f>
        <v>#VALUE!</v>
      </c>
      <c r="U9" s="63">
        <f t="shared" ref="U9" si="57">IFERROR(FIND(",",S9),LEN(S9))</f>
        <v>4</v>
      </c>
      <c r="V9" s="63" t="e">
        <f t="shared" ref="V9" si="58">FIND("target:",S9)+7</f>
        <v>#VALUE!</v>
      </c>
      <c r="W9" s="63" t="e">
        <f t="shared" ref="W9" si="59">FIND(",",S9,U9+1)</f>
        <v>#VALUE!</v>
      </c>
      <c r="X9" s="63" t="str">
        <f>IFERROR(VLOOKUP(MID(S9,V9,W9-V9),[6]skilldef!$C:$D,2,FALSE),"-") &amp; " / " &amp; IFERROR(VLOOKUP(MID(S9,T9,U9-T9),[6]skilldef!$A:$B,2,FALSE),"-")</f>
        <v>- / -</v>
      </c>
      <c r="Y9" s="51" t="s">
        <v>179</v>
      </c>
      <c r="Z9" s="50"/>
      <c r="AA9" s="52"/>
      <c r="AB9" s="50"/>
    </row>
    <row r="10" spans="1:28" ht="118">
      <c r="A10" s="64">
        <v>112121300</v>
      </c>
      <c r="B10" s="65" t="s">
        <v>194</v>
      </c>
      <c r="C10" s="50">
        <v>3</v>
      </c>
      <c r="D10" s="50" t="s">
        <v>128</v>
      </c>
      <c r="E10" s="51" t="s">
        <v>159</v>
      </c>
      <c r="F10" s="63" t="str">
        <f t="shared" si="0"/>
        <v>[effect:fix_speed, target:myself, turn:1][effect:degrade_crash, count:50, special:50, turn:3, animation:enemy_crash_extend][effect:hungup, target:unit_all, turn:-1, rate:1.0][effect:force_change_block, new_block:block_blue, target:block_all, color:block_blue, count:0, val:0.0][effect:dis_panel, target:block_heart, turn:3][effect:change_block, new_block:time_bomb, target:block_all, color:block_green, count:3, val:0.30][effect:change_panel_ratio, block_type:green, turn:3, val:0.0][effect:degrade_fever, val:1000.0]</v>
      </c>
      <c r="G10" s="63">
        <f t="shared" si="1"/>
        <v>9</v>
      </c>
      <c r="H10" s="63">
        <f t="shared" si="2"/>
        <v>18</v>
      </c>
      <c r="I10" s="63">
        <f t="shared" si="3"/>
        <v>27</v>
      </c>
      <c r="J10" s="63">
        <f t="shared" si="4"/>
        <v>33</v>
      </c>
      <c r="K10" s="63" t="str">
        <f>IFERROR(VLOOKUP(MID(F10,I10,J10-I10),[6]skilldef!$C:$D,2,FALSE),"-") &amp; " / " &amp; IFERROR(VLOOKUP(MID(F10,G10,H10-G10),[6]skilldef!$A:$B,2,FALSE),"-")</f>
        <v>自分自身に / 行動値設定</v>
      </c>
      <c r="L10" s="63" t="str">
        <f t="shared" si="5"/>
        <v>none</v>
      </c>
      <c r="M10" s="48" t="str">
        <f>IFERROR(LEFT(L10,FIND("],",L10)+R24),L10)</f>
        <v>none</v>
      </c>
      <c r="N10" s="63" t="e">
        <f t="shared" si="6"/>
        <v>#VALUE!</v>
      </c>
      <c r="O10" s="63">
        <f t="shared" si="7"/>
        <v>4</v>
      </c>
      <c r="P10" s="63" t="e">
        <f t="shared" si="8"/>
        <v>#VALUE!</v>
      </c>
      <c r="Q10" s="63" t="e">
        <f t="shared" si="9"/>
        <v>#VALUE!</v>
      </c>
      <c r="R10" s="63" t="str">
        <f>IFERROR(VLOOKUP(MID(M10,P10,Q10-P10),[6]skilldef!$C:$D,2,FALSE),"-") &amp; " / " &amp; IFERROR(VLOOKUP(MID(M10,N10,O10-N10),[6]skilldef!$A:$B,2,FALSE),"-")</f>
        <v>- / -</v>
      </c>
      <c r="S10" s="48" t="str">
        <f t="shared" si="10"/>
        <v>none</v>
      </c>
      <c r="T10" s="63" t="e">
        <f t="shared" si="11"/>
        <v>#VALUE!</v>
      </c>
      <c r="U10" s="63">
        <f t="shared" si="12"/>
        <v>4</v>
      </c>
      <c r="V10" s="63" t="e">
        <f t="shared" si="13"/>
        <v>#VALUE!</v>
      </c>
      <c r="W10" s="63" t="e">
        <f t="shared" si="14"/>
        <v>#VALUE!</v>
      </c>
      <c r="X10" s="63" t="str">
        <f>IFERROR(VLOOKUP(MID(S10,V10,W10-V10),[6]skilldef!$C:$D,2,FALSE),"-") &amp; " / " &amp; IFERROR(VLOOKUP(MID(S10,T10,U10-T10),[6]skilldef!$A:$B,2,FALSE),"-")</f>
        <v>- / -</v>
      </c>
      <c r="Y10" s="51" t="s">
        <v>180</v>
      </c>
      <c r="Z10" s="50"/>
      <c r="AA10" s="52"/>
      <c r="AB10" s="50"/>
    </row>
    <row r="11" spans="1:28" ht="21" customHeight="1">
      <c r="A11" s="64">
        <v>112121301</v>
      </c>
      <c r="B11" s="47" t="s">
        <v>156</v>
      </c>
      <c r="C11" s="50">
        <v>3</v>
      </c>
      <c r="D11" s="50" t="s">
        <v>128</v>
      </c>
      <c r="E11" s="51" t="s">
        <v>164</v>
      </c>
      <c r="F11" s="63" t="str">
        <f t="shared" ref="F11" si="60">IFERROR(LEFT(B11,FIND("],",B11)),B11)</f>
        <v>[effect:nothing]</v>
      </c>
      <c r="G11" s="63">
        <f t="shared" ref="G11:G13" si="61">FIND("effect:",F11)+7</f>
        <v>9</v>
      </c>
      <c r="H11" s="63">
        <f t="shared" ref="H11" si="62">IFERROR(FIND(",",F11),LEN(F11))</f>
        <v>16</v>
      </c>
      <c r="I11" s="63" t="e">
        <f t="shared" ref="I11" si="63">FIND("target:",F11)+7</f>
        <v>#VALUE!</v>
      </c>
      <c r="J11" s="63" t="e">
        <f t="shared" ref="J11" si="64">FIND(",",F11,H11+1)</f>
        <v>#VALUE!</v>
      </c>
      <c r="K11" s="63" t="str">
        <f>IFERROR(VLOOKUP(MID(F11,I11,J11-I11),[6]skilldef!$C:$D,2,FALSE),"-") &amp; " / " &amp; IFERROR(VLOOKUP(MID(F11,G11,H11-G11),[6]skilldef!$A:$B,2,FALSE),"-")</f>
        <v>- / 何もしない</v>
      </c>
      <c r="L11" s="63" t="str">
        <f t="shared" ref="L11" si="65">IFERROR(RIGHT(B11,LEN(B11)-FIND("],",B11)-1),"none")</f>
        <v>none</v>
      </c>
      <c r="M11" s="48" t="str">
        <f>IFERROR(LEFT(L11,FIND("],",L11)+R24),L11)</f>
        <v>none</v>
      </c>
      <c r="N11" s="63" t="e">
        <f t="shared" ref="N11:N13" si="66">FIND("effect:",M11)+7</f>
        <v>#VALUE!</v>
      </c>
      <c r="O11" s="63">
        <f t="shared" ref="O11" si="67">IFERROR(FIND(",",M11),LEN(M11))</f>
        <v>4</v>
      </c>
      <c r="P11" s="63" t="e">
        <f t="shared" ref="P11" si="68">FIND("target:",M11)+7</f>
        <v>#VALUE!</v>
      </c>
      <c r="Q11" s="63" t="e">
        <f t="shared" ref="Q11" si="69">FIND(",",M11,O11+1)</f>
        <v>#VALUE!</v>
      </c>
      <c r="R11" s="63" t="str">
        <f>IFERROR(VLOOKUP(MID(M11,P11,Q11-P11),[6]skilldef!$C:$D,2,FALSE),"-") &amp; " / " &amp; IFERROR(VLOOKUP(MID(M11,N11,O11-N11),[6]skilldef!$A:$B,2,FALSE),"-")</f>
        <v>- / -</v>
      </c>
      <c r="S11" s="48" t="str">
        <f t="shared" ref="S11" si="70">IFERROR(RIGHT(L11,LEN(L11)-FIND("],",L11)-1),"none")</f>
        <v>none</v>
      </c>
      <c r="T11" s="63" t="e">
        <f t="shared" ref="T11:T13" si="71">FIND("effect:",S11)+7</f>
        <v>#VALUE!</v>
      </c>
      <c r="U11" s="63">
        <f t="shared" ref="U11" si="72">IFERROR(FIND(",",S11),LEN(S11))</f>
        <v>4</v>
      </c>
      <c r="V11" s="63" t="e">
        <f t="shared" ref="V11" si="73">FIND("target:",S11)+7</f>
        <v>#VALUE!</v>
      </c>
      <c r="W11" s="63" t="e">
        <f t="shared" ref="W11" si="74">FIND(",",S11,U11+1)</f>
        <v>#VALUE!</v>
      </c>
      <c r="X11" s="63" t="str">
        <f>IFERROR(VLOOKUP(MID(S11,V11,W11-V11),[6]skilldef!$C:$D,2,FALSE),"-") &amp; " / " &amp; IFERROR(VLOOKUP(MID(S11,T11,U11-T11),[6]skilldef!$A:$B,2,FALSE),"-")</f>
        <v>- / -</v>
      </c>
      <c r="Y11" s="51" t="s">
        <v>189</v>
      </c>
      <c r="Z11" s="50"/>
      <c r="AA11" s="52"/>
      <c r="AB11" s="50"/>
    </row>
    <row r="12" spans="1:28" ht="21" customHeight="1">
      <c r="A12" s="64">
        <v>112121302</v>
      </c>
      <c r="B12" s="47" t="s">
        <v>156</v>
      </c>
      <c r="C12" s="50">
        <v>3</v>
      </c>
      <c r="D12" s="50" t="s">
        <v>128</v>
      </c>
      <c r="E12" s="51" t="s">
        <v>167</v>
      </c>
      <c r="F12" s="63" t="str">
        <f t="shared" ref="F12:F13" si="75">IFERROR(LEFT(B12,FIND("],",B12)),B12)</f>
        <v>[effect:nothing]</v>
      </c>
      <c r="G12" s="63">
        <f t="shared" si="61"/>
        <v>9</v>
      </c>
      <c r="H12" s="63">
        <f t="shared" ref="H12:H13" si="76">IFERROR(FIND(",",F12),LEN(F12))</f>
        <v>16</v>
      </c>
      <c r="I12" s="63" t="e">
        <f t="shared" ref="I12:I13" si="77">FIND("target:",F12)+7</f>
        <v>#VALUE!</v>
      </c>
      <c r="J12" s="63" t="e">
        <f t="shared" ref="J12:J13" si="78">FIND(",",F12,H12+1)</f>
        <v>#VALUE!</v>
      </c>
      <c r="K12" s="63" t="str">
        <f>IFERROR(VLOOKUP(MID(F12,I12,J12-I12),[6]skilldef!$C:$D,2,FALSE),"-") &amp; " / " &amp; IFERROR(VLOOKUP(MID(F12,G12,H12-G12),[6]skilldef!$A:$B,2,FALSE),"-")</f>
        <v>- / 何もしない</v>
      </c>
      <c r="L12" s="63" t="str">
        <f t="shared" ref="L12:L13" si="79">IFERROR(RIGHT(B12,LEN(B12)-FIND("],",B12)-1),"none")</f>
        <v>none</v>
      </c>
      <c r="M12" s="48" t="str">
        <f>IFERROR(LEFT(L12,FIND("],",L12)+R25),L12)</f>
        <v>none</v>
      </c>
      <c r="N12" s="63" t="e">
        <f t="shared" si="66"/>
        <v>#VALUE!</v>
      </c>
      <c r="O12" s="63">
        <f t="shared" ref="O12:O13" si="80">IFERROR(FIND(",",M12),LEN(M12))</f>
        <v>4</v>
      </c>
      <c r="P12" s="63" t="e">
        <f t="shared" ref="P12:P13" si="81">FIND("target:",M12)+7</f>
        <v>#VALUE!</v>
      </c>
      <c r="Q12" s="63" t="e">
        <f t="shared" ref="Q12:Q13" si="82">FIND(",",M12,O12+1)</f>
        <v>#VALUE!</v>
      </c>
      <c r="R12" s="63" t="str">
        <f>IFERROR(VLOOKUP(MID(M12,P12,Q12-P12),[6]skilldef!$C:$D,2,FALSE),"-") &amp; " / " &amp; IFERROR(VLOOKUP(MID(M12,N12,O12-N12),[6]skilldef!$A:$B,2,FALSE),"-")</f>
        <v>- / -</v>
      </c>
      <c r="S12" s="48" t="str">
        <f t="shared" ref="S12:S13" si="83">IFERROR(RIGHT(L12,LEN(L12)-FIND("],",L12)-1),"none")</f>
        <v>none</v>
      </c>
      <c r="T12" s="63" t="e">
        <f t="shared" si="71"/>
        <v>#VALUE!</v>
      </c>
      <c r="U12" s="63">
        <f t="shared" ref="U12:U13" si="84">IFERROR(FIND(",",S12),LEN(S12))</f>
        <v>4</v>
      </c>
      <c r="V12" s="63" t="e">
        <f t="shared" ref="V12:V13" si="85">FIND("target:",S12)+7</f>
        <v>#VALUE!</v>
      </c>
      <c r="W12" s="63" t="e">
        <f t="shared" ref="W12:W13" si="86">FIND(",",S12,U12+1)</f>
        <v>#VALUE!</v>
      </c>
      <c r="X12" s="63" t="str">
        <f>IFERROR(VLOOKUP(MID(S12,V12,W12-V12),[6]skilldef!$C:$D,2,FALSE),"-") &amp; " / " &amp; IFERROR(VLOOKUP(MID(S12,T12,U12-T12),[6]skilldef!$A:$B,2,FALSE),"-")</f>
        <v>- / -</v>
      </c>
      <c r="Y12" s="51" t="s">
        <v>181</v>
      </c>
      <c r="Z12" s="50"/>
      <c r="AA12" s="52"/>
      <c r="AB12" s="50"/>
    </row>
    <row r="13" spans="1:28" ht="21" customHeight="1">
      <c r="A13" s="64">
        <v>112121303</v>
      </c>
      <c r="B13" s="47" t="s">
        <v>161</v>
      </c>
      <c r="C13" s="50">
        <v>3</v>
      </c>
      <c r="D13" s="50" t="s">
        <v>128</v>
      </c>
      <c r="E13" s="51" t="s">
        <v>190</v>
      </c>
      <c r="F13" s="63" t="str">
        <f t="shared" si="75"/>
        <v>[effect:kamikaze, val:0.0]</v>
      </c>
      <c r="G13" s="63">
        <f t="shared" si="61"/>
        <v>9</v>
      </c>
      <c r="H13" s="63">
        <f t="shared" si="76"/>
        <v>17</v>
      </c>
      <c r="I13" s="63" t="e">
        <f t="shared" si="77"/>
        <v>#VALUE!</v>
      </c>
      <c r="J13" s="63" t="e">
        <f t="shared" si="78"/>
        <v>#VALUE!</v>
      </c>
      <c r="K13" s="63" t="str">
        <f>IFERROR(VLOOKUP(MID(F13,I13,J13-I13),[6]skilldef!$C:$D,2,FALSE),"-") &amp; " / " &amp; IFERROR(VLOOKUP(MID(F13,G13,H13-G13),[6]skilldef!$A:$B,2,FALSE),"-")</f>
        <v>- / 自爆</v>
      </c>
      <c r="L13" s="63" t="str">
        <f t="shared" si="79"/>
        <v>none</v>
      </c>
      <c r="M13" s="48" t="str">
        <f>IFERROR(LEFT(L13,FIND("],",L13)+R26),L13)</f>
        <v>none</v>
      </c>
      <c r="N13" s="63" t="e">
        <f t="shared" si="66"/>
        <v>#VALUE!</v>
      </c>
      <c r="O13" s="63">
        <f t="shared" si="80"/>
        <v>4</v>
      </c>
      <c r="P13" s="63" t="e">
        <f t="shared" si="81"/>
        <v>#VALUE!</v>
      </c>
      <c r="Q13" s="63" t="e">
        <f t="shared" si="82"/>
        <v>#VALUE!</v>
      </c>
      <c r="R13" s="63" t="str">
        <f>IFERROR(VLOOKUP(MID(M13,P13,Q13-P13),[6]skilldef!$C:$D,2,FALSE),"-") &amp; " / " &amp; IFERROR(VLOOKUP(MID(M13,N13,O13-N13),[6]skilldef!$A:$B,2,FALSE),"-")</f>
        <v>- / -</v>
      </c>
      <c r="S13" s="48" t="str">
        <f t="shared" si="83"/>
        <v>none</v>
      </c>
      <c r="T13" s="63" t="e">
        <f t="shared" si="71"/>
        <v>#VALUE!</v>
      </c>
      <c r="U13" s="63">
        <f t="shared" si="84"/>
        <v>4</v>
      </c>
      <c r="V13" s="63" t="e">
        <f t="shared" si="85"/>
        <v>#VALUE!</v>
      </c>
      <c r="W13" s="63" t="e">
        <f t="shared" si="86"/>
        <v>#VALUE!</v>
      </c>
      <c r="X13" s="63" t="str">
        <f>IFERROR(VLOOKUP(MID(S13,V13,W13-V13),[6]skilldef!$C:$D,2,FALSE),"-") &amp; " / " &amp; IFERROR(VLOOKUP(MID(S13,T13,U13-T13),[6]skilldef!$A:$B,2,FALSE),"-")</f>
        <v>- / -</v>
      </c>
      <c r="Y13" s="51" t="s">
        <v>182</v>
      </c>
      <c r="Z13" s="50"/>
      <c r="AA13" s="52"/>
      <c r="AB13" s="50"/>
    </row>
    <row r="14" spans="1:28" ht="21" customHeight="1">
      <c r="A14" s="64">
        <v>112121400</v>
      </c>
      <c r="B14" s="47" t="s">
        <v>187</v>
      </c>
      <c r="C14" s="50">
        <v>3</v>
      </c>
      <c r="D14" s="50" t="s">
        <v>128</v>
      </c>
      <c r="E14" s="51" t="s">
        <v>160</v>
      </c>
      <c r="F14" s="63" t="str">
        <f>IFERROR(LEFT(B14,FIND("],",B14)),B14)</f>
        <v>[effect:fix_speed, target:myself, turn:1][effect:force_change_block, new_block:block_heart, target:block_all, color:block_heart, count:0, val:0.0]</v>
      </c>
      <c r="G14" s="63">
        <f>FIND("effect:",F14)+7</f>
        <v>9</v>
      </c>
      <c r="H14" s="63">
        <f>IFERROR(FIND(",",F14),LEN(F14))</f>
        <v>18</v>
      </c>
      <c r="I14" s="63">
        <f>FIND("target:",F14)+7</f>
        <v>27</v>
      </c>
      <c r="J14" s="63">
        <f>FIND(",",F14,H14+1)</f>
        <v>33</v>
      </c>
      <c r="K14" s="63" t="str">
        <f>IFERROR(VLOOKUP(MID(F14,I14,J14-I14),[6]skilldef!$C:$D,2,FALSE),"-") &amp; " / " &amp; IFERROR(VLOOKUP(MID(F14,G14,H14-G14),[6]skilldef!$A:$B,2,FALSE),"-")</f>
        <v>自分自身に / 行動値設定</v>
      </c>
      <c r="L14" s="63" t="str">
        <f>IFERROR(RIGHT(B14,LEN(B14)-FIND("],",B14)-1),"none")</f>
        <v>none</v>
      </c>
      <c r="M14" s="48" t="str">
        <f>IFERROR(LEFT(L14,FIND("],",L14)+R29),L14)</f>
        <v>none</v>
      </c>
      <c r="N14" s="63" t="e">
        <f>FIND("effect:",M14)+7</f>
        <v>#VALUE!</v>
      </c>
      <c r="O14" s="63">
        <f>IFERROR(FIND(",",M14),LEN(M14))</f>
        <v>4</v>
      </c>
      <c r="P14" s="63" t="e">
        <f>FIND("target:",M14)+7</f>
        <v>#VALUE!</v>
      </c>
      <c r="Q14" s="63" t="e">
        <f>FIND(",",M14,O14+1)</f>
        <v>#VALUE!</v>
      </c>
      <c r="R14" s="63" t="str">
        <f>IFERROR(VLOOKUP(MID(M14,P14,Q14-P14),[6]skilldef!$C:$D,2,FALSE),"-") &amp; " / " &amp; IFERROR(VLOOKUP(MID(M14,N14,O14-N14),[6]skilldef!$A:$B,2,FALSE),"-")</f>
        <v>- / -</v>
      </c>
      <c r="S14" s="48" t="str">
        <f>IFERROR(RIGHT(L14,LEN(L14)-FIND("],",L14)-1),"none")</f>
        <v>none</v>
      </c>
      <c r="T14" s="63" t="e">
        <f>FIND("effect:",S14)+7</f>
        <v>#VALUE!</v>
      </c>
      <c r="U14" s="63">
        <f>IFERROR(FIND(",",S14),LEN(S14))</f>
        <v>4</v>
      </c>
      <c r="V14" s="63" t="e">
        <f>FIND("target:",S14)+7</f>
        <v>#VALUE!</v>
      </c>
      <c r="W14" s="63" t="e">
        <f>FIND(",",S14,U14+1)</f>
        <v>#VALUE!</v>
      </c>
      <c r="X14" s="63" t="str">
        <f>IFERROR(VLOOKUP(MID(S14,V14,W14-V14),[6]skilldef!$C:$D,2,FALSE),"-") &amp; " / " &amp; IFERROR(VLOOKUP(MID(S14,T14,U14-T14),[6]skilldef!$A:$B,2,FALSE),"-")</f>
        <v>- / -</v>
      </c>
      <c r="Y14" s="51" t="s">
        <v>183</v>
      </c>
      <c r="Z14" s="50"/>
      <c r="AA14" s="52"/>
      <c r="AB14" s="50"/>
    </row>
    <row r="15" spans="1:28" ht="21" customHeight="1">
      <c r="A15" s="64">
        <v>112121401</v>
      </c>
      <c r="B15" s="47" t="s">
        <v>156</v>
      </c>
      <c r="C15" s="50">
        <v>3</v>
      </c>
      <c r="D15" s="50" t="s">
        <v>128</v>
      </c>
      <c r="E15" s="51" t="s">
        <v>185</v>
      </c>
      <c r="F15" s="63" t="str">
        <f>IFERROR(LEFT(B15,FIND("],",B15)),B15)</f>
        <v>[effect:nothing]</v>
      </c>
      <c r="G15" s="63">
        <f>FIND("effect:",F15)+7</f>
        <v>9</v>
      </c>
      <c r="H15" s="63">
        <f>IFERROR(FIND(",",F15),LEN(F15))</f>
        <v>16</v>
      </c>
      <c r="I15" s="63" t="e">
        <f>FIND("target:",F15)+7</f>
        <v>#VALUE!</v>
      </c>
      <c r="J15" s="63" t="e">
        <f>FIND(",",F15,H15+1)</f>
        <v>#VALUE!</v>
      </c>
      <c r="K15" s="63" t="str">
        <f>IFERROR(VLOOKUP(MID(F15,I15,J15-I15),[6]skilldef!$C:$D,2,FALSE),"-") &amp; " / " &amp; IFERROR(VLOOKUP(MID(F15,G15,H15-G15),[6]skilldef!$A:$B,2,FALSE),"-")</f>
        <v>- / 何もしない</v>
      </c>
      <c r="L15" s="63" t="str">
        <f>IFERROR(RIGHT(B15,LEN(B15)-FIND("],",B15)-1),"none")</f>
        <v>none</v>
      </c>
      <c r="M15" s="48" t="str">
        <f>IFERROR(LEFT(L15,FIND("],",L15)+R30),L15)</f>
        <v>none</v>
      </c>
      <c r="N15" s="63" t="e">
        <f>FIND("effect:",M15)+7</f>
        <v>#VALUE!</v>
      </c>
      <c r="O15" s="63">
        <f>IFERROR(FIND(",",M15),LEN(M15))</f>
        <v>4</v>
      </c>
      <c r="P15" s="63" t="e">
        <f>FIND("target:",M15)+7</f>
        <v>#VALUE!</v>
      </c>
      <c r="Q15" s="63" t="e">
        <f>FIND(",",M15,O15+1)</f>
        <v>#VALUE!</v>
      </c>
      <c r="R15" s="63" t="str">
        <f>IFERROR(VLOOKUP(MID(M15,P15,Q15-P15),[6]skilldef!$C:$D,2,FALSE),"-") &amp; " / " &amp; IFERROR(VLOOKUP(MID(M15,N15,O15-N15),[6]skilldef!$A:$B,2,FALSE),"-")</f>
        <v>- / -</v>
      </c>
      <c r="S15" s="48" t="str">
        <f>IFERROR(RIGHT(L15,LEN(L15)-FIND("],",L15)-1),"none")</f>
        <v>none</v>
      </c>
      <c r="T15" s="63" t="e">
        <f>FIND("effect:",S15)+7</f>
        <v>#VALUE!</v>
      </c>
      <c r="U15" s="63">
        <f>IFERROR(FIND(",",S15),LEN(S15))</f>
        <v>4</v>
      </c>
      <c r="V15" s="63" t="e">
        <f>FIND("target:",S15)+7</f>
        <v>#VALUE!</v>
      </c>
      <c r="W15" s="63" t="e">
        <f>FIND(",",S15,U15+1)</f>
        <v>#VALUE!</v>
      </c>
      <c r="X15" s="63" t="str">
        <f>IFERROR(VLOOKUP(MID(S15,V15,W15-V15),[6]skilldef!$C:$D,2,FALSE),"-") &amp; " / " &amp; IFERROR(VLOOKUP(MID(S15,T15,U15-T15),[6]skilldef!$A:$B,2,FALSE),"-")</f>
        <v>- / -</v>
      </c>
      <c r="Y15" s="51" t="s">
        <v>175</v>
      </c>
      <c r="Z15" s="50"/>
      <c r="AA15" s="52"/>
      <c r="AB15" s="50"/>
    </row>
    <row r="16" spans="1:28" ht="21" customHeight="1">
      <c r="A16" s="64">
        <v>112121402</v>
      </c>
      <c r="B16" s="47" t="s">
        <v>188</v>
      </c>
      <c r="C16" s="50">
        <v>3</v>
      </c>
      <c r="D16" s="50" t="s">
        <v>128</v>
      </c>
      <c r="E16" s="51" t="s">
        <v>171</v>
      </c>
      <c r="F16" s="63" t="str">
        <f t="shared" ref="F16" si="87">IFERROR(LEFT(B16,FIND("],",B16)),B16)</f>
        <v>[effect:kamikaze, val:0.0][effect:force_change_block, new_block:block_heart, target:block_all, color:block_heart, count:0, val:0.0]</v>
      </c>
      <c r="G16" s="63">
        <f t="shared" ref="G16" si="88">FIND("effect:",F16)+7</f>
        <v>9</v>
      </c>
      <c r="H16" s="63">
        <f t="shared" ref="H16" si="89">IFERROR(FIND(",",F16),LEN(F16))</f>
        <v>17</v>
      </c>
      <c r="I16" s="63">
        <f t="shared" ref="I16" si="90">FIND("target:",F16)+7</f>
        <v>85</v>
      </c>
      <c r="J16" s="63">
        <f t="shared" ref="J16" si="91">FIND(",",F16,H16+1)</f>
        <v>53</v>
      </c>
      <c r="K16" s="63" t="str">
        <f>IFERROR(VLOOKUP(MID(F16,I16,J16-I16),[6]skilldef!$C:$D,2,FALSE),"-") &amp; " / " &amp; IFERROR(VLOOKUP(MID(F16,G16,H16-G16),[6]skilldef!$A:$B,2,FALSE),"-")</f>
        <v>- / 自爆</v>
      </c>
      <c r="L16" s="63" t="str">
        <f t="shared" ref="L16" si="92">IFERROR(RIGHT(B16,LEN(B16)-FIND("],",B16)-1),"none")</f>
        <v>none</v>
      </c>
      <c r="M16" s="48" t="str">
        <f>IFERROR(LEFT(L16,FIND("],",L16)+R31),L16)</f>
        <v>none</v>
      </c>
      <c r="N16" s="63" t="e">
        <f t="shared" ref="N16" si="93">FIND("effect:",M16)+7</f>
        <v>#VALUE!</v>
      </c>
      <c r="O16" s="63">
        <f t="shared" ref="O16" si="94">IFERROR(FIND(",",M16),LEN(M16))</f>
        <v>4</v>
      </c>
      <c r="P16" s="63" t="e">
        <f t="shared" ref="P16" si="95">FIND("target:",M16)+7</f>
        <v>#VALUE!</v>
      </c>
      <c r="Q16" s="63" t="e">
        <f t="shared" ref="Q16" si="96">FIND(",",M16,O16+1)</f>
        <v>#VALUE!</v>
      </c>
      <c r="R16" s="63" t="str">
        <f>IFERROR(VLOOKUP(MID(M16,P16,Q16-P16),[6]skilldef!$C:$D,2,FALSE),"-") &amp; " / " &amp; IFERROR(VLOOKUP(MID(M16,N16,O16-N16),[6]skilldef!$A:$B,2,FALSE),"-")</f>
        <v>- / -</v>
      </c>
      <c r="S16" s="48" t="str">
        <f t="shared" ref="S16" si="97">IFERROR(RIGHT(L16,LEN(L16)-FIND("],",L16)-1),"none")</f>
        <v>none</v>
      </c>
      <c r="T16" s="63" t="e">
        <f t="shared" ref="T16" si="98">FIND("effect:",S16)+7</f>
        <v>#VALUE!</v>
      </c>
      <c r="U16" s="63">
        <f t="shared" ref="U16" si="99">IFERROR(FIND(",",S16),LEN(S16))</f>
        <v>4</v>
      </c>
      <c r="V16" s="63" t="e">
        <f t="shared" ref="V16" si="100">FIND("target:",S16)+7</f>
        <v>#VALUE!</v>
      </c>
      <c r="W16" s="63" t="e">
        <f t="shared" ref="W16" si="101">FIND(",",S16,U16+1)</f>
        <v>#VALUE!</v>
      </c>
      <c r="X16" s="63" t="str">
        <f>IFERROR(VLOOKUP(MID(S16,V16,W16-V16),[6]skilldef!$C:$D,2,FALSE),"-") &amp; " / " &amp; IFERROR(VLOOKUP(MID(S16,T16,U16-T16),[6]skilldef!$A:$B,2,FALSE),"-")</f>
        <v>- / -</v>
      </c>
      <c r="Y16" s="51" t="s">
        <v>165</v>
      </c>
      <c r="Z16" s="50"/>
      <c r="AA16" s="52"/>
      <c r="AB16" s="50"/>
    </row>
  </sheetData>
  <autoFilter ref="A1:AB1"/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2"/>
  <sheetViews>
    <sheetView showGridLines="0" zoomScale="75" zoomScaleNormal="75" zoomScalePageLayoutView="75" workbookViewId="0">
      <pane ySplit="1" topLeftCell="A2" activePane="bottomLeft" state="frozenSplit"/>
      <selection activeCell="F3" sqref="F3"/>
      <selection pane="bottomLeft" activeCell="D18" sqref="D18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64">
        <v>112121100</v>
      </c>
      <c r="B2" s="47">
        <v>1</v>
      </c>
      <c r="C2" s="47" t="s">
        <v>89</v>
      </c>
      <c r="D2" s="47">
        <v>0</v>
      </c>
      <c r="E2" s="47" t="s">
        <v>152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0</v>
      </c>
    </row>
    <row r="3" spans="1:11" ht="21" customHeight="1">
      <c r="A3" s="64">
        <v>112121101</v>
      </c>
      <c r="B3" s="47">
        <v>0</v>
      </c>
      <c r="C3" s="47" t="s">
        <v>89</v>
      </c>
      <c r="D3" s="47">
        <v>100</v>
      </c>
      <c r="E3" s="47" t="s">
        <v>152</v>
      </c>
      <c r="F3" s="47" t="s">
        <v>53</v>
      </c>
      <c r="G3" s="47" t="s">
        <v>152</v>
      </c>
      <c r="H3" s="47" t="s">
        <v>53</v>
      </c>
      <c r="I3" s="47" t="s">
        <v>53</v>
      </c>
      <c r="J3" s="48">
        <f t="shared" ref="J3:J5" si="1">D3</f>
        <v>100</v>
      </c>
    </row>
    <row r="4" spans="1:11" ht="21" customHeight="1">
      <c r="A4" s="64">
        <v>112121300</v>
      </c>
      <c r="B4" s="47">
        <v>1</v>
      </c>
      <c r="C4" s="47">
        <v>4</v>
      </c>
      <c r="D4" s="47">
        <v>0</v>
      </c>
      <c r="E4" s="47" t="s">
        <v>152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0</v>
      </c>
    </row>
    <row r="5" spans="1:11" ht="21" customHeight="1">
      <c r="A5" s="64">
        <v>112121301</v>
      </c>
      <c r="B5" s="47">
        <v>0</v>
      </c>
      <c r="C5" s="47">
        <v>3</v>
      </c>
      <c r="D5" s="47">
        <v>100</v>
      </c>
      <c r="E5" s="47" t="s">
        <v>152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>
      <c r="A6" s="64">
        <v>112121302</v>
      </c>
      <c r="B6" s="47">
        <v>0</v>
      </c>
      <c r="C6" s="47">
        <v>2</v>
      </c>
      <c r="D6" s="47">
        <v>100</v>
      </c>
      <c r="E6" s="47" t="s">
        <v>152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ref="J6:J9" si="2">D6</f>
        <v>100</v>
      </c>
    </row>
    <row r="7" spans="1:11" ht="21" customHeight="1">
      <c r="A7" s="64">
        <v>112121303</v>
      </c>
      <c r="B7" s="47">
        <v>0</v>
      </c>
      <c r="C7" s="47">
        <v>1</v>
      </c>
      <c r="D7" s="47">
        <v>100</v>
      </c>
      <c r="E7" s="47" t="s">
        <v>152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2"/>
        <v>100</v>
      </c>
    </row>
    <row r="8" spans="1:11" ht="21" customHeight="1">
      <c r="A8" s="64">
        <v>112121310</v>
      </c>
      <c r="B8" s="47">
        <v>0</v>
      </c>
      <c r="C8" s="47">
        <v>2</v>
      </c>
      <c r="D8" s="47">
        <v>100</v>
      </c>
      <c r="E8" s="47" t="s">
        <v>152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2"/>
        <v>100</v>
      </c>
    </row>
    <row r="9" spans="1:11" ht="21" customHeight="1">
      <c r="A9" s="64">
        <v>112121311</v>
      </c>
      <c r="B9" s="47">
        <v>0</v>
      </c>
      <c r="C9" s="47">
        <v>1</v>
      </c>
      <c r="D9" s="47">
        <v>100</v>
      </c>
      <c r="E9" s="47" t="s">
        <v>152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2"/>
        <v>100</v>
      </c>
    </row>
    <row r="10" spans="1:11" ht="21" customHeight="1">
      <c r="A10" s="64">
        <v>112121400</v>
      </c>
      <c r="B10" s="47">
        <v>1</v>
      </c>
      <c r="C10" s="47">
        <v>4</v>
      </c>
      <c r="D10" s="47">
        <v>0</v>
      </c>
      <c r="E10" s="47" t="s">
        <v>152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ref="J10" si="3">D10</f>
        <v>0</v>
      </c>
    </row>
    <row r="11" spans="1:11" ht="21" customHeight="1">
      <c r="A11" s="64">
        <v>112121401</v>
      </c>
      <c r="B11" s="47">
        <v>0</v>
      </c>
      <c r="C11" s="47">
        <v>3</v>
      </c>
      <c r="D11" s="47">
        <v>100</v>
      </c>
      <c r="E11" s="47" t="s">
        <v>152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:J12" si="4">D11</f>
        <v>100</v>
      </c>
    </row>
    <row r="12" spans="1:11" ht="21" customHeight="1">
      <c r="A12" s="64">
        <v>112121402</v>
      </c>
      <c r="B12" s="47">
        <v>0</v>
      </c>
      <c r="C12" s="47">
        <v>2</v>
      </c>
      <c r="D12" s="47">
        <v>100</v>
      </c>
      <c r="E12" s="47" t="s">
        <v>152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4"/>
        <v>100</v>
      </c>
    </row>
  </sheetData>
  <autoFilter ref="A1:G1"/>
  <phoneticPr fontId="3"/>
  <conditionalFormatting sqref="K13:K1048576 K1:K2">
    <cfRule type="duplicateValues" dxfId="4" priority="5"/>
  </conditionalFormatting>
  <conditionalFormatting sqref="K3">
    <cfRule type="duplicateValues" dxfId="3" priority="4"/>
  </conditionalFormatting>
  <conditionalFormatting sqref="K4 K6:K9">
    <cfRule type="duplicateValues" dxfId="2" priority="3"/>
  </conditionalFormatting>
  <conditionalFormatting sqref="K5">
    <cfRule type="duplicateValues" dxfId="1" priority="1"/>
  </conditionalFormatting>
  <conditionalFormatting sqref="K10:K12">
    <cfRule type="duplicateValues" dxfId="0" priority="7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output</vt:lpstr>
      <vt:lpstr>floors</vt:lpstr>
      <vt:lpstr>enemy_habitats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2015-11-13T03:55:21Z</dcterms:modified>
</cp:coreProperties>
</file>