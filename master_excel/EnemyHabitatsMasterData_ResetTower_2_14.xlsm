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4400" yWindow="580" windowWidth="28640" windowHeight="2088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7" i="21" l="1"/>
  <c r="O7" i="21"/>
  <c r="I7" i="21"/>
  <c r="G7" i="21"/>
  <c r="F7" i="21"/>
  <c r="D7" i="21"/>
  <c r="C7" i="21"/>
  <c r="P4" i="21"/>
  <c r="O4" i="21"/>
  <c r="I4" i="21"/>
  <c r="G4" i="21"/>
  <c r="F4" i="21"/>
  <c r="D4" i="21"/>
  <c r="C4" i="21"/>
  <c r="P3" i="21"/>
  <c r="P5" i="21"/>
  <c r="P6" i="21"/>
  <c r="P2" i="21"/>
  <c r="O6" i="21"/>
  <c r="I6" i="21"/>
  <c r="G6" i="21"/>
  <c r="F6" i="21"/>
  <c r="D6" i="21"/>
  <c r="C6" i="21"/>
  <c r="O5" i="21"/>
  <c r="I5" i="21"/>
  <c r="G5" i="21"/>
  <c r="F5" i="21"/>
  <c r="D5" i="21"/>
  <c r="C5" i="21"/>
  <c r="O3" i="21"/>
  <c r="I3" i="21"/>
  <c r="G3" i="21"/>
  <c r="F3" i="21"/>
  <c r="D3" i="21"/>
  <c r="C3" i="21"/>
  <c r="J43" i="11"/>
  <c r="O42" i="9"/>
  <c r="N42" i="9"/>
  <c r="M42" i="9"/>
  <c r="L42" i="9"/>
  <c r="K42" i="9"/>
  <c r="J42" i="9"/>
  <c r="I42" i="9"/>
  <c r="H42" i="9"/>
  <c r="G42" i="9"/>
  <c r="E42" i="9"/>
  <c r="D42" i="9"/>
  <c r="A42" i="9"/>
  <c r="O20" i="9"/>
  <c r="N20" i="9"/>
  <c r="M20" i="9"/>
  <c r="L20" i="9"/>
  <c r="K20" i="9"/>
  <c r="J20" i="9"/>
  <c r="I20" i="9"/>
  <c r="H20" i="9"/>
  <c r="G20" i="9"/>
  <c r="E20" i="9"/>
  <c r="D20" i="9"/>
  <c r="A20" i="9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J21" i="11"/>
  <c r="M21" i="10"/>
  <c r="T21" i="10"/>
  <c r="W21" i="10"/>
  <c r="V21" i="10"/>
  <c r="X21" i="10"/>
  <c r="U21" i="10"/>
  <c r="Y21" i="10"/>
  <c r="B33" i="10"/>
  <c r="M33" i="10"/>
  <c r="N42" i="10"/>
  <c r="O42" i="10"/>
  <c r="Q42" i="10"/>
  <c r="P42" i="10"/>
  <c r="R42" i="10"/>
  <c r="S42" i="10"/>
  <c r="N37" i="10"/>
  <c r="Q37" i="10"/>
  <c r="P37" i="10"/>
  <c r="R37" i="10"/>
  <c r="O37" i="10"/>
  <c r="S37" i="10"/>
  <c r="N33" i="10"/>
  <c r="Q33" i="10"/>
  <c r="P33" i="10"/>
  <c r="R33" i="10"/>
  <c r="O33" i="10"/>
  <c r="S33" i="10"/>
  <c r="B27" i="10"/>
  <c r="M27" i="10"/>
  <c r="N27" i="10"/>
  <c r="Q27" i="10"/>
  <c r="P27" i="10"/>
  <c r="R27" i="10"/>
  <c r="O27" i="10"/>
  <c r="S27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O26" i="9"/>
  <c r="E26" i="9"/>
  <c r="D26" i="9"/>
  <c r="A26" i="9"/>
  <c r="T27" i="10"/>
  <c r="W27" i="10"/>
  <c r="V27" i="10"/>
  <c r="X27" i="10"/>
  <c r="U27" i="10"/>
  <c r="Y27" i="10"/>
  <c r="B42" i="10"/>
  <c r="M42" i="10"/>
  <c r="B37" i="10"/>
  <c r="M37" i="10"/>
  <c r="G27" i="10"/>
  <c r="J27" i="10"/>
  <c r="I27" i="10"/>
  <c r="K27" i="10"/>
  <c r="H27" i="10"/>
  <c r="L27" i="10"/>
  <c r="O41" i="9"/>
  <c r="E41" i="9"/>
  <c r="D41" i="9"/>
  <c r="A41" i="9"/>
  <c r="O40" i="9"/>
  <c r="E40" i="9"/>
  <c r="D40" i="9"/>
  <c r="A40" i="9"/>
  <c r="O39" i="9"/>
  <c r="E39" i="9"/>
  <c r="D39" i="9"/>
  <c r="A39" i="9"/>
  <c r="O38" i="9"/>
  <c r="E38" i="9"/>
  <c r="D38" i="9"/>
  <c r="A38" i="9"/>
  <c r="O37" i="9"/>
  <c r="E37" i="9"/>
  <c r="D37" i="9"/>
  <c r="A37" i="9"/>
  <c r="O36" i="9"/>
  <c r="E36" i="9"/>
  <c r="D36" i="9"/>
  <c r="A36" i="9"/>
  <c r="O35" i="9"/>
  <c r="E35" i="9"/>
  <c r="D35" i="9"/>
  <c r="A35" i="9"/>
  <c r="O34" i="9"/>
  <c r="E34" i="9"/>
  <c r="D34" i="9"/>
  <c r="A34" i="9"/>
  <c r="O33" i="9"/>
  <c r="E33" i="9"/>
  <c r="D33" i="9"/>
  <c r="A33" i="9"/>
  <c r="O32" i="9"/>
  <c r="E32" i="9"/>
  <c r="D32" i="9"/>
  <c r="A32" i="9"/>
  <c r="O31" i="9"/>
  <c r="E31" i="9"/>
  <c r="D31" i="9"/>
  <c r="A31" i="9"/>
  <c r="O30" i="9"/>
  <c r="E30" i="9"/>
  <c r="D30" i="9"/>
  <c r="A30" i="9"/>
  <c r="O29" i="9"/>
  <c r="E29" i="9"/>
  <c r="D29" i="9"/>
  <c r="A29" i="9"/>
  <c r="O28" i="9"/>
  <c r="E28" i="9"/>
  <c r="D28" i="9"/>
  <c r="A28" i="9"/>
  <c r="O27" i="9"/>
  <c r="E27" i="9"/>
  <c r="D27" i="9"/>
  <c r="A27" i="9"/>
  <c r="O25" i="9"/>
  <c r="E25" i="9"/>
  <c r="D25" i="9"/>
  <c r="A25" i="9"/>
  <c r="O24" i="9"/>
  <c r="E24" i="9"/>
  <c r="D24" i="9"/>
  <c r="A24" i="9"/>
  <c r="O23" i="9"/>
  <c r="E23" i="9"/>
  <c r="D23" i="9"/>
  <c r="A23" i="9"/>
  <c r="O22" i="9"/>
  <c r="E22" i="9"/>
  <c r="D22" i="9"/>
  <c r="A22" i="9"/>
  <c r="O21" i="9"/>
  <c r="E21" i="9"/>
  <c r="D21" i="9"/>
  <c r="A21" i="9"/>
  <c r="O19" i="9"/>
  <c r="E19" i="9"/>
  <c r="D19" i="9"/>
  <c r="A19" i="9"/>
  <c r="O18" i="9"/>
  <c r="E18" i="9"/>
  <c r="D18" i="9"/>
  <c r="A18" i="9"/>
  <c r="O17" i="9"/>
  <c r="E17" i="9"/>
  <c r="D17" i="9"/>
  <c r="A17" i="9"/>
  <c r="O16" i="9"/>
  <c r="E16" i="9"/>
  <c r="D16" i="9"/>
  <c r="A16" i="9"/>
  <c r="O15" i="9"/>
  <c r="E15" i="9"/>
  <c r="D15" i="9"/>
  <c r="A15" i="9"/>
  <c r="O14" i="9"/>
  <c r="E14" i="9"/>
  <c r="D14" i="9"/>
  <c r="A14" i="9"/>
  <c r="O13" i="9"/>
  <c r="E13" i="9"/>
  <c r="D13" i="9"/>
  <c r="A13" i="9"/>
  <c r="O12" i="9"/>
  <c r="E12" i="9"/>
  <c r="D12" i="9"/>
  <c r="A12" i="9"/>
  <c r="O11" i="9"/>
  <c r="E11" i="9"/>
  <c r="D11" i="9"/>
  <c r="A11" i="9"/>
  <c r="O10" i="9"/>
  <c r="E10" i="9"/>
  <c r="D10" i="9"/>
  <c r="A10" i="9"/>
  <c r="O9" i="9"/>
  <c r="E9" i="9"/>
  <c r="D9" i="9"/>
  <c r="A9" i="9"/>
  <c r="O8" i="9"/>
  <c r="E8" i="9"/>
  <c r="D8" i="9"/>
  <c r="A8" i="9"/>
  <c r="O7" i="9"/>
  <c r="E7" i="9"/>
  <c r="D7" i="9"/>
  <c r="A7" i="9"/>
  <c r="O6" i="9"/>
  <c r="E6" i="9"/>
  <c r="D6" i="9"/>
  <c r="A6" i="9"/>
  <c r="O5" i="9"/>
  <c r="E5" i="9"/>
  <c r="D5" i="9"/>
  <c r="A5" i="9"/>
  <c r="O4" i="9"/>
  <c r="E4" i="9"/>
  <c r="D4" i="9"/>
  <c r="A4" i="9"/>
  <c r="J3" i="11"/>
  <c r="O3" i="9"/>
  <c r="E3" i="9"/>
  <c r="D3" i="9"/>
  <c r="A3" i="9"/>
  <c r="T42" i="10"/>
  <c r="W42" i="10"/>
  <c r="V42" i="10"/>
  <c r="X42" i="10"/>
  <c r="U42" i="10"/>
  <c r="Y42" i="10"/>
  <c r="G42" i="10"/>
  <c r="J42" i="10"/>
  <c r="I42" i="10"/>
  <c r="K42" i="10"/>
  <c r="H42" i="10"/>
  <c r="L42" i="10"/>
  <c r="B41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B40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B39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B38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T37" i="10"/>
  <c r="W37" i="10"/>
  <c r="V37" i="10"/>
  <c r="X37" i="10"/>
  <c r="U37" i="10"/>
  <c r="Y37" i="10"/>
  <c r="G37" i="10"/>
  <c r="J37" i="10"/>
  <c r="I37" i="10"/>
  <c r="K37" i="10"/>
  <c r="H37" i="10"/>
  <c r="L37" i="10"/>
  <c r="B36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B35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B34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T33" i="10"/>
  <c r="W33" i="10"/>
  <c r="V33" i="10"/>
  <c r="X33" i="10"/>
  <c r="U33" i="10"/>
  <c r="Y33" i="10"/>
  <c r="G33" i="10"/>
  <c r="J33" i="10"/>
  <c r="I33" i="10"/>
  <c r="K33" i="10"/>
  <c r="H33" i="10"/>
  <c r="L33" i="10"/>
  <c r="B32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B31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B30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B29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B28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B26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B25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B24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B23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B22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B20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B19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B18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B17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B16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B15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B14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B13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B12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B11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B10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B9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B8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B7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B6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B5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B4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B3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G2" i="2"/>
  <c r="A2" i="2"/>
  <c r="G3" i="2"/>
  <c r="A3" i="2"/>
  <c r="J3" i="1"/>
  <c r="I3" i="1"/>
  <c r="D3" i="1"/>
  <c r="F3" i="1"/>
  <c r="E3" i="1"/>
  <c r="A3" i="1"/>
  <c r="H3" i="2"/>
  <c r="E3" i="2"/>
  <c r="D3" i="2"/>
  <c r="H2" i="1"/>
  <c r="B3" i="2"/>
  <c r="Y2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O2" i="21"/>
  <c r="J2" i="11"/>
  <c r="E2" i="9"/>
  <c r="B2" i="10"/>
  <c r="X2" i="1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C123" i="19"/>
  <c r="D123" i="19"/>
  <c r="F123" i="19"/>
  <c r="G123" i="19"/>
  <c r="C124" i="19"/>
  <c r="D124" i="19"/>
  <c r="F124" i="19"/>
  <c r="G124" i="19"/>
  <c r="C125" i="19"/>
  <c r="D125" i="19"/>
  <c r="F125" i="19"/>
  <c r="G125" i="19"/>
  <c r="C126" i="19"/>
  <c r="D126" i="19"/>
  <c r="F126" i="19"/>
  <c r="G126" i="19"/>
  <c r="C127" i="19"/>
  <c r="D127" i="19"/>
  <c r="F127" i="19"/>
  <c r="G127" i="19"/>
  <c r="C128" i="19"/>
  <c r="D128" i="19"/>
  <c r="F128" i="19"/>
  <c r="G128" i="19"/>
  <c r="C129" i="19"/>
  <c r="D129" i="19"/>
  <c r="F129" i="19"/>
  <c r="G129" i="19"/>
  <c r="C130" i="19"/>
  <c r="D130" i="19"/>
  <c r="F130" i="19"/>
  <c r="G130" i="19"/>
  <c r="C131" i="19"/>
  <c r="D131" i="19"/>
  <c r="F131" i="19"/>
  <c r="G131" i="19"/>
  <c r="C132" i="19"/>
  <c r="D132" i="19"/>
  <c r="F132" i="19"/>
  <c r="G132" i="19"/>
  <c r="C133" i="19"/>
  <c r="D133" i="19"/>
  <c r="F133" i="19"/>
  <c r="G133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C122" i="19"/>
  <c r="D122" i="19"/>
  <c r="F122" i="19"/>
  <c r="G122" i="19"/>
  <c r="C110" i="19"/>
  <c r="D110" i="19"/>
  <c r="F110" i="19"/>
  <c r="G110" i="19"/>
  <c r="C111" i="19"/>
  <c r="D111" i="19"/>
  <c r="F111" i="19"/>
  <c r="G111" i="19"/>
  <c r="C112" i="19"/>
  <c r="D112" i="19"/>
  <c r="F112" i="19"/>
  <c r="G112" i="19"/>
  <c r="C113" i="19"/>
  <c r="D113" i="19"/>
  <c r="F113" i="19"/>
  <c r="G113" i="19"/>
  <c r="C114" i="19"/>
  <c r="D114" i="19"/>
  <c r="F114" i="19"/>
  <c r="G114" i="19"/>
  <c r="C115" i="19"/>
  <c r="D115" i="19"/>
  <c r="F115" i="19"/>
  <c r="G115" i="19"/>
  <c r="C116" i="19"/>
  <c r="D116" i="19"/>
  <c r="F116" i="19"/>
  <c r="G116" i="19"/>
  <c r="C117" i="19"/>
  <c r="D117" i="19"/>
  <c r="F117" i="19"/>
  <c r="G117" i="19"/>
  <c r="C118" i="19"/>
  <c r="D118" i="19"/>
  <c r="F118" i="19"/>
  <c r="G118" i="19"/>
  <c r="C119" i="19"/>
  <c r="D119" i="19"/>
  <c r="F119" i="19"/>
  <c r="G119" i="19"/>
  <c r="C120" i="19"/>
  <c r="D120" i="19"/>
  <c r="F120" i="19"/>
  <c r="G120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C109" i="19"/>
  <c r="D109" i="19"/>
  <c r="F109" i="19"/>
  <c r="G109" i="19"/>
  <c r="C95" i="19"/>
  <c r="D95" i="19"/>
  <c r="F95" i="19"/>
  <c r="G95" i="19"/>
  <c r="C96" i="19"/>
  <c r="D96" i="19"/>
  <c r="F96" i="19"/>
  <c r="G96" i="19"/>
  <c r="C97" i="19"/>
  <c r="D97" i="19"/>
  <c r="F97" i="19"/>
  <c r="G97" i="19"/>
  <c r="C98" i="19"/>
  <c r="D98" i="19"/>
  <c r="F98" i="19"/>
  <c r="G98" i="19"/>
  <c r="C99" i="19"/>
  <c r="D99" i="19"/>
  <c r="F99" i="19"/>
  <c r="G99" i="19"/>
  <c r="C100" i="19"/>
  <c r="D100" i="19"/>
  <c r="F100" i="19"/>
  <c r="G100" i="19"/>
  <c r="C101" i="19"/>
  <c r="D101" i="19"/>
  <c r="F101" i="19"/>
  <c r="G101" i="19"/>
  <c r="C102" i="19"/>
  <c r="D102" i="19"/>
  <c r="F102" i="19"/>
  <c r="G102" i="19"/>
  <c r="C103" i="19"/>
  <c r="D103" i="19"/>
  <c r="F103" i="19"/>
  <c r="G103" i="19"/>
  <c r="C104" i="19"/>
  <c r="D104" i="19"/>
  <c r="F104" i="19"/>
  <c r="G104" i="19"/>
  <c r="C105" i="19"/>
  <c r="D105" i="19"/>
  <c r="F105" i="19"/>
  <c r="G105" i="19"/>
  <c r="C106" i="19"/>
  <c r="D106" i="19"/>
  <c r="F106" i="19"/>
  <c r="G106" i="19"/>
  <c r="C107" i="19"/>
  <c r="D107" i="19"/>
  <c r="F107" i="19"/>
  <c r="G107" i="19"/>
  <c r="C108" i="19"/>
  <c r="D108" i="19"/>
  <c r="F108" i="19"/>
  <c r="G108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C61" i="19"/>
  <c r="D61" i="19"/>
  <c r="F61" i="19"/>
  <c r="G61" i="19"/>
  <c r="C62" i="19"/>
  <c r="D62" i="19"/>
  <c r="F62" i="19"/>
  <c r="G62" i="19"/>
  <c r="C63" i="19"/>
  <c r="D63" i="19"/>
  <c r="F63" i="19"/>
  <c r="G63" i="19"/>
  <c r="C64" i="19"/>
  <c r="D64" i="19"/>
  <c r="F64" i="19"/>
  <c r="G64" i="19"/>
  <c r="C65" i="19"/>
  <c r="D65" i="19"/>
  <c r="F65" i="19"/>
  <c r="G65" i="19"/>
  <c r="C66" i="19"/>
  <c r="D66" i="19"/>
  <c r="F66" i="19"/>
  <c r="G66" i="19"/>
  <c r="C67" i="19"/>
  <c r="D67" i="19"/>
  <c r="F67" i="19"/>
  <c r="G67" i="19"/>
  <c r="C68" i="19"/>
  <c r="D68" i="19"/>
  <c r="F68" i="19"/>
  <c r="G68" i="19"/>
  <c r="C69" i="19"/>
  <c r="D69" i="19"/>
  <c r="F69" i="19"/>
  <c r="G69" i="19"/>
  <c r="C70" i="19"/>
  <c r="D70" i="19"/>
  <c r="F70" i="19"/>
  <c r="G70" i="19"/>
  <c r="C71" i="19"/>
  <c r="D71" i="19"/>
  <c r="F71" i="19"/>
  <c r="G71" i="19"/>
  <c r="C72" i="19"/>
  <c r="D72" i="19"/>
  <c r="F72" i="19"/>
  <c r="G72" i="19"/>
  <c r="C73" i="19"/>
  <c r="D73" i="19"/>
  <c r="F73" i="19"/>
  <c r="G73" i="19"/>
  <c r="C74" i="19"/>
  <c r="D74" i="19"/>
  <c r="F74" i="19"/>
  <c r="G74" i="19"/>
  <c r="C75" i="19"/>
  <c r="D75" i="19"/>
  <c r="F75" i="19"/>
  <c r="G75" i="19"/>
  <c r="C76" i="19"/>
  <c r="D76" i="19"/>
  <c r="F76" i="19"/>
  <c r="G76" i="19"/>
  <c r="C77" i="19"/>
  <c r="D77" i="19"/>
  <c r="F77" i="19"/>
  <c r="G77" i="19"/>
  <c r="C78" i="19"/>
  <c r="D78" i="19"/>
  <c r="F78" i="19"/>
  <c r="G78" i="19"/>
  <c r="C79" i="19"/>
  <c r="D79" i="19"/>
  <c r="F79" i="19"/>
  <c r="G79" i="19"/>
  <c r="C80" i="19"/>
  <c r="D80" i="19"/>
  <c r="F80" i="19"/>
  <c r="G80" i="19"/>
  <c r="C81" i="19"/>
  <c r="D81" i="19"/>
  <c r="F81" i="19"/>
  <c r="G81" i="19"/>
  <c r="C82" i="19"/>
  <c r="D82" i="19"/>
  <c r="F82" i="19"/>
  <c r="G82" i="19"/>
  <c r="C83" i="19"/>
  <c r="D83" i="19"/>
  <c r="F83" i="19"/>
  <c r="G83" i="19"/>
  <c r="C84" i="19"/>
  <c r="D84" i="19"/>
  <c r="F84" i="19"/>
  <c r="G84" i="19"/>
  <c r="C85" i="19"/>
  <c r="D85" i="19"/>
  <c r="F85" i="19"/>
  <c r="G85" i="19"/>
  <c r="C86" i="19"/>
  <c r="D86" i="19"/>
  <c r="F86" i="19"/>
  <c r="G86" i="19"/>
  <c r="C87" i="19"/>
  <c r="D87" i="19"/>
  <c r="F87" i="19"/>
  <c r="G87" i="19"/>
  <c r="C88" i="19"/>
  <c r="D88" i="19"/>
  <c r="F88" i="19"/>
  <c r="G88" i="19"/>
  <c r="C89" i="19"/>
  <c r="D89" i="19"/>
  <c r="F89" i="19"/>
  <c r="G89" i="19"/>
  <c r="C90" i="19"/>
  <c r="D90" i="19"/>
  <c r="F90" i="19"/>
  <c r="G90" i="19"/>
  <c r="C91" i="19"/>
  <c r="D91" i="19"/>
  <c r="F91" i="19"/>
  <c r="G91" i="19"/>
  <c r="C92" i="19"/>
  <c r="D92" i="19"/>
  <c r="F92" i="19"/>
  <c r="G92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C60" i="19"/>
  <c r="D60" i="19"/>
  <c r="F60" i="19"/>
  <c r="G60" i="19"/>
  <c r="C29" i="19"/>
  <c r="D29" i="19"/>
  <c r="F29" i="19"/>
  <c r="G29" i="19"/>
  <c r="C30" i="19"/>
  <c r="D30" i="19"/>
  <c r="F30" i="19"/>
  <c r="G30" i="19"/>
  <c r="C31" i="19"/>
  <c r="D31" i="19"/>
  <c r="F31" i="19"/>
  <c r="G31" i="19"/>
  <c r="C32" i="19"/>
  <c r="D32" i="19"/>
  <c r="F32" i="19"/>
  <c r="G32" i="19"/>
  <c r="C33" i="19"/>
  <c r="D33" i="19"/>
  <c r="F33" i="19"/>
  <c r="G33" i="19"/>
  <c r="C34" i="19"/>
  <c r="D34" i="19"/>
  <c r="F34" i="19"/>
  <c r="G34" i="19"/>
  <c r="C35" i="19"/>
  <c r="D35" i="19"/>
  <c r="F35" i="19"/>
  <c r="G35" i="19"/>
  <c r="C36" i="19"/>
  <c r="D36" i="19"/>
  <c r="F36" i="19"/>
  <c r="G36" i="19"/>
  <c r="C37" i="19"/>
  <c r="D37" i="19"/>
  <c r="F37" i="19"/>
  <c r="G37" i="19"/>
  <c r="C38" i="19"/>
  <c r="D38" i="19"/>
  <c r="F38" i="19"/>
  <c r="G38" i="19"/>
  <c r="C39" i="19"/>
  <c r="D39" i="19"/>
  <c r="F39" i="19"/>
  <c r="G39" i="19"/>
  <c r="C40" i="19"/>
  <c r="D40" i="19"/>
  <c r="F40" i="19"/>
  <c r="G40" i="19"/>
  <c r="C41" i="19"/>
  <c r="D41" i="19"/>
  <c r="F41" i="19"/>
  <c r="G41" i="19"/>
  <c r="C42" i="19"/>
  <c r="D42" i="19"/>
  <c r="F42" i="19"/>
  <c r="G42" i="19"/>
  <c r="C43" i="19"/>
  <c r="D43" i="19"/>
  <c r="F43" i="19"/>
  <c r="G43" i="19"/>
  <c r="C44" i="19"/>
  <c r="D44" i="19"/>
  <c r="F44" i="19"/>
  <c r="G44" i="19"/>
  <c r="C45" i="19"/>
  <c r="D45" i="19"/>
  <c r="F45" i="19"/>
  <c r="G45" i="19"/>
  <c r="C46" i="19"/>
  <c r="D46" i="19"/>
  <c r="F46" i="19"/>
  <c r="G46" i="19"/>
  <c r="C47" i="19"/>
  <c r="D47" i="19"/>
  <c r="F47" i="19"/>
  <c r="G47" i="19"/>
  <c r="C48" i="19"/>
  <c r="D48" i="19"/>
  <c r="F48" i="19"/>
  <c r="G48" i="19"/>
  <c r="C49" i="19"/>
  <c r="D49" i="19"/>
  <c r="F49" i="19"/>
  <c r="G49" i="19"/>
  <c r="C50" i="19"/>
  <c r="D50" i="19"/>
  <c r="F50" i="19"/>
  <c r="G50" i="19"/>
  <c r="C51" i="19"/>
  <c r="D51" i="19"/>
  <c r="F51" i="19"/>
  <c r="G51" i="19"/>
  <c r="C52" i="19"/>
  <c r="D52" i="19"/>
  <c r="F52" i="19"/>
  <c r="G52" i="19"/>
  <c r="C53" i="19"/>
  <c r="D53" i="19"/>
  <c r="F53" i="19"/>
  <c r="G53" i="19"/>
  <c r="C54" i="19"/>
  <c r="D54" i="19"/>
  <c r="F54" i="19"/>
  <c r="G54" i="19"/>
  <c r="C55" i="19"/>
  <c r="D55" i="19"/>
  <c r="F55" i="19"/>
  <c r="G55" i="19"/>
  <c r="C56" i="19"/>
  <c r="D56" i="19"/>
  <c r="F56" i="19"/>
  <c r="G56" i="19"/>
  <c r="C57" i="19"/>
  <c r="D57" i="19"/>
  <c r="F57" i="19"/>
  <c r="G57" i="19"/>
  <c r="C58" i="19"/>
  <c r="D58" i="19"/>
  <c r="F58" i="19"/>
  <c r="G58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C28" i="19"/>
  <c r="D28" i="19"/>
  <c r="F28" i="19"/>
  <c r="G28" i="19"/>
  <c r="C3" i="19"/>
  <c r="D3" i="19"/>
  <c r="F3" i="19"/>
  <c r="G3" i="19"/>
  <c r="C4" i="19"/>
  <c r="D4" i="19"/>
  <c r="F4" i="19"/>
  <c r="G4" i="19"/>
  <c r="C5" i="19"/>
  <c r="D5" i="19"/>
  <c r="F5" i="19"/>
  <c r="G5" i="19"/>
  <c r="C6" i="19"/>
  <c r="D6" i="19"/>
  <c r="F6" i="19"/>
  <c r="G6" i="19"/>
  <c r="C7" i="19"/>
  <c r="D7" i="19"/>
  <c r="F7" i="19"/>
  <c r="G7" i="19"/>
  <c r="C8" i="19"/>
  <c r="D8" i="19"/>
  <c r="F8" i="19"/>
  <c r="G8" i="19"/>
  <c r="C9" i="19"/>
  <c r="D9" i="19"/>
  <c r="F9" i="19"/>
  <c r="G9" i="19"/>
  <c r="C10" i="19"/>
  <c r="D10" i="19"/>
  <c r="F10" i="19"/>
  <c r="G10" i="19"/>
  <c r="C11" i="19"/>
  <c r="D11" i="19"/>
  <c r="F11" i="19"/>
  <c r="G11" i="19"/>
  <c r="C12" i="19"/>
  <c r="D12" i="19"/>
  <c r="F12" i="19"/>
  <c r="G12" i="19"/>
  <c r="C13" i="19"/>
  <c r="D13" i="19"/>
  <c r="F13" i="19"/>
  <c r="G13" i="19"/>
  <c r="C14" i="19"/>
  <c r="D14" i="19"/>
  <c r="F14" i="19"/>
  <c r="G14" i="19"/>
  <c r="C15" i="19"/>
  <c r="D15" i="19"/>
  <c r="F15" i="19"/>
  <c r="G15" i="19"/>
  <c r="C16" i="19"/>
  <c r="D16" i="19"/>
  <c r="F16" i="19"/>
  <c r="G16" i="19"/>
  <c r="C17" i="19"/>
  <c r="D17" i="19"/>
  <c r="F17" i="19"/>
  <c r="G17" i="19"/>
  <c r="C18" i="19"/>
  <c r="D18" i="19"/>
  <c r="F18" i="19"/>
  <c r="G18" i="19"/>
  <c r="C19" i="19"/>
  <c r="D19" i="19"/>
  <c r="F19" i="19"/>
  <c r="G19" i="19"/>
  <c r="C20" i="19"/>
  <c r="D20" i="19"/>
  <c r="F20" i="19"/>
  <c r="G20" i="19"/>
  <c r="C21" i="19"/>
  <c r="D21" i="19"/>
  <c r="F21" i="19"/>
  <c r="G21" i="19"/>
  <c r="C22" i="19"/>
  <c r="D22" i="19"/>
  <c r="F22" i="19"/>
  <c r="G22" i="19"/>
  <c r="C23" i="19"/>
  <c r="D23" i="19"/>
  <c r="F23" i="19"/>
  <c r="G23" i="19"/>
  <c r="C24" i="19"/>
  <c r="D24" i="19"/>
  <c r="F24" i="19"/>
  <c r="G24" i="19"/>
  <c r="C25" i="19"/>
  <c r="D25" i="19"/>
  <c r="F25" i="19"/>
  <c r="G25" i="19"/>
  <c r="C26" i="19"/>
  <c r="D26" i="19"/>
  <c r="F26" i="19"/>
  <c r="G26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I2" i="21"/>
  <c r="G2" i="21"/>
  <c r="F2" i="21"/>
  <c r="D2" i="21"/>
  <c r="C2" i="21"/>
  <c r="E12" i="16"/>
  <c r="E11" i="16"/>
  <c r="G2" i="19"/>
  <c r="F2" i="19"/>
  <c r="D2" i="19"/>
  <c r="C2" i="19"/>
  <c r="E10" i="16"/>
  <c r="C2" i="18"/>
  <c r="D2" i="18"/>
  <c r="O2" i="9"/>
  <c r="N2" i="9"/>
  <c r="M2" i="9"/>
  <c r="L2" i="9"/>
  <c r="K2" i="9"/>
  <c r="J2" i="9"/>
  <c r="I2" i="9"/>
  <c r="H2" i="9"/>
  <c r="G2" i="9"/>
  <c r="D2" i="9"/>
  <c r="E9" i="16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E8" i="16"/>
  <c r="E7" i="16"/>
  <c r="E6" i="16"/>
  <c r="E5" i="16"/>
  <c r="E4" i="16"/>
  <c r="E3" i="16"/>
  <c r="E2" i="16"/>
  <c r="A2" i="1"/>
  <c r="A2" i="9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<sst xmlns="http://schemas.openxmlformats.org/spreadsheetml/2006/main" count="1288" uniqueCount="413">
  <si>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</si>
  <si>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</si>
  <si>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</si>
  <si>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</si>
  <si>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</si>
  <si>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</si>
  <si>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</si>
  <si>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</si>
  <si>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</si>
  <si>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</si>
  <si>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</si>
  <si>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</si>
  <si>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</si>
  <si>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</si>
  <si>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</si>
  <si>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</si>
  <si>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</si>
  <si>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</si>
  <si>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</si>
  <si>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</si>
  <si>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</si>
  <si>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</si>
  <si>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</si>
  <si>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</si>
  <si>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</si>
  <si>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</si>
  <si>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</si>
  <si>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</si>
  <si>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</si>
  <si>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</si>
  <si>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</si>
  <si>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</si>
  <si>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</si>
  <si>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</si>
  <si>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</si>
  <si>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</si>
  <si>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</si>
  <si>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</si>
  <si>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</si>
  <si>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</si>
  <si>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</si>
  <si>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</si>
  <si>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</si>
  <si>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</si>
  <si>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</si>
  <si>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</si>
  <si>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</si>
  <si>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</si>
  <si>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</si>
  <si>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</si>
  <si>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</si>
  <si>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</si>
  <si>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</si>
  <si>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</si>
  <si>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</si>
  <si>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</si>
  <si>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</si>
  <si>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</si>
  <si>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</si>
  <si>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</si>
  <si>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</si>
  <si>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</si>
  <si>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</si>
  <si>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</si>
  <si>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</si>
  <si>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</si>
  <si>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</si>
  <si>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</si>
  <si>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</si>
  <si>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</si>
  <si>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</si>
  <si>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</si>
  <si>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</si>
  <si>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</si>
  <si>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</si>
  <si>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</si>
  <si>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</si>
  <si>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</si>
  <si>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</si>
  <si>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</si>
  <si>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</si>
  <si>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</si>
  <si>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</si>
  <si>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</si>
  <si>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</si>
  <si>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</si>
  <si>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</si>
  <si>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</si>
  <si>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</si>
  <si>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</si>
  <si>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</si>
  <si>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</si>
  <si>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</si>
  <si>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</si>
  <si>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</si>
  <si>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</si>
  <si>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</si>
  <si>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</si>
  <si>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</si>
  <si>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</si>
  <si>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</si>
  <si>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</si>
  <si>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</si>
  <si>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</si>
  <si>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</si>
  <si>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</si>
  <si>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</si>
  <si>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</si>
  <si>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</si>
  <si>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</si>
  <si>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</si>
  <si>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</si>
  <si>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</si>
  <si>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</si>
  <si>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</si>
  <si>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</si>
  <si>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</si>
  <si>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</si>
  <si>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</si>
  <si>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</si>
  <si>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</si>
  <si>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</si>
  <si>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</si>
  <si>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</si>
  <si>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</si>
  <si>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</si>
  <si>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</si>
  <si>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</si>
  <si>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</si>
  <si>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</si>
  <si>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</si>
  <si>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</si>
  <si>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</si>
  <si>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</si>
  <si>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</si>
  <si>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</si>
  <si>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</si>
  <si>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</si>
  <si>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</si>
  <si>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</si>
  <si>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</si>
  <si>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</si>
  <si>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</si>
  <si>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</si>
  <si>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</si>
  <si>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</si>
  <si>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</si>
  <si>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</si>
  <si>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</si>
  <si>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</si>
  <si>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</si>
  <si>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</si>
  <si>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</si>
  <si>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</si>
  <si>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</si>
  <si>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</si>
  <si>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</si>
  <si>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</si>
  <si>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</si>
  <si>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</si>
  <si>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</si>
  <si>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</si>
  <si>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</si>
  <si>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</si>
  <si>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</si>
  <si>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</si>
  <si>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</si>
  <si>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</si>
  <si>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</si>
  <si>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</si>
  <si>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</si>
  <si>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</si>
  <si>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</si>
  <si>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</si>
  <si>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</si>
  <si>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</si>
  <si>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</si>
  <si>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</si>
  <si>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</si>
  <si>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</si>
  <si>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</si>
  <si>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</si>
  <si>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</si>
  <si>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</si>
  <si>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</si>
  <si>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</si>
  <si>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</si>
  <si>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</si>
  <si>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</si>
  <si>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</si>
  <si>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</si>
  <si>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</si>
  <si>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</si>
  <si>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</si>
  <si>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</si>
  <si>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</si>
  <si>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</si>
  <si>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</si>
  <si>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</si>
  <si>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</si>
  <si>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</si>
  <si>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</si>
  <si>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</si>
  <si>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</si>
  <si>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</si>
  <si>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</si>
  <si>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</si>
  <si>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</si>
  <si>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</si>
  <si>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</si>
  <si>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</si>
  <si>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</si>
  <si>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</si>
  <si>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</si>
  <si>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</si>
  <si>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</si>
  <si>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</si>
  <si>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</si>
  <si>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</si>
  <si>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</si>
  <si>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</si>
  <si>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</si>
  <si>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</si>
  <si>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</si>
  <si>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</si>
  <si>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</si>
  <si>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</si>
  <si>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</si>
  <si>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</si>
  <si>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</si>
  <si>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</si>
  <si>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</si>
  <si>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</si>
  <si>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</si>
  <si>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</si>
  <si>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</si>
  <si>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</si>
  <si>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</si>
  <si>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</si>
  <si>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</si>
  <si>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</si>
  <si>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</si>
  <si>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</si>
  <si>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</si>
  <si>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</si>
  <si>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</si>
  <si>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</si>
  <si>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</si>
  <si>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</si>
  <si>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</si>
  <si>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</si>
  <si>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</si>
  <si>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</si>
  <si>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</si>
  <si>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</si>
  <si>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</si>
  <si>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ja</t>
    <phoneticPr fontId="5"/>
  </si>
  <si>
    <t>参照用コード（ここにeffect_paramを入力してください）</t>
    <rPh sb="0" eb="3">
      <t>サンショウヨウ</t>
    </rPh>
    <rPh sb="23" eb="25">
      <t>ニュウry</t>
    </rPh>
    <phoneticPr fontId="5"/>
  </si>
  <si>
    <t>文字数確認欄</t>
    <rPh sb="0" eb="6">
      <t>モジス</t>
    </rPh>
    <phoneticPr fontId="5"/>
  </si>
  <si>
    <t>13400_14</t>
    <phoneticPr fontId="5"/>
  </si>
  <si>
    <t>※B列のeffect_paramについて
スキルネームとスキルコメントの文字数から自動的にenemy_messageを作成し、AC列の参照用コードに入力されたeffect_paramと連結されます。</t>
    <rPh sb="2" eb="3">
      <t>レt</t>
    </rPh>
    <rPh sb="36" eb="39">
      <t>モジス</t>
    </rPh>
    <rPh sb="59" eb="61">
      <t>サクセ</t>
    </rPh>
    <rPh sb="65" eb="66">
      <t>レt</t>
    </rPh>
    <rPh sb="67" eb="70">
      <t>サンショウヨウコーd</t>
    </rPh>
    <phoneticPr fontId="5"/>
  </si>
  <si>
    <t>※スキルネームorスキルコメントを表示しない場合
表示しない対象の列にそれぞれ
[表示しない]
と入力してください。</t>
    <rPh sb="17" eb="19">
      <t>ヒョ</t>
    </rPh>
    <rPh sb="25" eb="27">
      <t>ヒョ</t>
    </rPh>
    <rPh sb="30" eb="32">
      <t>タイショ</t>
    </rPh>
    <rPh sb="33" eb="34">
      <t>レt</t>
    </rPh>
    <rPh sb="41" eb="43">
      <t>ヒョ</t>
    </rPh>
    <rPh sb="49" eb="51">
      <t>ニュウry</t>
    </rPh>
    <phoneticPr fontId="5"/>
  </si>
  <si>
    <t>old</t>
  </si>
  <si>
    <t>[effect:crash_growth, val:-46, count:-1, animation:change_block]</t>
    <phoneticPr fontId="5"/>
  </si>
  <si>
    <t>[effect:change_panel_ratio, turn:-1, block_type:blue, val:0, animation:block_incidence04]</t>
    <phoneticPr fontId="5"/>
  </si>
  <si>
    <t>[effect:spread, val:0.25],[effect:panel_freeze, target:normal, color:block_yellow, count:-1]</t>
    <phoneticPr fontId="5"/>
  </si>
  <si>
    <t>[effect:spread, val:0.25],[effect:degrade_unit, target:unit_all, turn:1, status:heal, val:0.5, calc:mul, animation:degrade_unit_all_heal]</t>
    <phoneticPr fontId="5"/>
  </si>
  <si>
    <t>[effect:spread, val:0.30],[effect:degrade_unit, target:unit_all, turn:1, status:heal, val:0.6, calc:mul, animation:degrade_unit_all_heal]</t>
    <phoneticPr fontId="5"/>
  </si>
  <si>
    <t>[effect:spread, val:0.35],[effect:degrade_unit, target:unit_all, turn:1, status:heal, val:0.7, calc:mul, animation:degrade_unit_all_heal]</t>
    <phoneticPr fontId="5"/>
  </si>
  <si>
    <t>[effect:spread, val:0.40],[effect:degrade_unit, target:unit_all, turn:1, status:heal, val:0.8, calc:mul, animation:degrade_unit_all_heal]</t>
    <phoneticPr fontId="5"/>
  </si>
  <si>
    <t>[effect:spread, val:0.45],[effect:degrade_unit, target:unit_all, turn:1, status:heal, val:0.9, calc:mul, animation:degrade_unit_all_heal]</t>
    <phoneticPr fontId="5"/>
  </si>
  <si>
    <t>[effect:spread, val:0.50],[effect:degrade_unit, target:unit_all, turn:1, status:heal, val:1.0, calc:mul, animation:degrade_unit_all_heal]</t>
    <phoneticPr fontId="5"/>
  </si>
  <si>
    <t>[effect:enemy_message, val1:1.2, val2:1.2]</t>
    <phoneticPr fontId="5"/>
  </si>
  <si>
    <t>[effect:damage_fix_absolute, target:unit_one, val:50000]</t>
    <phoneticPr fontId="5"/>
  </si>
  <si>
    <t>[effect:force_change_block, new_block:damage, target:normal, color:block_blue, count:15, val:0.5]</t>
    <phoneticPr fontId="5"/>
  </si>
  <si>
    <t>[effect:damage_gravity, val:0.99, animation:fevergauge_down],[effect:degrade_unit, target:unit_all, turn:-1, status:heal, val:1, calc:mul, animation:degrade_unit_all_heal]</t>
    <phoneticPr fontId="5"/>
  </si>
  <si>
    <t>[effect:damage_gravity, val:5.0, animation:fevergauge_down]</t>
    <phoneticPr fontId="5"/>
  </si>
  <si>
    <t>[effect:dis_panel, target:block_yellow, turn:-1, animation:enemy_dis_yellow],[effect:force_change_block, new_block:damage, target:block_yellow, color:block_yellow, count:5, val:0.5]</t>
    <phoneticPr fontId="5"/>
  </si>
  <si>
    <t>[effect:dis_panel, target:block_green, turn:-1, animation:enemy_dis_green],[effect:force_change_block, new_block:damage, target:block_green, color:block_green, count:5, val:0.5]</t>
    <phoneticPr fontId="5"/>
  </si>
  <si>
    <t>[effect:dis_panel, target:block_blue, turn:-1, animation:enemy_dis_blue],[effect:force_change_block, new_block:damage, target:block_blue, color:block_blue, count:5, val:0.5]</t>
    <phoneticPr fontId="5"/>
  </si>
  <si>
    <t>[effect:dis_panel, target:block_red, turn:-1, animation:enemy_dis_red],[effect:force_change_block, new_block:damage, target:block_red, color:block_red, count:5, val:0.5]</t>
    <phoneticPr fontId="5"/>
  </si>
  <si>
    <t>[effect:spread, val:0.25],[effect:panel_freeze, target:normal, color:block_blue, count:-1]</t>
    <phoneticPr fontId="5"/>
  </si>
  <si>
    <t>状態異常耐性+
赤&amp;緑パネルはプロテクトされてドロップ</t>
    <rPh sb="0" eb="6">
      <t>ジョウタイイジョウタイセイ</t>
    </rPh>
    <rPh sb="8" eb="9">
      <t>アカ</t>
    </rPh>
    <rPh sb="10" eb="11">
      <t>ミドリ</t>
    </rPh>
    <phoneticPr fontId="5"/>
  </si>
  <si>
    <t>全体攻撃+黄パネルプロテクト</t>
    <rPh sb="0" eb="4">
      <t>ゼンタイコウゲキ</t>
    </rPh>
    <rPh sb="5" eb="6">
      <t>キイロ</t>
    </rPh>
    <phoneticPr fontId="5"/>
  </si>
  <si>
    <t>全体攻撃+青パネルプロテクト</t>
    <rPh sb="0" eb="4">
      <t>ゼンタイコウゲキ</t>
    </rPh>
    <rPh sb="5" eb="6">
      <t>アオパネル</t>
    </rPh>
    <phoneticPr fontId="5"/>
  </si>
  <si>
    <t>Cパネル縮小(効果激烈)</t>
    <rPh sb="4" eb="6">
      <t>シュクショウ</t>
    </rPh>
    <rPh sb="7" eb="9">
      <t>コウカ</t>
    </rPh>
    <rPh sb="9" eb="11">
      <t>ゲキレツ</t>
    </rPh>
    <phoneticPr fontId="5"/>
  </si>
  <si>
    <t>属性パネルをお邪魔パネルに最大5個変換+
単体攻撃</t>
    <rPh sb="0" eb="2">
      <t>ゾクセイ</t>
    </rPh>
    <rPh sb="13" eb="15">
      <t>サイダイ</t>
    </rPh>
    <rPh sb="16" eb="17">
      <t>コ</t>
    </rPh>
    <rPh sb="17" eb="19">
      <t>ヘンカン</t>
    </rPh>
    <rPh sb="21" eb="25">
      <t>タンタイコウゲキ</t>
    </rPh>
    <phoneticPr fontId="5"/>
  </si>
  <si>
    <t>青パネルが出現しない</t>
    <rPh sb="0" eb="1">
      <t>アオパネル</t>
    </rPh>
    <phoneticPr fontId="5"/>
  </si>
  <si>
    <t>赤パネルを吸収して全体攻撃</t>
    <rPh sb="0" eb="1">
      <t>アカパネル</t>
    </rPh>
    <rPh sb="5" eb="7">
      <t>キュウシュウセイテ</t>
    </rPh>
    <rPh sb="9" eb="11">
      <t>ゼンタイ</t>
    </rPh>
    <rPh sb="11" eb="13">
      <t>コウゲキ</t>
    </rPh>
    <phoneticPr fontId="5"/>
  </si>
  <si>
    <t>緑パネルを吸収して全体攻撃</t>
    <rPh sb="0" eb="1">
      <t>ミドリパネル</t>
    </rPh>
    <rPh sb="5" eb="7">
      <t>キュウシュウ</t>
    </rPh>
    <rPh sb="9" eb="13">
      <t>ゼンタイコウゲキ</t>
    </rPh>
    <phoneticPr fontId="5"/>
  </si>
  <si>
    <t>次のターンに超強力な固定ダメージ！</t>
    <rPh sb="0" eb="1">
      <t>ツギノ</t>
    </rPh>
    <rPh sb="6" eb="9">
      <t>チョウキョウリョクナ</t>
    </rPh>
    <rPh sb="10" eb="12">
      <t>コテイ</t>
    </rPh>
    <phoneticPr fontId="5"/>
  </si>
  <si>
    <t>50000固定ダメージ</t>
    <rPh sb="5" eb="7">
      <t>コテイ</t>
    </rPh>
    <phoneticPr fontId="5"/>
  </si>
  <si>
    <t>クリティカル！</t>
    <phoneticPr fontId="5"/>
  </si>
  <si>
    <t>属性パネルを青のダメージパネルに最大15個変換</t>
    <rPh sb="0" eb="2">
      <t>ゾクセイパネル</t>
    </rPh>
    <rPh sb="6" eb="7">
      <t>アオノ</t>
    </rPh>
    <rPh sb="16" eb="18">
      <t>サイダイ</t>
    </rPh>
    <rPh sb="20" eb="21">
      <t>コ</t>
    </rPh>
    <rPh sb="21" eb="23">
      <t>ヘンカン</t>
    </rPh>
    <phoneticPr fontId="5"/>
  </si>
  <si>
    <t>ダメージパネルを吸収して強力な全体攻撃</t>
    <rPh sb="8" eb="10">
      <t>キュウシュウシテ</t>
    </rPh>
    <rPh sb="12" eb="14">
      <t>キョウリョクナコウゲキ</t>
    </rPh>
    <rPh sb="15" eb="17">
      <t>ゼンタイ</t>
    </rPh>
    <phoneticPr fontId="5"/>
  </si>
  <si>
    <t>8回連続攻撃+
属性パネルを緑のダメージパネルに最大8個変換</t>
    <rPh sb="1" eb="2">
      <t>kai</t>
    </rPh>
    <rPh sb="2" eb="6">
      <t>レンゾクコウゲキ</t>
    </rPh>
    <rPh sb="8" eb="10">
      <t>ゾクセイ</t>
    </rPh>
    <rPh sb="14" eb="15">
      <t>ミドリノ</t>
    </rPh>
    <rPh sb="24" eb="26">
      <t>サイダイ</t>
    </rPh>
    <rPh sb="27" eb="28">
      <t>コ</t>
    </rPh>
    <rPh sb="28" eb="30">
      <t>ヘンカン</t>
    </rPh>
    <phoneticPr fontId="5"/>
  </si>
  <si>
    <t>状態異常耐性+
全てのプラス効果を解除</t>
    <rPh sb="0" eb="6">
      <t>ジョウタイイジョウタイセイ</t>
    </rPh>
    <rPh sb="8" eb="9">
      <t>スベテノ</t>
    </rPh>
    <rPh sb="17" eb="19">
      <t>カイジョ</t>
    </rPh>
    <phoneticPr fontId="5"/>
  </si>
  <si>
    <t>残りHPの99%ダメージ+
解除されるまで全ユニットの回復力100%DOWN</t>
    <rPh sb="0" eb="1">
      <t>ノコリ</t>
    </rPh>
    <rPh sb="14" eb="16">
      <t>カイジョサレルマデ</t>
    </rPh>
    <rPh sb="21" eb="22">
      <t>ゼンユニット</t>
    </rPh>
    <rPh sb="27" eb="30">
      <t>カイフクリョク</t>
    </rPh>
    <phoneticPr fontId="5"/>
  </si>
  <si>
    <t>ターン経過で強くなる全体攻撃+
1ターン全ユニットの回復力50%DOWN</t>
    <rPh sb="6" eb="7">
      <t>ツヨクナル</t>
    </rPh>
    <rPh sb="10" eb="14">
      <t>ゼンタイコウゲキ</t>
    </rPh>
    <rPh sb="20" eb="21">
      <t>ゼンユニット</t>
    </rPh>
    <rPh sb="26" eb="29">
      <t>カイフクリョク</t>
    </rPh>
    <phoneticPr fontId="5"/>
  </si>
  <si>
    <t>ターン経過で強くなる全体攻撃+
1ターン全ユニットの回復力60%DOWN</t>
    <rPh sb="6" eb="7">
      <t>ツヨクナル</t>
    </rPh>
    <rPh sb="10" eb="14">
      <t>ゼンタイコウゲキ</t>
    </rPh>
    <rPh sb="20" eb="21">
      <t>ゼンユニット</t>
    </rPh>
    <rPh sb="26" eb="29">
      <t>カイフクリョク</t>
    </rPh>
    <phoneticPr fontId="5"/>
  </si>
  <si>
    <t>ターン経過で強くなる全体攻撃+
1ターン全ユニットの回復力70%DOWN</t>
    <rPh sb="6" eb="7">
      <t>ツヨクナル</t>
    </rPh>
    <rPh sb="10" eb="14">
      <t>ゼンタイコウゲキ</t>
    </rPh>
    <rPh sb="20" eb="21">
      <t>ゼンユニット</t>
    </rPh>
    <rPh sb="26" eb="29">
      <t>カイフクリョク</t>
    </rPh>
    <phoneticPr fontId="5"/>
  </si>
  <si>
    <t>ターン経過で強くなる全体攻撃+
1ターン全ユニットの回復力80%DOWN</t>
    <rPh sb="6" eb="7">
      <t>ツヨクナル</t>
    </rPh>
    <rPh sb="10" eb="14">
      <t>ゼンタイコウゲキ</t>
    </rPh>
    <rPh sb="20" eb="21">
      <t>ゼンユニット</t>
    </rPh>
    <rPh sb="26" eb="29">
      <t>カイフクリョク</t>
    </rPh>
    <phoneticPr fontId="5"/>
  </si>
  <si>
    <t>ターン経過で強くなる全体攻撃+
1ターン全ユニットの回復力90%DOWN</t>
    <rPh sb="6" eb="7">
      <t>ツヨクナル</t>
    </rPh>
    <rPh sb="10" eb="14">
      <t>ゼンタイコウゲキ</t>
    </rPh>
    <rPh sb="20" eb="21">
      <t>ゼンユニット</t>
    </rPh>
    <rPh sb="26" eb="29">
      <t>カイフクリョク</t>
    </rPh>
    <phoneticPr fontId="5"/>
  </si>
  <si>
    <t>ターン経過で強くなる全体攻撃+
1ターン全ユニットの回復力100%DOWN</t>
    <rPh sb="6" eb="7">
      <t>ツヨクナル</t>
    </rPh>
    <rPh sb="10" eb="14">
      <t>ゼンタイコウゲキ</t>
    </rPh>
    <rPh sb="20" eb="21">
      <t>ゼンユニット</t>
    </rPh>
    <rPh sb="26" eb="29">
      <t>カイフクリョク</t>
    </rPh>
    <phoneticPr fontId="5"/>
  </si>
  <si>
    <t>黄パネルが確率でCパネルとしてドロップ</t>
    <rPh sb="0" eb="1">
      <t>キパネル</t>
    </rPh>
    <rPh sb="5" eb="7">
      <t>カクリツデ</t>
    </rPh>
    <phoneticPr fontId="5"/>
  </si>
  <si>
    <t>黄パネルを吸収する程、ダメージがDOWNする攻撃</t>
    <rPh sb="0" eb="1">
      <t>キパネル</t>
    </rPh>
    <rPh sb="5" eb="7">
      <t>キュウシュウスルホド</t>
    </rPh>
    <rPh sb="9" eb="10">
      <t>ホド</t>
    </rPh>
    <rPh sb="22" eb="24">
      <t>コウゲキ</t>
    </rPh>
    <phoneticPr fontId="5"/>
  </si>
  <si>
    <t>状態異常耐性+
ハートパネルはプロテクトされてドロップ+
低確率でお邪魔パネルがドロップ+
3ターン全属性ダメージ80%軽減</t>
    <rPh sb="0" eb="6">
      <t>ジョウタイイジョウタイセイ</t>
    </rPh>
    <rPh sb="29" eb="32">
      <t>テイカクリツ</t>
    </rPh>
    <rPh sb="50" eb="53">
      <t>ゼンゾクセイ</t>
    </rPh>
    <rPh sb="60" eb="62">
      <t>ケイゲン</t>
    </rPh>
    <phoneticPr fontId="5"/>
  </si>
  <si>
    <t>状態異常耐性+
黄属性に変化+
3ターン全属性ダメージ50%軽減</t>
    <rPh sb="0" eb="6">
      <t>ジョウタイイジョウタイセイ</t>
    </rPh>
    <rPh sb="8" eb="11">
      <t>キゾクセイ</t>
    </rPh>
    <rPh sb="12" eb="14">
      <t>ヘンカ</t>
    </rPh>
    <rPh sb="20" eb="23">
      <t>ゼンゾクセイ</t>
    </rPh>
    <rPh sb="30" eb="32">
      <t>ケイゲン</t>
    </rPh>
    <phoneticPr fontId="5"/>
  </si>
  <si>
    <t>残りHPの500%ダメージ</t>
    <rPh sb="0" eb="1">
      <t>ノコリ</t>
    </rPh>
    <phoneticPr fontId="5"/>
  </si>
  <si>
    <t>黄パネル無効+
黄パネルを黄のダメージパネルに最大5個変換</t>
    <rPh sb="23" eb="25">
      <t>サイダイ</t>
    </rPh>
    <phoneticPr fontId="5"/>
  </si>
  <si>
    <t>緑パネル無効+
緑パネルを緑のダメージパネルに最大5個変換</t>
    <rPh sb="23" eb="25">
      <t>サイダイ</t>
    </rPh>
    <phoneticPr fontId="5"/>
  </si>
  <si>
    <t>青パネル無効+
青パネルを青のダメージパネルに最大5個変換</t>
    <rPh sb="23" eb="25">
      <t>サイダイ</t>
    </rPh>
    <phoneticPr fontId="5"/>
  </si>
  <si>
    <t>残りHPの500%ダメージ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</si>
  <si>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</si>
  <si>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</si>
  <si>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</si>
  <si>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</si>
  <si>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</si>
  <si>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</si>
  <si>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</si>
  <si>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</si>
  <si>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</si>
  <si>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</si>
  <si>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状態異常耐性+ハートパネル無効
【！】敵HP95%以下で残りHPの500%ダメージ【！】</t>
    <rPh sb="0" eb="6">
      <t>ジョウ</t>
    </rPh>
    <phoneticPr fontId="5"/>
  </si>
  <si>
    <t>old</t>
    <phoneticPr fontId="5"/>
  </si>
  <si>
    <t>[effect:break_attack_fix, target:unit_all, val:250, lowest_val:1500, count:-1, block01:block_red]</t>
    <phoneticPr fontId="5"/>
  </si>
  <si>
    <t>[effect:break_attack_fix, target:unit_all, val:250, lowest_val:1500, count:-1, block01:block_green]</t>
    <phoneticPr fontId="5"/>
  </si>
  <si>
    <t>属性パネルを緑のダメージパネルに最大4個変換+
単体攻撃</t>
    <rPh sb="0" eb="2">
      <t>ゾクセイ</t>
    </rPh>
    <rPh sb="6" eb="7">
      <t>ミドリノ</t>
    </rPh>
    <rPh sb="16" eb="18">
      <t>サイダイ4コ</t>
    </rPh>
    <rPh sb="20" eb="22">
      <t>ヘンカン</t>
    </rPh>
    <rPh sb="24" eb="28">
      <t>タンタイコウゲキ</t>
    </rPh>
    <phoneticPr fontId="5"/>
  </si>
  <si>
    <t>属性パネルを赤のダメージパネルに最大4個変換+
単体攻撃</t>
    <rPh sb="0" eb="2">
      <t>ゾクセイ</t>
    </rPh>
    <rPh sb="6" eb="7">
      <t>アカ</t>
    </rPh>
    <rPh sb="16" eb="18">
      <t>サイダイ4コ</t>
    </rPh>
    <rPh sb="20" eb="22">
      <t>ヘンカン</t>
    </rPh>
    <rPh sb="24" eb="28">
      <t>タンタイコウゲキ</t>
    </rPh>
    <phoneticPr fontId="5"/>
  </si>
  <si>
    <t>3ターン全ユニットに暗闇+単体攻撃</t>
    <rPh sb="4" eb="5">
      <t>ゼンユニット</t>
    </rPh>
    <rPh sb="10" eb="12">
      <t>クラヤミ</t>
    </rPh>
    <phoneticPr fontId="5"/>
  </si>
  <si>
    <t>[effect:fix_speed, target:myself, turn:1],[effect:tolerance, target:myself, turn:-1, count:-1, tolerance_effect:all, animation:enemy_tolerance],[effect:drop_freeze, turn:-1, block_type:normal, block_color:block_red, rate:1, animation:drop_protect],[effect:drop_freeze, turn:-1, block_type:normal, block_color:block_green, rate:1]</t>
    <phoneticPr fontId="5"/>
  </si>
  <si>
    <t>[effect:fix_speed, target:myself, turn:1],[effect:tolerance, target:myself, turn:-1, count:-1, tolerance_effect:all, animation:enemy_tolerance],[effect:change_attribute, target:myself, turn:-1, color:yellow, animation:change_attribute_yellow],[effect:reduction, target:myself, color:all, turn:3, val:0.5, animation:reduction_one01]</t>
    <phoneticPr fontId="5"/>
  </si>
  <si>
    <t>[effect:fix_speed, target:myself, turn:1],[effect:tolerance, target:myself, turn:-1, count:-1, tolerance_effect:all, animation:enemy_tolerance],[effect:drop_freeze, turn:-1, block_type:normal, block_color:block_heart, rate:1, animation:drop_protect],[effect:drop_block, block_type:jammer, color:block_all, val:0, rate:0.04, turn:-1, animation:jammer_influence04],[effect:reduction, target:myself, color:all, turn:3, val:0.8, animation:reduction_one01]</t>
    <phoneticPr fontId="5"/>
  </si>
  <si>
    <t>[effect:fix_speed, target:myself, turn:1],[effect:tolerance, target:myself, turn:-1, count:-1, tolerance_effect:all, animation:enemy_tolerance],[effect:reduction, target:myself, color:all, turn:1, val:0.8, animation:reduction_one01],[effect:drop_block, block_type:time_bomb, color:block_green, val:0.5, rate:0.5, turn:-1, min_time_count:2, max_time_count:2, animation:time_bomb_influence04]</t>
    <phoneticPr fontId="5"/>
  </si>
  <si>
    <t>[effect:fix_speed, target:myself, turn:1],[effect:tolerance, target:myself, turn:-1, count:-1, tolerance_effect:all, animation:enemy_tolerance],[effect:remove_enhancement, target:unit_all, target_effect:all, target_type:buff]</t>
    <phoneticPr fontId="5"/>
  </si>
  <si>
    <t>[effect:fix_speed, target:myself, turn:1],[effect:tolerance, target:myself, turn:-1, count:-1, tolerance_effect:all, animation:enemy_tolerance],[effect:dis_heart, turn:-1, animation:enemy_dis_heart]</t>
    <phoneticPr fontId="5"/>
  </si>
  <si>
    <t>種族マシンのユニットに大ダメージの全体攻撃</t>
    <rPh sb="0" eb="2">
      <t>シュゾク</t>
    </rPh>
    <rPh sb="11" eb="12">
      <t>ダイダメージ</t>
    </rPh>
    <rPh sb="17" eb="21">
      <t>ゼンタイコウゲキ</t>
    </rPh>
    <phoneticPr fontId="5"/>
  </si>
  <si>
    <t>[effect:break_attack_fix, target:unit_all, val:400, lowest_val:1500, count:-1, block01:damage]</t>
    <phoneticPr fontId="5"/>
  </si>
  <si>
    <t>[effect:break_attack_fix, target:unit_all, val:-100, lowest_val:5000, count:-1, block01:block_yellow]</t>
    <phoneticPr fontId="5"/>
  </si>
  <si>
    <t>状態異常耐性+
緑パネルは確率で緑の時限式ダメージパネルとしてドロップ+
1ターン全属性ダメージ80%軽減
【次のターンに黄属性を優先して狙う強力な単体攻撃】</t>
    <rPh sb="0" eb="6">
      <t>ジョウタイイジョウタイセイ</t>
    </rPh>
    <rPh sb="8" eb="9">
      <t>ミドリパネル</t>
    </rPh>
    <rPh sb="13" eb="15">
      <t>カクリツデ</t>
    </rPh>
    <rPh sb="16" eb="17">
      <t>ミドリノ</t>
    </rPh>
    <rPh sb="18" eb="21">
      <t>ジゲ</t>
    </rPh>
    <rPh sb="41" eb="44">
      <t>ゼンゾ</t>
    </rPh>
    <rPh sb="51" eb="53">
      <t>ケイゲン</t>
    </rPh>
    <rPh sb="55" eb="56">
      <t>ツギノ</t>
    </rPh>
    <rPh sb="61" eb="64">
      <t>キゾクセイ</t>
    </rPh>
    <rPh sb="65" eb="67">
      <t>ユウセンシテ</t>
    </rPh>
    <rPh sb="69" eb="70">
      <t>ネラウ</t>
    </rPh>
    <rPh sb="71" eb="73">
      <t>キョウリョクナコウゲキ</t>
    </rPh>
    <rPh sb="74" eb="76">
      <t>タンタイ</t>
    </rPh>
    <phoneticPr fontId="5"/>
  </si>
  <si>
    <t>黄属性を優先して狙う強力な単体攻撃</t>
    <rPh sb="4" eb="6">
      <t>ユウセン</t>
    </rPh>
    <rPh sb="13" eb="15">
      <t>タンタイ</t>
    </rPh>
    <phoneticPr fontId="5"/>
  </si>
  <si>
    <t>さっさと諦めなって</t>
    <rPh sb="4" eb="5">
      <t>アキラメナッテ</t>
    </rPh>
    <phoneticPr fontId="5"/>
  </si>
  <si>
    <t>unit</t>
  </si>
  <si>
    <t>link</t>
  </si>
  <si>
    <t>null</t>
  </si>
  <si>
    <t>singleonly</t>
  </si>
  <si>
    <t>clear</t>
  </si>
  <si>
    <t>2016-5-27 0:00:00</t>
  </si>
  <si>
    <t>…来やがったか
面倒だが相手してやるよ</t>
    <rPh sb="1" eb="2">
      <t>キタカ</t>
    </rPh>
    <rPh sb="8" eb="10">
      <t>メンドウ</t>
    </rPh>
    <rPh sb="12" eb="14">
      <t>アイテ</t>
    </rPh>
    <phoneticPr fontId="5"/>
  </si>
  <si>
    <t>old</t>
    <phoneticPr fontId="7"/>
  </si>
  <si>
    <t>その程度か？</t>
    <phoneticPr fontId="5"/>
  </si>
  <si>
    <t>セト1</t>
    <phoneticPr fontId="5"/>
  </si>
  <si>
    <t>チッ…面倒くせぇ…</t>
    <rPh sb="3" eb="5">
      <t>メンドクセェ</t>
    </rPh>
    <phoneticPr fontId="5"/>
  </si>
  <si>
    <t>本気出して見ろよ</t>
    <rPh sb="0" eb="3">
      <t>ホンキダシテンノカ</t>
    </rPh>
    <rPh sb="5" eb="6">
      <t>ミロヨ</t>
    </rPh>
    <phoneticPr fontId="5"/>
  </si>
  <si>
    <t>ハハッ！負ける気がしねぇなぁ！</t>
  </si>
  <si>
    <t>力の差を見せてやるよ</t>
    <phoneticPr fontId="5"/>
  </si>
  <si>
    <t>へぇ…頑張るなぁ…</t>
    <rPh sb="3" eb="5">
      <t>ガンバルネ</t>
    </rPh>
    <phoneticPr fontId="5"/>
  </si>
  <si>
    <t>潰れろっ！</t>
    <rPh sb="0" eb="1">
      <t>ツブレロ</t>
    </rPh>
    <phoneticPr fontId="5"/>
  </si>
  <si>
    <t>力の制御は完全だ！</t>
  </si>
  <si>
    <t>終わらせてやる！</t>
    <rPh sb="0" eb="1">
      <t>オワラセテヤル</t>
    </rPh>
    <phoneticPr fontId="5"/>
  </si>
  <si>
    <t xml:space="preserve">時空の彼方に消し飛べ！ </t>
    <phoneticPr fontId="5"/>
  </si>
  <si>
    <t>今の俺に限界は無い！</t>
    <rPh sb="0" eb="1">
      <t>イマノ</t>
    </rPh>
    <rPh sb="2" eb="3">
      <t>オレ</t>
    </rPh>
    <phoneticPr fontId="5"/>
  </si>
  <si>
    <t>もう…何をしても遅いぜ</t>
    <rPh sb="3" eb="4">
      <t>ナニヲ</t>
    </rPh>
    <rPh sb="8" eb="9">
      <t>オソイゼ</t>
    </rPh>
    <phoneticPr fontId="5"/>
  </si>
  <si>
    <t>無駄だ！</t>
    <rPh sb="0" eb="2">
      <t>ムダダ</t>
    </rPh>
    <phoneticPr fontId="5"/>
  </si>
  <si>
    <t>今なら女王にも勝てそうだ！</t>
    <phoneticPr fontId="5"/>
  </si>
  <si>
    <t>諦めろッ！</t>
    <rPh sb="0" eb="1">
      <t>アキラメロ</t>
    </rPh>
    <phoneticPr fontId="5"/>
  </si>
  <si>
    <t>ほら！頑張ったご褒美だ！</t>
    <rPh sb="3" eb="5">
      <t>ガンバッタ</t>
    </rPh>
    <phoneticPr fontId="5"/>
  </si>
  <si>
    <t>セトの奴はヤられたか！ざまぁないな！</t>
    <rPh sb="3" eb="4">
      <t>ヤツ</t>
    </rPh>
    <phoneticPr fontId="5"/>
  </si>
  <si>
    <t>私の邪魔をするな！</t>
    <rPh sb="0" eb="1">
      <t>ワタシノ</t>
    </rPh>
    <rPh sb="2" eb="4">
      <t>ジャマヲ</t>
    </rPh>
    <phoneticPr fontId="5"/>
  </si>
  <si>
    <t>何を生み出そうが造りものに変わりは無い</t>
    <rPh sb="0" eb="1">
      <t>ナニ</t>
    </rPh>
    <rPh sb="2" eb="3">
      <t>ウミダソウガ</t>
    </rPh>
    <rPh sb="8" eb="9">
      <t>ツクリモノ</t>
    </rPh>
    <rPh sb="13" eb="14">
      <t>カワリワナイ</t>
    </rPh>
    <phoneticPr fontId="5"/>
  </si>
  <si>
    <t>アハハッ！油断したな！</t>
    <rPh sb="5" eb="7">
      <t>ユダンシタナ</t>
    </rPh>
    <phoneticPr fontId="5"/>
  </si>
  <si>
    <t>いつ終わりが来るか判らない恐怖を味わえ</t>
    <rPh sb="2" eb="3">
      <t>オワルカ</t>
    </rPh>
    <rPh sb="6" eb="7">
      <t>クル</t>
    </rPh>
    <rPh sb="9" eb="10">
      <t>ワカラナイ</t>
    </rPh>
    <rPh sb="13" eb="15">
      <t>キョウフ</t>
    </rPh>
    <rPh sb="16" eb="17">
      <t>アジワエ</t>
    </rPh>
    <phoneticPr fontId="5"/>
  </si>
  <si>
    <t>終わらせよう！ALICEのすべてを！</t>
    <rPh sb="0" eb="1">
      <t>オワラセヨウ</t>
    </rPh>
    <phoneticPr fontId="5"/>
  </si>
  <si>
    <t>壊れろ！壊れろ！</t>
    <phoneticPr fontId="5"/>
  </si>
  <si>
    <t>全機能停止コード：RAGNAROK</t>
    <phoneticPr fontId="5"/>
  </si>
  <si>
    <t>全機能停止コード：RAGNAROK</t>
    <phoneticPr fontId="5"/>
  </si>
  <si>
    <t>AIも…</t>
    <phoneticPr fontId="5"/>
  </si>
  <si>
    <t>アバターも…</t>
    <phoneticPr fontId="5"/>
  </si>
  <si>
    <t>女王すらも関係無い…</t>
    <rPh sb="0" eb="2">
      <t>ジョウオウ</t>
    </rPh>
    <rPh sb="7" eb="8">
      <t>ナイ</t>
    </rPh>
    <phoneticPr fontId="5"/>
  </si>
  <si>
    <t>全てが滅ぶ瞬間だ！</t>
    <rPh sb="0" eb="1">
      <t>スベテ</t>
    </rPh>
    <rPh sb="3" eb="4">
      <t>ホロブ</t>
    </rPh>
    <rPh sb="5" eb="7">
      <t>シュンカン</t>
    </rPh>
    <phoneticPr fontId="5"/>
  </si>
  <si>
    <t>もういい…全ての力を解放しよう…</t>
    <rPh sb="5" eb="6">
      <t>スベテノ</t>
    </rPh>
    <rPh sb="8" eb="9">
      <t>チカラヲ</t>
    </rPh>
    <rPh sb="10" eb="12">
      <t>カイホウ</t>
    </rPh>
    <phoneticPr fontId="5"/>
  </si>
  <si>
    <t>私が壊れるか…アンタらが壊れるか…</t>
    <rPh sb="0" eb="1">
      <t>ワタシガ</t>
    </rPh>
    <rPh sb="2" eb="3">
      <t>コワレルカ</t>
    </rPh>
    <rPh sb="12" eb="13">
      <t>コワレルカ</t>
    </rPh>
    <phoneticPr fontId="5"/>
  </si>
  <si>
    <t>滅ぼせなければ死を待つのみだ</t>
    <rPh sb="0" eb="1">
      <t>ホロボセナ</t>
    </rPh>
    <rPh sb="7" eb="8">
      <t>シヲ</t>
    </rPh>
    <rPh sb="9" eb="10">
      <t>マツ</t>
    </rPh>
    <phoneticPr fontId="5"/>
  </si>
  <si>
    <t>アッハッハ！</t>
    <phoneticPr fontId="5"/>
  </si>
  <si>
    <t>こんな世界は無くなればいい！</t>
    <rPh sb="3" eb="5">
      <t>セカイ</t>
    </rPh>
    <rPh sb="6" eb="7">
      <t>ナクナレ</t>
    </rPh>
    <phoneticPr fontId="5"/>
  </si>
  <si>
    <t>ALICEを滅ぼすまで私は止まるつもりは無い！</t>
    <rPh sb="6" eb="7">
      <t>ホロボス</t>
    </rPh>
    <rPh sb="11" eb="12">
      <t>ワタシ</t>
    </rPh>
    <rPh sb="13" eb="14">
      <t>トマルツモリハナイ</t>
    </rPh>
    <rPh sb="20" eb="21">
      <t>ナイ</t>
    </rPh>
    <phoneticPr fontId="5"/>
  </si>
  <si>
    <t>…クソッ！…どうして勝てないッ！</t>
    <rPh sb="10" eb="11">
      <t>カテナイ</t>
    </rPh>
    <phoneticPr fontId="5"/>
  </si>
  <si>
    <t>[effect:enemy_message, val1:2.1, val2:0]</t>
  </si>
  <si>
    <t>(表示しない)</t>
    <rPh sb="1" eb="3">
      <t>ヒョウジシナイ</t>
    </rPh>
    <phoneticPr fontId="5"/>
  </si>
  <si>
    <t>…ハァー…失敗したか</t>
    <rPh sb="5" eb="7">
      <t>シッパイカ</t>
    </rPh>
    <phoneticPr fontId="5"/>
  </si>
  <si>
    <t>精々、女王と潰しあえばいいさ</t>
    <rPh sb="0" eb="1">
      <t>セイゼイ</t>
    </rPh>
    <rPh sb="3" eb="5">
      <t>ジョウオウ</t>
    </rPh>
    <rPh sb="6" eb="7">
      <t>ツブシアッテ</t>
    </rPh>
    <phoneticPr fontId="5"/>
  </si>
  <si>
    <t>アハハッ！ありがとう！そしてさよならだ！</t>
    <phoneticPr fontId="5"/>
  </si>
  <si>
    <t>[effect:enemy_message, val1:1.7, val2:1.9]</t>
    <phoneticPr fontId="5"/>
  </si>
  <si>
    <t>シブといんだよ！</t>
    <phoneticPr fontId="5"/>
  </si>
  <si>
    <t>[effect:crash_condition, target:unit_all, turn:-1, val:12, animation:enemy_crash_extend]</t>
    <phoneticPr fontId="5"/>
  </si>
  <si>
    <t>[effect:dark, target:unit_all, turn:3, animation:enemy_dark],[effect:rush, count:1, val:1]</t>
    <phoneticPr fontId="5"/>
  </si>
  <si>
    <t>[effect:drop_block, block_type:crash, color:block_yellow, val:10, rate:0.5, turn:-1, animation:crash_influence04]</t>
    <phoneticPr fontId="5"/>
  </si>
  <si>
    <t>[effect:force_change_block, new_block:damage, target:normal, color:block_green, count:4, val:0.5],[effect:rush, count:1, val:1]</t>
    <phoneticPr fontId="5"/>
  </si>
  <si>
    <t>[effect:force_change_block, new_block:damage, target:normal, color:block_red, count:4, val:0.5],[effect:rush, count:1, val:1]</t>
    <phoneticPr fontId="5"/>
  </si>
  <si>
    <t>[effect:force_change_block, new_block:jammer, target:normal, count:5, val:0],[effect:rush, count:1, val:1]</t>
    <phoneticPr fontId="5"/>
  </si>
  <si>
    <t>[effect:damage_anti_tribe, target:unit_all, tribe:machine, val1:4.0, val2:0.25]</t>
    <phoneticPr fontId="5"/>
  </si>
  <si>
    <t>[effect:damage_anti_color, target:unit_one, color:yellow, val1:1.9, val2:1.9]</t>
    <phoneticPr fontId="5"/>
  </si>
  <si>
    <t>[effect:rush, count:8, val:0.17],[effect:force_change_block, new_block:damage, target:normal, color:block_green, count:8, val:0.5]</t>
    <phoneticPr fontId="5"/>
  </si>
  <si>
    <t>[effect:critical, val:1.4, animation:enemy_critical]</t>
    <phoneticPr fontId="5"/>
  </si>
  <si>
    <t>解除するまで全ユニットにCパネル生成延長(効果激烈)</t>
    <rPh sb="0" eb="2">
      <t>カイジョスルマデ</t>
    </rPh>
    <rPh sb="6" eb="7">
      <t>ゼンユニット</t>
    </rPh>
    <rPh sb="16" eb="18">
      <t>セイセイ</t>
    </rPh>
    <rPh sb="18" eb="20">
      <t>エンチョウ</t>
    </rPh>
    <rPh sb="21" eb="23">
      <t>コウカ</t>
    </rPh>
    <rPh sb="23" eb="25">
      <t>ゲキレツ</t>
    </rPh>
    <phoneticPr fontId="5"/>
  </si>
  <si>
    <t>ロキは2ゲージ目に移行し
一定のターンが経過すると
黄パネルを確率で先頭ユニットの
Cパネルとしてドロップさせます</t>
    <phoneticPr fontId="5"/>
  </si>
  <si>
    <t>old</t>
    <phoneticPr fontId="7"/>
  </si>
  <si>
    <t>セトは2ゲージ目に移行しHPが減ると
青パネルを出現させなくします
パーティの編成によっては
上手く利用できるかもしれません</t>
    <rPh sb="40" eb="42">
      <t>ヘンセイ</t>
    </rPh>
    <phoneticPr fontId="5"/>
  </si>
  <si>
    <t>ロキは属性パネルをダメージパネルへ
変換するスキルを頻繁に使用します
ダメージパネルに対応できるユニットを
連れて行きましょう</t>
    <rPh sb="3" eb="5">
      <t>ゾクセイ</t>
    </rPh>
    <phoneticPr fontId="5"/>
  </si>
  <si>
    <t>ロキは1ゲージ目の1ターン目に
黄属性を狙う強力な単体攻撃を使用します
パーティを編成する際には
属性に気を付けましょう</t>
    <rPh sb="7" eb="8">
      <t>メ</t>
    </rPh>
    <rPh sb="42" eb="44">
      <t>ヘンセイ</t>
    </rPh>
    <rPh sb="50" eb="52">
      <t>ゾクセイ</t>
    </rPh>
    <phoneticPr fontId="5"/>
  </si>
  <si>
    <t>セトは3ゲージ目に移行すると
回復力をDOWNさせるスキルを
頻繁に使用します
Cスキルによる回復力UPが有効でしょう</t>
    <rPh sb="31" eb="33">
      <t>ヒンパンニ</t>
    </rPh>
    <rPh sb="48" eb="51">
      <t>カイフクリョク</t>
    </rPh>
    <rPh sb="54" eb="56">
      <t>ユウコウデショウ</t>
    </rPh>
    <phoneticPr fontId="5"/>
  </si>
  <si>
    <t>セトは1ゲージ目で赤・緑パネルを
プロテクトしてドロップさせます
プロテクトパネルに対応できるユニットを
連れて行きましょう</t>
    <phoneticPr fontId="5"/>
  </si>
  <si>
    <t>赤パネル無効+
赤パネルを赤のダメージパネルに最大5個変換
【！】次のターン残りHPの500%ダメージ【！】</t>
    <rPh sb="0" eb="1">
      <t>アカ</t>
    </rPh>
    <rPh sb="8" eb="9">
      <t>アカ</t>
    </rPh>
    <rPh sb="13" eb="14">
      <t>アカ</t>
    </rPh>
    <rPh sb="23" eb="25">
      <t>サイダイ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</si>
</sst>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sz val="14"/>
      <color theme="0"/>
      <name val="ＭＳ Ｐゴシック"/>
      <family val="2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5" borderId="22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2" fillId="14" borderId="11" xfId="0" applyNumberFormat="1" applyFont="1" applyFill="1" applyBorder="1" applyAlignment="1">
      <alignment vertical="top" wrapText="1"/>
    </xf>
    <xf numFmtId="0" fontId="4" fillId="0" borderId="7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vertical="center"/>
    </xf>
    <xf numFmtId="0" fontId="53" fillId="7" borderId="0" xfId="0" applyFont="1" applyFill="1" applyBorder="1" applyAlignment="1">
      <alignment horizontal="center"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-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39001</v>
          </cell>
        </row>
        <row r="182">
          <cell r="A182">
            <v>39002</v>
          </cell>
        </row>
        <row r="183">
          <cell r="A183">
            <v>39003</v>
          </cell>
        </row>
        <row r="184">
          <cell r="A184">
            <v>39004</v>
          </cell>
        </row>
        <row r="185">
          <cell r="A185">
            <v>39005</v>
          </cell>
        </row>
        <row r="186">
          <cell r="A186">
            <v>39006</v>
          </cell>
        </row>
        <row r="187">
          <cell r="A187">
            <v>39007</v>
          </cell>
        </row>
        <row r="188">
          <cell r="A188">
            <v>39008</v>
          </cell>
        </row>
        <row r="189">
          <cell r="A189">
            <v>39009</v>
          </cell>
        </row>
        <row r="190">
          <cell r="A190">
            <v>39010</v>
          </cell>
        </row>
        <row r="191">
          <cell r="A191">
            <v>39011</v>
          </cell>
        </row>
        <row r="192">
          <cell r="A192">
            <v>39012</v>
          </cell>
        </row>
        <row r="193">
          <cell r="A193">
            <v>40001</v>
          </cell>
        </row>
        <row r="194">
          <cell r="A194">
            <v>40002</v>
          </cell>
        </row>
        <row r="195">
          <cell r="A195">
            <v>40003</v>
          </cell>
        </row>
        <row r="196">
          <cell r="A196">
            <v>40004</v>
          </cell>
        </row>
        <row r="197">
          <cell r="A197">
            <v>40005</v>
          </cell>
        </row>
        <row r="198">
          <cell r="A198">
            <v>40006</v>
          </cell>
        </row>
        <row r="199">
          <cell r="A199">
            <v>40007</v>
          </cell>
        </row>
        <row r="200">
          <cell r="A200">
            <v>40008</v>
          </cell>
        </row>
        <row r="201">
          <cell r="A201">
            <v>40009</v>
          </cell>
        </row>
        <row r="202">
          <cell r="A202">
            <v>40010</v>
          </cell>
        </row>
        <row r="203">
          <cell r="A203">
            <v>40011</v>
          </cell>
        </row>
        <row r="204">
          <cell r="A204">
            <v>40012</v>
          </cell>
        </row>
        <row r="205">
          <cell r="A205">
            <v>40013</v>
          </cell>
        </row>
        <row r="206">
          <cell r="A206">
            <v>40014</v>
          </cell>
        </row>
        <row r="207">
          <cell r="A207">
            <v>40015</v>
          </cell>
        </row>
        <row r="208">
          <cell r="A208">
            <v>40016</v>
          </cell>
        </row>
        <row r="209">
          <cell r="A209">
            <v>40017</v>
          </cell>
        </row>
        <row r="210">
          <cell r="A210">
            <v>40018</v>
          </cell>
        </row>
        <row r="211">
          <cell r="A211">
            <v>40019</v>
          </cell>
        </row>
        <row r="212">
          <cell r="A212">
            <v>40021</v>
          </cell>
        </row>
        <row r="213">
          <cell r="A213">
            <v>40022</v>
          </cell>
        </row>
        <row r="214">
          <cell r="A214">
            <v>40023</v>
          </cell>
        </row>
        <row r="215">
          <cell r="A215">
            <v>40024</v>
          </cell>
        </row>
        <row r="216">
          <cell r="A216">
            <v>40025</v>
          </cell>
        </row>
        <row r="217">
          <cell r="A217">
            <v>40026</v>
          </cell>
        </row>
        <row r="218">
          <cell r="A218">
            <v>40027</v>
          </cell>
        </row>
        <row r="219">
          <cell r="A219">
            <v>40028</v>
          </cell>
        </row>
        <row r="220">
          <cell r="A220">
            <v>40029</v>
          </cell>
        </row>
        <row r="221">
          <cell r="A221">
            <v>40030</v>
          </cell>
        </row>
        <row r="222">
          <cell r="A222">
            <v>40031</v>
          </cell>
        </row>
        <row r="223">
          <cell r="A223">
            <v>40032</v>
          </cell>
        </row>
        <row r="224">
          <cell r="A224">
            <v>40033</v>
          </cell>
        </row>
        <row r="225">
          <cell r="A225">
            <v>40034</v>
          </cell>
        </row>
        <row r="226">
          <cell r="A226">
            <v>40035</v>
          </cell>
        </row>
        <row r="227">
          <cell r="A227">
            <v>40036</v>
          </cell>
        </row>
        <row r="228">
          <cell r="A228">
            <v>40037</v>
          </cell>
        </row>
        <row r="229">
          <cell r="A229">
            <v>40038</v>
          </cell>
        </row>
        <row r="230">
          <cell r="A230">
            <v>40039</v>
          </cell>
        </row>
        <row r="231">
          <cell r="A231">
            <v>40040</v>
          </cell>
        </row>
        <row r="232">
          <cell r="A232">
            <v>40041</v>
          </cell>
        </row>
        <row r="233">
          <cell r="A233">
            <v>40042</v>
          </cell>
        </row>
        <row r="234">
          <cell r="A234">
            <v>40043</v>
          </cell>
        </row>
        <row r="235">
          <cell r="A235">
            <v>48001</v>
          </cell>
        </row>
        <row r="236">
          <cell r="A236">
            <v>48002</v>
          </cell>
        </row>
        <row r="237">
          <cell r="A237">
            <v>48003</v>
          </cell>
        </row>
        <row r="238">
          <cell r="A238">
            <v>48004</v>
          </cell>
        </row>
        <row r="239">
          <cell r="A239">
            <v>48005</v>
          </cell>
        </row>
        <row r="240">
          <cell r="A240">
            <v>48006</v>
          </cell>
        </row>
        <row r="241">
          <cell r="A241">
            <v>48007</v>
          </cell>
        </row>
        <row r="242">
          <cell r="A242">
            <v>48008</v>
          </cell>
        </row>
        <row r="243">
          <cell r="A243">
            <v>48009</v>
          </cell>
        </row>
        <row r="244">
          <cell r="A244">
            <v>48010</v>
          </cell>
        </row>
        <row r="245">
          <cell r="A245">
            <v>48011</v>
          </cell>
        </row>
        <row r="246">
          <cell r="A246">
            <v>48012</v>
          </cell>
        </row>
        <row r="247">
          <cell r="A247">
            <v>48501</v>
          </cell>
        </row>
        <row r="248">
          <cell r="A248">
            <v>48502</v>
          </cell>
        </row>
        <row r="249">
          <cell r="A249">
            <v>48701</v>
          </cell>
        </row>
        <row r="250">
          <cell r="A250">
            <v>41001</v>
          </cell>
        </row>
        <row r="251">
          <cell r="A251">
            <v>41002</v>
          </cell>
        </row>
        <row r="252">
          <cell r="A252">
            <v>41003</v>
          </cell>
        </row>
        <row r="253">
          <cell r="A253">
            <v>41004</v>
          </cell>
        </row>
        <row r="254">
          <cell r="A254">
            <v>41005</v>
          </cell>
        </row>
        <row r="255">
          <cell r="A255">
            <v>41006</v>
          </cell>
        </row>
        <row r="256">
          <cell r="A256">
            <v>41007</v>
          </cell>
        </row>
        <row r="257">
          <cell r="A257">
            <v>41008</v>
          </cell>
        </row>
        <row r="258">
          <cell r="A258">
            <v>41009</v>
          </cell>
        </row>
        <row r="259">
          <cell r="A259">
            <v>41010</v>
          </cell>
        </row>
        <row r="260">
          <cell r="A260">
            <v>41011</v>
          </cell>
        </row>
        <row r="261">
          <cell r="A261">
            <v>41012</v>
          </cell>
        </row>
        <row r="262">
          <cell r="A262">
            <v>41013</v>
          </cell>
        </row>
        <row r="263">
          <cell r="A263">
            <v>41014</v>
          </cell>
        </row>
        <row r="264">
          <cell r="A264">
            <v>41015</v>
          </cell>
        </row>
        <row r="265">
          <cell r="A265">
            <v>47001</v>
          </cell>
        </row>
        <row r="266">
          <cell r="A266">
            <v>47002</v>
          </cell>
        </row>
        <row r="267">
          <cell r="A267">
            <v>47003</v>
          </cell>
        </row>
        <row r="268">
          <cell r="A268">
            <v>47004</v>
          </cell>
        </row>
        <row r="269">
          <cell r="A269">
            <v>47005</v>
          </cell>
        </row>
        <row r="270">
          <cell r="A270">
            <v>47006</v>
          </cell>
        </row>
        <row r="271">
          <cell r="A271">
            <v>47007</v>
          </cell>
        </row>
        <row r="272">
          <cell r="A272">
            <v>47008</v>
          </cell>
        </row>
        <row r="273">
          <cell r="A273">
            <v>47009</v>
          </cell>
        </row>
        <row r="274">
          <cell r="A274">
            <v>47010</v>
          </cell>
        </row>
        <row r="275">
          <cell r="A275">
            <v>47011</v>
          </cell>
        </row>
        <row r="276">
          <cell r="A276">
            <v>47012</v>
          </cell>
        </row>
        <row r="277">
          <cell r="A277">
            <v>49001</v>
          </cell>
        </row>
        <row r="278">
          <cell r="A278">
            <v>49002</v>
          </cell>
        </row>
        <row r="279">
          <cell r="A279">
            <v>49003</v>
          </cell>
        </row>
        <row r="280">
          <cell r="A280">
            <v>49004</v>
          </cell>
        </row>
        <row r="281">
          <cell r="A281">
            <v>49005</v>
          </cell>
        </row>
        <row r="282">
          <cell r="A282">
            <v>49006</v>
          </cell>
        </row>
        <row r="283">
          <cell r="A283">
            <v>49007</v>
          </cell>
        </row>
        <row r="284">
          <cell r="A284">
            <v>49008</v>
          </cell>
        </row>
        <row r="285">
          <cell r="A285">
            <v>49009</v>
          </cell>
        </row>
        <row r="286">
          <cell r="A286">
            <v>49010</v>
          </cell>
        </row>
        <row r="287">
          <cell r="A287">
            <v>49011</v>
          </cell>
        </row>
        <row r="288">
          <cell r="A288">
            <v>49012</v>
          </cell>
        </row>
        <row r="289">
          <cell r="A289">
            <v>49013</v>
          </cell>
        </row>
        <row r="290">
          <cell r="A290">
            <v>49014</v>
          </cell>
        </row>
        <row r="291">
          <cell r="A291">
            <v>49015</v>
          </cell>
        </row>
        <row r="292">
          <cell r="A292">
            <v>50001</v>
          </cell>
        </row>
        <row r="293">
          <cell r="A293">
            <v>50002</v>
          </cell>
        </row>
        <row r="294">
          <cell r="A294">
            <v>50003</v>
          </cell>
        </row>
        <row r="295">
          <cell r="A295">
            <v>50004</v>
          </cell>
        </row>
        <row r="296">
          <cell r="A296">
            <v>50005</v>
          </cell>
        </row>
        <row r="297">
          <cell r="A297">
            <v>50006</v>
          </cell>
        </row>
        <row r="298">
          <cell r="A298">
            <v>50007</v>
          </cell>
        </row>
        <row r="299">
          <cell r="A299">
            <v>50008</v>
          </cell>
        </row>
        <row r="300">
          <cell r="A300">
            <v>50009</v>
          </cell>
        </row>
        <row r="301">
          <cell r="A301">
            <v>50010</v>
          </cell>
        </row>
        <row r="302">
          <cell r="A302">
            <v>50011</v>
          </cell>
        </row>
        <row r="303">
          <cell r="A303">
            <v>50012</v>
          </cell>
        </row>
        <row r="304">
          <cell r="A304">
            <v>50013</v>
          </cell>
        </row>
        <row r="305">
          <cell r="A305">
            <v>50014</v>
          </cell>
        </row>
        <row r="306">
          <cell r="A306">
            <v>51001</v>
          </cell>
        </row>
        <row r="307">
          <cell r="A307">
            <v>51002</v>
          </cell>
        </row>
        <row r="308">
          <cell r="A308">
            <v>58001</v>
          </cell>
        </row>
        <row r="309">
          <cell r="A309">
            <v>59001</v>
          </cell>
        </row>
        <row r="310">
          <cell r="A310">
            <v>59002</v>
          </cell>
        </row>
        <row r="311">
          <cell r="A311">
            <v>60001</v>
          </cell>
        </row>
        <row r="312">
          <cell r="A312">
            <v>60002</v>
          </cell>
        </row>
        <row r="313">
          <cell r="A313">
            <v>60003</v>
          </cell>
        </row>
        <row r="314">
          <cell r="A314">
            <v>60004</v>
          </cell>
        </row>
        <row r="315">
          <cell r="A315">
            <v>60005</v>
          </cell>
        </row>
        <row r="316">
          <cell r="A316">
            <v>60006</v>
          </cell>
        </row>
        <row r="317">
          <cell r="A317">
            <v>60007</v>
          </cell>
        </row>
        <row r="318">
          <cell r="A318">
            <v>60010</v>
          </cell>
        </row>
        <row r="319">
          <cell r="A319">
            <v>60011</v>
          </cell>
        </row>
        <row r="320">
          <cell r="A320">
            <v>61011</v>
          </cell>
        </row>
        <row r="321">
          <cell r="A321">
            <v>60012</v>
          </cell>
        </row>
        <row r="322">
          <cell r="A322">
            <v>60013</v>
          </cell>
        </row>
        <row r="323">
          <cell r="A323">
            <v>60014</v>
          </cell>
        </row>
        <row r="324">
          <cell r="A324">
            <v>60015</v>
          </cell>
        </row>
        <row r="325">
          <cell r="A325">
            <v>60016</v>
          </cell>
        </row>
        <row r="326">
          <cell r="A326">
            <v>60017</v>
          </cell>
        </row>
        <row r="327">
          <cell r="A327">
            <v>60018</v>
          </cell>
        </row>
        <row r="328">
          <cell r="A328">
            <v>60019</v>
          </cell>
        </row>
        <row r="329">
          <cell r="A329">
            <v>60020</v>
          </cell>
        </row>
        <row r="330">
          <cell r="A330">
            <v>60025</v>
          </cell>
        </row>
        <row r="331">
          <cell r="A331">
            <v>60026</v>
          </cell>
        </row>
        <row r="332">
          <cell r="A332">
            <v>60027</v>
          </cell>
        </row>
        <row r="333">
          <cell r="A333">
            <v>60028</v>
          </cell>
        </row>
        <row r="334">
          <cell r="A334">
            <v>65525</v>
          </cell>
        </row>
        <row r="335">
          <cell r="A335">
            <v>65526</v>
          </cell>
        </row>
        <row r="336">
          <cell r="A336">
            <v>65527</v>
          </cell>
        </row>
        <row r="337">
          <cell r="A337">
            <v>65528</v>
          </cell>
        </row>
        <row r="338">
          <cell r="A338">
            <v>65529</v>
          </cell>
        </row>
        <row r="339">
          <cell r="A339">
            <v>65530</v>
          </cell>
        </row>
        <row r="340">
          <cell r="A340">
            <v>65531</v>
          </cell>
        </row>
        <row r="341">
          <cell r="A341">
            <v>65532</v>
          </cell>
        </row>
        <row r="342">
          <cell r="A342">
            <v>65533</v>
          </cell>
        </row>
        <row r="343">
          <cell r="A343">
            <v>65534</v>
          </cell>
        </row>
        <row r="344">
          <cell r="A344">
            <v>65535</v>
          </cell>
        </row>
        <row r="345">
          <cell r="A345">
            <v>60021</v>
          </cell>
        </row>
        <row r="346">
          <cell r="A346">
            <v>60022</v>
          </cell>
        </row>
        <row r="347">
          <cell r="A347">
            <v>60023</v>
          </cell>
        </row>
        <row r="348">
          <cell r="A348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39001_1</v>
          </cell>
        </row>
        <row r="662">
          <cell r="A662" t="str">
            <v>39001_2</v>
          </cell>
        </row>
        <row r="663">
          <cell r="A663" t="str">
            <v>39001_3</v>
          </cell>
        </row>
        <row r="664">
          <cell r="A664" t="str">
            <v>39001_4</v>
          </cell>
        </row>
        <row r="665">
          <cell r="A665" t="str">
            <v>39001_5</v>
          </cell>
        </row>
        <row r="666">
          <cell r="A666" t="str">
            <v>39002_1</v>
          </cell>
        </row>
        <row r="667">
          <cell r="A667" t="str">
            <v>39002_2</v>
          </cell>
        </row>
        <row r="668">
          <cell r="A668" t="str">
            <v>39002_3</v>
          </cell>
        </row>
        <row r="669">
          <cell r="A669" t="str">
            <v>39002_4</v>
          </cell>
        </row>
        <row r="670">
          <cell r="A670" t="str">
            <v>39003_1</v>
          </cell>
        </row>
        <row r="671">
          <cell r="A671" t="str">
            <v>39003_2</v>
          </cell>
        </row>
        <row r="672">
          <cell r="A672" t="str">
            <v>39003_3</v>
          </cell>
        </row>
        <row r="673">
          <cell r="A673" t="str">
            <v>39003_4</v>
          </cell>
        </row>
        <row r="674">
          <cell r="A674" t="str">
            <v>39004_1</v>
          </cell>
        </row>
        <row r="675">
          <cell r="A675" t="str">
            <v>39004_2</v>
          </cell>
        </row>
        <row r="676">
          <cell r="A676" t="str">
            <v>39004_3</v>
          </cell>
        </row>
        <row r="677">
          <cell r="A677" t="str">
            <v>39004_4</v>
          </cell>
        </row>
        <row r="678">
          <cell r="A678" t="str">
            <v>39005_1</v>
          </cell>
        </row>
        <row r="679">
          <cell r="A679" t="str">
            <v>39005_2</v>
          </cell>
        </row>
        <row r="680">
          <cell r="A680" t="str">
            <v>39005_3</v>
          </cell>
        </row>
        <row r="681">
          <cell r="A681" t="str">
            <v>39005_4</v>
          </cell>
        </row>
        <row r="682">
          <cell r="A682" t="str">
            <v>39005_5</v>
          </cell>
        </row>
        <row r="683">
          <cell r="A683" t="str">
            <v>39006_1</v>
          </cell>
        </row>
        <row r="684">
          <cell r="A684" t="str">
            <v>39006_2</v>
          </cell>
        </row>
        <row r="685">
          <cell r="A685" t="str">
            <v>39006_3</v>
          </cell>
        </row>
        <row r="686">
          <cell r="A686" t="str">
            <v>39006_4</v>
          </cell>
        </row>
        <row r="687">
          <cell r="A687" t="str">
            <v>39007_1</v>
          </cell>
        </row>
        <row r="688">
          <cell r="A688" t="str">
            <v>39007_2</v>
          </cell>
        </row>
        <row r="689">
          <cell r="A689" t="str">
            <v>39007_3</v>
          </cell>
        </row>
        <row r="690">
          <cell r="A690" t="str">
            <v>39007_4</v>
          </cell>
        </row>
        <row r="691">
          <cell r="A691" t="str">
            <v>39008_1</v>
          </cell>
        </row>
        <row r="692">
          <cell r="A692" t="str">
            <v>39008_2</v>
          </cell>
        </row>
        <row r="693">
          <cell r="A693" t="str">
            <v>39008_3</v>
          </cell>
        </row>
        <row r="694">
          <cell r="A694" t="str">
            <v>39008_4</v>
          </cell>
        </row>
        <row r="695">
          <cell r="A695" t="str">
            <v>39008_5</v>
          </cell>
        </row>
        <row r="696">
          <cell r="A696" t="str">
            <v>39009_1</v>
          </cell>
        </row>
        <row r="697">
          <cell r="A697" t="str">
            <v>39009_2</v>
          </cell>
        </row>
        <row r="698">
          <cell r="A698" t="str">
            <v>39009_3</v>
          </cell>
        </row>
        <row r="699">
          <cell r="A699" t="str">
            <v>39009_4</v>
          </cell>
        </row>
        <row r="700">
          <cell r="A700" t="str">
            <v>39009_5</v>
          </cell>
        </row>
        <row r="701">
          <cell r="A701" t="str">
            <v>39010_1</v>
          </cell>
        </row>
        <row r="702">
          <cell r="A702" t="str">
            <v>39010_2</v>
          </cell>
        </row>
        <row r="703">
          <cell r="A703" t="str">
            <v>39010_3</v>
          </cell>
        </row>
        <row r="704">
          <cell r="A704" t="str">
            <v>39010_4</v>
          </cell>
        </row>
        <row r="705">
          <cell r="A705" t="str">
            <v>39011_1</v>
          </cell>
        </row>
        <row r="706">
          <cell r="A706" t="str">
            <v>39011_2</v>
          </cell>
        </row>
        <row r="707">
          <cell r="A707" t="str">
            <v>39011_3</v>
          </cell>
        </row>
        <row r="708">
          <cell r="A708" t="str">
            <v>39011_4</v>
          </cell>
        </row>
        <row r="709">
          <cell r="A709" t="str">
            <v>39012_1</v>
          </cell>
        </row>
        <row r="710">
          <cell r="A710" t="str">
            <v>39012_2</v>
          </cell>
        </row>
        <row r="711">
          <cell r="A711" t="str">
            <v>39012_3</v>
          </cell>
        </row>
        <row r="712">
          <cell r="A712" t="str">
            <v>39012_4</v>
          </cell>
        </row>
        <row r="713">
          <cell r="A713" t="str">
            <v>39012_5</v>
          </cell>
        </row>
        <row r="714">
          <cell r="A714" t="str">
            <v>40001_1</v>
          </cell>
        </row>
        <row r="715">
          <cell r="A715" t="str">
            <v>40002_1</v>
          </cell>
        </row>
        <row r="716">
          <cell r="A716" t="str">
            <v>40002_2</v>
          </cell>
        </row>
        <row r="717">
          <cell r="A717" t="str">
            <v>40002_3</v>
          </cell>
        </row>
        <row r="718">
          <cell r="A718" t="str">
            <v>40003_1</v>
          </cell>
        </row>
        <row r="719">
          <cell r="A719" t="str">
            <v>40004_1</v>
          </cell>
        </row>
        <row r="720">
          <cell r="A720" t="str">
            <v>40005_1</v>
          </cell>
        </row>
        <row r="721">
          <cell r="A721" t="str">
            <v>40006_1</v>
          </cell>
        </row>
        <row r="722">
          <cell r="A722" t="str">
            <v>40007_1</v>
          </cell>
        </row>
        <row r="723">
          <cell r="A723" t="str">
            <v>40008_1</v>
          </cell>
        </row>
        <row r="724">
          <cell r="A724" t="str">
            <v>40009_1</v>
          </cell>
        </row>
        <row r="725">
          <cell r="A725" t="str">
            <v>40010_1</v>
          </cell>
        </row>
        <row r="726">
          <cell r="A726" t="str">
            <v>40011_1</v>
          </cell>
        </row>
        <row r="727">
          <cell r="A727" t="str">
            <v>40012_1</v>
          </cell>
        </row>
        <row r="728">
          <cell r="A728" t="str">
            <v>40013_1</v>
          </cell>
        </row>
        <row r="729">
          <cell r="A729" t="str">
            <v>40014_1</v>
          </cell>
        </row>
        <row r="730">
          <cell r="A730" t="str">
            <v>40015_1</v>
          </cell>
        </row>
        <row r="731">
          <cell r="A731" t="str">
            <v>40016_1</v>
          </cell>
        </row>
        <row r="732">
          <cell r="A732" t="str">
            <v>40016_2</v>
          </cell>
        </row>
        <row r="733">
          <cell r="A733" t="str">
            <v>40017_1</v>
          </cell>
        </row>
        <row r="734">
          <cell r="A734" t="str">
            <v>40017_2</v>
          </cell>
        </row>
        <row r="735">
          <cell r="A735" t="str">
            <v>40017_3</v>
          </cell>
        </row>
        <row r="736">
          <cell r="A736" t="str">
            <v>40018_1</v>
          </cell>
        </row>
        <row r="737">
          <cell r="A737" t="str">
            <v>40018_2</v>
          </cell>
        </row>
        <row r="738">
          <cell r="A738" t="str">
            <v>40018_3</v>
          </cell>
        </row>
        <row r="739">
          <cell r="A739" t="str">
            <v>40019_1</v>
          </cell>
        </row>
        <row r="740">
          <cell r="A740" t="str">
            <v>40019_2</v>
          </cell>
        </row>
        <row r="741">
          <cell r="A741" t="str">
            <v>40019_3</v>
          </cell>
        </row>
        <row r="742">
          <cell r="A742" t="str">
            <v>40021_1</v>
          </cell>
        </row>
        <row r="743">
          <cell r="A743" t="str">
            <v>40021_2</v>
          </cell>
        </row>
        <row r="744">
          <cell r="A744" t="str">
            <v>40022_1</v>
          </cell>
        </row>
        <row r="745">
          <cell r="A745" t="str">
            <v>40022_2</v>
          </cell>
        </row>
        <row r="746">
          <cell r="A746" t="str">
            <v>40023_1</v>
          </cell>
        </row>
        <row r="747">
          <cell r="A747" t="str">
            <v>40023_2</v>
          </cell>
        </row>
        <row r="748">
          <cell r="A748" t="str">
            <v>40024_1</v>
          </cell>
        </row>
        <row r="749">
          <cell r="A749" t="str">
            <v>40024_2</v>
          </cell>
        </row>
        <row r="750">
          <cell r="A750" t="str">
            <v>40025_1</v>
          </cell>
        </row>
        <row r="751">
          <cell r="A751" t="str">
            <v>40025_2</v>
          </cell>
        </row>
        <row r="752">
          <cell r="A752" t="str">
            <v>40026_1</v>
          </cell>
        </row>
        <row r="753">
          <cell r="A753" t="str">
            <v>40026_2</v>
          </cell>
        </row>
        <row r="754">
          <cell r="A754" t="str">
            <v>40027_1</v>
          </cell>
        </row>
        <row r="755">
          <cell r="A755" t="str">
            <v>40027_2</v>
          </cell>
        </row>
        <row r="756">
          <cell r="A756" t="str">
            <v>40028_1</v>
          </cell>
        </row>
        <row r="757">
          <cell r="A757" t="str">
            <v>40028_2</v>
          </cell>
        </row>
        <row r="758">
          <cell r="A758" t="str">
            <v>40029_1</v>
          </cell>
        </row>
        <row r="759">
          <cell r="A759" t="str">
            <v>40029_2</v>
          </cell>
        </row>
        <row r="760">
          <cell r="A760" t="str">
            <v>40030_1</v>
          </cell>
        </row>
        <row r="761">
          <cell r="A761" t="str">
            <v>40030_2</v>
          </cell>
        </row>
        <row r="762">
          <cell r="A762" t="str">
            <v>40031_1</v>
          </cell>
        </row>
        <row r="763">
          <cell r="A763" t="str">
            <v>40031_2</v>
          </cell>
        </row>
        <row r="764">
          <cell r="A764" t="str">
            <v>40032_1</v>
          </cell>
        </row>
        <row r="765">
          <cell r="A765" t="str">
            <v>40032_2</v>
          </cell>
        </row>
        <row r="766">
          <cell r="A766" t="str">
            <v>40033_1</v>
          </cell>
        </row>
        <row r="767">
          <cell r="A767" t="str">
            <v>40033_2</v>
          </cell>
        </row>
        <row r="768">
          <cell r="A768" t="str">
            <v>40034_1</v>
          </cell>
        </row>
        <row r="769">
          <cell r="A769" t="str">
            <v>40034_2</v>
          </cell>
        </row>
        <row r="770">
          <cell r="A770" t="str">
            <v>40035_1</v>
          </cell>
        </row>
        <row r="771">
          <cell r="A771" t="str">
            <v>40035_2</v>
          </cell>
        </row>
        <row r="772">
          <cell r="A772" t="str">
            <v>40036_1</v>
          </cell>
        </row>
        <row r="773">
          <cell r="A773" t="str">
            <v>40036_2</v>
          </cell>
        </row>
        <row r="774">
          <cell r="A774" t="str">
            <v>40037_1</v>
          </cell>
        </row>
        <row r="775">
          <cell r="A775" t="str">
            <v>40037_2</v>
          </cell>
        </row>
        <row r="776">
          <cell r="A776" t="str">
            <v>40038_1</v>
          </cell>
        </row>
        <row r="777">
          <cell r="A777" t="str">
            <v>40038_2</v>
          </cell>
        </row>
        <row r="778">
          <cell r="A778" t="str">
            <v>40039_1</v>
          </cell>
        </row>
        <row r="779">
          <cell r="A779" t="str">
            <v>40039_2</v>
          </cell>
        </row>
        <row r="780">
          <cell r="A780" t="str">
            <v>40040_1</v>
          </cell>
        </row>
        <row r="781">
          <cell r="A781" t="str">
            <v>40040_2</v>
          </cell>
        </row>
        <row r="782">
          <cell r="A782" t="str">
            <v>40041_1</v>
          </cell>
        </row>
        <row r="783">
          <cell r="A783" t="str">
            <v>40041_2</v>
          </cell>
        </row>
        <row r="784">
          <cell r="A784" t="str">
            <v>40042_1</v>
          </cell>
        </row>
        <row r="785">
          <cell r="A785" t="str">
            <v>40042_2</v>
          </cell>
        </row>
        <row r="786">
          <cell r="A786" t="str">
            <v>40043_1</v>
          </cell>
        </row>
        <row r="787">
          <cell r="A787" t="str">
            <v>40043_2</v>
          </cell>
        </row>
        <row r="788">
          <cell r="A788" t="str">
            <v>41001_1</v>
          </cell>
        </row>
        <row r="789">
          <cell r="A789" t="str">
            <v>41001_2</v>
          </cell>
        </row>
        <row r="790">
          <cell r="A790" t="str">
            <v>41001_3</v>
          </cell>
        </row>
        <row r="791">
          <cell r="A791" t="str">
            <v>41002_1</v>
          </cell>
        </row>
        <row r="792">
          <cell r="A792" t="str">
            <v>41002_2</v>
          </cell>
        </row>
        <row r="793">
          <cell r="A793" t="str">
            <v>41002_3</v>
          </cell>
        </row>
        <row r="794">
          <cell r="A794" t="str">
            <v>41003_1</v>
          </cell>
        </row>
        <row r="795">
          <cell r="A795" t="str">
            <v>41003_2</v>
          </cell>
        </row>
        <row r="796">
          <cell r="A796" t="str">
            <v>41003_3</v>
          </cell>
        </row>
        <row r="797">
          <cell r="A797" t="str">
            <v>41004_1</v>
          </cell>
        </row>
        <row r="798">
          <cell r="A798" t="str">
            <v>41004_2</v>
          </cell>
        </row>
        <row r="799">
          <cell r="A799" t="str">
            <v>41004_3</v>
          </cell>
        </row>
        <row r="800">
          <cell r="A800" t="str">
            <v>41005_1</v>
          </cell>
        </row>
        <row r="801">
          <cell r="A801" t="str">
            <v>41005_2</v>
          </cell>
        </row>
        <row r="802">
          <cell r="A802" t="str">
            <v>41005_3</v>
          </cell>
        </row>
        <row r="803">
          <cell r="A803" t="str">
            <v>41006_1</v>
          </cell>
        </row>
        <row r="804">
          <cell r="A804" t="str">
            <v>41006_2</v>
          </cell>
        </row>
        <row r="805">
          <cell r="A805" t="str">
            <v>41006_3</v>
          </cell>
        </row>
        <row r="806">
          <cell r="A806" t="str">
            <v>41007_1</v>
          </cell>
        </row>
        <row r="807">
          <cell r="A807" t="str">
            <v>41007_2</v>
          </cell>
        </row>
        <row r="808">
          <cell r="A808" t="str">
            <v>41007_3</v>
          </cell>
        </row>
        <row r="809">
          <cell r="A809" t="str">
            <v>41008_1</v>
          </cell>
        </row>
        <row r="810">
          <cell r="A810" t="str">
            <v>41008_2</v>
          </cell>
        </row>
        <row r="811">
          <cell r="A811" t="str">
            <v>41008_3</v>
          </cell>
        </row>
        <row r="812">
          <cell r="A812" t="str">
            <v>41009_1</v>
          </cell>
        </row>
        <row r="813">
          <cell r="A813" t="str">
            <v>41009_2</v>
          </cell>
        </row>
        <row r="814">
          <cell r="A814" t="str">
            <v>41009_3</v>
          </cell>
        </row>
        <row r="815">
          <cell r="A815" t="str">
            <v>41010_1</v>
          </cell>
        </row>
        <row r="816">
          <cell r="A816" t="str">
            <v>41010_2</v>
          </cell>
        </row>
        <row r="817">
          <cell r="A817" t="str">
            <v>41010_3</v>
          </cell>
        </row>
        <row r="818">
          <cell r="A818" t="str">
            <v>41011_1</v>
          </cell>
        </row>
        <row r="819">
          <cell r="A819" t="str">
            <v>41011_2</v>
          </cell>
        </row>
        <row r="820">
          <cell r="A820" t="str">
            <v>41012_1</v>
          </cell>
        </row>
        <row r="821">
          <cell r="A821" t="str">
            <v>41012_2</v>
          </cell>
        </row>
        <row r="822">
          <cell r="A822" t="str">
            <v>41013_1</v>
          </cell>
        </row>
        <row r="823">
          <cell r="A823" t="str">
            <v>41013_2</v>
          </cell>
        </row>
        <row r="824">
          <cell r="A824" t="str">
            <v>41014_1</v>
          </cell>
        </row>
        <row r="825">
          <cell r="A825" t="str">
            <v>41014_2</v>
          </cell>
        </row>
        <row r="826">
          <cell r="A826" t="str">
            <v>41015_1</v>
          </cell>
        </row>
        <row r="827">
          <cell r="A827" t="str">
            <v>41015_2</v>
          </cell>
        </row>
        <row r="828">
          <cell r="A828" t="str">
            <v>47001_1</v>
          </cell>
        </row>
        <row r="829">
          <cell r="A829" t="str">
            <v>47001_2</v>
          </cell>
        </row>
        <row r="830">
          <cell r="A830" t="str">
            <v>47002_1</v>
          </cell>
        </row>
        <row r="831">
          <cell r="A831" t="str">
            <v>47002_2</v>
          </cell>
        </row>
        <row r="832">
          <cell r="A832" t="str">
            <v>47003_1</v>
          </cell>
        </row>
        <row r="833">
          <cell r="A833" t="str">
            <v>47003_2</v>
          </cell>
        </row>
        <row r="834">
          <cell r="A834" t="str">
            <v>47003_3</v>
          </cell>
        </row>
        <row r="835">
          <cell r="A835" t="str">
            <v>47003_4</v>
          </cell>
        </row>
        <row r="836">
          <cell r="A836" t="str">
            <v>47004_1</v>
          </cell>
        </row>
        <row r="837">
          <cell r="A837" t="str">
            <v>47004_2</v>
          </cell>
        </row>
        <row r="838">
          <cell r="A838" t="str">
            <v>47004_3</v>
          </cell>
        </row>
        <row r="839">
          <cell r="A839" t="str">
            <v>47004_4</v>
          </cell>
        </row>
        <row r="840">
          <cell r="A840" t="str">
            <v>47005_1</v>
          </cell>
        </row>
        <row r="841">
          <cell r="A841" t="str">
            <v>47006_1</v>
          </cell>
        </row>
        <row r="842">
          <cell r="A842" t="str">
            <v>47006_2</v>
          </cell>
        </row>
        <row r="843">
          <cell r="A843" t="str">
            <v>47007_1</v>
          </cell>
        </row>
        <row r="844">
          <cell r="A844" t="str">
            <v>47007_2</v>
          </cell>
        </row>
        <row r="845">
          <cell r="A845" t="str">
            <v>47008_1</v>
          </cell>
        </row>
        <row r="846">
          <cell r="A846" t="str">
            <v>47008_2</v>
          </cell>
        </row>
        <row r="847">
          <cell r="A847" t="str">
            <v>47009_1</v>
          </cell>
        </row>
        <row r="848">
          <cell r="A848" t="str">
            <v>47009_2</v>
          </cell>
        </row>
        <row r="849">
          <cell r="A849" t="str">
            <v>47010_1</v>
          </cell>
        </row>
        <row r="850">
          <cell r="A850" t="str">
            <v>47010_2</v>
          </cell>
        </row>
        <row r="851">
          <cell r="A851" t="str">
            <v>47011_1</v>
          </cell>
        </row>
        <row r="852">
          <cell r="A852" t="str">
            <v>47012_1</v>
          </cell>
        </row>
        <row r="853">
          <cell r="A853" t="str">
            <v>47012_2</v>
          </cell>
        </row>
        <row r="854">
          <cell r="A854" t="str">
            <v>48001_1</v>
          </cell>
        </row>
        <row r="855">
          <cell r="A855" t="str">
            <v>48002_1</v>
          </cell>
        </row>
        <row r="856">
          <cell r="A856" t="str">
            <v>48002_2</v>
          </cell>
        </row>
        <row r="857">
          <cell r="A857" t="str">
            <v>48002_3</v>
          </cell>
        </row>
        <row r="858">
          <cell r="A858" t="str">
            <v>48003_1</v>
          </cell>
        </row>
        <row r="859">
          <cell r="A859" t="str">
            <v>48003_2</v>
          </cell>
        </row>
        <row r="860">
          <cell r="A860" t="str">
            <v>48004_1</v>
          </cell>
        </row>
        <row r="861">
          <cell r="A861" t="str">
            <v>48004_2</v>
          </cell>
        </row>
        <row r="862">
          <cell r="A862" t="str">
            <v>48005_1</v>
          </cell>
        </row>
        <row r="863">
          <cell r="A863" t="str">
            <v>48005_2</v>
          </cell>
        </row>
        <row r="864">
          <cell r="A864" t="str">
            <v>48006_1</v>
          </cell>
        </row>
        <row r="865">
          <cell r="A865" t="str">
            <v>48006_2</v>
          </cell>
        </row>
        <row r="866">
          <cell r="A866" t="str">
            <v>48007_1</v>
          </cell>
        </row>
        <row r="867">
          <cell r="A867" t="str">
            <v>48007_2</v>
          </cell>
        </row>
        <row r="868">
          <cell r="A868" t="str">
            <v>48008_1</v>
          </cell>
        </row>
        <row r="869">
          <cell r="A869" t="str">
            <v>48008_2</v>
          </cell>
        </row>
        <row r="870">
          <cell r="A870" t="str">
            <v>48009_1</v>
          </cell>
        </row>
        <row r="871">
          <cell r="A871" t="str">
            <v>48009_2</v>
          </cell>
        </row>
        <row r="872">
          <cell r="A872" t="str">
            <v>48010_1</v>
          </cell>
        </row>
        <row r="873">
          <cell r="A873" t="str">
            <v>48011_1</v>
          </cell>
        </row>
        <row r="874">
          <cell r="A874" t="str">
            <v>48011_2</v>
          </cell>
        </row>
        <row r="875">
          <cell r="A875" t="str">
            <v>48012_1</v>
          </cell>
        </row>
        <row r="876">
          <cell r="A876" t="str">
            <v>48012_2</v>
          </cell>
        </row>
        <row r="877">
          <cell r="A877" t="str">
            <v>48501_1</v>
          </cell>
        </row>
        <row r="878">
          <cell r="A878" t="str">
            <v>48501_2</v>
          </cell>
        </row>
        <row r="879">
          <cell r="A879" t="str">
            <v>48502_1</v>
          </cell>
        </row>
        <row r="880">
          <cell r="A880" t="str">
            <v>48502_2</v>
          </cell>
        </row>
        <row r="881">
          <cell r="A881" t="str">
            <v>48701_1</v>
          </cell>
        </row>
        <row r="882">
          <cell r="A882" t="str">
            <v>48701_2</v>
          </cell>
        </row>
        <row r="883">
          <cell r="A883" t="str">
            <v>49001_1</v>
          </cell>
        </row>
        <row r="884">
          <cell r="A884" t="str">
            <v>49002_1</v>
          </cell>
        </row>
        <row r="885">
          <cell r="A885" t="str">
            <v>49002_2</v>
          </cell>
        </row>
        <row r="886">
          <cell r="A886" t="str">
            <v>49003_1</v>
          </cell>
        </row>
        <row r="887">
          <cell r="A887" t="str">
            <v>49003_2</v>
          </cell>
        </row>
        <row r="888">
          <cell r="A888" t="str">
            <v>49004_1</v>
          </cell>
        </row>
        <row r="889">
          <cell r="A889" t="str">
            <v>49004_2</v>
          </cell>
        </row>
        <row r="890">
          <cell r="A890" t="str">
            <v>49004_3</v>
          </cell>
        </row>
        <row r="891">
          <cell r="A891" t="str">
            <v>49005_1</v>
          </cell>
        </row>
        <row r="892">
          <cell r="A892" t="str">
            <v>49006_1</v>
          </cell>
        </row>
        <row r="893">
          <cell r="A893" t="str">
            <v>49006_2</v>
          </cell>
        </row>
        <row r="894">
          <cell r="A894" t="str">
            <v>49007_1</v>
          </cell>
        </row>
        <row r="895">
          <cell r="A895" t="str">
            <v>49007_2</v>
          </cell>
        </row>
        <row r="896">
          <cell r="A896" t="str">
            <v>49007_3</v>
          </cell>
        </row>
        <row r="897">
          <cell r="A897" t="str">
            <v>49008_1</v>
          </cell>
        </row>
        <row r="898">
          <cell r="A898" t="str">
            <v>49009_1</v>
          </cell>
        </row>
        <row r="899">
          <cell r="A899" t="str">
            <v>49010_1</v>
          </cell>
        </row>
        <row r="900">
          <cell r="A900" t="str">
            <v>49011_1</v>
          </cell>
        </row>
        <row r="901">
          <cell r="A901" t="str">
            <v>49012_1</v>
          </cell>
        </row>
        <row r="902">
          <cell r="A902" t="str">
            <v>49013_1</v>
          </cell>
        </row>
        <row r="903">
          <cell r="A903" t="str">
            <v>49014_1</v>
          </cell>
        </row>
        <row r="904">
          <cell r="A904" t="str">
            <v>49014_2</v>
          </cell>
        </row>
        <row r="905">
          <cell r="A905" t="str">
            <v>49015_1</v>
          </cell>
        </row>
        <row r="906">
          <cell r="A906" t="str">
            <v>49015_2</v>
          </cell>
        </row>
        <row r="907">
          <cell r="A907" t="str">
            <v>49015_3</v>
          </cell>
        </row>
        <row r="908">
          <cell r="A908" t="str">
            <v>50001_1</v>
          </cell>
        </row>
        <row r="909">
          <cell r="A909" t="str">
            <v>50002_1</v>
          </cell>
        </row>
        <row r="910">
          <cell r="A910" t="str">
            <v>50003_1</v>
          </cell>
        </row>
        <row r="911">
          <cell r="A911" t="str">
            <v>50004_1</v>
          </cell>
        </row>
        <row r="912">
          <cell r="A912" t="str">
            <v>50005_1</v>
          </cell>
        </row>
        <row r="913">
          <cell r="A913" t="str">
            <v>50006_1</v>
          </cell>
        </row>
        <row r="914">
          <cell r="A914" t="str">
            <v>50007_1</v>
          </cell>
        </row>
        <row r="915">
          <cell r="A915" t="str">
            <v>50008_1</v>
          </cell>
        </row>
        <row r="916">
          <cell r="A916" t="str">
            <v>50009_1</v>
          </cell>
        </row>
        <row r="917">
          <cell r="A917" t="str">
            <v>50010_1</v>
          </cell>
        </row>
        <row r="918">
          <cell r="A918" t="str">
            <v>50011_1</v>
          </cell>
        </row>
        <row r="919">
          <cell r="A919" t="str">
            <v>50012_1</v>
          </cell>
        </row>
        <row r="920">
          <cell r="A920" t="str">
            <v>50013_1</v>
          </cell>
        </row>
        <row r="921">
          <cell r="A921" t="str">
            <v>50014_1</v>
          </cell>
        </row>
        <row r="922">
          <cell r="A922" t="str">
            <v>51001_1</v>
          </cell>
        </row>
        <row r="923">
          <cell r="A923" t="str">
            <v>51002_1</v>
          </cell>
        </row>
        <row r="924">
          <cell r="A924" t="str">
            <v>58001_1</v>
          </cell>
        </row>
        <row r="925">
          <cell r="A925" t="str">
            <v>59001_1</v>
          </cell>
        </row>
        <row r="926">
          <cell r="A926" t="str">
            <v>59002_1</v>
          </cell>
        </row>
        <row r="927">
          <cell r="A927" t="str">
            <v>60001_1</v>
          </cell>
        </row>
        <row r="928">
          <cell r="A928" t="str">
            <v>60002_1</v>
          </cell>
        </row>
        <row r="929">
          <cell r="A929" t="str">
            <v>60002_2</v>
          </cell>
        </row>
        <row r="930">
          <cell r="A930" t="str">
            <v>60003_1</v>
          </cell>
        </row>
        <row r="931">
          <cell r="A931" t="str">
            <v>60003_2</v>
          </cell>
        </row>
        <row r="932">
          <cell r="A932" t="str">
            <v>60003_3</v>
          </cell>
        </row>
        <row r="933">
          <cell r="A933" t="str">
            <v>60004_1</v>
          </cell>
        </row>
        <row r="934">
          <cell r="A934" t="str">
            <v>60005_1</v>
          </cell>
        </row>
        <row r="935">
          <cell r="A935" t="str">
            <v>60006_1</v>
          </cell>
        </row>
        <row r="936">
          <cell r="A936" t="str">
            <v>60006_2</v>
          </cell>
        </row>
        <row r="937">
          <cell r="A937" t="str">
            <v>60006_3</v>
          </cell>
        </row>
        <row r="938">
          <cell r="A938" t="str">
            <v>60007_1</v>
          </cell>
        </row>
        <row r="939">
          <cell r="A939" t="str">
            <v>60007_2</v>
          </cell>
        </row>
        <row r="940">
          <cell r="A940" t="str">
            <v>60007_3</v>
          </cell>
        </row>
        <row r="941">
          <cell r="A941" t="str">
            <v>60010_1</v>
          </cell>
        </row>
        <row r="942">
          <cell r="A942" t="str">
            <v>60011_1</v>
          </cell>
        </row>
        <row r="943">
          <cell r="A943" t="str">
            <v>60011_2</v>
          </cell>
        </row>
        <row r="944">
          <cell r="A944" t="str">
            <v>60012_1</v>
          </cell>
        </row>
        <row r="945">
          <cell r="A945" t="str">
            <v>60013_1</v>
          </cell>
        </row>
        <row r="946">
          <cell r="A946" t="str">
            <v>60013_2</v>
          </cell>
        </row>
        <row r="947">
          <cell r="A947" t="str">
            <v>60013_3</v>
          </cell>
        </row>
        <row r="948">
          <cell r="A948" t="str">
            <v>60014_1</v>
          </cell>
        </row>
        <row r="949">
          <cell r="A949" t="str">
            <v>60015_1</v>
          </cell>
        </row>
        <row r="950">
          <cell r="A950" t="str">
            <v>60016_1</v>
          </cell>
        </row>
        <row r="951">
          <cell r="A951" t="str">
            <v>60017_1</v>
          </cell>
        </row>
        <row r="952">
          <cell r="A952" t="str">
            <v>60018_1</v>
          </cell>
        </row>
        <row r="953">
          <cell r="A953" t="str">
            <v>60019_1</v>
          </cell>
        </row>
        <row r="954">
          <cell r="A954" t="str">
            <v>60020_1</v>
          </cell>
        </row>
        <row r="955">
          <cell r="A955" t="str">
            <v>60021_3</v>
          </cell>
        </row>
        <row r="956">
          <cell r="A956" t="str">
            <v>60022_3</v>
          </cell>
        </row>
        <row r="957">
          <cell r="A957" t="str">
            <v>60023_3</v>
          </cell>
        </row>
        <row r="958">
          <cell r="A958" t="str">
            <v>60024_3</v>
          </cell>
        </row>
        <row r="959">
          <cell r="A959" t="str">
            <v>60025_1</v>
          </cell>
        </row>
        <row r="960">
          <cell r="A960" t="str">
            <v>60026_1</v>
          </cell>
        </row>
        <row r="961">
          <cell r="A961" t="str">
            <v>61011_1</v>
          </cell>
        </row>
        <row r="962">
          <cell r="A962" t="str">
            <v>60027_1</v>
          </cell>
        </row>
        <row r="963">
          <cell r="A963" t="str">
            <v>60028_1</v>
          </cell>
        </row>
        <row r="964">
          <cell r="A964" t="str">
            <v>65525_1</v>
          </cell>
        </row>
        <row r="965">
          <cell r="A965" t="str">
            <v>65526_1</v>
          </cell>
        </row>
        <row r="966">
          <cell r="A966" t="str">
            <v>65526_2</v>
          </cell>
        </row>
        <row r="967">
          <cell r="A967" t="str">
            <v>65527_1</v>
          </cell>
        </row>
        <row r="968">
          <cell r="A968" t="str">
            <v>65528_1</v>
          </cell>
        </row>
        <row r="969">
          <cell r="A969" t="str">
            <v>65529_1</v>
          </cell>
        </row>
        <row r="970">
          <cell r="A970" t="str">
            <v>65530_1</v>
          </cell>
        </row>
        <row r="971">
          <cell r="A971" t="str">
            <v>65531_1</v>
          </cell>
        </row>
        <row r="972">
          <cell r="A972" t="str">
            <v>65531_2</v>
          </cell>
        </row>
        <row r="973">
          <cell r="A973" t="str">
            <v>65532_1</v>
          </cell>
        </row>
        <row r="974">
          <cell r="A974" t="str">
            <v>65532_2</v>
          </cell>
        </row>
        <row r="975">
          <cell r="A975" t="str">
            <v>65533_1</v>
          </cell>
        </row>
        <row r="976">
          <cell r="A976" t="str">
            <v>65533_2</v>
          </cell>
        </row>
        <row r="977">
          <cell r="A977" t="str">
            <v>65534_1</v>
          </cell>
        </row>
        <row r="978">
          <cell r="A978" t="str">
            <v>65534_2</v>
          </cell>
        </row>
        <row r="979">
          <cell r="A979" t="str">
            <v>65535_1</v>
          </cell>
        </row>
        <row r="980">
          <cell r="A980" t="str">
            <v>65535_2</v>
          </cell>
        </row>
        <row r="981">
          <cell r="A981" t="str">
            <v>65535_3</v>
          </cell>
        </row>
        <row r="982">
          <cell r="A982" t="str">
            <v>65535_4</v>
          </cell>
        </row>
        <row r="983">
          <cell r="A983" t="str">
            <v>65535_5</v>
          </cell>
        </row>
        <row r="984">
          <cell r="A984" t="str">
            <v>65535_6</v>
          </cell>
        </row>
        <row r="985">
          <cell r="A985" t="str">
            <v>65535_7</v>
          </cell>
        </row>
        <row r="986">
          <cell r="A986" t="str">
            <v>65535_8</v>
          </cell>
        </row>
        <row r="987">
          <cell r="A987" t="str">
            <v>65535_9</v>
          </cell>
        </row>
        <row r="988">
          <cell r="A98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1471</v>
          </cell>
        </row>
        <row r="1346">
          <cell r="A1346">
            <v>1495</v>
          </cell>
        </row>
        <row r="1347">
          <cell r="A1347">
            <v>1496</v>
          </cell>
        </row>
        <row r="1348">
          <cell r="A1348">
            <v>1497</v>
          </cell>
        </row>
        <row r="1349">
          <cell r="A1349">
            <v>1498</v>
          </cell>
        </row>
        <row r="1350">
          <cell r="A1350">
            <v>1499</v>
          </cell>
        </row>
        <row r="1351">
          <cell r="A1351">
            <v>1500</v>
          </cell>
        </row>
        <row r="1352">
          <cell r="A1352">
            <v>1501</v>
          </cell>
        </row>
        <row r="1353">
          <cell r="A1353">
            <v>1502</v>
          </cell>
        </row>
        <row r="1354">
          <cell r="A1354">
            <v>1503</v>
          </cell>
        </row>
        <row r="1355">
          <cell r="A1355">
            <v>1504</v>
          </cell>
        </row>
        <row r="1356">
          <cell r="A1356">
            <v>1505</v>
          </cell>
        </row>
        <row r="1357">
          <cell r="A1357">
            <v>1506</v>
          </cell>
        </row>
        <row r="1358">
          <cell r="A1358">
            <v>1507</v>
          </cell>
        </row>
        <row r="1359">
          <cell r="A1359">
            <v>1508</v>
          </cell>
        </row>
        <row r="1360">
          <cell r="A1360">
            <v>1509</v>
          </cell>
        </row>
        <row r="1361">
          <cell r="A1361">
            <v>1510</v>
          </cell>
        </row>
        <row r="1362">
          <cell r="A1362">
            <v>1511</v>
          </cell>
        </row>
        <row r="1363">
          <cell r="A1363">
            <v>1512</v>
          </cell>
        </row>
        <row r="1364">
          <cell r="A1364">
            <v>1523</v>
          </cell>
        </row>
        <row r="1365">
          <cell r="A1365">
            <v>1524</v>
          </cell>
        </row>
        <row r="1366">
          <cell r="A1366">
            <v>1525</v>
          </cell>
        </row>
        <row r="1367">
          <cell r="A1367">
            <v>1526</v>
          </cell>
        </row>
        <row r="1368">
          <cell r="A1368">
            <v>5001</v>
          </cell>
        </row>
        <row r="1369">
          <cell r="A1369">
            <v>5002</v>
          </cell>
        </row>
        <row r="1370">
          <cell r="A1370">
            <v>5003</v>
          </cell>
        </row>
        <row r="1371">
          <cell r="A1371">
            <v>5004</v>
          </cell>
        </row>
        <row r="1372">
          <cell r="A1372">
            <v>5005</v>
          </cell>
        </row>
        <row r="1373">
          <cell r="A1373">
            <v>5006</v>
          </cell>
        </row>
        <row r="1374">
          <cell r="A1374">
            <v>5007</v>
          </cell>
        </row>
        <row r="1375">
          <cell r="A1375">
            <v>5008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8073</v>
          </cell>
        </row>
        <row r="1469">
          <cell r="A1469">
            <v>8074</v>
          </cell>
        </row>
        <row r="1470">
          <cell r="A1470">
            <v>8077</v>
          </cell>
        </row>
        <row r="1471">
          <cell r="A1471">
            <v>8078</v>
          </cell>
        </row>
        <row r="1472">
          <cell r="A1472">
            <v>8079</v>
          </cell>
        </row>
        <row r="1473">
          <cell r="A1473">
            <v>8080</v>
          </cell>
        </row>
        <row r="1474">
          <cell r="A1474">
            <v>8081</v>
          </cell>
        </row>
        <row r="1475">
          <cell r="A1475">
            <v>8082</v>
          </cell>
        </row>
        <row r="1476">
          <cell r="A1476">
            <v>8083</v>
          </cell>
        </row>
        <row r="1477">
          <cell r="A1477">
            <v>8084</v>
          </cell>
        </row>
        <row r="1478">
          <cell r="A1478">
            <v>8087</v>
          </cell>
        </row>
        <row r="1479">
          <cell r="A1479">
            <v>8088</v>
          </cell>
        </row>
        <row r="1480">
          <cell r="A1480">
            <v>8089</v>
          </cell>
        </row>
        <row r="1481">
          <cell r="A1481">
            <v>8090</v>
          </cell>
        </row>
        <row r="1482">
          <cell r="A1482">
            <v>8095</v>
          </cell>
        </row>
        <row r="1483">
          <cell r="A1483">
            <v>8096</v>
          </cell>
        </row>
        <row r="1484">
          <cell r="A1484">
            <v>8097</v>
          </cell>
        </row>
        <row r="1485">
          <cell r="A1485">
            <v>8098</v>
          </cell>
        </row>
        <row r="1486">
          <cell r="A1486">
            <v>8099</v>
          </cell>
        </row>
        <row r="1487">
          <cell r="A1487">
            <v>8100</v>
          </cell>
        </row>
        <row r="1488">
          <cell r="A1488">
            <v>8101</v>
          </cell>
        </row>
        <row r="1489">
          <cell r="A1489">
            <v>8102</v>
          </cell>
        </row>
        <row r="1490">
          <cell r="A1490">
            <v>9001</v>
          </cell>
        </row>
        <row r="1491">
          <cell r="A1491">
            <v>9002</v>
          </cell>
        </row>
        <row r="1492">
          <cell r="A1492">
            <v>9003</v>
          </cell>
        </row>
        <row r="1493">
          <cell r="A1493">
            <v>9004</v>
          </cell>
        </row>
        <row r="1494">
          <cell r="A1494">
            <v>9005</v>
          </cell>
        </row>
        <row r="1495">
          <cell r="A1495">
            <v>9006</v>
          </cell>
        </row>
        <row r="1496">
          <cell r="A1496">
            <v>9007</v>
          </cell>
        </row>
        <row r="1497">
          <cell r="A1497">
            <v>9008</v>
          </cell>
        </row>
        <row r="1498">
          <cell r="A1498">
            <v>10101</v>
          </cell>
        </row>
        <row r="1499">
          <cell r="A1499">
            <v>10102</v>
          </cell>
        </row>
        <row r="1500">
          <cell r="A1500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1431</v>
          </cell>
        </row>
        <row r="1403">
          <cell r="A1403">
            <v>1432</v>
          </cell>
        </row>
        <row r="1404">
          <cell r="A1404">
            <v>1433</v>
          </cell>
        </row>
        <row r="1405">
          <cell r="A1405">
            <v>1434</v>
          </cell>
        </row>
        <row r="1406">
          <cell r="A1406">
            <v>1435</v>
          </cell>
        </row>
        <row r="1407">
          <cell r="A1407">
            <v>1452</v>
          </cell>
        </row>
        <row r="1408">
          <cell r="A1408">
            <v>1453</v>
          </cell>
        </row>
        <row r="1409">
          <cell r="A1409">
            <v>1454</v>
          </cell>
        </row>
        <row r="1410">
          <cell r="A1410">
            <v>1455</v>
          </cell>
        </row>
        <row r="1411">
          <cell r="A1411">
            <v>1456</v>
          </cell>
        </row>
        <row r="1412">
          <cell r="A1412">
            <v>1457</v>
          </cell>
        </row>
        <row r="1413">
          <cell r="A1413">
            <v>1458</v>
          </cell>
        </row>
        <row r="1414">
          <cell r="A1414">
            <v>1459</v>
          </cell>
        </row>
        <row r="1415">
          <cell r="A1415">
            <v>1460</v>
          </cell>
        </row>
        <row r="1416">
          <cell r="A1416">
            <v>1461</v>
          </cell>
        </row>
        <row r="1417">
          <cell r="A1417">
            <v>1462</v>
          </cell>
        </row>
        <row r="1418">
          <cell r="A1418">
            <v>1463</v>
          </cell>
        </row>
        <row r="1419">
          <cell r="A1419">
            <v>1464</v>
          </cell>
        </row>
        <row r="1420">
          <cell r="A1420">
            <v>1465</v>
          </cell>
        </row>
        <row r="1421">
          <cell r="A1421">
            <v>1466</v>
          </cell>
        </row>
        <row r="1422">
          <cell r="A1422">
            <v>1467</v>
          </cell>
        </row>
        <row r="1423">
          <cell r="A1423">
            <v>1468</v>
          </cell>
        </row>
        <row r="1424">
          <cell r="A1424">
            <v>1469</v>
          </cell>
        </row>
        <row r="1425">
          <cell r="A1425">
            <v>1470</v>
          </cell>
        </row>
        <row r="1426">
          <cell r="A1426">
            <v>1471</v>
          </cell>
        </row>
        <row r="1427">
          <cell r="A1427">
            <v>1488</v>
          </cell>
        </row>
        <row r="1428">
          <cell r="A1428">
            <v>1489</v>
          </cell>
        </row>
        <row r="1429">
          <cell r="A1429">
            <v>1495</v>
          </cell>
        </row>
        <row r="1430">
          <cell r="A1430">
            <v>1496</v>
          </cell>
        </row>
        <row r="1431">
          <cell r="A1431">
            <v>1497</v>
          </cell>
        </row>
        <row r="1432">
          <cell r="A1432">
            <v>1498</v>
          </cell>
        </row>
        <row r="1433">
          <cell r="A1433">
            <v>1499</v>
          </cell>
        </row>
        <row r="1434">
          <cell r="A1434">
            <v>1500</v>
          </cell>
        </row>
        <row r="1435">
          <cell r="A1435">
            <v>1501</v>
          </cell>
        </row>
        <row r="1436">
          <cell r="A1436">
            <v>1502</v>
          </cell>
        </row>
        <row r="1437">
          <cell r="A1437">
            <v>1503</v>
          </cell>
        </row>
        <row r="1438">
          <cell r="A1438">
            <v>1504</v>
          </cell>
        </row>
        <row r="1439">
          <cell r="A1439">
            <v>1505</v>
          </cell>
        </row>
        <row r="1440">
          <cell r="A1440">
            <v>1506</v>
          </cell>
        </row>
        <row r="1441">
          <cell r="A1441">
            <v>1507</v>
          </cell>
        </row>
        <row r="1442">
          <cell r="A1442">
            <v>1508</v>
          </cell>
        </row>
        <row r="1443">
          <cell r="A1443">
            <v>1509</v>
          </cell>
        </row>
        <row r="1444">
          <cell r="A1444">
            <v>1510</v>
          </cell>
        </row>
        <row r="1445">
          <cell r="A1445">
            <v>1511</v>
          </cell>
        </row>
        <row r="1446">
          <cell r="A1446">
            <v>1512</v>
          </cell>
        </row>
        <row r="1447">
          <cell r="A1447">
            <v>1513</v>
          </cell>
        </row>
        <row r="1448">
          <cell r="A1448">
            <v>1514</v>
          </cell>
        </row>
        <row r="1449">
          <cell r="A1449">
            <v>1515</v>
          </cell>
        </row>
        <row r="1450">
          <cell r="A1450">
            <v>1516</v>
          </cell>
        </row>
        <row r="1451">
          <cell r="A1451">
            <v>1517</v>
          </cell>
        </row>
        <row r="1452">
          <cell r="A1452">
            <v>1518</v>
          </cell>
        </row>
        <row r="1453">
          <cell r="A1453">
            <v>1519</v>
          </cell>
        </row>
        <row r="1454">
          <cell r="A1454">
            <v>1520</v>
          </cell>
        </row>
        <row r="1455">
          <cell r="A1455">
            <v>1521</v>
          </cell>
        </row>
        <row r="1456">
          <cell r="A1456">
            <v>1522</v>
          </cell>
        </row>
        <row r="1457">
          <cell r="A1457">
            <v>1523</v>
          </cell>
        </row>
        <row r="1458">
          <cell r="A1458">
            <v>1524</v>
          </cell>
        </row>
        <row r="1459">
          <cell r="A1459">
            <v>1525</v>
          </cell>
        </row>
        <row r="1460">
          <cell r="A1460">
            <v>1526</v>
          </cell>
        </row>
        <row r="1461">
          <cell r="A1461">
            <v>1527</v>
          </cell>
        </row>
        <row r="1462">
          <cell r="A1462">
            <v>1528</v>
          </cell>
        </row>
        <row r="1463">
          <cell r="A1463">
            <v>1529</v>
          </cell>
        </row>
        <row r="1464">
          <cell r="A1464">
            <v>1530</v>
          </cell>
        </row>
        <row r="1465">
          <cell r="A1465">
            <v>1531</v>
          </cell>
        </row>
        <row r="1466">
          <cell r="A1466">
            <v>1532</v>
          </cell>
        </row>
        <row r="1467">
          <cell r="A1467">
            <v>1533</v>
          </cell>
        </row>
        <row r="1468">
          <cell r="A1468">
            <v>1534</v>
          </cell>
        </row>
        <row r="1469">
          <cell r="A1469">
            <v>1535</v>
          </cell>
        </row>
        <row r="1470">
          <cell r="A1470">
            <v>1536</v>
          </cell>
        </row>
        <row r="1471">
          <cell r="A1471">
            <v>1537</v>
          </cell>
        </row>
        <row r="1472">
          <cell r="A1472">
            <v>1538</v>
          </cell>
        </row>
        <row r="1473">
          <cell r="A1473">
            <v>1539</v>
          </cell>
        </row>
        <row r="1474">
          <cell r="A1474">
            <v>1540</v>
          </cell>
        </row>
        <row r="1475">
          <cell r="A1475">
            <v>1541</v>
          </cell>
        </row>
        <row r="1476">
          <cell r="A1476">
            <v>1542</v>
          </cell>
        </row>
        <row r="1477">
          <cell r="A1477">
            <v>1543</v>
          </cell>
        </row>
        <row r="1478">
          <cell r="A1478">
            <v>1544</v>
          </cell>
        </row>
        <row r="1479">
          <cell r="A1479">
            <v>1545</v>
          </cell>
        </row>
        <row r="1480">
          <cell r="A1480">
            <v>1546</v>
          </cell>
        </row>
        <row r="1481">
          <cell r="A1481">
            <v>1547</v>
          </cell>
        </row>
        <row r="1482">
          <cell r="A1482">
            <v>1548</v>
          </cell>
        </row>
        <row r="1483">
          <cell r="A1483">
            <v>1549</v>
          </cell>
        </row>
        <row r="1484">
          <cell r="A1484">
            <v>1550</v>
          </cell>
        </row>
        <row r="1485">
          <cell r="A1485">
            <v>5001</v>
          </cell>
        </row>
        <row r="1486">
          <cell r="A1486">
            <v>5002</v>
          </cell>
        </row>
        <row r="1487">
          <cell r="A1487">
            <v>5003</v>
          </cell>
        </row>
        <row r="1488">
          <cell r="A1488">
            <v>5004</v>
          </cell>
        </row>
        <row r="1489">
          <cell r="A1489">
            <v>5005</v>
          </cell>
        </row>
        <row r="1490">
          <cell r="A1490">
            <v>5006</v>
          </cell>
        </row>
        <row r="1491">
          <cell r="A1491">
            <v>5007</v>
          </cell>
        </row>
        <row r="1492">
          <cell r="A1492">
            <v>5008</v>
          </cell>
        </row>
        <row r="1493">
          <cell r="A1493">
            <v>6001</v>
          </cell>
        </row>
        <row r="1494">
          <cell r="A1494">
            <v>6002</v>
          </cell>
        </row>
        <row r="1495">
          <cell r="A1495">
            <v>6003</v>
          </cell>
        </row>
        <row r="1496">
          <cell r="A1496">
            <v>6004</v>
          </cell>
        </row>
        <row r="1497">
          <cell r="A1497">
            <v>6005</v>
          </cell>
        </row>
        <row r="1498">
          <cell r="A1498">
            <v>6006</v>
          </cell>
        </row>
        <row r="1499">
          <cell r="A1499">
            <v>6007</v>
          </cell>
        </row>
        <row r="1500">
          <cell r="A1500">
            <v>6008</v>
          </cell>
        </row>
        <row r="1501">
          <cell r="A1501">
            <v>6009</v>
          </cell>
        </row>
        <row r="1502">
          <cell r="A1502">
            <v>6010</v>
          </cell>
        </row>
        <row r="1503">
          <cell r="A1503">
            <v>6011</v>
          </cell>
        </row>
        <row r="1504">
          <cell r="A1504">
            <v>6012</v>
          </cell>
        </row>
        <row r="1505">
          <cell r="A1505">
            <v>6013</v>
          </cell>
        </row>
        <row r="1506">
          <cell r="A1506">
            <v>6014</v>
          </cell>
        </row>
        <row r="1507">
          <cell r="A1507">
            <v>6015</v>
          </cell>
        </row>
        <row r="1508">
          <cell r="A1508">
            <v>6016</v>
          </cell>
        </row>
        <row r="1509">
          <cell r="A1509">
            <v>6017</v>
          </cell>
        </row>
        <row r="1510">
          <cell r="A1510">
            <v>6018</v>
          </cell>
        </row>
        <row r="1511">
          <cell r="A1511">
            <v>6019</v>
          </cell>
        </row>
        <row r="1512">
          <cell r="A1512">
            <v>6020</v>
          </cell>
        </row>
        <row r="1513">
          <cell r="A1513">
            <v>8001</v>
          </cell>
        </row>
        <row r="1514">
          <cell r="A1514">
            <v>8002</v>
          </cell>
        </row>
        <row r="1515">
          <cell r="A1515">
            <v>8003</v>
          </cell>
        </row>
        <row r="1516">
          <cell r="A1516">
            <v>8004</v>
          </cell>
        </row>
        <row r="1517">
          <cell r="A1517">
            <v>8005</v>
          </cell>
        </row>
        <row r="1518">
          <cell r="A1518">
            <v>8006</v>
          </cell>
        </row>
        <row r="1519">
          <cell r="A1519">
            <v>8007</v>
          </cell>
        </row>
        <row r="1520">
          <cell r="A1520">
            <v>8008</v>
          </cell>
        </row>
        <row r="1521">
          <cell r="A1521">
            <v>8009</v>
          </cell>
        </row>
        <row r="1522">
          <cell r="A1522">
            <v>8010</v>
          </cell>
        </row>
        <row r="1523">
          <cell r="A1523">
            <v>8011</v>
          </cell>
        </row>
        <row r="1524">
          <cell r="A1524">
            <v>8012</v>
          </cell>
        </row>
        <row r="1525">
          <cell r="A1525">
            <v>8013</v>
          </cell>
        </row>
        <row r="1526">
          <cell r="A1526">
            <v>8014</v>
          </cell>
        </row>
        <row r="1527">
          <cell r="A1527">
            <v>8015</v>
          </cell>
        </row>
        <row r="1528">
          <cell r="A1528">
            <v>8016</v>
          </cell>
        </row>
        <row r="1529">
          <cell r="A1529">
            <v>8017</v>
          </cell>
        </row>
        <row r="1530">
          <cell r="A1530">
            <v>8018</v>
          </cell>
        </row>
        <row r="1531">
          <cell r="A1531">
            <v>8019</v>
          </cell>
        </row>
        <row r="1532">
          <cell r="A1532">
            <v>8020</v>
          </cell>
        </row>
        <row r="1533">
          <cell r="A1533">
            <v>8021</v>
          </cell>
        </row>
        <row r="1534">
          <cell r="A1534">
            <v>8022</v>
          </cell>
        </row>
        <row r="1535">
          <cell r="A1535">
            <v>8023</v>
          </cell>
        </row>
        <row r="1536">
          <cell r="A1536">
            <v>8024</v>
          </cell>
        </row>
        <row r="1537">
          <cell r="A1537">
            <v>8025</v>
          </cell>
        </row>
        <row r="1538">
          <cell r="A1538">
            <v>8026</v>
          </cell>
        </row>
        <row r="1539">
          <cell r="A1539">
            <v>8027</v>
          </cell>
        </row>
        <row r="1540">
          <cell r="A1540">
            <v>8028</v>
          </cell>
        </row>
        <row r="1541">
          <cell r="A1541">
            <v>8029</v>
          </cell>
        </row>
        <row r="1542">
          <cell r="A1542">
            <v>8030</v>
          </cell>
        </row>
        <row r="1543">
          <cell r="A1543">
            <v>8031</v>
          </cell>
        </row>
        <row r="1544">
          <cell r="A1544">
            <v>8032</v>
          </cell>
        </row>
        <row r="1545">
          <cell r="A1545">
            <v>8033</v>
          </cell>
        </row>
        <row r="1546">
          <cell r="A1546">
            <v>8034</v>
          </cell>
        </row>
        <row r="1547">
          <cell r="A1547">
            <v>8035</v>
          </cell>
        </row>
        <row r="1548">
          <cell r="A1548">
            <v>8036</v>
          </cell>
        </row>
        <row r="1549">
          <cell r="A1549">
            <v>8037</v>
          </cell>
        </row>
        <row r="1550">
          <cell r="A1550">
            <v>8038</v>
          </cell>
        </row>
        <row r="1551">
          <cell r="A1551">
            <v>8039</v>
          </cell>
        </row>
        <row r="1552">
          <cell r="A1552">
            <v>8040</v>
          </cell>
        </row>
        <row r="1553">
          <cell r="A1553">
            <v>8041</v>
          </cell>
        </row>
        <row r="1554">
          <cell r="A1554">
            <v>8042</v>
          </cell>
        </row>
        <row r="1555">
          <cell r="A1555">
            <v>8043</v>
          </cell>
        </row>
        <row r="1556">
          <cell r="A1556">
            <v>8044</v>
          </cell>
        </row>
        <row r="1557">
          <cell r="A1557">
            <v>8045</v>
          </cell>
        </row>
        <row r="1558">
          <cell r="A1558">
            <v>8046</v>
          </cell>
        </row>
        <row r="1559">
          <cell r="A1559">
            <v>8047</v>
          </cell>
        </row>
        <row r="1560">
          <cell r="A1560">
            <v>8048</v>
          </cell>
        </row>
        <row r="1561">
          <cell r="A1561">
            <v>8049</v>
          </cell>
        </row>
        <row r="1562">
          <cell r="A1562">
            <v>8050</v>
          </cell>
        </row>
        <row r="1563">
          <cell r="A1563">
            <v>8051</v>
          </cell>
        </row>
        <row r="1564">
          <cell r="A1564">
            <v>8052</v>
          </cell>
        </row>
        <row r="1565">
          <cell r="A1565">
            <v>8053</v>
          </cell>
        </row>
        <row r="1566">
          <cell r="A1566">
            <v>8054</v>
          </cell>
        </row>
        <row r="1567">
          <cell r="A1567">
            <v>8055</v>
          </cell>
        </row>
        <row r="1568">
          <cell r="A1568">
            <v>8056</v>
          </cell>
        </row>
        <row r="1569">
          <cell r="A1569">
            <v>8057</v>
          </cell>
        </row>
        <row r="1570">
          <cell r="A1570">
            <v>8058</v>
          </cell>
        </row>
        <row r="1571">
          <cell r="A1571">
            <v>8059</v>
          </cell>
        </row>
        <row r="1572">
          <cell r="A1572">
            <v>8060</v>
          </cell>
        </row>
        <row r="1573">
          <cell r="A1573">
            <v>8061</v>
          </cell>
        </row>
        <row r="1574">
          <cell r="A1574">
            <v>8062</v>
          </cell>
        </row>
        <row r="1575">
          <cell r="A1575">
            <v>8063</v>
          </cell>
        </row>
        <row r="1576">
          <cell r="A1576">
            <v>8064</v>
          </cell>
        </row>
        <row r="1577">
          <cell r="A1577">
            <v>8065</v>
          </cell>
        </row>
        <row r="1578">
          <cell r="A1578">
            <v>8066</v>
          </cell>
        </row>
        <row r="1579">
          <cell r="A1579">
            <v>8067</v>
          </cell>
        </row>
        <row r="1580">
          <cell r="A1580">
            <v>8068</v>
          </cell>
        </row>
        <row r="1581">
          <cell r="A1581">
            <v>8069</v>
          </cell>
        </row>
        <row r="1582">
          <cell r="A1582">
            <v>8070</v>
          </cell>
        </row>
        <row r="1583">
          <cell r="A1583">
            <v>8071</v>
          </cell>
        </row>
        <row r="1584">
          <cell r="A1584">
            <v>8072</v>
          </cell>
        </row>
        <row r="1585">
          <cell r="A1585">
            <v>8073</v>
          </cell>
        </row>
        <row r="1586">
          <cell r="A1586">
            <v>8074</v>
          </cell>
        </row>
        <row r="1587">
          <cell r="A1587">
            <v>8075</v>
          </cell>
        </row>
        <row r="1588">
          <cell r="A1588">
            <v>8076</v>
          </cell>
        </row>
        <row r="1589">
          <cell r="A1589">
            <v>8077</v>
          </cell>
        </row>
        <row r="1590">
          <cell r="A1590">
            <v>8078</v>
          </cell>
        </row>
        <row r="1591">
          <cell r="A1591">
            <v>8079</v>
          </cell>
        </row>
        <row r="1592">
          <cell r="A1592">
            <v>8080</v>
          </cell>
        </row>
        <row r="1593">
          <cell r="A1593">
            <v>8081</v>
          </cell>
        </row>
        <row r="1594">
          <cell r="A1594">
            <v>8082</v>
          </cell>
        </row>
        <row r="1595">
          <cell r="A1595">
            <v>8083</v>
          </cell>
        </row>
        <row r="1596">
          <cell r="A1596">
            <v>8084</v>
          </cell>
        </row>
        <row r="1597">
          <cell r="A1597">
            <v>8087</v>
          </cell>
        </row>
        <row r="1598">
          <cell r="A1598">
            <v>8088</v>
          </cell>
        </row>
        <row r="1599">
          <cell r="A1599">
            <v>8089</v>
          </cell>
        </row>
        <row r="1600">
          <cell r="A1600">
            <v>8090</v>
          </cell>
        </row>
        <row r="1601">
          <cell r="A1601">
            <v>8095</v>
          </cell>
        </row>
        <row r="1602">
          <cell r="A1602">
            <v>8096</v>
          </cell>
        </row>
        <row r="1603">
          <cell r="A1603">
            <v>8097</v>
          </cell>
        </row>
        <row r="1604">
          <cell r="A1604">
            <v>8098</v>
          </cell>
        </row>
        <row r="1605">
          <cell r="A1605">
            <v>8099</v>
          </cell>
        </row>
        <row r="1606">
          <cell r="A1606">
            <v>8100</v>
          </cell>
        </row>
        <row r="1607">
          <cell r="A1607">
            <v>8101</v>
          </cell>
        </row>
        <row r="1608">
          <cell r="A1608">
            <v>8102</v>
          </cell>
        </row>
        <row r="1609">
          <cell r="A1609">
            <v>9001</v>
          </cell>
        </row>
        <row r="1610">
          <cell r="A1610">
            <v>9002</v>
          </cell>
        </row>
        <row r="1611">
          <cell r="A1611">
            <v>9003</v>
          </cell>
        </row>
        <row r="1612">
          <cell r="A1612">
            <v>9004</v>
          </cell>
        </row>
        <row r="1613">
          <cell r="A1613">
            <v>9005</v>
          </cell>
        </row>
        <row r="1614">
          <cell r="A1614">
            <v>9006</v>
          </cell>
        </row>
        <row r="1615">
          <cell r="A1615">
            <v>9007</v>
          </cell>
        </row>
        <row r="1616">
          <cell r="A1616">
            <v>9008</v>
          </cell>
        </row>
        <row r="1617">
          <cell r="A1617">
            <v>10001</v>
          </cell>
        </row>
        <row r="1618">
          <cell r="A1618">
            <v>10002</v>
          </cell>
        </row>
        <row r="1619">
          <cell r="A1619">
            <v>10003</v>
          </cell>
        </row>
        <row r="1620">
          <cell r="A1620">
            <v>10004</v>
          </cell>
        </row>
        <row r="1621">
          <cell r="A1621">
            <v>10005</v>
          </cell>
        </row>
        <row r="1622">
          <cell r="A1622">
            <v>10006</v>
          </cell>
        </row>
        <row r="1623">
          <cell r="A1623">
            <v>10007</v>
          </cell>
        </row>
        <row r="1624">
          <cell r="A1624">
            <v>10008</v>
          </cell>
        </row>
        <row r="1625">
          <cell r="A1625">
            <v>10009</v>
          </cell>
        </row>
        <row r="1626">
          <cell r="A1626">
            <v>10010</v>
          </cell>
        </row>
        <row r="1627">
          <cell r="A1627">
            <v>10011</v>
          </cell>
        </row>
        <row r="1628">
          <cell r="A1628">
            <v>10012</v>
          </cell>
        </row>
        <row r="1629">
          <cell r="A1629">
            <v>10013</v>
          </cell>
        </row>
        <row r="1630">
          <cell r="A1630">
            <v>10014</v>
          </cell>
        </row>
        <row r="1631">
          <cell r="A1631">
            <v>10015</v>
          </cell>
        </row>
        <row r="1632">
          <cell r="A1632">
            <v>10016</v>
          </cell>
        </row>
        <row r="1633">
          <cell r="A1633">
            <v>10017</v>
          </cell>
        </row>
        <row r="1634">
          <cell r="A1634">
            <v>10018</v>
          </cell>
        </row>
        <row r="1635">
          <cell r="A1635">
            <v>10019</v>
          </cell>
        </row>
        <row r="1636">
          <cell r="A1636">
            <v>10020</v>
          </cell>
        </row>
        <row r="1637">
          <cell r="A1637">
            <v>10021</v>
          </cell>
        </row>
        <row r="1638">
          <cell r="A1638">
            <v>10022</v>
          </cell>
        </row>
        <row r="1639">
          <cell r="A1639">
            <v>10023</v>
          </cell>
        </row>
        <row r="1640">
          <cell r="A1640">
            <v>10024</v>
          </cell>
        </row>
        <row r="1641">
          <cell r="A1641">
            <v>10025</v>
          </cell>
        </row>
        <row r="1642">
          <cell r="A1642">
            <v>10026</v>
          </cell>
        </row>
        <row r="1643">
          <cell r="A1643">
            <v>10027</v>
          </cell>
        </row>
        <row r="1644">
          <cell r="A1644">
            <v>10028</v>
          </cell>
        </row>
        <row r="1645">
          <cell r="A1645">
            <v>10029</v>
          </cell>
        </row>
        <row r="1646">
          <cell r="A1646">
            <v>10030</v>
          </cell>
        </row>
        <row r="1647">
          <cell r="A1647">
            <v>10031</v>
          </cell>
        </row>
        <row r="1648">
          <cell r="A1648">
            <v>10032</v>
          </cell>
        </row>
        <row r="1649">
          <cell r="A1649">
            <v>10033</v>
          </cell>
        </row>
        <row r="1650">
          <cell r="A1650">
            <v>10034</v>
          </cell>
        </row>
        <row r="1651">
          <cell r="A1651">
            <v>10035</v>
          </cell>
        </row>
        <row r="1652">
          <cell r="A1652">
            <v>10036</v>
          </cell>
        </row>
        <row r="1653">
          <cell r="A1653">
            <v>10037</v>
          </cell>
        </row>
        <row r="1654">
          <cell r="A1654">
            <v>10038</v>
          </cell>
        </row>
        <row r="1655">
          <cell r="A1655">
            <v>10039</v>
          </cell>
        </row>
        <row r="1656">
          <cell r="A1656">
            <v>10040</v>
          </cell>
        </row>
        <row r="1657">
          <cell r="A1657">
            <v>10041</v>
          </cell>
        </row>
        <row r="1658">
          <cell r="A1658">
            <v>10042</v>
          </cell>
        </row>
        <row r="1659">
          <cell r="A1659">
            <v>10043</v>
          </cell>
        </row>
        <row r="1660">
          <cell r="A1660">
            <v>10044</v>
          </cell>
        </row>
        <row r="1661">
          <cell r="A1661">
            <v>10045</v>
          </cell>
        </row>
        <row r="1662">
          <cell r="A1662">
            <v>10046</v>
          </cell>
        </row>
        <row r="1663">
          <cell r="A1663">
            <v>10047</v>
          </cell>
        </row>
        <row r="1664">
          <cell r="A1664">
            <v>10048</v>
          </cell>
        </row>
        <row r="1665">
          <cell r="A1665">
            <v>10049</v>
          </cell>
        </row>
        <row r="1666">
          <cell r="A1666">
            <v>10050</v>
          </cell>
        </row>
        <row r="1667">
          <cell r="A1667">
            <v>10051</v>
          </cell>
        </row>
        <row r="1668">
          <cell r="A1668">
            <v>10052</v>
          </cell>
        </row>
        <row r="1669">
          <cell r="A1669">
            <v>10053</v>
          </cell>
        </row>
        <row r="1670">
          <cell r="A1670">
            <v>10054</v>
          </cell>
        </row>
        <row r="1671">
          <cell r="A1671">
            <v>10055</v>
          </cell>
        </row>
        <row r="1672">
          <cell r="A1672">
            <v>10056</v>
          </cell>
        </row>
        <row r="1673">
          <cell r="A1673">
            <v>10057</v>
          </cell>
        </row>
        <row r="1674">
          <cell r="A1674">
            <v>10058</v>
          </cell>
        </row>
        <row r="1675">
          <cell r="A1675">
            <v>10059</v>
          </cell>
        </row>
        <row r="1676">
          <cell r="A1676">
            <v>10060</v>
          </cell>
        </row>
        <row r="1677">
          <cell r="A1677">
            <v>10061</v>
          </cell>
        </row>
        <row r="1678">
          <cell r="A1678">
            <v>10062</v>
          </cell>
        </row>
        <row r="1679">
          <cell r="A1679">
            <v>10063</v>
          </cell>
        </row>
        <row r="1680">
          <cell r="A1680">
            <v>10064</v>
          </cell>
        </row>
        <row r="1681">
          <cell r="A1681">
            <v>10065</v>
          </cell>
        </row>
        <row r="1682">
          <cell r="A1682">
            <v>10066</v>
          </cell>
        </row>
        <row r="1683">
          <cell r="A1683">
            <v>10067</v>
          </cell>
        </row>
        <row r="1684">
          <cell r="A1684">
            <v>10068</v>
          </cell>
        </row>
        <row r="1685">
          <cell r="A1685">
            <v>10069</v>
          </cell>
        </row>
        <row r="1686">
          <cell r="A1686">
            <v>10070</v>
          </cell>
        </row>
        <row r="1687">
          <cell r="A1687">
            <v>10071</v>
          </cell>
        </row>
        <row r="1688">
          <cell r="A1688">
            <v>10072</v>
          </cell>
        </row>
        <row r="1689">
          <cell r="A1689">
            <v>10073</v>
          </cell>
        </row>
        <row r="1690">
          <cell r="A1690">
            <v>10074</v>
          </cell>
        </row>
        <row r="1691">
          <cell r="A1691">
            <v>10075</v>
          </cell>
        </row>
        <row r="1692">
          <cell r="A1692">
            <v>10076</v>
          </cell>
        </row>
        <row r="1693">
          <cell r="A1693">
            <v>10077</v>
          </cell>
        </row>
        <row r="1694">
          <cell r="A1694">
            <v>10078</v>
          </cell>
        </row>
        <row r="1695">
          <cell r="A1695">
            <v>10079</v>
          </cell>
        </row>
        <row r="1696">
          <cell r="A1696">
            <v>10080</v>
          </cell>
        </row>
        <row r="1697">
          <cell r="A1697">
            <v>10081</v>
          </cell>
        </row>
        <row r="1698">
          <cell r="A1698">
            <v>10082</v>
          </cell>
        </row>
        <row r="1699">
          <cell r="A1699">
            <v>10083</v>
          </cell>
        </row>
        <row r="1700">
          <cell r="A1700">
            <v>10084</v>
          </cell>
        </row>
        <row r="1701">
          <cell r="A1701">
            <v>10085</v>
          </cell>
        </row>
        <row r="1702">
          <cell r="A1702">
            <v>10086</v>
          </cell>
        </row>
        <row r="1703">
          <cell r="A1703">
            <v>10087</v>
          </cell>
        </row>
        <row r="1704">
          <cell r="A1704">
            <v>10088</v>
          </cell>
        </row>
        <row r="1705">
          <cell r="A1705">
            <v>10089</v>
          </cell>
        </row>
        <row r="1706">
          <cell r="A1706">
            <v>10090</v>
          </cell>
        </row>
        <row r="1707">
          <cell r="A1707">
            <v>10101</v>
          </cell>
        </row>
        <row r="1708">
          <cell r="A1708">
            <v>10102</v>
          </cell>
        </row>
        <row r="1709">
          <cell r="A1709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65535_1-1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3" sqref="A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128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262</v>
      </c>
      <c r="B2" s="55" t="s">
        <v>105</v>
      </c>
      <c r="C2" s="60" t="s">
        <v>259</v>
      </c>
      <c r="D2" s="55" t="s">
        <v>106</v>
      </c>
      <c r="E2" s="54" t="str">
        <f>B2&amp;C2&amp;D2</f>
        <v>floors_13400_14.tmp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262</v>
      </c>
      <c r="B3" s="55" t="s">
        <v>108</v>
      </c>
      <c r="C3" s="60" t="s">
        <v>259</v>
      </c>
      <c r="D3" s="55" t="s">
        <v>106</v>
      </c>
      <c r="E3" s="54" t="str">
        <f>B3&amp;C3&amp;D3</f>
        <v>enemy_habitats_13400_14.tmp</v>
      </c>
      <c r="F3" s="55" t="s">
        <v>109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53</v>
      </c>
      <c r="AD3" s="56" t="s">
        <v>176</v>
      </c>
    </row>
    <row r="4" spans="1:30" x14ac:dyDescent="0.15">
      <c r="A4" s="59" t="s">
        <v>262</v>
      </c>
      <c r="B4" s="55" t="s">
        <v>110</v>
      </c>
      <c r="C4" s="60" t="s">
        <v>259</v>
      </c>
      <c r="D4" s="55" t="s">
        <v>106</v>
      </c>
      <c r="E4" s="54" t="str">
        <f>B4&amp;C4&amp;D4</f>
        <v>enemy_habitat_S_13400_14.tmp</v>
      </c>
      <c r="F4" s="55" t="s">
        <v>111</v>
      </c>
      <c r="G4" s="56" t="s">
        <v>0</v>
      </c>
      <c r="H4" s="56" t="s">
        <v>1</v>
      </c>
      <c r="I4" s="56" t="s">
        <v>13</v>
      </c>
      <c r="J4" s="56" t="s">
        <v>53</v>
      </c>
      <c r="K4" s="56" t="s">
        <v>54</v>
      </c>
      <c r="L4" s="56" t="s">
        <v>55</v>
      </c>
      <c r="M4" s="56" t="s">
        <v>56</v>
      </c>
      <c r="N4" s="56" t="s">
        <v>57</v>
      </c>
      <c r="O4" s="56" t="s">
        <v>58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324</v>
      </c>
      <c r="B5" s="55" t="s">
        <v>112</v>
      </c>
      <c r="C5" s="60" t="s">
        <v>259</v>
      </c>
      <c r="D5" s="55" t="s">
        <v>106</v>
      </c>
      <c r="E5" s="54" t="str">
        <f>B5&amp;C5&amp;D5</f>
        <v>enemy_skill_sets_13400_14.tmp</v>
      </c>
      <c r="F5" s="55" t="s">
        <v>113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324</v>
      </c>
      <c r="B6" s="55" t="s">
        <v>114</v>
      </c>
      <c r="C6" s="60" t="s">
        <v>259</v>
      </c>
      <c r="D6" s="55" t="s">
        <v>115</v>
      </c>
      <c r="E6" s="54" t="str">
        <f t="shared" ref="E6:E10" si="0">B6&amp;C6&amp;D6</f>
        <v>enemy_skills_tmp_13400_14.tmp</v>
      </c>
      <c r="F6" s="55" t="s">
        <v>89</v>
      </c>
      <c r="G6" s="56" t="s">
        <v>78</v>
      </c>
      <c r="H6" s="56" t="s">
        <v>79</v>
      </c>
      <c r="I6" s="56" t="s">
        <v>80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324</v>
      </c>
      <c r="B7" s="55" t="s">
        <v>116</v>
      </c>
      <c r="C7" s="60" t="s">
        <v>259</v>
      </c>
      <c r="D7" s="55" t="s">
        <v>106</v>
      </c>
      <c r="E7" s="54" t="str">
        <f>B7&amp;C7&amp;D7</f>
        <v>enemy_skills_i18n_13400_14.tmp</v>
      </c>
      <c r="F7" s="55" t="s">
        <v>117</v>
      </c>
      <c r="G7" s="56" t="s">
        <v>78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324</v>
      </c>
      <c r="B8" s="55" t="s">
        <v>118</v>
      </c>
      <c r="C8" s="60" t="s">
        <v>259</v>
      </c>
      <c r="D8" s="55" t="s">
        <v>119</v>
      </c>
      <c r="E8" s="54" t="str">
        <f t="shared" si="0"/>
        <v>enemy_skill_triggers_13400_14.tmp</v>
      </c>
      <c r="F8" s="55" t="s">
        <v>120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121</v>
      </c>
      <c r="L8" s="56" t="s">
        <v>97</v>
      </c>
      <c r="M8" s="56" t="s">
        <v>122</v>
      </c>
      <c r="N8" s="56" t="s">
        <v>123</v>
      </c>
      <c r="O8" s="56" t="s">
        <v>124</v>
      </c>
      <c r="P8" s="56" t="s">
        <v>66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262</v>
      </c>
      <c r="B9" s="65" t="s">
        <v>175</v>
      </c>
      <c r="C9" s="60" t="s">
        <v>259</v>
      </c>
      <c r="D9" s="65" t="s">
        <v>169</v>
      </c>
      <c r="E9" s="66" t="str">
        <f t="shared" si="0"/>
        <v>stage_bug_bonuses_13400_14.tmp</v>
      </c>
      <c r="F9" s="65" t="s">
        <v>170</v>
      </c>
      <c r="G9" s="62" t="s">
        <v>148</v>
      </c>
      <c r="H9" s="62" t="s">
        <v>171</v>
      </c>
      <c r="I9" s="62" t="s">
        <v>172</v>
      </c>
      <c r="J9" s="64" t="s">
        <v>173</v>
      </c>
      <c r="K9" s="62" t="s">
        <v>174</v>
      </c>
      <c r="L9" s="62" t="s">
        <v>154</v>
      </c>
      <c r="M9" s="62" t="s">
        <v>155</v>
      </c>
      <c r="N9" s="62" t="s">
        <v>156</v>
      </c>
      <c r="O9" s="62" t="s">
        <v>157</v>
      </c>
      <c r="P9" s="62" t="s">
        <v>158</v>
      </c>
      <c r="Q9" s="62" t="s">
        <v>159</v>
      </c>
      <c r="R9" s="62" t="s">
        <v>160</v>
      </c>
      <c r="S9" s="62" t="s">
        <v>161</v>
      </c>
      <c r="T9" s="62" t="s">
        <v>162</v>
      </c>
      <c r="U9" s="62" t="s">
        <v>163</v>
      </c>
      <c r="V9" s="62" t="s">
        <v>164</v>
      </c>
      <c r="W9" s="62" t="s">
        <v>165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185</v>
      </c>
      <c r="B10" s="65" t="s">
        <v>199</v>
      </c>
      <c r="C10" s="60" t="s">
        <v>259</v>
      </c>
      <c r="D10" s="65" t="s">
        <v>178</v>
      </c>
      <c r="E10" s="66" t="str">
        <f t="shared" si="0"/>
        <v>stage_hints_data_c_13400_14.tmp</v>
      </c>
      <c r="F10" s="65" t="s">
        <v>207</v>
      </c>
      <c r="G10" s="70" t="s">
        <v>179</v>
      </c>
      <c r="H10" s="70" t="s">
        <v>171</v>
      </c>
      <c r="I10" s="71" t="s">
        <v>180</v>
      </c>
      <c r="J10" s="64" t="s">
        <v>181</v>
      </c>
      <c r="K10" s="64" t="s">
        <v>182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2" customFormat="1" x14ac:dyDescent="0.15">
      <c r="A11" s="59" t="s">
        <v>262</v>
      </c>
      <c r="B11" s="65" t="s">
        <v>200</v>
      </c>
      <c r="C11" s="60" t="s">
        <v>259</v>
      </c>
      <c r="D11" s="65" t="s">
        <v>169</v>
      </c>
      <c r="E11" s="66" t="str">
        <f t="shared" ref="E11:E13" si="1">B11&amp;C11&amp;D11</f>
        <v>stage_hints_data_f_13400_14.tmp</v>
      </c>
      <c r="F11" s="65" t="s">
        <v>209</v>
      </c>
      <c r="G11" s="70" t="s">
        <v>179</v>
      </c>
      <c r="H11" s="70" t="s">
        <v>171</v>
      </c>
      <c r="I11" s="71" t="s">
        <v>180</v>
      </c>
      <c r="J11" s="64" t="s">
        <v>181</v>
      </c>
      <c r="K11" s="64" t="s">
        <v>182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2" customFormat="1" x14ac:dyDescent="0.15">
      <c r="A12" s="65" t="s">
        <v>406</v>
      </c>
      <c r="B12" s="65" t="s">
        <v>201</v>
      </c>
      <c r="C12" s="60" t="s">
        <v>259</v>
      </c>
      <c r="D12" s="65" t="s">
        <v>169</v>
      </c>
      <c r="E12" s="66" t="str">
        <f t="shared" si="1"/>
        <v>stage_hints_i18n_13400_14.tmp</v>
      </c>
      <c r="F12" s="65" t="s">
        <v>210</v>
      </c>
      <c r="G12" s="71" t="s">
        <v>202</v>
      </c>
      <c r="H12" s="92" t="s">
        <v>203</v>
      </c>
      <c r="I12" s="70" t="s">
        <v>204</v>
      </c>
      <c r="J12" s="101" t="s">
        <v>205</v>
      </c>
      <c r="K12" s="64" t="s">
        <v>206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2" customFormat="1" x14ac:dyDescent="0.15">
      <c r="A13" s="65" t="s">
        <v>349</v>
      </c>
      <c r="B13" s="65" t="s">
        <v>251</v>
      </c>
      <c r="C13" s="60" t="s">
        <v>259</v>
      </c>
      <c r="D13" s="65" t="s">
        <v>232</v>
      </c>
      <c r="E13" s="66" t="str">
        <f t="shared" si="1"/>
        <v>stage_bonuses_13400_14.tmp</v>
      </c>
      <c r="F13" s="65" t="s">
        <v>231</v>
      </c>
      <c r="G13" s="70" t="s">
        <v>233</v>
      </c>
      <c r="H13" s="70" t="s">
        <v>234</v>
      </c>
      <c r="I13" s="70" t="s">
        <v>235</v>
      </c>
      <c r="J13" s="70" t="s">
        <v>236</v>
      </c>
      <c r="K13" s="70" t="s">
        <v>237</v>
      </c>
      <c r="L13" s="70" t="s">
        <v>238</v>
      </c>
      <c r="M13" s="70" t="s">
        <v>239</v>
      </c>
      <c r="N13" s="70" t="s">
        <v>240</v>
      </c>
      <c r="O13" s="70" t="s">
        <v>241</v>
      </c>
      <c r="P13" s="70" t="s">
        <v>242</v>
      </c>
      <c r="Q13" s="70" t="s">
        <v>243</v>
      </c>
      <c r="R13" s="70" t="s">
        <v>244</v>
      </c>
      <c r="S13" s="70" t="s">
        <v>245</v>
      </c>
      <c r="T13" s="70" t="s">
        <v>246</v>
      </c>
      <c r="U13" s="70" t="s">
        <v>247</v>
      </c>
      <c r="V13" s="70" t="s">
        <v>248</v>
      </c>
      <c r="W13" s="70" t="s">
        <v>249</v>
      </c>
      <c r="X13" s="70" t="s">
        <v>250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3"/>
  <sheetViews>
    <sheetView showGridLines="0" workbookViewId="0">
      <pane ySplit="1" topLeftCell="A2" activePane="bottomLeft" state="frozen"/>
      <selection activeCell="V2" sqref="V2:X34"/>
      <selection pane="bottomLeft" activeCell="C3" sqref="C3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4" width="27.33203125" style="3" bestFit="1" customWidth="1" outlineLevel="1"/>
    <col min="5" max="5" width="20.5" style="3" bestFit="1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13400_14-1</v>
      </c>
      <c r="B2" s="15" t="str">
        <f>IF(COUNTIF(enemy_habitats!$H:$H,A2),"OK","NG")</f>
        <v>OK</v>
      </c>
      <c r="C2" s="110">
        <v>13400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-セカンド（仮）-</v>
      </c>
      <c r="E2" s="17" t="str">
        <f ca="1">VLOOKUP($C2,OFFSET([2]quests!$A$1,0,0,COUNTA([2]quests!$A:$A),MATCH(E$1,[2]quests!$1:$1,0)-MATCH($C$1,[2]quests!$1:$1,0)+1),MATCH(E$1,[2]quests!$1:$1,0)-MATCH($C$1,[2]quests!$1:$1,0)+1,FALSE)</f>
        <v>タワーオブザクイーン2本目</v>
      </c>
      <c r="F2" s="19">
        <v>14</v>
      </c>
      <c r="G2" s="21" t="str">
        <f>C2&amp;"_"&amp;F2</f>
        <v>13400_14</v>
      </c>
      <c r="H2" s="14" t="str">
        <f ca="1">VLOOKUP($G2,OFFSET([2]stages!$A$1,0,0,COUNTA([2]stages!$A:$A),MATCH(H$1,[2]stages!$2:$2,0)-MATCH($G$1,[2]stages!$2:$2,0)+1),MATCH(H$1,[2]stages!$2:$2,0)-MATCH($G$1,[2]stages!$2:$2,0)+1,FALSE)</f>
        <v>14階 コスト制限なし</v>
      </c>
      <c r="I2" s="19">
        <v>1</v>
      </c>
      <c r="J2" s="12">
        <v>60</v>
      </c>
      <c r="K2" s="12">
        <v>60</v>
      </c>
    </row>
    <row r="3" spans="1:11" ht="21" customHeight="1" x14ac:dyDescent="0.15">
      <c r="A3" s="15" t="str">
        <f>G3&amp;"-"&amp;I3</f>
        <v>13400_14-2</v>
      </c>
      <c r="B3" s="15" t="str">
        <f>IF(COUNTIF(enemy_habitats!$H:$H,A3),"OK","NG")</f>
        <v>OK</v>
      </c>
      <c r="C3" s="110">
        <v>13400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-セカンド（仮）-</v>
      </c>
      <c r="E3" s="17" t="str">
        <f ca="1">VLOOKUP($C3,OFFSET([2]quests!$A$1,0,0,COUNTA([2]quests!$A:$A),MATCH(E$1,[2]quests!$1:$1,0)-MATCH($C$1,[2]quests!$1:$1,0)+1),MATCH(E$1,[2]quests!$1:$1,0)-MATCH($C$1,[2]quests!$1:$1,0)+1,FALSE)</f>
        <v>タワーオブザクイーン2本目</v>
      </c>
      <c r="F3" s="19">
        <v>14</v>
      </c>
      <c r="G3" s="21" t="str">
        <f>C3&amp;"_"&amp;F3</f>
        <v>13400_14</v>
      </c>
      <c r="H3" s="14" t="str">
        <f ca="1">VLOOKUP($G3,OFFSET([2]stages!$A$1,0,0,COUNTA([2]stages!$A:$A),MATCH(H$1,[2]stages!$2:$2,0)-MATCH($G$1,[2]stages!$2:$2,0)+1),MATCH(H$1,[2]stages!$2:$2,0)-MATCH($G$1,[2]stages!$2:$2,0)+1,FALSE)</f>
        <v>14階 コスト制限なし</v>
      </c>
      <c r="I3" s="19">
        <v>2</v>
      </c>
      <c r="J3" s="12">
        <v>60</v>
      </c>
      <c r="K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3"/>
  <sheetViews>
    <sheetView showGridLines="0" workbookViewId="0">
      <pane xSplit="17" ySplit="1" topLeftCell="U2" activePane="bottomRight" state="frozen"/>
      <selection pane="topRight" activeCell="N1" sqref="N1"/>
      <selection pane="bottomLeft" activeCell="A2" sqref="A2"/>
      <selection pane="bottomRight" activeCell="U4" sqref="U4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7.6640625" style="3" customWidth="1"/>
    <col min="4" max="4" width="10.83203125" style="10" customWidth="1" outlineLevel="1"/>
    <col min="5" max="6" width="7.6640625" style="3" customWidth="1" outlineLevel="1"/>
    <col min="7" max="7" width="7.6640625" style="3" customWidth="1" collapsed="1"/>
    <col min="8" max="10" width="12.33203125" style="3" hidden="1" customWidth="1" outlineLevel="1"/>
    <col min="11" max="11" width="6.6640625" style="3" customWidth="1"/>
    <col min="12" max="12" width="10.5" style="9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6.83203125" style="3" customWidth="1"/>
    <col min="20" max="20" width="6.83203125" style="10" customWidth="1"/>
    <col min="21" max="23" width="6.83203125" style="3" customWidth="1"/>
    <col min="24" max="24" width="10" style="3" customWidth="1"/>
    <col min="25" max="25" width="12.1640625" style="3" customWidth="1" outlineLevel="1"/>
    <col min="26" max="27" width="9.5" style="3" customWidth="1"/>
    <col min="28" max="29" width="6.33203125" style="3" customWidth="1"/>
    <col min="30" max="30" width="6.83203125" style="3" customWidth="1"/>
    <col min="31" max="31" width="8.83203125" style="108" bestFit="1" customWidth="1" outlineLevel="1"/>
    <col min="32" max="32" width="8" style="10" bestFit="1" customWidth="1" outlineLevel="1"/>
    <col min="33" max="33" width="12" style="10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102" t="s">
        <v>252</v>
      </c>
      <c r="U1" s="24" t="s">
        <v>50</v>
      </c>
      <c r="V1" s="102" t="s">
        <v>253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177</v>
      </c>
    </row>
    <row r="2" spans="1:42" ht="21" customHeight="1" x14ac:dyDescent="0.15">
      <c r="A2" s="15" t="str">
        <f t="shared" ref="A2" si="0">B2&amp;"_"&amp;C2&amp;"-"&amp;G2&amp;"/"&amp;L2&amp;"&lt;lv"&amp;R2&amp;"&gt;s"&amp;AC2</f>
        <v>13400_14-1/1010&lt;lv90&gt;s1</v>
      </c>
      <c r="B2" s="20">
        <v>13400</v>
      </c>
      <c r="C2" s="19">
        <v>14</v>
      </c>
      <c r="D2" s="2" t="str">
        <f>B2&amp;"_"&amp;C2</f>
        <v>13400_14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-セカンド（仮）-</v>
      </c>
      <c r="F2" s="4" t="str">
        <f ca="1">VLOOKUP($D2,OFFSET([2]stages!$A$1,0,0,COUNTA([2]stages!$A:$A),MATCH(F$1,[2]stages!$2:$2,0)-MATCH($D$1,[2]stages!$2:$2,0)+1),MATCH(F$1,[2]stages!$2:$2,0)-MATCH($D$1,[2]stages!$2:$2,0)+1,FALSE)</f>
        <v>14階 コスト制限なし</v>
      </c>
      <c r="G2" s="19">
        <v>1</v>
      </c>
      <c r="H2" s="14" t="str">
        <f>B2&amp;"_"&amp;C2&amp;"-"&amp;G2</f>
        <v>13400_14-1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>
        <v>1</v>
      </c>
      <c r="L2" s="107">
        <v>1010</v>
      </c>
      <c r="M2" s="106" t="str">
        <f ca="1">VLOOKUP($L2,OFFSET([3]enemies!$A$1,0,0,COUNTA([3]enemies!$A:$A),MATCH(M$1,[3]enemies!$1:$1,0)-MATCH($L$1,[3]enemies!$1:$1,0)+1),MATCH(M$1,[3]enemies!$1:$1,0)-MATCH($L$1,[3]enemies!$1:$1,0)+1,FALSE)</f>
        <v>セト</v>
      </c>
      <c r="N2" s="16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DropWizSS</v>
      </c>
      <c r="P2" s="16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6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90</v>
      </c>
      <c r="S2" s="23">
        <v>3.5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470382.5</v>
      </c>
      <c r="U2" s="23">
        <v>0.8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7191.2000000000007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状態異常耐性+_x000D_赤&amp;緑パネルはプロテクトされてドロップ</v>
      </c>
      <c r="Y2" s="111">
        <v>13400810</v>
      </c>
      <c r="Z2" s="6">
        <v>1</v>
      </c>
      <c r="AA2" s="6">
        <v>100</v>
      </c>
      <c r="AB2" s="6">
        <v>1</v>
      </c>
      <c r="AC2" s="105">
        <v>1</v>
      </c>
      <c r="AD2" s="22">
        <f t="shared" ref="AD2" si="1">L2</f>
        <v>1010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セト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2" s="7">
        <v>1</v>
      </c>
      <c r="AI2" s="22">
        <f ca="1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5" t="str">
        <f t="shared" ref="A3" si="2">B3&amp;"_"&amp;C3&amp;"-"&amp;G3&amp;"/"&amp;L3&amp;"&lt;lv"&amp;R3&amp;"&gt;s"&amp;AC3</f>
        <v>13400_14-2/1258&lt;lv90&gt;s1</v>
      </c>
      <c r="B3" s="20">
        <v>13400</v>
      </c>
      <c r="C3" s="19">
        <v>14</v>
      </c>
      <c r="D3" s="2" t="str">
        <f>B3&amp;"_"&amp;C3</f>
        <v>13400_14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-セカンド（仮）-</v>
      </c>
      <c r="F3" s="4" t="str">
        <f ca="1">VLOOKUP($D3,OFFSET([2]stages!$A$1,0,0,COUNTA([2]stages!$A:$A),MATCH(F$1,[2]stages!$2:$2,0)-MATCH($D$1,[2]stages!$2:$2,0)+1),MATCH(F$1,[2]stages!$2:$2,0)-MATCH($D$1,[2]stages!$2:$2,0)+1,FALSE)</f>
        <v>14階 コスト制限なし</v>
      </c>
      <c r="G3" s="19">
        <v>2</v>
      </c>
      <c r="H3" s="14" t="str">
        <f>B3&amp;"_"&amp;C3&amp;"-"&amp;G3</f>
        <v>13400_14-2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>
        <v>2</v>
      </c>
      <c r="L3" s="107">
        <v>1258</v>
      </c>
      <c r="M3" s="106" t="str">
        <f ca="1">VLOOKUP($L3,OFFSET([3]enemies!$A$1,0,0,COUNTA([3]enemies!$A:$A),MATCH(M$1,[3]enemies!$1:$1,0)-MATCH($L$1,[3]enemies!$1:$1,0)+1),MATCH(M$1,[3]enemies!$1:$1,0)-MATCH($L$1,[3]enemies!$1:$1,0)+1,FALSE)</f>
        <v>ロキ</v>
      </c>
      <c r="N3" s="16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DropWizSS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god</v>
      </c>
      <c r="Q3" s="16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90</v>
      </c>
      <c r="S3" s="23">
        <v>7.3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1111899.5</v>
      </c>
      <c r="U3" s="23">
        <v>1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13284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状態異常耐性+_x000D_緑パネルは確率で緑の時限式ダメージパネルとしてドロップ+_x000D_1ターン全属性ダメージ80%軽減_x000D_【次のターンに黄属性を優先して狙う強力な単体攻撃】</v>
      </c>
      <c r="Y3" s="111">
        <v>13400840</v>
      </c>
      <c r="Z3" s="6">
        <v>1</v>
      </c>
      <c r="AA3" s="6">
        <v>100</v>
      </c>
      <c r="AB3" s="6">
        <v>1</v>
      </c>
      <c r="AC3" s="105">
        <v>1</v>
      </c>
      <c r="AD3" s="22">
        <f t="shared" ref="AD3" si="3">L3</f>
        <v>1258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ロキ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3" s="7">
        <v>1</v>
      </c>
      <c r="AI3" s="22">
        <f ca="1">AF3</f>
        <v>5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6" sqref="T6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1.5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102" t="s">
        <v>252</v>
      </c>
      <c r="V1" s="24" t="s">
        <v>50</v>
      </c>
      <c r="W1" s="102" t="s">
        <v>253</v>
      </c>
      <c r="X1" s="24" t="s">
        <v>52</v>
      </c>
      <c r="Y1" s="26" t="s">
        <v>127</v>
      </c>
      <c r="Z1" s="27" t="s">
        <v>126</v>
      </c>
      <c r="AA1" s="26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13400_14-1/1011&lt;lv90&gt;sq1st2</v>
      </c>
      <c r="B2" s="20">
        <v>13400</v>
      </c>
      <c r="C2" s="112">
        <v>14</v>
      </c>
      <c r="D2" s="14" t="str">
        <f>B2&amp;"_"&amp;C2</f>
        <v>13400_14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-セカンド（仮）-</v>
      </c>
      <c r="F2" s="4" t="str">
        <f ca="1">VLOOKUP($D2,OFFSET([2]stages!$A$1,0,0,COUNTA([2]stages!$A:$A),MATCH(F$1,[2]stages!$2:$2,0)-MATCH($D$1,[2]stages!$2:$2,0)+1),MATCH(F$1,[2]stages!$2:$2,0)-MATCH($D$1,[2]stages!$2:$2,0)+1,FALSE)</f>
        <v>14階 コスト制限なし</v>
      </c>
      <c r="G2" s="112">
        <v>1</v>
      </c>
      <c r="H2" s="14" t="str">
        <f>B2&amp;"_"&amp;C2&amp;"-"&amp;G2</f>
        <v>13400_14-1</v>
      </c>
      <c r="I2" s="4" t="e">
        <f ca="1">VLOOKUP($H2,OFFSET([5]floors!$A$1,0,0,COUNTA([5]floors!$A:$A),MATCH(I$1,[5]floors!$1:$1,0)-MATCH($H$1,[5]floors!$1:$1,0)+1),MATCH(I$1,[5]floors!$1:$1,0)-MATCH($H$1,[5]floors!$1:$1,0)+1,FALSE)</f>
        <v>#N/A</v>
      </c>
      <c r="J2" s="4" t="e">
        <f ca="1">VLOOKUP($H2,OFFSET([5]floors!$A$1,0,0,COUNTA([5]floors!$A:$A),MATCH(J$1,[5]floors!$1:$1,0)-MATCH($H$1,[5]floors!$1:$1,0)+1),MATCH(J$1,[5]floors!$1:$1,0)-MATCH($H$1,[5]floors!$1:$1,0)+1,FALSE)</f>
        <v>#N/A</v>
      </c>
      <c r="K2" s="36">
        <v>1</v>
      </c>
      <c r="L2" s="36">
        <v>2</v>
      </c>
      <c r="M2" s="107">
        <v>1011</v>
      </c>
      <c r="N2" s="16" t="str">
        <f ca="1">VLOOKUP($M2,OFFSET([3]enemies!$A$1,0,0,COUNTA([3]enemies!$A:$A),MATCH(N$1,[3]enemies!$1:$1,0)-MATCH($M$1,[3]enemies!$1:$1,0)+1),MATCH(N$1,[3]enemies!$1:$1,0)-MATCH($M$1,[3]enemies!$1:$1,0)+1,FALSE)</f>
        <v>偉獰なる荒嵐神 セト</v>
      </c>
      <c r="O2" s="16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DropWizSS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90</v>
      </c>
      <c r="T2" s="23">
        <v>8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1075160</v>
      </c>
      <c r="V2" s="23">
        <v>1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8989</v>
      </c>
      <c r="X2" s="5">
        <v>0</v>
      </c>
      <c r="Y2" s="4" t="e">
        <f ca="1">VLOOKUP($Z2,OFFSET([6]enemy_skill_sets!$B$1,0,0,COUNTA([6]enemy_skill_sets!$B:$B),MATCH(N$1,[6]enemy_skill_sets!$1:$1,0)-MATCH($Z$1,[6]enemy_skill_sets!$1:$1,0)+2),MATCH(N$1,[6]enemy_skill_sets!$1:$1,0)-MATCH($Z$1,[6]enemy_skill_sets!$1:$1,0)+2,FALSE)</f>
        <v>#N/A</v>
      </c>
      <c r="Z2" s="111">
        <v>13400820</v>
      </c>
      <c r="AA2" s="113">
        <v>1</v>
      </c>
    </row>
    <row r="3" spans="1:27" ht="21" customHeight="1" x14ac:dyDescent="0.15">
      <c r="A3" s="15" t="str">
        <f>B3&amp;"_"&amp;C3&amp;"-"&amp;G3&amp;"/"&amp;M3&amp;"&lt;lv"&amp;S3&amp;"&gt;sq"&amp;K3&amp;"st"&amp;L3</f>
        <v>13400_14-1/1011&lt;lv90&gt;sq1st3</v>
      </c>
      <c r="B3" s="20">
        <v>13400</v>
      </c>
      <c r="C3" s="112">
        <v>14</v>
      </c>
      <c r="D3" s="14" t="str">
        <f>B3&amp;"_"&amp;C3</f>
        <v>13400_14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-セカンド（仮）-</v>
      </c>
      <c r="F3" s="4" t="str">
        <f ca="1">VLOOKUP($D3,OFFSET([2]stages!$A$1,0,0,COUNTA([2]stages!$A:$A),MATCH(F$1,[2]stages!$2:$2,0)-MATCH($D$1,[2]stages!$2:$2,0)+1),MATCH(F$1,[2]stages!$2:$2,0)-MATCH($D$1,[2]stages!$2:$2,0)+1,FALSE)</f>
        <v>14階 コスト制限なし</v>
      </c>
      <c r="G3" s="112">
        <v>1</v>
      </c>
      <c r="H3" s="14" t="str">
        <f>B3&amp;"_"&amp;C3&amp;"-"&amp;G3</f>
        <v>13400_14-1</v>
      </c>
      <c r="I3" s="4" t="e">
        <f ca="1">VLOOKUP($H3,OFFSET([5]floors!$A$1,0,0,COUNTA([5]floors!$A:$A),MATCH(I$1,[5]floors!$1:$1,0)-MATCH($H$1,[5]floors!$1:$1,0)+1),MATCH(I$1,[5]floors!$1:$1,0)-MATCH($H$1,[5]floors!$1:$1,0)+1,FALSE)</f>
        <v>#N/A</v>
      </c>
      <c r="J3" s="4" t="e">
        <f ca="1">VLOOKUP($H3,OFFSET([5]floors!$A$1,0,0,COUNTA([5]floors!$A:$A),MATCH(J$1,[5]floors!$1:$1,0)-MATCH($H$1,[5]floors!$1:$1,0)+1),MATCH(J$1,[5]floors!$1:$1,0)-MATCH($H$1,[5]floors!$1:$1,0)+1,FALSE)</f>
        <v>#N/A</v>
      </c>
      <c r="K3" s="36">
        <v>1</v>
      </c>
      <c r="L3" s="36">
        <v>3</v>
      </c>
      <c r="M3" s="107">
        <v>1011</v>
      </c>
      <c r="N3" s="16" t="str">
        <f ca="1">VLOOKUP($M3,OFFSET([3]enemies!$A$1,0,0,COUNTA([3]enemies!$A:$A),MATCH(N$1,[3]enemies!$1:$1,0)-MATCH($M$1,[3]enemies!$1:$1,0)+1),MATCH(N$1,[3]enemies!$1:$1,0)-MATCH($M$1,[3]enemies!$1:$1,0)+1,FALSE)</f>
        <v>偉獰なる荒嵐神 セト</v>
      </c>
      <c r="O3" s="16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DropWizSS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90</v>
      </c>
      <c r="T3" s="23">
        <v>6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806370</v>
      </c>
      <c r="V3" s="23">
        <v>1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8989</v>
      </c>
      <c r="X3" s="5">
        <v>0</v>
      </c>
      <c r="Y3" s="4" t="e">
        <f ca="1">VLOOKUP($Z3,OFFSET([6]enemy_skill_sets!$B$1,0,0,COUNTA([6]enemy_skill_sets!$B:$B),MATCH(N$1,[6]enemy_skill_sets!$1:$1,0)-MATCH($Z$1,[6]enemy_skill_sets!$1:$1,0)+2),MATCH(N$1,[6]enemy_skill_sets!$1:$1,0)-MATCH($Z$1,[6]enemy_skill_sets!$1:$1,0)+2,FALSE)</f>
        <v>#N/A</v>
      </c>
      <c r="Z3" s="111">
        <v>13400830</v>
      </c>
      <c r="AA3" s="113">
        <v>1</v>
      </c>
    </row>
    <row r="4" spans="1:27" ht="21" customHeight="1" x14ac:dyDescent="0.15">
      <c r="A4" s="15" t="str">
        <f>B4&amp;"_"&amp;C4&amp;"-"&amp;G4&amp;"/"&amp;M4&amp;"&lt;lv"&amp;S4&amp;"&gt;sq"&amp;K4&amp;"st"&amp;L4</f>
        <v>13400_14-2/1259&lt;lv90&gt;sq2st2</v>
      </c>
      <c r="B4" s="20">
        <v>13400</v>
      </c>
      <c r="C4" s="112">
        <v>14</v>
      </c>
      <c r="D4" s="14" t="str">
        <f>B4&amp;"_"&amp;C4</f>
        <v>13400_14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-セカンド（仮）-</v>
      </c>
      <c r="F4" s="4" t="str">
        <f ca="1">VLOOKUP($D4,OFFSET([2]stages!$A$1,0,0,COUNTA([2]stages!$A:$A),MATCH(F$1,[2]stages!$2:$2,0)-MATCH($D$1,[2]stages!$2:$2,0)+1),MATCH(F$1,[2]stages!$2:$2,0)-MATCH($D$1,[2]stages!$2:$2,0)+1,FALSE)</f>
        <v>14階 コスト制限なし</v>
      </c>
      <c r="G4" s="112">
        <v>2</v>
      </c>
      <c r="H4" s="14" t="str">
        <f>B4&amp;"_"&amp;C4&amp;"-"&amp;G4</f>
        <v>13400_14-2</v>
      </c>
      <c r="I4" s="4" t="e">
        <f ca="1">VLOOKUP($H4,OFFSET([5]floors!$A$1,0,0,COUNTA([5]floors!$A:$A),MATCH(I$1,[5]floors!$1:$1,0)-MATCH($H$1,[5]floors!$1:$1,0)+1),MATCH(I$1,[5]floors!$1:$1,0)-MATCH($H$1,[5]floors!$1:$1,0)+1,FALSE)</f>
        <v>#N/A</v>
      </c>
      <c r="J4" s="4" t="e">
        <f ca="1">VLOOKUP($H4,OFFSET([5]floors!$A$1,0,0,COUNTA([5]floors!$A:$A),MATCH(J$1,[5]floors!$1:$1,0)-MATCH($H$1,[5]floors!$1:$1,0)+1),MATCH(J$1,[5]floors!$1:$1,0)-MATCH($H$1,[5]floors!$1:$1,0)+1,FALSE)</f>
        <v>#N/A</v>
      </c>
      <c r="K4" s="36">
        <v>2</v>
      </c>
      <c r="L4" s="36">
        <v>2</v>
      </c>
      <c r="M4" s="107">
        <v>1259</v>
      </c>
      <c r="N4" s="16" t="str">
        <f ca="1">VLOOKUP($M4,OFFSET([3]enemies!$A$1,0,0,COUNTA([3]enemies!$A:$A),MATCH(N$1,[3]enemies!$1:$1,0)-MATCH($M$1,[3]enemies!$1:$1,0)+1),MATCH(N$1,[3]enemies!$1:$1,0)-MATCH($M$1,[3]enemies!$1:$1,0)+1,FALSE)</f>
        <v>崩世を叫ぶ悪戯 ロキ</v>
      </c>
      <c r="O4" s="16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90</v>
      </c>
      <c r="T4" s="23">
        <v>7.5</v>
      </c>
      <c r="U4" s="10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1142362.5</v>
      </c>
      <c r="V4" s="23">
        <v>1</v>
      </c>
      <c r="W4" s="10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13284</v>
      </c>
      <c r="X4" s="5">
        <v>0</v>
      </c>
      <c r="Y4" s="4" t="e">
        <f ca="1">VLOOKUP($Z4,OFFSET([6]enemy_skill_sets!$B$1,0,0,COUNTA([6]enemy_skill_sets!$B:$B),MATCH(N$1,[6]enemy_skill_sets!$1:$1,0)-MATCH($Z$1,[6]enemy_skill_sets!$1:$1,0)+2),MATCH(N$1,[6]enemy_skill_sets!$1:$1,0)-MATCH($Z$1,[6]enemy_skill_sets!$1:$1,0)+2,FALSE)</f>
        <v>#N/A</v>
      </c>
      <c r="Z4" s="111">
        <v>13400850</v>
      </c>
      <c r="AA4" s="113">
        <v>1</v>
      </c>
    </row>
    <row r="5" spans="1:27" ht="21" customHeight="1" x14ac:dyDescent="0.15">
      <c r="A5" s="15" t="str">
        <f>B5&amp;"_"&amp;C5&amp;"-"&amp;G5&amp;"/"&amp;M5&amp;"&lt;lv"&amp;S5&amp;"&gt;sq"&amp;K5&amp;"st"&amp;L5</f>
        <v>13400_14-2/1259&lt;lv90&gt;sq2st3</v>
      </c>
      <c r="B5" s="20">
        <v>13400</v>
      </c>
      <c r="C5" s="112">
        <v>14</v>
      </c>
      <c r="D5" s="14" t="str">
        <f>B5&amp;"_"&amp;C5</f>
        <v>13400_14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-セカンド（仮）-</v>
      </c>
      <c r="F5" s="4" t="str">
        <f ca="1">VLOOKUP($D5,OFFSET([2]stages!$A$1,0,0,COUNTA([2]stages!$A:$A),MATCH(F$1,[2]stages!$2:$2,0)-MATCH($D$1,[2]stages!$2:$2,0)+1),MATCH(F$1,[2]stages!$2:$2,0)-MATCH($D$1,[2]stages!$2:$2,0)+1,FALSE)</f>
        <v>14階 コスト制限なし</v>
      </c>
      <c r="G5" s="112">
        <v>2</v>
      </c>
      <c r="H5" s="14" t="str">
        <f>B5&amp;"_"&amp;C5&amp;"-"&amp;G5</f>
        <v>13400_14-2</v>
      </c>
      <c r="I5" s="4" t="e">
        <f ca="1">VLOOKUP($H5,OFFSET([5]floors!$A$1,0,0,COUNTA([5]floors!$A:$A),MATCH(I$1,[5]floors!$1:$1,0)-MATCH($H$1,[5]floors!$1:$1,0)+1),MATCH(I$1,[5]floors!$1:$1,0)-MATCH($H$1,[5]floors!$1:$1,0)+1,FALSE)</f>
        <v>#N/A</v>
      </c>
      <c r="J5" s="4" t="e">
        <f ca="1">VLOOKUP($H5,OFFSET([5]floors!$A$1,0,0,COUNTA([5]floors!$A:$A),MATCH(J$1,[5]floors!$1:$1,0)-MATCH($H$1,[5]floors!$1:$1,0)+1),MATCH(J$1,[5]floors!$1:$1,0)-MATCH($H$1,[5]floors!$1:$1,0)+1,FALSE)</f>
        <v>#N/A</v>
      </c>
      <c r="K5" s="36">
        <v>2</v>
      </c>
      <c r="L5" s="36">
        <v>3</v>
      </c>
      <c r="M5" s="107">
        <v>1259</v>
      </c>
      <c r="N5" s="16" t="str">
        <f ca="1">VLOOKUP($M5,OFFSET([3]enemies!$A$1,0,0,COUNTA([3]enemies!$A:$A),MATCH(N$1,[3]enemies!$1:$1,0)-MATCH($M$1,[3]enemies!$1:$1,0)+1),MATCH(N$1,[3]enemies!$1:$1,0)-MATCH($M$1,[3]enemies!$1:$1,0)+1,FALSE)</f>
        <v>崩世を叫ぶ悪戯 ロキ</v>
      </c>
      <c r="O5" s="16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6" t="str">
        <f ca="1">VLOOKUP($M5,OFFSET([4]characters!$A$1,0,0,COUNTA([4]characters!$A:$A),MATCH(P$1,[4]characters!$1:$1,0)-MATCH($M$1,[4]characters!$1:$1,0)+1),MATCH(P$1,[4]characters!$1:$1,0)-MATCH($M$1,[4]characters!$1:$1,0)+1,FALSE)</f>
        <v>DropWizSS</v>
      </c>
      <c r="Q5" s="16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6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90</v>
      </c>
      <c r="T5" s="23">
        <v>6</v>
      </c>
      <c r="U5" s="103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913890</v>
      </c>
      <c r="V5" s="23">
        <v>1</v>
      </c>
      <c r="W5" s="103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13284</v>
      </c>
      <c r="X5" s="5">
        <v>0</v>
      </c>
      <c r="Y5" s="4" t="e">
        <f ca="1">VLOOKUP($Z5,OFFSET([6]enemy_skill_sets!$B$1,0,0,COUNTA([6]enemy_skill_sets!$B:$B),MATCH(N$1,[6]enemy_skill_sets!$1:$1,0)-MATCH($Z$1,[6]enemy_skill_sets!$1:$1,0)+2),MATCH(N$1,[6]enemy_skill_sets!$1:$1,0)-MATCH($Z$1,[6]enemy_skill_sets!$1:$1,0)+2,FALSE)</f>
        <v>#N/A</v>
      </c>
      <c r="Z5" s="111">
        <v>13400860</v>
      </c>
      <c r="AA5" s="113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2"/>
  <sheetViews>
    <sheetView showGridLines="0" workbookViewId="0">
      <pane xSplit="5" ySplit="1" topLeftCell="F15" activePane="bottomRight" state="frozen"/>
      <selection pane="topRight"/>
      <selection pane="bottomLeft"/>
      <selection pane="bottomRight" activeCell="F21" sqref="F21:F42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" si="0">B2&amp;"_"&amp;C2</f>
        <v>13400810_13400800</v>
      </c>
      <c r="B2" s="118">
        <v>13400810</v>
      </c>
      <c r="C2" s="118">
        <v>13400800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…来やがったか_x000D_面倒だが相手してやるよ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状態異常耐性+_x000D_赤&amp;緑パネルはプロテクトされてドロップ</v>
      </c>
      <c r="F2" s="118">
        <v>13400800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:A4" si="1">B3&amp;"_"&amp;C3</f>
        <v>13400810_13400801</v>
      </c>
      <c r="B3" s="118">
        <v>13400810</v>
      </c>
      <c r="C3" s="118">
        <v>13400801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その程度か？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全体攻撃+黄パネルプロテクト</v>
      </c>
      <c r="F3" s="118">
        <v>13400801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6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5"/>
      <c r="Q3" s="45"/>
      <c r="R3" s="45"/>
    </row>
    <row r="4" spans="1:18" ht="21" customHeight="1" x14ac:dyDescent="0.15">
      <c r="A4" s="37" t="str">
        <f t="shared" si="1"/>
        <v>13400810_13400802</v>
      </c>
      <c r="B4" s="118">
        <v>13400810</v>
      </c>
      <c r="C4" s="118">
        <v>13400802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本気出して見ろよ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全体攻撃+青パネルプロテクト</v>
      </c>
      <c r="F4" s="118">
        <v>13400802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6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x14ac:dyDescent="0.15">
      <c r="A5" s="37" t="str">
        <f t="shared" ref="A5:A7" si="2">B5&amp;"_"&amp;C5</f>
        <v>13400810_13400803</v>
      </c>
      <c r="B5" s="118">
        <v>13400810</v>
      </c>
      <c r="C5" s="118">
        <v>13400803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さっさと諦めなって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Cパネル縮小(効果激烈)</v>
      </c>
      <c r="F5" s="118">
        <v>13400803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2"/>
        <v>13400820_13400805</v>
      </c>
      <c r="B6" s="119">
        <v>13400820</v>
      </c>
      <c r="C6" s="119">
        <v>13400805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力の差を見せてやるよ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状態異常耐性+_x000D_黄属性に変化+_x000D_3ターン全属性ダメージ50%軽減</v>
      </c>
      <c r="F6" s="119">
        <v>13400805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6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 t="shared" si="2"/>
        <v>13400820_13400806</v>
      </c>
      <c r="B7" s="119">
        <v>13400820</v>
      </c>
      <c r="C7" s="119">
        <v>13400806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ほら！頑張ったご褒美だ！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属性パネルをお邪魔パネルに最大5個変換+_x000D_単体攻撃</v>
      </c>
      <c r="F7" s="119">
        <v>13400806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6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ref="A8:A15" si="3">B8&amp;"_"&amp;C8</f>
        <v>13400820_13400807</v>
      </c>
      <c r="B8" s="119">
        <v>13400820</v>
      </c>
      <c r="C8" s="119">
        <v>13400807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チッ…面倒くせぇ…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青パネルが出現しない</v>
      </c>
      <c r="F8" s="119">
        <v>13400807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6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si="3"/>
        <v>13400820_13400808</v>
      </c>
      <c r="B9" s="119">
        <v>13400820</v>
      </c>
      <c r="C9" s="119">
        <v>13400808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へぇ…頑張るなぁ…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9" s="119">
        <v>13400808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6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x14ac:dyDescent="0.15">
      <c r="A10" s="37" t="str">
        <f t="shared" si="3"/>
        <v>13400820_13400809</v>
      </c>
      <c r="B10" s="119">
        <v>13400820</v>
      </c>
      <c r="C10" s="119">
        <v>13400809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潰れろっ！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緑パネルを吸収して全体攻撃</v>
      </c>
      <c r="F10" s="119">
        <v>13400809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6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si="3"/>
        <v>13400830_13400810</v>
      </c>
      <c r="B11" s="120">
        <v>13400830</v>
      </c>
      <c r="C11" s="120">
        <v>13400810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もう…何をしても遅いぜ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状態異常耐性+_x000D_ハートパネルはプロテクトされてドロップ+_x000D_低確率でお邪魔パネルがドロップ+_x000D_3ターン全属性ダメージ80%軽減</v>
      </c>
      <c r="F11" s="120">
        <v>13400810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6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7" t="str">
        <f t="shared" si="3"/>
        <v>13400830_13400811</v>
      </c>
      <c r="B12" s="120">
        <v>13400830</v>
      </c>
      <c r="C12" s="120">
        <v>13400811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力の制御は完全だ！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ターン経過で強くなる全体攻撃+_x000D_1ターン全ユニットの回復力50%DOWN</v>
      </c>
      <c r="F12" s="120">
        <v>13400811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6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ht="21" customHeight="1" x14ac:dyDescent="0.15">
      <c r="A13" s="37" t="str">
        <f t="shared" si="3"/>
        <v>13400830_13400812</v>
      </c>
      <c r="B13" s="120">
        <v>13400830</v>
      </c>
      <c r="C13" s="120">
        <v>13400812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今の俺に限界は無い！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ターン経過で強くなる全体攻撃+_x000D_1ターン全ユニットの回復力60%DOWN</v>
      </c>
      <c r="F13" s="120">
        <v>13400812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6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si="3"/>
        <v>13400830_13400813</v>
      </c>
      <c r="B14" s="120">
        <v>13400830</v>
      </c>
      <c r="C14" s="120">
        <v>13400813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無駄だ！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ターン経過で強くなる全体攻撃+_x000D_1ターン全ユニットの回復力70%DOWN</v>
      </c>
      <c r="F14" s="120">
        <v>13400813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6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ht="21" customHeight="1" x14ac:dyDescent="0.15">
      <c r="A15" s="37" t="str">
        <f t="shared" si="3"/>
        <v>13400830_13400814</v>
      </c>
      <c r="B15" s="120">
        <v>13400830</v>
      </c>
      <c r="C15" s="120">
        <v>13400814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ハハッ！負ける気がしねぇなぁ！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ターン経過で強くなる全体攻撃+_x000D_1ターン全ユニットの回復力80%DOWN</v>
      </c>
      <c r="F15" s="120">
        <v>13400814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6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ref="A16:A33" si="4">B16&amp;"_"&amp;C16</f>
        <v>13400830_13400815</v>
      </c>
      <c r="B16" s="120">
        <v>13400830</v>
      </c>
      <c r="C16" s="120">
        <v>13400815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今なら女王にも勝てそうだ！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ターン経過で強くなる全体攻撃+_x000D_1ターン全ユニットの回復力90%DOWN</v>
      </c>
      <c r="F16" s="120">
        <v>13400815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6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1" customHeight="1" x14ac:dyDescent="0.15">
      <c r="A17" s="37" t="str">
        <f t="shared" si="4"/>
        <v>13400830_13400816</v>
      </c>
      <c r="B17" s="120">
        <v>13400830</v>
      </c>
      <c r="C17" s="120">
        <v>13400816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諦めろッ！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ターン経過で強くなる全体攻撃+_x000D_1ターン全ユニットの回復力100%DOWN</v>
      </c>
      <c r="F17" s="120">
        <v>13400816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6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x14ac:dyDescent="0.15">
      <c r="A18" s="37" t="str">
        <f t="shared" si="4"/>
        <v>13400830_13400817</v>
      </c>
      <c r="B18" s="120">
        <v>13400830</v>
      </c>
      <c r="C18" s="120">
        <v>13400817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終わらせてやる！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次のターンに超強力な固定ダメージ！</v>
      </c>
      <c r="F18" s="120">
        <v>13400817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6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ht="21" customHeight="1" x14ac:dyDescent="0.15">
      <c r="A19" s="37" t="str">
        <f t="shared" si="4"/>
        <v>13400830_13400818</v>
      </c>
      <c r="B19" s="120">
        <v>13400830</v>
      </c>
      <c r="C19" s="120">
        <v>13400818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 xml:space="preserve">時空の彼方に消し飛べ！ 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50000固定ダメージ</v>
      </c>
      <c r="F19" s="120">
        <v>13400818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6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7" t="str">
        <f t="shared" ref="A20" si="5">B20&amp;"_"&amp;C20</f>
        <v>13400830_13400819</v>
      </c>
      <c r="B20" s="120">
        <v>13400830</v>
      </c>
      <c r="C20" s="120">
        <v>13400819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…クソッ！…どうして勝てないッ！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0" s="120">
        <v>13400819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" s="46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6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ht="21" customHeight="1" x14ac:dyDescent="0.15">
      <c r="A21" s="37" t="str">
        <f t="shared" si="4"/>
        <v>13400840_13400820</v>
      </c>
      <c r="B21" s="115">
        <v>13400840</v>
      </c>
      <c r="C21" s="115">
        <v>13400820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セトの奴はヤられたか！ざまぁないな！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状態異常耐性+_x000D_緑パネルは確率で緑の時限式ダメージパネルとしてドロップ+_x000D_1ターン全属性ダメージ80%軽減_x000D_【次のターンに黄属性を優先して狙う強力な単体攻撃】</v>
      </c>
      <c r="F21" s="115">
        <v>13400820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6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ht="21" customHeight="1" x14ac:dyDescent="0.15">
      <c r="A22" s="37" t="str">
        <f t="shared" si="4"/>
        <v>13400840_13400821</v>
      </c>
      <c r="B22" s="115">
        <v>13400840</v>
      </c>
      <c r="C22" s="115">
        <v>13400821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アハハッ！ありがとう！そしてさよならだ！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黄属性を優先して狙う強力な単体攻撃</v>
      </c>
      <c r="F22" s="115">
        <v>13400821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6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5"/>
      <c r="Q22" s="45"/>
      <c r="R22" s="45"/>
    </row>
    <row r="23" spans="1:18" ht="21" customHeight="1" x14ac:dyDescent="0.15">
      <c r="A23" s="37" t="str">
        <f t="shared" si="4"/>
        <v>13400840_13400822</v>
      </c>
      <c r="B23" s="115">
        <v>13400840</v>
      </c>
      <c r="C23" s="115">
        <v>13400822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ALICEを滅ぼすまで私は止まるつもりは無い！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属性パネルを青のダメージパネルに最大15個変換</v>
      </c>
      <c r="F23" s="115">
        <v>13400822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6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3" s="4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6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6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5"/>
      <c r="Q23" s="45"/>
      <c r="R23" s="45"/>
    </row>
    <row r="24" spans="1:18" ht="21" customHeight="1" x14ac:dyDescent="0.15">
      <c r="A24" s="37" t="str">
        <f t="shared" si="4"/>
        <v>13400840_13400823</v>
      </c>
      <c r="B24" s="115">
        <v>13400840</v>
      </c>
      <c r="C24" s="115">
        <v>13400823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滅ぼせなければ死を待つのみだ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ダメージパネルを吸収して強力な全体攻撃</v>
      </c>
      <c r="F24" s="115">
        <v>13400823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6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6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5"/>
      <c r="Q24" s="45"/>
      <c r="R24" s="45"/>
    </row>
    <row r="25" spans="1:18" ht="21" customHeight="1" x14ac:dyDescent="0.15">
      <c r="A25" s="37" t="str">
        <f t="shared" si="4"/>
        <v>13400840_13400824</v>
      </c>
      <c r="B25" s="115">
        <v>13400840</v>
      </c>
      <c r="C25" s="115">
        <v>13400824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こんな世界は無くなればいい！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8回連続攻撃+_x000D_属性パネルを緑のダメージパネルに最大8個変換</v>
      </c>
      <c r="F25" s="115">
        <v>13400824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6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6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ht="21" customHeight="1" x14ac:dyDescent="0.15">
      <c r="A26" s="37" t="str">
        <f t="shared" ref="A26" si="6">B26&amp;"_"&amp;C26</f>
        <v>13400840_13400825</v>
      </c>
      <c r="B26" s="115">
        <v>13400840</v>
      </c>
      <c r="C26" s="115">
        <v>13400825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私の邪魔をするな！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6" s="115">
        <v>13400825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6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6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5"/>
      <c r="Q26" s="45"/>
      <c r="R26" s="45"/>
    </row>
    <row r="27" spans="1:18" ht="21" customHeight="1" x14ac:dyDescent="0.15">
      <c r="A27" s="37" t="str">
        <f t="shared" si="4"/>
        <v>13400850_13400826</v>
      </c>
      <c r="B27" s="116">
        <v>13400850</v>
      </c>
      <c r="C27" s="116">
        <v>13400826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何を生み出そうが造りものに変わりは無い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状態異常耐性+_x000D_全てのプラス効果を解除</v>
      </c>
      <c r="F27" s="116">
        <v>13400826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6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6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  <row r="28" spans="1:18" ht="21" customHeight="1" x14ac:dyDescent="0.15">
      <c r="A28" s="37" t="str">
        <f t="shared" si="4"/>
        <v>13400850_13400827</v>
      </c>
      <c r="B28" s="116">
        <v>13400850</v>
      </c>
      <c r="C28" s="116">
        <v>13400827</v>
      </c>
      <c r="D28" s="4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アハハッ！油断したな！</v>
      </c>
      <c r="E28" s="4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残りHPの99%ダメージ+_x000D_解除されるまで全ユニットの回復力100%DOWN</v>
      </c>
      <c r="F28" s="116">
        <v>13400827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6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6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6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5"/>
      <c r="Q28" s="45"/>
      <c r="R28" s="45"/>
    </row>
    <row r="29" spans="1:18" ht="21" customHeight="1" x14ac:dyDescent="0.15">
      <c r="A29" s="37" t="str">
        <f t="shared" si="4"/>
        <v>13400850_13400828</v>
      </c>
      <c r="B29" s="116">
        <v>13400850</v>
      </c>
      <c r="C29" s="116">
        <v>13400828</v>
      </c>
      <c r="D29" s="4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いつ終わりが来るか判らない恐怖を味わえ</v>
      </c>
      <c r="E29" s="4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3ターン全ユニットに暗闇+単体攻撃</v>
      </c>
      <c r="F29" s="116">
        <v>13400828</v>
      </c>
      <c r="G29" s="4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9" s="4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6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6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9" s="4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5"/>
      <c r="Q29" s="45"/>
      <c r="R29" s="45"/>
    </row>
    <row r="30" spans="1:18" ht="21" customHeight="1" x14ac:dyDescent="0.15">
      <c r="A30" s="37" t="str">
        <f t="shared" si="4"/>
        <v>13400850_13400829</v>
      </c>
      <c r="B30" s="116">
        <v>13400850</v>
      </c>
      <c r="C30" s="116">
        <v>13400829</v>
      </c>
      <c r="D30" s="4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もういい…全ての力を解放しよう…</v>
      </c>
      <c r="E30" s="4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黄パネルが確率でCパネルとしてドロップ</v>
      </c>
      <c r="F30" s="116">
        <v>13400829</v>
      </c>
      <c r="G30" s="4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6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0" s="4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6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6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6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30" s="46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5"/>
      <c r="Q30" s="45"/>
      <c r="R30" s="45"/>
    </row>
    <row r="31" spans="1:18" ht="21" customHeight="1" x14ac:dyDescent="0.15">
      <c r="A31" s="37" t="str">
        <f t="shared" si="4"/>
        <v>13400850_13400830</v>
      </c>
      <c r="B31" s="116">
        <v>13400850</v>
      </c>
      <c r="C31" s="116">
        <v>13400830</v>
      </c>
      <c r="D31" s="4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私が壊れるか…アンタらが壊れるか…</v>
      </c>
      <c r="E31" s="4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解除するまで全ユニットにCパネル生成延長(効果激烈)</v>
      </c>
      <c r="F31" s="116">
        <v>13400830</v>
      </c>
      <c r="G31" s="4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6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1" s="4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6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31" s="46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6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6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6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5"/>
      <c r="Q31" s="45"/>
      <c r="R31" s="45"/>
    </row>
    <row r="32" spans="1:18" ht="21" customHeight="1" x14ac:dyDescent="0.15">
      <c r="A32" s="37" t="str">
        <f t="shared" si="4"/>
        <v>13400850_13400831</v>
      </c>
      <c r="B32" s="116">
        <v>13400850</v>
      </c>
      <c r="C32" s="116">
        <v>13400831</v>
      </c>
      <c r="D32" s="4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シブといんだよ！</v>
      </c>
      <c r="E32" s="4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黄パネルを吸収する程、ダメージがDOWNする攻撃</v>
      </c>
      <c r="F32" s="116">
        <v>13400831</v>
      </c>
      <c r="G32" s="4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6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2" s="4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6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6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6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6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6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5"/>
      <c r="Q32" s="45"/>
      <c r="R32" s="45"/>
    </row>
    <row r="33" spans="1:18" ht="21" customHeight="1" x14ac:dyDescent="0.15">
      <c r="A33" s="37" t="str">
        <f t="shared" si="4"/>
        <v>13400850_13400832</v>
      </c>
      <c r="B33" s="116">
        <v>13400850</v>
      </c>
      <c r="C33" s="116">
        <v>13400832</v>
      </c>
      <c r="D33" s="4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アッハッハ！</v>
      </c>
      <c r="E33" s="4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属性パネルを緑のダメージパネルに最大4個変換+_x000D_単体攻撃</v>
      </c>
      <c r="F33" s="116">
        <v>13400832</v>
      </c>
      <c r="G33" s="4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6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3" s="4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3" s="46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6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6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6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3" s="45"/>
      <c r="Q33" s="45"/>
      <c r="R33" s="45"/>
    </row>
    <row r="34" spans="1:18" ht="21" customHeight="1" x14ac:dyDescent="0.15">
      <c r="A34" s="37" t="str">
        <f t="shared" ref="A34:A40" si="7">B34&amp;"_"&amp;C34</f>
        <v>13400850_13400833</v>
      </c>
      <c r="B34" s="116">
        <v>13400850</v>
      </c>
      <c r="C34" s="116">
        <v>13400833</v>
      </c>
      <c r="D34" s="4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壊れろ！壊れろ！</v>
      </c>
      <c r="E34" s="4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属性パネルを赤のダメージパネルに最大4個変換+_x000D_単体攻撃</v>
      </c>
      <c r="F34" s="116">
        <v>13400833</v>
      </c>
      <c r="G34" s="4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4" s="4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6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6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6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4" s="46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5"/>
      <c r="Q34" s="45"/>
      <c r="R34" s="45"/>
    </row>
    <row r="35" spans="1:18" ht="21" customHeight="1" x14ac:dyDescent="0.15">
      <c r="A35" s="37" t="str">
        <f t="shared" si="7"/>
        <v>13400860_13400834</v>
      </c>
      <c r="B35" s="117">
        <v>13400860</v>
      </c>
      <c r="C35" s="117">
        <v>13400834</v>
      </c>
      <c r="D35" s="4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終わらせよう！ALICEのすべてを！</v>
      </c>
      <c r="E35" s="4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状態異常耐性+ハートパネル無効_x000D_【！】敵HP95%以下で残りHPの500%ダメージ【！】</v>
      </c>
      <c r="F35" s="117">
        <v>13400834</v>
      </c>
      <c r="G35" s="4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35" s="4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6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6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6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6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5"/>
      <c r="Q35" s="45"/>
      <c r="R35" s="45"/>
    </row>
    <row r="36" spans="1:18" ht="21" customHeight="1" x14ac:dyDescent="0.15">
      <c r="A36" s="37" t="str">
        <f t="shared" si="7"/>
        <v>13400860_13400835</v>
      </c>
      <c r="B36" s="117">
        <v>13400860</v>
      </c>
      <c r="C36" s="117">
        <v>13400835</v>
      </c>
      <c r="D36" s="4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全機能停止コード：RAGNAROK</v>
      </c>
      <c r="E36" s="4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残りHPの500%ダメージ</v>
      </c>
      <c r="F36" s="117">
        <v>13400835</v>
      </c>
      <c r="G36" s="4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6" s="4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6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95</v>
      </c>
      <c r="K36" s="4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6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6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6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5"/>
      <c r="Q36" s="45"/>
      <c r="R36" s="45"/>
    </row>
    <row r="37" spans="1:18" ht="21" customHeight="1" x14ac:dyDescent="0.15">
      <c r="A37" s="37" t="str">
        <f t="shared" si="7"/>
        <v>13400860_13400836</v>
      </c>
      <c r="B37" s="117">
        <v>13400860</v>
      </c>
      <c r="C37" s="117">
        <v>13400836</v>
      </c>
      <c r="D37" s="4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AIも…</v>
      </c>
      <c r="E37" s="4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黄パネル無効+_x000D_黄パネルを黄のダメージパネルに最大5個変換</v>
      </c>
      <c r="F37" s="117">
        <v>13400836</v>
      </c>
      <c r="G37" s="4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6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7" s="4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6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6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6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6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5"/>
      <c r="Q37" s="45"/>
      <c r="R37" s="45"/>
    </row>
    <row r="38" spans="1:18" ht="21" customHeight="1" x14ac:dyDescent="0.15">
      <c r="A38" s="37" t="str">
        <f t="shared" si="7"/>
        <v>13400860_13400837</v>
      </c>
      <c r="B38" s="117">
        <v>13400860</v>
      </c>
      <c r="C38" s="117">
        <v>13400837</v>
      </c>
      <c r="D38" s="4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アバターも…</v>
      </c>
      <c r="E38" s="4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緑パネル無効+_x000D_緑パネルを緑のダメージパネルに最大5個変換</v>
      </c>
      <c r="F38" s="117">
        <v>13400837</v>
      </c>
      <c r="G38" s="4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6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8" s="4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6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6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6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6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5"/>
      <c r="Q38" s="45"/>
      <c r="R38" s="45"/>
    </row>
    <row r="39" spans="1:18" ht="21" customHeight="1" x14ac:dyDescent="0.15">
      <c r="A39" s="37" t="str">
        <f t="shared" si="7"/>
        <v>13400860_13400838</v>
      </c>
      <c r="B39" s="117">
        <v>13400860</v>
      </c>
      <c r="C39" s="117">
        <v>13400838</v>
      </c>
      <c r="D39" s="4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女王すらも関係無い…</v>
      </c>
      <c r="E39" s="4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青パネル無効+_x000D_青パネルを青のダメージパネルに最大5個変換</v>
      </c>
      <c r="F39" s="117">
        <v>13400838</v>
      </c>
      <c r="G39" s="46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6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9" s="46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6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6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6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6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6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5"/>
      <c r="Q39" s="45"/>
      <c r="R39" s="45"/>
    </row>
    <row r="40" spans="1:18" ht="21" customHeight="1" x14ac:dyDescent="0.15">
      <c r="A40" s="37" t="str">
        <f t="shared" si="7"/>
        <v>13400860_13400839</v>
      </c>
      <c r="B40" s="117">
        <v>13400860</v>
      </c>
      <c r="C40" s="117">
        <v>13400839</v>
      </c>
      <c r="D40" s="44" t="str">
        <f ca="1">VLOOKUP($C40,OFFSET(enemy_skills!$A$1,0,0,COUNTA(enemy_skills!$A:$A),MATCH(D$1,enemy_skills!$1:$1,0)-MATCH("enemy_skill_id",enemy_skills!$1:$1,0)+1),MATCH(D$1,enemy_skills!$1:$1,0)-MATCH("enemy_skill_id",enemy_skills!$1:$1,0)+1,FALSE)</f>
        <v>全てが滅ぶ瞬間だ！</v>
      </c>
      <c r="E40" s="44" t="str">
        <f ca="1">VLOOKUP($C40,OFFSET(enemy_skills!$A$1,0,0,COUNTA(enemy_skills!$A:$A),MATCH(E$1,enemy_skills!$1:$1,0)-MATCH("enemy_skill_id",enemy_skills!$1:$1,0)+1),MATCH(E$1,enemy_skills!$1:$1,0)-MATCH("enemy_skill_id",enemy_skills!$1:$1,0)+1,FALSE)</f>
        <v>赤パネル無効+_x000D_赤パネルを赤のダメージパネルに最大5個変換_x000D_【！】次のターン残りHPの500%ダメージ【！】</v>
      </c>
      <c r="F40" s="117">
        <v>13400839</v>
      </c>
      <c r="G40" s="46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6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0" s="46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6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6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6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6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6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6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5"/>
      <c r="Q40" s="45"/>
      <c r="R40" s="45"/>
    </row>
    <row r="41" spans="1:18" ht="21" customHeight="1" x14ac:dyDescent="0.15">
      <c r="A41" s="37" t="str">
        <f t="shared" ref="A41" si="8">B41&amp;"_"&amp;C41</f>
        <v>13400860_13400840</v>
      </c>
      <c r="B41" s="117">
        <v>13400860</v>
      </c>
      <c r="C41" s="117">
        <v>13400840</v>
      </c>
      <c r="D41" s="4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全機能停止コード：RAGNAROK</v>
      </c>
      <c r="E41" s="4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残りHPの500%ダメージ</v>
      </c>
      <c r="F41" s="117">
        <v>13400840</v>
      </c>
      <c r="G41" s="46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6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1" s="46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6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6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6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6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1" s="46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6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5"/>
      <c r="Q41" s="45"/>
      <c r="R41" s="45"/>
    </row>
    <row r="42" spans="1:18" ht="21" customHeight="1" x14ac:dyDescent="0.15">
      <c r="A42" s="37" t="str">
        <f t="shared" ref="A42" si="9">B42&amp;"_"&amp;C42</f>
        <v>13400860_13400841</v>
      </c>
      <c r="B42" s="117">
        <v>13400860</v>
      </c>
      <c r="C42" s="117">
        <v>13400841</v>
      </c>
      <c r="D42" s="44" t="str">
        <f ca="1">VLOOKUP($C42,OFFSET(enemy_skills!$A$1,0,0,COUNTA(enemy_skills!$A:$A),MATCH(D$1,enemy_skills!$1:$1,0)-MATCH("enemy_skill_id",enemy_skills!$1:$1,0)+1),MATCH(D$1,enemy_skills!$1:$1,0)-MATCH("enemy_skill_id",enemy_skills!$1:$1,0)+1,FALSE)</f>
        <v>…ハァー…失敗したか</v>
      </c>
      <c r="E42" s="44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精々、女王と潰しあえばいいさ</v>
      </c>
      <c r="F42" s="117">
        <v>13400841</v>
      </c>
      <c r="G42" s="4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6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4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6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6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6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" s="46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6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2" s="4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5"/>
      <c r="Q42" s="45"/>
      <c r="R42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43"/>
  <sheetViews>
    <sheetView showGridLines="0" tabSelected="1" workbookViewId="0">
      <pane ySplit="1" topLeftCell="A34" activePane="bottomLeft" state="frozenSplit"/>
      <selection pane="bottomLeft" activeCell="F41" sqref="F41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36.6640625" style="47" customWidth="1"/>
    <col min="3" max="4" width="4.33203125" style="47" customWidth="1"/>
    <col min="5" max="5" width="23.6640625" style="47" bestFit="1" customWidth="1"/>
    <col min="6" max="6" width="21.1640625" style="47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4.1640625" style="47" customWidth="1" collapsed="1"/>
    <col min="13" max="18" width="23.6640625" style="47" hidden="1" customWidth="1" outlineLevel="1"/>
    <col min="19" max="19" width="5.33203125" style="47" customWidth="1" collapsed="1"/>
    <col min="20" max="24" width="23.6640625" style="47" hidden="1" customWidth="1" outlineLevel="1"/>
    <col min="25" max="25" width="4.83203125" style="47" customWidth="1" collapsed="1"/>
    <col min="26" max="26" width="3.6640625" style="47" customWidth="1"/>
    <col min="27" max="27" width="4.6640625" style="47" customWidth="1"/>
    <col min="28" max="28" width="2.5" style="47" customWidth="1"/>
    <col min="29" max="29" width="44.83203125" style="47" customWidth="1"/>
    <col min="30" max="30" width="52.1640625" style="47" customWidth="1"/>
    <col min="31" max="16384" width="12.83203125" style="47"/>
  </cols>
  <sheetData>
    <row r="1" spans="1:30" ht="21" customHeight="1" x14ac:dyDescent="0.15">
      <c r="A1" s="38" t="s">
        <v>78</v>
      </c>
      <c r="B1" s="38" t="s">
        <v>79</v>
      </c>
      <c r="C1" s="38" t="s">
        <v>80</v>
      </c>
      <c r="D1" s="38" t="s">
        <v>125</v>
      </c>
      <c r="E1" s="38" t="s">
        <v>81</v>
      </c>
      <c r="F1" s="38" t="s">
        <v>82</v>
      </c>
      <c r="G1" s="39" t="s">
        <v>130</v>
      </c>
      <c r="H1" s="39" t="s">
        <v>136</v>
      </c>
      <c r="I1" s="39" t="s">
        <v>138</v>
      </c>
      <c r="J1" s="39" t="s">
        <v>137</v>
      </c>
      <c r="K1" s="39" t="s">
        <v>139</v>
      </c>
      <c r="L1" s="39" t="s">
        <v>131</v>
      </c>
      <c r="M1" s="39" t="s">
        <v>129</v>
      </c>
      <c r="N1" s="39" t="s">
        <v>132</v>
      </c>
      <c r="O1" s="39" t="s">
        <v>140</v>
      </c>
      <c r="P1" s="39" t="s">
        <v>141</v>
      </c>
      <c r="Q1" s="39" t="s">
        <v>142</v>
      </c>
      <c r="R1" s="39" t="s">
        <v>143</v>
      </c>
      <c r="S1" s="39" t="s">
        <v>133</v>
      </c>
      <c r="T1" s="39" t="s">
        <v>134</v>
      </c>
      <c r="U1" s="39" t="s">
        <v>144</v>
      </c>
      <c r="V1" s="39" t="s">
        <v>145</v>
      </c>
      <c r="W1" s="39" t="s">
        <v>146</v>
      </c>
      <c r="X1" s="39" t="s">
        <v>147</v>
      </c>
      <c r="Y1" s="39" t="s">
        <v>135</v>
      </c>
      <c r="Z1" s="39" t="s">
        <v>75</v>
      </c>
      <c r="AA1" s="39" t="s">
        <v>76</v>
      </c>
      <c r="AB1" s="39" t="s">
        <v>77</v>
      </c>
      <c r="AC1" s="39" t="s">
        <v>257</v>
      </c>
    </row>
    <row r="2" spans="1:30" ht="90" customHeight="1" x14ac:dyDescent="0.15">
      <c r="A2" s="118">
        <v>13400800</v>
      </c>
      <c r="B2" s="46" t="str">
        <f t="shared" ref="B2:B35" si="0">"[effect:enemy_message, val1:"&amp;TEXT(IF(TEXT(E2,0)="[表示しない]", "0", IF(LEN(SUBSTITUTE(E2,CHAR(13),""))*0.1&lt;1.2, 1.2, LEN(SUBSTITUTE(E2,CHAR(13),""))*0.1)), "0.0")&amp;", val2:"&amp;TEXT(IF(TEXT(F2,0)="[表示しない]", "0", IF(LEN(SUBSTITUTE(F2,CHAR(13),""))*0.1&lt;1.2, 1.2, LEN(F2)*0.1)),"0.0")&amp;"]"&amp;IF(LEN(AC2)&gt;0, ","&amp;AC2,AC2)</f>
        <v>[effect:enemy_message, val1:1.8, val2:2.7],[effect:fix_speed, target:myself, turn:1],[effect:tolerance, target:myself, turn:-1, count:-1, tolerance_effect:all, animation:enemy_tolerance],[effect:drop_freeze, turn:-1, block_type:normal, block_color:block_red, rate:1, animation:drop_protect],[effect:drop_freeze, turn:-1, block_type:normal, block_color:block_green, rate:1]</v>
      </c>
      <c r="C2" s="48">
        <v>3</v>
      </c>
      <c r="D2" s="48" t="s">
        <v>256</v>
      </c>
      <c r="E2" s="49" t="s">
        <v>348</v>
      </c>
      <c r="F2" s="49" t="s">
        <v>282</v>
      </c>
      <c r="G2" s="61" t="str">
        <f t="shared" ref="G2:G35" si="1">IFERROR(LEFT(B2,FIND("],",B2)),B2)</f>
        <v>[effect:enemy_message, val1:1.8, val2:2.7]</v>
      </c>
      <c r="H2" s="61">
        <f t="shared" ref="H2:H43" si="2">FIND("effect:",G2)+7</f>
        <v>9</v>
      </c>
      <c r="I2" s="61">
        <f t="shared" ref="I2:I35" si="3">IFERROR(FIND(",",G2),LEN(G2))</f>
        <v>22</v>
      </c>
      <c r="J2" s="61" t="e">
        <f t="shared" ref="J2:J35" si="4">FIND("target:",G2)+7</f>
        <v>#VALUE!</v>
      </c>
      <c r="K2" s="61">
        <f t="shared" ref="K2:K35" si="5">FIND(",",G2,I2+1)</f>
        <v>32</v>
      </c>
      <c r="L2" s="61" t="str">
        <f>IFERROR(VLOOKUP(MID(G2,J2,K2-J2),[7]skilldef!$C:$D,2,FALSE),"-") &amp; " / " &amp; IFERROR(VLOOKUP(MID(G2,H2,I2-H2),[7]skilldef!$A:$B,2,FALSE),"-")</f>
        <v>- / -</v>
      </c>
      <c r="M2" s="61" t="str">
        <f t="shared" ref="M2:M35" si="6">IFERROR(RIGHT(B2,LEN(B2)-FIND("],",B2)-1),"none")</f>
        <v>[effect:fix_speed, target:myself, turn:1],[effect:tolerance, target:myself, turn:-1, count:-1, tolerance_effect:all, animation:enemy_tolerance],[effect:drop_freeze, turn:-1, block_type:normal, block_color:block_red, rate:1, animation:drop_protect],[effect:drop_freeze, turn:-1, block_type:normal, block_color:block_green, rate:1]</v>
      </c>
      <c r="N2" s="46" t="str">
        <f t="shared" ref="N2:N31" si="7">IFERROR(LEFT(M2,FIND("],",M2)+S7),M2)</f>
        <v>[effect:fix_speed, target:myself, turn:1],[effect:tolerance, target:myself, turn:-1, count:-1, tolerance_effect:all, animation:enemy_tolerance],[effect:drop_freeze, turn:-1, block_type:normal, block_color:block_red, rate:1, animation:drop_protect],[effect:drop_freeze, turn:-1, block_type:normal, block_color:block_green, rate:1]</v>
      </c>
      <c r="O2" s="61">
        <f t="shared" ref="O2:O43" si="8">FIND("effect:",N2)+7</f>
        <v>9</v>
      </c>
      <c r="P2" s="61">
        <f t="shared" ref="P2:P35" si="9">IFERROR(FIND(",",N2),LEN(N2))</f>
        <v>18</v>
      </c>
      <c r="Q2" s="61">
        <f t="shared" ref="Q2:Q35" si="10">FIND("target:",N2)+7</f>
        <v>27</v>
      </c>
      <c r="R2" s="61">
        <f t="shared" ref="R2:R35" si="11">FIND(",",N2,P2+1)</f>
        <v>33</v>
      </c>
      <c r="S2" s="61" t="str">
        <f>IFERROR(VLOOKUP(MID(N2,Q2,R2-Q2),[7]skilldef!$C:$D,2,FALSE),"-") &amp; " / " &amp; IFERROR(VLOOKUP(MID(N2,O2,P2-O2),[7]skilldef!$A:$B,2,FALSE),"-")</f>
        <v>自分自身に / 行動値設定</v>
      </c>
      <c r="T2" s="46" t="str">
        <f t="shared" ref="T2:T35" si="12">IFERROR(RIGHT(M2,LEN(M2)-FIND("],",M2)-1),"none")</f>
        <v>[effect:tolerance, target:myself, turn:-1, count:-1, tolerance_effect:all, animation:enemy_tolerance],[effect:drop_freeze, turn:-1, block_type:normal, block_color:block_red, rate:1, animation:drop_protect],[effect:drop_freeze, turn:-1, block_type:normal, block_color:block_green, rate:1]</v>
      </c>
      <c r="U2" s="61">
        <f t="shared" ref="U2:U43" si="13">FIND("effect:",T2)+7</f>
        <v>9</v>
      </c>
      <c r="V2" s="61">
        <f t="shared" ref="V2:V35" si="14">IFERROR(FIND(",",T2),LEN(T2))</f>
        <v>18</v>
      </c>
      <c r="W2" s="61">
        <f t="shared" ref="W2:W35" si="15">FIND("target:",T2)+7</f>
        <v>27</v>
      </c>
      <c r="X2" s="61">
        <f t="shared" ref="X2:X35" si="16">FIND(",",T2,V2+1)</f>
        <v>33</v>
      </c>
      <c r="Y2" s="61" t="str">
        <f>IFERROR(VLOOKUP(MID(T2,W2,X2-W2),[7]skilldef!$C:$D,2,FALSE),"-") &amp; " / " &amp; IFERROR(VLOOKUP(MID(T2,U2,V2-U2),[7]skilldef!$A:$B,2,FALSE),"-")</f>
        <v>自分自身に / 状態異常耐性</v>
      </c>
      <c r="Z2" s="48"/>
      <c r="AA2" s="50"/>
      <c r="AB2" s="48"/>
      <c r="AC2" s="104" t="s">
        <v>330</v>
      </c>
    </row>
    <row r="3" spans="1:30" ht="34" customHeight="1" x14ac:dyDescent="0.15">
      <c r="A3" s="118">
        <v>13400801</v>
      </c>
      <c r="B3" s="46" t="str">
        <f t="shared" si="0"/>
        <v>[effect:enemy_message, val1:1.2, val2:1.4],[effect:spread, val:0.25],[effect:panel_freeze, target:normal, color:block_yellow, count:-1]</v>
      </c>
      <c r="C3" s="48">
        <v>3</v>
      </c>
      <c r="D3" s="48" t="s">
        <v>256</v>
      </c>
      <c r="E3" s="49" t="s">
        <v>350</v>
      </c>
      <c r="F3" s="49" t="s">
        <v>283</v>
      </c>
      <c r="G3" s="61" t="str">
        <f t="shared" si="1"/>
        <v>[effect:enemy_message, val1:1.2, val2:1.4]</v>
      </c>
      <c r="H3" s="61">
        <f t="shared" si="2"/>
        <v>9</v>
      </c>
      <c r="I3" s="61">
        <f t="shared" si="3"/>
        <v>22</v>
      </c>
      <c r="J3" s="61" t="e">
        <f t="shared" si="4"/>
        <v>#VALUE!</v>
      </c>
      <c r="K3" s="61">
        <f t="shared" si="5"/>
        <v>32</v>
      </c>
      <c r="L3" s="61" t="str">
        <f>IFERROR(VLOOKUP(MID(G3,J3,K3-J3),[7]skilldef!$C:$D,2,FALSE),"-") &amp; " / " &amp; IFERROR(VLOOKUP(MID(G3,H3,I3-H3),[7]skilldef!$A:$B,2,FALSE),"-")</f>
        <v>- / -</v>
      </c>
      <c r="M3" s="61" t="str">
        <f t="shared" si="6"/>
        <v>[effect:spread, val:0.25],[effect:panel_freeze, target:normal, color:block_yellow, count:-1]</v>
      </c>
      <c r="N3" s="46" t="str">
        <f t="shared" si="7"/>
        <v>[effect:spread, val:0.25],[effect:panel_freeze, target:normal, color:block_yellow, count:-1]</v>
      </c>
      <c r="O3" s="61">
        <f t="shared" si="8"/>
        <v>9</v>
      </c>
      <c r="P3" s="61">
        <f t="shared" si="9"/>
        <v>15</v>
      </c>
      <c r="Q3" s="61">
        <f t="shared" si="10"/>
        <v>56</v>
      </c>
      <c r="R3" s="61">
        <f t="shared" si="11"/>
        <v>26</v>
      </c>
      <c r="S3" s="61" t="str">
        <f>IFERROR(VLOOKUP(MID(N3,Q3,R3-Q3),[7]skilldef!$C:$D,2,FALSE),"-") &amp; " / " &amp; IFERROR(VLOOKUP(MID(N3,O3,P3-O3),[7]skilldef!$A:$B,2,FALSE),"-")</f>
        <v>- / 全体攻撃</v>
      </c>
      <c r="T3" s="46" t="str">
        <f t="shared" si="12"/>
        <v>[effect:panel_freeze, target:normal, color:block_yellow, count:-1]</v>
      </c>
      <c r="U3" s="61">
        <f t="shared" si="13"/>
        <v>9</v>
      </c>
      <c r="V3" s="61">
        <f t="shared" si="14"/>
        <v>21</v>
      </c>
      <c r="W3" s="61">
        <f t="shared" si="15"/>
        <v>30</v>
      </c>
      <c r="X3" s="61">
        <f t="shared" si="16"/>
        <v>36</v>
      </c>
      <c r="Y3" s="61" t="str">
        <f>IFERROR(VLOOKUP(MID(T3,W3,X3-W3),[7]skilldef!$C:$D,2,FALSE),"-") &amp; " / " &amp; IFERROR(VLOOKUP(MID(T3,U3,V3-U3),[7]skilldef!$A:$B,2,FALSE),"-")</f>
        <v>- / -</v>
      </c>
      <c r="Z3" s="48"/>
      <c r="AA3" s="50"/>
      <c r="AB3" s="48"/>
      <c r="AC3" s="104" t="s">
        <v>265</v>
      </c>
      <c r="AD3" s="122" t="s">
        <v>260</v>
      </c>
    </row>
    <row r="4" spans="1:30" ht="35" customHeight="1" x14ac:dyDescent="0.15">
      <c r="A4" s="118">
        <v>13400802</v>
      </c>
      <c r="B4" s="46" t="str">
        <f t="shared" si="0"/>
        <v>[effect:enemy_message, val1:1.2, val2:1.4],[effect:spread, val:0.25],[effect:panel_freeze, target:normal, color:block_blue, count:-1]</v>
      </c>
      <c r="C4" s="48">
        <v>3</v>
      </c>
      <c r="D4" s="48" t="s">
        <v>256</v>
      </c>
      <c r="E4" s="49" t="s">
        <v>353</v>
      </c>
      <c r="F4" s="49" t="s">
        <v>284</v>
      </c>
      <c r="G4" s="61" t="str">
        <f t="shared" si="1"/>
        <v>[effect:enemy_message, val1:1.2, val2:1.4]</v>
      </c>
      <c r="H4" s="61">
        <f t="shared" si="2"/>
        <v>9</v>
      </c>
      <c r="I4" s="61">
        <f t="shared" si="3"/>
        <v>22</v>
      </c>
      <c r="J4" s="61" t="e">
        <f t="shared" si="4"/>
        <v>#VALUE!</v>
      </c>
      <c r="K4" s="61">
        <f t="shared" si="5"/>
        <v>32</v>
      </c>
      <c r="L4" s="61" t="str">
        <f>IFERROR(VLOOKUP(MID(G4,J4,K4-J4),[7]skilldef!$C:$D,2,FALSE),"-") &amp; " / " &amp; IFERROR(VLOOKUP(MID(G4,H4,I4-H4),[7]skilldef!$A:$B,2,FALSE),"-")</f>
        <v>- / -</v>
      </c>
      <c r="M4" s="61" t="str">
        <f t="shared" si="6"/>
        <v>[effect:spread, val:0.25],[effect:panel_freeze, target:normal, color:block_blue, count:-1]</v>
      </c>
      <c r="N4" s="46" t="str">
        <f t="shared" si="7"/>
        <v>[effect:spread, val:0.25],[effect:panel_freeze, target:normal, color:block_blue, count:-1]</v>
      </c>
      <c r="O4" s="61">
        <f t="shared" si="8"/>
        <v>9</v>
      </c>
      <c r="P4" s="61">
        <f t="shared" si="9"/>
        <v>15</v>
      </c>
      <c r="Q4" s="61">
        <f t="shared" si="10"/>
        <v>56</v>
      </c>
      <c r="R4" s="61">
        <f t="shared" si="11"/>
        <v>26</v>
      </c>
      <c r="S4" s="61" t="str">
        <f>IFERROR(VLOOKUP(MID(N4,Q4,R4-Q4),[7]skilldef!$C:$D,2,FALSE),"-") &amp; " / " &amp; IFERROR(VLOOKUP(MID(N4,O4,P4-O4),[7]skilldef!$A:$B,2,FALSE),"-")</f>
        <v>- / 全体攻撃</v>
      </c>
      <c r="T4" s="46" t="str">
        <f t="shared" si="12"/>
        <v>[effect:panel_freeze, target:normal, color:block_blue, count:-1]</v>
      </c>
      <c r="U4" s="61">
        <f t="shared" si="13"/>
        <v>9</v>
      </c>
      <c r="V4" s="61">
        <f t="shared" si="14"/>
        <v>21</v>
      </c>
      <c r="W4" s="61">
        <f t="shared" si="15"/>
        <v>30</v>
      </c>
      <c r="X4" s="61">
        <f t="shared" si="16"/>
        <v>36</v>
      </c>
      <c r="Y4" s="61" t="str">
        <f>IFERROR(VLOOKUP(MID(T4,W4,X4-W4),[7]skilldef!$C:$D,2,FALSE),"-") &amp; " / " &amp; IFERROR(VLOOKUP(MID(T4,U4,V4-U4),[7]skilldef!$A:$B,2,FALSE),"-")</f>
        <v>- / -</v>
      </c>
      <c r="Z4" s="48"/>
      <c r="AA4" s="50"/>
      <c r="AB4" s="48"/>
      <c r="AC4" s="104" t="s">
        <v>281</v>
      </c>
      <c r="AD4" s="122"/>
    </row>
    <row r="5" spans="1:30" ht="21" customHeight="1" x14ac:dyDescent="0.15">
      <c r="A5" s="118">
        <v>13400803</v>
      </c>
      <c r="B5" s="46" t="str">
        <f t="shared" si="0"/>
        <v>[effect:enemy_message, val1:1.2, val2:1.2],[effect:crash_growth, val:-46, count:-1, animation:change_block]</v>
      </c>
      <c r="C5" s="48">
        <v>3</v>
      </c>
      <c r="D5" s="48" t="s">
        <v>256</v>
      </c>
      <c r="E5" s="49" t="s">
        <v>341</v>
      </c>
      <c r="F5" s="49" t="s">
        <v>285</v>
      </c>
      <c r="G5" s="61" t="str">
        <f t="shared" si="1"/>
        <v>[effect:enemy_message, val1:1.2, val2:1.2]</v>
      </c>
      <c r="H5" s="61">
        <f t="shared" si="2"/>
        <v>9</v>
      </c>
      <c r="I5" s="61">
        <f t="shared" si="3"/>
        <v>22</v>
      </c>
      <c r="J5" s="61" t="e">
        <f t="shared" si="4"/>
        <v>#VALUE!</v>
      </c>
      <c r="K5" s="61">
        <f t="shared" si="5"/>
        <v>32</v>
      </c>
      <c r="L5" s="61" t="str">
        <f>IFERROR(VLOOKUP(MID(G5,J5,K5-J5),[7]skilldef!$C:$D,2,FALSE),"-") &amp; " / " &amp; IFERROR(VLOOKUP(MID(G5,H5,I5-H5),[7]skilldef!$A:$B,2,FALSE),"-")</f>
        <v>- / -</v>
      </c>
      <c r="M5" s="61" t="str">
        <f t="shared" si="6"/>
        <v>[effect:crash_growth, val:-46, count:-1, animation:change_block]</v>
      </c>
      <c r="N5" s="46" t="str">
        <f t="shared" si="7"/>
        <v>[effect:crash_growth, val:-46, count:-1, animation:change_block]</v>
      </c>
      <c r="O5" s="61">
        <f t="shared" si="8"/>
        <v>9</v>
      </c>
      <c r="P5" s="61">
        <f t="shared" si="9"/>
        <v>21</v>
      </c>
      <c r="Q5" s="61" t="e">
        <f t="shared" si="10"/>
        <v>#VALUE!</v>
      </c>
      <c r="R5" s="61">
        <f t="shared" si="11"/>
        <v>30</v>
      </c>
      <c r="S5" s="61" t="str">
        <f>IFERROR(VLOOKUP(MID(N5,Q5,R5-Q5),[7]skilldef!$C:$D,2,FALSE),"-") &amp; " / " &amp; IFERROR(VLOOKUP(MID(N5,O5,P5-O5),[7]skilldef!$A:$B,2,FALSE),"-")</f>
        <v>- / -</v>
      </c>
      <c r="T5" s="46" t="str">
        <f t="shared" si="12"/>
        <v>none</v>
      </c>
      <c r="U5" s="61" t="e">
        <f t="shared" si="13"/>
        <v>#VALUE!</v>
      </c>
      <c r="V5" s="61">
        <f t="shared" si="14"/>
        <v>4</v>
      </c>
      <c r="W5" s="61" t="e">
        <f t="shared" si="15"/>
        <v>#VALUE!</v>
      </c>
      <c r="X5" s="61" t="e">
        <f t="shared" si="16"/>
        <v>#VALUE!</v>
      </c>
      <c r="Y5" s="61" t="str">
        <f>IFERROR(VLOOKUP(MID(T5,W5,X5-W5),[7]skilldef!$C:$D,2,FALSE),"-") &amp; " / " &amp; IFERROR(VLOOKUP(MID(T5,U5,V5-U5),[7]skilldef!$A:$B,2,FALSE),"-")</f>
        <v>- / -</v>
      </c>
      <c r="Z5" s="48"/>
      <c r="AA5" s="50"/>
      <c r="AB5" s="48"/>
      <c r="AC5" s="104" t="s">
        <v>263</v>
      </c>
      <c r="AD5" s="122"/>
    </row>
    <row r="6" spans="1:30" ht="38" customHeight="1" x14ac:dyDescent="0.15">
      <c r="A6" s="118">
        <v>13400804</v>
      </c>
      <c r="B6" s="46" t="str">
        <f t="shared" si="0"/>
        <v>[effect:enemy_message, val1:1.2, val2:2.1],[effect:damage_anti_tribe, target:unit_all, tribe:machine, val1:4.0, val2:0.25]</v>
      </c>
      <c r="C6" s="48">
        <v>3</v>
      </c>
      <c r="D6" s="48" t="s">
        <v>256</v>
      </c>
      <c r="E6" s="49" t="s">
        <v>351</v>
      </c>
      <c r="F6" s="49" t="s">
        <v>336</v>
      </c>
      <c r="G6" s="61" t="str">
        <f t="shared" si="1"/>
        <v>[effect:enemy_message, val1:1.2, val2:2.1]</v>
      </c>
      <c r="H6" s="61">
        <f t="shared" si="2"/>
        <v>9</v>
      </c>
      <c r="I6" s="61">
        <f t="shared" si="3"/>
        <v>22</v>
      </c>
      <c r="J6" s="61" t="e">
        <f t="shared" si="4"/>
        <v>#VALUE!</v>
      </c>
      <c r="K6" s="61">
        <f t="shared" si="5"/>
        <v>32</v>
      </c>
      <c r="L6" s="61" t="str">
        <f>IFERROR(VLOOKUP(MID(G6,J6,K6-J6),[7]skilldef!$C:$D,2,FALSE),"-") &amp; " / " &amp; IFERROR(VLOOKUP(MID(G6,H6,I6-H6),[7]skilldef!$A:$B,2,FALSE),"-")</f>
        <v>- / -</v>
      </c>
      <c r="M6" s="61" t="str">
        <f t="shared" si="6"/>
        <v>[effect:damage_anti_tribe, target:unit_all, tribe:machine, val1:4.0, val2:0.25]</v>
      </c>
      <c r="N6" s="46" t="str">
        <f t="shared" si="7"/>
        <v>[effect:damage_anti_tribe, target:unit_all, tribe:machine, val1:4.0, val2:0.25]</v>
      </c>
      <c r="O6" s="61">
        <f t="shared" si="8"/>
        <v>9</v>
      </c>
      <c r="P6" s="61">
        <f t="shared" si="9"/>
        <v>26</v>
      </c>
      <c r="Q6" s="61">
        <f t="shared" si="10"/>
        <v>35</v>
      </c>
      <c r="R6" s="61">
        <f t="shared" si="11"/>
        <v>43</v>
      </c>
      <c r="S6" s="61" t="str">
        <f>IFERROR(VLOOKUP(MID(N6,Q6,R6-Q6),[7]skilldef!$C:$D,2,FALSE),"-") &amp; " / " &amp; IFERROR(VLOOKUP(MID(N6,O6,P6-O6),[7]skilldef!$A:$B,2,FALSE),"-")</f>
        <v>味方全体に / 種族キラー</v>
      </c>
      <c r="T6" s="46" t="str">
        <f t="shared" si="12"/>
        <v>none</v>
      </c>
      <c r="U6" s="61" t="e">
        <f t="shared" si="13"/>
        <v>#VALUE!</v>
      </c>
      <c r="V6" s="61">
        <f t="shared" si="14"/>
        <v>4</v>
      </c>
      <c r="W6" s="61" t="e">
        <f t="shared" si="15"/>
        <v>#VALUE!</v>
      </c>
      <c r="X6" s="61" t="e">
        <f t="shared" si="16"/>
        <v>#VALUE!</v>
      </c>
      <c r="Y6" s="61" t="str">
        <f>IFERROR(VLOOKUP(MID(T6,W6,X6-W6),[7]skilldef!$C:$D,2,FALSE),"-") &amp; " / " &amp; IFERROR(VLOOKUP(MID(T6,U6,V6-U6),[7]skilldef!$A:$B,2,FALSE),"-")</f>
        <v>- / -</v>
      </c>
      <c r="Z6" s="48"/>
      <c r="AA6" s="50"/>
      <c r="AB6" s="48"/>
      <c r="AC6" s="104" t="s">
        <v>400</v>
      </c>
      <c r="AD6" s="122"/>
    </row>
    <row r="7" spans="1:30" ht="101" customHeight="1" x14ac:dyDescent="0.15">
      <c r="A7" s="119">
        <v>13400805</v>
      </c>
      <c r="B7" s="46" t="str">
        <f t="shared" si="0"/>
        <v>[effect:enemy_message, val1:1.2, val2:3.2],[effect:fix_speed, target:myself, turn:1],[effect:tolerance, target:myself, turn:-1, count:-1, tolerance_effect:all, animation:enemy_tolerance],[effect:change_attribute, target:myself, turn:-1, color:yellow, animation:change_attribute_yellow],[effect:reduction, target:myself, color:all, turn:3, val:0.5, animation:reduction_one01]</v>
      </c>
      <c r="C7" s="48">
        <v>3</v>
      </c>
      <c r="D7" s="48" t="s">
        <v>256</v>
      </c>
      <c r="E7" s="49" t="s">
        <v>355</v>
      </c>
      <c r="F7" s="49" t="s">
        <v>307</v>
      </c>
      <c r="G7" s="61" t="str">
        <f t="shared" si="1"/>
        <v>[effect:enemy_message, val1:1.2, val2:3.2]</v>
      </c>
      <c r="H7" s="61">
        <f t="shared" si="2"/>
        <v>9</v>
      </c>
      <c r="I7" s="61">
        <f t="shared" si="3"/>
        <v>22</v>
      </c>
      <c r="J7" s="61" t="e">
        <f t="shared" si="4"/>
        <v>#VALUE!</v>
      </c>
      <c r="K7" s="61">
        <f t="shared" si="5"/>
        <v>32</v>
      </c>
      <c r="L7" s="61" t="str">
        <f>IFERROR(VLOOKUP(MID(G7,J7,K7-J7),[7]skilldef!$C:$D,2,FALSE),"-") &amp; " / " &amp; IFERROR(VLOOKUP(MID(G7,H7,I7-H7),[7]skilldef!$A:$B,2,FALSE),"-")</f>
        <v>- / -</v>
      </c>
      <c r="M7" s="61" t="str">
        <f t="shared" si="6"/>
        <v>[effect:fix_speed, target:myself, turn:1],[effect:tolerance, target:myself, turn:-1, count:-1, tolerance_effect:all, animation:enemy_tolerance],[effect:change_attribute, target:myself, turn:-1, color:yellow, animation:change_attribute_yellow],[effect:reduction, target:myself, color:all, turn:3, val:0.5, animation:reduction_one01]</v>
      </c>
      <c r="N7" s="46" t="str">
        <f t="shared" si="7"/>
        <v>[effect:fix_speed, target:myself, turn:1],[effect:tolerance, target:myself, turn:-1, count:-1, tolerance_effect:all, animation:enemy_tolerance],[effect:change_attribute, target:myself, turn:-1, color:yellow, animation:change_attribute_yellow],[effect:reduction, target:myself, color:all, turn:3, val:0.5, animation:reduction_one01]</v>
      </c>
      <c r="O7" s="61">
        <f t="shared" si="8"/>
        <v>9</v>
      </c>
      <c r="P7" s="61">
        <f t="shared" si="9"/>
        <v>18</v>
      </c>
      <c r="Q7" s="61">
        <f t="shared" si="10"/>
        <v>27</v>
      </c>
      <c r="R7" s="61">
        <f t="shared" si="11"/>
        <v>33</v>
      </c>
      <c r="S7" s="61" t="str">
        <f>IFERROR(VLOOKUP(MID(N7,Q7,R7-Q7),[7]skilldef!$C:$D,2,FALSE),"-") &amp; " / " &amp; IFERROR(VLOOKUP(MID(N7,O7,P7-O7),[7]skilldef!$A:$B,2,FALSE),"-")</f>
        <v>自分自身に / 行動値設定</v>
      </c>
      <c r="T7" s="46" t="str">
        <f t="shared" si="12"/>
        <v>[effect:tolerance, target:myself, turn:-1, count:-1, tolerance_effect:all, animation:enemy_tolerance],[effect:change_attribute, target:myself, turn:-1, color:yellow, animation:change_attribute_yellow],[effect:reduction, target:myself, color:all, turn:3, val:0.5, animation:reduction_one01]</v>
      </c>
      <c r="U7" s="61">
        <f t="shared" si="13"/>
        <v>9</v>
      </c>
      <c r="V7" s="61">
        <f t="shared" si="14"/>
        <v>18</v>
      </c>
      <c r="W7" s="61">
        <f t="shared" si="15"/>
        <v>27</v>
      </c>
      <c r="X7" s="61">
        <f t="shared" si="16"/>
        <v>33</v>
      </c>
      <c r="Y7" s="61" t="str">
        <f>IFERROR(VLOOKUP(MID(T7,W7,X7-W7),[7]skilldef!$C:$D,2,FALSE),"-") &amp; " / " &amp; IFERROR(VLOOKUP(MID(T7,U7,V7-U7),[7]skilldef!$A:$B,2,FALSE),"-")</f>
        <v>自分自身に / 状態異常耐性</v>
      </c>
      <c r="Z7" s="48"/>
      <c r="AA7" s="50"/>
      <c r="AB7" s="48"/>
      <c r="AC7" s="104" t="s">
        <v>331</v>
      </c>
    </row>
    <row r="8" spans="1:30" ht="50" customHeight="1" x14ac:dyDescent="0.15">
      <c r="A8" s="119">
        <v>13400806</v>
      </c>
      <c r="B8" s="46" t="str">
        <f t="shared" si="0"/>
        <v>[effect:enemy_message, val1:1.2, val2:2.5],[effect:force_change_block, new_block:jammer, target:normal, count:5, val:0],[effect:rush, count:1, val:1]</v>
      </c>
      <c r="C8" s="48">
        <v>3</v>
      </c>
      <c r="D8" s="48" t="s">
        <v>256</v>
      </c>
      <c r="E8" s="49" t="s">
        <v>366</v>
      </c>
      <c r="F8" s="49" t="s">
        <v>286</v>
      </c>
      <c r="G8" s="61" t="str">
        <f t="shared" si="1"/>
        <v>[effect:enemy_message, val1:1.2, val2:2.5]</v>
      </c>
      <c r="H8" s="61">
        <f t="shared" si="2"/>
        <v>9</v>
      </c>
      <c r="I8" s="61">
        <f t="shared" si="3"/>
        <v>22</v>
      </c>
      <c r="J8" s="61" t="e">
        <f t="shared" si="4"/>
        <v>#VALUE!</v>
      </c>
      <c r="K8" s="61">
        <f t="shared" si="5"/>
        <v>32</v>
      </c>
      <c r="L8" s="61" t="str">
        <f>IFERROR(VLOOKUP(MID(G8,J8,K8-J8),[7]skilldef!$C:$D,2,FALSE),"-") &amp; " / " &amp; IFERROR(VLOOKUP(MID(G8,H8,I8-H8),[7]skilldef!$A:$B,2,FALSE),"-")</f>
        <v>- / -</v>
      </c>
      <c r="M8" s="61" t="str">
        <f t="shared" si="6"/>
        <v>[effect:force_change_block, new_block:jammer, target:normal, count:5, val:0],[effect:rush, count:1, val:1]</v>
      </c>
      <c r="N8" s="46" t="str">
        <f t="shared" si="7"/>
        <v>[effect:force_change_block, new_block:jammer, target:normal, count:5, val:0],[effect:rush, count:1, val:1]</v>
      </c>
      <c r="O8" s="61">
        <f t="shared" si="8"/>
        <v>9</v>
      </c>
      <c r="P8" s="61">
        <f t="shared" si="9"/>
        <v>27</v>
      </c>
      <c r="Q8" s="61">
        <f t="shared" si="10"/>
        <v>54</v>
      </c>
      <c r="R8" s="61">
        <f t="shared" si="11"/>
        <v>45</v>
      </c>
      <c r="S8" s="61" t="str">
        <f>IFERROR(VLOOKUP(MID(N8,Q8,R8-Q8),[7]skilldef!$C:$D,2,FALSE),"-") &amp; " / " &amp; IFERROR(VLOOKUP(MID(N8,O8,P8-O8),[7]skilldef!$A:$B,2,FALSE),"-")</f>
        <v>- / -</v>
      </c>
      <c r="T8" s="46" t="str">
        <f t="shared" si="12"/>
        <v>[effect:rush, count:1, val:1]</v>
      </c>
      <c r="U8" s="61">
        <f t="shared" si="13"/>
        <v>9</v>
      </c>
      <c r="V8" s="61">
        <f t="shared" si="14"/>
        <v>13</v>
      </c>
      <c r="W8" s="61" t="e">
        <f t="shared" si="15"/>
        <v>#VALUE!</v>
      </c>
      <c r="X8" s="61">
        <f t="shared" si="16"/>
        <v>22</v>
      </c>
      <c r="Y8" s="61" t="str">
        <f>IFERROR(VLOOKUP(MID(T8,W8,X8-W8),[7]skilldef!$C:$D,2,FALSE),"-") &amp; " / " &amp; IFERROR(VLOOKUP(MID(T8,U8,V8-U8),[7]skilldef!$A:$B,2,FALSE),"-")</f>
        <v>- / 連続攻撃</v>
      </c>
      <c r="Z8" s="48"/>
      <c r="AA8" s="50"/>
      <c r="AB8" s="48"/>
      <c r="AC8" s="104" t="s">
        <v>399</v>
      </c>
      <c r="AD8" s="122" t="s">
        <v>261</v>
      </c>
    </row>
    <row r="9" spans="1:30" ht="36" customHeight="1" x14ac:dyDescent="0.15">
      <c r="A9" s="119">
        <v>13400807</v>
      </c>
      <c r="B9" s="46" t="str">
        <f t="shared" si="0"/>
        <v>[effect:enemy_message, val1:1.2, val2:1.2],[effect:change_panel_ratio, turn:-1, block_type:blue, val:0, animation:block_incidence04]</v>
      </c>
      <c r="C9" s="48">
        <v>3</v>
      </c>
      <c r="D9" s="48" t="s">
        <v>256</v>
      </c>
      <c r="E9" s="49" t="s">
        <v>352</v>
      </c>
      <c r="F9" s="49" t="s">
        <v>287</v>
      </c>
      <c r="G9" s="61" t="str">
        <f t="shared" si="1"/>
        <v>[effect:enemy_message, val1:1.2, val2:1.2]</v>
      </c>
      <c r="H9" s="61">
        <f t="shared" si="2"/>
        <v>9</v>
      </c>
      <c r="I9" s="61">
        <f t="shared" si="3"/>
        <v>22</v>
      </c>
      <c r="J9" s="61" t="e">
        <f t="shared" si="4"/>
        <v>#VALUE!</v>
      </c>
      <c r="K9" s="61">
        <f t="shared" si="5"/>
        <v>32</v>
      </c>
      <c r="L9" s="61" t="str">
        <f>IFERROR(VLOOKUP(MID(G9,J9,K9-J9),[7]skilldef!$C:$D,2,FALSE),"-") &amp; " / " &amp; IFERROR(VLOOKUP(MID(G9,H9,I9-H9),[7]skilldef!$A:$B,2,FALSE),"-")</f>
        <v>- / -</v>
      </c>
      <c r="M9" s="61" t="str">
        <f t="shared" si="6"/>
        <v>[effect:change_panel_ratio, turn:-1, block_type:blue, val:0, animation:block_incidence04]</v>
      </c>
      <c r="N9" s="46" t="str">
        <f t="shared" si="7"/>
        <v>[effect:change_panel_ratio, turn:-1, block_type:blue, val:0, animation:block_incidence04]</v>
      </c>
      <c r="O9" s="61">
        <f t="shared" si="8"/>
        <v>9</v>
      </c>
      <c r="P9" s="61">
        <f t="shared" si="9"/>
        <v>27</v>
      </c>
      <c r="Q9" s="61" t="e">
        <f t="shared" si="10"/>
        <v>#VALUE!</v>
      </c>
      <c r="R9" s="61">
        <f t="shared" si="11"/>
        <v>36</v>
      </c>
      <c r="S9" s="61" t="str">
        <f>IFERROR(VLOOKUP(MID(N9,Q9,R9-Q9),[7]skilldef!$C:$D,2,FALSE),"-") &amp; " / " &amp; IFERROR(VLOOKUP(MID(N9,O9,P9-O9),[7]skilldef!$A:$B,2,FALSE),"-")</f>
        <v>- / -</v>
      </c>
      <c r="T9" s="46" t="str">
        <f t="shared" si="12"/>
        <v>none</v>
      </c>
      <c r="U9" s="61" t="e">
        <f t="shared" si="13"/>
        <v>#VALUE!</v>
      </c>
      <c r="V9" s="61">
        <f t="shared" si="14"/>
        <v>4</v>
      </c>
      <c r="W9" s="61" t="e">
        <f t="shared" si="15"/>
        <v>#VALUE!</v>
      </c>
      <c r="X9" s="61" t="e">
        <f t="shared" si="16"/>
        <v>#VALUE!</v>
      </c>
      <c r="Y9" s="61" t="str">
        <f>IFERROR(VLOOKUP(MID(T9,W9,X9-W9),[7]skilldef!$C:$D,2,FALSE),"-") &amp; " / " &amp; IFERROR(VLOOKUP(MID(T9,U9,V9-U9),[7]skilldef!$A:$B,2,FALSE),"-")</f>
        <v>- / -</v>
      </c>
      <c r="Z9" s="48"/>
      <c r="AA9" s="50"/>
      <c r="AB9" s="48"/>
      <c r="AC9" s="104" t="s">
        <v>264</v>
      </c>
      <c r="AD9" s="122"/>
    </row>
    <row r="10" spans="1:30" ht="32" customHeight="1" x14ac:dyDescent="0.15">
      <c r="A10" s="119">
        <v>13400808</v>
      </c>
      <c r="B10" s="46" t="str">
        <f t="shared" si="0"/>
        <v>[effect:enemy_message, val1:1.2, val2:1.3],[effect:break_attack_fix, target:unit_all, val:250, lowest_val:1500, count:-1, block01:block_red]</v>
      </c>
      <c r="C10" s="48">
        <v>3</v>
      </c>
      <c r="D10" s="48" t="s">
        <v>256</v>
      </c>
      <c r="E10" s="49" t="s">
        <v>356</v>
      </c>
      <c r="F10" s="49" t="s">
        <v>288</v>
      </c>
      <c r="G10" s="61" t="str">
        <f t="shared" si="1"/>
        <v>[effect:enemy_message, val1:1.2, val2:1.3]</v>
      </c>
      <c r="H10" s="61">
        <f t="shared" si="2"/>
        <v>9</v>
      </c>
      <c r="I10" s="61">
        <f t="shared" si="3"/>
        <v>22</v>
      </c>
      <c r="J10" s="61" t="e">
        <f t="shared" si="4"/>
        <v>#VALUE!</v>
      </c>
      <c r="K10" s="61">
        <f t="shared" si="5"/>
        <v>32</v>
      </c>
      <c r="L10" s="61" t="str">
        <f>IFERROR(VLOOKUP(MID(G10,J10,K10-J10),[7]skilldef!$C:$D,2,FALSE),"-") &amp; " / " &amp; IFERROR(VLOOKUP(MID(G10,H10,I10-H10),[7]skilldef!$A:$B,2,FALSE),"-")</f>
        <v>- / -</v>
      </c>
      <c r="M10" s="61" t="str">
        <f t="shared" si="6"/>
        <v>[effect:break_attack_fix, target:unit_all, val:250, lowest_val:1500, count:-1, block01:block_red]</v>
      </c>
      <c r="N10" s="46" t="str">
        <f t="shared" si="7"/>
        <v>[effect:break_attack_fix, target:unit_all, val:250, lowest_val:1500, count:-1, block01:block_red]</v>
      </c>
      <c r="O10" s="61">
        <f t="shared" si="8"/>
        <v>9</v>
      </c>
      <c r="P10" s="61">
        <f t="shared" si="9"/>
        <v>25</v>
      </c>
      <c r="Q10" s="61">
        <f t="shared" si="10"/>
        <v>34</v>
      </c>
      <c r="R10" s="61">
        <f t="shared" si="11"/>
        <v>42</v>
      </c>
      <c r="S10" s="61" t="str">
        <f>IFERROR(VLOOKUP(MID(N10,Q10,R10-Q10),[7]skilldef!$C:$D,2,FALSE),"-") &amp; " / " &amp; IFERROR(VLOOKUP(MID(N10,O10,P10-O10),[7]skilldef!$A:$B,2,FALSE),"-")</f>
        <v>味方全体に / -</v>
      </c>
      <c r="T10" s="46" t="str">
        <f t="shared" si="12"/>
        <v>none</v>
      </c>
      <c r="U10" s="61" t="e">
        <f t="shared" si="13"/>
        <v>#VALUE!</v>
      </c>
      <c r="V10" s="61">
        <f t="shared" si="14"/>
        <v>4</v>
      </c>
      <c r="W10" s="61" t="e">
        <f t="shared" si="15"/>
        <v>#VALUE!</v>
      </c>
      <c r="X10" s="61" t="e">
        <f t="shared" si="16"/>
        <v>#VALUE!</v>
      </c>
      <c r="Y10" s="61" t="str">
        <f>IFERROR(VLOOKUP(MID(T10,W10,X10-W10),[7]skilldef!$C:$D,2,FALSE),"-") &amp; " / " &amp; IFERROR(VLOOKUP(MID(T10,U10,V10-U10),[7]skilldef!$A:$B,2,FALSE),"-")</f>
        <v>- / -</v>
      </c>
      <c r="Z10" s="48"/>
      <c r="AA10" s="50"/>
      <c r="AB10" s="48"/>
      <c r="AC10" s="104" t="s">
        <v>325</v>
      </c>
      <c r="AD10" s="122"/>
    </row>
    <row r="11" spans="1:30" ht="36" customHeight="1" x14ac:dyDescent="0.15">
      <c r="A11" s="119">
        <v>13400809</v>
      </c>
      <c r="B11" s="46" t="str">
        <f t="shared" si="0"/>
        <v>[effect:enemy_message, val1:1.2, val2:1.3],[effect:break_attack_fix, target:unit_all, val:250, lowest_val:1500, count:-1, block01:block_green]</v>
      </c>
      <c r="C11" s="48">
        <v>3</v>
      </c>
      <c r="D11" s="48" t="s">
        <v>256</v>
      </c>
      <c r="E11" s="49" t="s">
        <v>357</v>
      </c>
      <c r="F11" s="49" t="s">
        <v>289</v>
      </c>
      <c r="G11" s="61" t="str">
        <f t="shared" si="1"/>
        <v>[effect:enemy_message, val1:1.2, val2:1.3]</v>
      </c>
      <c r="H11" s="61">
        <f t="shared" si="2"/>
        <v>9</v>
      </c>
      <c r="I11" s="61">
        <f t="shared" si="3"/>
        <v>22</v>
      </c>
      <c r="J11" s="61" t="e">
        <f t="shared" si="4"/>
        <v>#VALUE!</v>
      </c>
      <c r="K11" s="61">
        <f t="shared" si="5"/>
        <v>32</v>
      </c>
      <c r="L11" s="61" t="str">
        <f>IFERROR(VLOOKUP(MID(G11,J11,K11-J11),[7]skilldef!$C:$D,2,FALSE),"-") &amp; " / " &amp; IFERROR(VLOOKUP(MID(G11,H11,I11-H11),[7]skilldef!$A:$B,2,FALSE),"-")</f>
        <v>- / -</v>
      </c>
      <c r="M11" s="61" t="str">
        <f t="shared" si="6"/>
        <v>[effect:break_attack_fix, target:unit_all, val:250, lowest_val:1500, count:-1, block01:block_green]</v>
      </c>
      <c r="N11" s="46" t="str">
        <f t="shared" si="7"/>
        <v>[effect:break_attack_fix, target:unit_all, val:250, lowest_val:1500, count:-1, block01:block_green]</v>
      </c>
      <c r="O11" s="61">
        <f t="shared" si="8"/>
        <v>9</v>
      </c>
      <c r="P11" s="61">
        <f t="shared" si="9"/>
        <v>25</v>
      </c>
      <c r="Q11" s="61">
        <f t="shared" si="10"/>
        <v>34</v>
      </c>
      <c r="R11" s="61">
        <f t="shared" si="11"/>
        <v>42</v>
      </c>
      <c r="S11" s="61" t="str">
        <f>IFERROR(VLOOKUP(MID(N11,Q11,R11-Q11),[7]skilldef!$C:$D,2,FALSE),"-") &amp; " / " &amp; IFERROR(VLOOKUP(MID(N11,O11,P11-O11),[7]skilldef!$A:$B,2,FALSE),"-")</f>
        <v>味方全体に / -</v>
      </c>
      <c r="T11" s="46" t="str">
        <f t="shared" si="12"/>
        <v>none</v>
      </c>
      <c r="U11" s="61" t="e">
        <f t="shared" si="13"/>
        <v>#VALUE!</v>
      </c>
      <c r="V11" s="61">
        <f t="shared" si="14"/>
        <v>4</v>
      </c>
      <c r="W11" s="61" t="e">
        <f t="shared" si="15"/>
        <v>#VALUE!</v>
      </c>
      <c r="X11" s="61" t="e">
        <f t="shared" si="16"/>
        <v>#VALUE!</v>
      </c>
      <c r="Y11" s="61" t="str">
        <f>IFERROR(VLOOKUP(MID(T11,W11,X11-W11),[7]skilldef!$C:$D,2,FALSE),"-") &amp; " / " &amp; IFERROR(VLOOKUP(MID(T11,U11,V11-U11),[7]skilldef!$A:$B,2,FALSE),"-")</f>
        <v>- / -</v>
      </c>
      <c r="Z11" s="48"/>
      <c r="AA11" s="50"/>
      <c r="AB11" s="48"/>
      <c r="AC11" s="104" t="s">
        <v>326</v>
      </c>
      <c r="AD11" s="122"/>
    </row>
    <row r="12" spans="1:30" ht="134" customHeight="1" x14ac:dyDescent="0.15">
      <c r="A12" s="120">
        <v>13400810</v>
      </c>
      <c r="B12" s="46" t="str">
        <f t="shared" si="0"/>
        <v>[effect:enemy_message, val1:1.2, val2:6.2],[effect:fix_speed, target:myself, turn:1],[effect:tolerance, target:myself, turn:-1, count:-1, tolerance_effect:all, animation:enemy_tolerance],[effect:drop_freeze, turn:-1, block_type:normal, block_color:block_heart, rate:1, animation:drop_protect],[effect:drop_block, block_type:jammer, color:block_all, val:0, rate:0.04, turn:-1, animation:jammer_influence04],[effect:reduction, target:myself, color:all, turn:3, val:0.8, animation:reduction_one01]</v>
      </c>
      <c r="C12" s="48">
        <v>3</v>
      </c>
      <c r="D12" s="48" t="s">
        <v>256</v>
      </c>
      <c r="E12" s="49" t="s">
        <v>362</v>
      </c>
      <c r="F12" s="49" t="s">
        <v>306</v>
      </c>
      <c r="G12" s="61" t="str">
        <f t="shared" si="1"/>
        <v>[effect:enemy_message, val1:1.2, val2:6.2]</v>
      </c>
      <c r="H12" s="61">
        <f t="shared" si="2"/>
        <v>9</v>
      </c>
      <c r="I12" s="61">
        <f t="shared" si="3"/>
        <v>22</v>
      </c>
      <c r="J12" s="61" t="e">
        <f t="shared" si="4"/>
        <v>#VALUE!</v>
      </c>
      <c r="K12" s="61">
        <f t="shared" si="5"/>
        <v>32</v>
      </c>
      <c r="L12" s="61" t="str">
        <f>IFERROR(VLOOKUP(MID(G12,J12,K12-J12),[7]skilldef!$C:$D,2,FALSE),"-") &amp; " / " &amp; IFERROR(VLOOKUP(MID(G12,H12,I12-H12),[7]skilldef!$A:$B,2,FALSE),"-")</f>
        <v>- / -</v>
      </c>
      <c r="M12" s="61" t="str">
        <f t="shared" si="6"/>
        <v>[effect:fix_speed, target:myself, turn:1],[effect:tolerance, target:myself, turn:-1, count:-1, tolerance_effect:all, animation:enemy_tolerance],[effect:drop_freeze, turn:-1, block_type:normal, block_color:block_heart, rate:1, animation:drop_protect],[effect:drop_block, block_type:jammer, color:block_all, val:0, rate:0.04, turn:-1, animation:jammer_influence04],[effect:reduction, target:myself, color:all, turn:3, val:0.8, animation:reduction_one01]</v>
      </c>
      <c r="N12" s="46" t="str">
        <f t="shared" si="7"/>
        <v>[effect:fix_speed, target:myself, turn:1],[effect:tolerance, target:myself, turn:-1, count:-1, tolerance_effect:all, animation:enemy_tolerance],[effect:drop_freeze, turn:-1, block_type:normal, block_color:block_heart, rate:1, animation:drop_protect],[effect:drop_block, block_type:jammer, color:block_all, val:0, rate:0.04, turn:-1, animation:jammer_influence04],[effect:reduction, target:myself, color:all, turn:3, val:0.8, animation:reduction_one01]</v>
      </c>
      <c r="O12" s="61">
        <f t="shared" si="8"/>
        <v>9</v>
      </c>
      <c r="P12" s="61">
        <f t="shared" si="9"/>
        <v>18</v>
      </c>
      <c r="Q12" s="61">
        <f t="shared" si="10"/>
        <v>27</v>
      </c>
      <c r="R12" s="61">
        <f t="shared" si="11"/>
        <v>33</v>
      </c>
      <c r="S12" s="61" t="str">
        <f>IFERROR(VLOOKUP(MID(N12,Q12,R12-Q12),[7]skilldef!$C:$D,2,FALSE),"-") &amp; " / " &amp; IFERROR(VLOOKUP(MID(N12,O12,P12-O12),[7]skilldef!$A:$B,2,FALSE),"-")</f>
        <v>自分自身に / 行動値設定</v>
      </c>
      <c r="T12" s="46" t="str">
        <f t="shared" si="12"/>
        <v>[effect:tolerance, target:myself, turn:-1, count:-1, tolerance_effect:all, animation:enemy_tolerance],[effect:drop_freeze, turn:-1, block_type:normal, block_color:block_heart, rate:1, animation:drop_protect],[effect:drop_block, block_type:jammer, color:block_all, val:0, rate:0.04, turn:-1, animation:jammer_influence04],[effect:reduction, target:myself, color:all, turn:3, val:0.8, animation:reduction_one01]</v>
      </c>
      <c r="U12" s="61">
        <f t="shared" si="13"/>
        <v>9</v>
      </c>
      <c r="V12" s="61">
        <f t="shared" si="14"/>
        <v>18</v>
      </c>
      <c r="W12" s="61">
        <f t="shared" si="15"/>
        <v>27</v>
      </c>
      <c r="X12" s="61">
        <f t="shared" si="16"/>
        <v>33</v>
      </c>
      <c r="Y12" s="61" t="str">
        <f>IFERROR(VLOOKUP(MID(T12,W12,X12-W12),[7]skilldef!$C:$D,2,FALSE),"-") &amp; " / " &amp; IFERROR(VLOOKUP(MID(T12,U12,V12-U12),[7]skilldef!$A:$B,2,FALSE),"-")</f>
        <v>自分自身に / 状態異常耐性</v>
      </c>
      <c r="Z12" s="48"/>
      <c r="AA12" s="50"/>
      <c r="AB12" s="48"/>
      <c r="AC12" s="104" t="s">
        <v>332</v>
      </c>
    </row>
    <row r="13" spans="1:30" ht="69" customHeight="1" x14ac:dyDescent="0.15">
      <c r="A13" s="120">
        <v>13400811</v>
      </c>
      <c r="B13" s="46" t="str">
        <f t="shared" si="0"/>
        <v>[effect:enemy_message, val1:1.2, val2:3.6],[effect:spread, val:0.25],[effect:degrade_unit, target:unit_all, turn:1, status:heal, val:0.5, calc:mul, animation:degrade_unit_all_heal]</v>
      </c>
      <c r="C13" s="48">
        <v>3</v>
      </c>
      <c r="D13" s="48" t="s">
        <v>256</v>
      </c>
      <c r="E13" s="49" t="s">
        <v>358</v>
      </c>
      <c r="F13" s="49" t="s">
        <v>298</v>
      </c>
      <c r="G13" s="61" t="str">
        <f t="shared" si="1"/>
        <v>[effect:enemy_message, val1:1.2, val2:3.6]</v>
      </c>
      <c r="H13" s="61">
        <f t="shared" si="2"/>
        <v>9</v>
      </c>
      <c r="I13" s="61">
        <f t="shared" si="3"/>
        <v>22</v>
      </c>
      <c r="J13" s="61" t="e">
        <f t="shared" si="4"/>
        <v>#VALUE!</v>
      </c>
      <c r="K13" s="61">
        <f t="shared" si="5"/>
        <v>32</v>
      </c>
      <c r="L13" s="61" t="str">
        <f>IFERROR(VLOOKUP(MID(G13,J13,K13-J13),[7]skilldef!$C:$D,2,FALSE),"-") &amp; " / " &amp; IFERROR(VLOOKUP(MID(G13,H13,I13-H13),[7]skilldef!$A:$B,2,FALSE),"-")</f>
        <v>- / -</v>
      </c>
      <c r="M13" s="61" t="str">
        <f t="shared" si="6"/>
        <v>[effect:spread, val:0.25],[effect:degrade_unit, target:unit_all, turn:1, status:heal, val:0.5, calc:mul, animation:degrade_unit_all_heal]</v>
      </c>
      <c r="N13" s="46" t="str">
        <f t="shared" si="7"/>
        <v>[effect:spread, val:0.25],[effect:degrade_unit, target:unit_all, turn:1, status:heal, val:0.5, calc:mul, animation:degrade_unit_all_heal]</v>
      </c>
      <c r="O13" s="61">
        <f t="shared" si="8"/>
        <v>9</v>
      </c>
      <c r="P13" s="61">
        <f t="shared" si="9"/>
        <v>15</v>
      </c>
      <c r="Q13" s="61">
        <f t="shared" si="10"/>
        <v>56</v>
      </c>
      <c r="R13" s="61">
        <f t="shared" si="11"/>
        <v>26</v>
      </c>
      <c r="S13" s="61" t="str">
        <f>IFERROR(VLOOKUP(MID(N13,Q13,R13-Q13),[7]skilldef!$C:$D,2,FALSE),"-") &amp; " / " &amp; IFERROR(VLOOKUP(MID(N13,O13,P13-O13),[7]skilldef!$A:$B,2,FALSE),"-")</f>
        <v>- / 全体攻撃</v>
      </c>
      <c r="T13" s="46" t="str">
        <f t="shared" si="12"/>
        <v>[effect:degrade_unit, target:unit_all, turn:1, status:heal, val:0.5, calc:mul, animation:degrade_unit_all_heal]</v>
      </c>
      <c r="U13" s="61">
        <f t="shared" si="13"/>
        <v>9</v>
      </c>
      <c r="V13" s="61">
        <f t="shared" si="14"/>
        <v>21</v>
      </c>
      <c r="W13" s="61">
        <f t="shared" si="15"/>
        <v>30</v>
      </c>
      <c r="X13" s="61">
        <f t="shared" si="16"/>
        <v>38</v>
      </c>
      <c r="Y13" s="61" t="str">
        <f>IFERROR(VLOOKUP(MID(T13,W13,X13-W13),[7]skilldef!$C:$D,2,FALSE),"-") &amp; " / " &amp; IFERROR(VLOOKUP(MID(T13,U13,V13-U13),[7]skilldef!$A:$B,2,FALSE),"-")</f>
        <v>味方全体に / ステータスDOWN</v>
      </c>
      <c r="Z13" s="48"/>
      <c r="AA13" s="50"/>
      <c r="AB13" s="48"/>
      <c r="AC13" s="104" t="s">
        <v>266</v>
      </c>
    </row>
    <row r="14" spans="1:30" ht="72" customHeight="1" x14ac:dyDescent="0.15">
      <c r="A14" s="120">
        <v>13400812</v>
      </c>
      <c r="B14" s="46" t="str">
        <f t="shared" si="0"/>
        <v>[effect:enemy_message, val1:1.2, val2:3.6],[effect:spread, val:0.30],[effect:degrade_unit, target:unit_all, turn:1, status:heal, val:0.6, calc:mul, animation:degrade_unit_all_heal]</v>
      </c>
      <c r="C14" s="48">
        <v>3</v>
      </c>
      <c r="D14" s="48" t="s">
        <v>256</v>
      </c>
      <c r="E14" s="49" t="s">
        <v>361</v>
      </c>
      <c r="F14" s="49" t="s">
        <v>299</v>
      </c>
      <c r="G14" s="61" t="str">
        <f t="shared" si="1"/>
        <v>[effect:enemy_message, val1:1.2, val2:3.6]</v>
      </c>
      <c r="H14" s="61">
        <f t="shared" si="2"/>
        <v>9</v>
      </c>
      <c r="I14" s="61">
        <f t="shared" si="3"/>
        <v>22</v>
      </c>
      <c r="J14" s="61" t="e">
        <f t="shared" si="4"/>
        <v>#VALUE!</v>
      </c>
      <c r="K14" s="61">
        <f t="shared" si="5"/>
        <v>32</v>
      </c>
      <c r="L14" s="61" t="str">
        <f>IFERROR(VLOOKUP(MID(G14,J14,K14-J14),[7]skilldef!$C:$D,2,FALSE),"-") &amp; " / " &amp; IFERROR(VLOOKUP(MID(G14,H14,I14-H14),[7]skilldef!$A:$B,2,FALSE),"-")</f>
        <v>- / -</v>
      </c>
      <c r="M14" s="61" t="str">
        <f t="shared" si="6"/>
        <v>[effect:spread, val:0.30],[effect:degrade_unit, target:unit_all, turn:1, status:heal, val:0.6, calc:mul, animation:degrade_unit_all_heal]</v>
      </c>
      <c r="N14" s="46" t="str">
        <f t="shared" si="7"/>
        <v>[effect:spread, val:0.30],[effect:degrade_unit, target:unit_all, turn:1, status:heal, val:0.6, calc:mul, animation:degrade_unit_all_heal]</v>
      </c>
      <c r="O14" s="61">
        <f t="shared" si="8"/>
        <v>9</v>
      </c>
      <c r="P14" s="61">
        <f t="shared" si="9"/>
        <v>15</v>
      </c>
      <c r="Q14" s="61">
        <f t="shared" si="10"/>
        <v>56</v>
      </c>
      <c r="R14" s="61">
        <f t="shared" si="11"/>
        <v>26</v>
      </c>
      <c r="S14" s="61" t="str">
        <f>IFERROR(VLOOKUP(MID(N14,Q14,R14-Q14),[7]skilldef!$C:$D,2,FALSE),"-") &amp; " / " &amp; IFERROR(VLOOKUP(MID(N14,O14,P14-O14),[7]skilldef!$A:$B,2,FALSE),"-")</f>
        <v>- / 全体攻撃</v>
      </c>
      <c r="T14" s="46" t="str">
        <f t="shared" si="12"/>
        <v>[effect:degrade_unit, target:unit_all, turn:1, status:heal, val:0.6, calc:mul, animation:degrade_unit_all_heal]</v>
      </c>
      <c r="U14" s="61">
        <f t="shared" si="13"/>
        <v>9</v>
      </c>
      <c r="V14" s="61">
        <f t="shared" si="14"/>
        <v>21</v>
      </c>
      <c r="W14" s="61">
        <f t="shared" si="15"/>
        <v>30</v>
      </c>
      <c r="X14" s="61">
        <f t="shared" si="16"/>
        <v>38</v>
      </c>
      <c r="Y14" s="61" t="str">
        <f>IFERROR(VLOOKUP(MID(T14,W14,X14-W14),[7]skilldef!$C:$D,2,FALSE),"-") &amp; " / " &amp; IFERROR(VLOOKUP(MID(T14,U14,V14-U14),[7]skilldef!$A:$B,2,FALSE),"-")</f>
        <v>味方全体に / ステータスDOWN</v>
      </c>
      <c r="Z14" s="48"/>
      <c r="AA14" s="50"/>
      <c r="AB14" s="48"/>
      <c r="AC14" s="104" t="s">
        <v>267</v>
      </c>
    </row>
    <row r="15" spans="1:30" ht="68" customHeight="1" x14ac:dyDescent="0.15">
      <c r="A15" s="120">
        <v>13400813</v>
      </c>
      <c r="B15" s="46" t="str">
        <f t="shared" si="0"/>
        <v>[effect:enemy_message, val1:1.2, val2:3.6],[effect:spread, val:0.35],[effect:degrade_unit, target:unit_all, turn:1, status:heal, val:0.7, calc:mul, animation:degrade_unit_all_heal]</v>
      </c>
      <c r="C15" s="48">
        <v>3</v>
      </c>
      <c r="D15" s="48" t="s">
        <v>256</v>
      </c>
      <c r="E15" s="49" t="s">
        <v>363</v>
      </c>
      <c r="F15" s="49" t="s">
        <v>300</v>
      </c>
      <c r="G15" s="61" t="str">
        <f t="shared" si="1"/>
        <v>[effect:enemy_message, val1:1.2, val2:3.6]</v>
      </c>
      <c r="H15" s="61">
        <f t="shared" si="2"/>
        <v>9</v>
      </c>
      <c r="I15" s="61">
        <f t="shared" si="3"/>
        <v>22</v>
      </c>
      <c r="J15" s="61" t="e">
        <f t="shared" si="4"/>
        <v>#VALUE!</v>
      </c>
      <c r="K15" s="61">
        <f t="shared" si="5"/>
        <v>32</v>
      </c>
      <c r="L15" s="61" t="str">
        <f>IFERROR(VLOOKUP(MID(G15,J15,K15-J15),[7]skilldef!$C:$D,2,FALSE),"-") &amp; " / " &amp; IFERROR(VLOOKUP(MID(G15,H15,I15-H15),[7]skilldef!$A:$B,2,FALSE),"-")</f>
        <v>- / -</v>
      </c>
      <c r="M15" s="61" t="str">
        <f t="shared" si="6"/>
        <v>[effect:spread, val:0.35],[effect:degrade_unit, target:unit_all, turn:1, status:heal, val:0.7, calc:mul, animation:degrade_unit_all_heal]</v>
      </c>
      <c r="N15" s="46" t="str">
        <f t="shared" si="7"/>
        <v>[effect:spread, val:0.35],[effect:degrade_unit, target:unit_all, turn:1, status:heal, val:0.7, calc:mul, animation:degrade_unit_all_heal]</v>
      </c>
      <c r="O15" s="61">
        <f t="shared" si="8"/>
        <v>9</v>
      </c>
      <c r="P15" s="61">
        <f t="shared" si="9"/>
        <v>15</v>
      </c>
      <c r="Q15" s="61">
        <f t="shared" si="10"/>
        <v>56</v>
      </c>
      <c r="R15" s="61">
        <f t="shared" si="11"/>
        <v>26</v>
      </c>
      <c r="S15" s="61" t="str">
        <f>IFERROR(VLOOKUP(MID(N15,Q15,R15-Q15),[7]skilldef!$C:$D,2,FALSE),"-") &amp; " / " &amp; IFERROR(VLOOKUP(MID(N15,O15,P15-O15),[7]skilldef!$A:$B,2,FALSE),"-")</f>
        <v>- / 全体攻撃</v>
      </c>
      <c r="T15" s="46" t="str">
        <f t="shared" si="12"/>
        <v>[effect:degrade_unit, target:unit_all, turn:1, status:heal, val:0.7, calc:mul, animation:degrade_unit_all_heal]</v>
      </c>
      <c r="U15" s="61">
        <f t="shared" si="13"/>
        <v>9</v>
      </c>
      <c r="V15" s="61">
        <f t="shared" si="14"/>
        <v>21</v>
      </c>
      <c r="W15" s="61">
        <f t="shared" si="15"/>
        <v>30</v>
      </c>
      <c r="X15" s="61">
        <f t="shared" si="16"/>
        <v>38</v>
      </c>
      <c r="Y15" s="61" t="str">
        <f>IFERROR(VLOOKUP(MID(T15,W15,X15-W15),[7]skilldef!$C:$D,2,FALSE),"-") &amp; " / " &amp; IFERROR(VLOOKUP(MID(T15,U15,V15-U15),[7]skilldef!$A:$B,2,FALSE),"-")</f>
        <v>味方全体に / ステータスDOWN</v>
      </c>
      <c r="Z15" s="48"/>
      <c r="AA15" s="50"/>
      <c r="AB15" s="48"/>
      <c r="AC15" s="104" t="s">
        <v>268</v>
      </c>
    </row>
    <row r="16" spans="1:30" ht="79" customHeight="1" x14ac:dyDescent="0.15">
      <c r="A16" s="120">
        <v>13400814</v>
      </c>
      <c r="B16" s="46" t="str">
        <f t="shared" si="0"/>
        <v>[effect:enemy_message, val1:1.5, val2:3.6],[effect:spread, val:0.40],[effect:degrade_unit, target:unit_all, turn:1, status:heal, val:0.8, calc:mul, animation:degrade_unit_all_heal]</v>
      </c>
      <c r="C16" s="48">
        <v>3</v>
      </c>
      <c r="D16" s="48" t="s">
        <v>256</v>
      </c>
      <c r="E16" s="49" t="s">
        <v>354</v>
      </c>
      <c r="F16" s="49" t="s">
        <v>301</v>
      </c>
      <c r="G16" s="61" t="str">
        <f t="shared" si="1"/>
        <v>[effect:enemy_message, val1:1.5, val2:3.6]</v>
      </c>
      <c r="H16" s="61">
        <f t="shared" si="2"/>
        <v>9</v>
      </c>
      <c r="I16" s="61">
        <f t="shared" si="3"/>
        <v>22</v>
      </c>
      <c r="J16" s="61" t="e">
        <f t="shared" si="4"/>
        <v>#VALUE!</v>
      </c>
      <c r="K16" s="61">
        <f t="shared" si="5"/>
        <v>32</v>
      </c>
      <c r="L16" s="61" t="str">
        <f>IFERROR(VLOOKUP(MID(G16,J16,K16-J16),[7]skilldef!$C:$D,2,FALSE),"-") &amp; " / " &amp; IFERROR(VLOOKUP(MID(G16,H16,I16-H16),[7]skilldef!$A:$B,2,FALSE),"-")</f>
        <v>- / -</v>
      </c>
      <c r="M16" s="61" t="str">
        <f t="shared" si="6"/>
        <v>[effect:spread, val:0.40],[effect:degrade_unit, target:unit_all, turn:1, status:heal, val:0.8, calc:mul, animation:degrade_unit_all_heal]</v>
      </c>
      <c r="N16" s="46" t="str">
        <f t="shared" ref="N16:N21" si="17">IFERROR(LEFT(M16,FIND("],",M16)+S22),M16)</f>
        <v>[effect:spread, val:0.40],[effect:degrade_unit, target:unit_all, turn:1, status:heal, val:0.8, calc:mul, animation:degrade_unit_all_heal]</v>
      </c>
      <c r="O16" s="61">
        <f t="shared" si="8"/>
        <v>9</v>
      </c>
      <c r="P16" s="61">
        <f t="shared" si="9"/>
        <v>15</v>
      </c>
      <c r="Q16" s="61">
        <f t="shared" si="10"/>
        <v>56</v>
      </c>
      <c r="R16" s="61">
        <f t="shared" si="11"/>
        <v>26</v>
      </c>
      <c r="S16" s="61" t="str">
        <f>IFERROR(VLOOKUP(MID(N16,Q16,R16-Q16),[7]skilldef!$C:$D,2,FALSE),"-") &amp; " / " &amp; IFERROR(VLOOKUP(MID(N16,O16,P16-O16),[7]skilldef!$A:$B,2,FALSE),"-")</f>
        <v>- / 全体攻撃</v>
      </c>
      <c r="T16" s="46" t="str">
        <f t="shared" si="12"/>
        <v>[effect:degrade_unit, target:unit_all, turn:1, status:heal, val:0.8, calc:mul, animation:degrade_unit_all_heal]</v>
      </c>
      <c r="U16" s="61">
        <f t="shared" si="13"/>
        <v>9</v>
      </c>
      <c r="V16" s="61">
        <f t="shared" si="14"/>
        <v>21</v>
      </c>
      <c r="W16" s="61">
        <f t="shared" si="15"/>
        <v>30</v>
      </c>
      <c r="X16" s="61">
        <f t="shared" si="16"/>
        <v>38</v>
      </c>
      <c r="Y16" s="61" t="str">
        <f>IFERROR(VLOOKUP(MID(T16,W16,X16-W16),[7]skilldef!$C:$D,2,FALSE),"-") &amp; " / " &amp; IFERROR(VLOOKUP(MID(T16,U16,V16-U16),[7]skilldef!$A:$B,2,FALSE),"-")</f>
        <v>味方全体に / ステータスDOWN</v>
      </c>
      <c r="Z16" s="48"/>
      <c r="AA16" s="50"/>
      <c r="AB16" s="48"/>
      <c r="AC16" s="104" t="s">
        <v>269</v>
      </c>
    </row>
    <row r="17" spans="1:30" ht="79" customHeight="1" x14ac:dyDescent="0.15">
      <c r="A17" s="120">
        <v>13400815</v>
      </c>
      <c r="B17" s="46" t="str">
        <f t="shared" si="0"/>
        <v>[effect:enemy_message, val1:1.3, val2:3.6],[effect:spread, val:0.45],[effect:degrade_unit, target:unit_all, turn:1, status:heal, val:0.9, calc:mul, animation:degrade_unit_all_heal]</v>
      </c>
      <c r="C17" s="48">
        <v>3</v>
      </c>
      <c r="D17" s="48" t="s">
        <v>256</v>
      </c>
      <c r="E17" s="49" t="s">
        <v>364</v>
      </c>
      <c r="F17" s="49" t="s">
        <v>302</v>
      </c>
      <c r="G17" s="61" t="str">
        <f t="shared" si="1"/>
        <v>[effect:enemy_message, val1:1.3, val2:3.6]</v>
      </c>
      <c r="H17" s="61">
        <f t="shared" si="2"/>
        <v>9</v>
      </c>
      <c r="I17" s="61">
        <f t="shared" si="3"/>
        <v>22</v>
      </c>
      <c r="J17" s="61" t="e">
        <f t="shared" si="4"/>
        <v>#VALUE!</v>
      </c>
      <c r="K17" s="61">
        <f t="shared" si="5"/>
        <v>32</v>
      </c>
      <c r="L17" s="61" t="str">
        <f>IFERROR(VLOOKUP(MID(G17,J17,K17-J17),[7]skilldef!$C:$D,2,FALSE),"-") &amp; " / " &amp; IFERROR(VLOOKUP(MID(G17,H17,I17-H17),[7]skilldef!$A:$B,2,FALSE),"-")</f>
        <v>- / -</v>
      </c>
      <c r="M17" s="61" t="str">
        <f t="shared" si="6"/>
        <v>[effect:spread, val:0.45],[effect:degrade_unit, target:unit_all, turn:1, status:heal, val:0.9, calc:mul, animation:degrade_unit_all_heal]</v>
      </c>
      <c r="N17" s="46" t="str">
        <f t="shared" si="17"/>
        <v>[effect:spread, val:0.45],[effect:degrade_unit, target:unit_all, turn:1, status:heal, val:0.9, calc:mul, animation:degrade_unit_all_heal]</v>
      </c>
      <c r="O17" s="61">
        <f t="shared" si="8"/>
        <v>9</v>
      </c>
      <c r="P17" s="61">
        <f t="shared" si="9"/>
        <v>15</v>
      </c>
      <c r="Q17" s="61">
        <f t="shared" si="10"/>
        <v>56</v>
      </c>
      <c r="R17" s="61">
        <f t="shared" si="11"/>
        <v>26</v>
      </c>
      <c r="S17" s="61" t="str">
        <f>IFERROR(VLOOKUP(MID(N17,Q17,R17-Q17),[7]skilldef!$C:$D,2,FALSE),"-") &amp; " / " &amp; IFERROR(VLOOKUP(MID(N17,O17,P17-O17),[7]skilldef!$A:$B,2,FALSE),"-")</f>
        <v>- / 全体攻撃</v>
      </c>
      <c r="T17" s="46" t="str">
        <f t="shared" si="12"/>
        <v>[effect:degrade_unit, target:unit_all, turn:1, status:heal, val:0.9, calc:mul, animation:degrade_unit_all_heal]</v>
      </c>
      <c r="U17" s="61">
        <f t="shared" si="13"/>
        <v>9</v>
      </c>
      <c r="V17" s="61">
        <f t="shared" si="14"/>
        <v>21</v>
      </c>
      <c r="W17" s="61">
        <f t="shared" si="15"/>
        <v>30</v>
      </c>
      <c r="X17" s="61">
        <f t="shared" si="16"/>
        <v>38</v>
      </c>
      <c r="Y17" s="61" t="str">
        <f>IFERROR(VLOOKUP(MID(T17,W17,X17-W17),[7]skilldef!$C:$D,2,FALSE),"-") &amp; " / " &amp; IFERROR(VLOOKUP(MID(T17,U17,V17-U17),[7]skilldef!$A:$B,2,FALSE),"-")</f>
        <v>味方全体に / ステータスDOWN</v>
      </c>
      <c r="Z17" s="48"/>
      <c r="AA17" s="50"/>
      <c r="AB17" s="48"/>
      <c r="AC17" s="104" t="s">
        <v>270</v>
      </c>
    </row>
    <row r="18" spans="1:30" ht="75" customHeight="1" x14ac:dyDescent="0.15">
      <c r="A18" s="120">
        <v>13400816</v>
      </c>
      <c r="B18" s="46" t="str">
        <f t="shared" si="0"/>
        <v>[effect:enemy_message, val1:1.2, val2:3.7],[effect:spread, val:0.50],[effect:degrade_unit, target:unit_all, turn:1, status:heal, val:1.0, calc:mul, animation:degrade_unit_all_heal]</v>
      </c>
      <c r="C18" s="48">
        <v>3</v>
      </c>
      <c r="D18" s="48" t="s">
        <v>256</v>
      </c>
      <c r="E18" s="49" t="s">
        <v>365</v>
      </c>
      <c r="F18" s="49" t="s">
        <v>303</v>
      </c>
      <c r="G18" s="61" t="str">
        <f t="shared" si="1"/>
        <v>[effect:enemy_message, val1:1.2, val2:3.7]</v>
      </c>
      <c r="H18" s="61">
        <f t="shared" si="2"/>
        <v>9</v>
      </c>
      <c r="I18" s="61">
        <f t="shared" si="3"/>
        <v>22</v>
      </c>
      <c r="J18" s="61" t="e">
        <f t="shared" si="4"/>
        <v>#VALUE!</v>
      </c>
      <c r="K18" s="61">
        <f t="shared" si="5"/>
        <v>32</v>
      </c>
      <c r="L18" s="61" t="str">
        <f>IFERROR(VLOOKUP(MID(G18,J18,K18-J18),[7]skilldef!$C:$D,2,FALSE),"-") &amp; " / " &amp; IFERROR(VLOOKUP(MID(G18,H18,I18-H18),[7]skilldef!$A:$B,2,FALSE),"-")</f>
        <v>- / -</v>
      </c>
      <c r="M18" s="61" t="str">
        <f t="shared" si="6"/>
        <v>[effect:spread, val:0.50],[effect:degrade_unit, target:unit_all, turn:1, status:heal, val:1.0, calc:mul, animation:degrade_unit_all_heal]</v>
      </c>
      <c r="N18" s="46" t="str">
        <f t="shared" si="17"/>
        <v>[effect:spread, val:0.50],[effect:degrade_unit, target:unit_all, turn:1, status:heal, val:1.0, calc:mul, animation:degrade_unit_all_heal]</v>
      </c>
      <c r="O18" s="61">
        <f t="shared" si="8"/>
        <v>9</v>
      </c>
      <c r="P18" s="61">
        <f t="shared" si="9"/>
        <v>15</v>
      </c>
      <c r="Q18" s="61">
        <f t="shared" si="10"/>
        <v>56</v>
      </c>
      <c r="R18" s="61">
        <f t="shared" si="11"/>
        <v>26</v>
      </c>
      <c r="S18" s="61" t="str">
        <f>IFERROR(VLOOKUP(MID(N18,Q18,R18-Q18),[7]skilldef!$C:$D,2,FALSE),"-") &amp; " / " &amp; IFERROR(VLOOKUP(MID(N18,O18,P18-O18),[7]skilldef!$A:$B,2,FALSE),"-")</f>
        <v>- / 全体攻撃</v>
      </c>
      <c r="T18" s="46" t="str">
        <f t="shared" si="12"/>
        <v>[effect:degrade_unit, target:unit_all, turn:1, status:heal, val:1.0, calc:mul, animation:degrade_unit_all_heal]</v>
      </c>
      <c r="U18" s="61">
        <f t="shared" si="13"/>
        <v>9</v>
      </c>
      <c r="V18" s="61">
        <f t="shared" si="14"/>
        <v>21</v>
      </c>
      <c r="W18" s="61">
        <f t="shared" si="15"/>
        <v>30</v>
      </c>
      <c r="X18" s="61">
        <f t="shared" si="16"/>
        <v>38</v>
      </c>
      <c r="Y18" s="61" t="str">
        <f>IFERROR(VLOOKUP(MID(T18,W18,X18-W18),[7]skilldef!$C:$D,2,FALSE),"-") &amp; " / " &amp; IFERROR(VLOOKUP(MID(T18,U18,V18-U18),[7]skilldef!$A:$B,2,FALSE),"-")</f>
        <v>味方全体に / ステータスDOWN</v>
      </c>
      <c r="Z18" s="48"/>
      <c r="AA18" s="50"/>
      <c r="AB18" s="48"/>
      <c r="AC18" s="104" t="s">
        <v>271</v>
      </c>
    </row>
    <row r="19" spans="1:30" ht="32" customHeight="1" x14ac:dyDescent="0.15">
      <c r="A19" s="120">
        <v>13400817</v>
      </c>
      <c r="B19" s="46" t="str">
        <f t="shared" si="0"/>
        <v>[effect:enemy_message, val1:1.2, val2:1.7],[effect:enemy_message, val1:1.2, val2:1.2]</v>
      </c>
      <c r="C19" s="48">
        <v>3</v>
      </c>
      <c r="D19" s="48" t="s">
        <v>256</v>
      </c>
      <c r="E19" s="49" t="s">
        <v>359</v>
      </c>
      <c r="F19" s="49" t="s">
        <v>290</v>
      </c>
      <c r="G19" s="61" t="str">
        <f t="shared" si="1"/>
        <v>[effect:enemy_message, val1:1.2, val2:1.7]</v>
      </c>
      <c r="H19" s="61">
        <f t="shared" si="2"/>
        <v>9</v>
      </c>
      <c r="I19" s="61">
        <f t="shared" si="3"/>
        <v>22</v>
      </c>
      <c r="J19" s="61" t="e">
        <f t="shared" si="4"/>
        <v>#VALUE!</v>
      </c>
      <c r="K19" s="61">
        <f t="shared" si="5"/>
        <v>32</v>
      </c>
      <c r="L19" s="61" t="str">
        <f>IFERROR(VLOOKUP(MID(G19,J19,K19-J19),[7]skilldef!$C:$D,2,FALSE),"-") &amp; " / " &amp; IFERROR(VLOOKUP(MID(G19,H19,I19-H19),[7]skilldef!$A:$B,2,FALSE),"-")</f>
        <v>- / -</v>
      </c>
      <c r="M19" s="61" t="str">
        <f t="shared" si="6"/>
        <v>[effect:enemy_message, val1:1.2, val2:1.2]</v>
      </c>
      <c r="N19" s="46" t="str">
        <f t="shared" si="17"/>
        <v>[effect:enemy_message, val1:1.2, val2:1.2]</v>
      </c>
      <c r="O19" s="61">
        <f t="shared" si="8"/>
        <v>9</v>
      </c>
      <c r="P19" s="61">
        <f t="shared" si="9"/>
        <v>22</v>
      </c>
      <c r="Q19" s="61" t="e">
        <f t="shared" si="10"/>
        <v>#VALUE!</v>
      </c>
      <c r="R19" s="61">
        <f t="shared" si="11"/>
        <v>32</v>
      </c>
      <c r="S19" s="61" t="str">
        <f>IFERROR(VLOOKUP(MID(N19,Q19,R19-Q19),[7]skilldef!$C:$D,2,FALSE),"-") &amp; " / " &amp; IFERROR(VLOOKUP(MID(N19,O19,P19-O19),[7]skilldef!$A:$B,2,FALSE),"-")</f>
        <v>- / -</v>
      </c>
      <c r="T19" s="46" t="str">
        <f t="shared" si="12"/>
        <v>none</v>
      </c>
      <c r="U19" s="61" t="e">
        <f t="shared" si="13"/>
        <v>#VALUE!</v>
      </c>
      <c r="V19" s="61">
        <f t="shared" si="14"/>
        <v>4</v>
      </c>
      <c r="W19" s="61" t="e">
        <f t="shared" si="15"/>
        <v>#VALUE!</v>
      </c>
      <c r="X19" s="61" t="e">
        <f t="shared" si="16"/>
        <v>#VALUE!</v>
      </c>
      <c r="Y19" s="61" t="str">
        <f>IFERROR(VLOOKUP(MID(T19,W19,X19-W19),[7]skilldef!$C:$D,2,FALSE),"-") &amp; " / " &amp; IFERROR(VLOOKUP(MID(T19,U19,V19-U19),[7]skilldef!$A:$B,2,FALSE),"-")</f>
        <v>- / -</v>
      </c>
      <c r="Z19" s="48"/>
      <c r="AA19" s="50"/>
      <c r="AB19" s="48"/>
      <c r="AC19" s="104" t="s">
        <v>272</v>
      </c>
      <c r="AD19" s="122" t="s">
        <v>260</v>
      </c>
    </row>
    <row r="20" spans="1:30" ht="21" customHeight="1" x14ac:dyDescent="0.15">
      <c r="A20" s="120">
        <v>13400818</v>
      </c>
      <c r="B20" s="46" t="str">
        <f t="shared" si="0"/>
        <v>[effect:enemy_message, val1:1.2, val2:1.2],[effect:damage_fix_absolute, target:unit_one, val:50000]</v>
      </c>
      <c r="C20" s="48">
        <v>3</v>
      </c>
      <c r="D20" s="48" t="s">
        <v>256</v>
      </c>
      <c r="E20" s="49" t="s">
        <v>360</v>
      </c>
      <c r="F20" s="49" t="s">
        <v>291</v>
      </c>
      <c r="G20" s="61" t="str">
        <f t="shared" si="1"/>
        <v>[effect:enemy_message, val1:1.2, val2:1.2]</v>
      </c>
      <c r="H20" s="61">
        <f t="shared" si="2"/>
        <v>9</v>
      </c>
      <c r="I20" s="61">
        <f t="shared" si="3"/>
        <v>22</v>
      </c>
      <c r="J20" s="61" t="e">
        <f t="shared" si="4"/>
        <v>#VALUE!</v>
      </c>
      <c r="K20" s="61">
        <f t="shared" si="5"/>
        <v>32</v>
      </c>
      <c r="L20" s="61" t="str">
        <f>IFERROR(VLOOKUP(MID(G20,J20,K20-J20),[7]skilldef!$C:$D,2,FALSE),"-") &amp; " / " &amp; IFERROR(VLOOKUP(MID(G20,H20,I20-H20),[7]skilldef!$A:$B,2,FALSE),"-")</f>
        <v>- / -</v>
      </c>
      <c r="M20" s="61" t="str">
        <f t="shared" si="6"/>
        <v>[effect:damage_fix_absolute, target:unit_one, val:50000]</v>
      </c>
      <c r="N20" s="46" t="str">
        <f t="shared" si="17"/>
        <v>[effect:damage_fix_absolute, target:unit_one, val:50000]</v>
      </c>
      <c r="O20" s="61">
        <f t="shared" si="8"/>
        <v>9</v>
      </c>
      <c r="P20" s="61">
        <f t="shared" si="9"/>
        <v>28</v>
      </c>
      <c r="Q20" s="61">
        <f t="shared" si="10"/>
        <v>37</v>
      </c>
      <c r="R20" s="61">
        <f t="shared" si="11"/>
        <v>45</v>
      </c>
      <c r="S20" s="61" t="str">
        <f>IFERROR(VLOOKUP(MID(N20,Q20,R20-Q20),[7]skilldef!$C:$D,2,FALSE),"-") &amp; " / " &amp; IFERROR(VLOOKUP(MID(N20,O20,P20-O20),[7]skilldef!$A:$B,2,FALSE),"-")</f>
        <v>味方単体に / -</v>
      </c>
      <c r="T20" s="46" t="str">
        <f t="shared" si="12"/>
        <v>none</v>
      </c>
      <c r="U20" s="61" t="e">
        <f t="shared" si="13"/>
        <v>#VALUE!</v>
      </c>
      <c r="V20" s="61">
        <f t="shared" si="14"/>
        <v>4</v>
      </c>
      <c r="W20" s="61" t="e">
        <f t="shared" si="15"/>
        <v>#VALUE!</v>
      </c>
      <c r="X20" s="61" t="e">
        <f t="shared" si="16"/>
        <v>#VALUE!</v>
      </c>
      <c r="Y20" s="61" t="str">
        <f>IFERROR(VLOOKUP(MID(T20,W20,X20-W20),[7]skilldef!$C:$D,2,FALSE),"-") &amp; " / " &amp; IFERROR(VLOOKUP(MID(T20,U20,V20-U20),[7]skilldef!$A:$B,2,FALSE),"-")</f>
        <v>- / -</v>
      </c>
      <c r="Z20" s="48"/>
      <c r="AA20" s="50"/>
      <c r="AB20" s="48"/>
      <c r="AC20" s="104" t="s">
        <v>273</v>
      </c>
      <c r="AD20" s="122"/>
    </row>
    <row r="21" spans="1:30" ht="32" customHeight="1" x14ac:dyDescent="0.15">
      <c r="A21" s="120">
        <v>13400819</v>
      </c>
      <c r="B21" s="46" t="s">
        <v>387</v>
      </c>
      <c r="C21" s="48">
        <v>3</v>
      </c>
      <c r="D21" s="48" t="s">
        <v>256</v>
      </c>
      <c r="E21" s="49" t="s">
        <v>386</v>
      </c>
      <c r="F21" s="49" t="s">
        <v>388</v>
      </c>
      <c r="G21" s="61" t="str">
        <f t="shared" ref="G21" si="18">IFERROR(LEFT(B21,FIND("],",B21)),B21)</f>
        <v>[effect:enemy_message, val1:2.1, val2:0]</v>
      </c>
      <c r="H21" s="61">
        <f t="shared" ref="H21" si="19">FIND("effect:",G21)+7</f>
        <v>9</v>
      </c>
      <c r="I21" s="61">
        <f t="shared" ref="I21" si="20">IFERROR(FIND(",",G21),LEN(G21))</f>
        <v>22</v>
      </c>
      <c r="J21" s="61" t="e">
        <f t="shared" ref="J21" si="21">FIND("target:",G21)+7</f>
        <v>#VALUE!</v>
      </c>
      <c r="K21" s="61">
        <f t="shared" ref="K21" si="22">FIND(",",G21,I21+1)</f>
        <v>32</v>
      </c>
      <c r="L21" s="61" t="str">
        <f>IFERROR(VLOOKUP(MID(G21,J21,K21-J21),[7]skilldef!$C:$D,2,FALSE),"-") &amp; " / " &amp; IFERROR(VLOOKUP(MID(G21,H21,I21-H21),[7]skilldef!$A:$B,2,FALSE),"-")</f>
        <v>- / -</v>
      </c>
      <c r="M21" s="61" t="str">
        <f t="shared" ref="M21" si="23">IFERROR(RIGHT(B21,LEN(B21)-FIND("],",B21)-1),"none")</f>
        <v>none</v>
      </c>
      <c r="N21" s="46" t="str">
        <f t="shared" si="17"/>
        <v>none</v>
      </c>
      <c r="O21" s="61" t="e">
        <f t="shared" ref="O21" si="24">FIND("effect:",N21)+7</f>
        <v>#VALUE!</v>
      </c>
      <c r="P21" s="61">
        <f t="shared" ref="P21" si="25">IFERROR(FIND(",",N21),LEN(N21))</f>
        <v>4</v>
      </c>
      <c r="Q21" s="61" t="e">
        <f t="shared" ref="Q21" si="26">FIND("target:",N21)+7</f>
        <v>#VALUE!</v>
      </c>
      <c r="R21" s="61" t="e">
        <f t="shared" ref="R21" si="27">FIND(",",N21,P21+1)</f>
        <v>#VALUE!</v>
      </c>
      <c r="S21" s="61" t="str">
        <f>IFERROR(VLOOKUP(MID(N21,Q21,R21-Q21),[7]skilldef!$C:$D,2,FALSE),"-") &amp; " / " &amp; IFERROR(VLOOKUP(MID(N21,O21,P21-O21),[7]skilldef!$A:$B,2,FALSE),"-")</f>
        <v>- / -</v>
      </c>
      <c r="T21" s="46" t="str">
        <f t="shared" ref="T21" si="28">IFERROR(RIGHT(M21,LEN(M21)-FIND("],",M21)-1),"none")</f>
        <v>none</v>
      </c>
      <c r="U21" s="61" t="e">
        <f t="shared" ref="U21" si="29">FIND("effect:",T21)+7</f>
        <v>#VALUE!</v>
      </c>
      <c r="V21" s="61">
        <f t="shared" ref="V21" si="30">IFERROR(FIND(",",T21),LEN(T21))</f>
        <v>4</v>
      </c>
      <c r="W21" s="61" t="e">
        <f t="shared" ref="W21" si="31">FIND("target:",T21)+7</f>
        <v>#VALUE!</v>
      </c>
      <c r="X21" s="61" t="e">
        <f t="shared" ref="X21" si="32">FIND(",",T21,V21+1)</f>
        <v>#VALUE!</v>
      </c>
      <c r="Y21" s="61" t="str">
        <f>IFERROR(VLOOKUP(MID(T21,W21,X21-W21),[7]skilldef!$C:$D,2,FALSE),"-") &amp; " / " &amp; IFERROR(VLOOKUP(MID(T21,U21,V21-U21),[7]skilldef!$A:$B,2,FALSE),"-")</f>
        <v>- / -</v>
      </c>
      <c r="Z21" s="48"/>
      <c r="AA21" s="50"/>
      <c r="AB21" s="48"/>
      <c r="AC21" s="104"/>
      <c r="AD21" s="122"/>
    </row>
    <row r="22" spans="1:30" ht="124" customHeight="1" x14ac:dyDescent="0.15">
      <c r="A22" s="115">
        <v>13400820</v>
      </c>
      <c r="B22" s="46" t="str">
        <f t="shared" si="0"/>
        <v>[effect:enemy_message, val1:1.8, val2:7.9],[effect:fix_speed, target:myself, turn:1],[effect:tolerance, target:myself, turn:-1, count:-1, tolerance_effect:all, animation:enemy_tolerance],[effect:reduction, target:myself, color:all, turn:1, val:0.8, animation:reduction_one01],[effect:drop_block, block_type:time_bomb, color:block_green, val:0.5, rate:0.5, turn:-1, min_time_count:2, max_time_count:2, animation:time_bomb_influence04]</v>
      </c>
      <c r="C22" s="48">
        <v>3</v>
      </c>
      <c r="D22" s="48" t="s">
        <v>256</v>
      </c>
      <c r="E22" s="49" t="s">
        <v>367</v>
      </c>
      <c r="F22" s="49" t="s">
        <v>339</v>
      </c>
      <c r="G22" s="61" t="str">
        <f t="shared" si="1"/>
        <v>[effect:enemy_message, val1:1.8, val2:7.9]</v>
      </c>
      <c r="H22" s="61">
        <f t="shared" si="2"/>
        <v>9</v>
      </c>
      <c r="I22" s="61">
        <f t="shared" si="3"/>
        <v>22</v>
      </c>
      <c r="J22" s="61" t="e">
        <f t="shared" si="4"/>
        <v>#VALUE!</v>
      </c>
      <c r="K22" s="61">
        <f t="shared" si="5"/>
        <v>32</v>
      </c>
      <c r="L22" s="61" t="str">
        <f>IFERROR(VLOOKUP(MID(G22,J22,K22-J22),[7]skilldef!$C:$D,2,FALSE),"-") &amp; " / " &amp; IFERROR(VLOOKUP(MID(G22,H22,I22-H22),[7]skilldef!$A:$B,2,FALSE),"-")</f>
        <v>- / -</v>
      </c>
      <c r="M22" s="61" t="str">
        <f t="shared" si="6"/>
        <v>[effect:fix_speed, target:myself, turn:1],[effect:tolerance, target:myself, turn:-1, count:-1, tolerance_effect:all, animation:enemy_tolerance],[effect:reduction, target:myself, color:all, turn:1, val:0.8, animation:reduction_one01],[effect:drop_block, block_type:time_bomb, color:block_green, val:0.5, rate:0.5, turn:-1, min_time_count:2, max_time_count:2, animation:time_bomb_influence04]</v>
      </c>
      <c r="N22" s="46" t="str">
        <f t="shared" ref="N22:N27" si="33">IFERROR(LEFT(M22,FIND("],",M22)+S28),M22)</f>
        <v>[effect:fix_speed, target:myself, turn:1],[effect:tolerance, target:myself, turn:-1, count:-1, tolerance_effect:all, animation:enemy_tolerance],[effect:reduction, target:myself, color:all, turn:1, val:0.8, animation:reduction_one01],[effect:drop_block, block_type:time_bomb, color:block_green, val:0.5, rate:0.5, turn:-1, min_time_count:2, max_time_count:2, animation:time_bomb_influence04]</v>
      </c>
      <c r="O22" s="61">
        <f t="shared" si="8"/>
        <v>9</v>
      </c>
      <c r="P22" s="61">
        <f t="shared" si="9"/>
        <v>18</v>
      </c>
      <c r="Q22" s="61">
        <f t="shared" si="10"/>
        <v>27</v>
      </c>
      <c r="R22" s="61">
        <f t="shared" si="11"/>
        <v>33</v>
      </c>
      <c r="S22" s="61" t="str">
        <f>IFERROR(VLOOKUP(MID(N22,Q22,R22-Q22),[7]skilldef!$C:$D,2,FALSE),"-") &amp; " / " &amp; IFERROR(VLOOKUP(MID(N22,O22,P22-O22),[7]skilldef!$A:$B,2,FALSE),"-")</f>
        <v>自分自身に / 行動値設定</v>
      </c>
      <c r="T22" s="46" t="str">
        <f t="shared" si="12"/>
        <v>[effect:tolerance, target:myself, turn:-1, count:-1, tolerance_effect:all, animation:enemy_tolerance],[effect:reduction, target:myself, color:all, turn:1, val:0.8, animation:reduction_one01],[effect:drop_block, block_type:time_bomb, color:block_green, val:0.5, rate:0.5, turn:-1, min_time_count:2, max_time_count:2, animation:time_bomb_influence04]</v>
      </c>
      <c r="U22" s="61">
        <f t="shared" si="13"/>
        <v>9</v>
      </c>
      <c r="V22" s="61">
        <f t="shared" si="14"/>
        <v>18</v>
      </c>
      <c r="W22" s="61">
        <f t="shared" si="15"/>
        <v>27</v>
      </c>
      <c r="X22" s="61">
        <f t="shared" si="16"/>
        <v>33</v>
      </c>
      <c r="Y22" s="61" t="str">
        <f>IFERROR(VLOOKUP(MID(T22,W22,X22-W22),[7]skilldef!$C:$D,2,FALSE),"-") &amp; " / " &amp; IFERROR(VLOOKUP(MID(T22,U22,V22-U22),[7]skilldef!$A:$B,2,FALSE),"-")</f>
        <v>自分自身に / 状態異常耐性</v>
      </c>
      <c r="Z22" s="48"/>
      <c r="AA22" s="50"/>
      <c r="AB22" s="48"/>
      <c r="AC22" s="104" t="s">
        <v>333</v>
      </c>
      <c r="AD22" s="122"/>
    </row>
    <row r="23" spans="1:30" ht="42" customHeight="1" x14ac:dyDescent="0.15">
      <c r="A23" s="115">
        <v>13400821</v>
      </c>
      <c r="B23" s="46" t="str">
        <f t="shared" si="0"/>
        <v>[effect:enemy_message, val1:2.0, val2:1.7],[effect:damage_anti_color, target:unit_one, color:yellow, val1:1.9, val2:1.9]</v>
      </c>
      <c r="C23" s="48">
        <v>3</v>
      </c>
      <c r="D23" s="48" t="s">
        <v>256</v>
      </c>
      <c r="E23" s="49" t="s">
        <v>391</v>
      </c>
      <c r="F23" s="49" t="s">
        <v>340</v>
      </c>
      <c r="G23" s="61" t="str">
        <f t="shared" si="1"/>
        <v>[effect:enemy_message, val1:2.0, val2:1.7]</v>
      </c>
      <c r="H23" s="61">
        <f t="shared" si="2"/>
        <v>9</v>
      </c>
      <c r="I23" s="61">
        <f t="shared" si="3"/>
        <v>22</v>
      </c>
      <c r="J23" s="61" t="e">
        <f t="shared" si="4"/>
        <v>#VALUE!</v>
      </c>
      <c r="K23" s="61">
        <f t="shared" si="5"/>
        <v>32</v>
      </c>
      <c r="L23" s="61" t="str">
        <f>IFERROR(VLOOKUP(MID(G23,J23,K23-J23),[7]skilldef!$C:$D,2,FALSE),"-") &amp; " / " &amp; IFERROR(VLOOKUP(MID(G23,H23,I23-H23),[7]skilldef!$A:$B,2,FALSE),"-")</f>
        <v>- / -</v>
      </c>
      <c r="M23" s="61" t="str">
        <f t="shared" si="6"/>
        <v>[effect:damage_anti_color, target:unit_one, color:yellow, val1:1.9, val2:1.9]</v>
      </c>
      <c r="N23" s="46" t="str">
        <f t="shared" si="33"/>
        <v>[effect:damage_anti_color, target:unit_one, color:yellow, val1:1.9, val2:1.9]</v>
      </c>
      <c r="O23" s="61">
        <f t="shared" si="8"/>
        <v>9</v>
      </c>
      <c r="P23" s="61">
        <f t="shared" si="9"/>
        <v>26</v>
      </c>
      <c r="Q23" s="61">
        <f t="shared" si="10"/>
        <v>35</v>
      </c>
      <c r="R23" s="61">
        <f t="shared" si="11"/>
        <v>43</v>
      </c>
      <c r="S23" s="61" t="str">
        <f>IFERROR(VLOOKUP(MID(N23,Q23,R23-Q23),[7]skilldef!$C:$D,2,FALSE),"-") &amp; " / " &amp; IFERROR(VLOOKUP(MID(N23,O23,P23-O23),[7]skilldef!$A:$B,2,FALSE),"-")</f>
        <v>味方単体に / 属性キラー</v>
      </c>
      <c r="T23" s="46" t="str">
        <f t="shared" si="12"/>
        <v>none</v>
      </c>
      <c r="U23" s="61" t="e">
        <f t="shared" si="13"/>
        <v>#VALUE!</v>
      </c>
      <c r="V23" s="61">
        <f t="shared" si="14"/>
        <v>4</v>
      </c>
      <c r="W23" s="61" t="e">
        <f t="shared" si="15"/>
        <v>#VALUE!</v>
      </c>
      <c r="X23" s="61" t="e">
        <f t="shared" si="16"/>
        <v>#VALUE!</v>
      </c>
      <c r="Y23" s="61" t="str">
        <f>IFERROR(VLOOKUP(MID(T23,W23,X23-W23),[7]skilldef!$C:$D,2,FALSE),"-") &amp; " / " &amp; IFERROR(VLOOKUP(MID(T23,U23,V23-U23),[7]skilldef!$A:$B,2,FALSE),"-")</f>
        <v>- / -</v>
      </c>
      <c r="Z23" s="48"/>
      <c r="AA23" s="50"/>
      <c r="AB23" s="48"/>
      <c r="AC23" s="104" t="s">
        <v>401</v>
      </c>
      <c r="AD23" s="122"/>
    </row>
    <row r="24" spans="1:30" ht="38" customHeight="1" x14ac:dyDescent="0.15">
      <c r="A24" s="115">
        <v>13400822</v>
      </c>
      <c r="B24" s="46" t="str">
        <f t="shared" si="0"/>
        <v>[effect:enemy_message, val1:2.3, val2:2.3],[effect:force_change_block, new_block:damage, target:normal, color:block_blue, count:15, val:0.5]</v>
      </c>
      <c r="C24" s="48">
        <v>3</v>
      </c>
      <c r="D24" s="48" t="s">
        <v>256</v>
      </c>
      <c r="E24" s="49" t="s">
        <v>385</v>
      </c>
      <c r="F24" s="49" t="s">
        <v>293</v>
      </c>
      <c r="G24" s="61" t="str">
        <f t="shared" si="1"/>
        <v>[effect:enemy_message, val1:2.3, val2:2.3]</v>
      </c>
      <c r="H24" s="61">
        <f t="shared" si="2"/>
        <v>9</v>
      </c>
      <c r="I24" s="61">
        <f t="shared" si="3"/>
        <v>22</v>
      </c>
      <c r="J24" s="61" t="e">
        <f t="shared" si="4"/>
        <v>#VALUE!</v>
      </c>
      <c r="K24" s="61">
        <f t="shared" si="5"/>
        <v>32</v>
      </c>
      <c r="L24" s="61" t="str">
        <f>IFERROR(VLOOKUP(MID(G24,J24,K24-J24),[7]skilldef!$C:$D,2,FALSE),"-") &amp; " / " &amp; IFERROR(VLOOKUP(MID(G24,H24,I24-H24),[7]skilldef!$A:$B,2,FALSE),"-")</f>
        <v>- / -</v>
      </c>
      <c r="M24" s="61" t="str">
        <f t="shared" si="6"/>
        <v>[effect:force_change_block, new_block:damage, target:normal, color:block_blue, count:15, val:0.5]</v>
      </c>
      <c r="N24" s="46" t="str">
        <f t="shared" si="33"/>
        <v>[effect:force_change_block, new_block:damage, target:normal, color:block_blue, count:15, val:0.5]</v>
      </c>
      <c r="O24" s="61">
        <f t="shared" si="8"/>
        <v>9</v>
      </c>
      <c r="P24" s="61">
        <f t="shared" si="9"/>
        <v>27</v>
      </c>
      <c r="Q24" s="61">
        <f t="shared" si="10"/>
        <v>54</v>
      </c>
      <c r="R24" s="61">
        <f t="shared" si="11"/>
        <v>45</v>
      </c>
      <c r="S24" s="61" t="str">
        <f>IFERROR(VLOOKUP(MID(N24,Q24,R24-Q24),[7]skilldef!$C:$D,2,FALSE),"-") &amp; " / " &amp; IFERROR(VLOOKUP(MID(N24,O24,P24-O24),[7]skilldef!$A:$B,2,FALSE),"-")</f>
        <v>- / -</v>
      </c>
      <c r="T24" s="46" t="str">
        <f t="shared" si="12"/>
        <v>none</v>
      </c>
      <c r="U24" s="61" t="e">
        <f t="shared" si="13"/>
        <v>#VALUE!</v>
      </c>
      <c r="V24" s="61">
        <f t="shared" si="14"/>
        <v>4</v>
      </c>
      <c r="W24" s="61" t="e">
        <f t="shared" si="15"/>
        <v>#VALUE!</v>
      </c>
      <c r="X24" s="61" t="e">
        <f t="shared" si="16"/>
        <v>#VALUE!</v>
      </c>
      <c r="Y24" s="61" t="str">
        <f>IFERROR(VLOOKUP(MID(T24,W24,X24-W24),[7]skilldef!$C:$D,2,FALSE),"-") &amp; " / " &amp; IFERROR(VLOOKUP(MID(T24,U24,V24-U24),[7]skilldef!$A:$B,2,FALSE),"-")</f>
        <v>- / -</v>
      </c>
      <c r="Z24" s="48"/>
      <c r="AA24" s="50"/>
      <c r="AB24" s="48"/>
      <c r="AC24" s="104" t="s">
        <v>274</v>
      </c>
    </row>
    <row r="25" spans="1:30" ht="41" customHeight="1" x14ac:dyDescent="0.15">
      <c r="A25" s="115">
        <v>13400823</v>
      </c>
      <c r="B25" s="46" t="str">
        <f t="shared" si="0"/>
        <v>[effect:enemy_message, val1:1.4, val2:1.9],[effect:break_attack_fix, target:unit_all, val:400, lowest_val:1500, count:-1, block01:damage]</v>
      </c>
      <c r="C25" s="48">
        <v>3</v>
      </c>
      <c r="D25" s="48" t="s">
        <v>256</v>
      </c>
      <c r="E25" s="49" t="s">
        <v>382</v>
      </c>
      <c r="F25" s="49" t="s">
        <v>294</v>
      </c>
      <c r="G25" s="61" t="str">
        <f t="shared" si="1"/>
        <v>[effect:enemy_message, val1:1.4, val2:1.9]</v>
      </c>
      <c r="H25" s="61">
        <f t="shared" si="2"/>
        <v>9</v>
      </c>
      <c r="I25" s="61">
        <f t="shared" si="3"/>
        <v>22</v>
      </c>
      <c r="J25" s="61" t="e">
        <f t="shared" si="4"/>
        <v>#VALUE!</v>
      </c>
      <c r="K25" s="61">
        <f t="shared" si="5"/>
        <v>32</v>
      </c>
      <c r="L25" s="61" t="str">
        <f>IFERROR(VLOOKUP(MID(G25,J25,K25-J25),[7]skilldef!$C:$D,2,FALSE),"-") &amp; " / " &amp; IFERROR(VLOOKUP(MID(G25,H25,I25-H25),[7]skilldef!$A:$B,2,FALSE),"-")</f>
        <v>- / -</v>
      </c>
      <c r="M25" s="61" t="str">
        <f t="shared" si="6"/>
        <v>[effect:break_attack_fix, target:unit_all, val:400, lowest_val:1500, count:-1, block01:damage]</v>
      </c>
      <c r="N25" s="46" t="str">
        <f t="shared" si="33"/>
        <v>[effect:break_attack_fix, target:unit_all, val:400, lowest_val:1500, count:-1, block01:damage]</v>
      </c>
      <c r="O25" s="61">
        <f t="shared" si="8"/>
        <v>9</v>
      </c>
      <c r="P25" s="61">
        <f t="shared" si="9"/>
        <v>25</v>
      </c>
      <c r="Q25" s="61">
        <f t="shared" si="10"/>
        <v>34</v>
      </c>
      <c r="R25" s="61">
        <f t="shared" si="11"/>
        <v>42</v>
      </c>
      <c r="S25" s="61" t="str">
        <f>IFERROR(VLOOKUP(MID(N25,Q25,R25-Q25),[7]skilldef!$C:$D,2,FALSE),"-") &amp; " / " &amp; IFERROR(VLOOKUP(MID(N25,O25,P25-O25),[7]skilldef!$A:$B,2,FALSE),"-")</f>
        <v>味方全体に / -</v>
      </c>
      <c r="T25" s="46" t="str">
        <f t="shared" si="12"/>
        <v>none</v>
      </c>
      <c r="U25" s="61" t="e">
        <f t="shared" si="13"/>
        <v>#VALUE!</v>
      </c>
      <c r="V25" s="61">
        <f t="shared" si="14"/>
        <v>4</v>
      </c>
      <c r="W25" s="61" t="e">
        <f t="shared" si="15"/>
        <v>#VALUE!</v>
      </c>
      <c r="X25" s="61" t="e">
        <f t="shared" si="16"/>
        <v>#VALUE!</v>
      </c>
      <c r="Y25" s="61" t="str">
        <f>IFERROR(VLOOKUP(MID(T25,W25,X25-W25),[7]skilldef!$C:$D,2,FALSE),"-") &amp; " / " &amp; IFERROR(VLOOKUP(MID(T25,U25,V25-U25),[7]skilldef!$A:$B,2,FALSE),"-")</f>
        <v>- / -</v>
      </c>
      <c r="Z25" s="48"/>
      <c r="AA25" s="50"/>
      <c r="AB25" s="48"/>
      <c r="AC25" s="104" t="s">
        <v>337</v>
      </c>
      <c r="AD25" s="122" t="s">
        <v>261</v>
      </c>
    </row>
    <row r="26" spans="1:30" ht="50" customHeight="1" x14ac:dyDescent="0.15">
      <c r="A26" s="115">
        <v>13400824</v>
      </c>
      <c r="B26" s="46" t="str">
        <f t="shared" si="0"/>
        <v>[effect:enemy_message, val1:1.4, val2:3.0],[effect:rush, count:8, val:0.17],[effect:force_change_block, new_block:damage, target:normal, color:block_green, count:8, val:0.5]</v>
      </c>
      <c r="C26" s="48">
        <v>3</v>
      </c>
      <c r="D26" s="48" t="s">
        <v>256</v>
      </c>
      <c r="E26" s="49" t="s">
        <v>384</v>
      </c>
      <c r="F26" s="49" t="s">
        <v>295</v>
      </c>
      <c r="G26" s="61" t="str">
        <f t="shared" si="1"/>
        <v>[effect:enemy_message, val1:1.4, val2:3.0]</v>
      </c>
      <c r="H26" s="61">
        <f t="shared" si="2"/>
        <v>9</v>
      </c>
      <c r="I26" s="61">
        <f t="shared" si="3"/>
        <v>22</v>
      </c>
      <c r="J26" s="61" t="e">
        <f t="shared" si="4"/>
        <v>#VALUE!</v>
      </c>
      <c r="K26" s="61">
        <f t="shared" si="5"/>
        <v>32</v>
      </c>
      <c r="L26" s="61" t="str">
        <f>IFERROR(VLOOKUP(MID(G26,J26,K26-J26),[7]skilldef!$C:$D,2,FALSE),"-") &amp; " / " &amp; IFERROR(VLOOKUP(MID(G26,H26,I26-H26),[7]skilldef!$A:$B,2,FALSE),"-")</f>
        <v>- / -</v>
      </c>
      <c r="M26" s="61" t="str">
        <f t="shared" si="6"/>
        <v>[effect:rush, count:8, val:0.17],[effect:force_change_block, new_block:damage, target:normal, color:block_green, count:8, val:0.5]</v>
      </c>
      <c r="N26" s="46" t="str">
        <f t="shared" si="33"/>
        <v>[effect:rush, count:8, val:0.17],[effect:force_change_block, new_block:damage, target:normal, color:block_green, count:8, val:0.5]</v>
      </c>
      <c r="O26" s="61">
        <f t="shared" si="8"/>
        <v>9</v>
      </c>
      <c r="P26" s="61">
        <f t="shared" si="9"/>
        <v>13</v>
      </c>
      <c r="Q26" s="61">
        <f t="shared" si="10"/>
        <v>87</v>
      </c>
      <c r="R26" s="61">
        <f t="shared" si="11"/>
        <v>22</v>
      </c>
      <c r="S26" s="61" t="str">
        <f>IFERROR(VLOOKUP(MID(N26,Q26,R26-Q26),[7]skilldef!$C:$D,2,FALSE),"-") &amp; " / " &amp; IFERROR(VLOOKUP(MID(N26,O26,P26-O26),[7]skilldef!$A:$B,2,FALSE),"-")</f>
        <v>- / 連続攻撃</v>
      </c>
      <c r="T26" s="46" t="str">
        <f t="shared" si="12"/>
        <v>[effect:force_change_block, new_block:damage, target:normal, color:block_green, count:8, val:0.5]</v>
      </c>
      <c r="U26" s="61">
        <f t="shared" si="13"/>
        <v>9</v>
      </c>
      <c r="V26" s="61">
        <f t="shared" si="14"/>
        <v>27</v>
      </c>
      <c r="W26" s="61">
        <f t="shared" si="15"/>
        <v>54</v>
      </c>
      <c r="X26" s="61">
        <f t="shared" si="16"/>
        <v>45</v>
      </c>
      <c r="Y26" s="61" t="str">
        <f>IFERROR(VLOOKUP(MID(T26,W26,X26-W26),[7]skilldef!$C:$D,2,FALSE),"-") &amp; " / " &amp; IFERROR(VLOOKUP(MID(T26,U26,V26-U26),[7]skilldef!$A:$B,2,FALSE),"-")</f>
        <v>- / -</v>
      </c>
      <c r="Z26" s="48"/>
      <c r="AA26" s="50"/>
      <c r="AB26" s="48"/>
      <c r="AC26" s="104" t="s">
        <v>402</v>
      </c>
      <c r="AD26" s="122"/>
    </row>
    <row r="27" spans="1:30" ht="21" customHeight="1" x14ac:dyDescent="0.15">
      <c r="A27" s="115">
        <v>13400825</v>
      </c>
      <c r="B27" s="46" t="str">
        <f t="shared" ref="B27" si="34">"[effect:enemy_message, val1:"&amp;TEXT(IF(TEXT(E27,0)="[表示しない]", "0", IF(LEN(SUBSTITUTE(E27,CHAR(13),""))*0.1&lt;1.2, 1.2, LEN(SUBSTITUTE(E27,CHAR(13),""))*0.1)), "0.0")&amp;", val2:"&amp;TEXT(IF(TEXT(F27,0)="[表示しない]", "0", IF(LEN(SUBSTITUTE(F27,CHAR(13),""))*0.1&lt;1.2, 1.2, LEN(F27)*0.1)),"0.0")&amp;"]"&amp;IF(LEN(AC27)&gt;0, ","&amp;AC27,AC27)</f>
        <v>[effect:enemy_message, val1:1.2, val2:1.2],[effect:critical, val:1.4, animation:enemy_critical]</v>
      </c>
      <c r="C27" s="48">
        <v>3</v>
      </c>
      <c r="D27" s="48" t="s">
        <v>196</v>
      </c>
      <c r="E27" s="49" t="s">
        <v>368</v>
      </c>
      <c r="F27" s="49" t="s">
        <v>292</v>
      </c>
      <c r="G27" s="61" t="str">
        <f t="shared" ref="G27" si="35">IFERROR(LEFT(B27,FIND("],",B27)),B27)</f>
        <v>[effect:enemy_message, val1:1.2, val2:1.2]</v>
      </c>
      <c r="H27" s="61">
        <f t="shared" si="2"/>
        <v>9</v>
      </c>
      <c r="I27" s="61">
        <f t="shared" ref="I27" si="36">IFERROR(FIND(",",G27),LEN(G27))</f>
        <v>22</v>
      </c>
      <c r="J27" s="61" t="e">
        <f t="shared" ref="J27" si="37">FIND("target:",G27)+7</f>
        <v>#VALUE!</v>
      </c>
      <c r="K27" s="61">
        <f t="shared" ref="K27" si="38">FIND(",",G27,I27+1)</f>
        <v>32</v>
      </c>
      <c r="L27" s="61" t="str">
        <f>IFERROR(VLOOKUP(MID(G27,J27,K27-J27),[7]skilldef!$C:$D,2,FALSE),"-") &amp; " / " &amp; IFERROR(VLOOKUP(MID(G27,H27,I27-H27),[7]skilldef!$A:$B,2,FALSE),"-")</f>
        <v>- / -</v>
      </c>
      <c r="M27" s="61" t="str">
        <f t="shared" ref="M27" si="39">IFERROR(RIGHT(B27,LEN(B27)-FIND("],",B27)-1),"none")</f>
        <v>[effect:critical, val:1.4, animation:enemy_critical]</v>
      </c>
      <c r="N27" s="46" t="str">
        <f t="shared" si="33"/>
        <v>[effect:critical, val:1.4, animation:enemy_critical]</v>
      </c>
      <c r="O27" s="61">
        <f t="shared" si="8"/>
        <v>9</v>
      </c>
      <c r="P27" s="61">
        <f t="shared" ref="P27" si="40">IFERROR(FIND(",",N27),LEN(N27))</f>
        <v>17</v>
      </c>
      <c r="Q27" s="61" t="e">
        <f t="shared" ref="Q27" si="41">FIND("target:",N27)+7</f>
        <v>#VALUE!</v>
      </c>
      <c r="R27" s="61">
        <f t="shared" ref="R27" si="42">FIND(",",N27,P27+1)</f>
        <v>26</v>
      </c>
      <c r="S27" s="61" t="str">
        <f>IFERROR(VLOOKUP(MID(N27,Q27,R27-Q27),[7]skilldef!$C:$D,2,FALSE),"-") &amp; " / " &amp; IFERROR(VLOOKUP(MID(N27,O27,P27-O27),[7]skilldef!$A:$B,2,FALSE),"-")</f>
        <v>- / 大攻撃</v>
      </c>
      <c r="T27" s="46" t="str">
        <f t="shared" ref="T27" si="43">IFERROR(RIGHT(M27,LEN(M27)-FIND("],",M27)-1),"none")</f>
        <v>none</v>
      </c>
      <c r="U27" s="61" t="e">
        <f t="shared" si="13"/>
        <v>#VALUE!</v>
      </c>
      <c r="V27" s="61">
        <f t="shared" ref="V27" si="44">IFERROR(FIND(",",T27),LEN(T27))</f>
        <v>4</v>
      </c>
      <c r="W27" s="61" t="e">
        <f t="shared" ref="W27" si="45">FIND("target:",T27)+7</f>
        <v>#VALUE!</v>
      </c>
      <c r="X27" s="61" t="e">
        <f t="shared" ref="X27" si="46">FIND(",",T27,V27+1)</f>
        <v>#VALUE!</v>
      </c>
      <c r="Y27" s="61" t="str">
        <f>IFERROR(VLOOKUP(MID(T27,W27,X27-W27),[7]skilldef!$C:$D,2,FALSE),"-") &amp; " / " &amp; IFERROR(VLOOKUP(MID(T27,U27,V27-U27),[7]skilldef!$A:$B,2,FALSE),"-")</f>
        <v>- / -</v>
      </c>
      <c r="Z27" s="48"/>
      <c r="AA27" s="50"/>
      <c r="AB27" s="48"/>
      <c r="AC27" s="104" t="s">
        <v>403</v>
      </c>
      <c r="AD27" s="122"/>
    </row>
    <row r="28" spans="1:30" ht="89" customHeight="1" x14ac:dyDescent="0.15">
      <c r="A28" s="116">
        <v>13400826</v>
      </c>
      <c r="B28" s="46" t="str">
        <f t="shared" si="0"/>
        <v>[effect:enemy_message, val1:1.9, val2:1.9],[effect:fix_speed, target:myself, turn:1],[effect:tolerance, target:myself, turn:-1, count:-1, tolerance_effect:all, animation:enemy_tolerance],[effect:remove_enhancement, target:unit_all, target_effect:all, target_type:buff]</v>
      </c>
      <c r="C28" s="48">
        <v>3</v>
      </c>
      <c r="D28" s="48" t="s">
        <v>256</v>
      </c>
      <c r="E28" s="49" t="s">
        <v>369</v>
      </c>
      <c r="F28" s="49" t="s">
        <v>296</v>
      </c>
      <c r="G28" s="61" t="str">
        <f t="shared" si="1"/>
        <v>[effect:enemy_message, val1:1.9, val2:1.9]</v>
      </c>
      <c r="H28" s="61">
        <f t="shared" si="2"/>
        <v>9</v>
      </c>
      <c r="I28" s="61">
        <f t="shared" si="3"/>
        <v>22</v>
      </c>
      <c r="J28" s="61" t="e">
        <f t="shared" si="4"/>
        <v>#VALUE!</v>
      </c>
      <c r="K28" s="61">
        <f t="shared" si="5"/>
        <v>32</v>
      </c>
      <c r="L28" s="61" t="str">
        <f>IFERROR(VLOOKUP(MID(G28,J28,K28-J28),[7]skilldef!$C:$D,2,FALSE),"-") &amp; " / " &amp; IFERROR(VLOOKUP(MID(G28,H28,I28-H28),[7]skilldef!$A:$B,2,FALSE),"-")</f>
        <v>- / -</v>
      </c>
      <c r="M28" s="61" t="str">
        <f t="shared" si="6"/>
        <v>[effect:fix_speed, target:myself, turn:1],[effect:tolerance, target:myself, turn:-1, count:-1, tolerance_effect:all, animation:enemy_tolerance],[effect:remove_enhancement, target:unit_all, target_effect:all, target_type:buff]</v>
      </c>
      <c r="N28" s="46" t="str">
        <f t="shared" si="7"/>
        <v>[effect:fix_speed, target:myself, turn:1],[effect:tolerance, target:myself, turn:-1, count:-1, tolerance_effect:all, animation:enemy_tolerance],[effect:remove_enhancement, target:unit_all, target_effect:all, target_type:buff]</v>
      </c>
      <c r="O28" s="61">
        <f t="shared" si="8"/>
        <v>9</v>
      </c>
      <c r="P28" s="61">
        <f t="shared" si="9"/>
        <v>18</v>
      </c>
      <c r="Q28" s="61">
        <f t="shared" si="10"/>
        <v>27</v>
      </c>
      <c r="R28" s="61">
        <f t="shared" si="11"/>
        <v>33</v>
      </c>
      <c r="S28" s="61" t="str">
        <f>IFERROR(VLOOKUP(MID(N28,Q28,R28-Q28),[7]skilldef!$C:$D,2,FALSE),"-") &amp; " / " &amp; IFERROR(VLOOKUP(MID(N28,O28,P28-O28),[7]skilldef!$A:$B,2,FALSE),"-")</f>
        <v>自分自身に / 行動値設定</v>
      </c>
      <c r="T28" s="46" t="str">
        <f t="shared" si="12"/>
        <v>[effect:tolerance, target:myself, turn:-1, count:-1, tolerance_effect:all, animation:enemy_tolerance],[effect:remove_enhancement, target:unit_all, target_effect:all, target_type:buff]</v>
      </c>
      <c r="U28" s="61">
        <f t="shared" si="13"/>
        <v>9</v>
      </c>
      <c r="V28" s="61">
        <f t="shared" si="14"/>
        <v>18</v>
      </c>
      <c r="W28" s="61">
        <f t="shared" si="15"/>
        <v>27</v>
      </c>
      <c r="X28" s="61">
        <f t="shared" si="16"/>
        <v>33</v>
      </c>
      <c r="Y28" s="61" t="str">
        <f>IFERROR(VLOOKUP(MID(T28,W28,X28-W28),[7]skilldef!$C:$D,2,FALSE),"-") &amp; " / " &amp; IFERROR(VLOOKUP(MID(T28,U28,V28-U28),[7]skilldef!$A:$B,2,FALSE),"-")</f>
        <v>自分自身に / 状態異常耐性</v>
      </c>
      <c r="Z28" s="48"/>
      <c r="AA28" s="50"/>
      <c r="AB28" s="48"/>
      <c r="AC28" s="104" t="s">
        <v>334</v>
      </c>
      <c r="AD28" s="122"/>
    </row>
    <row r="29" spans="1:30" ht="71" customHeight="1" x14ac:dyDescent="0.15">
      <c r="A29" s="116">
        <v>13400827</v>
      </c>
      <c r="B29" s="46" t="str">
        <f t="shared" si="0"/>
        <v>[effect:enemy_message, val1:1.2, val2:3.8],[effect:damage_gravity, val:0.99, animation:fevergauge_down],[effect:degrade_unit, target:unit_all, turn:-1, status:heal, val:1, calc:mul, animation:degrade_unit_all_heal]</v>
      </c>
      <c r="C29" s="48">
        <v>3</v>
      </c>
      <c r="D29" s="48" t="s">
        <v>256</v>
      </c>
      <c r="E29" s="49" t="s">
        <v>370</v>
      </c>
      <c r="F29" s="49" t="s">
        <v>297</v>
      </c>
      <c r="G29" s="61" t="str">
        <f t="shared" si="1"/>
        <v>[effect:enemy_message, val1:1.2, val2:3.8]</v>
      </c>
      <c r="H29" s="61">
        <f t="shared" si="2"/>
        <v>9</v>
      </c>
      <c r="I29" s="61">
        <f t="shared" si="3"/>
        <v>22</v>
      </c>
      <c r="J29" s="61" t="e">
        <f t="shared" si="4"/>
        <v>#VALUE!</v>
      </c>
      <c r="K29" s="61">
        <f t="shared" si="5"/>
        <v>32</v>
      </c>
      <c r="L29" s="61" t="str">
        <f>IFERROR(VLOOKUP(MID(G29,J29,K29-J29),[7]skilldef!$C:$D,2,FALSE),"-") &amp; " / " &amp; IFERROR(VLOOKUP(MID(G29,H29,I29-H29),[7]skilldef!$A:$B,2,FALSE),"-")</f>
        <v>- / -</v>
      </c>
      <c r="M29" s="61" t="str">
        <f t="shared" si="6"/>
        <v>[effect:damage_gravity, val:0.99, animation:fevergauge_down],[effect:degrade_unit, target:unit_all, turn:-1, status:heal, val:1, calc:mul, animation:degrade_unit_all_heal]</v>
      </c>
      <c r="N29" s="46" t="str">
        <f t="shared" si="7"/>
        <v>[effect:damage_gravity, val:0.99, animation:fevergauge_down],[effect:degrade_unit, target:unit_all, turn:-1, status:heal, val:1, calc:mul, animation:degrade_unit_all_heal]</v>
      </c>
      <c r="O29" s="61">
        <f t="shared" si="8"/>
        <v>9</v>
      </c>
      <c r="P29" s="61">
        <f t="shared" si="9"/>
        <v>23</v>
      </c>
      <c r="Q29" s="61">
        <f t="shared" si="10"/>
        <v>91</v>
      </c>
      <c r="R29" s="61">
        <f t="shared" si="11"/>
        <v>33</v>
      </c>
      <c r="S29" s="61" t="str">
        <f>IFERROR(VLOOKUP(MID(N29,Q29,R29-Q29),[7]skilldef!$C:$D,2,FALSE),"-") &amp; " / " &amp; IFERROR(VLOOKUP(MID(N29,O29,P29-O29),[7]skilldef!$A:$B,2,FALSE),"-")</f>
        <v>- / 割合ダメージ</v>
      </c>
      <c r="T29" s="46" t="str">
        <f t="shared" si="12"/>
        <v>[effect:degrade_unit, target:unit_all, turn:-1, status:heal, val:1, calc:mul, animation:degrade_unit_all_heal]</v>
      </c>
      <c r="U29" s="61">
        <f t="shared" si="13"/>
        <v>9</v>
      </c>
      <c r="V29" s="61">
        <f t="shared" si="14"/>
        <v>21</v>
      </c>
      <c r="W29" s="61">
        <f t="shared" si="15"/>
        <v>30</v>
      </c>
      <c r="X29" s="61">
        <f t="shared" si="16"/>
        <v>38</v>
      </c>
      <c r="Y29" s="61" t="str">
        <f>IFERROR(VLOOKUP(MID(T29,W29,X29-W29),[7]skilldef!$C:$D,2,FALSE),"-") &amp; " / " &amp; IFERROR(VLOOKUP(MID(T29,U29,V29-U29),[7]skilldef!$A:$B,2,FALSE),"-")</f>
        <v>味方全体に / ステータスDOWN</v>
      </c>
      <c r="Z29" s="48"/>
      <c r="AA29" s="50"/>
      <c r="AB29" s="48"/>
      <c r="AC29" s="104" t="s">
        <v>275</v>
      </c>
      <c r="AD29" s="122"/>
    </row>
    <row r="30" spans="1:30" ht="42" customHeight="1" x14ac:dyDescent="0.15">
      <c r="A30" s="116">
        <v>13400828</v>
      </c>
      <c r="B30" s="46" t="str">
        <f t="shared" si="0"/>
        <v>[effect:enemy_message, val1:1.9, val2:1.7],[effect:dark, target:unit_all, turn:3, animation:enemy_dark],[effect:rush, count:1, val:1]</v>
      </c>
      <c r="C30" s="48">
        <v>3</v>
      </c>
      <c r="D30" s="48" t="s">
        <v>256</v>
      </c>
      <c r="E30" s="49" t="s">
        <v>371</v>
      </c>
      <c r="F30" s="49" t="s">
        <v>329</v>
      </c>
      <c r="G30" s="61" t="str">
        <f t="shared" si="1"/>
        <v>[effect:enemy_message, val1:1.9, val2:1.7]</v>
      </c>
      <c r="H30" s="61">
        <f t="shared" si="2"/>
        <v>9</v>
      </c>
      <c r="I30" s="61">
        <f t="shared" si="3"/>
        <v>22</v>
      </c>
      <c r="J30" s="61" t="e">
        <f t="shared" si="4"/>
        <v>#VALUE!</v>
      </c>
      <c r="K30" s="61">
        <f t="shared" si="5"/>
        <v>32</v>
      </c>
      <c r="L30" s="61" t="str">
        <f>IFERROR(VLOOKUP(MID(G30,J30,K30-J30),[7]skilldef!$C:$D,2,FALSE),"-") &amp; " / " &amp; IFERROR(VLOOKUP(MID(G30,H30,I30-H30),[7]skilldef!$A:$B,2,FALSE),"-")</f>
        <v>- / -</v>
      </c>
      <c r="M30" s="61" t="str">
        <f t="shared" si="6"/>
        <v>[effect:dark, target:unit_all, turn:3, animation:enemy_dark],[effect:rush, count:1, val:1]</v>
      </c>
      <c r="N30" s="46" t="str">
        <f t="shared" si="7"/>
        <v>[effect:dark, target:unit_all, turn:3, animation:enemy_dark],[effect:rush, count:1, val:1]</v>
      </c>
      <c r="O30" s="61">
        <f t="shared" si="8"/>
        <v>9</v>
      </c>
      <c r="P30" s="61">
        <f t="shared" si="9"/>
        <v>13</v>
      </c>
      <c r="Q30" s="61">
        <f t="shared" si="10"/>
        <v>22</v>
      </c>
      <c r="R30" s="61">
        <f t="shared" si="11"/>
        <v>30</v>
      </c>
      <c r="S30" s="61" t="str">
        <f>IFERROR(VLOOKUP(MID(N30,Q30,R30-Q30),[7]skilldef!$C:$D,2,FALSE),"-") &amp; " / " &amp; IFERROR(VLOOKUP(MID(N30,O30,P30-O30),[7]skilldef!$A:$B,2,FALSE),"-")</f>
        <v>味方全体に / 暗黒</v>
      </c>
      <c r="T30" s="46" t="str">
        <f t="shared" si="12"/>
        <v>[effect:rush, count:1, val:1]</v>
      </c>
      <c r="U30" s="61">
        <f t="shared" si="13"/>
        <v>9</v>
      </c>
      <c r="V30" s="61">
        <f t="shared" si="14"/>
        <v>13</v>
      </c>
      <c r="W30" s="61" t="e">
        <f t="shared" si="15"/>
        <v>#VALUE!</v>
      </c>
      <c r="X30" s="61">
        <f t="shared" si="16"/>
        <v>22</v>
      </c>
      <c r="Y30" s="61" t="str">
        <f>IFERROR(VLOOKUP(MID(T30,W30,X30-W30),[7]skilldef!$C:$D,2,FALSE),"-") &amp; " / " &amp; IFERROR(VLOOKUP(MID(T30,U30,V30-U30),[7]skilldef!$A:$B,2,FALSE),"-")</f>
        <v>- / 連続攻撃</v>
      </c>
      <c r="Z30" s="48"/>
      <c r="AA30" s="50"/>
      <c r="AB30" s="48"/>
      <c r="AC30" s="104" t="s">
        <v>395</v>
      </c>
    </row>
    <row r="31" spans="1:30" ht="55" customHeight="1" x14ac:dyDescent="0.15">
      <c r="A31" s="116">
        <v>13400829</v>
      </c>
      <c r="B31" s="46" t="str">
        <f t="shared" si="0"/>
        <v>[effect:enemy_message, val1:1.6, val2:1.9],[effect:drop_block, block_type:crash, color:block_yellow, val:10, rate:0.5, turn:-1, animation:crash_influence04]</v>
      </c>
      <c r="C31" s="48">
        <v>3</v>
      </c>
      <c r="D31" s="48" t="s">
        <v>256</v>
      </c>
      <c r="E31" s="49" t="s">
        <v>380</v>
      </c>
      <c r="F31" s="49" t="s">
        <v>304</v>
      </c>
      <c r="G31" s="61" t="str">
        <f t="shared" si="1"/>
        <v>[effect:enemy_message, val1:1.6, val2:1.9]</v>
      </c>
      <c r="H31" s="61">
        <f t="shared" si="2"/>
        <v>9</v>
      </c>
      <c r="I31" s="61">
        <f t="shared" si="3"/>
        <v>22</v>
      </c>
      <c r="J31" s="61" t="e">
        <f t="shared" si="4"/>
        <v>#VALUE!</v>
      </c>
      <c r="K31" s="61">
        <f t="shared" si="5"/>
        <v>32</v>
      </c>
      <c r="L31" s="61" t="str">
        <f>IFERROR(VLOOKUP(MID(G31,J31,K31-J31),[7]skilldef!$C:$D,2,FALSE),"-") &amp; " / " &amp; IFERROR(VLOOKUP(MID(G31,H31,I31-H31),[7]skilldef!$A:$B,2,FALSE),"-")</f>
        <v>- / -</v>
      </c>
      <c r="M31" s="61" t="str">
        <f t="shared" si="6"/>
        <v>[effect:drop_block, block_type:crash, color:block_yellow, val:10, rate:0.5, turn:-1, animation:crash_influence04]</v>
      </c>
      <c r="N31" s="46" t="str">
        <f t="shared" si="7"/>
        <v>[effect:drop_block, block_type:crash, color:block_yellow, val:10, rate:0.5, turn:-1, animation:crash_influence04]</v>
      </c>
      <c r="O31" s="61">
        <f t="shared" si="8"/>
        <v>9</v>
      </c>
      <c r="P31" s="61">
        <f t="shared" si="9"/>
        <v>19</v>
      </c>
      <c r="Q31" s="61" t="e">
        <f t="shared" si="10"/>
        <v>#VALUE!</v>
      </c>
      <c r="R31" s="61">
        <f t="shared" si="11"/>
        <v>37</v>
      </c>
      <c r="S31" s="61" t="str">
        <f>IFERROR(VLOOKUP(MID(N31,Q31,R31-Q31),[7]skilldef!$C:$D,2,FALSE),"-") &amp; " / " &amp; IFERROR(VLOOKUP(MID(N31,O31,P31-O31),[7]skilldef!$A:$B,2,FALSE),"-")</f>
        <v>- / 特定ブロックの割合ドロップ</v>
      </c>
      <c r="T31" s="46" t="str">
        <f t="shared" si="12"/>
        <v>none</v>
      </c>
      <c r="U31" s="61" t="e">
        <f t="shared" si="13"/>
        <v>#VALUE!</v>
      </c>
      <c r="V31" s="61">
        <f t="shared" si="14"/>
        <v>4</v>
      </c>
      <c r="W31" s="61" t="e">
        <f t="shared" si="15"/>
        <v>#VALUE!</v>
      </c>
      <c r="X31" s="61" t="e">
        <f t="shared" si="16"/>
        <v>#VALUE!</v>
      </c>
      <c r="Y31" s="61" t="str">
        <f>IFERROR(VLOOKUP(MID(T31,W31,X31-W31),[7]skilldef!$C:$D,2,FALSE),"-") &amp; " / " &amp; IFERROR(VLOOKUP(MID(T31,U31,V31-U31),[7]skilldef!$A:$B,2,FALSE),"-")</f>
        <v>- / -</v>
      </c>
      <c r="Z31" s="48"/>
      <c r="AA31" s="50"/>
      <c r="AB31" s="48"/>
      <c r="AC31" s="104" t="s">
        <v>396</v>
      </c>
    </row>
    <row r="32" spans="1:30" ht="53" customHeight="1" x14ac:dyDescent="0.15">
      <c r="A32" s="116">
        <v>13400830</v>
      </c>
      <c r="B32" s="46" t="str">
        <f t="shared" si="0"/>
        <v>[effect:enemy_message, val1:1.7, val2:2.6],[effect:crash_condition, target:unit_all, turn:-1, val:12, animation:enemy_crash_extend]</v>
      </c>
      <c r="C32" s="48">
        <v>3</v>
      </c>
      <c r="D32" s="48" t="s">
        <v>256</v>
      </c>
      <c r="E32" s="49" t="s">
        <v>381</v>
      </c>
      <c r="F32" s="49" t="s">
        <v>404</v>
      </c>
      <c r="G32" s="61" t="str">
        <f t="shared" si="1"/>
        <v>[effect:enemy_message, val1:1.7, val2:2.6]</v>
      </c>
      <c r="H32" s="61">
        <f t="shared" si="2"/>
        <v>9</v>
      </c>
      <c r="I32" s="61">
        <f t="shared" si="3"/>
        <v>22</v>
      </c>
      <c r="J32" s="61" t="e">
        <f t="shared" si="4"/>
        <v>#VALUE!</v>
      </c>
      <c r="K32" s="61">
        <f t="shared" si="5"/>
        <v>32</v>
      </c>
      <c r="L32" s="61" t="str">
        <f>IFERROR(VLOOKUP(MID(G32,J32,K32-J32),[7]skilldef!$C:$D,2,FALSE),"-") &amp; " / " &amp; IFERROR(VLOOKUP(MID(G32,H32,I32-H32),[7]skilldef!$A:$B,2,FALSE),"-")</f>
        <v>- / -</v>
      </c>
      <c r="M32" s="61" t="str">
        <f t="shared" si="6"/>
        <v>[effect:crash_condition, target:unit_all, turn:-1, val:12, animation:enemy_crash_extend]</v>
      </c>
      <c r="N32" s="46" t="str">
        <f>IFERROR(LEFT(M32,FIND("],",M32)+#REF!),M32)</f>
        <v>[effect:crash_condition, target:unit_all, turn:-1, val:12, animation:enemy_crash_extend]</v>
      </c>
      <c r="O32" s="61">
        <f t="shared" si="8"/>
        <v>9</v>
      </c>
      <c r="P32" s="61">
        <f t="shared" si="9"/>
        <v>24</v>
      </c>
      <c r="Q32" s="61">
        <f t="shared" si="10"/>
        <v>33</v>
      </c>
      <c r="R32" s="61">
        <f t="shared" si="11"/>
        <v>41</v>
      </c>
      <c r="S32" s="61" t="str">
        <f>IFERROR(VLOOKUP(MID(N32,Q32,R32-Q32),[7]skilldef!$C:$D,2,FALSE),"-") &amp; " / " &amp; IFERROR(VLOOKUP(MID(N32,O32,P32-O32),[7]skilldef!$A:$B,2,FALSE),"-")</f>
        <v>味方全体に / -</v>
      </c>
      <c r="T32" s="46" t="str">
        <f t="shared" si="12"/>
        <v>none</v>
      </c>
      <c r="U32" s="61" t="e">
        <f t="shared" si="13"/>
        <v>#VALUE!</v>
      </c>
      <c r="V32" s="61">
        <f t="shared" si="14"/>
        <v>4</v>
      </c>
      <c r="W32" s="61" t="e">
        <f t="shared" si="15"/>
        <v>#VALUE!</v>
      </c>
      <c r="X32" s="61" t="e">
        <f t="shared" si="16"/>
        <v>#VALUE!</v>
      </c>
      <c r="Y32" s="61" t="str">
        <f>IFERROR(VLOOKUP(MID(T32,W32,X32-W32),[7]skilldef!$C:$D,2,FALSE),"-") &amp; " / " &amp; IFERROR(VLOOKUP(MID(T32,U32,V32-U32),[7]skilldef!$A:$B,2,FALSE),"-")</f>
        <v>- / -</v>
      </c>
      <c r="Z32" s="48"/>
      <c r="AA32" s="50"/>
      <c r="AB32" s="48"/>
      <c r="AC32" s="104" t="s">
        <v>394</v>
      </c>
    </row>
    <row r="33" spans="1:29" ht="28" customHeight="1" x14ac:dyDescent="0.15">
      <c r="A33" s="116">
        <v>13400831</v>
      </c>
      <c r="B33" s="46" t="str">
        <f t="shared" si="0"/>
        <v>[effect:enemy_message, val1:1.2, val2:2.4],[effect:break_attack_fix, target:unit_all, val:-100, lowest_val:5000, count:-1, block01:block_yellow]</v>
      </c>
      <c r="C33" s="48">
        <v>3</v>
      </c>
      <c r="D33" s="48" t="s">
        <v>256</v>
      </c>
      <c r="E33" s="49" t="s">
        <v>393</v>
      </c>
      <c r="F33" s="49" t="s">
        <v>305</v>
      </c>
      <c r="G33" s="61" t="str">
        <f t="shared" si="1"/>
        <v>[effect:enemy_message, val1:1.2, val2:2.4]</v>
      </c>
      <c r="H33" s="61">
        <f t="shared" si="2"/>
        <v>9</v>
      </c>
      <c r="I33" s="61">
        <f t="shared" si="3"/>
        <v>22</v>
      </c>
      <c r="J33" s="61" t="e">
        <f t="shared" si="4"/>
        <v>#VALUE!</v>
      </c>
      <c r="K33" s="61">
        <f t="shared" si="5"/>
        <v>32</v>
      </c>
      <c r="L33" s="61" t="str">
        <f>IFERROR(VLOOKUP(MID(G33,J33,K33-J33),[7]skilldef!$C:$D,2,FALSE),"-") &amp; " / " &amp; IFERROR(VLOOKUP(MID(G33,H33,I33-H33),[7]skilldef!$A:$B,2,FALSE),"-")</f>
        <v>- / -</v>
      </c>
      <c r="M33" s="61" t="str">
        <f t="shared" si="6"/>
        <v>[effect:break_attack_fix, target:unit_all, val:-100, lowest_val:5000, count:-1, block01:block_yellow]</v>
      </c>
      <c r="N33" s="46" t="str">
        <f>IFERROR(LEFT(M33,FIND("],",M33)+S37),M33)</f>
        <v>[effect:break_attack_fix, target:unit_all, val:-100, lowest_val:5000, count:-1, block01:block_yellow]</v>
      </c>
      <c r="O33" s="61">
        <f t="shared" si="8"/>
        <v>9</v>
      </c>
      <c r="P33" s="61">
        <f t="shared" si="9"/>
        <v>25</v>
      </c>
      <c r="Q33" s="61">
        <f t="shared" si="10"/>
        <v>34</v>
      </c>
      <c r="R33" s="61">
        <f t="shared" si="11"/>
        <v>42</v>
      </c>
      <c r="S33" s="61" t="str">
        <f>IFERROR(VLOOKUP(MID(N33,Q33,R33-Q33),[7]skilldef!$C:$D,2,FALSE),"-") &amp; " / " &amp; IFERROR(VLOOKUP(MID(N33,O33,P33-O33),[7]skilldef!$A:$B,2,FALSE),"-")</f>
        <v>味方全体に / -</v>
      </c>
      <c r="T33" s="46" t="str">
        <f t="shared" si="12"/>
        <v>none</v>
      </c>
      <c r="U33" s="61" t="e">
        <f t="shared" si="13"/>
        <v>#VALUE!</v>
      </c>
      <c r="V33" s="61">
        <f t="shared" si="14"/>
        <v>4</v>
      </c>
      <c r="W33" s="61" t="e">
        <f t="shared" si="15"/>
        <v>#VALUE!</v>
      </c>
      <c r="X33" s="61" t="e">
        <f t="shared" si="16"/>
        <v>#VALUE!</v>
      </c>
      <c r="Y33" s="61" t="str">
        <f>IFERROR(VLOOKUP(MID(T33,W33,X33-W33),[7]skilldef!$C:$D,2,FALSE),"-") &amp; " / " &amp; IFERROR(VLOOKUP(MID(T33,U33,V33-U33),[7]skilldef!$A:$B,2,FALSE),"-")</f>
        <v>- / -</v>
      </c>
      <c r="Z33" s="48"/>
      <c r="AA33" s="50"/>
      <c r="AB33" s="48"/>
      <c r="AC33" s="104" t="s">
        <v>338</v>
      </c>
    </row>
    <row r="34" spans="1:29" ht="50" customHeight="1" x14ac:dyDescent="0.15">
      <c r="A34" s="116">
        <v>13400832</v>
      </c>
      <c r="B34" s="46" t="str">
        <f t="shared" si="0"/>
        <v>[effect:enemy_message, val1:1.2, val2:2.8],[effect:force_change_block, new_block:damage, target:normal, color:block_green, count:4, val:0.5],[effect:rush, count:1, val:1]</v>
      </c>
      <c r="C34" s="48">
        <v>3</v>
      </c>
      <c r="D34" s="48" t="s">
        <v>256</v>
      </c>
      <c r="E34" s="49" t="s">
        <v>383</v>
      </c>
      <c r="F34" s="49" t="s">
        <v>327</v>
      </c>
      <c r="G34" s="61" t="str">
        <f t="shared" si="1"/>
        <v>[effect:enemy_message, val1:1.2, val2:2.8]</v>
      </c>
      <c r="H34" s="61">
        <f t="shared" si="2"/>
        <v>9</v>
      </c>
      <c r="I34" s="61">
        <f t="shared" si="3"/>
        <v>22</v>
      </c>
      <c r="J34" s="61" t="e">
        <f t="shared" si="4"/>
        <v>#VALUE!</v>
      </c>
      <c r="K34" s="61">
        <f t="shared" si="5"/>
        <v>32</v>
      </c>
      <c r="L34" s="61" t="str">
        <f>IFERROR(VLOOKUP(MID(G34,J34,K34-J34),[7]skilldef!$C:$D,2,FALSE),"-") &amp; " / " &amp; IFERROR(VLOOKUP(MID(G34,H34,I34-H34),[7]skilldef!$A:$B,2,FALSE),"-")</f>
        <v>- / -</v>
      </c>
      <c r="M34" s="61" t="str">
        <f t="shared" si="6"/>
        <v>[effect:force_change_block, new_block:damage, target:normal, color:block_green, count:4, val:0.5],[effect:rush, count:1, val:1]</v>
      </c>
      <c r="N34" s="46" t="str">
        <f>IFERROR(LEFT(M34,FIND("],",M34)+S38),M34)</f>
        <v>[effect:force_change_block, new_block:damage, target:normal, color:block_green, count:4, val:0.5],[effect:rush, count:1, val:1]</v>
      </c>
      <c r="O34" s="61">
        <f t="shared" si="8"/>
        <v>9</v>
      </c>
      <c r="P34" s="61">
        <f t="shared" si="9"/>
        <v>27</v>
      </c>
      <c r="Q34" s="61">
        <f t="shared" si="10"/>
        <v>54</v>
      </c>
      <c r="R34" s="61">
        <f t="shared" si="11"/>
        <v>45</v>
      </c>
      <c r="S34" s="61" t="str">
        <f>IFERROR(VLOOKUP(MID(N34,Q34,R34-Q34),[7]skilldef!$C:$D,2,FALSE),"-") &amp; " / " &amp; IFERROR(VLOOKUP(MID(N34,O34,P34-O34),[7]skilldef!$A:$B,2,FALSE),"-")</f>
        <v>- / -</v>
      </c>
      <c r="T34" s="46" t="str">
        <f t="shared" si="12"/>
        <v>[effect:rush, count:1, val:1]</v>
      </c>
      <c r="U34" s="61">
        <f t="shared" si="13"/>
        <v>9</v>
      </c>
      <c r="V34" s="61">
        <f t="shared" si="14"/>
        <v>13</v>
      </c>
      <c r="W34" s="61" t="e">
        <f t="shared" si="15"/>
        <v>#VALUE!</v>
      </c>
      <c r="X34" s="61">
        <f t="shared" si="16"/>
        <v>22</v>
      </c>
      <c r="Y34" s="61" t="str">
        <f>IFERROR(VLOOKUP(MID(T34,W34,X34-W34),[7]skilldef!$C:$D,2,FALSE),"-") &amp; " / " &amp; IFERROR(VLOOKUP(MID(T34,U34,V34-U34),[7]skilldef!$A:$B,2,FALSE),"-")</f>
        <v>- / 連続攻撃</v>
      </c>
      <c r="Z34" s="48"/>
      <c r="AA34" s="50"/>
      <c r="AB34" s="48"/>
      <c r="AC34" s="104" t="s">
        <v>397</v>
      </c>
    </row>
    <row r="35" spans="1:29" ht="52" customHeight="1" x14ac:dyDescent="0.15">
      <c r="A35" s="116">
        <v>13400833</v>
      </c>
      <c r="B35" s="46" t="str">
        <f t="shared" si="0"/>
        <v>[effect:enemy_message, val1:1.2, val2:2.8],[effect:force_change_block, new_block:damage, target:normal, color:block_red, count:4, val:0.5],[effect:rush, count:1, val:1]</v>
      </c>
      <c r="C35" s="48">
        <v>3</v>
      </c>
      <c r="D35" s="48" t="s">
        <v>256</v>
      </c>
      <c r="E35" s="49" t="s">
        <v>373</v>
      </c>
      <c r="F35" s="49" t="s">
        <v>328</v>
      </c>
      <c r="G35" s="61" t="str">
        <f t="shared" si="1"/>
        <v>[effect:enemy_message, val1:1.2, val2:2.8]</v>
      </c>
      <c r="H35" s="61">
        <f t="shared" si="2"/>
        <v>9</v>
      </c>
      <c r="I35" s="61">
        <f t="shared" si="3"/>
        <v>22</v>
      </c>
      <c r="J35" s="61" t="e">
        <f t="shared" si="4"/>
        <v>#VALUE!</v>
      </c>
      <c r="K35" s="61">
        <f t="shared" si="5"/>
        <v>32</v>
      </c>
      <c r="L35" s="61" t="str">
        <f>IFERROR(VLOOKUP(MID(G35,J35,K35-J35),[7]skilldef!$C:$D,2,FALSE),"-") &amp; " / " &amp; IFERROR(VLOOKUP(MID(G35,H35,I35-H35),[7]skilldef!$A:$B,2,FALSE),"-")</f>
        <v>- / -</v>
      </c>
      <c r="M35" s="61" t="str">
        <f t="shared" si="6"/>
        <v>[effect:force_change_block, new_block:damage, target:normal, color:block_red, count:4, val:0.5],[effect:rush, count:1, val:1]</v>
      </c>
      <c r="N35" s="46" t="str">
        <f>IFERROR(LEFT(M35,FIND("],",M35)+S39),M35)</f>
        <v>[effect:force_change_block, new_block:damage, target:normal, color:block_red, count:4, val:0.5],[effect:rush, count:1, val:1]</v>
      </c>
      <c r="O35" s="61">
        <f t="shared" si="8"/>
        <v>9</v>
      </c>
      <c r="P35" s="61">
        <f t="shared" si="9"/>
        <v>27</v>
      </c>
      <c r="Q35" s="61">
        <f t="shared" si="10"/>
        <v>54</v>
      </c>
      <c r="R35" s="61">
        <f t="shared" si="11"/>
        <v>45</v>
      </c>
      <c r="S35" s="61" t="str">
        <f>IFERROR(VLOOKUP(MID(N35,Q35,R35-Q35),[7]skilldef!$C:$D,2,FALSE),"-") &amp; " / " &amp; IFERROR(VLOOKUP(MID(N35,O35,P35-O35),[7]skilldef!$A:$B,2,FALSE),"-")</f>
        <v>- / -</v>
      </c>
      <c r="T35" s="46" t="str">
        <f t="shared" si="12"/>
        <v>[effect:rush, count:1, val:1]</v>
      </c>
      <c r="U35" s="61">
        <f t="shared" si="13"/>
        <v>9</v>
      </c>
      <c r="V35" s="61">
        <f t="shared" si="14"/>
        <v>13</v>
      </c>
      <c r="W35" s="61" t="e">
        <f t="shared" si="15"/>
        <v>#VALUE!</v>
      </c>
      <c r="X35" s="61">
        <f t="shared" si="16"/>
        <v>22</v>
      </c>
      <c r="Y35" s="61" t="str">
        <f>IFERROR(VLOOKUP(MID(T35,W35,X35-W35),[7]skilldef!$C:$D,2,FALSE),"-") &amp; " / " &amp; IFERROR(VLOOKUP(MID(T35,U35,V35-U35),[7]skilldef!$A:$B,2,FALSE),"-")</f>
        <v>- / 連続攻撃</v>
      </c>
      <c r="Z35" s="48"/>
      <c r="AA35" s="50"/>
      <c r="AB35" s="48"/>
      <c r="AC35" s="104" t="s">
        <v>398</v>
      </c>
    </row>
    <row r="36" spans="1:29" ht="55" customHeight="1" x14ac:dyDescent="0.15">
      <c r="A36" s="117">
        <v>13400834</v>
      </c>
      <c r="B36" s="46" t="str">
        <f t="shared" ref="B36:B38" si="47">"[effect:enemy_message, val1:"&amp;TEXT(IF(TEXT(E36,0)="[表示しない]", "0", IF(LEN(SUBSTITUTE(E36,CHAR(13),""))*0.1&lt;1.2, 1.2, LEN(SUBSTITUTE(E36,CHAR(13),""))*0.1)), "0.0")&amp;", val2:"&amp;TEXT(IF(TEXT(F36,0)="[表示しない]", "0", IF(LEN(SUBSTITUTE(F36,CHAR(13),""))*0.1&lt;1.2, 1.2, LEN(F36)*0.1)),"0.0")&amp;"]"&amp;IF(LEN(AC36)&gt;0, ","&amp;AC36,AC36)</f>
        <v>[effect:enemy_message, val1:1.8, val2:4.4],[effect:fix_speed, target:myself, turn:1],[effect:tolerance, target:myself, turn:-1, count:-1, tolerance_effect:all, animation:enemy_tolerance],[effect:dis_heart, turn:-1, animation:enemy_dis_heart]</v>
      </c>
      <c r="C36" s="48">
        <v>3</v>
      </c>
      <c r="D36" s="48" t="s">
        <v>196</v>
      </c>
      <c r="E36" s="49" t="s">
        <v>372</v>
      </c>
      <c r="F36" s="49" t="s">
        <v>323</v>
      </c>
      <c r="G36" s="61" t="str">
        <f t="shared" ref="G36:G38" si="48">IFERROR(LEFT(B36,FIND("],",B36)),B36)</f>
        <v>[effect:enemy_message, val1:1.8, val2:4.4]</v>
      </c>
      <c r="H36" s="61">
        <f t="shared" si="2"/>
        <v>9</v>
      </c>
      <c r="I36" s="61">
        <f t="shared" ref="I36:I38" si="49">IFERROR(FIND(",",G36),LEN(G36))</f>
        <v>22</v>
      </c>
      <c r="J36" s="61" t="e">
        <f t="shared" ref="J36:J38" si="50">FIND("target:",G36)+7</f>
        <v>#VALUE!</v>
      </c>
      <c r="K36" s="61">
        <f t="shared" ref="K36:K38" si="51">FIND(",",G36,I36+1)</f>
        <v>32</v>
      </c>
      <c r="L36" s="61" t="str">
        <f>IFERROR(VLOOKUP(MID(G36,J36,K36-J36),[7]skilldef!$C:$D,2,FALSE),"-") &amp; " / " &amp; IFERROR(VLOOKUP(MID(G36,H36,I36-H36),[7]skilldef!$A:$B,2,FALSE),"-")</f>
        <v>- / -</v>
      </c>
      <c r="M36" s="61" t="str">
        <f t="shared" ref="M36:M38" si="52">IFERROR(RIGHT(B36,LEN(B36)-FIND("],",B36)-1),"none")</f>
        <v>[effect:fix_speed, target:myself, turn:1],[effect:tolerance, target:myself, turn:-1, count:-1, tolerance_effect:all, animation:enemy_tolerance],[effect:dis_heart, turn:-1, animation:enemy_dis_heart]</v>
      </c>
      <c r="N36" s="46" t="str">
        <f>IFERROR(LEFT(M36,FIND("],",M36)+S40),M36)</f>
        <v>[effect:fix_speed, target:myself, turn:1],[effect:tolerance, target:myself, turn:-1, count:-1, tolerance_effect:all, animation:enemy_tolerance],[effect:dis_heart, turn:-1, animation:enemy_dis_heart]</v>
      </c>
      <c r="O36" s="61">
        <f t="shared" si="8"/>
        <v>9</v>
      </c>
      <c r="P36" s="61">
        <f t="shared" ref="P36:P38" si="53">IFERROR(FIND(",",N36),LEN(N36))</f>
        <v>18</v>
      </c>
      <c r="Q36" s="61">
        <f t="shared" ref="Q36:Q38" si="54">FIND("target:",N36)+7</f>
        <v>27</v>
      </c>
      <c r="R36" s="61">
        <f t="shared" ref="R36:R38" si="55">FIND(",",N36,P36+1)</f>
        <v>33</v>
      </c>
      <c r="S36" s="61" t="str">
        <f>IFERROR(VLOOKUP(MID(N36,Q36,R36-Q36),[7]skilldef!$C:$D,2,FALSE),"-") &amp; " / " &amp; IFERROR(VLOOKUP(MID(N36,O36,P36-O36),[7]skilldef!$A:$B,2,FALSE),"-")</f>
        <v>自分自身に / 行動値設定</v>
      </c>
      <c r="T36" s="46" t="str">
        <f t="shared" ref="T36:T38" si="56">IFERROR(RIGHT(M36,LEN(M36)-FIND("],",M36)-1),"none")</f>
        <v>[effect:tolerance, target:myself, turn:-1, count:-1, tolerance_effect:all, animation:enemy_tolerance],[effect:dis_heart, turn:-1, animation:enemy_dis_heart]</v>
      </c>
      <c r="U36" s="61">
        <f t="shared" si="13"/>
        <v>9</v>
      </c>
      <c r="V36" s="61">
        <f t="shared" ref="V36:V38" si="57">IFERROR(FIND(",",T36),LEN(T36))</f>
        <v>18</v>
      </c>
      <c r="W36" s="61">
        <f t="shared" ref="W36:W38" si="58">FIND("target:",T36)+7</f>
        <v>27</v>
      </c>
      <c r="X36" s="61">
        <f t="shared" ref="X36:X38" si="59">FIND(",",T36,V36+1)</f>
        <v>33</v>
      </c>
      <c r="Y36" s="61" t="str">
        <f>IFERROR(VLOOKUP(MID(T36,W36,X36-W36),[7]skilldef!$C:$D,2,FALSE),"-") &amp; " / " &amp; IFERROR(VLOOKUP(MID(T36,U36,V36-U36),[7]skilldef!$A:$B,2,FALSE),"-")</f>
        <v>自分自身に / 状態異常耐性</v>
      </c>
      <c r="Z36" s="48"/>
      <c r="AA36" s="50"/>
      <c r="AB36" s="48"/>
      <c r="AC36" s="104" t="s">
        <v>335</v>
      </c>
    </row>
    <row r="37" spans="1:29" ht="21" customHeight="1" x14ac:dyDescent="0.15">
      <c r="A37" s="117">
        <v>13400835</v>
      </c>
      <c r="B37" s="46" t="str">
        <f t="shared" si="47"/>
        <v>[effect:enemy_message, val1:1.7, val2:1.3],[effect:damage_gravity, val:5.0, animation:fevergauge_down]</v>
      </c>
      <c r="C37" s="48">
        <v>3</v>
      </c>
      <c r="D37" s="48" t="s">
        <v>196</v>
      </c>
      <c r="E37" s="49" t="s">
        <v>374</v>
      </c>
      <c r="F37" s="49" t="s">
        <v>308</v>
      </c>
      <c r="G37" s="61" t="str">
        <f t="shared" si="48"/>
        <v>[effect:enemy_message, val1:1.7, val2:1.3]</v>
      </c>
      <c r="H37" s="61">
        <f t="shared" si="2"/>
        <v>9</v>
      </c>
      <c r="I37" s="61">
        <f t="shared" si="49"/>
        <v>22</v>
      </c>
      <c r="J37" s="61" t="e">
        <f t="shared" si="50"/>
        <v>#VALUE!</v>
      </c>
      <c r="K37" s="61">
        <f t="shared" si="51"/>
        <v>32</v>
      </c>
      <c r="L37" s="61" t="str">
        <f>IFERROR(VLOOKUP(MID(G37,J37,K37-J37),[7]skilldef!$C:$D,2,FALSE),"-") &amp; " / " &amp; IFERROR(VLOOKUP(MID(G37,H37,I37-H37),[7]skilldef!$A:$B,2,FALSE),"-")</f>
        <v>- / -</v>
      </c>
      <c r="M37" s="61" t="str">
        <f t="shared" si="52"/>
        <v>[effect:damage_gravity, val:5.0, animation:fevergauge_down]</v>
      </c>
      <c r="N37" s="46" t="str">
        <f t="shared" ref="N37" si="60">IFERROR(LEFT(M37,FIND("],",M37)+S42),M37)</f>
        <v>[effect:damage_gravity, val:5.0, animation:fevergauge_down]</v>
      </c>
      <c r="O37" s="61">
        <f t="shared" si="8"/>
        <v>9</v>
      </c>
      <c r="P37" s="61">
        <f t="shared" si="53"/>
        <v>23</v>
      </c>
      <c r="Q37" s="61" t="e">
        <f t="shared" si="54"/>
        <v>#VALUE!</v>
      </c>
      <c r="R37" s="61">
        <f t="shared" si="55"/>
        <v>32</v>
      </c>
      <c r="S37" s="61" t="str">
        <f>IFERROR(VLOOKUP(MID(N37,Q37,R37-Q37),[7]skilldef!$C:$D,2,FALSE),"-") &amp; " / " &amp; IFERROR(VLOOKUP(MID(N37,O37,P37-O37),[7]skilldef!$A:$B,2,FALSE),"-")</f>
        <v>- / 割合ダメージ</v>
      </c>
      <c r="T37" s="46" t="str">
        <f t="shared" si="56"/>
        <v>none</v>
      </c>
      <c r="U37" s="61" t="e">
        <f t="shared" si="13"/>
        <v>#VALUE!</v>
      </c>
      <c r="V37" s="61">
        <f t="shared" si="57"/>
        <v>4</v>
      </c>
      <c r="W37" s="61" t="e">
        <f t="shared" si="58"/>
        <v>#VALUE!</v>
      </c>
      <c r="X37" s="61" t="e">
        <f t="shared" si="59"/>
        <v>#VALUE!</v>
      </c>
      <c r="Y37" s="61" t="str">
        <f>IFERROR(VLOOKUP(MID(T37,W37,X37-W37),[7]skilldef!$C:$D,2,FALSE),"-") &amp; " / " &amp; IFERROR(VLOOKUP(MID(T37,U37,V37-U37),[7]skilldef!$A:$B,2,FALSE),"-")</f>
        <v>- / -</v>
      </c>
      <c r="Z37" s="48"/>
      <c r="AA37" s="50"/>
      <c r="AB37" s="48"/>
      <c r="AC37" s="104" t="s">
        <v>276</v>
      </c>
    </row>
    <row r="38" spans="1:29" ht="57" customHeight="1" x14ac:dyDescent="0.15">
      <c r="A38" s="117">
        <v>13400836</v>
      </c>
      <c r="B38" s="46" t="str">
        <f t="shared" si="47"/>
        <v>[effect:enemy_message, val1:1.2, val2:2.9],[effect:dis_panel, target:block_yellow, turn:-1, animation:enemy_dis_yellow],[effect:force_change_block, new_block:damage, target:block_yellow, color:block_yellow, count:5, val:0.5]</v>
      </c>
      <c r="C38" s="48">
        <v>3</v>
      </c>
      <c r="D38" s="48" t="s">
        <v>196</v>
      </c>
      <c r="E38" s="49" t="s">
        <v>376</v>
      </c>
      <c r="F38" s="49" t="s">
        <v>309</v>
      </c>
      <c r="G38" s="61" t="str">
        <f t="shared" si="48"/>
        <v>[effect:enemy_message, val1:1.2, val2:2.9]</v>
      </c>
      <c r="H38" s="61">
        <f t="shared" si="2"/>
        <v>9</v>
      </c>
      <c r="I38" s="61">
        <f t="shared" si="49"/>
        <v>22</v>
      </c>
      <c r="J38" s="61" t="e">
        <f t="shared" si="50"/>
        <v>#VALUE!</v>
      </c>
      <c r="K38" s="61">
        <f t="shared" si="51"/>
        <v>32</v>
      </c>
      <c r="L38" s="61" t="str">
        <f>IFERROR(VLOOKUP(MID(G38,J38,K38-J38),[7]skilldef!$C:$D,2,FALSE),"-") &amp; " / " &amp; IFERROR(VLOOKUP(MID(G38,H38,I38-H38),[7]skilldef!$A:$B,2,FALSE),"-")</f>
        <v>- / -</v>
      </c>
      <c r="M38" s="61" t="str">
        <f t="shared" si="52"/>
        <v>[effect:dis_panel, target:block_yellow, turn:-1, animation:enemy_dis_yellow],[effect:force_change_block, new_block:damage, target:block_yellow, color:block_yellow, count:5, val:0.5]</v>
      </c>
      <c r="N38" s="46" t="str">
        <f>IFERROR(LEFT(M38,FIND("],",M38)+#REF!),M38)</f>
        <v>[effect:dis_panel, target:block_yellow, turn:-1, animation:enemy_dis_yellow],[effect:force_change_block, new_block:damage, target:block_yellow, color:block_yellow, count:5, val:0.5]</v>
      </c>
      <c r="O38" s="61">
        <f t="shared" si="8"/>
        <v>9</v>
      </c>
      <c r="P38" s="61">
        <f t="shared" si="53"/>
        <v>18</v>
      </c>
      <c r="Q38" s="61">
        <f t="shared" si="54"/>
        <v>27</v>
      </c>
      <c r="R38" s="61">
        <f t="shared" si="55"/>
        <v>39</v>
      </c>
      <c r="S38" s="61" t="str">
        <f>IFERROR(VLOOKUP(MID(N38,Q38,R38-Q38),[7]skilldef!$C:$D,2,FALSE),"-") &amp; " / " &amp; IFERROR(VLOOKUP(MID(N38,O38,P38-O38),[7]skilldef!$A:$B,2,FALSE),"-")</f>
        <v>黄色パネルを / ディスパネル</v>
      </c>
      <c r="T38" s="46" t="str">
        <f t="shared" si="56"/>
        <v>[effect:force_change_block, new_block:damage, target:block_yellow, color:block_yellow, count:5, val:0.5]</v>
      </c>
      <c r="U38" s="61">
        <f t="shared" si="13"/>
        <v>9</v>
      </c>
      <c r="V38" s="61">
        <f t="shared" si="57"/>
        <v>27</v>
      </c>
      <c r="W38" s="61">
        <f t="shared" si="58"/>
        <v>54</v>
      </c>
      <c r="X38" s="61">
        <f t="shared" si="59"/>
        <v>45</v>
      </c>
      <c r="Y38" s="61" t="str">
        <f>IFERROR(VLOOKUP(MID(T38,W38,X38-W38),[7]skilldef!$C:$D,2,FALSE),"-") &amp; " / " &amp; IFERROR(VLOOKUP(MID(T38,U38,V38-U38),[7]skilldef!$A:$B,2,FALSE),"-")</f>
        <v>- / -</v>
      </c>
      <c r="Z38" s="48"/>
      <c r="AA38" s="50"/>
      <c r="AB38" s="48"/>
      <c r="AC38" s="104" t="s">
        <v>277</v>
      </c>
    </row>
    <row r="39" spans="1:29" ht="70" customHeight="1" x14ac:dyDescent="0.15">
      <c r="A39" s="117">
        <v>13400837</v>
      </c>
      <c r="B39" s="46" t="str">
        <f t="shared" ref="B39:B40" si="61">"[effect:enemy_message, val1:"&amp;TEXT(IF(TEXT(E39,0)="[表示しない]", "0", IF(LEN(SUBSTITUTE(E39,CHAR(13),""))*0.1&lt;1.2, 1.2, LEN(SUBSTITUTE(E39,CHAR(13),""))*0.1)), "0.0")&amp;", val2:"&amp;TEXT(IF(TEXT(F39,0)="[表示しない]", "0", IF(LEN(SUBSTITUTE(F39,CHAR(13),""))*0.1&lt;1.2, 1.2, LEN(F39)*0.1)),"0.0")&amp;"]"&amp;IF(LEN(AC39)&gt;0, ","&amp;AC39,AC39)</f>
        <v>[effect:enemy_message, val1:1.2, val2:2.9],[effect:dis_panel, target:block_green, turn:-1, animation:enemy_dis_green],[effect:force_change_block, new_block:damage, target:block_green, color:block_green, count:5, val:0.5]</v>
      </c>
      <c r="C39" s="48">
        <v>3</v>
      </c>
      <c r="D39" s="48" t="s">
        <v>196</v>
      </c>
      <c r="E39" s="49" t="s">
        <v>377</v>
      </c>
      <c r="F39" s="49" t="s">
        <v>310</v>
      </c>
      <c r="G39" s="61" t="str">
        <f t="shared" ref="G39:G40" si="62">IFERROR(LEFT(B39,FIND("],",B39)),B39)</f>
        <v>[effect:enemy_message, val1:1.2, val2:2.9]</v>
      </c>
      <c r="H39" s="61">
        <f t="shared" si="2"/>
        <v>9</v>
      </c>
      <c r="I39" s="61">
        <f t="shared" ref="I39:I40" si="63">IFERROR(FIND(",",G39),LEN(G39))</f>
        <v>22</v>
      </c>
      <c r="J39" s="61" t="e">
        <f t="shared" ref="J39:J40" si="64">FIND("target:",G39)+7</f>
        <v>#VALUE!</v>
      </c>
      <c r="K39" s="61">
        <f t="shared" ref="K39:K40" si="65">FIND(",",G39,I39+1)</f>
        <v>32</v>
      </c>
      <c r="L39" s="61" t="str">
        <f>IFERROR(VLOOKUP(MID(G39,J39,K39-J39),[7]skilldef!$C:$D,2,FALSE),"-") &amp; " / " &amp; IFERROR(VLOOKUP(MID(G39,H39,I39-H39),[7]skilldef!$A:$B,2,FALSE),"-")</f>
        <v>- / -</v>
      </c>
      <c r="M39" s="61" t="str">
        <f t="shared" ref="M39:M40" si="66">IFERROR(RIGHT(B39,LEN(B39)-FIND("],",B39)-1),"none")</f>
        <v>[effect:dis_panel, target:block_green, turn:-1, animation:enemy_dis_green],[effect:force_change_block, new_block:damage, target:block_green, color:block_green, count:5, val:0.5]</v>
      </c>
      <c r="N39" s="46" t="str">
        <f>IFERROR(LEFT(M39,FIND("],",M39)+#REF!),M39)</f>
        <v>[effect:dis_panel, target:block_green, turn:-1, animation:enemy_dis_green],[effect:force_change_block, new_block:damage, target:block_green, color:block_green, count:5, val:0.5]</v>
      </c>
      <c r="O39" s="61">
        <f t="shared" si="8"/>
        <v>9</v>
      </c>
      <c r="P39" s="61">
        <f t="shared" ref="P39:P40" si="67">IFERROR(FIND(",",N39),LEN(N39))</f>
        <v>18</v>
      </c>
      <c r="Q39" s="61">
        <f t="shared" ref="Q39:Q40" si="68">FIND("target:",N39)+7</f>
        <v>27</v>
      </c>
      <c r="R39" s="61">
        <f t="shared" ref="R39:R40" si="69">FIND(",",N39,P39+1)</f>
        <v>38</v>
      </c>
      <c r="S39" s="61" t="str">
        <f>IFERROR(VLOOKUP(MID(N39,Q39,R39-Q39),[7]skilldef!$C:$D,2,FALSE),"-") &amp; " / " &amp; IFERROR(VLOOKUP(MID(N39,O39,P39-O39),[7]skilldef!$A:$B,2,FALSE),"-")</f>
        <v>緑パネルを / ディスパネル</v>
      </c>
      <c r="T39" s="46" t="str">
        <f t="shared" ref="T39:T40" si="70">IFERROR(RIGHT(M39,LEN(M39)-FIND("],",M39)-1),"none")</f>
        <v>[effect:force_change_block, new_block:damage, target:block_green, color:block_green, count:5, val:0.5]</v>
      </c>
      <c r="U39" s="61">
        <f t="shared" si="13"/>
        <v>9</v>
      </c>
      <c r="V39" s="61">
        <f t="shared" ref="V39:V40" si="71">IFERROR(FIND(",",T39),LEN(T39))</f>
        <v>27</v>
      </c>
      <c r="W39" s="61">
        <f t="shared" ref="W39:W40" si="72">FIND("target:",T39)+7</f>
        <v>54</v>
      </c>
      <c r="X39" s="61">
        <f t="shared" ref="X39:X40" si="73">FIND(",",T39,V39+1)</f>
        <v>45</v>
      </c>
      <c r="Y39" s="61" t="str">
        <f>IFERROR(VLOOKUP(MID(T39,W39,X39-W39),[7]skilldef!$C:$D,2,FALSE),"-") &amp; " / " &amp; IFERROR(VLOOKUP(MID(T39,U39,V39-U39),[7]skilldef!$A:$B,2,FALSE),"-")</f>
        <v>- / -</v>
      </c>
      <c r="Z39" s="48"/>
      <c r="AA39" s="50"/>
      <c r="AB39" s="48"/>
      <c r="AC39" s="104" t="s">
        <v>278</v>
      </c>
    </row>
    <row r="40" spans="1:29" ht="67" customHeight="1" x14ac:dyDescent="0.15">
      <c r="A40" s="117">
        <v>13400838</v>
      </c>
      <c r="B40" s="46" t="str">
        <f t="shared" si="61"/>
        <v>[effect:enemy_message, val1:1.2, val2:2.9],[effect:dis_panel, target:block_blue, turn:-1, animation:enemy_dis_blue],[effect:force_change_block, new_block:damage, target:block_blue, color:block_blue, count:5, val:0.5]</v>
      </c>
      <c r="C40" s="48">
        <v>3</v>
      </c>
      <c r="D40" s="48" t="s">
        <v>196</v>
      </c>
      <c r="E40" s="49" t="s">
        <v>378</v>
      </c>
      <c r="F40" s="49" t="s">
        <v>311</v>
      </c>
      <c r="G40" s="61" t="str">
        <f t="shared" si="62"/>
        <v>[effect:enemy_message, val1:1.2, val2:2.9]</v>
      </c>
      <c r="H40" s="61">
        <f t="shared" si="2"/>
        <v>9</v>
      </c>
      <c r="I40" s="61">
        <f t="shared" si="63"/>
        <v>22</v>
      </c>
      <c r="J40" s="61" t="e">
        <f t="shared" si="64"/>
        <v>#VALUE!</v>
      </c>
      <c r="K40" s="61">
        <f t="shared" si="65"/>
        <v>32</v>
      </c>
      <c r="L40" s="61" t="str">
        <f>IFERROR(VLOOKUP(MID(G40,J40,K40-J40),[7]skilldef!$C:$D,2,FALSE),"-") &amp; " / " &amp; IFERROR(VLOOKUP(MID(G40,H40,I40-H40),[7]skilldef!$A:$B,2,FALSE),"-")</f>
        <v>- / -</v>
      </c>
      <c r="M40" s="61" t="str">
        <f t="shared" si="66"/>
        <v>[effect:dis_panel, target:block_blue, turn:-1, animation:enemy_dis_blue],[effect:force_change_block, new_block:damage, target:block_blue, color:block_blue, count:5, val:0.5]</v>
      </c>
      <c r="N40" s="46" t="str">
        <f>IFERROR(LEFT(M40,FIND("],",M40)+#REF!),M40)</f>
        <v>[effect:dis_panel, target:block_blue, turn:-1, animation:enemy_dis_blue],[effect:force_change_block, new_block:damage, target:block_blue, color:block_blue, count:5, val:0.5]</v>
      </c>
      <c r="O40" s="61">
        <f t="shared" si="8"/>
        <v>9</v>
      </c>
      <c r="P40" s="61">
        <f t="shared" si="67"/>
        <v>18</v>
      </c>
      <c r="Q40" s="61">
        <f t="shared" si="68"/>
        <v>27</v>
      </c>
      <c r="R40" s="61">
        <f t="shared" si="69"/>
        <v>37</v>
      </c>
      <c r="S40" s="61" t="str">
        <f>IFERROR(VLOOKUP(MID(N40,Q40,R40-Q40),[7]skilldef!$C:$D,2,FALSE),"-") &amp; " / " &amp; IFERROR(VLOOKUP(MID(N40,O40,P40-O40),[7]skilldef!$A:$B,2,FALSE),"-")</f>
        <v>青パネルを / ディスパネル</v>
      </c>
      <c r="T40" s="46" t="str">
        <f t="shared" si="70"/>
        <v>[effect:force_change_block, new_block:damage, target:block_blue, color:block_blue, count:5, val:0.5]</v>
      </c>
      <c r="U40" s="61">
        <f t="shared" si="13"/>
        <v>9</v>
      </c>
      <c r="V40" s="61">
        <f t="shared" si="71"/>
        <v>27</v>
      </c>
      <c r="W40" s="61">
        <f t="shared" si="72"/>
        <v>54</v>
      </c>
      <c r="X40" s="61">
        <f t="shared" si="73"/>
        <v>45</v>
      </c>
      <c r="Y40" s="61" t="str">
        <f>IFERROR(VLOOKUP(MID(T40,W40,X40-W40),[7]skilldef!$C:$D,2,FALSE),"-") &amp; " / " &amp; IFERROR(VLOOKUP(MID(T40,U40,V40-U40),[7]skilldef!$A:$B,2,FALSE),"-")</f>
        <v>- / -</v>
      </c>
      <c r="Z40" s="48"/>
      <c r="AA40" s="50"/>
      <c r="AB40" s="48"/>
      <c r="AC40" s="104" t="s">
        <v>279</v>
      </c>
    </row>
    <row r="41" spans="1:29" ht="66" customHeight="1" x14ac:dyDescent="0.15">
      <c r="A41" s="117">
        <v>13400839</v>
      </c>
      <c r="B41" s="46" t="str">
        <f t="shared" ref="B41:B42" si="74">"[effect:enemy_message, val1:"&amp;TEXT(IF(TEXT(E41,0)="[表示しない]", "0", IF(LEN(SUBSTITUTE(E41,CHAR(13),""))*0.1&lt;1.2, 1.2, LEN(SUBSTITUTE(E41,CHAR(13),""))*0.1)), "0.0")&amp;", val2:"&amp;TEXT(IF(TEXT(F41,0)="[表示しない]", "0", IF(LEN(SUBSTITUTE(F41,CHAR(13),""))*0.1&lt;1.2, 1.2, LEN(F41)*0.1)),"0.0")&amp;"]"&amp;IF(LEN(AC41)&gt;0, ","&amp;AC41,AC41)</f>
        <v>[effect:enemy_message, val1:1.2, val2:5.4],[effect:dis_panel, target:block_red, turn:-1, animation:enemy_dis_red],[effect:force_change_block, new_block:damage, target:block_red, color:block_red, count:5, val:0.5]</v>
      </c>
      <c r="C41" s="48">
        <v>3</v>
      </c>
      <c r="D41" s="48" t="s">
        <v>196</v>
      </c>
      <c r="E41" s="49" t="s">
        <v>379</v>
      </c>
      <c r="F41" s="49" t="s">
        <v>412</v>
      </c>
      <c r="G41" s="61" t="str">
        <f t="shared" ref="G41:G43" si="75">IFERROR(LEFT(B41,FIND("],",B41)),B41)</f>
        <v>[effect:enemy_message, val1:1.2, val2:5.4]</v>
      </c>
      <c r="H41" s="61">
        <f t="shared" si="2"/>
        <v>9</v>
      </c>
      <c r="I41" s="61">
        <f t="shared" ref="I41:I43" si="76">IFERROR(FIND(",",G41),LEN(G41))</f>
        <v>22</v>
      </c>
      <c r="J41" s="61" t="e">
        <f t="shared" ref="J41:J43" si="77">FIND("target:",G41)+7</f>
        <v>#VALUE!</v>
      </c>
      <c r="K41" s="61">
        <f t="shared" ref="K41:K43" si="78">FIND(",",G41,I41+1)</f>
        <v>32</v>
      </c>
      <c r="L41" s="61" t="str">
        <f>IFERROR(VLOOKUP(MID(G41,J41,K41-J41),[7]skilldef!$C:$D,2,FALSE),"-") &amp; " / " &amp; IFERROR(VLOOKUP(MID(G41,H41,I41-H41),[7]skilldef!$A:$B,2,FALSE),"-")</f>
        <v>- / -</v>
      </c>
      <c r="M41" s="61" t="str">
        <f t="shared" ref="M41:M43" si="79">IFERROR(RIGHT(B41,LEN(B41)-FIND("],",B41)-1),"none")</f>
        <v>[effect:dis_panel, target:block_red, turn:-1, animation:enemy_dis_red],[effect:force_change_block, new_block:damage, target:block_red, color:block_red, count:5, val:0.5]</v>
      </c>
      <c r="N41" s="46" t="str">
        <f>IFERROR(LEFT(M41,FIND("],",M41)+#REF!),M41)</f>
        <v>[effect:dis_panel, target:block_red, turn:-1, animation:enemy_dis_red],[effect:force_change_block, new_block:damage, target:block_red, color:block_red, count:5, val:0.5]</v>
      </c>
      <c r="O41" s="61">
        <f t="shared" si="8"/>
        <v>9</v>
      </c>
      <c r="P41" s="61">
        <f t="shared" ref="P41:P43" si="80">IFERROR(FIND(",",N41),LEN(N41))</f>
        <v>18</v>
      </c>
      <c r="Q41" s="61">
        <f t="shared" ref="Q41:Q43" si="81">FIND("target:",N41)+7</f>
        <v>27</v>
      </c>
      <c r="R41" s="61">
        <f t="shared" ref="R41:R43" si="82">FIND(",",N41,P41+1)</f>
        <v>36</v>
      </c>
      <c r="S41" s="61" t="str">
        <f>IFERROR(VLOOKUP(MID(N41,Q41,R41-Q41),[7]skilldef!$C:$D,2,FALSE),"-") &amp; " / " &amp; IFERROR(VLOOKUP(MID(N41,O41,P41-O41),[7]skilldef!$A:$B,2,FALSE),"-")</f>
        <v>赤パネルを / ディスパネル</v>
      </c>
      <c r="T41" s="46" t="str">
        <f t="shared" ref="T41:T43" si="83">IFERROR(RIGHT(M41,LEN(M41)-FIND("],",M41)-1),"none")</f>
        <v>[effect:force_change_block, new_block:damage, target:block_red, color:block_red, count:5, val:0.5]</v>
      </c>
      <c r="U41" s="61">
        <f t="shared" si="13"/>
        <v>9</v>
      </c>
      <c r="V41" s="61">
        <f t="shared" ref="V41:V43" si="84">IFERROR(FIND(",",T41),LEN(T41))</f>
        <v>27</v>
      </c>
      <c r="W41" s="61">
        <f t="shared" ref="W41:W43" si="85">FIND("target:",T41)+7</f>
        <v>54</v>
      </c>
      <c r="X41" s="61">
        <f t="shared" ref="X41:X43" si="86">FIND(",",T41,V41+1)</f>
        <v>45</v>
      </c>
      <c r="Y41" s="61" t="str">
        <f>IFERROR(VLOOKUP(MID(T41,W41,X41-W41),[7]skilldef!$C:$D,2,FALSE),"-") &amp; " / " &amp; IFERROR(VLOOKUP(MID(T41,U41,V41-U41),[7]skilldef!$A:$B,2,FALSE),"-")</f>
        <v>- / -</v>
      </c>
      <c r="Z41" s="48"/>
      <c r="AA41" s="50"/>
      <c r="AB41" s="48"/>
      <c r="AC41" s="104" t="s">
        <v>280</v>
      </c>
    </row>
    <row r="42" spans="1:29" ht="21" customHeight="1" x14ac:dyDescent="0.15">
      <c r="A42" s="117">
        <v>13400840</v>
      </c>
      <c r="B42" s="46" t="str">
        <f t="shared" si="74"/>
        <v>[effect:enemy_message, val1:1.7, val2:1.3],[effect:damage_gravity, val:5.0, animation:fevergauge_down]</v>
      </c>
      <c r="C42" s="48">
        <v>3</v>
      </c>
      <c r="D42" s="48" t="s">
        <v>196</v>
      </c>
      <c r="E42" s="49" t="s">
        <v>375</v>
      </c>
      <c r="F42" s="49" t="s">
        <v>312</v>
      </c>
      <c r="G42" s="61" t="str">
        <f t="shared" si="75"/>
        <v>[effect:enemy_message, val1:1.7, val2:1.3]</v>
      </c>
      <c r="H42" s="61">
        <f t="shared" si="2"/>
        <v>9</v>
      </c>
      <c r="I42" s="61">
        <f t="shared" si="76"/>
        <v>22</v>
      </c>
      <c r="J42" s="61" t="e">
        <f t="shared" si="77"/>
        <v>#VALUE!</v>
      </c>
      <c r="K42" s="61">
        <f t="shared" si="78"/>
        <v>32</v>
      </c>
      <c r="L42" s="61" t="str">
        <f>IFERROR(VLOOKUP(MID(G42,J42,K42-J42),[7]skilldef!$C:$D,2,FALSE),"-") &amp; " / " &amp; IFERROR(VLOOKUP(MID(G42,H42,I42-H42),[7]skilldef!$A:$B,2,FALSE),"-")</f>
        <v>- / -</v>
      </c>
      <c r="M42" s="61" t="str">
        <f t="shared" si="79"/>
        <v>[effect:damage_gravity, val:5.0, animation:fevergauge_down]</v>
      </c>
      <c r="N42" s="46" t="str">
        <f>IFERROR(LEFT(M42,FIND("],",M42)+S43),M42)</f>
        <v>[effect:damage_gravity, val:5.0, animation:fevergauge_down]</v>
      </c>
      <c r="O42" s="61">
        <f t="shared" si="8"/>
        <v>9</v>
      </c>
      <c r="P42" s="61">
        <f t="shared" si="80"/>
        <v>23</v>
      </c>
      <c r="Q42" s="61" t="e">
        <f t="shared" si="81"/>
        <v>#VALUE!</v>
      </c>
      <c r="R42" s="61">
        <f t="shared" si="82"/>
        <v>32</v>
      </c>
      <c r="S42" s="61" t="str">
        <f>IFERROR(VLOOKUP(MID(N42,Q42,R42-Q42),[7]skilldef!$C:$D,2,FALSE),"-") &amp; " / " &amp; IFERROR(VLOOKUP(MID(N42,O42,P42-O42),[7]skilldef!$A:$B,2,FALSE),"-")</f>
        <v>- / 割合ダメージ</v>
      </c>
      <c r="T42" s="46" t="str">
        <f t="shared" si="83"/>
        <v>none</v>
      </c>
      <c r="U42" s="61" t="e">
        <f t="shared" si="13"/>
        <v>#VALUE!</v>
      </c>
      <c r="V42" s="61">
        <f t="shared" si="84"/>
        <v>4</v>
      </c>
      <c r="W42" s="61" t="e">
        <f t="shared" si="85"/>
        <v>#VALUE!</v>
      </c>
      <c r="X42" s="61" t="e">
        <f t="shared" si="86"/>
        <v>#VALUE!</v>
      </c>
      <c r="Y42" s="61" t="str">
        <f>IFERROR(VLOOKUP(MID(T42,W42,X42-W42),[7]skilldef!$C:$D,2,FALSE),"-") &amp; " / " &amp; IFERROR(VLOOKUP(MID(T42,U42,V42-U42),[7]skilldef!$A:$B,2,FALSE),"-")</f>
        <v>- / -</v>
      </c>
      <c r="Z42" s="48"/>
      <c r="AA42" s="50"/>
      <c r="AB42" s="48"/>
      <c r="AC42" s="104" t="s">
        <v>276</v>
      </c>
    </row>
    <row r="43" spans="1:29" ht="69" customHeight="1" x14ac:dyDescent="0.15">
      <c r="A43" s="117">
        <v>13400841</v>
      </c>
      <c r="B43" s="46" t="s">
        <v>392</v>
      </c>
      <c r="C43" s="48">
        <v>3</v>
      </c>
      <c r="D43" s="48" t="s">
        <v>256</v>
      </c>
      <c r="E43" s="49" t="s">
        <v>389</v>
      </c>
      <c r="F43" s="49" t="s">
        <v>390</v>
      </c>
      <c r="G43" s="61" t="str">
        <f t="shared" si="75"/>
        <v>[effect:enemy_message, val1:1.7, val2:1.9]</v>
      </c>
      <c r="H43" s="61">
        <f t="shared" si="2"/>
        <v>9</v>
      </c>
      <c r="I43" s="61">
        <f t="shared" si="76"/>
        <v>22</v>
      </c>
      <c r="J43" s="61" t="e">
        <f t="shared" si="77"/>
        <v>#VALUE!</v>
      </c>
      <c r="K43" s="61">
        <f t="shared" si="78"/>
        <v>32</v>
      </c>
      <c r="L43" s="61" t="str">
        <f>IFERROR(VLOOKUP(MID(G43,J43,K43-J43),[7]skilldef!$C:$D,2,FALSE),"-") &amp; " / " &amp; IFERROR(VLOOKUP(MID(G43,H43,I43-H43),[7]skilldef!$A:$B,2,FALSE),"-")</f>
        <v>- / -</v>
      </c>
      <c r="M43" s="61" t="str">
        <f t="shared" si="79"/>
        <v>none</v>
      </c>
      <c r="N43" s="46" t="str">
        <f>IFERROR(LEFT(M43,FIND("],",M43)+S49),M43)</f>
        <v>none</v>
      </c>
      <c r="O43" s="61" t="e">
        <f t="shared" si="8"/>
        <v>#VALUE!</v>
      </c>
      <c r="P43" s="61">
        <f t="shared" si="80"/>
        <v>4</v>
      </c>
      <c r="Q43" s="61" t="e">
        <f t="shared" si="81"/>
        <v>#VALUE!</v>
      </c>
      <c r="R43" s="61" t="e">
        <f t="shared" si="82"/>
        <v>#VALUE!</v>
      </c>
      <c r="S43" s="61" t="str">
        <f>IFERROR(VLOOKUP(MID(N43,Q43,R43-Q43),[7]skilldef!$C:$D,2,FALSE),"-") &amp; " / " &amp; IFERROR(VLOOKUP(MID(N43,O43,P43-O43),[7]skilldef!$A:$B,2,FALSE),"-")</f>
        <v>- / -</v>
      </c>
      <c r="T43" s="46" t="str">
        <f t="shared" si="83"/>
        <v>none</v>
      </c>
      <c r="U43" s="61" t="e">
        <f t="shared" si="13"/>
        <v>#VALUE!</v>
      </c>
      <c r="V43" s="61">
        <f t="shared" si="84"/>
        <v>4</v>
      </c>
      <c r="W43" s="61" t="e">
        <f t="shared" si="85"/>
        <v>#VALUE!</v>
      </c>
      <c r="X43" s="61" t="e">
        <f t="shared" si="86"/>
        <v>#VALUE!</v>
      </c>
      <c r="Y43" s="61" t="str">
        <f>IFERROR(VLOOKUP(MID(T43,W43,X43-W43),[7]skilldef!$C:$D,2,FALSE),"-") &amp; " / " &amp; IFERROR(VLOOKUP(MID(T43,U43,V43-U43),[7]skilldef!$A:$B,2,FALSE),"-")</f>
        <v>- / -</v>
      </c>
      <c r="Z43" s="48"/>
      <c r="AA43" s="50"/>
      <c r="AB43" s="48"/>
      <c r="AC43" s="104"/>
    </row>
  </sheetData>
  <autoFilter ref="A1:AB1"/>
  <mergeCells count="4">
    <mergeCell ref="AD3:AD6"/>
    <mergeCell ref="AD8:AD11"/>
    <mergeCell ref="AD19:AD23"/>
    <mergeCell ref="AD25:AD29"/>
  </mergeCells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3"/>
  <sheetViews>
    <sheetView showGridLines="0" workbookViewId="0">
      <pane ySplit="1" topLeftCell="A18" activePane="bottomLeft" state="frozenSplit"/>
      <selection pane="bottomLeft" activeCell="A38" sqref="A38:A43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2.6640625" style="47" customWidth="1"/>
    <col min="11" max="11" width="10" style="37" customWidth="1"/>
    <col min="12" max="12" width="12.83203125" style="43"/>
    <col min="13" max="13" width="27.1640625" style="43" customWidth="1"/>
    <col min="14" max="16384" width="12.83203125" style="43"/>
  </cols>
  <sheetData>
    <row r="1" spans="1:11" ht="21" customHeight="1" x14ac:dyDescent="0.15">
      <c r="A1" s="40" t="s">
        <v>83</v>
      </c>
      <c r="B1" s="40" t="s">
        <v>84</v>
      </c>
      <c r="C1" s="40" t="s">
        <v>85</v>
      </c>
      <c r="D1" s="40" t="s">
        <v>86</v>
      </c>
      <c r="E1" s="40" t="s">
        <v>69</v>
      </c>
      <c r="F1" s="51" t="s">
        <v>70</v>
      </c>
      <c r="G1" s="51" t="s">
        <v>71</v>
      </c>
      <c r="H1" s="40" t="s">
        <v>72</v>
      </c>
      <c r="I1" s="40" t="s">
        <v>73</v>
      </c>
      <c r="J1" s="40" t="s">
        <v>74</v>
      </c>
      <c r="K1" s="52" t="s">
        <v>87</v>
      </c>
    </row>
    <row r="2" spans="1:11" ht="21" customHeight="1" x14ac:dyDescent="0.15">
      <c r="A2" s="118">
        <v>13400800</v>
      </c>
      <c r="B2" s="45">
        <v>1</v>
      </c>
      <c r="C2" s="45">
        <v>0</v>
      </c>
      <c r="D2" s="45">
        <v>100</v>
      </c>
      <c r="E2" s="45" t="s">
        <v>255</v>
      </c>
      <c r="F2" s="45" t="s">
        <v>88</v>
      </c>
      <c r="G2" s="45">
        <v>1</v>
      </c>
      <c r="H2" s="45">
        <v>1</v>
      </c>
      <c r="I2" s="45" t="s">
        <v>88</v>
      </c>
      <c r="J2" s="46">
        <f t="shared" ref="J2" si="0">D2</f>
        <v>100</v>
      </c>
    </row>
    <row r="3" spans="1:11" ht="21" customHeight="1" x14ac:dyDescent="0.15">
      <c r="A3" s="118">
        <v>13400801</v>
      </c>
      <c r="B3" s="121">
        <v>0</v>
      </c>
      <c r="C3" s="121">
        <v>20</v>
      </c>
      <c r="D3" s="121">
        <v>50</v>
      </c>
      <c r="E3" s="121" t="s">
        <v>88</v>
      </c>
      <c r="F3" s="121" t="s">
        <v>88</v>
      </c>
      <c r="G3" s="121" t="s">
        <v>88</v>
      </c>
      <c r="H3" s="121">
        <v>1</v>
      </c>
      <c r="I3" s="121" t="s">
        <v>88</v>
      </c>
      <c r="J3" s="46">
        <f t="shared" ref="J3:J4" si="1">D3</f>
        <v>50</v>
      </c>
    </row>
    <row r="4" spans="1:11" ht="21" customHeight="1" x14ac:dyDescent="0.15">
      <c r="A4" s="118">
        <v>13400802</v>
      </c>
      <c r="B4" s="121">
        <v>0</v>
      </c>
      <c r="C4" s="121">
        <v>10</v>
      </c>
      <c r="D4" s="121">
        <v>100</v>
      </c>
      <c r="E4" s="121" t="s">
        <v>88</v>
      </c>
      <c r="F4" s="121" t="s">
        <v>88</v>
      </c>
      <c r="G4" s="121" t="s">
        <v>313</v>
      </c>
      <c r="H4" s="121">
        <v>1</v>
      </c>
      <c r="I4" s="121" t="s">
        <v>314</v>
      </c>
      <c r="J4" s="46">
        <f t="shared" si="1"/>
        <v>100</v>
      </c>
    </row>
    <row r="5" spans="1:11" ht="21" customHeight="1" x14ac:dyDescent="0.15">
      <c r="A5" s="118">
        <v>13400803</v>
      </c>
      <c r="B5" s="121">
        <v>0</v>
      </c>
      <c r="C5" s="121">
        <v>40</v>
      </c>
      <c r="D5" s="121">
        <v>100</v>
      </c>
      <c r="E5" s="121">
        <v>50</v>
      </c>
      <c r="F5" s="121" t="s">
        <v>88</v>
      </c>
      <c r="G5" s="121">
        <v>1</v>
      </c>
      <c r="H5" s="121">
        <v>1</v>
      </c>
      <c r="I5" s="121" t="s">
        <v>88</v>
      </c>
      <c r="J5" s="46">
        <f t="shared" ref="J5:J8" si="2">D5</f>
        <v>100</v>
      </c>
    </row>
    <row r="6" spans="1:11" ht="21" customHeight="1" x14ac:dyDescent="0.15">
      <c r="A6" s="118">
        <v>13400804</v>
      </c>
      <c r="B6" s="121">
        <v>0</v>
      </c>
      <c r="C6" s="121">
        <v>30</v>
      </c>
      <c r="D6" s="121">
        <v>100</v>
      </c>
      <c r="E6" s="121" t="s">
        <v>314</v>
      </c>
      <c r="F6" s="121" t="s">
        <v>88</v>
      </c>
      <c r="G6" s="121" t="s">
        <v>88</v>
      </c>
      <c r="H6" s="121">
        <v>2</v>
      </c>
      <c r="I6" s="121" t="s">
        <v>88</v>
      </c>
      <c r="J6" s="46">
        <f t="shared" si="2"/>
        <v>100</v>
      </c>
    </row>
    <row r="7" spans="1:11" ht="21" customHeight="1" x14ac:dyDescent="0.15">
      <c r="A7" s="119">
        <v>13400805</v>
      </c>
      <c r="B7" s="121">
        <v>1</v>
      </c>
      <c r="C7" s="121">
        <v>0</v>
      </c>
      <c r="D7" s="121">
        <v>100</v>
      </c>
      <c r="E7" s="121" t="s">
        <v>88</v>
      </c>
      <c r="F7" s="121" t="s">
        <v>88</v>
      </c>
      <c r="G7" s="121">
        <v>1</v>
      </c>
      <c r="H7" s="121">
        <v>1</v>
      </c>
      <c r="I7" s="121" t="s">
        <v>315</v>
      </c>
      <c r="J7" s="46">
        <f t="shared" si="2"/>
        <v>100</v>
      </c>
    </row>
    <row r="8" spans="1:11" ht="21" customHeight="1" x14ac:dyDescent="0.15">
      <c r="A8" s="119">
        <v>13400806</v>
      </c>
      <c r="B8" s="121">
        <v>0</v>
      </c>
      <c r="C8" s="121">
        <v>10</v>
      </c>
      <c r="D8" s="121">
        <v>100</v>
      </c>
      <c r="E8" s="121" t="s">
        <v>88</v>
      </c>
      <c r="F8" s="121" t="s">
        <v>88</v>
      </c>
      <c r="G8" s="121" t="s">
        <v>313</v>
      </c>
      <c r="H8" s="121">
        <v>1</v>
      </c>
      <c r="I8" s="121" t="s">
        <v>314</v>
      </c>
      <c r="J8" s="46">
        <f t="shared" si="2"/>
        <v>100</v>
      </c>
    </row>
    <row r="9" spans="1:11" ht="21" customHeight="1" x14ac:dyDescent="0.15">
      <c r="A9" s="119">
        <v>13400807</v>
      </c>
      <c r="B9" s="121">
        <v>0</v>
      </c>
      <c r="C9" s="121">
        <v>40</v>
      </c>
      <c r="D9" s="121">
        <v>100</v>
      </c>
      <c r="E9" s="121">
        <v>30</v>
      </c>
      <c r="F9" s="121" t="s">
        <v>88</v>
      </c>
      <c r="G9" s="121">
        <v>1</v>
      </c>
      <c r="H9" s="121">
        <v>1</v>
      </c>
      <c r="I9" s="121" t="s">
        <v>88</v>
      </c>
      <c r="J9" s="46">
        <f t="shared" ref="J9:J16" si="3">D9</f>
        <v>100</v>
      </c>
    </row>
    <row r="10" spans="1:11" ht="21" customHeight="1" x14ac:dyDescent="0.15">
      <c r="A10" s="119">
        <v>13400808</v>
      </c>
      <c r="B10" s="121">
        <v>0</v>
      </c>
      <c r="C10" s="121">
        <v>20</v>
      </c>
      <c r="D10" s="121">
        <v>100</v>
      </c>
      <c r="E10" s="121" t="s">
        <v>314</v>
      </c>
      <c r="F10" s="121" t="s">
        <v>88</v>
      </c>
      <c r="G10" s="121" t="s">
        <v>88</v>
      </c>
      <c r="H10" s="121">
        <v>2</v>
      </c>
      <c r="I10" s="121" t="s">
        <v>88</v>
      </c>
      <c r="J10" s="46">
        <f t="shared" si="3"/>
        <v>100</v>
      </c>
    </row>
    <row r="11" spans="1:11" ht="21" customHeight="1" x14ac:dyDescent="0.15">
      <c r="A11" s="119">
        <v>13400809</v>
      </c>
      <c r="B11" s="121">
        <v>0</v>
      </c>
      <c r="C11" s="121">
        <v>30</v>
      </c>
      <c r="D11" s="121">
        <v>100</v>
      </c>
      <c r="E11" s="121" t="s">
        <v>314</v>
      </c>
      <c r="F11" s="121" t="s">
        <v>88</v>
      </c>
      <c r="G11" s="121" t="s">
        <v>88</v>
      </c>
      <c r="H11" s="121">
        <v>4</v>
      </c>
      <c r="I11" s="121" t="s">
        <v>88</v>
      </c>
      <c r="J11" s="46">
        <f t="shared" si="3"/>
        <v>100</v>
      </c>
    </row>
    <row r="12" spans="1:11" ht="21" customHeight="1" x14ac:dyDescent="0.15">
      <c r="A12" s="120">
        <v>13400810</v>
      </c>
      <c r="B12" s="121">
        <v>1</v>
      </c>
      <c r="C12" s="121">
        <v>0</v>
      </c>
      <c r="D12" s="121">
        <v>100</v>
      </c>
      <c r="E12" s="121" t="s">
        <v>88</v>
      </c>
      <c r="F12" s="121" t="s">
        <v>88</v>
      </c>
      <c r="G12" s="121">
        <v>1</v>
      </c>
      <c r="H12" s="121">
        <v>1</v>
      </c>
      <c r="I12" s="121" t="s">
        <v>315</v>
      </c>
      <c r="J12" s="46">
        <f t="shared" si="3"/>
        <v>100</v>
      </c>
    </row>
    <row r="13" spans="1:11" ht="21" customHeight="1" x14ac:dyDescent="0.15">
      <c r="A13" s="120">
        <v>13400811</v>
      </c>
      <c r="B13" s="121">
        <v>0</v>
      </c>
      <c r="C13" s="121">
        <v>60</v>
      </c>
      <c r="D13" s="121">
        <v>100</v>
      </c>
      <c r="E13" s="121" t="s">
        <v>88</v>
      </c>
      <c r="F13" s="121" t="s">
        <v>88</v>
      </c>
      <c r="G13" s="121">
        <v>1</v>
      </c>
      <c r="H13" s="121">
        <v>1</v>
      </c>
      <c r="I13" s="121" t="s">
        <v>314</v>
      </c>
      <c r="J13" s="46">
        <f t="shared" si="3"/>
        <v>100</v>
      </c>
    </row>
    <row r="14" spans="1:11" ht="21" customHeight="1" x14ac:dyDescent="0.15">
      <c r="A14" s="120">
        <v>13400812</v>
      </c>
      <c r="B14" s="121">
        <v>0</v>
      </c>
      <c r="C14" s="121">
        <v>50</v>
      </c>
      <c r="D14" s="121">
        <v>100</v>
      </c>
      <c r="E14" s="121" t="s">
        <v>88</v>
      </c>
      <c r="F14" s="121" t="s">
        <v>88</v>
      </c>
      <c r="G14" s="121">
        <v>1</v>
      </c>
      <c r="H14" s="121">
        <v>1</v>
      </c>
      <c r="I14" s="121" t="s">
        <v>314</v>
      </c>
      <c r="J14" s="46">
        <f t="shared" si="3"/>
        <v>100</v>
      </c>
    </row>
    <row r="15" spans="1:11" ht="21" customHeight="1" x14ac:dyDescent="0.15">
      <c r="A15" s="120">
        <v>13400813</v>
      </c>
      <c r="B15" s="121">
        <v>0</v>
      </c>
      <c r="C15" s="121">
        <v>40</v>
      </c>
      <c r="D15" s="121">
        <v>100</v>
      </c>
      <c r="E15" s="121" t="s">
        <v>88</v>
      </c>
      <c r="F15" s="121" t="s">
        <v>88</v>
      </c>
      <c r="G15" s="121">
        <v>1</v>
      </c>
      <c r="H15" s="121">
        <v>1</v>
      </c>
      <c r="I15" s="121" t="s">
        <v>314</v>
      </c>
      <c r="J15" s="46">
        <f t="shared" si="3"/>
        <v>100</v>
      </c>
    </row>
    <row r="16" spans="1:11" ht="21" customHeight="1" x14ac:dyDescent="0.15">
      <c r="A16" s="120">
        <v>13400814</v>
      </c>
      <c r="B16" s="121">
        <v>0</v>
      </c>
      <c r="C16" s="121">
        <v>30</v>
      </c>
      <c r="D16" s="121">
        <v>100</v>
      </c>
      <c r="E16" s="121" t="s">
        <v>88</v>
      </c>
      <c r="F16" s="121" t="s">
        <v>88</v>
      </c>
      <c r="G16" s="121">
        <v>1</v>
      </c>
      <c r="H16" s="121">
        <v>1</v>
      </c>
      <c r="I16" s="121" t="s">
        <v>314</v>
      </c>
      <c r="J16" s="46">
        <f t="shared" si="3"/>
        <v>100</v>
      </c>
    </row>
    <row r="17" spans="1:10" ht="21" customHeight="1" x14ac:dyDescent="0.15">
      <c r="A17" s="120">
        <v>13400815</v>
      </c>
      <c r="B17" s="121">
        <v>0</v>
      </c>
      <c r="C17" s="121">
        <v>20</v>
      </c>
      <c r="D17" s="121">
        <v>100</v>
      </c>
      <c r="E17" s="121" t="s">
        <v>88</v>
      </c>
      <c r="F17" s="121" t="s">
        <v>88</v>
      </c>
      <c r="G17" s="121">
        <v>1</v>
      </c>
      <c r="H17" s="121">
        <v>1</v>
      </c>
      <c r="I17" s="121" t="s">
        <v>314</v>
      </c>
      <c r="J17" s="46">
        <f t="shared" ref="J17:J33" si="4">D17</f>
        <v>100</v>
      </c>
    </row>
    <row r="18" spans="1:10" ht="21" customHeight="1" x14ac:dyDescent="0.15">
      <c r="A18" s="120">
        <v>13400816</v>
      </c>
      <c r="B18" s="121">
        <v>0</v>
      </c>
      <c r="C18" s="121">
        <v>10</v>
      </c>
      <c r="D18" s="121">
        <v>100</v>
      </c>
      <c r="E18" s="121" t="s">
        <v>88</v>
      </c>
      <c r="F18" s="121" t="s">
        <v>88</v>
      </c>
      <c r="G18" s="121" t="s">
        <v>88</v>
      </c>
      <c r="H18" s="121">
        <v>1</v>
      </c>
      <c r="I18" s="121" t="s">
        <v>314</v>
      </c>
      <c r="J18" s="46">
        <f t="shared" si="4"/>
        <v>100</v>
      </c>
    </row>
    <row r="19" spans="1:10" ht="21" customHeight="1" x14ac:dyDescent="0.15">
      <c r="A19" s="120">
        <v>13400817</v>
      </c>
      <c r="B19" s="121">
        <v>0</v>
      </c>
      <c r="C19" s="121">
        <v>80</v>
      </c>
      <c r="D19" s="121">
        <v>100</v>
      </c>
      <c r="E19" s="121">
        <v>30</v>
      </c>
      <c r="F19" s="121" t="s">
        <v>316</v>
      </c>
      <c r="G19" s="121">
        <v>1</v>
      </c>
      <c r="H19" s="121">
        <v>1</v>
      </c>
      <c r="I19" s="121" t="s">
        <v>317</v>
      </c>
      <c r="J19" s="46">
        <f t="shared" si="4"/>
        <v>100</v>
      </c>
    </row>
    <row r="20" spans="1:10" ht="21" customHeight="1" x14ac:dyDescent="0.15">
      <c r="A20" s="120">
        <v>13400818</v>
      </c>
      <c r="B20" s="121">
        <v>0</v>
      </c>
      <c r="C20" s="121">
        <v>70</v>
      </c>
      <c r="D20" s="121">
        <v>100</v>
      </c>
      <c r="E20" s="121">
        <v>30</v>
      </c>
      <c r="F20" s="121" t="s">
        <v>316</v>
      </c>
      <c r="G20" s="121">
        <v>1</v>
      </c>
      <c r="H20" s="121">
        <v>1</v>
      </c>
      <c r="I20" s="121" t="s">
        <v>317</v>
      </c>
      <c r="J20" s="46">
        <f t="shared" si="4"/>
        <v>100</v>
      </c>
    </row>
    <row r="21" spans="1:10" ht="21" customHeight="1" x14ac:dyDescent="0.15">
      <c r="A21" s="120">
        <v>13400819</v>
      </c>
      <c r="B21" s="121">
        <v>0</v>
      </c>
      <c r="C21" s="121">
        <v>100</v>
      </c>
      <c r="D21" s="121">
        <v>100</v>
      </c>
      <c r="E21" s="121" t="s">
        <v>255</v>
      </c>
      <c r="F21" s="121" t="s">
        <v>255</v>
      </c>
      <c r="G21" s="121">
        <v>0</v>
      </c>
      <c r="H21" s="121">
        <v>1</v>
      </c>
      <c r="I21" s="121">
        <v>0</v>
      </c>
      <c r="J21" s="46">
        <f t="shared" ref="J21" si="5">D21</f>
        <v>100</v>
      </c>
    </row>
    <row r="22" spans="1:10" ht="21" customHeight="1" x14ac:dyDescent="0.15">
      <c r="A22" s="115">
        <v>13400820</v>
      </c>
      <c r="B22" s="121">
        <v>1</v>
      </c>
      <c r="C22" s="121">
        <v>0</v>
      </c>
      <c r="D22" s="121">
        <v>100</v>
      </c>
      <c r="E22" s="121" t="s">
        <v>88</v>
      </c>
      <c r="F22" s="121" t="s">
        <v>88</v>
      </c>
      <c r="G22" s="121">
        <v>1</v>
      </c>
      <c r="H22" s="121">
        <v>1</v>
      </c>
      <c r="I22" s="121" t="s">
        <v>315</v>
      </c>
      <c r="J22" s="46">
        <f t="shared" si="4"/>
        <v>100</v>
      </c>
    </row>
    <row r="23" spans="1:10" ht="21" customHeight="1" x14ac:dyDescent="0.15">
      <c r="A23" s="115">
        <v>13400821</v>
      </c>
      <c r="B23" s="121">
        <v>0</v>
      </c>
      <c r="C23" s="121">
        <v>50</v>
      </c>
      <c r="D23" s="121">
        <v>100</v>
      </c>
      <c r="E23" s="121" t="s">
        <v>88</v>
      </c>
      <c r="F23" s="121" t="s">
        <v>318</v>
      </c>
      <c r="G23" s="121">
        <v>1</v>
      </c>
      <c r="H23" s="121">
        <v>1</v>
      </c>
      <c r="I23" s="121" t="s">
        <v>319</v>
      </c>
      <c r="J23" s="46">
        <f t="shared" si="4"/>
        <v>100</v>
      </c>
    </row>
    <row r="24" spans="1:10" ht="21" customHeight="1" x14ac:dyDescent="0.15">
      <c r="A24" s="115">
        <v>13400822</v>
      </c>
      <c r="B24" s="121">
        <v>0</v>
      </c>
      <c r="C24" s="121">
        <v>40</v>
      </c>
      <c r="D24" s="121">
        <v>100</v>
      </c>
      <c r="E24" s="121">
        <v>80</v>
      </c>
      <c r="F24" s="121" t="s">
        <v>315</v>
      </c>
      <c r="G24" s="121">
        <v>1</v>
      </c>
      <c r="H24" s="121">
        <v>1</v>
      </c>
      <c r="I24" s="121" t="s">
        <v>88</v>
      </c>
      <c r="J24" s="46">
        <f t="shared" si="4"/>
        <v>100</v>
      </c>
    </row>
    <row r="25" spans="1:10" ht="21" customHeight="1" x14ac:dyDescent="0.15">
      <c r="A25" s="115">
        <v>13400823</v>
      </c>
      <c r="B25" s="121">
        <v>0</v>
      </c>
      <c r="C25" s="121">
        <v>30</v>
      </c>
      <c r="D25" s="121">
        <v>100</v>
      </c>
      <c r="E25" s="121">
        <v>50</v>
      </c>
      <c r="F25" s="121" t="s">
        <v>315</v>
      </c>
      <c r="G25" s="121">
        <v>1</v>
      </c>
      <c r="H25" s="121">
        <v>1</v>
      </c>
      <c r="I25" s="121" t="s">
        <v>88</v>
      </c>
      <c r="J25" s="46">
        <f t="shared" si="4"/>
        <v>100</v>
      </c>
    </row>
    <row r="26" spans="1:10" ht="21" customHeight="1" x14ac:dyDescent="0.15">
      <c r="A26" s="115">
        <v>13400824</v>
      </c>
      <c r="B26" s="121">
        <v>0</v>
      </c>
      <c r="C26" s="121">
        <v>20</v>
      </c>
      <c r="D26" s="121">
        <v>100</v>
      </c>
      <c r="E26" s="121" t="s">
        <v>315</v>
      </c>
      <c r="F26" s="121" t="s">
        <v>88</v>
      </c>
      <c r="G26" s="121" t="s">
        <v>320</v>
      </c>
      <c r="H26" s="121">
        <v>2</v>
      </c>
      <c r="I26" s="121" t="s">
        <v>88</v>
      </c>
      <c r="J26" s="46">
        <f t="shared" si="4"/>
        <v>100</v>
      </c>
    </row>
    <row r="27" spans="1:10" ht="21" customHeight="1" x14ac:dyDescent="0.15">
      <c r="A27" s="115">
        <v>13400825</v>
      </c>
      <c r="B27" s="121">
        <v>0</v>
      </c>
      <c r="C27" s="121">
        <v>10</v>
      </c>
      <c r="D27" s="121">
        <v>100</v>
      </c>
      <c r="E27" s="121" t="s">
        <v>321</v>
      </c>
      <c r="F27" s="121" t="s">
        <v>88</v>
      </c>
      <c r="G27" s="121" t="s">
        <v>322</v>
      </c>
      <c r="H27" s="121">
        <v>1</v>
      </c>
      <c r="I27" s="121" t="s">
        <v>315</v>
      </c>
      <c r="J27" s="46">
        <f t="shared" si="4"/>
        <v>100</v>
      </c>
    </row>
    <row r="28" spans="1:10" ht="21" customHeight="1" x14ac:dyDescent="0.15">
      <c r="A28" s="116">
        <v>13400826</v>
      </c>
      <c r="B28" s="121">
        <v>1</v>
      </c>
      <c r="C28" s="121">
        <v>0</v>
      </c>
      <c r="D28" s="121">
        <v>100</v>
      </c>
      <c r="E28" s="121" t="s">
        <v>88</v>
      </c>
      <c r="F28" s="121" t="s">
        <v>88</v>
      </c>
      <c r="G28" s="121">
        <v>1</v>
      </c>
      <c r="H28" s="121">
        <v>1</v>
      </c>
      <c r="I28" s="121" t="s">
        <v>315</v>
      </c>
      <c r="J28" s="46">
        <f t="shared" si="4"/>
        <v>100</v>
      </c>
    </row>
    <row r="29" spans="1:10" ht="21" customHeight="1" x14ac:dyDescent="0.15">
      <c r="A29" s="116">
        <v>13400827</v>
      </c>
      <c r="B29" s="121">
        <v>0</v>
      </c>
      <c r="C29" s="121">
        <v>50</v>
      </c>
      <c r="D29" s="121">
        <v>100</v>
      </c>
      <c r="E29" s="121" t="s">
        <v>88</v>
      </c>
      <c r="F29" s="121" t="s">
        <v>318</v>
      </c>
      <c r="G29" s="121">
        <v>1</v>
      </c>
      <c r="H29" s="121">
        <v>1</v>
      </c>
      <c r="I29" s="121" t="s">
        <v>319</v>
      </c>
      <c r="J29" s="46">
        <f t="shared" si="4"/>
        <v>100</v>
      </c>
    </row>
    <row r="30" spans="1:10" ht="21" customHeight="1" x14ac:dyDescent="0.15">
      <c r="A30" s="116">
        <v>13400828</v>
      </c>
      <c r="B30" s="121">
        <v>0</v>
      </c>
      <c r="C30" s="121">
        <v>60</v>
      </c>
      <c r="D30" s="121">
        <v>100</v>
      </c>
      <c r="E30" s="121" t="s">
        <v>88</v>
      </c>
      <c r="F30" s="121" t="s">
        <v>318</v>
      </c>
      <c r="G30" s="121">
        <v>1</v>
      </c>
      <c r="H30" s="121">
        <v>3</v>
      </c>
      <c r="I30" s="121" t="s">
        <v>319</v>
      </c>
      <c r="J30" s="46">
        <f t="shared" si="4"/>
        <v>100</v>
      </c>
    </row>
    <row r="31" spans="1:10" ht="21" customHeight="1" x14ac:dyDescent="0.15">
      <c r="A31" s="116">
        <v>13400829</v>
      </c>
      <c r="B31" s="121">
        <v>0</v>
      </c>
      <c r="C31" s="121">
        <v>70</v>
      </c>
      <c r="D31" s="121">
        <v>100</v>
      </c>
      <c r="E31" s="121" t="s">
        <v>88</v>
      </c>
      <c r="F31" s="121" t="s">
        <v>318</v>
      </c>
      <c r="G31" s="121">
        <v>1</v>
      </c>
      <c r="H31" s="121">
        <v>7</v>
      </c>
      <c r="I31" s="121" t="s">
        <v>319</v>
      </c>
      <c r="J31" s="46">
        <f t="shared" si="4"/>
        <v>100</v>
      </c>
    </row>
    <row r="32" spans="1:10" ht="21" customHeight="1" x14ac:dyDescent="0.15">
      <c r="A32" s="116">
        <v>13400830</v>
      </c>
      <c r="B32" s="121">
        <v>0</v>
      </c>
      <c r="C32" s="121">
        <v>40</v>
      </c>
      <c r="D32" s="121">
        <v>100</v>
      </c>
      <c r="E32" s="121">
        <v>80</v>
      </c>
      <c r="F32" s="121" t="s">
        <v>315</v>
      </c>
      <c r="G32" s="121">
        <v>1</v>
      </c>
      <c r="H32" s="121">
        <v>1</v>
      </c>
      <c r="I32" s="121" t="s">
        <v>88</v>
      </c>
      <c r="J32" s="46">
        <f t="shared" si="4"/>
        <v>100</v>
      </c>
    </row>
    <row r="33" spans="1:10" ht="21" customHeight="1" x14ac:dyDescent="0.15">
      <c r="A33" s="116">
        <v>13400831</v>
      </c>
      <c r="B33" s="121">
        <v>0</v>
      </c>
      <c r="C33" s="121">
        <v>10</v>
      </c>
      <c r="D33" s="121">
        <v>100</v>
      </c>
      <c r="E33" s="121" t="s">
        <v>321</v>
      </c>
      <c r="F33" s="121" t="s">
        <v>88</v>
      </c>
      <c r="G33" s="121" t="s">
        <v>322</v>
      </c>
      <c r="H33" s="121">
        <v>1</v>
      </c>
      <c r="I33" s="121" t="s">
        <v>315</v>
      </c>
      <c r="J33" s="46">
        <f t="shared" si="4"/>
        <v>100</v>
      </c>
    </row>
    <row r="34" spans="1:10" ht="21" customHeight="1" x14ac:dyDescent="0.15">
      <c r="A34" s="116">
        <v>13400832</v>
      </c>
      <c r="B34" s="121">
        <v>0</v>
      </c>
      <c r="C34" s="121">
        <v>30</v>
      </c>
      <c r="D34" s="121">
        <v>50</v>
      </c>
      <c r="E34" s="121" t="s">
        <v>315</v>
      </c>
      <c r="F34" s="121" t="s">
        <v>88</v>
      </c>
      <c r="G34" s="121" t="s">
        <v>320</v>
      </c>
      <c r="H34" s="121">
        <v>2</v>
      </c>
      <c r="I34" s="121" t="s">
        <v>88</v>
      </c>
      <c r="J34" s="46">
        <f t="shared" ref="J34:J41" si="6">D34</f>
        <v>50</v>
      </c>
    </row>
    <row r="35" spans="1:10" ht="21" customHeight="1" x14ac:dyDescent="0.15">
      <c r="A35" s="116">
        <v>13400833</v>
      </c>
      <c r="B35" s="121">
        <v>0</v>
      </c>
      <c r="C35" s="121">
        <v>20</v>
      </c>
      <c r="D35" s="121">
        <v>100</v>
      </c>
      <c r="E35" s="121" t="s">
        <v>315</v>
      </c>
      <c r="F35" s="121" t="s">
        <v>88</v>
      </c>
      <c r="G35" s="121" t="s">
        <v>320</v>
      </c>
      <c r="H35" s="121">
        <v>2</v>
      </c>
      <c r="I35" s="121" t="s">
        <v>88</v>
      </c>
      <c r="J35" s="46">
        <f t="shared" si="6"/>
        <v>100</v>
      </c>
    </row>
    <row r="36" spans="1:10" ht="21" customHeight="1" x14ac:dyDescent="0.15">
      <c r="A36" s="117">
        <v>13400834</v>
      </c>
      <c r="B36" s="121">
        <v>1</v>
      </c>
      <c r="C36" s="121">
        <v>0</v>
      </c>
      <c r="D36" s="121">
        <v>100</v>
      </c>
      <c r="E36" s="121" t="s">
        <v>88</v>
      </c>
      <c r="F36" s="121" t="s">
        <v>88</v>
      </c>
      <c r="G36" s="121">
        <v>1</v>
      </c>
      <c r="H36" s="121">
        <v>1</v>
      </c>
      <c r="I36" s="121" t="s">
        <v>315</v>
      </c>
      <c r="J36" s="46">
        <f t="shared" si="6"/>
        <v>100</v>
      </c>
    </row>
    <row r="37" spans="1:10" ht="21" customHeight="1" x14ac:dyDescent="0.15">
      <c r="A37" s="117">
        <v>13400835</v>
      </c>
      <c r="B37" s="121">
        <v>0</v>
      </c>
      <c r="C37" s="121">
        <v>100</v>
      </c>
      <c r="D37" s="121">
        <v>100</v>
      </c>
      <c r="E37" s="121">
        <v>95</v>
      </c>
      <c r="F37" s="121" t="s">
        <v>318</v>
      </c>
      <c r="G37" s="121">
        <v>1</v>
      </c>
      <c r="H37" s="121">
        <v>1</v>
      </c>
      <c r="I37" s="121" t="s">
        <v>319</v>
      </c>
      <c r="J37" s="46">
        <f t="shared" si="6"/>
        <v>100</v>
      </c>
    </row>
    <row r="38" spans="1:10" ht="21" customHeight="1" x14ac:dyDescent="0.15">
      <c r="A38" s="117">
        <v>13400836</v>
      </c>
      <c r="B38" s="121">
        <v>0</v>
      </c>
      <c r="C38" s="121">
        <v>40</v>
      </c>
      <c r="D38" s="121">
        <v>100</v>
      </c>
      <c r="E38" s="121" t="s">
        <v>88</v>
      </c>
      <c r="F38" s="121" t="s">
        <v>88</v>
      </c>
      <c r="G38" s="121">
        <v>1</v>
      </c>
      <c r="H38" s="121">
        <v>1</v>
      </c>
      <c r="I38" s="121" t="s">
        <v>314</v>
      </c>
      <c r="J38" s="46">
        <f t="shared" si="6"/>
        <v>100</v>
      </c>
    </row>
    <row r="39" spans="1:10" ht="21" customHeight="1" x14ac:dyDescent="0.15">
      <c r="A39" s="117">
        <v>13400837</v>
      </c>
      <c r="B39" s="121">
        <v>0</v>
      </c>
      <c r="C39" s="121">
        <v>30</v>
      </c>
      <c r="D39" s="121">
        <v>100</v>
      </c>
      <c r="E39" s="121" t="s">
        <v>88</v>
      </c>
      <c r="F39" s="121" t="s">
        <v>88</v>
      </c>
      <c r="G39" s="121">
        <v>1</v>
      </c>
      <c r="H39" s="121">
        <v>1</v>
      </c>
      <c r="I39" s="121" t="s">
        <v>314</v>
      </c>
      <c r="J39" s="46">
        <f t="shared" si="6"/>
        <v>100</v>
      </c>
    </row>
    <row r="40" spans="1:10" ht="21" customHeight="1" x14ac:dyDescent="0.15">
      <c r="A40" s="117">
        <v>13400838</v>
      </c>
      <c r="B40" s="121">
        <v>0</v>
      </c>
      <c r="C40" s="121">
        <v>20</v>
      </c>
      <c r="D40" s="121">
        <v>100</v>
      </c>
      <c r="E40" s="121" t="s">
        <v>88</v>
      </c>
      <c r="F40" s="121" t="s">
        <v>88</v>
      </c>
      <c r="G40" s="121">
        <v>1</v>
      </c>
      <c r="H40" s="121">
        <v>1</v>
      </c>
      <c r="I40" s="121" t="s">
        <v>314</v>
      </c>
      <c r="J40" s="46">
        <f t="shared" si="6"/>
        <v>100</v>
      </c>
    </row>
    <row r="41" spans="1:10" ht="21" customHeight="1" x14ac:dyDescent="0.15">
      <c r="A41" s="117">
        <v>13400839</v>
      </c>
      <c r="B41" s="121">
        <v>0</v>
      </c>
      <c r="C41" s="121">
        <v>10</v>
      </c>
      <c r="D41" s="121">
        <v>100</v>
      </c>
      <c r="E41" s="121" t="s">
        <v>88</v>
      </c>
      <c r="F41" s="121" t="s">
        <v>88</v>
      </c>
      <c r="G41" s="121">
        <v>1</v>
      </c>
      <c r="H41" s="121">
        <v>1</v>
      </c>
      <c r="I41" s="121" t="s">
        <v>314</v>
      </c>
      <c r="J41" s="46">
        <f t="shared" si="6"/>
        <v>100</v>
      </c>
    </row>
    <row r="42" spans="1:10" ht="21" customHeight="1" x14ac:dyDescent="0.15">
      <c r="A42" s="117">
        <v>13400840</v>
      </c>
      <c r="B42" s="121">
        <v>0</v>
      </c>
      <c r="C42" s="121">
        <v>50</v>
      </c>
      <c r="D42" s="121">
        <v>100</v>
      </c>
      <c r="E42" s="121" t="s">
        <v>88</v>
      </c>
      <c r="F42" s="121" t="s">
        <v>318</v>
      </c>
      <c r="G42" s="121">
        <v>1</v>
      </c>
      <c r="H42" s="121">
        <v>5</v>
      </c>
      <c r="I42" s="121" t="s">
        <v>319</v>
      </c>
      <c r="J42" s="46">
        <f t="shared" ref="J42:J43" si="7">D42</f>
        <v>100</v>
      </c>
    </row>
    <row r="43" spans="1:10" ht="21" customHeight="1" x14ac:dyDescent="0.15">
      <c r="A43" s="117">
        <v>13400841</v>
      </c>
      <c r="B43" s="121">
        <v>0</v>
      </c>
      <c r="C43" s="121">
        <v>100</v>
      </c>
      <c r="D43" s="121">
        <v>100</v>
      </c>
      <c r="E43" s="121" t="s">
        <v>255</v>
      </c>
      <c r="F43" s="121" t="s">
        <v>255</v>
      </c>
      <c r="G43" s="121">
        <v>0</v>
      </c>
      <c r="H43" s="121">
        <v>1</v>
      </c>
      <c r="I43" s="121">
        <v>0</v>
      </c>
      <c r="J43" s="46">
        <f t="shared" si="7"/>
        <v>100</v>
      </c>
    </row>
  </sheetData>
  <autoFilter ref="A1:G1"/>
  <phoneticPr fontId="5"/>
  <conditionalFormatting sqref="K44:K1048576 K1:K2">
    <cfRule type="duplicateValues" dxfId="41" priority="42"/>
  </conditionalFormatting>
  <conditionalFormatting sqref="K3">
    <cfRule type="duplicateValues" dxfId="40" priority="41"/>
  </conditionalFormatting>
  <conditionalFormatting sqref="K4">
    <cfRule type="duplicateValues" dxfId="39" priority="40"/>
  </conditionalFormatting>
  <conditionalFormatting sqref="K5">
    <cfRule type="duplicateValues" dxfId="38" priority="39"/>
  </conditionalFormatting>
  <conditionalFormatting sqref="K6">
    <cfRule type="duplicateValues" dxfId="37" priority="38"/>
  </conditionalFormatting>
  <conditionalFormatting sqref="K7">
    <cfRule type="duplicateValues" dxfId="36" priority="37"/>
  </conditionalFormatting>
  <conditionalFormatting sqref="K8">
    <cfRule type="duplicateValues" dxfId="35" priority="36"/>
  </conditionalFormatting>
  <conditionalFormatting sqref="K9">
    <cfRule type="duplicateValues" dxfId="34" priority="35"/>
  </conditionalFormatting>
  <conditionalFormatting sqref="K10">
    <cfRule type="duplicateValues" dxfId="33" priority="34"/>
  </conditionalFormatting>
  <conditionalFormatting sqref="K11">
    <cfRule type="duplicateValues" dxfId="32" priority="33"/>
  </conditionalFormatting>
  <conditionalFormatting sqref="K12">
    <cfRule type="duplicateValues" dxfId="31" priority="32"/>
  </conditionalFormatting>
  <conditionalFormatting sqref="K13">
    <cfRule type="duplicateValues" dxfId="30" priority="31"/>
  </conditionalFormatting>
  <conditionalFormatting sqref="K14">
    <cfRule type="duplicateValues" dxfId="29" priority="30"/>
  </conditionalFormatting>
  <conditionalFormatting sqref="K15">
    <cfRule type="duplicateValues" dxfId="28" priority="29"/>
  </conditionalFormatting>
  <conditionalFormatting sqref="K16">
    <cfRule type="duplicateValues" dxfId="27" priority="28"/>
  </conditionalFormatting>
  <conditionalFormatting sqref="K17">
    <cfRule type="duplicateValues" dxfId="26" priority="27"/>
  </conditionalFormatting>
  <conditionalFormatting sqref="K18">
    <cfRule type="duplicateValues" dxfId="25" priority="26"/>
  </conditionalFormatting>
  <conditionalFormatting sqref="K19">
    <cfRule type="duplicateValues" dxfId="24" priority="25"/>
  </conditionalFormatting>
  <conditionalFormatting sqref="K20">
    <cfRule type="duplicateValues" dxfId="23" priority="24"/>
  </conditionalFormatting>
  <conditionalFormatting sqref="K22">
    <cfRule type="duplicateValues" dxfId="22" priority="23"/>
  </conditionalFormatting>
  <conditionalFormatting sqref="K23">
    <cfRule type="duplicateValues" dxfId="21" priority="22"/>
  </conditionalFormatting>
  <conditionalFormatting sqref="K24">
    <cfRule type="duplicateValues" dxfId="20" priority="21"/>
  </conditionalFormatting>
  <conditionalFormatting sqref="K25">
    <cfRule type="duplicateValues" dxfId="19" priority="20"/>
  </conditionalFormatting>
  <conditionalFormatting sqref="K26">
    <cfRule type="duplicateValues" dxfId="18" priority="19"/>
  </conditionalFormatting>
  <conditionalFormatting sqref="K27">
    <cfRule type="duplicateValues" dxfId="17" priority="18"/>
  </conditionalFormatting>
  <conditionalFormatting sqref="K28">
    <cfRule type="duplicateValues" dxfId="16" priority="17"/>
  </conditionalFormatting>
  <conditionalFormatting sqref="K29">
    <cfRule type="duplicateValues" dxfId="15" priority="16"/>
  </conditionalFormatting>
  <conditionalFormatting sqref="K30">
    <cfRule type="duplicateValues" dxfId="14" priority="15"/>
  </conditionalFormatting>
  <conditionalFormatting sqref="K31">
    <cfRule type="duplicateValues" dxfId="13" priority="14"/>
  </conditionalFormatting>
  <conditionalFormatting sqref="K32">
    <cfRule type="duplicateValues" dxfId="12" priority="13"/>
  </conditionalFormatting>
  <conditionalFormatting sqref="K33">
    <cfRule type="duplicateValues" dxfId="11" priority="12"/>
  </conditionalFormatting>
  <conditionalFormatting sqref="K34">
    <cfRule type="duplicateValues" dxfId="10" priority="11"/>
  </conditionalFormatting>
  <conditionalFormatting sqref="K35">
    <cfRule type="duplicateValues" dxfId="9" priority="10"/>
  </conditionalFormatting>
  <conditionalFormatting sqref="K36">
    <cfRule type="duplicateValues" dxfId="8" priority="9"/>
  </conditionalFormatting>
  <conditionalFormatting sqref="K37">
    <cfRule type="duplicateValues" dxfId="7" priority="8"/>
  </conditionalFormatting>
  <conditionalFormatting sqref="K38">
    <cfRule type="duplicateValues" dxfId="6" priority="7"/>
  </conditionalFormatting>
  <conditionalFormatting sqref="K39">
    <cfRule type="duplicateValues" dxfId="5" priority="6"/>
  </conditionalFormatting>
  <conditionalFormatting sqref="K40">
    <cfRule type="duplicateValues" dxfId="4" priority="5"/>
  </conditionalFormatting>
  <conditionalFormatting sqref="K41">
    <cfRule type="duplicateValues" dxfId="3" priority="4"/>
  </conditionalFormatting>
  <conditionalFormatting sqref="K42">
    <cfRule type="duplicateValues" dxfId="2" priority="3"/>
  </conditionalFormatting>
  <conditionalFormatting sqref="K21">
    <cfRule type="duplicateValues" dxfId="1" priority="2"/>
  </conditionalFormatting>
  <conditionalFormatting sqref="K4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0"/>
  <sheetViews>
    <sheetView workbookViewId="0">
      <selection activeCell="F16" sqref="F1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69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55">
        <v>13400</v>
      </c>
      <c r="B2" s="55">
        <v>14</v>
      </c>
      <c r="C2" s="68" t="str">
        <f t="shared" ref="C2:C10" si="0">A2&amp; "_"&amp;B2</f>
        <v>13400_14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342</v>
      </c>
      <c r="G2" s="55">
        <v>121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10</v>
      </c>
      <c r="Q2" s="55" t="s">
        <v>167</v>
      </c>
      <c r="R2" s="55" t="s">
        <v>168</v>
      </c>
    </row>
    <row r="3" spans="1:18" x14ac:dyDescent="0.15">
      <c r="A3" s="55">
        <v>13400</v>
      </c>
      <c r="B3" s="55">
        <v>14</v>
      </c>
      <c r="C3" s="68" t="str">
        <f t="shared" si="0"/>
        <v>13400_14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342</v>
      </c>
      <c r="G3" s="55">
        <v>607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100</v>
      </c>
      <c r="Q3" s="55" t="s">
        <v>167</v>
      </c>
      <c r="R3" s="55" t="s">
        <v>168</v>
      </c>
    </row>
    <row r="4" spans="1:18" x14ac:dyDescent="0.15">
      <c r="A4" s="55">
        <v>13400</v>
      </c>
      <c r="B4" s="55">
        <v>14</v>
      </c>
      <c r="C4" s="68" t="str">
        <f t="shared" si="0"/>
        <v>13400_14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342</v>
      </c>
      <c r="G4" s="55">
        <v>611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100</v>
      </c>
      <c r="Q4" s="55" t="s">
        <v>167</v>
      </c>
      <c r="R4" s="55" t="s">
        <v>168</v>
      </c>
    </row>
    <row r="5" spans="1:18" x14ac:dyDescent="0.15">
      <c r="A5" s="55">
        <v>13400</v>
      </c>
      <c r="B5" s="55">
        <v>14</v>
      </c>
      <c r="C5" s="68" t="str">
        <f t="shared" si="0"/>
        <v>13400_14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342</v>
      </c>
      <c r="G5" s="55">
        <v>125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40</v>
      </c>
      <c r="Q5" s="55" t="s">
        <v>167</v>
      </c>
      <c r="R5" s="55" t="s">
        <v>168</v>
      </c>
    </row>
    <row r="6" spans="1:18" x14ac:dyDescent="0.15">
      <c r="A6" s="55">
        <v>13400</v>
      </c>
      <c r="B6" s="55">
        <v>14</v>
      </c>
      <c r="C6" s="68" t="str">
        <f t="shared" si="0"/>
        <v>13400_14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342</v>
      </c>
      <c r="G6" s="55">
        <v>610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40</v>
      </c>
      <c r="Q6" s="55" t="s">
        <v>167</v>
      </c>
      <c r="R6" s="55" t="s">
        <v>168</v>
      </c>
    </row>
    <row r="7" spans="1:18" x14ac:dyDescent="0.15">
      <c r="A7" s="55">
        <v>13400</v>
      </c>
      <c r="B7" s="55">
        <v>14</v>
      </c>
      <c r="C7" s="68" t="str">
        <f t="shared" si="0"/>
        <v>13400_14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5">
        <v>6</v>
      </c>
      <c r="F7" s="55" t="s">
        <v>342</v>
      </c>
      <c r="G7" s="55">
        <v>334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10</v>
      </c>
      <c r="Q7" s="55" t="s">
        <v>167</v>
      </c>
      <c r="R7" s="55" t="s">
        <v>168</v>
      </c>
    </row>
    <row r="8" spans="1:18" x14ac:dyDescent="0.15">
      <c r="A8" s="55">
        <v>13400</v>
      </c>
      <c r="B8" s="55">
        <v>14</v>
      </c>
      <c r="C8" s="68" t="str">
        <f t="shared" si="0"/>
        <v>13400_14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5">
        <v>7</v>
      </c>
      <c r="F8" s="55" t="s">
        <v>342</v>
      </c>
      <c r="G8" s="55">
        <v>335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190</v>
      </c>
      <c r="Q8" s="55" t="s">
        <v>167</v>
      </c>
      <c r="R8" s="55" t="s">
        <v>168</v>
      </c>
    </row>
    <row r="9" spans="1:18" x14ac:dyDescent="0.15">
      <c r="A9" s="55">
        <v>13400</v>
      </c>
      <c r="B9" s="55">
        <v>14</v>
      </c>
      <c r="C9" s="68" t="str">
        <f t="shared" si="0"/>
        <v>13400_14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5">
        <v>8</v>
      </c>
      <c r="F9" s="55" t="s">
        <v>343</v>
      </c>
      <c r="G9" s="55">
        <v>500</v>
      </c>
      <c r="H9" s="55" t="s">
        <v>344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55">
        <v>450</v>
      </c>
      <c r="Q9" s="55" t="s">
        <v>167</v>
      </c>
      <c r="R9" s="55" t="s">
        <v>168</v>
      </c>
    </row>
    <row r="10" spans="1:18" x14ac:dyDescent="0.15">
      <c r="A10" s="55">
        <v>13400</v>
      </c>
      <c r="B10" s="55">
        <v>14</v>
      </c>
      <c r="C10" s="68" t="str">
        <f t="shared" si="0"/>
        <v>13400_14</v>
      </c>
      <c r="D10" s="11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55">
        <v>9</v>
      </c>
      <c r="F10" s="55" t="s">
        <v>342</v>
      </c>
      <c r="G10" s="55">
        <v>837</v>
      </c>
      <c r="H10" s="55">
        <v>1</v>
      </c>
      <c r="I10" s="55">
        <v>1</v>
      </c>
      <c r="J10" s="55">
        <v>1</v>
      </c>
      <c r="K10" s="55">
        <v>0</v>
      </c>
      <c r="L10" s="55">
        <v>0</v>
      </c>
      <c r="M10" s="55">
        <v>0</v>
      </c>
      <c r="N10" s="55">
        <v>0</v>
      </c>
      <c r="O10" s="55">
        <v>1</v>
      </c>
      <c r="P10" s="55">
        <v>60</v>
      </c>
      <c r="Q10" s="55" t="s">
        <v>167</v>
      </c>
      <c r="R10" s="55" t="s">
        <v>168</v>
      </c>
    </row>
  </sheetData>
  <phoneticPr fontId="5"/>
  <dataValidations disablePrompts="1" count="1">
    <dataValidation type="list" allowBlank="1" showInputMessage="1" showErrorMessage="1" sqref="F2:F10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zoomScale="90" zoomScaleNormal="90" zoomScalePageLayoutView="90" workbookViewId="0">
      <pane ySplit="1" topLeftCell="A2" activePane="bottomLeft" state="frozen"/>
      <selection pane="bottomLeft" activeCell="B2" sqref="B2:B134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186</v>
      </c>
      <c r="B1" s="70" t="s">
        <v>187</v>
      </c>
      <c r="C1" s="74" t="s">
        <v>188</v>
      </c>
      <c r="D1" s="74" t="s">
        <v>33</v>
      </c>
      <c r="E1" s="70" t="s">
        <v>189</v>
      </c>
      <c r="F1" s="74" t="s">
        <v>190</v>
      </c>
      <c r="G1" s="74" t="s">
        <v>33</v>
      </c>
      <c r="H1" s="70" t="s">
        <v>191</v>
      </c>
      <c r="I1" s="88" t="s">
        <v>193</v>
      </c>
      <c r="J1" s="76" t="s">
        <v>125</v>
      </c>
      <c r="K1" s="75" t="s">
        <v>184</v>
      </c>
      <c r="L1" s="89" t="s">
        <v>183</v>
      </c>
      <c r="M1" s="77" t="s">
        <v>194</v>
      </c>
    </row>
    <row r="2" spans="1:13" x14ac:dyDescent="0.15">
      <c r="A2" s="78" t="s">
        <v>198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4" t="s">
        <v>211</v>
      </c>
      <c r="F2" s="80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0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2">
        <v>0</v>
      </c>
      <c r="I2">
        <v>1</v>
      </c>
      <c r="J2" s="81" t="s">
        <v>196</v>
      </c>
      <c r="K2" s="90" t="str">
        <f>VLOOKUP(I2,[8]stage_hints!$A:$C,3,FALSE)</f>
        <v>長くつなげて大ダメージ</v>
      </c>
      <c r="L2" s="91" t="str">
        <f>VLOOKUP(I2,[8]stage_hints!$A:$D,4,FALSE)</f>
        <v>パネルを長くつなげるほど_x000D_大ダメージを与えることができます</v>
      </c>
      <c r="M2" s="55" t="s">
        <v>208</v>
      </c>
    </row>
    <row r="3" spans="1:13" x14ac:dyDescent="0.15">
      <c r="A3" s="78" t="s">
        <v>198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4" t="s">
        <v>211</v>
      </c>
      <c r="F3" s="80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0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2">
        <v>0</v>
      </c>
      <c r="I3">
        <v>2</v>
      </c>
      <c r="J3" s="81" t="s">
        <v>196</v>
      </c>
      <c r="K3" s="90" t="str">
        <f>VLOOKUP(I3,[8]stage_hints!$A:$C,3,FALSE)</f>
        <v>属性の相性</v>
      </c>
      <c r="L3" s="91" t="str">
        <f>VLOOKUP(I3,[8]stage_hints!$A:$D,4,FALSE)</f>
        <v>赤＞青　青＞黄　黄＞緑　緑＞赤_x000D_敵属性に最適なパーティがオススメです</v>
      </c>
      <c r="M3" s="55" t="s">
        <v>208</v>
      </c>
    </row>
    <row r="4" spans="1:13" x14ac:dyDescent="0.15">
      <c r="A4" s="78" t="s">
        <v>198</v>
      </c>
      <c r="B4" s="79">
        <v>13400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4" t="s">
        <v>211</v>
      </c>
      <c r="F4" s="80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0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2">
        <v>0</v>
      </c>
      <c r="I4">
        <v>3</v>
      </c>
      <c r="J4" s="81" t="s">
        <v>196</v>
      </c>
      <c r="K4" s="90" t="str">
        <f>VLOOKUP(I4,[8]stage_hints!$A:$C,3,FALSE)</f>
        <v>ターゲット</v>
      </c>
      <c r="L4" s="91" t="str">
        <f>VLOOKUP(I4,[8]stage_hints!$A:$D,4,FALSE)</f>
        <v>敵ユニットをタップすると_x000D_その敵を狙い撃ちできます</v>
      </c>
      <c r="M4" s="55" t="s">
        <v>208</v>
      </c>
    </row>
    <row r="5" spans="1:13" x14ac:dyDescent="0.15">
      <c r="A5" s="78" t="s">
        <v>198</v>
      </c>
      <c r="B5" s="79">
        <v>13400</v>
      </c>
      <c r="C5" s="80" t="str">
        <f ca="1">VLOOKUP($B5,OFFSET([2]quests!$A$1,0,0,COUNTA([2]quests!$A:$A),MATCH(C$1,[2]quests!$1:$1,0)-MATCH($B$1,[2]quests!$1:$1,0)+1),MATCH(C$1,[2]quests!$1:$1,0)-MATCH($B$1,[2]quests!$1:$1,0)+1,FALSE)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" s="80" t="str">
        <f ca="1">VLOOKUP($B5,OFFSET([2]quests!$A$1,0,0,COUNTA([2]quests!$A:$A),MATCH(D$1,[2]quests!$1:$1,0)-MATCH($B$1,[2]quests!$1:$1,0)+1),MATCH(D$1,[2]quests!$1:$1,0)-MATCH($B$1,[2]quests!$1:$1,0)+1,FALSE)</f>
        <v>タワーオブザクイーン2本目</v>
      </c>
      <c r="E5" s="84" t="s">
        <v>211</v>
      </c>
      <c r="F5" s="80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0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2">
        <v>0</v>
      </c>
      <c r="I5">
        <v>5</v>
      </c>
      <c r="J5" s="81" t="s">
        <v>196</v>
      </c>
      <c r="K5" s="90" t="str">
        <f>VLOOKUP(I5,[8]stage_hints!$A:$C,3,FALSE)</f>
        <v>ユニット強化でレベルアップ</v>
      </c>
      <c r="L5" s="91" t="str">
        <f>VLOOKUP(I5,[8]stage_hints!$A:$D,4,FALSE)</f>
        <v>「ユニット強化」でレベルアップすると_x000D_勝てない敵にも勝てるようになります</v>
      </c>
      <c r="M5" s="55" t="s">
        <v>208</v>
      </c>
    </row>
    <row r="6" spans="1:13" x14ac:dyDescent="0.15">
      <c r="A6" s="78" t="s">
        <v>198</v>
      </c>
      <c r="B6" s="79">
        <v>13400</v>
      </c>
      <c r="C6" s="80" t="str">
        <f ca="1">VLOOKUP($B6,OFFSET([2]quests!$A$1,0,0,COUNTA([2]quests!$A:$A),MATCH(C$1,[2]quests!$1:$1,0)-MATCH($B$1,[2]quests!$1:$1,0)+1),MATCH(C$1,[2]quests!$1:$1,0)-MATCH($B$1,[2]quests!$1:$1,0)+1,FALSE)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" s="80" t="str">
        <f ca="1">VLOOKUP($B6,OFFSET([2]quests!$A$1,0,0,COUNTA([2]quests!$A:$A),MATCH(D$1,[2]quests!$1:$1,0)-MATCH($B$1,[2]quests!$1:$1,0)+1),MATCH(D$1,[2]quests!$1:$1,0)-MATCH($B$1,[2]quests!$1:$1,0)+1,FALSE)</f>
        <v>タワーオブザクイーン2本目</v>
      </c>
      <c r="E6" s="84" t="s">
        <v>211</v>
      </c>
      <c r="F6" s="80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0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2">
        <v>0</v>
      </c>
      <c r="I6">
        <v>6</v>
      </c>
      <c r="J6" s="81" t="s">
        <v>196</v>
      </c>
      <c r="K6" s="90" t="str">
        <f>VLOOKUP(I6,[8]stage_hints!$A:$C,3,FALSE)</f>
        <v>ユニット強化の属性ボーナス</v>
      </c>
      <c r="L6" s="91" t="str">
        <f>VLOOKUP(I6,[8]stage_hints!$A:$D,4,FALSE)</f>
        <v>同属性ユニットを強化素材にすると_x000D_経験値が多くもらえます</v>
      </c>
      <c r="M6" s="55" t="s">
        <v>208</v>
      </c>
    </row>
    <row r="7" spans="1:13" x14ac:dyDescent="0.15">
      <c r="A7" s="78" t="s">
        <v>198</v>
      </c>
      <c r="B7" s="79">
        <v>13400</v>
      </c>
      <c r="C7" s="80" t="str">
        <f ca="1">VLOOKUP($B7,OFFSET([2]quests!$A$1,0,0,COUNTA([2]quests!$A:$A),MATCH(C$1,[2]quests!$1:$1,0)-MATCH($B$1,[2]quests!$1:$1,0)+1),MATCH(C$1,[2]quests!$1:$1,0)-MATCH($B$1,[2]quests!$1:$1,0)+1,FALSE)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" s="80" t="str">
        <f ca="1">VLOOKUP($B7,OFFSET([2]quests!$A$1,0,0,COUNTA([2]quests!$A:$A),MATCH(D$1,[2]quests!$1:$1,0)-MATCH($B$1,[2]quests!$1:$1,0)+1),MATCH(D$1,[2]quests!$1:$1,0)-MATCH($B$1,[2]quests!$1:$1,0)+1,FALSE)</f>
        <v>タワーオブザクイーン2本目</v>
      </c>
      <c r="E7" s="84" t="s">
        <v>211</v>
      </c>
      <c r="F7" s="80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0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2">
        <v>0</v>
      </c>
      <c r="I7">
        <v>7</v>
      </c>
      <c r="J7" s="81" t="s">
        <v>196</v>
      </c>
      <c r="K7" s="90" t="str">
        <f>VLOOKUP(I7,[8]stage_hints!$A:$C,3,FALSE)</f>
        <v>メタルダックで経験値を獲得</v>
      </c>
      <c r="L7" s="91" t="str">
        <f>VLOOKUP(I7,[8]stage_hints!$A:$D,4,FALSE)</f>
        <v>「メタルなアヒル」を強化素材にすると_x000D_大量の経験値がもらえます</v>
      </c>
      <c r="M7" s="55" t="s">
        <v>208</v>
      </c>
    </row>
    <row r="8" spans="1:13" x14ac:dyDescent="0.15">
      <c r="A8" s="78" t="s">
        <v>198</v>
      </c>
      <c r="B8" s="79">
        <v>13400</v>
      </c>
      <c r="C8" s="80" t="str">
        <f ca="1">VLOOKUP($B8,OFFSET([2]quests!$A$1,0,0,COUNTA([2]quests!$A:$A),MATCH(C$1,[2]quests!$1:$1,0)-MATCH($B$1,[2]quests!$1:$1,0)+1),MATCH(C$1,[2]quests!$1:$1,0)-MATCH($B$1,[2]quests!$1:$1,0)+1,FALSE)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" s="80" t="str">
        <f ca="1">VLOOKUP($B8,OFFSET([2]quests!$A$1,0,0,COUNTA([2]quests!$A:$A),MATCH(D$1,[2]quests!$1:$1,0)-MATCH($B$1,[2]quests!$1:$1,0)+1),MATCH(D$1,[2]quests!$1:$1,0)-MATCH($B$1,[2]quests!$1:$1,0)+1,FALSE)</f>
        <v>タワーオブザクイーン2本目</v>
      </c>
      <c r="E8" s="84" t="s">
        <v>211</v>
      </c>
      <c r="F8" s="80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0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2">
        <v>0</v>
      </c>
      <c r="I8">
        <v>8</v>
      </c>
      <c r="J8" s="81" t="s">
        <v>196</v>
      </c>
      <c r="K8" s="90" t="str">
        <f>VLOOKUP(I8,[8]stage_hints!$A:$C,3,FALSE)</f>
        <v>ゲリラクエストは要チェック</v>
      </c>
      <c r="L8" s="91" t="str">
        <f>VLOOKUP(I8,[8]stage_hints!$A:$D,4,FALSE)</f>
        <v>時間限定の「アヒル捕獲作戦」では_x000D_経験値素材ユニットが多く手に入ります</v>
      </c>
      <c r="M8" s="55" t="s">
        <v>208</v>
      </c>
    </row>
    <row r="9" spans="1:13" x14ac:dyDescent="0.15">
      <c r="A9" s="78" t="s">
        <v>198</v>
      </c>
      <c r="B9" s="79">
        <v>13400</v>
      </c>
      <c r="C9" s="80" t="str">
        <f ca="1">VLOOKUP($B9,OFFSET([2]quests!$A$1,0,0,COUNTA([2]quests!$A:$A),MATCH(C$1,[2]quests!$1:$1,0)-MATCH($B$1,[2]quests!$1:$1,0)+1),MATCH(C$1,[2]quests!$1:$1,0)-MATCH($B$1,[2]quests!$1:$1,0)+1,FALSE)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" s="80" t="str">
        <f ca="1">VLOOKUP($B9,OFFSET([2]quests!$A$1,0,0,COUNTA([2]quests!$A:$A),MATCH(D$1,[2]quests!$1:$1,0)-MATCH($B$1,[2]quests!$1:$1,0)+1),MATCH(D$1,[2]quests!$1:$1,0)-MATCH($B$1,[2]quests!$1:$1,0)+1,FALSE)</f>
        <v>タワーオブザクイーン2本目</v>
      </c>
      <c r="E9" s="84" t="s">
        <v>211</v>
      </c>
      <c r="F9" s="80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0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2">
        <v>0</v>
      </c>
      <c r="I9">
        <v>9</v>
      </c>
      <c r="J9" s="81" t="s">
        <v>196</v>
      </c>
      <c r="K9" s="90" t="str">
        <f>VLOOKUP(I9,[8]stage_hints!$A:$C,3,FALSE)</f>
        <v>ゴールドダックでビットを獲得</v>
      </c>
      <c r="L9" s="91" t="str">
        <f>VLOOKUP(I9,[8]stage_hints!$A:$D,4,FALSE)</f>
        <v>「ゴールドなアヒル」を売却すると_x000D_大量のビットがもらえます</v>
      </c>
      <c r="M9" s="55" t="s">
        <v>208</v>
      </c>
    </row>
    <row r="10" spans="1:13" x14ac:dyDescent="0.15">
      <c r="A10" s="78" t="s">
        <v>198</v>
      </c>
      <c r="B10" s="79">
        <v>13400</v>
      </c>
      <c r="C10" s="80" t="str">
        <f ca="1">VLOOKUP($B10,OFFSET([2]quests!$A$1,0,0,COUNTA([2]quests!$A:$A),MATCH(C$1,[2]quests!$1:$1,0)-MATCH($B$1,[2]quests!$1:$1,0)+1),MATCH(C$1,[2]quests!$1:$1,0)-MATCH($B$1,[2]quests!$1:$1,0)+1,FALSE)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" s="80" t="str">
        <f ca="1">VLOOKUP($B10,OFFSET([2]quests!$A$1,0,0,COUNTA([2]quests!$A:$A),MATCH(D$1,[2]quests!$1:$1,0)-MATCH($B$1,[2]quests!$1:$1,0)+1),MATCH(D$1,[2]quests!$1:$1,0)-MATCH($B$1,[2]quests!$1:$1,0)+1,FALSE)</f>
        <v>タワーオブザクイーン2本目</v>
      </c>
      <c r="E10" s="84" t="s">
        <v>211</v>
      </c>
      <c r="F10" s="80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0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2">
        <v>0</v>
      </c>
      <c r="I10">
        <v>10</v>
      </c>
      <c r="J10" s="81" t="s">
        <v>196</v>
      </c>
      <c r="K10" s="90" t="str">
        <f>VLOOKUP(I10,[8]stage_hints!$A:$C,3,FALSE)</f>
        <v>土日に大量のビットを獲得</v>
      </c>
      <c r="L10" s="91" t="str">
        <f>VLOOKUP(I10,[8]stage_hints!$A:$D,4,FALSE)</f>
        <v>土日限定の「ゴールドカジノ」では_x000D_売却素材ユニットが多く手に入ります</v>
      </c>
      <c r="M10" s="55" t="s">
        <v>208</v>
      </c>
    </row>
    <row r="11" spans="1:13" x14ac:dyDescent="0.15">
      <c r="A11" s="78" t="s">
        <v>198</v>
      </c>
      <c r="B11" s="79">
        <v>13400</v>
      </c>
      <c r="C11" s="80" t="str">
        <f ca="1">VLOOKUP($B11,OFFSET([2]quests!$A$1,0,0,COUNTA([2]quests!$A:$A),MATCH(C$1,[2]quests!$1:$1,0)-MATCH($B$1,[2]quests!$1:$1,0)+1),MATCH(C$1,[2]quests!$1:$1,0)-MATCH($B$1,[2]quests!$1:$1,0)+1,FALSE)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" s="80" t="str">
        <f ca="1">VLOOKUP($B11,OFFSET([2]quests!$A$1,0,0,COUNTA([2]quests!$A:$A),MATCH(D$1,[2]quests!$1:$1,0)-MATCH($B$1,[2]quests!$1:$1,0)+1),MATCH(D$1,[2]quests!$1:$1,0)-MATCH($B$1,[2]quests!$1:$1,0)+1,FALSE)</f>
        <v>タワーオブザクイーン2本目</v>
      </c>
      <c r="E11" s="84" t="s">
        <v>211</v>
      </c>
      <c r="F11" s="80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0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2">
        <v>0</v>
      </c>
      <c r="I11">
        <v>11</v>
      </c>
      <c r="J11" s="81" t="s">
        <v>196</v>
      </c>
      <c r="K11" s="90" t="str">
        <f>VLOOKUP(I11,[8]stage_hints!$A:$C,3,FALSE)</f>
        <v>ゲリラクエストは要チェック</v>
      </c>
      <c r="L11" s="91" t="str">
        <f>VLOOKUP(I11,[8]stage_hints!$A:$D,4,FALSE)</f>
        <v>時間限定の「アヒル捕獲作戦」では_x000D_経験値素材ユニットが多く手に入ります</v>
      </c>
      <c r="M11" s="55" t="s">
        <v>208</v>
      </c>
    </row>
    <row r="12" spans="1:13" x14ac:dyDescent="0.15">
      <c r="A12" s="78" t="s">
        <v>198</v>
      </c>
      <c r="B12" s="79">
        <v>13400</v>
      </c>
      <c r="C12" s="80" t="str">
        <f ca="1">VLOOKUP($B12,OFFSET([2]quests!$A$1,0,0,COUNTA([2]quests!$A:$A),MATCH(C$1,[2]quests!$1:$1,0)-MATCH($B$1,[2]quests!$1:$1,0)+1),MATCH(C$1,[2]quests!$1:$1,0)-MATCH($B$1,[2]quests!$1:$1,0)+1,FALSE)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" s="80" t="str">
        <f ca="1">VLOOKUP($B12,OFFSET([2]quests!$A$1,0,0,COUNTA([2]quests!$A:$A),MATCH(D$1,[2]quests!$1:$1,0)-MATCH($B$1,[2]quests!$1:$1,0)+1),MATCH(D$1,[2]quests!$1:$1,0)-MATCH($B$1,[2]quests!$1:$1,0)+1,FALSE)</f>
        <v>タワーオブザクイーン2本目</v>
      </c>
      <c r="E12" s="84" t="s">
        <v>211</v>
      </c>
      <c r="F12" s="80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0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2">
        <v>0</v>
      </c>
      <c r="I12">
        <v>12</v>
      </c>
      <c r="J12" s="81" t="s">
        <v>196</v>
      </c>
      <c r="K12" s="90" t="str">
        <f>VLOOKUP(I12,[8]stage_hints!$A:$C,3,FALSE)</f>
        <v>ユニットのお気に入り登録</v>
      </c>
      <c r="L12" s="91" t="str">
        <f>VLOOKUP(I12,[8]stage_hints!$A:$D,4,FALSE)</f>
        <v>大事なユニットを誤って消さないように_x000D_フォルダから「お気に入り登録」しましょう</v>
      </c>
      <c r="M12" s="55" t="s">
        <v>208</v>
      </c>
    </row>
    <row r="13" spans="1:13" x14ac:dyDescent="0.15">
      <c r="A13" s="78" t="s">
        <v>198</v>
      </c>
      <c r="B13" s="79">
        <v>13400</v>
      </c>
      <c r="C13" s="80" t="str">
        <f ca="1">VLOOKUP($B13,OFFSET([2]quests!$A$1,0,0,COUNTA([2]quests!$A:$A),MATCH(C$1,[2]quests!$1:$1,0)-MATCH($B$1,[2]quests!$1:$1,0)+1),MATCH(C$1,[2]quests!$1:$1,0)-MATCH($B$1,[2]quests!$1:$1,0)+1,FALSE)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" s="80" t="str">
        <f ca="1">VLOOKUP($B13,OFFSET([2]quests!$A$1,0,0,COUNTA([2]quests!$A:$A),MATCH(D$1,[2]quests!$1:$1,0)-MATCH($B$1,[2]quests!$1:$1,0)+1),MATCH(D$1,[2]quests!$1:$1,0)-MATCH($B$1,[2]quests!$1:$1,0)+1,FALSE)</f>
        <v>タワーオブザクイーン2本目</v>
      </c>
      <c r="E13" s="84" t="s">
        <v>211</v>
      </c>
      <c r="F13" s="80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0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2">
        <v>0</v>
      </c>
      <c r="I13">
        <v>13</v>
      </c>
      <c r="J13" s="81" t="s">
        <v>196</v>
      </c>
      <c r="K13" s="90" t="str">
        <f>VLOOKUP(I13,[8]stage_hints!$A:$C,3,FALSE)</f>
        <v>ユニットの覚醒</v>
      </c>
      <c r="L13" s="91" t="str">
        <f>VLOOKUP(I13,[8]stage_hints!$A:$D,4,FALSE)</f>
        <v>ユニットを覚醒させると_x000D_比べものにならない強さが手に入ります</v>
      </c>
      <c r="M13" s="55" t="s">
        <v>208</v>
      </c>
    </row>
    <row r="14" spans="1:13" x14ac:dyDescent="0.15">
      <c r="A14" s="78" t="s">
        <v>198</v>
      </c>
      <c r="B14" s="79">
        <v>13400</v>
      </c>
      <c r="C14" s="80" t="str">
        <f ca="1">VLOOKUP($B14,OFFSET([2]quests!$A$1,0,0,COUNTA([2]quests!$A:$A),MATCH(C$1,[2]quests!$1:$1,0)-MATCH($B$1,[2]quests!$1:$1,0)+1),MATCH(C$1,[2]quests!$1:$1,0)-MATCH($B$1,[2]quests!$1:$1,0)+1,FALSE)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4" s="80" t="str">
        <f ca="1">VLOOKUP($B14,OFFSET([2]quests!$A$1,0,0,COUNTA([2]quests!$A:$A),MATCH(D$1,[2]quests!$1:$1,0)-MATCH($B$1,[2]quests!$1:$1,0)+1),MATCH(D$1,[2]quests!$1:$1,0)-MATCH($B$1,[2]quests!$1:$1,0)+1,FALSE)</f>
        <v>タワーオブザクイーン2本目</v>
      </c>
      <c r="E14" s="84" t="s">
        <v>211</v>
      </c>
      <c r="F14" s="80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0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2">
        <v>0</v>
      </c>
      <c r="I14">
        <v>14</v>
      </c>
      <c r="J14" s="81" t="s">
        <v>196</v>
      </c>
      <c r="K14" s="90" t="str">
        <f>VLOOKUP(I14,[8]stage_hints!$A:$C,3,FALSE)</f>
        <v>覚醒するにはレベルを最大に</v>
      </c>
      <c r="L14" s="91" t="str">
        <f>VLOOKUP(I14,[8]stage_hints!$A:$D,4,FALSE)</f>
        <v>覚醒するにはユニットのレベルを_x000D_最大まで上げる必要があります</v>
      </c>
      <c r="M14" s="55" t="s">
        <v>208</v>
      </c>
    </row>
    <row r="15" spans="1:13" x14ac:dyDescent="0.15">
      <c r="A15" s="78" t="s">
        <v>198</v>
      </c>
      <c r="B15" s="79">
        <v>13400</v>
      </c>
      <c r="C15" s="80" t="str">
        <f ca="1">VLOOKUP($B15,OFFSET([2]quests!$A$1,0,0,COUNTA([2]quests!$A:$A),MATCH(C$1,[2]quests!$1:$1,0)-MATCH($B$1,[2]quests!$1:$1,0)+1),MATCH(C$1,[2]quests!$1:$1,0)-MATCH($B$1,[2]quests!$1:$1,0)+1,FALSE)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5" s="80" t="str">
        <f ca="1">VLOOKUP($B15,OFFSET([2]quests!$A$1,0,0,COUNTA([2]quests!$A:$A),MATCH(D$1,[2]quests!$1:$1,0)-MATCH($B$1,[2]quests!$1:$1,0)+1),MATCH(D$1,[2]quests!$1:$1,0)-MATCH($B$1,[2]quests!$1:$1,0)+1,FALSE)</f>
        <v>タワーオブザクイーン2本目</v>
      </c>
      <c r="E15" s="84" t="s">
        <v>211</v>
      </c>
      <c r="F15" s="80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0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2">
        <v>0</v>
      </c>
      <c r="I15">
        <v>15</v>
      </c>
      <c r="J15" s="81" t="s">
        <v>196</v>
      </c>
      <c r="K15" s="90" t="str">
        <f>VLOOKUP(I15,[8]stage_hints!$A:$C,3,FALSE)</f>
        <v>覚醒素材を獲得</v>
      </c>
      <c r="L15" s="91" t="str">
        <f>VLOOKUP(I15,[8]stage_hints!$A:$D,4,FALSE)</f>
        <v>「曜日クエスト」では_x000D_ユニットの覚醒に必要な素材が手に入ります</v>
      </c>
      <c r="M15" s="55" t="s">
        <v>208</v>
      </c>
    </row>
    <row r="16" spans="1:13" x14ac:dyDescent="0.15">
      <c r="A16" s="78" t="s">
        <v>198</v>
      </c>
      <c r="B16" s="79">
        <v>13400</v>
      </c>
      <c r="C16" s="80" t="str">
        <f ca="1">VLOOKUP($B16,OFFSET([2]quests!$A$1,0,0,COUNTA([2]quests!$A:$A),MATCH(C$1,[2]quests!$1:$1,0)-MATCH($B$1,[2]quests!$1:$1,0)+1),MATCH(C$1,[2]quests!$1:$1,0)-MATCH($B$1,[2]quests!$1:$1,0)+1,FALSE)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6" s="80" t="str">
        <f ca="1">VLOOKUP($B16,OFFSET([2]quests!$A$1,0,0,COUNTA([2]quests!$A:$A),MATCH(D$1,[2]quests!$1:$1,0)-MATCH($B$1,[2]quests!$1:$1,0)+1),MATCH(D$1,[2]quests!$1:$1,0)-MATCH($B$1,[2]quests!$1:$1,0)+1,FALSE)</f>
        <v>タワーオブザクイーン2本目</v>
      </c>
      <c r="E16" s="84" t="s">
        <v>211</v>
      </c>
      <c r="F16" s="80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0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2">
        <v>0</v>
      </c>
      <c r="I16">
        <v>16</v>
      </c>
      <c r="J16" s="81" t="s">
        <v>196</v>
      </c>
      <c r="K16" s="90" t="str">
        <f>VLOOKUP(I16,[8]stage_hints!$A:$C,3,FALSE)</f>
        <v>マルチプレイのメリット（その1）</v>
      </c>
      <c r="L16" s="91" t="str">
        <f>VLOOKUP(I16,[8]stage_hints!$A:$D,4,FALSE)</f>
        <v>他のプレイヤーとマルチプレイで遊ぶと_x000D_ポリゴンがもらえます（100人まで）</v>
      </c>
      <c r="M16" s="55" t="s">
        <v>208</v>
      </c>
    </row>
    <row r="17" spans="1:13" x14ac:dyDescent="0.15">
      <c r="A17" s="78" t="s">
        <v>198</v>
      </c>
      <c r="B17" s="79">
        <v>13400</v>
      </c>
      <c r="C17" s="80" t="str">
        <f ca="1">VLOOKUP($B17,OFFSET([2]quests!$A$1,0,0,COUNTA([2]quests!$A:$A),MATCH(C$1,[2]quests!$1:$1,0)-MATCH($B$1,[2]quests!$1:$1,0)+1),MATCH(C$1,[2]quests!$1:$1,0)-MATCH($B$1,[2]quests!$1:$1,0)+1,FALSE)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7" s="80" t="str">
        <f ca="1">VLOOKUP($B17,OFFSET([2]quests!$A$1,0,0,COUNTA([2]quests!$A:$A),MATCH(D$1,[2]quests!$1:$1,0)-MATCH($B$1,[2]quests!$1:$1,0)+1),MATCH(D$1,[2]quests!$1:$1,0)-MATCH($B$1,[2]quests!$1:$1,0)+1,FALSE)</f>
        <v>タワーオブザクイーン2本目</v>
      </c>
      <c r="E17" s="84" t="s">
        <v>211</v>
      </c>
      <c r="F17" s="80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0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2">
        <v>0</v>
      </c>
      <c r="I17">
        <v>17</v>
      </c>
      <c r="J17" s="81" t="s">
        <v>196</v>
      </c>
      <c r="K17" s="90" t="str">
        <f>VLOOKUP(I17,[8]stage_hints!$A:$C,3,FALSE)</f>
        <v>リンクガチャ</v>
      </c>
      <c r="L17" s="91" t="str">
        <f>VLOOKUP(I17,[8]stage_hints!$A:$D,4,FALSE)</f>
        <v>無料のリンクガチャを回して_x000D_経験値素材や売却素材を獲得しましょう</v>
      </c>
      <c r="M17" s="55" t="s">
        <v>208</v>
      </c>
    </row>
    <row r="18" spans="1:13" x14ac:dyDescent="0.15">
      <c r="A18" s="78" t="s">
        <v>198</v>
      </c>
      <c r="B18" s="79">
        <v>13400</v>
      </c>
      <c r="C18" s="80" t="str">
        <f ca="1">VLOOKUP($B18,OFFSET([2]quests!$A$1,0,0,COUNTA([2]quests!$A:$A),MATCH(C$1,[2]quests!$1:$1,0)-MATCH($B$1,[2]quests!$1:$1,0)+1),MATCH(C$1,[2]quests!$1:$1,0)-MATCH($B$1,[2]quests!$1:$1,0)+1,FALSE)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8" s="80" t="str">
        <f ca="1">VLOOKUP($B18,OFFSET([2]quests!$A$1,0,0,COUNTA([2]quests!$A:$A),MATCH(D$1,[2]quests!$1:$1,0)-MATCH($B$1,[2]quests!$1:$1,0)+1),MATCH(D$1,[2]quests!$1:$1,0)-MATCH($B$1,[2]quests!$1:$1,0)+1,FALSE)</f>
        <v>タワーオブザクイーン2本目</v>
      </c>
      <c r="E18" s="84" t="s">
        <v>211</v>
      </c>
      <c r="F18" s="80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0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2">
        <v>0</v>
      </c>
      <c r="I18">
        <v>18</v>
      </c>
      <c r="J18" s="81" t="s">
        <v>196</v>
      </c>
      <c r="K18" s="90" t="str">
        <f>VLOOKUP(I18,[8]stage_hints!$A:$C,3,FALSE)</f>
        <v>マルチプレイのメリット（その2）</v>
      </c>
      <c r="L18" s="91" t="str">
        <f>VLOOKUP(I18,[8]stage_hints!$A:$D,4,FALSE)</f>
        <v>マルチプレイならリンクが2倍もらえます_x000D_リンクガチャをたくさん回しましょう</v>
      </c>
      <c r="M18" s="55" t="s">
        <v>208</v>
      </c>
    </row>
    <row r="19" spans="1:13" x14ac:dyDescent="0.15">
      <c r="A19" s="78" t="s">
        <v>198</v>
      </c>
      <c r="B19" s="79">
        <v>13400</v>
      </c>
      <c r="C19" s="80" t="str">
        <f ca="1">VLOOKUP($B19,OFFSET([2]quests!$A$1,0,0,COUNTA([2]quests!$A:$A),MATCH(C$1,[2]quests!$1:$1,0)-MATCH($B$1,[2]quests!$1:$1,0)+1),MATCH(C$1,[2]quests!$1:$1,0)-MATCH($B$1,[2]quests!$1:$1,0)+1,FALSE)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9" s="80" t="str">
        <f ca="1">VLOOKUP($B19,OFFSET([2]quests!$A$1,0,0,COUNTA([2]quests!$A:$A),MATCH(D$1,[2]quests!$1:$1,0)-MATCH($B$1,[2]quests!$1:$1,0)+1),MATCH(D$1,[2]quests!$1:$1,0)-MATCH($B$1,[2]quests!$1:$1,0)+1,FALSE)</f>
        <v>タワーオブザクイーン2本目</v>
      </c>
      <c r="E19" s="84" t="s">
        <v>211</v>
      </c>
      <c r="F19" s="80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0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2">
        <v>0</v>
      </c>
      <c r="I19">
        <v>19</v>
      </c>
      <c r="J19" s="81" t="s">
        <v>196</v>
      </c>
      <c r="K19" s="90" t="str">
        <f>VLOOKUP(I19,[8]stage_hints!$A:$C,3,FALSE)</f>
        <v>ソロ専用タワーオブザクイーン</v>
      </c>
      <c r="L19" s="91" t="str">
        <f>VLOOKUP(I19,[8]stage_hints!$A:$D,4,FALSE)</f>
        <v>ソロ専用の「タワーオブザクイーン」は_x000D_期間限定で定期的に開催されます_x000D_ここでしか獲得できない報酬もあるようです</v>
      </c>
      <c r="M19" s="55" t="s">
        <v>208</v>
      </c>
    </row>
    <row r="20" spans="1:13" x14ac:dyDescent="0.15">
      <c r="A20" s="78" t="s">
        <v>198</v>
      </c>
      <c r="B20" s="79">
        <v>13400</v>
      </c>
      <c r="C20" s="80" t="str">
        <f ca="1">VLOOKUP($B20,OFFSET([2]quests!$A$1,0,0,COUNTA([2]quests!$A:$A),MATCH(C$1,[2]quests!$1:$1,0)-MATCH($B$1,[2]quests!$1:$1,0)+1),MATCH(C$1,[2]quests!$1:$1,0)-MATCH($B$1,[2]quests!$1:$1,0)+1,FALSE)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0" s="80" t="str">
        <f ca="1">VLOOKUP($B20,OFFSET([2]quests!$A$1,0,0,COUNTA([2]quests!$A:$A),MATCH(D$1,[2]quests!$1:$1,0)-MATCH($B$1,[2]quests!$1:$1,0)+1),MATCH(D$1,[2]quests!$1:$1,0)-MATCH($B$1,[2]quests!$1:$1,0)+1,FALSE)</f>
        <v>タワーオブザクイーン2本目</v>
      </c>
      <c r="E20" s="84" t="s">
        <v>211</v>
      </c>
      <c r="F20" s="80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0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2">
        <v>0</v>
      </c>
      <c r="I20">
        <v>20</v>
      </c>
      <c r="J20" s="81" t="s">
        <v>196</v>
      </c>
      <c r="K20" s="90" t="str">
        <f>VLOOKUP(I20,[8]stage_hints!$A:$C,3,FALSE)</f>
        <v>マルチプレイのメリット（その3）</v>
      </c>
      <c r="L20" s="91" t="str">
        <f>VLOOKUP(I20,[8]stage_hints!$A:$D,4,FALSE)</f>
        <v>マルチプレイへの参加はエナジー消費ゼロ_x000D_いつでも好きなだけ遊ぶことができます</v>
      </c>
      <c r="M20" s="55" t="s">
        <v>208</v>
      </c>
    </row>
    <row r="21" spans="1:13" x14ac:dyDescent="0.15">
      <c r="A21" s="78" t="s">
        <v>198</v>
      </c>
      <c r="B21" s="79">
        <v>13400</v>
      </c>
      <c r="C21" s="80" t="str">
        <f ca="1">VLOOKUP($B21,OFFSET([2]quests!$A$1,0,0,COUNTA([2]quests!$A:$A),MATCH(C$1,[2]quests!$1:$1,0)-MATCH($B$1,[2]quests!$1:$1,0)+1),MATCH(C$1,[2]quests!$1:$1,0)-MATCH($B$1,[2]quests!$1:$1,0)+1,FALSE)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1" s="80" t="str">
        <f ca="1">VLOOKUP($B21,OFFSET([2]quests!$A$1,0,0,COUNTA([2]quests!$A:$A),MATCH(D$1,[2]quests!$1:$1,0)-MATCH($B$1,[2]quests!$1:$1,0)+1),MATCH(D$1,[2]quests!$1:$1,0)-MATCH($B$1,[2]quests!$1:$1,0)+1,FALSE)</f>
        <v>タワーオブザクイーン2本目</v>
      </c>
      <c r="E21" s="84" t="s">
        <v>211</v>
      </c>
      <c r="F21" s="80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0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2">
        <v>0</v>
      </c>
      <c r="I21">
        <v>21</v>
      </c>
      <c r="J21" s="81" t="s">
        <v>196</v>
      </c>
      <c r="K21" s="90" t="str">
        <f>VLOOKUP(I21,[8]stage_hints!$A:$C,3,FALSE)</f>
        <v>スキルを有効に</v>
      </c>
      <c r="L21" s="91" t="str">
        <f>VLOOKUP(I21,[8]stage_hints!$A:$D,4,FALSE)</f>
        <v>ターン経過でユニットのスキルが使えます_x000D_強力スキルでバトルを有利に進めましょう</v>
      </c>
      <c r="M21" s="55" t="s">
        <v>208</v>
      </c>
    </row>
    <row r="22" spans="1:13" x14ac:dyDescent="0.15">
      <c r="A22" s="78" t="s">
        <v>198</v>
      </c>
      <c r="B22" s="79">
        <v>13400</v>
      </c>
      <c r="C22" s="80" t="str">
        <f ca="1">VLOOKUP($B22,OFFSET([2]quests!$A$1,0,0,COUNTA([2]quests!$A:$A),MATCH(C$1,[2]quests!$1:$1,0)-MATCH($B$1,[2]quests!$1:$1,0)+1),MATCH(C$1,[2]quests!$1:$1,0)-MATCH($B$1,[2]quests!$1:$1,0)+1,FALSE)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2" s="80" t="str">
        <f ca="1">VLOOKUP($B22,OFFSET([2]quests!$A$1,0,0,COUNTA([2]quests!$A:$A),MATCH(D$1,[2]quests!$1:$1,0)-MATCH($B$1,[2]quests!$1:$1,0)+1),MATCH(D$1,[2]quests!$1:$1,0)-MATCH($B$1,[2]quests!$1:$1,0)+1,FALSE)</f>
        <v>タワーオブザクイーン2本目</v>
      </c>
      <c r="E22" s="84" t="s">
        <v>211</v>
      </c>
      <c r="F22" s="80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0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2">
        <v>0</v>
      </c>
      <c r="I22">
        <v>22</v>
      </c>
      <c r="J22" s="81" t="s">
        <v>196</v>
      </c>
      <c r="K22" s="90" t="str">
        <f>VLOOKUP(I22,[8]stage_hints!$A:$C,3,FALSE)</f>
        <v>フィーバーで一発逆転（その1）</v>
      </c>
      <c r="L22" s="91" t="str">
        <f>VLOOKUP(I22,[8]stage_hints!$A:$D,4,FALSE)</f>
        <v>フィーバーは攻撃と回復を兼ね備えます_x000D_ピンチからの一発逆転を狙いましょう</v>
      </c>
      <c r="M22" s="55" t="s">
        <v>208</v>
      </c>
    </row>
    <row r="23" spans="1:13" x14ac:dyDescent="0.15">
      <c r="A23" s="78" t="s">
        <v>198</v>
      </c>
      <c r="B23" s="79">
        <v>13400</v>
      </c>
      <c r="C23" s="80" t="str">
        <f ca="1">VLOOKUP($B23,OFFSET([2]quests!$A$1,0,0,COUNTA([2]quests!$A:$A),MATCH(C$1,[2]quests!$1:$1,0)-MATCH($B$1,[2]quests!$1:$1,0)+1),MATCH(C$1,[2]quests!$1:$1,0)-MATCH($B$1,[2]quests!$1:$1,0)+1,FALSE)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3" s="80" t="str">
        <f ca="1">VLOOKUP($B23,OFFSET([2]quests!$A$1,0,0,COUNTA([2]quests!$A:$A),MATCH(D$1,[2]quests!$1:$1,0)-MATCH($B$1,[2]quests!$1:$1,0)+1),MATCH(D$1,[2]quests!$1:$1,0)-MATCH($B$1,[2]quests!$1:$1,0)+1,FALSE)</f>
        <v>タワーオブザクイーン2本目</v>
      </c>
      <c r="E23" s="84" t="s">
        <v>211</v>
      </c>
      <c r="F23" s="80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0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2">
        <v>0</v>
      </c>
      <c r="I23">
        <v>23</v>
      </c>
      <c r="J23" s="81" t="s">
        <v>196</v>
      </c>
      <c r="K23" s="90" t="str">
        <f>VLOOKUP(I23,[8]stage_hints!$A:$C,3,FALSE)</f>
        <v>フィーバーで一発逆転（その2）</v>
      </c>
      <c r="L23" s="91" t="str">
        <f>VLOOKUP(I23,[8]stage_hints!$A:$D,4,FALSE)</f>
        <v>フィーバー中は虹色のボムパネルを狙って_x000D_画面上のパネルを一気に破壊しましょう</v>
      </c>
      <c r="M23" s="55" t="s">
        <v>208</v>
      </c>
    </row>
    <row r="24" spans="1:13" x14ac:dyDescent="0.15">
      <c r="A24" s="78" t="s">
        <v>198</v>
      </c>
      <c r="B24" s="79">
        <v>13400</v>
      </c>
      <c r="C24" s="80" t="str">
        <f ca="1">VLOOKUP($B24,OFFSET([2]quests!$A$1,0,0,COUNTA([2]quests!$A:$A),MATCH(C$1,[2]quests!$1:$1,0)-MATCH($B$1,[2]quests!$1:$1,0)+1),MATCH(C$1,[2]quests!$1:$1,0)-MATCH($B$1,[2]quests!$1:$1,0)+1,FALSE)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4" s="80" t="str">
        <f ca="1">VLOOKUP($B24,OFFSET([2]quests!$A$1,0,0,COUNTA([2]quests!$A:$A),MATCH(D$1,[2]quests!$1:$1,0)-MATCH($B$1,[2]quests!$1:$1,0)+1),MATCH(D$1,[2]quests!$1:$1,0)-MATCH($B$1,[2]quests!$1:$1,0)+1,FALSE)</f>
        <v>タワーオブザクイーン2本目</v>
      </c>
      <c r="E24" s="84" t="s">
        <v>211</v>
      </c>
      <c r="F24" s="80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0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2">
        <v>0</v>
      </c>
      <c r="I24">
        <v>24</v>
      </c>
      <c r="J24" s="81" t="s">
        <v>196</v>
      </c>
      <c r="K24" s="90" t="str">
        <f>VLOOKUP(I24,[8]stage_hints!$A:$C,3,FALSE)</f>
        <v>果実を使って限界突破</v>
      </c>
      <c r="L24" s="91" t="str">
        <f>VLOOKUP(I24,[8]stage_hints!$A:$D,4,FALSE)</f>
        <v>攻めの果実 癒しの果実_x000D_生命の果実をユニット強化に使うと_x000D_ステータスが限界突破します（計99個迄）</v>
      </c>
      <c r="M24" s="55" t="s">
        <v>208</v>
      </c>
    </row>
    <row r="25" spans="1:13" x14ac:dyDescent="0.15">
      <c r="A25" s="78" t="s">
        <v>198</v>
      </c>
      <c r="B25" s="79">
        <v>13400</v>
      </c>
      <c r="C25" s="80" t="str">
        <f ca="1">VLOOKUP($B25,OFFSET([2]quests!$A$1,0,0,COUNTA([2]quests!$A:$A),MATCH(C$1,[2]quests!$1:$1,0)-MATCH($B$1,[2]quests!$1:$1,0)+1),MATCH(C$1,[2]quests!$1:$1,0)-MATCH($B$1,[2]quests!$1:$1,0)+1,FALSE)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5" s="80" t="str">
        <f ca="1">VLOOKUP($B25,OFFSET([2]quests!$A$1,0,0,COUNTA([2]quests!$A:$A),MATCH(D$1,[2]quests!$1:$1,0)-MATCH($B$1,[2]quests!$1:$1,0)+1),MATCH(D$1,[2]quests!$1:$1,0)-MATCH($B$1,[2]quests!$1:$1,0)+1,FALSE)</f>
        <v>タワーオブザクイーン2本目</v>
      </c>
      <c r="E25" s="84" t="s">
        <v>211</v>
      </c>
      <c r="F25" s="80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0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2">
        <v>0</v>
      </c>
      <c r="I25">
        <v>25</v>
      </c>
      <c r="J25" s="81" t="s">
        <v>196</v>
      </c>
      <c r="K25" s="90" t="str">
        <f>VLOOKUP(I25,[8]stage_hints!$A:$C,3,FALSE)</f>
        <v>スキルレベルアップ</v>
      </c>
      <c r="L25" s="91" t="str">
        <f>VLOOKUP(I25,[8]stage_hints!$A:$D,4,FALSE)</f>
        <v>「秘術の果実」を強化に使うと_x000D_スキルレベルを上げることができます</v>
      </c>
      <c r="M25" s="55" t="s">
        <v>208</v>
      </c>
    </row>
    <row r="26" spans="1:13" x14ac:dyDescent="0.15">
      <c r="A26" s="78" t="s">
        <v>198</v>
      </c>
      <c r="B26" s="79">
        <v>13400</v>
      </c>
      <c r="C26" s="80" t="str">
        <f ca="1">VLOOKUP($B26,OFFSET([2]quests!$A$1,0,0,COUNTA([2]quests!$A:$A),MATCH(C$1,[2]quests!$1:$1,0)-MATCH($B$1,[2]quests!$1:$1,0)+1),MATCH(C$1,[2]quests!$1:$1,0)-MATCH($B$1,[2]quests!$1:$1,0)+1,FALSE)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6" s="80" t="str">
        <f ca="1">VLOOKUP($B26,OFFSET([2]quests!$A$1,0,0,COUNTA([2]quests!$A:$A),MATCH(D$1,[2]quests!$1:$1,0)-MATCH($B$1,[2]quests!$1:$1,0)+1),MATCH(D$1,[2]quests!$1:$1,0)-MATCH($B$1,[2]quests!$1:$1,0)+1,FALSE)</f>
        <v>タワーオブザクイーン2本目</v>
      </c>
      <c r="E26" s="84" t="s">
        <v>211</v>
      </c>
      <c r="F26" s="80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0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2">
        <v>0</v>
      </c>
      <c r="I26">
        <v>26</v>
      </c>
      <c r="J26" s="81" t="s">
        <v>196</v>
      </c>
      <c r="K26" s="90" t="str">
        <f>VLOOKUP(I26,[8]stage_hints!$A:$C,3,FALSE)</f>
        <v>スキルレベルの効果</v>
      </c>
      <c r="L26" s="91" t="str">
        <f>VLOOKUP(I26,[8]stage_hints!$A:$D,4,FALSE)</f>
        <v>スキルレベルが上がると_x000D_短いターンでスキルを使うことができます</v>
      </c>
      <c r="M26" s="55" t="s">
        <v>208</v>
      </c>
    </row>
    <row r="27" spans="1:13" x14ac:dyDescent="0.15">
      <c r="A27" s="78" t="s">
        <v>198</v>
      </c>
      <c r="B27" s="79">
        <v>13400</v>
      </c>
      <c r="C27" s="80" t="str">
        <f ca="1">VLOOKUP($B27,OFFSET([2]quests!$A$1,0,0,COUNTA([2]quests!$A:$A),MATCH(C$1,[2]quests!$1:$1,0)-MATCH($B$1,[2]quests!$1:$1,0)+1),MATCH(C$1,[2]quests!$1:$1,0)-MATCH($B$1,[2]quests!$1:$1,0)+1,FALSE)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7" s="80" t="str">
        <f ca="1">VLOOKUP($B27,OFFSET([2]quests!$A$1,0,0,COUNTA([2]quests!$A:$A),MATCH(D$1,[2]quests!$1:$1,0)-MATCH($B$1,[2]quests!$1:$1,0)+1),MATCH(D$1,[2]quests!$1:$1,0)-MATCH($B$1,[2]quests!$1:$1,0)+1,FALSE)</f>
        <v>タワーオブザクイーン2本目</v>
      </c>
      <c r="E27" s="84" t="s">
        <v>211</v>
      </c>
      <c r="F27" s="80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0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2">
        <v>0</v>
      </c>
      <c r="I27">
        <v>39</v>
      </c>
      <c r="J27" s="81" t="s">
        <v>196</v>
      </c>
      <c r="K27" s="90" t="str">
        <f>VLOOKUP(I27,[8]stage_hints!$A:$C,3,FALSE)</f>
        <v>システム適合者を確認</v>
      </c>
      <c r="L27" s="91" t="str">
        <f>VLOOKUP(I27,[8]stage_hints!$A:$D,4,FALSE)</f>
        <v>ALICEが 「アナタ」を呼んでいます</v>
      </c>
      <c r="M27" s="55" t="s">
        <v>208</v>
      </c>
    </row>
    <row r="28" spans="1:13" x14ac:dyDescent="0.15">
      <c r="A28" s="78" t="s">
        <v>198</v>
      </c>
      <c r="B28" s="79">
        <v>13400</v>
      </c>
      <c r="C28" s="80" t="str">
        <f ca="1">VLOOKUP($B28,OFFSET([2]quests!$A$1,0,0,COUNTA([2]quests!$A:$A),MATCH(C$1,[2]quests!$1:$1,0)-MATCH($B$1,[2]quests!$1:$1,0)+1),MATCH(C$1,[2]quests!$1:$1,0)-MATCH($B$1,[2]quests!$1:$1,0)+1,FALSE)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8" s="80" t="str">
        <f ca="1">VLOOKUP($B28,OFFSET([2]quests!$A$1,0,0,COUNTA([2]quests!$A:$A),MATCH(D$1,[2]quests!$1:$1,0)-MATCH($B$1,[2]quests!$1:$1,0)+1),MATCH(D$1,[2]quests!$1:$1,0)-MATCH($B$1,[2]quests!$1:$1,0)+1,FALSE)</f>
        <v>タワーオブザクイーン2本目</v>
      </c>
      <c r="E28" s="84" t="s">
        <v>212</v>
      </c>
      <c r="F28" s="80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0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2">
        <v>0</v>
      </c>
      <c r="I28">
        <v>3</v>
      </c>
      <c r="J28" s="81" t="s">
        <v>196</v>
      </c>
      <c r="K28" s="90" t="str">
        <f>VLOOKUP(I28,[8]stage_hints!$A:$C,3,FALSE)</f>
        <v>ターゲット</v>
      </c>
      <c r="L28" s="91" t="str">
        <f>VLOOKUP(I28,[8]stage_hints!$A:$D,4,FALSE)</f>
        <v>敵ユニットをタップすると_x000D_その敵を狙い撃ちできます</v>
      </c>
      <c r="M28" s="55" t="s">
        <v>208</v>
      </c>
    </row>
    <row r="29" spans="1:13" x14ac:dyDescent="0.15">
      <c r="A29" s="78" t="s">
        <v>198</v>
      </c>
      <c r="B29" s="79">
        <v>13400</v>
      </c>
      <c r="C29" s="80" t="str">
        <f ca="1">VLOOKUP($B29,OFFSET([2]quests!$A$1,0,0,COUNTA([2]quests!$A:$A),MATCH(C$1,[2]quests!$1:$1,0)-MATCH($B$1,[2]quests!$1:$1,0)+1),MATCH(C$1,[2]quests!$1:$1,0)-MATCH($B$1,[2]quests!$1:$1,0)+1,FALSE)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9" s="80" t="str">
        <f ca="1">VLOOKUP($B29,OFFSET([2]quests!$A$1,0,0,COUNTA([2]quests!$A:$A),MATCH(D$1,[2]quests!$1:$1,0)-MATCH($B$1,[2]quests!$1:$1,0)+1),MATCH(D$1,[2]quests!$1:$1,0)-MATCH($B$1,[2]quests!$1:$1,0)+1,FALSE)</f>
        <v>タワーオブザクイーン2本目</v>
      </c>
      <c r="E29" s="84" t="s">
        <v>212</v>
      </c>
      <c r="F29" s="80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0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2">
        <v>0</v>
      </c>
      <c r="I29">
        <v>6</v>
      </c>
      <c r="J29" s="81" t="s">
        <v>196</v>
      </c>
      <c r="K29" s="90" t="str">
        <f>VLOOKUP(I29,[8]stage_hints!$A:$C,3,FALSE)</f>
        <v>ユニット強化の属性ボーナス</v>
      </c>
      <c r="L29" s="91" t="str">
        <f>VLOOKUP(I29,[8]stage_hints!$A:$D,4,FALSE)</f>
        <v>同属性ユニットを強化素材にすると_x000D_経験値が多くもらえます</v>
      </c>
      <c r="M29" s="55" t="s">
        <v>208</v>
      </c>
    </row>
    <row r="30" spans="1:13" x14ac:dyDescent="0.15">
      <c r="A30" s="78" t="s">
        <v>198</v>
      </c>
      <c r="B30" s="79">
        <v>13400</v>
      </c>
      <c r="C30" s="80" t="str">
        <f ca="1">VLOOKUP($B30,OFFSET([2]quests!$A$1,0,0,COUNTA([2]quests!$A:$A),MATCH(C$1,[2]quests!$1:$1,0)-MATCH($B$1,[2]quests!$1:$1,0)+1),MATCH(C$1,[2]quests!$1:$1,0)-MATCH($B$1,[2]quests!$1:$1,0)+1,FALSE)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0" s="80" t="str">
        <f ca="1">VLOOKUP($B30,OFFSET([2]quests!$A$1,0,0,COUNTA([2]quests!$A:$A),MATCH(D$1,[2]quests!$1:$1,0)-MATCH($B$1,[2]quests!$1:$1,0)+1),MATCH(D$1,[2]quests!$1:$1,0)-MATCH($B$1,[2]quests!$1:$1,0)+1,FALSE)</f>
        <v>タワーオブザクイーン2本目</v>
      </c>
      <c r="E30" s="84" t="s">
        <v>212</v>
      </c>
      <c r="F30" s="80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0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2">
        <v>0</v>
      </c>
      <c r="I30">
        <v>7</v>
      </c>
      <c r="J30" s="81" t="s">
        <v>196</v>
      </c>
      <c r="K30" s="90" t="str">
        <f>VLOOKUP(I30,[8]stage_hints!$A:$C,3,FALSE)</f>
        <v>メタルダックで経験値を獲得</v>
      </c>
      <c r="L30" s="91" t="str">
        <f>VLOOKUP(I30,[8]stage_hints!$A:$D,4,FALSE)</f>
        <v>「メタルなアヒル」を強化素材にすると_x000D_大量の経験値がもらえます</v>
      </c>
      <c r="M30" s="55" t="s">
        <v>208</v>
      </c>
    </row>
    <row r="31" spans="1:13" x14ac:dyDescent="0.15">
      <c r="A31" s="78" t="s">
        <v>198</v>
      </c>
      <c r="B31" s="79">
        <v>13400</v>
      </c>
      <c r="C31" s="80" t="str">
        <f ca="1">VLOOKUP($B31,OFFSET([2]quests!$A$1,0,0,COUNTA([2]quests!$A:$A),MATCH(C$1,[2]quests!$1:$1,0)-MATCH($B$1,[2]quests!$1:$1,0)+1),MATCH(C$1,[2]quests!$1:$1,0)-MATCH($B$1,[2]quests!$1:$1,0)+1,FALSE)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1" s="80" t="str">
        <f ca="1">VLOOKUP($B31,OFFSET([2]quests!$A$1,0,0,COUNTA([2]quests!$A:$A),MATCH(D$1,[2]quests!$1:$1,0)-MATCH($B$1,[2]quests!$1:$1,0)+1),MATCH(D$1,[2]quests!$1:$1,0)-MATCH($B$1,[2]quests!$1:$1,0)+1,FALSE)</f>
        <v>タワーオブザクイーン2本目</v>
      </c>
      <c r="E31" s="84" t="s">
        <v>212</v>
      </c>
      <c r="F31" s="80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0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2">
        <v>0</v>
      </c>
      <c r="I31">
        <v>8</v>
      </c>
      <c r="J31" s="81" t="s">
        <v>196</v>
      </c>
      <c r="K31" s="90" t="str">
        <f>VLOOKUP(I31,[8]stage_hints!$A:$C,3,FALSE)</f>
        <v>ゲリラクエストは要チェック</v>
      </c>
      <c r="L31" s="91" t="str">
        <f>VLOOKUP(I31,[8]stage_hints!$A:$D,4,FALSE)</f>
        <v>時間限定の「アヒル捕獲作戦」では_x000D_経験値素材ユニットが多く手に入ります</v>
      </c>
      <c r="M31" s="55" t="s">
        <v>208</v>
      </c>
    </row>
    <row r="32" spans="1:13" x14ac:dyDescent="0.15">
      <c r="A32" s="78" t="s">
        <v>198</v>
      </c>
      <c r="B32" s="79">
        <v>13400</v>
      </c>
      <c r="C32" s="80" t="str">
        <f ca="1">VLOOKUP($B32,OFFSET([2]quests!$A$1,0,0,COUNTA([2]quests!$A:$A),MATCH(C$1,[2]quests!$1:$1,0)-MATCH($B$1,[2]quests!$1:$1,0)+1),MATCH(C$1,[2]quests!$1:$1,0)-MATCH($B$1,[2]quests!$1:$1,0)+1,FALSE)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2" s="80" t="str">
        <f ca="1">VLOOKUP($B32,OFFSET([2]quests!$A$1,0,0,COUNTA([2]quests!$A:$A),MATCH(D$1,[2]quests!$1:$1,0)-MATCH($B$1,[2]quests!$1:$1,0)+1),MATCH(D$1,[2]quests!$1:$1,0)-MATCH($B$1,[2]quests!$1:$1,0)+1,FALSE)</f>
        <v>タワーオブザクイーン2本目</v>
      </c>
      <c r="E32" s="84" t="s">
        <v>212</v>
      </c>
      <c r="F32" s="80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0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2">
        <v>0</v>
      </c>
      <c r="I32">
        <v>9</v>
      </c>
      <c r="J32" s="81" t="s">
        <v>196</v>
      </c>
      <c r="K32" s="90" t="str">
        <f>VLOOKUP(I32,[8]stage_hints!$A:$C,3,FALSE)</f>
        <v>ゴールドダックでビットを獲得</v>
      </c>
      <c r="L32" s="91" t="str">
        <f>VLOOKUP(I32,[8]stage_hints!$A:$D,4,FALSE)</f>
        <v>「ゴールドなアヒル」を売却すると_x000D_大量のビットがもらえます</v>
      </c>
      <c r="M32" s="55" t="s">
        <v>208</v>
      </c>
    </row>
    <row r="33" spans="1:13" x14ac:dyDescent="0.15">
      <c r="A33" s="78" t="s">
        <v>198</v>
      </c>
      <c r="B33" s="79">
        <v>13400</v>
      </c>
      <c r="C33" s="80" t="str">
        <f ca="1">VLOOKUP($B33,OFFSET([2]quests!$A$1,0,0,COUNTA([2]quests!$A:$A),MATCH(C$1,[2]quests!$1:$1,0)-MATCH($B$1,[2]quests!$1:$1,0)+1),MATCH(C$1,[2]quests!$1:$1,0)-MATCH($B$1,[2]quests!$1:$1,0)+1,FALSE)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3" s="80" t="str">
        <f ca="1">VLOOKUP($B33,OFFSET([2]quests!$A$1,0,0,COUNTA([2]quests!$A:$A),MATCH(D$1,[2]quests!$1:$1,0)-MATCH($B$1,[2]quests!$1:$1,0)+1),MATCH(D$1,[2]quests!$1:$1,0)-MATCH($B$1,[2]quests!$1:$1,0)+1,FALSE)</f>
        <v>タワーオブザクイーン2本目</v>
      </c>
      <c r="E33" s="84" t="s">
        <v>212</v>
      </c>
      <c r="F33" s="80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0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2">
        <v>0</v>
      </c>
      <c r="I33">
        <v>10</v>
      </c>
      <c r="J33" s="81" t="s">
        <v>196</v>
      </c>
      <c r="K33" s="90" t="str">
        <f>VLOOKUP(I33,[8]stage_hints!$A:$C,3,FALSE)</f>
        <v>土日に大量のビットを獲得</v>
      </c>
      <c r="L33" s="91" t="str">
        <f>VLOOKUP(I33,[8]stage_hints!$A:$D,4,FALSE)</f>
        <v>土日限定の「ゴールドカジノ」では_x000D_売却素材ユニットが多く手に入ります</v>
      </c>
      <c r="M33" s="55" t="s">
        <v>208</v>
      </c>
    </row>
    <row r="34" spans="1:13" x14ac:dyDescent="0.15">
      <c r="A34" s="78" t="s">
        <v>198</v>
      </c>
      <c r="B34" s="79">
        <v>13400</v>
      </c>
      <c r="C34" s="80" t="str">
        <f ca="1">VLOOKUP($B34,OFFSET([2]quests!$A$1,0,0,COUNTA([2]quests!$A:$A),MATCH(C$1,[2]quests!$1:$1,0)-MATCH($B$1,[2]quests!$1:$1,0)+1),MATCH(C$1,[2]quests!$1:$1,0)-MATCH($B$1,[2]quests!$1:$1,0)+1,FALSE)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4" s="80" t="str">
        <f ca="1">VLOOKUP($B34,OFFSET([2]quests!$A$1,0,0,COUNTA([2]quests!$A:$A),MATCH(D$1,[2]quests!$1:$1,0)-MATCH($B$1,[2]quests!$1:$1,0)+1),MATCH(D$1,[2]quests!$1:$1,0)-MATCH($B$1,[2]quests!$1:$1,0)+1,FALSE)</f>
        <v>タワーオブザクイーン2本目</v>
      </c>
      <c r="E34" s="84" t="s">
        <v>212</v>
      </c>
      <c r="F34" s="80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0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2">
        <v>0</v>
      </c>
      <c r="I34">
        <v>11</v>
      </c>
      <c r="J34" s="81" t="s">
        <v>196</v>
      </c>
      <c r="K34" s="90" t="str">
        <f>VLOOKUP(I34,[8]stage_hints!$A:$C,3,FALSE)</f>
        <v>ゲリラクエストは要チェック</v>
      </c>
      <c r="L34" s="91" t="str">
        <f>VLOOKUP(I34,[8]stage_hints!$A:$D,4,FALSE)</f>
        <v>時間限定の「アヒル捕獲作戦」では_x000D_経験値素材ユニットが多く手に入ります</v>
      </c>
      <c r="M34" s="55" t="s">
        <v>208</v>
      </c>
    </row>
    <row r="35" spans="1:13" x14ac:dyDescent="0.15">
      <c r="A35" s="78" t="s">
        <v>198</v>
      </c>
      <c r="B35" s="79">
        <v>13400</v>
      </c>
      <c r="C35" s="80" t="str">
        <f ca="1">VLOOKUP($B35,OFFSET([2]quests!$A$1,0,0,COUNTA([2]quests!$A:$A),MATCH(C$1,[2]quests!$1:$1,0)-MATCH($B$1,[2]quests!$1:$1,0)+1),MATCH(C$1,[2]quests!$1:$1,0)-MATCH($B$1,[2]quests!$1:$1,0)+1,FALSE)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5" s="80" t="str">
        <f ca="1">VLOOKUP($B35,OFFSET([2]quests!$A$1,0,0,COUNTA([2]quests!$A:$A),MATCH(D$1,[2]quests!$1:$1,0)-MATCH($B$1,[2]quests!$1:$1,0)+1),MATCH(D$1,[2]quests!$1:$1,0)-MATCH($B$1,[2]quests!$1:$1,0)+1,FALSE)</f>
        <v>タワーオブザクイーン2本目</v>
      </c>
      <c r="E35" s="84" t="s">
        <v>212</v>
      </c>
      <c r="F35" s="80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0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2">
        <v>0</v>
      </c>
      <c r="I35">
        <v>12</v>
      </c>
      <c r="J35" s="81" t="s">
        <v>196</v>
      </c>
      <c r="K35" s="90" t="str">
        <f>VLOOKUP(I35,[8]stage_hints!$A:$C,3,FALSE)</f>
        <v>ユニットのお気に入り登録</v>
      </c>
      <c r="L35" s="91" t="str">
        <f>VLOOKUP(I35,[8]stage_hints!$A:$D,4,FALSE)</f>
        <v>大事なユニットを誤って消さないように_x000D_フォルダから「お気に入り登録」しましょう</v>
      </c>
      <c r="M35" s="55" t="s">
        <v>208</v>
      </c>
    </row>
    <row r="36" spans="1:13" x14ac:dyDescent="0.15">
      <c r="A36" s="78" t="s">
        <v>198</v>
      </c>
      <c r="B36" s="79">
        <v>13400</v>
      </c>
      <c r="C36" s="80" t="str">
        <f ca="1">VLOOKUP($B36,OFFSET([2]quests!$A$1,0,0,COUNTA([2]quests!$A:$A),MATCH(C$1,[2]quests!$1:$1,0)-MATCH($B$1,[2]quests!$1:$1,0)+1),MATCH(C$1,[2]quests!$1:$1,0)-MATCH($B$1,[2]quests!$1:$1,0)+1,FALSE)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6" s="80" t="str">
        <f ca="1">VLOOKUP($B36,OFFSET([2]quests!$A$1,0,0,COUNTA([2]quests!$A:$A),MATCH(D$1,[2]quests!$1:$1,0)-MATCH($B$1,[2]quests!$1:$1,0)+1),MATCH(D$1,[2]quests!$1:$1,0)-MATCH($B$1,[2]quests!$1:$1,0)+1,FALSE)</f>
        <v>タワーオブザクイーン2本目</v>
      </c>
      <c r="E36" s="84" t="s">
        <v>212</v>
      </c>
      <c r="F36" s="80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0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2">
        <v>0</v>
      </c>
      <c r="I36">
        <v>13</v>
      </c>
      <c r="J36" s="81" t="s">
        <v>196</v>
      </c>
      <c r="K36" s="90" t="str">
        <f>VLOOKUP(I36,[8]stage_hints!$A:$C,3,FALSE)</f>
        <v>ユニットの覚醒</v>
      </c>
      <c r="L36" s="91" t="str">
        <f>VLOOKUP(I36,[8]stage_hints!$A:$D,4,FALSE)</f>
        <v>ユニットを覚醒させると_x000D_比べものにならない強さが手に入ります</v>
      </c>
      <c r="M36" s="55" t="s">
        <v>208</v>
      </c>
    </row>
    <row r="37" spans="1:13" x14ac:dyDescent="0.15">
      <c r="A37" s="78" t="s">
        <v>198</v>
      </c>
      <c r="B37" s="79">
        <v>13400</v>
      </c>
      <c r="C37" s="80" t="str">
        <f ca="1">VLOOKUP($B37,OFFSET([2]quests!$A$1,0,0,COUNTA([2]quests!$A:$A),MATCH(C$1,[2]quests!$1:$1,0)-MATCH($B$1,[2]quests!$1:$1,0)+1),MATCH(C$1,[2]quests!$1:$1,0)-MATCH($B$1,[2]quests!$1:$1,0)+1,FALSE)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7" s="80" t="str">
        <f ca="1">VLOOKUP($B37,OFFSET([2]quests!$A$1,0,0,COUNTA([2]quests!$A:$A),MATCH(D$1,[2]quests!$1:$1,0)-MATCH($B$1,[2]quests!$1:$1,0)+1),MATCH(D$1,[2]quests!$1:$1,0)-MATCH($B$1,[2]quests!$1:$1,0)+1,FALSE)</f>
        <v>タワーオブザクイーン2本目</v>
      </c>
      <c r="E37" s="84" t="s">
        <v>212</v>
      </c>
      <c r="F37" s="80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0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2">
        <v>0</v>
      </c>
      <c r="I37">
        <v>14</v>
      </c>
      <c r="J37" s="81" t="s">
        <v>196</v>
      </c>
      <c r="K37" s="90" t="str">
        <f>VLOOKUP(I37,[8]stage_hints!$A:$C,3,FALSE)</f>
        <v>覚醒するにはレベルを最大に</v>
      </c>
      <c r="L37" s="91" t="str">
        <f>VLOOKUP(I37,[8]stage_hints!$A:$D,4,FALSE)</f>
        <v>覚醒するにはユニットのレベルを_x000D_最大まで上げる必要があります</v>
      </c>
      <c r="M37" s="55" t="s">
        <v>208</v>
      </c>
    </row>
    <row r="38" spans="1:13" x14ac:dyDescent="0.15">
      <c r="A38" s="78" t="s">
        <v>198</v>
      </c>
      <c r="B38" s="79">
        <v>13400</v>
      </c>
      <c r="C38" s="80" t="str">
        <f ca="1">VLOOKUP($B38,OFFSET([2]quests!$A$1,0,0,COUNTA([2]quests!$A:$A),MATCH(C$1,[2]quests!$1:$1,0)-MATCH($B$1,[2]quests!$1:$1,0)+1),MATCH(C$1,[2]quests!$1:$1,0)-MATCH($B$1,[2]quests!$1:$1,0)+1,FALSE)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8" s="80" t="str">
        <f ca="1">VLOOKUP($B38,OFFSET([2]quests!$A$1,0,0,COUNTA([2]quests!$A:$A),MATCH(D$1,[2]quests!$1:$1,0)-MATCH($B$1,[2]quests!$1:$1,0)+1),MATCH(D$1,[2]quests!$1:$1,0)-MATCH($B$1,[2]quests!$1:$1,0)+1,FALSE)</f>
        <v>タワーオブザクイーン2本目</v>
      </c>
      <c r="E38" s="84" t="s">
        <v>212</v>
      </c>
      <c r="F38" s="80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0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2">
        <v>0</v>
      </c>
      <c r="I38">
        <v>15</v>
      </c>
      <c r="J38" s="81" t="s">
        <v>196</v>
      </c>
      <c r="K38" s="90" t="str">
        <f>VLOOKUP(I38,[8]stage_hints!$A:$C,3,FALSE)</f>
        <v>覚醒素材を獲得</v>
      </c>
      <c r="L38" s="91" t="str">
        <f>VLOOKUP(I38,[8]stage_hints!$A:$D,4,FALSE)</f>
        <v>「曜日クエスト」では_x000D_ユニットの覚醒に必要な素材が手に入ります</v>
      </c>
      <c r="M38" s="55" t="s">
        <v>208</v>
      </c>
    </row>
    <row r="39" spans="1:13" x14ac:dyDescent="0.15">
      <c r="A39" s="78" t="s">
        <v>198</v>
      </c>
      <c r="B39" s="79">
        <v>13400</v>
      </c>
      <c r="C39" s="80" t="str">
        <f ca="1">VLOOKUP($B39,OFFSET([2]quests!$A$1,0,0,COUNTA([2]quests!$A:$A),MATCH(C$1,[2]quests!$1:$1,0)-MATCH($B$1,[2]quests!$1:$1,0)+1),MATCH(C$1,[2]quests!$1:$1,0)-MATCH($B$1,[2]quests!$1:$1,0)+1,FALSE)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9" s="80" t="str">
        <f ca="1">VLOOKUP($B39,OFFSET([2]quests!$A$1,0,0,COUNTA([2]quests!$A:$A),MATCH(D$1,[2]quests!$1:$1,0)-MATCH($B$1,[2]quests!$1:$1,0)+1),MATCH(D$1,[2]quests!$1:$1,0)-MATCH($B$1,[2]quests!$1:$1,0)+1,FALSE)</f>
        <v>タワーオブザクイーン2本目</v>
      </c>
      <c r="E39" s="84" t="s">
        <v>212</v>
      </c>
      <c r="F39" s="80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0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2">
        <v>0</v>
      </c>
      <c r="I39">
        <v>16</v>
      </c>
      <c r="J39" s="81" t="s">
        <v>196</v>
      </c>
      <c r="K39" s="90" t="str">
        <f>VLOOKUP(I39,[8]stage_hints!$A:$C,3,FALSE)</f>
        <v>マルチプレイのメリット（その1）</v>
      </c>
      <c r="L39" s="91" t="str">
        <f>VLOOKUP(I39,[8]stage_hints!$A:$D,4,FALSE)</f>
        <v>他のプレイヤーとマルチプレイで遊ぶと_x000D_ポリゴンがもらえます（100人まで）</v>
      </c>
      <c r="M39" s="55" t="s">
        <v>208</v>
      </c>
    </row>
    <row r="40" spans="1:13" x14ac:dyDescent="0.15">
      <c r="A40" s="78" t="s">
        <v>198</v>
      </c>
      <c r="B40" s="79">
        <v>13400</v>
      </c>
      <c r="C40" s="80" t="str">
        <f ca="1">VLOOKUP($B40,OFFSET([2]quests!$A$1,0,0,COUNTA([2]quests!$A:$A),MATCH(C$1,[2]quests!$1:$1,0)-MATCH($B$1,[2]quests!$1:$1,0)+1),MATCH(C$1,[2]quests!$1:$1,0)-MATCH($B$1,[2]quests!$1:$1,0)+1,FALSE)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0" s="80" t="str">
        <f ca="1">VLOOKUP($B40,OFFSET([2]quests!$A$1,0,0,COUNTA([2]quests!$A:$A),MATCH(D$1,[2]quests!$1:$1,0)-MATCH($B$1,[2]quests!$1:$1,0)+1),MATCH(D$1,[2]quests!$1:$1,0)-MATCH($B$1,[2]quests!$1:$1,0)+1,FALSE)</f>
        <v>タワーオブザクイーン2本目</v>
      </c>
      <c r="E40" s="84" t="s">
        <v>212</v>
      </c>
      <c r="F40" s="80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0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2">
        <v>0</v>
      </c>
      <c r="I40">
        <v>17</v>
      </c>
      <c r="J40" s="81" t="s">
        <v>196</v>
      </c>
      <c r="K40" s="90" t="str">
        <f>VLOOKUP(I40,[8]stage_hints!$A:$C,3,FALSE)</f>
        <v>リンクガチャ</v>
      </c>
      <c r="L40" s="91" t="str">
        <f>VLOOKUP(I40,[8]stage_hints!$A:$D,4,FALSE)</f>
        <v>無料のリンクガチャを回して_x000D_経験値素材や売却素材を獲得しましょう</v>
      </c>
      <c r="M40" s="55" t="s">
        <v>208</v>
      </c>
    </row>
    <row r="41" spans="1:13" x14ac:dyDescent="0.15">
      <c r="A41" s="78" t="s">
        <v>198</v>
      </c>
      <c r="B41" s="79">
        <v>13400</v>
      </c>
      <c r="C41" s="80" t="str">
        <f ca="1">VLOOKUP($B41,OFFSET([2]quests!$A$1,0,0,COUNTA([2]quests!$A:$A),MATCH(C$1,[2]quests!$1:$1,0)-MATCH($B$1,[2]quests!$1:$1,0)+1),MATCH(C$1,[2]quests!$1:$1,0)-MATCH($B$1,[2]quests!$1:$1,0)+1,FALSE)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1" s="80" t="str">
        <f ca="1">VLOOKUP($B41,OFFSET([2]quests!$A$1,0,0,COUNTA([2]quests!$A:$A),MATCH(D$1,[2]quests!$1:$1,0)-MATCH($B$1,[2]quests!$1:$1,0)+1),MATCH(D$1,[2]quests!$1:$1,0)-MATCH($B$1,[2]quests!$1:$1,0)+1,FALSE)</f>
        <v>タワーオブザクイーン2本目</v>
      </c>
      <c r="E41" s="84" t="s">
        <v>212</v>
      </c>
      <c r="F41" s="80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0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2">
        <v>0</v>
      </c>
      <c r="I41">
        <v>18</v>
      </c>
      <c r="J41" s="81" t="s">
        <v>196</v>
      </c>
      <c r="K41" s="90" t="str">
        <f>VLOOKUP(I41,[8]stage_hints!$A:$C,3,FALSE)</f>
        <v>マルチプレイのメリット（その2）</v>
      </c>
      <c r="L41" s="91" t="str">
        <f>VLOOKUP(I41,[8]stage_hints!$A:$D,4,FALSE)</f>
        <v>マルチプレイならリンクが2倍もらえます_x000D_リンクガチャをたくさん回しましょう</v>
      </c>
      <c r="M41" s="55" t="s">
        <v>208</v>
      </c>
    </row>
    <row r="42" spans="1:13" x14ac:dyDescent="0.15">
      <c r="A42" s="78" t="s">
        <v>198</v>
      </c>
      <c r="B42" s="79">
        <v>13400</v>
      </c>
      <c r="C42" s="80" t="str">
        <f ca="1">VLOOKUP($B42,OFFSET([2]quests!$A$1,0,0,COUNTA([2]quests!$A:$A),MATCH(C$1,[2]quests!$1:$1,0)-MATCH($B$1,[2]quests!$1:$1,0)+1),MATCH(C$1,[2]quests!$1:$1,0)-MATCH($B$1,[2]quests!$1:$1,0)+1,FALSE)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2" s="80" t="str">
        <f ca="1">VLOOKUP($B42,OFFSET([2]quests!$A$1,0,0,COUNTA([2]quests!$A:$A),MATCH(D$1,[2]quests!$1:$1,0)-MATCH($B$1,[2]quests!$1:$1,0)+1),MATCH(D$1,[2]quests!$1:$1,0)-MATCH($B$1,[2]quests!$1:$1,0)+1,FALSE)</f>
        <v>タワーオブザクイーン2本目</v>
      </c>
      <c r="E42" s="84" t="s">
        <v>212</v>
      </c>
      <c r="F42" s="80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0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2">
        <v>0</v>
      </c>
      <c r="I42">
        <v>19</v>
      </c>
      <c r="J42" s="81" t="s">
        <v>196</v>
      </c>
      <c r="K42" s="90" t="str">
        <f>VLOOKUP(I42,[8]stage_hints!$A:$C,3,FALSE)</f>
        <v>ソロ専用タワーオブザクイーン</v>
      </c>
      <c r="L42" s="91" t="str">
        <f>VLOOKUP(I42,[8]stage_hints!$A:$D,4,FALSE)</f>
        <v>ソロ専用の「タワーオブザクイーン」は_x000D_期間限定で定期的に開催されます_x000D_ここでしか獲得できない報酬もあるようです</v>
      </c>
      <c r="M42" s="55" t="s">
        <v>208</v>
      </c>
    </row>
    <row r="43" spans="1:13" x14ac:dyDescent="0.15">
      <c r="A43" s="78" t="s">
        <v>198</v>
      </c>
      <c r="B43" s="79">
        <v>13400</v>
      </c>
      <c r="C43" s="80" t="str">
        <f ca="1">VLOOKUP($B43,OFFSET([2]quests!$A$1,0,0,COUNTA([2]quests!$A:$A),MATCH(C$1,[2]quests!$1:$1,0)-MATCH($B$1,[2]quests!$1:$1,0)+1),MATCH(C$1,[2]quests!$1:$1,0)-MATCH($B$1,[2]quests!$1:$1,0)+1,FALSE)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3" s="80" t="str">
        <f ca="1">VLOOKUP($B43,OFFSET([2]quests!$A$1,0,0,COUNTA([2]quests!$A:$A),MATCH(D$1,[2]quests!$1:$1,0)-MATCH($B$1,[2]quests!$1:$1,0)+1),MATCH(D$1,[2]quests!$1:$1,0)-MATCH($B$1,[2]quests!$1:$1,0)+1,FALSE)</f>
        <v>タワーオブザクイーン2本目</v>
      </c>
      <c r="E43" s="84" t="s">
        <v>212</v>
      </c>
      <c r="F43" s="80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0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2">
        <v>0</v>
      </c>
      <c r="I43">
        <v>20</v>
      </c>
      <c r="J43" s="81" t="s">
        <v>196</v>
      </c>
      <c r="K43" s="90" t="str">
        <f>VLOOKUP(I43,[8]stage_hints!$A:$C,3,FALSE)</f>
        <v>マルチプレイのメリット（その3）</v>
      </c>
      <c r="L43" s="91" t="str">
        <f>VLOOKUP(I43,[8]stage_hints!$A:$D,4,FALSE)</f>
        <v>マルチプレイへの参加はエナジー消費ゼロ_x000D_いつでも好きなだけ遊ぶことができます</v>
      </c>
      <c r="M43" s="55" t="s">
        <v>208</v>
      </c>
    </row>
    <row r="44" spans="1:13" x14ac:dyDescent="0.15">
      <c r="A44" s="78" t="s">
        <v>198</v>
      </c>
      <c r="B44" s="79">
        <v>13400</v>
      </c>
      <c r="C44" s="80" t="str">
        <f ca="1">VLOOKUP($B44,OFFSET([2]quests!$A$1,0,0,COUNTA([2]quests!$A:$A),MATCH(C$1,[2]quests!$1:$1,0)-MATCH($B$1,[2]quests!$1:$1,0)+1),MATCH(C$1,[2]quests!$1:$1,0)-MATCH($B$1,[2]quests!$1:$1,0)+1,FALSE)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4" s="80" t="str">
        <f ca="1">VLOOKUP($B44,OFFSET([2]quests!$A$1,0,0,COUNTA([2]quests!$A:$A),MATCH(D$1,[2]quests!$1:$1,0)-MATCH($B$1,[2]quests!$1:$1,0)+1),MATCH(D$1,[2]quests!$1:$1,0)-MATCH($B$1,[2]quests!$1:$1,0)+1,FALSE)</f>
        <v>タワーオブザクイーン2本目</v>
      </c>
      <c r="E44" s="84" t="s">
        <v>212</v>
      </c>
      <c r="F44" s="80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0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2">
        <v>0</v>
      </c>
      <c r="I44">
        <v>21</v>
      </c>
      <c r="J44" s="81" t="s">
        <v>196</v>
      </c>
      <c r="K44" s="90" t="str">
        <f>VLOOKUP(I44,[8]stage_hints!$A:$C,3,FALSE)</f>
        <v>スキルを有効に</v>
      </c>
      <c r="L44" s="91" t="str">
        <f>VLOOKUP(I44,[8]stage_hints!$A:$D,4,FALSE)</f>
        <v>ターン経過でユニットのスキルが使えます_x000D_強力スキルでバトルを有利に進めましょう</v>
      </c>
      <c r="M44" s="55" t="s">
        <v>208</v>
      </c>
    </row>
    <row r="45" spans="1:13" x14ac:dyDescent="0.15">
      <c r="A45" s="78" t="s">
        <v>198</v>
      </c>
      <c r="B45" s="79">
        <v>13400</v>
      </c>
      <c r="C45" s="80" t="str">
        <f ca="1">VLOOKUP($B45,OFFSET([2]quests!$A$1,0,0,COUNTA([2]quests!$A:$A),MATCH(C$1,[2]quests!$1:$1,0)-MATCH($B$1,[2]quests!$1:$1,0)+1),MATCH(C$1,[2]quests!$1:$1,0)-MATCH($B$1,[2]quests!$1:$1,0)+1,FALSE)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5" s="80" t="str">
        <f ca="1">VLOOKUP($B45,OFFSET([2]quests!$A$1,0,0,COUNTA([2]quests!$A:$A),MATCH(D$1,[2]quests!$1:$1,0)-MATCH($B$1,[2]quests!$1:$1,0)+1),MATCH(D$1,[2]quests!$1:$1,0)-MATCH($B$1,[2]quests!$1:$1,0)+1,FALSE)</f>
        <v>タワーオブザクイーン2本目</v>
      </c>
      <c r="E45" s="84" t="s">
        <v>212</v>
      </c>
      <c r="F45" s="80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0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2">
        <v>0</v>
      </c>
      <c r="I45">
        <v>22</v>
      </c>
      <c r="J45" s="81" t="s">
        <v>196</v>
      </c>
      <c r="K45" s="90" t="str">
        <f>VLOOKUP(I45,[8]stage_hints!$A:$C,3,FALSE)</f>
        <v>フィーバーで一発逆転（その1）</v>
      </c>
      <c r="L45" s="91" t="str">
        <f>VLOOKUP(I45,[8]stage_hints!$A:$D,4,FALSE)</f>
        <v>フィーバーは攻撃と回復を兼ね備えます_x000D_ピンチからの一発逆転を狙いましょう</v>
      </c>
      <c r="M45" s="55" t="s">
        <v>208</v>
      </c>
    </row>
    <row r="46" spans="1:13" x14ac:dyDescent="0.15">
      <c r="A46" s="78" t="s">
        <v>198</v>
      </c>
      <c r="B46" s="79">
        <v>13400</v>
      </c>
      <c r="C46" s="80" t="str">
        <f ca="1">VLOOKUP($B46,OFFSET([2]quests!$A$1,0,0,COUNTA([2]quests!$A:$A),MATCH(C$1,[2]quests!$1:$1,0)-MATCH($B$1,[2]quests!$1:$1,0)+1),MATCH(C$1,[2]quests!$1:$1,0)-MATCH($B$1,[2]quests!$1:$1,0)+1,FALSE)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6" s="80" t="str">
        <f ca="1">VLOOKUP($B46,OFFSET([2]quests!$A$1,0,0,COUNTA([2]quests!$A:$A),MATCH(D$1,[2]quests!$1:$1,0)-MATCH($B$1,[2]quests!$1:$1,0)+1),MATCH(D$1,[2]quests!$1:$1,0)-MATCH($B$1,[2]quests!$1:$1,0)+1,FALSE)</f>
        <v>タワーオブザクイーン2本目</v>
      </c>
      <c r="E46" s="84" t="s">
        <v>212</v>
      </c>
      <c r="F46" s="80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0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2">
        <v>0</v>
      </c>
      <c r="I46">
        <v>23</v>
      </c>
      <c r="J46" s="81" t="s">
        <v>196</v>
      </c>
      <c r="K46" s="90" t="str">
        <f>VLOOKUP(I46,[8]stage_hints!$A:$C,3,FALSE)</f>
        <v>フィーバーで一発逆転（その2）</v>
      </c>
      <c r="L46" s="91" t="str">
        <f>VLOOKUP(I46,[8]stage_hints!$A:$D,4,FALSE)</f>
        <v>フィーバー中は虹色のボムパネルを狙って_x000D_画面上のパネルを一気に破壊しましょう</v>
      </c>
      <c r="M46" s="55" t="s">
        <v>208</v>
      </c>
    </row>
    <row r="47" spans="1:13" x14ac:dyDescent="0.15">
      <c r="A47" s="78" t="s">
        <v>198</v>
      </c>
      <c r="B47" s="79">
        <v>13400</v>
      </c>
      <c r="C47" s="80" t="str">
        <f ca="1">VLOOKUP($B47,OFFSET([2]quests!$A$1,0,0,COUNTA([2]quests!$A:$A),MATCH(C$1,[2]quests!$1:$1,0)-MATCH($B$1,[2]quests!$1:$1,0)+1),MATCH(C$1,[2]quests!$1:$1,0)-MATCH($B$1,[2]quests!$1:$1,0)+1,FALSE)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7" s="80" t="str">
        <f ca="1">VLOOKUP($B47,OFFSET([2]quests!$A$1,0,0,COUNTA([2]quests!$A:$A),MATCH(D$1,[2]quests!$1:$1,0)-MATCH($B$1,[2]quests!$1:$1,0)+1),MATCH(D$1,[2]quests!$1:$1,0)-MATCH($B$1,[2]quests!$1:$1,0)+1,FALSE)</f>
        <v>タワーオブザクイーン2本目</v>
      </c>
      <c r="E47" s="84" t="s">
        <v>212</v>
      </c>
      <c r="F47" s="80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0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2">
        <v>0</v>
      </c>
      <c r="I47">
        <v>24</v>
      </c>
      <c r="J47" s="81" t="s">
        <v>196</v>
      </c>
      <c r="K47" s="90" t="str">
        <f>VLOOKUP(I47,[8]stage_hints!$A:$C,3,FALSE)</f>
        <v>果実を使って限界突破</v>
      </c>
      <c r="L47" s="91" t="str">
        <f>VLOOKUP(I47,[8]stage_hints!$A:$D,4,FALSE)</f>
        <v>攻めの果実 癒しの果実_x000D_生命の果実をユニット強化に使うと_x000D_ステータスが限界突破します（計99個迄）</v>
      </c>
      <c r="M47" s="55" t="s">
        <v>208</v>
      </c>
    </row>
    <row r="48" spans="1:13" x14ac:dyDescent="0.15">
      <c r="A48" s="78" t="s">
        <v>198</v>
      </c>
      <c r="B48" s="79">
        <v>13400</v>
      </c>
      <c r="C48" s="80" t="str">
        <f ca="1">VLOOKUP($B48,OFFSET([2]quests!$A$1,0,0,COUNTA([2]quests!$A:$A),MATCH(C$1,[2]quests!$1:$1,0)-MATCH($B$1,[2]quests!$1:$1,0)+1),MATCH(C$1,[2]quests!$1:$1,0)-MATCH($B$1,[2]quests!$1:$1,0)+1,FALSE)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8" s="80" t="str">
        <f ca="1">VLOOKUP($B48,OFFSET([2]quests!$A$1,0,0,COUNTA([2]quests!$A:$A),MATCH(D$1,[2]quests!$1:$1,0)-MATCH($B$1,[2]quests!$1:$1,0)+1),MATCH(D$1,[2]quests!$1:$1,0)-MATCH($B$1,[2]quests!$1:$1,0)+1,FALSE)</f>
        <v>タワーオブザクイーン2本目</v>
      </c>
      <c r="E48" s="84" t="s">
        <v>212</v>
      </c>
      <c r="F48" s="80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0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2">
        <v>0</v>
      </c>
      <c r="I48">
        <v>25</v>
      </c>
      <c r="J48" s="81" t="s">
        <v>196</v>
      </c>
      <c r="K48" s="90" t="str">
        <f>VLOOKUP(I48,[8]stage_hints!$A:$C,3,FALSE)</f>
        <v>スキルレベルアップ</v>
      </c>
      <c r="L48" s="91" t="str">
        <f>VLOOKUP(I48,[8]stage_hints!$A:$D,4,FALSE)</f>
        <v>「秘術の果実」を強化に使うと_x000D_スキルレベルを上げることができます</v>
      </c>
      <c r="M48" s="55" t="s">
        <v>208</v>
      </c>
    </row>
    <row r="49" spans="1:13" x14ac:dyDescent="0.15">
      <c r="A49" s="78" t="s">
        <v>198</v>
      </c>
      <c r="B49" s="79">
        <v>13400</v>
      </c>
      <c r="C49" s="80" t="str">
        <f ca="1">VLOOKUP($B49,OFFSET([2]quests!$A$1,0,0,COUNTA([2]quests!$A:$A),MATCH(C$1,[2]quests!$1:$1,0)-MATCH($B$1,[2]quests!$1:$1,0)+1),MATCH(C$1,[2]quests!$1:$1,0)-MATCH($B$1,[2]quests!$1:$1,0)+1,FALSE)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9" s="80" t="str">
        <f ca="1">VLOOKUP($B49,OFFSET([2]quests!$A$1,0,0,COUNTA([2]quests!$A:$A),MATCH(D$1,[2]quests!$1:$1,0)-MATCH($B$1,[2]quests!$1:$1,0)+1),MATCH(D$1,[2]quests!$1:$1,0)-MATCH($B$1,[2]quests!$1:$1,0)+1,FALSE)</f>
        <v>タワーオブザクイーン2本目</v>
      </c>
      <c r="E49" s="84" t="s">
        <v>212</v>
      </c>
      <c r="F49" s="80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0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2">
        <v>0</v>
      </c>
      <c r="I49">
        <v>26</v>
      </c>
      <c r="J49" s="81" t="s">
        <v>196</v>
      </c>
      <c r="K49" s="90" t="str">
        <f>VLOOKUP(I49,[8]stage_hints!$A:$C,3,FALSE)</f>
        <v>スキルレベルの効果</v>
      </c>
      <c r="L49" s="91" t="str">
        <f>VLOOKUP(I49,[8]stage_hints!$A:$D,4,FALSE)</f>
        <v>スキルレベルが上がると_x000D_短いターンでスキルを使うことができます</v>
      </c>
      <c r="M49" s="55" t="s">
        <v>208</v>
      </c>
    </row>
    <row r="50" spans="1:13" x14ac:dyDescent="0.15">
      <c r="A50" s="78" t="s">
        <v>198</v>
      </c>
      <c r="B50" s="79">
        <v>13400</v>
      </c>
      <c r="C50" s="80" t="str">
        <f ca="1">VLOOKUP($B50,OFFSET([2]quests!$A$1,0,0,COUNTA([2]quests!$A:$A),MATCH(C$1,[2]quests!$1:$1,0)-MATCH($B$1,[2]quests!$1:$1,0)+1),MATCH(C$1,[2]quests!$1:$1,0)-MATCH($B$1,[2]quests!$1:$1,0)+1,FALSE)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0" s="80" t="str">
        <f ca="1">VLOOKUP($B50,OFFSET([2]quests!$A$1,0,0,COUNTA([2]quests!$A:$A),MATCH(D$1,[2]quests!$1:$1,0)-MATCH($B$1,[2]quests!$1:$1,0)+1),MATCH(D$1,[2]quests!$1:$1,0)-MATCH($B$1,[2]quests!$1:$1,0)+1,FALSE)</f>
        <v>タワーオブザクイーン2本目</v>
      </c>
      <c r="E50" s="84" t="s">
        <v>212</v>
      </c>
      <c r="F50" s="80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0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2">
        <v>0</v>
      </c>
      <c r="I50">
        <v>27</v>
      </c>
      <c r="J50" s="81" t="s">
        <v>196</v>
      </c>
      <c r="K50" s="90" t="str">
        <f>VLOOKUP(I50,[8]stage_hints!$A:$C,3,FALSE)</f>
        <v>ホーム画面からデッキを編成</v>
      </c>
      <c r="L50" s="91" t="str">
        <f>VLOOKUP(I50,[8]stage_hints!$A:$D,4,FALSE)</f>
        <v>ホーム画面でユニットを長押しすると_x000D_すぐにパーティ編成に移動できます</v>
      </c>
      <c r="M50" s="55" t="s">
        <v>208</v>
      </c>
    </row>
    <row r="51" spans="1:13" x14ac:dyDescent="0.15">
      <c r="A51" s="78" t="s">
        <v>198</v>
      </c>
      <c r="B51" s="79">
        <v>13400</v>
      </c>
      <c r="C51" s="80" t="str">
        <f ca="1">VLOOKUP($B51,OFFSET([2]quests!$A$1,0,0,COUNTA([2]quests!$A:$A),MATCH(C$1,[2]quests!$1:$1,0)-MATCH($B$1,[2]quests!$1:$1,0)+1),MATCH(C$1,[2]quests!$1:$1,0)-MATCH($B$1,[2]quests!$1:$1,0)+1,FALSE)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1" s="80" t="str">
        <f ca="1">VLOOKUP($B51,OFFSET([2]quests!$A$1,0,0,COUNTA([2]quests!$A:$A),MATCH(D$1,[2]quests!$1:$1,0)-MATCH($B$1,[2]quests!$1:$1,0)+1),MATCH(D$1,[2]quests!$1:$1,0)-MATCH($B$1,[2]quests!$1:$1,0)+1,FALSE)</f>
        <v>タワーオブザクイーン2本目</v>
      </c>
      <c r="E51" s="84" t="s">
        <v>212</v>
      </c>
      <c r="F51" s="80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0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2">
        <v>0</v>
      </c>
      <c r="I51">
        <v>28</v>
      </c>
      <c r="J51" s="81" t="s">
        <v>196</v>
      </c>
      <c r="K51" s="90" t="str">
        <f>VLOOKUP(I51,[8]stage_hints!$A:$C,3,FALSE)</f>
        <v>ステータス情報は長押しで</v>
      </c>
      <c r="L51" s="91" t="str">
        <f>VLOOKUP(I51,[8]stage_hints!$A:$D,4,FALSE)</f>
        <v>ユニットのアイコンを長押しすると_x000D_ステータス情報を確認することができます</v>
      </c>
      <c r="M51" s="55" t="s">
        <v>208</v>
      </c>
    </row>
    <row r="52" spans="1:13" x14ac:dyDescent="0.15">
      <c r="A52" s="78" t="s">
        <v>198</v>
      </c>
      <c r="B52" s="79">
        <v>13400</v>
      </c>
      <c r="C52" s="80" t="str">
        <f ca="1">VLOOKUP($B52,OFFSET([2]quests!$A$1,0,0,COUNTA([2]quests!$A:$A),MATCH(C$1,[2]quests!$1:$1,0)-MATCH($B$1,[2]quests!$1:$1,0)+1),MATCH(C$1,[2]quests!$1:$1,0)-MATCH($B$1,[2]quests!$1:$1,0)+1,FALSE)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2" s="80" t="str">
        <f ca="1">VLOOKUP($B52,OFFSET([2]quests!$A$1,0,0,COUNTA([2]quests!$A:$A),MATCH(D$1,[2]quests!$1:$1,0)-MATCH($B$1,[2]quests!$1:$1,0)+1),MATCH(D$1,[2]quests!$1:$1,0)-MATCH($B$1,[2]quests!$1:$1,0)+1,FALSE)</f>
        <v>タワーオブザクイーン2本目</v>
      </c>
      <c r="E52" s="84" t="s">
        <v>212</v>
      </c>
      <c r="F52" s="80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0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2">
        <v>0</v>
      </c>
      <c r="I52">
        <v>29</v>
      </c>
      <c r="J52" s="81" t="s">
        <v>196</v>
      </c>
      <c r="K52" s="90" t="str">
        <f>VLOOKUP(I52,[8]stage_hints!$A:$C,3,FALSE)</f>
        <v>「バグ」のメリット</v>
      </c>
      <c r="L52" s="91" t="str">
        <f>VLOOKUP(I52,[8]stage_hints!$A:$D,4,FALSE)</f>
        <v>ユニットの「バグ」を増やすと_x000D_報酬をもらえる確率がアップします</v>
      </c>
      <c r="M52" s="55" t="s">
        <v>208</v>
      </c>
    </row>
    <row r="53" spans="1:13" x14ac:dyDescent="0.15">
      <c r="A53" s="78" t="s">
        <v>198</v>
      </c>
      <c r="B53" s="79">
        <v>13400</v>
      </c>
      <c r="C53" s="80" t="str">
        <f ca="1">VLOOKUP($B53,OFFSET([2]quests!$A$1,0,0,COUNTA([2]quests!$A:$A),MATCH(C$1,[2]quests!$1:$1,0)-MATCH($B$1,[2]quests!$1:$1,0)+1),MATCH(C$1,[2]quests!$1:$1,0)-MATCH($B$1,[2]quests!$1:$1,0)+1,FALSE)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3" s="80" t="str">
        <f ca="1">VLOOKUP($B53,OFFSET([2]quests!$A$1,0,0,COUNTA([2]quests!$A:$A),MATCH(D$1,[2]quests!$1:$1,0)-MATCH($B$1,[2]quests!$1:$1,0)+1),MATCH(D$1,[2]quests!$1:$1,0)-MATCH($B$1,[2]quests!$1:$1,0)+1,FALSE)</f>
        <v>タワーオブザクイーン2本目</v>
      </c>
      <c r="E53" s="84" t="s">
        <v>212</v>
      </c>
      <c r="F53" s="80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0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2">
        <v>0</v>
      </c>
      <c r="I53">
        <v>30</v>
      </c>
      <c r="J53" s="81" t="s">
        <v>196</v>
      </c>
      <c r="K53" s="90" t="str">
        <f>VLOOKUP(I53,[8]stage_hints!$A:$C,3,FALSE)</f>
        <v>「バグ」の増やし方</v>
      </c>
      <c r="L53" s="91" t="str">
        <f>VLOOKUP(I53,[8]stage_hints!$A:$D,4,FALSE)</f>
        <v>同じユニット同士を強化で合成すると_x000D_「バグ」を増やすことができます</v>
      </c>
      <c r="M53" s="55" t="s">
        <v>208</v>
      </c>
    </row>
    <row r="54" spans="1:13" x14ac:dyDescent="0.15">
      <c r="A54" s="78" t="s">
        <v>198</v>
      </c>
      <c r="B54" s="79">
        <v>13400</v>
      </c>
      <c r="C54" s="80" t="str">
        <f ca="1">VLOOKUP($B54,OFFSET([2]quests!$A$1,0,0,COUNTA([2]quests!$A:$A),MATCH(C$1,[2]quests!$1:$1,0)-MATCH($B$1,[2]quests!$1:$1,0)+1),MATCH(C$1,[2]quests!$1:$1,0)-MATCH($B$1,[2]quests!$1:$1,0)+1,FALSE)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4" s="80" t="str">
        <f ca="1">VLOOKUP($B54,OFFSET([2]quests!$A$1,0,0,COUNTA([2]quests!$A:$A),MATCH(D$1,[2]quests!$1:$1,0)-MATCH($B$1,[2]quests!$1:$1,0)+1),MATCH(D$1,[2]quests!$1:$1,0)-MATCH($B$1,[2]quests!$1:$1,0)+1,FALSE)</f>
        <v>タワーオブザクイーン2本目</v>
      </c>
      <c r="E54" s="84" t="s">
        <v>212</v>
      </c>
      <c r="F54" s="80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0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2">
        <v>0</v>
      </c>
      <c r="I54">
        <v>31</v>
      </c>
      <c r="J54" s="81" t="s">
        <v>196</v>
      </c>
      <c r="K54" s="90" t="str">
        <f>VLOOKUP(I54,[8]stage_hints!$A:$C,3,FALSE)</f>
        <v>イベントはお知らせでチェック</v>
      </c>
      <c r="L54" s="91" t="str">
        <f>VLOOKUP(I54,[8]stage_hints!$A:$D,4,FALSE)</f>
        <v>イベント限定ユニットを取り忘れないように_x000D_お知らせをこまめにチェックしましょう</v>
      </c>
      <c r="M54" s="55" t="s">
        <v>208</v>
      </c>
    </row>
    <row r="55" spans="1:13" x14ac:dyDescent="0.15">
      <c r="A55" s="78" t="s">
        <v>198</v>
      </c>
      <c r="B55" s="79">
        <v>13400</v>
      </c>
      <c r="C55" s="80" t="str">
        <f ca="1">VLOOKUP($B55,OFFSET([2]quests!$A$1,0,0,COUNTA([2]quests!$A:$A),MATCH(C$1,[2]quests!$1:$1,0)-MATCH($B$1,[2]quests!$1:$1,0)+1),MATCH(C$1,[2]quests!$1:$1,0)-MATCH($B$1,[2]quests!$1:$1,0)+1,FALSE)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5" s="80" t="str">
        <f ca="1">VLOOKUP($B55,OFFSET([2]quests!$A$1,0,0,COUNTA([2]quests!$A:$A),MATCH(D$1,[2]quests!$1:$1,0)-MATCH($B$1,[2]quests!$1:$1,0)+1),MATCH(D$1,[2]quests!$1:$1,0)-MATCH($B$1,[2]quests!$1:$1,0)+1,FALSE)</f>
        <v>タワーオブザクイーン2本目</v>
      </c>
      <c r="E55" s="84" t="s">
        <v>212</v>
      </c>
      <c r="F55" s="80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0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2">
        <v>0</v>
      </c>
      <c r="I55">
        <v>32</v>
      </c>
      <c r="J55" s="81" t="s">
        <v>196</v>
      </c>
      <c r="K55" s="90" t="str">
        <f>VLOOKUP(I55,[8]stage_hints!$A:$C,3,FALSE)</f>
        <v>敵の連続攻撃には</v>
      </c>
      <c r="L55" s="91" t="str">
        <f>VLOOKUP(I55,[8]stage_hints!$A:$D,4,FALSE)</f>
        <v>カウンタースキルを持つユニットがいれば_x000D_ダメージ回数分の反撃ができます</v>
      </c>
      <c r="M55" s="55" t="s">
        <v>208</v>
      </c>
    </row>
    <row r="56" spans="1:13" x14ac:dyDescent="0.15">
      <c r="A56" s="78" t="s">
        <v>198</v>
      </c>
      <c r="B56" s="79">
        <v>13400</v>
      </c>
      <c r="C56" s="80" t="str">
        <f ca="1">VLOOKUP($B56,OFFSET([2]quests!$A$1,0,0,COUNTA([2]quests!$A:$A),MATCH(C$1,[2]quests!$1:$1,0)-MATCH($B$1,[2]quests!$1:$1,0)+1),MATCH(C$1,[2]quests!$1:$1,0)-MATCH($B$1,[2]quests!$1:$1,0)+1,FALSE)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6" s="80" t="str">
        <f ca="1">VLOOKUP($B56,OFFSET([2]quests!$A$1,0,0,COUNTA([2]quests!$A:$A),MATCH(D$1,[2]quests!$1:$1,0)-MATCH($B$1,[2]quests!$1:$1,0)+1),MATCH(D$1,[2]quests!$1:$1,0)-MATCH($B$1,[2]quests!$1:$1,0)+1,FALSE)</f>
        <v>タワーオブザクイーン2本目</v>
      </c>
      <c r="E56" s="84" t="s">
        <v>212</v>
      </c>
      <c r="F56" s="80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0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2">
        <v>0</v>
      </c>
      <c r="I56">
        <v>33</v>
      </c>
      <c r="J56" s="81" t="s">
        <v>196</v>
      </c>
      <c r="K56" s="90" t="str">
        <f>VLOOKUP(I56,[8]stage_hints!$A:$C,3,FALSE)</f>
        <v>敵のカウンター攻撃には</v>
      </c>
      <c r="L56" s="91" t="str">
        <f>VLOOKUP(I56,[8]stage_hints!$A:$D,4,FALSE)</f>
        <v>カウンターブレイクスキルを持っていれば_x000D_敵のカウンターを解除して攻撃ができます</v>
      </c>
      <c r="M56" s="55" t="s">
        <v>208</v>
      </c>
    </row>
    <row r="57" spans="1:13" x14ac:dyDescent="0.15">
      <c r="A57" s="78" t="s">
        <v>198</v>
      </c>
      <c r="B57" s="79">
        <v>13400</v>
      </c>
      <c r="C57" s="80" t="str">
        <f ca="1">VLOOKUP($B57,OFFSET([2]quests!$A$1,0,0,COUNTA([2]quests!$A:$A),MATCH(C$1,[2]quests!$1:$1,0)-MATCH($B$1,[2]quests!$1:$1,0)+1),MATCH(C$1,[2]quests!$1:$1,0)-MATCH($B$1,[2]quests!$1:$1,0)+1,FALSE)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7" s="80" t="str">
        <f ca="1">VLOOKUP($B57,OFFSET([2]quests!$A$1,0,0,COUNTA([2]quests!$A:$A),MATCH(D$1,[2]quests!$1:$1,0)-MATCH($B$1,[2]quests!$1:$1,0)+1),MATCH(D$1,[2]quests!$1:$1,0)-MATCH($B$1,[2]quests!$1:$1,0)+1,FALSE)</f>
        <v>タワーオブザクイーン2本目</v>
      </c>
      <c r="E57" s="84" t="s">
        <v>212</v>
      </c>
      <c r="F57" s="80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0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2">
        <v>0</v>
      </c>
      <c r="I57">
        <v>34</v>
      </c>
      <c r="J57" s="81" t="s">
        <v>196</v>
      </c>
      <c r="K57" s="90" t="str">
        <f>VLOOKUP(I57,[8]stage_hints!$A:$C,3,FALSE)</f>
        <v>ステータスをスキルで下げられたら</v>
      </c>
      <c r="L57" s="91" t="str">
        <f>VLOOKUP(I57,[8]stage_hints!$A:$D,4,FALSE)</f>
        <v>ステータスダウンのスキルを受けたら_x000D_ステータスアップスキルで上書きしましょう</v>
      </c>
      <c r="M57" s="55" t="s">
        <v>208</v>
      </c>
    </row>
    <row r="58" spans="1:13" x14ac:dyDescent="0.15">
      <c r="A58" s="78" t="s">
        <v>198</v>
      </c>
      <c r="B58" s="79">
        <v>13400</v>
      </c>
      <c r="C58" s="80" t="str">
        <f ca="1">VLOOKUP($B58,OFFSET([2]quests!$A$1,0,0,COUNTA([2]quests!$A:$A),MATCH(C$1,[2]quests!$1:$1,0)-MATCH($B$1,[2]quests!$1:$1,0)+1),MATCH(C$1,[2]quests!$1:$1,0)-MATCH($B$1,[2]quests!$1:$1,0)+1,FALSE)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8" s="80" t="str">
        <f ca="1">VLOOKUP($B58,OFFSET([2]quests!$A$1,0,0,COUNTA([2]quests!$A:$A),MATCH(D$1,[2]quests!$1:$1,0)-MATCH($B$1,[2]quests!$1:$1,0)+1),MATCH(D$1,[2]quests!$1:$1,0)-MATCH($B$1,[2]quests!$1:$1,0)+1,FALSE)</f>
        <v>タワーオブザクイーン2本目</v>
      </c>
      <c r="E58" s="84" t="s">
        <v>212</v>
      </c>
      <c r="F58" s="80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0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2">
        <v>0</v>
      </c>
      <c r="I58">
        <v>35</v>
      </c>
      <c r="J58" s="81" t="s">
        <v>196</v>
      </c>
      <c r="K58" s="90" t="str">
        <f>VLOOKUP(I58,[8]stage_hints!$A:$C,3,FALSE)</f>
        <v>敵のステータスがスキルで上がったら</v>
      </c>
      <c r="L58" s="91" t="str">
        <f>VLOOKUP(I58,[8]stage_hints!$A:$D,4,FALSE)</f>
        <v>敵のステータスがスキルでアップしたときは_x000D_ステータスダウンスキルで上書きしましょう</v>
      </c>
      <c r="M58" s="55" t="s">
        <v>208</v>
      </c>
    </row>
    <row r="59" spans="1:13" x14ac:dyDescent="0.15">
      <c r="A59" s="78" t="s">
        <v>198</v>
      </c>
      <c r="B59" s="79">
        <v>13400</v>
      </c>
      <c r="C59" s="80" t="str">
        <f ca="1">VLOOKUP($B59,OFFSET([2]quests!$A$1,0,0,COUNTA([2]quests!$A:$A),MATCH(C$1,[2]quests!$1:$1,0)-MATCH($B$1,[2]quests!$1:$1,0)+1),MATCH(C$1,[2]quests!$1:$1,0)-MATCH($B$1,[2]quests!$1:$1,0)+1,FALSE)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9" s="80" t="str">
        <f ca="1">VLOOKUP($B59,OFFSET([2]quests!$A$1,0,0,COUNTA([2]quests!$A:$A),MATCH(D$1,[2]quests!$1:$1,0)-MATCH($B$1,[2]quests!$1:$1,0)+1),MATCH(D$1,[2]quests!$1:$1,0)-MATCH($B$1,[2]quests!$1:$1,0)+1,FALSE)</f>
        <v>タワーオブザクイーン2本目</v>
      </c>
      <c r="E59" s="84" t="s">
        <v>212</v>
      </c>
      <c r="F59" s="80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0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2">
        <v>0</v>
      </c>
      <c r="I59">
        <v>39</v>
      </c>
      <c r="J59" s="81" t="s">
        <v>196</v>
      </c>
      <c r="K59" s="90" t="str">
        <f>VLOOKUP(I59,[8]stage_hints!$A:$C,3,FALSE)</f>
        <v>システム適合者を確認</v>
      </c>
      <c r="L59" s="91" t="str">
        <f>VLOOKUP(I59,[8]stage_hints!$A:$D,4,FALSE)</f>
        <v>ALICEが 「アナタ」を呼んでいます</v>
      </c>
      <c r="M59" s="55" t="s">
        <v>208</v>
      </c>
    </row>
    <row r="60" spans="1:13" x14ac:dyDescent="0.15">
      <c r="A60" s="78" t="s">
        <v>198</v>
      </c>
      <c r="B60" s="79">
        <v>13400</v>
      </c>
      <c r="C60" s="80" t="str">
        <f ca="1">VLOOKUP($B60,OFFSET([2]quests!$A$1,0,0,COUNTA([2]quests!$A:$A),MATCH(C$1,[2]quests!$1:$1,0)-MATCH($B$1,[2]quests!$1:$1,0)+1),MATCH(C$1,[2]quests!$1:$1,0)-MATCH($B$1,[2]quests!$1:$1,0)+1,FALSE)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0" s="80" t="str">
        <f ca="1">VLOOKUP($B60,OFFSET([2]quests!$A$1,0,0,COUNTA([2]quests!$A:$A),MATCH(D$1,[2]quests!$1:$1,0)-MATCH($B$1,[2]quests!$1:$1,0)+1),MATCH(D$1,[2]quests!$1:$1,0)-MATCH($B$1,[2]quests!$1:$1,0)+1,FALSE)</f>
        <v>タワーオブザクイーン2本目</v>
      </c>
      <c r="E60" s="84" t="s">
        <v>213</v>
      </c>
      <c r="F60" s="80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0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2">
        <v>0</v>
      </c>
      <c r="I60" s="93">
        <v>3</v>
      </c>
      <c r="J60" s="81" t="s">
        <v>196</v>
      </c>
      <c r="K60" s="90" t="str">
        <f>VLOOKUP(I60,[8]stage_hints!$A:$C,3,FALSE)</f>
        <v>ターゲット</v>
      </c>
      <c r="L60" s="91" t="str">
        <f>VLOOKUP(I60,[8]stage_hints!$A:$D,4,FALSE)</f>
        <v>敵ユニットをタップすると_x000D_その敵を狙い撃ちできます</v>
      </c>
      <c r="M60" s="55" t="s">
        <v>208</v>
      </c>
    </row>
    <row r="61" spans="1:13" x14ac:dyDescent="0.15">
      <c r="A61" s="78" t="s">
        <v>198</v>
      </c>
      <c r="B61" s="79">
        <v>13400</v>
      </c>
      <c r="C61" s="80" t="str">
        <f ca="1">VLOOKUP($B61,OFFSET([2]quests!$A$1,0,0,COUNTA([2]quests!$A:$A),MATCH(C$1,[2]quests!$1:$1,0)-MATCH($B$1,[2]quests!$1:$1,0)+1),MATCH(C$1,[2]quests!$1:$1,0)-MATCH($B$1,[2]quests!$1:$1,0)+1,FALSE)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1" s="80" t="str">
        <f ca="1">VLOOKUP($B61,OFFSET([2]quests!$A$1,0,0,COUNTA([2]quests!$A:$A),MATCH(D$1,[2]quests!$1:$1,0)-MATCH($B$1,[2]quests!$1:$1,0)+1),MATCH(D$1,[2]quests!$1:$1,0)-MATCH($B$1,[2]quests!$1:$1,0)+1,FALSE)</f>
        <v>タワーオブザクイーン2本目</v>
      </c>
      <c r="E61" s="84" t="s">
        <v>213</v>
      </c>
      <c r="F61" s="80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0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2">
        <v>0</v>
      </c>
      <c r="I61" s="93">
        <v>6</v>
      </c>
      <c r="J61" s="81" t="s">
        <v>196</v>
      </c>
      <c r="K61" s="90" t="str">
        <f>VLOOKUP(I61,[8]stage_hints!$A:$C,3,FALSE)</f>
        <v>ユニット強化の属性ボーナス</v>
      </c>
      <c r="L61" s="91" t="str">
        <f>VLOOKUP(I61,[8]stage_hints!$A:$D,4,FALSE)</f>
        <v>同属性ユニットを強化素材にすると_x000D_経験値が多くもらえます</v>
      </c>
      <c r="M61" s="55" t="s">
        <v>208</v>
      </c>
    </row>
    <row r="62" spans="1:13" x14ac:dyDescent="0.15">
      <c r="A62" s="78" t="s">
        <v>198</v>
      </c>
      <c r="B62" s="79">
        <v>13400</v>
      </c>
      <c r="C62" s="80" t="str">
        <f ca="1">VLOOKUP($B62,OFFSET([2]quests!$A$1,0,0,COUNTA([2]quests!$A:$A),MATCH(C$1,[2]quests!$1:$1,0)-MATCH($B$1,[2]quests!$1:$1,0)+1),MATCH(C$1,[2]quests!$1:$1,0)-MATCH($B$1,[2]quests!$1:$1,0)+1,FALSE)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2" s="80" t="str">
        <f ca="1">VLOOKUP($B62,OFFSET([2]quests!$A$1,0,0,COUNTA([2]quests!$A:$A),MATCH(D$1,[2]quests!$1:$1,0)-MATCH($B$1,[2]quests!$1:$1,0)+1),MATCH(D$1,[2]quests!$1:$1,0)-MATCH($B$1,[2]quests!$1:$1,0)+1,FALSE)</f>
        <v>タワーオブザクイーン2本目</v>
      </c>
      <c r="E62" s="84" t="s">
        <v>213</v>
      </c>
      <c r="F62" s="80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0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2">
        <v>0</v>
      </c>
      <c r="I62" s="93">
        <v>7</v>
      </c>
      <c r="J62" s="81" t="s">
        <v>196</v>
      </c>
      <c r="K62" s="90" t="str">
        <f>VLOOKUP(I62,[8]stage_hints!$A:$C,3,FALSE)</f>
        <v>メタルダックで経験値を獲得</v>
      </c>
      <c r="L62" s="91" t="str">
        <f>VLOOKUP(I62,[8]stage_hints!$A:$D,4,FALSE)</f>
        <v>「メタルなアヒル」を強化素材にすると_x000D_大量の経験値がもらえます</v>
      </c>
      <c r="M62" s="55" t="s">
        <v>208</v>
      </c>
    </row>
    <row r="63" spans="1:13" x14ac:dyDescent="0.15">
      <c r="A63" s="78" t="s">
        <v>198</v>
      </c>
      <c r="B63" s="79">
        <v>13400</v>
      </c>
      <c r="C63" s="80" t="str">
        <f ca="1">VLOOKUP($B63,OFFSET([2]quests!$A$1,0,0,COUNTA([2]quests!$A:$A),MATCH(C$1,[2]quests!$1:$1,0)-MATCH($B$1,[2]quests!$1:$1,0)+1),MATCH(C$1,[2]quests!$1:$1,0)-MATCH($B$1,[2]quests!$1:$1,0)+1,FALSE)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3" s="80" t="str">
        <f ca="1">VLOOKUP($B63,OFFSET([2]quests!$A$1,0,0,COUNTA([2]quests!$A:$A),MATCH(D$1,[2]quests!$1:$1,0)-MATCH($B$1,[2]quests!$1:$1,0)+1),MATCH(D$1,[2]quests!$1:$1,0)-MATCH($B$1,[2]quests!$1:$1,0)+1,FALSE)</f>
        <v>タワーオブザクイーン2本目</v>
      </c>
      <c r="E63" s="84" t="s">
        <v>213</v>
      </c>
      <c r="F63" s="80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0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2">
        <v>0</v>
      </c>
      <c r="I63" s="93">
        <v>8</v>
      </c>
      <c r="J63" s="81" t="s">
        <v>196</v>
      </c>
      <c r="K63" s="90" t="str">
        <f>VLOOKUP(I63,[8]stage_hints!$A:$C,3,FALSE)</f>
        <v>ゲリラクエストは要チェック</v>
      </c>
      <c r="L63" s="91" t="str">
        <f>VLOOKUP(I63,[8]stage_hints!$A:$D,4,FALSE)</f>
        <v>時間限定の「アヒル捕獲作戦」では_x000D_経験値素材ユニットが多く手に入ります</v>
      </c>
      <c r="M63" s="55" t="s">
        <v>208</v>
      </c>
    </row>
    <row r="64" spans="1:13" x14ac:dyDescent="0.15">
      <c r="A64" s="78" t="s">
        <v>198</v>
      </c>
      <c r="B64" s="79">
        <v>13400</v>
      </c>
      <c r="C64" s="80" t="str">
        <f ca="1">VLOOKUP($B64,OFFSET([2]quests!$A$1,0,0,COUNTA([2]quests!$A:$A),MATCH(C$1,[2]quests!$1:$1,0)-MATCH($B$1,[2]quests!$1:$1,0)+1),MATCH(C$1,[2]quests!$1:$1,0)-MATCH($B$1,[2]quests!$1:$1,0)+1,FALSE)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4" s="80" t="str">
        <f ca="1">VLOOKUP($B64,OFFSET([2]quests!$A$1,0,0,COUNTA([2]quests!$A:$A),MATCH(D$1,[2]quests!$1:$1,0)-MATCH($B$1,[2]quests!$1:$1,0)+1),MATCH(D$1,[2]quests!$1:$1,0)-MATCH($B$1,[2]quests!$1:$1,0)+1,FALSE)</f>
        <v>タワーオブザクイーン2本目</v>
      </c>
      <c r="E64" s="84" t="s">
        <v>213</v>
      </c>
      <c r="F64" s="80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0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2">
        <v>0</v>
      </c>
      <c r="I64" s="93">
        <v>9</v>
      </c>
      <c r="J64" s="81" t="s">
        <v>196</v>
      </c>
      <c r="K64" s="90" t="str">
        <f>VLOOKUP(I64,[8]stage_hints!$A:$C,3,FALSE)</f>
        <v>ゴールドダックでビットを獲得</v>
      </c>
      <c r="L64" s="91" t="str">
        <f>VLOOKUP(I64,[8]stage_hints!$A:$D,4,FALSE)</f>
        <v>「ゴールドなアヒル」を売却すると_x000D_大量のビットがもらえます</v>
      </c>
      <c r="M64" s="55" t="s">
        <v>208</v>
      </c>
    </row>
    <row r="65" spans="1:13" x14ac:dyDescent="0.15">
      <c r="A65" s="78" t="s">
        <v>198</v>
      </c>
      <c r="B65" s="79">
        <v>13400</v>
      </c>
      <c r="C65" s="80" t="str">
        <f ca="1">VLOOKUP($B65,OFFSET([2]quests!$A$1,0,0,COUNTA([2]quests!$A:$A),MATCH(C$1,[2]quests!$1:$1,0)-MATCH($B$1,[2]quests!$1:$1,0)+1),MATCH(C$1,[2]quests!$1:$1,0)-MATCH($B$1,[2]quests!$1:$1,0)+1,FALSE)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5" s="80" t="str">
        <f ca="1">VLOOKUP($B65,OFFSET([2]quests!$A$1,0,0,COUNTA([2]quests!$A:$A),MATCH(D$1,[2]quests!$1:$1,0)-MATCH($B$1,[2]quests!$1:$1,0)+1),MATCH(D$1,[2]quests!$1:$1,0)-MATCH($B$1,[2]quests!$1:$1,0)+1,FALSE)</f>
        <v>タワーオブザクイーン2本目</v>
      </c>
      <c r="E65" s="84" t="s">
        <v>213</v>
      </c>
      <c r="F65" s="80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0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2">
        <v>0</v>
      </c>
      <c r="I65" s="93">
        <v>10</v>
      </c>
      <c r="J65" s="81" t="s">
        <v>196</v>
      </c>
      <c r="K65" s="90" t="str">
        <f>VLOOKUP(I65,[8]stage_hints!$A:$C,3,FALSE)</f>
        <v>土日に大量のビットを獲得</v>
      </c>
      <c r="L65" s="91" t="str">
        <f>VLOOKUP(I65,[8]stage_hints!$A:$D,4,FALSE)</f>
        <v>土日限定の「ゴールドカジノ」では_x000D_売却素材ユニットが多く手に入ります</v>
      </c>
      <c r="M65" s="55" t="s">
        <v>208</v>
      </c>
    </row>
    <row r="66" spans="1:13" x14ac:dyDescent="0.15">
      <c r="A66" s="78" t="s">
        <v>198</v>
      </c>
      <c r="B66" s="79">
        <v>13400</v>
      </c>
      <c r="C66" s="80" t="str">
        <f ca="1">VLOOKUP($B66,OFFSET([2]quests!$A$1,0,0,COUNTA([2]quests!$A:$A),MATCH(C$1,[2]quests!$1:$1,0)-MATCH($B$1,[2]quests!$1:$1,0)+1),MATCH(C$1,[2]quests!$1:$1,0)-MATCH($B$1,[2]quests!$1:$1,0)+1,FALSE)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6" s="80" t="str">
        <f ca="1">VLOOKUP($B66,OFFSET([2]quests!$A$1,0,0,COUNTA([2]quests!$A:$A),MATCH(D$1,[2]quests!$1:$1,0)-MATCH($B$1,[2]quests!$1:$1,0)+1),MATCH(D$1,[2]quests!$1:$1,0)-MATCH($B$1,[2]quests!$1:$1,0)+1,FALSE)</f>
        <v>タワーオブザクイーン2本目</v>
      </c>
      <c r="E66" s="84" t="s">
        <v>213</v>
      </c>
      <c r="F66" s="80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0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2">
        <v>0</v>
      </c>
      <c r="I66" s="93">
        <v>11</v>
      </c>
      <c r="J66" s="81" t="s">
        <v>196</v>
      </c>
      <c r="K66" s="90" t="str">
        <f>VLOOKUP(I66,[8]stage_hints!$A:$C,3,FALSE)</f>
        <v>ゲリラクエストは要チェック</v>
      </c>
      <c r="L66" s="91" t="str">
        <f>VLOOKUP(I66,[8]stage_hints!$A:$D,4,FALSE)</f>
        <v>時間限定の「アヒル捕獲作戦」では_x000D_経験値素材ユニットが多く手に入ります</v>
      </c>
      <c r="M66" s="55" t="s">
        <v>208</v>
      </c>
    </row>
    <row r="67" spans="1:13" x14ac:dyDescent="0.15">
      <c r="A67" s="78" t="s">
        <v>198</v>
      </c>
      <c r="B67" s="79">
        <v>13400</v>
      </c>
      <c r="C67" s="80" t="str">
        <f ca="1">VLOOKUP($B67,OFFSET([2]quests!$A$1,0,0,COUNTA([2]quests!$A:$A),MATCH(C$1,[2]quests!$1:$1,0)-MATCH($B$1,[2]quests!$1:$1,0)+1),MATCH(C$1,[2]quests!$1:$1,0)-MATCH($B$1,[2]quests!$1:$1,0)+1,FALSE)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7" s="80" t="str">
        <f ca="1">VLOOKUP($B67,OFFSET([2]quests!$A$1,0,0,COUNTA([2]quests!$A:$A),MATCH(D$1,[2]quests!$1:$1,0)-MATCH($B$1,[2]quests!$1:$1,0)+1),MATCH(D$1,[2]quests!$1:$1,0)-MATCH($B$1,[2]quests!$1:$1,0)+1,FALSE)</f>
        <v>タワーオブザクイーン2本目</v>
      </c>
      <c r="E67" s="84" t="s">
        <v>213</v>
      </c>
      <c r="F67" s="80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0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2">
        <v>0</v>
      </c>
      <c r="I67" s="93">
        <v>12</v>
      </c>
      <c r="J67" s="81" t="s">
        <v>196</v>
      </c>
      <c r="K67" s="90" t="str">
        <f>VLOOKUP(I67,[8]stage_hints!$A:$C,3,FALSE)</f>
        <v>ユニットのお気に入り登録</v>
      </c>
      <c r="L67" s="91" t="str">
        <f>VLOOKUP(I67,[8]stage_hints!$A:$D,4,FALSE)</f>
        <v>大事なユニットを誤って消さないように_x000D_フォルダから「お気に入り登録」しましょう</v>
      </c>
      <c r="M67" s="55" t="s">
        <v>208</v>
      </c>
    </row>
    <row r="68" spans="1:13" x14ac:dyDescent="0.15">
      <c r="A68" s="78" t="s">
        <v>198</v>
      </c>
      <c r="B68" s="79">
        <v>13400</v>
      </c>
      <c r="C68" s="80" t="str">
        <f ca="1">VLOOKUP($B68,OFFSET([2]quests!$A$1,0,0,COUNTA([2]quests!$A:$A),MATCH(C$1,[2]quests!$1:$1,0)-MATCH($B$1,[2]quests!$1:$1,0)+1),MATCH(C$1,[2]quests!$1:$1,0)-MATCH($B$1,[2]quests!$1:$1,0)+1,FALSE)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8" s="80" t="str">
        <f ca="1">VLOOKUP($B68,OFFSET([2]quests!$A$1,0,0,COUNTA([2]quests!$A:$A),MATCH(D$1,[2]quests!$1:$1,0)-MATCH($B$1,[2]quests!$1:$1,0)+1),MATCH(D$1,[2]quests!$1:$1,0)-MATCH($B$1,[2]quests!$1:$1,0)+1,FALSE)</f>
        <v>タワーオブザクイーン2本目</v>
      </c>
      <c r="E68" s="84" t="s">
        <v>213</v>
      </c>
      <c r="F68" s="80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0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2">
        <v>0</v>
      </c>
      <c r="I68" s="93">
        <v>13</v>
      </c>
      <c r="J68" s="81" t="s">
        <v>196</v>
      </c>
      <c r="K68" s="90" t="str">
        <f>VLOOKUP(I68,[8]stage_hints!$A:$C,3,FALSE)</f>
        <v>ユニットの覚醒</v>
      </c>
      <c r="L68" s="91" t="str">
        <f>VLOOKUP(I68,[8]stage_hints!$A:$D,4,FALSE)</f>
        <v>ユニットを覚醒させると_x000D_比べものにならない強さが手に入ります</v>
      </c>
      <c r="M68" s="55" t="s">
        <v>208</v>
      </c>
    </row>
    <row r="69" spans="1:13" x14ac:dyDescent="0.15">
      <c r="A69" s="78" t="s">
        <v>198</v>
      </c>
      <c r="B69" s="79">
        <v>13400</v>
      </c>
      <c r="C69" s="80" t="str">
        <f ca="1">VLOOKUP($B69,OFFSET([2]quests!$A$1,0,0,COUNTA([2]quests!$A:$A),MATCH(C$1,[2]quests!$1:$1,0)-MATCH($B$1,[2]quests!$1:$1,0)+1),MATCH(C$1,[2]quests!$1:$1,0)-MATCH($B$1,[2]quests!$1:$1,0)+1,FALSE)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9" s="80" t="str">
        <f ca="1">VLOOKUP($B69,OFFSET([2]quests!$A$1,0,0,COUNTA([2]quests!$A:$A),MATCH(D$1,[2]quests!$1:$1,0)-MATCH($B$1,[2]quests!$1:$1,0)+1),MATCH(D$1,[2]quests!$1:$1,0)-MATCH($B$1,[2]quests!$1:$1,0)+1,FALSE)</f>
        <v>タワーオブザクイーン2本目</v>
      </c>
      <c r="E69" s="84" t="s">
        <v>213</v>
      </c>
      <c r="F69" s="80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0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2">
        <v>0</v>
      </c>
      <c r="I69" s="93">
        <v>14</v>
      </c>
      <c r="J69" s="81" t="s">
        <v>196</v>
      </c>
      <c r="K69" s="90" t="str">
        <f>VLOOKUP(I69,[8]stage_hints!$A:$C,3,FALSE)</f>
        <v>覚醒するにはレベルを最大に</v>
      </c>
      <c r="L69" s="91" t="str">
        <f>VLOOKUP(I69,[8]stage_hints!$A:$D,4,FALSE)</f>
        <v>覚醒するにはユニットのレベルを_x000D_最大まで上げる必要があります</v>
      </c>
      <c r="M69" s="55" t="s">
        <v>208</v>
      </c>
    </row>
    <row r="70" spans="1:13" x14ac:dyDescent="0.15">
      <c r="A70" s="78" t="s">
        <v>198</v>
      </c>
      <c r="B70" s="79">
        <v>13400</v>
      </c>
      <c r="C70" s="80" t="str">
        <f ca="1">VLOOKUP($B70,OFFSET([2]quests!$A$1,0,0,COUNTA([2]quests!$A:$A),MATCH(C$1,[2]quests!$1:$1,0)-MATCH($B$1,[2]quests!$1:$1,0)+1),MATCH(C$1,[2]quests!$1:$1,0)-MATCH($B$1,[2]quests!$1:$1,0)+1,FALSE)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0" s="80" t="str">
        <f ca="1">VLOOKUP($B70,OFFSET([2]quests!$A$1,0,0,COUNTA([2]quests!$A:$A),MATCH(D$1,[2]quests!$1:$1,0)-MATCH($B$1,[2]quests!$1:$1,0)+1),MATCH(D$1,[2]quests!$1:$1,0)-MATCH($B$1,[2]quests!$1:$1,0)+1,FALSE)</f>
        <v>タワーオブザクイーン2本目</v>
      </c>
      <c r="E70" s="84" t="s">
        <v>213</v>
      </c>
      <c r="F70" s="80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0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2">
        <v>0</v>
      </c>
      <c r="I70" s="93">
        <v>15</v>
      </c>
      <c r="J70" s="81" t="s">
        <v>196</v>
      </c>
      <c r="K70" s="90" t="str">
        <f>VLOOKUP(I70,[8]stage_hints!$A:$C,3,FALSE)</f>
        <v>覚醒素材を獲得</v>
      </c>
      <c r="L70" s="91" t="str">
        <f>VLOOKUP(I70,[8]stage_hints!$A:$D,4,FALSE)</f>
        <v>「曜日クエスト」では_x000D_ユニットの覚醒に必要な素材が手に入ります</v>
      </c>
      <c r="M70" s="55" t="s">
        <v>208</v>
      </c>
    </row>
    <row r="71" spans="1:13" x14ac:dyDescent="0.15">
      <c r="A71" s="78" t="s">
        <v>198</v>
      </c>
      <c r="B71" s="79">
        <v>13400</v>
      </c>
      <c r="C71" s="80" t="str">
        <f ca="1">VLOOKUP($B71,OFFSET([2]quests!$A$1,0,0,COUNTA([2]quests!$A:$A),MATCH(C$1,[2]quests!$1:$1,0)-MATCH($B$1,[2]quests!$1:$1,0)+1),MATCH(C$1,[2]quests!$1:$1,0)-MATCH($B$1,[2]quests!$1:$1,0)+1,FALSE)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1" s="80" t="str">
        <f ca="1">VLOOKUP($B71,OFFSET([2]quests!$A$1,0,0,COUNTA([2]quests!$A:$A),MATCH(D$1,[2]quests!$1:$1,0)-MATCH($B$1,[2]quests!$1:$1,0)+1),MATCH(D$1,[2]quests!$1:$1,0)-MATCH($B$1,[2]quests!$1:$1,0)+1,FALSE)</f>
        <v>タワーオブザクイーン2本目</v>
      </c>
      <c r="E71" s="84" t="s">
        <v>213</v>
      </c>
      <c r="F71" s="80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0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2">
        <v>0</v>
      </c>
      <c r="I71" s="93">
        <v>16</v>
      </c>
      <c r="J71" s="81" t="s">
        <v>196</v>
      </c>
      <c r="K71" s="90" t="str">
        <f>VLOOKUP(I71,[8]stage_hints!$A:$C,3,FALSE)</f>
        <v>マルチプレイのメリット（その1）</v>
      </c>
      <c r="L71" s="91" t="str">
        <f>VLOOKUP(I71,[8]stage_hints!$A:$D,4,FALSE)</f>
        <v>他のプレイヤーとマルチプレイで遊ぶと_x000D_ポリゴンがもらえます（100人まで）</v>
      </c>
      <c r="M71" s="55" t="s">
        <v>208</v>
      </c>
    </row>
    <row r="72" spans="1:13" x14ac:dyDescent="0.15">
      <c r="A72" s="78" t="s">
        <v>198</v>
      </c>
      <c r="B72" s="79">
        <v>13400</v>
      </c>
      <c r="C72" s="80" t="str">
        <f ca="1">VLOOKUP($B72,OFFSET([2]quests!$A$1,0,0,COUNTA([2]quests!$A:$A),MATCH(C$1,[2]quests!$1:$1,0)-MATCH($B$1,[2]quests!$1:$1,0)+1),MATCH(C$1,[2]quests!$1:$1,0)-MATCH($B$1,[2]quests!$1:$1,0)+1,FALSE)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2" s="80" t="str">
        <f ca="1">VLOOKUP($B72,OFFSET([2]quests!$A$1,0,0,COUNTA([2]quests!$A:$A),MATCH(D$1,[2]quests!$1:$1,0)-MATCH($B$1,[2]quests!$1:$1,0)+1),MATCH(D$1,[2]quests!$1:$1,0)-MATCH($B$1,[2]quests!$1:$1,0)+1,FALSE)</f>
        <v>タワーオブザクイーン2本目</v>
      </c>
      <c r="E72" s="84" t="s">
        <v>213</v>
      </c>
      <c r="F72" s="80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0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2">
        <v>0</v>
      </c>
      <c r="I72" s="93">
        <v>17</v>
      </c>
      <c r="J72" s="81" t="s">
        <v>196</v>
      </c>
      <c r="K72" s="90" t="str">
        <f>VLOOKUP(I72,[8]stage_hints!$A:$C,3,FALSE)</f>
        <v>リンクガチャ</v>
      </c>
      <c r="L72" s="91" t="str">
        <f>VLOOKUP(I72,[8]stage_hints!$A:$D,4,FALSE)</f>
        <v>無料のリンクガチャを回して_x000D_経験値素材や売却素材を獲得しましょう</v>
      </c>
      <c r="M72" s="55" t="s">
        <v>208</v>
      </c>
    </row>
    <row r="73" spans="1:13" x14ac:dyDescent="0.15">
      <c r="A73" s="78" t="s">
        <v>198</v>
      </c>
      <c r="B73" s="79">
        <v>13400</v>
      </c>
      <c r="C73" s="80" t="str">
        <f ca="1">VLOOKUP($B73,OFFSET([2]quests!$A$1,0,0,COUNTA([2]quests!$A:$A),MATCH(C$1,[2]quests!$1:$1,0)-MATCH($B$1,[2]quests!$1:$1,0)+1),MATCH(C$1,[2]quests!$1:$1,0)-MATCH($B$1,[2]quests!$1:$1,0)+1,FALSE)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3" s="80" t="str">
        <f ca="1">VLOOKUP($B73,OFFSET([2]quests!$A$1,0,0,COUNTA([2]quests!$A:$A),MATCH(D$1,[2]quests!$1:$1,0)-MATCH($B$1,[2]quests!$1:$1,0)+1),MATCH(D$1,[2]quests!$1:$1,0)-MATCH($B$1,[2]quests!$1:$1,0)+1,FALSE)</f>
        <v>タワーオブザクイーン2本目</v>
      </c>
      <c r="E73" s="84" t="s">
        <v>213</v>
      </c>
      <c r="F73" s="80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0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2">
        <v>0</v>
      </c>
      <c r="I73" s="93">
        <v>18</v>
      </c>
      <c r="J73" s="81" t="s">
        <v>196</v>
      </c>
      <c r="K73" s="90" t="str">
        <f>VLOOKUP(I73,[8]stage_hints!$A:$C,3,FALSE)</f>
        <v>マルチプレイのメリット（その2）</v>
      </c>
      <c r="L73" s="91" t="str">
        <f>VLOOKUP(I73,[8]stage_hints!$A:$D,4,FALSE)</f>
        <v>マルチプレイならリンクが2倍もらえます_x000D_リンクガチャをたくさん回しましょう</v>
      </c>
      <c r="M73" s="55" t="s">
        <v>208</v>
      </c>
    </row>
    <row r="74" spans="1:13" x14ac:dyDescent="0.15">
      <c r="A74" s="78" t="s">
        <v>198</v>
      </c>
      <c r="B74" s="79">
        <v>13400</v>
      </c>
      <c r="C74" s="80" t="str">
        <f ca="1">VLOOKUP($B74,OFFSET([2]quests!$A$1,0,0,COUNTA([2]quests!$A:$A),MATCH(C$1,[2]quests!$1:$1,0)-MATCH($B$1,[2]quests!$1:$1,0)+1),MATCH(C$1,[2]quests!$1:$1,0)-MATCH($B$1,[2]quests!$1:$1,0)+1,FALSE)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4" s="80" t="str">
        <f ca="1">VLOOKUP($B74,OFFSET([2]quests!$A$1,0,0,COUNTA([2]quests!$A:$A),MATCH(D$1,[2]quests!$1:$1,0)-MATCH($B$1,[2]quests!$1:$1,0)+1),MATCH(D$1,[2]quests!$1:$1,0)-MATCH($B$1,[2]quests!$1:$1,0)+1,FALSE)</f>
        <v>タワーオブザクイーン2本目</v>
      </c>
      <c r="E74" s="84" t="s">
        <v>213</v>
      </c>
      <c r="F74" s="80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0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2">
        <v>0</v>
      </c>
      <c r="I74" s="93">
        <v>19</v>
      </c>
      <c r="J74" s="81" t="s">
        <v>196</v>
      </c>
      <c r="K74" s="90" t="str">
        <f>VLOOKUP(I74,[8]stage_hints!$A:$C,3,FALSE)</f>
        <v>ソロ専用タワーオブザクイーン</v>
      </c>
      <c r="L74" s="91" t="str">
        <f>VLOOKUP(I74,[8]stage_hints!$A:$D,4,FALSE)</f>
        <v>ソロ専用の「タワーオブザクイーン」は_x000D_期間限定で定期的に開催されます_x000D_ここでしか獲得できない報酬もあるようです</v>
      </c>
      <c r="M74" s="55" t="s">
        <v>208</v>
      </c>
    </row>
    <row r="75" spans="1:13" x14ac:dyDescent="0.15">
      <c r="A75" s="78" t="s">
        <v>198</v>
      </c>
      <c r="B75" s="79">
        <v>13400</v>
      </c>
      <c r="C75" s="80" t="str">
        <f ca="1">VLOOKUP($B75,OFFSET([2]quests!$A$1,0,0,COUNTA([2]quests!$A:$A),MATCH(C$1,[2]quests!$1:$1,0)-MATCH($B$1,[2]quests!$1:$1,0)+1),MATCH(C$1,[2]quests!$1:$1,0)-MATCH($B$1,[2]quests!$1:$1,0)+1,FALSE)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5" s="80" t="str">
        <f ca="1">VLOOKUP($B75,OFFSET([2]quests!$A$1,0,0,COUNTA([2]quests!$A:$A),MATCH(D$1,[2]quests!$1:$1,0)-MATCH($B$1,[2]quests!$1:$1,0)+1),MATCH(D$1,[2]quests!$1:$1,0)-MATCH($B$1,[2]quests!$1:$1,0)+1,FALSE)</f>
        <v>タワーオブザクイーン2本目</v>
      </c>
      <c r="E75" s="84" t="s">
        <v>213</v>
      </c>
      <c r="F75" s="80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0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2">
        <v>0</v>
      </c>
      <c r="I75" s="93">
        <v>20</v>
      </c>
      <c r="J75" s="81" t="s">
        <v>196</v>
      </c>
      <c r="K75" s="90" t="str">
        <f>VLOOKUP(I75,[8]stage_hints!$A:$C,3,FALSE)</f>
        <v>マルチプレイのメリット（その3）</v>
      </c>
      <c r="L75" s="91" t="str">
        <f>VLOOKUP(I75,[8]stage_hints!$A:$D,4,FALSE)</f>
        <v>マルチプレイへの参加はエナジー消費ゼロ_x000D_いつでも好きなだけ遊ぶことができます</v>
      </c>
      <c r="M75" s="55" t="s">
        <v>208</v>
      </c>
    </row>
    <row r="76" spans="1:13" x14ac:dyDescent="0.15">
      <c r="A76" s="78" t="s">
        <v>198</v>
      </c>
      <c r="B76" s="79">
        <v>13400</v>
      </c>
      <c r="C76" s="80" t="str">
        <f ca="1">VLOOKUP($B76,OFFSET([2]quests!$A$1,0,0,COUNTA([2]quests!$A:$A),MATCH(C$1,[2]quests!$1:$1,0)-MATCH($B$1,[2]quests!$1:$1,0)+1),MATCH(C$1,[2]quests!$1:$1,0)-MATCH($B$1,[2]quests!$1:$1,0)+1,FALSE)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6" s="80" t="str">
        <f ca="1">VLOOKUP($B76,OFFSET([2]quests!$A$1,0,0,COUNTA([2]quests!$A:$A),MATCH(D$1,[2]quests!$1:$1,0)-MATCH($B$1,[2]quests!$1:$1,0)+1),MATCH(D$1,[2]quests!$1:$1,0)-MATCH($B$1,[2]quests!$1:$1,0)+1,FALSE)</f>
        <v>タワーオブザクイーン2本目</v>
      </c>
      <c r="E76" s="84" t="s">
        <v>213</v>
      </c>
      <c r="F76" s="80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0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2">
        <v>0</v>
      </c>
      <c r="I76" s="93">
        <v>21</v>
      </c>
      <c r="J76" s="81" t="s">
        <v>196</v>
      </c>
      <c r="K76" s="90" t="str">
        <f>VLOOKUP(I76,[8]stage_hints!$A:$C,3,FALSE)</f>
        <v>スキルを有効に</v>
      </c>
      <c r="L76" s="91" t="str">
        <f>VLOOKUP(I76,[8]stage_hints!$A:$D,4,FALSE)</f>
        <v>ターン経過でユニットのスキルが使えます_x000D_強力スキルでバトルを有利に進めましょう</v>
      </c>
      <c r="M76" s="55" t="s">
        <v>208</v>
      </c>
    </row>
    <row r="77" spans="1:13" x14ac:dyDescent="0.15">
      <c r="A77" s="78" t="s">
        <v>198</v>
      </c>
      <c r="B77" s="79">
        <v>13400</v>
      </c>
      <c r="C77" s="80" t="str">
        <f ca="1">VLOOKUP($B77,OFFSET([2]quests!$A$1,0,0,COUNTA([2]quests!$A:$A),MATCH(C$1,[2]quests!$1:$1,0)-MATCH($B$1,[2]quests!$1:$1,0)+1),MATCH(C$1,[2]quests!$1:$1,0)-MATCH($B$1,[2]quests!$1:$1,0)+1,FALSE)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7" s="80" t="str">
        <f ca="1">VLOOKUP($B77,OFFSET([2]quests!$A$1,0,0,COUNTA([2]quests!$A:$A),MATCH(D$1,[2]quests!$1:$1,0)-MATCH($B$1,[2]quests!$1:$1,0)+1),MATCH(D$1,[2]quests!$1:$1,0)-MATCH($B$1,[2]quests!$1:$1,0)+1,FALSE)</f>
        <v>タワーオブザクイーン2本目</v>
      </c>
      <c r="E77" s="84" t="s">
        <v>213</v>
      </c>
      <c r="F77" s="80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0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2">
        <v>0</v>
      </c>
      <c r="I77" s="93">
        <v>22</v>
      </c>
      <c r="J77" s="81" t="s">
        <v>196</v>
      </c>
      <c r="K77" s="90" t="str">
        <f>VLOOKUP(I77,[8]stage_hints!$A:$C,3,FALSE)</f>
        <v>フィーバーで一発逆転（その1）</v>
      </c>
      <c r="L77" s="91" t="str">
        <f>VLOOKUP(I77,[8]stage_hints!$A:$D,4,FALSE)</f>
        <v>フィーバーは攻撃と回復を兼ね備えます_x000D_ピンチからの一発逆転を狙いましょう</v>
      </c>
      <c r="M77" s="55" t="s">
        <v>208</v>
      </c>
    </row>
    <row r="78" spans="1:13" x14ac:dyDescent="0.15">
      <c r="A78" s="78" t="s">
        <v>198</v>
      </c>
      <c r="B78" s="79">
        <v>13400</v>
      </c>
      <c r="C78" s="80" t="str">
        <f ca="1">VLOOKUP($B78,OFFSET([2]quests!$A$1,0,0,COUNTA([2]quests!$A:$A),MATCH(C$1,[2]quests!$1:$1,0)-MATCH($B$1,[2]quests!$1:$1,0)+1),MATCH(C$1,[2]quests!$1:$1,0)-MATCH($B$1,[2]quests!$1:$1,0)+1,FALSE)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8" s="80" t="str">
        <f ca="1">VLOOKUP($B78,OFFSET([2]quests!$A$1,0,0,COUNTA([2]quests!$A:$A),MATCH(D$1,[2]quests!$1:$1,0)-MATCH($B$1,[2]quests!$1:$1,0)+1),MATCH(D$1,[2]quests!$1:$1,0)-MATCH($B$1,[2]quests!$1:$1,0)+1,FALSE)</f>
        <v>タワーオブザクイーン2本目</v>
      </c>
      <c r="E78" s="84" t="s">
        <v>213</v>
      </c>
      <c r="F78" s="80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0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2">
        <v>0</v>
      </c>
      <c r="I78" s="93">
        <v>23</v>
      </c>
      <c r="J78" s="81" t="s">
        <v>196</v>
      </c>
      <c r="K78" s="90" t="str">
        <f>VLOOKUP(I78,[8]stage_hints!$A:$C,3,FALSE)</f>
        <v>フィーバーで一発逆転（その2）</v>
      </c>
      <c r="L78" s="91" t="str">
        <f>VLOOKUP(I78,[8]stage_hints!$A:$D,4,FALSE)</f>
        <v>フィーバー中は虹色のボムパネルを狙って_x000D_画面上のパネルを一気に破壊しましょう</v>
      </c>
      <c r="M78" s="55" t="s">
        <v>208</v>
      </c>
    </row>
    <row r="79" spans="1:13" x14ac:dyDescent="0.15">
      <c r="A79" s="78" t="s">
        <v>198</v>
      </c>
      <c r="B79" s="79">
        <v>13400</v>
      </c>
      <c r="C79" s="80" t="str">
        <f ca="1">VLOOKUP($B79,OFFSET([2]quests!$A$1,0,0,COUNTA([2]quests!$A:$A),MATCH(C$1,[2]quests!$1:$1,0)-MATCH($B$1,[2]quests!$1:$1,0)+1),MATCH(C$1,[2]quests!$1:$1,0)-MATCH($B$1,[2]quests!$1:$1,0)+1,FALSE)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9" s="80" t="str">
        <f ca="1">VLOOKUP($B79,OFFSET([2]quests!$A$1,0,0,COUNTA([2]quests!$A:$A),MATCH(D$1,[2]quests!$1:$1,0)-MATCH($B$1,[2]quests!$1:$1,0)+1),MATCH(D$1,[2]quests!$1:$1,0)-MATCH($B$1,[2]quests!$1:$1,0)+1,FALSE)</f>
        <v>タワーオブザクイーン2本目</v>
      </c>
      <c r="E79" s="84" t="s">
        <v>213</v>
      </c>
      <c r="F79" s="80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0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2">
        <v>0</v>
      </c>
      <c r="I79" s="93">
        <v>24</v>
      </c>
      <c r="J79" s="81" t="s">
        <v>196</v>
      </c>
      <c r="K79" s="90" t="str">
        <f>VLOOKUP(I79,[8]stage_hints!$A:$C,3,FALSE)</f>
        <v>果実を使って限界突破</v>
      </c>
      <c r="L79" s="91" t="str">
        <f>VLOOKUP(I79,[8]stage_hints!$A:$D,4,FALSE)</f>
        <v>攻めの果実 癒しの果実_x000D_生命の果実をユニット強化に使うと_x000D_ステータスが限界突破します（計99個迄）</v>
      </c>
      <c r="M79" s="55" t="s">
        <v>208</v>
      </c>
    </row>
    <row r="80" spans="1:13" x14ac:dyDescent="0.15">
      <c r="A80" s="78" t="s">
        <v>198</v>
      </c>
      <c r="B80" s="79">
        <v>13400</v>
      </c>
      <c r="C80" s="80" t="str">
        <f ca="1">VLOOKUP($B80,OFFSET([2]quests!$A$1,0,0,COUNTA([2]quests!$A:$A),MATCH(C$1,[2]quests!$1:$1,0)-MATCH($B$1,[2]quests!$1:$1,0)+1),MATCH(C$1,[2]quests!$1:$1,0)-MATCH($B$1,[2]quests!$1:$1,0)+1,FALSE)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0" s="80" t="str">
        <f ca="1">VLOOKUP($B80,OFFSET([2]quests!$A$1,0,0,COUNTA([2]quests!$A:$A),MATCH(D$1,[2]quests!$1:$1,0)-MATCH($B$1,[2]quests!$1:$1,0)+1),MATCH(D$1,[2]quests!$1:$1,0)-MATCH($B$1,[2]quests!$1:$1,0)+1,FALSE)</f>
        <v>タワーオブザクイーン2本目</v>
      </c>
      <c r="E80" s="84" t="s">
        <v>213</v>
      </c>
      <c r="F80" s="80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0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2">
        <v>0</v>
      </c>
      <c r="I80" s="93">
        <v>25</v>
      </c>
      <c r="J80" s="81" t="s">
        <v>196</v>
      </c>
      <c r="K80" s="90" t="str">
        <f>VLOOKUP(I80,[8]stage_hints!$A:$C,3,FALSE)</f>
        <v>スキルレベルアップ</v>
      </c>
      <c r="L80" s="91" t="str">
        <f>VLOOKUP(I80,[8]stage_hints!$A:$D,4,FALSE)</f>
        <v>「秘術の果実」を強化に使うと_x000D_スキルレベルを上げることができます</v>
      </c>
      <c r="M80" s="55" t="s">
        <v>208</v>
      </c>
    </row>
    <row r="81" spans="1:13" x14ac:dyDescent="0.15">
      <c r="A81" s="78" t="s">
        <v>198</v>
      </c>
      <c r="B81" s="79">
        <v>13400</v>
      </c>
      <c r="C81" s="80" t="str">
        <f ca="1">VLOOKUP($B81,OFFSET([2]quests!$A$1,0,0,COUNTA([2]quests!$A:$A),MATCH(C$1,[2]quests!$1:$1,0)-MATCH($B$1,[2]quests!$1:$1,0)+1),MATCH(C$1,[2]quests!$1:$1,0)-MATCH($B$1,[2]quests!$1:$1,0)+1,FALSE)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1" s="80" t="str">
        <f ca="1">VLOOKUP($B81,OFFSET([2]quests!$A$1,0,0,COUNTA([2]quests!$A:$A),MATCH(D$1,[2]quests!$1:$1,0)-MATCH($B$1,[2]quests!$1:$1,0)+1),MATCH(D$1,[2]quests!$1:$1,0)-MATCH($B$1,[2]quests!$1:$1,0)+1,FALSE)</f>
        <v>タワーオブザクイーン2本目</v>
      </c>
      <c r="E81" s="84" t="s">
        <v>213</v>
      </c>
      <c r="F81" s="80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0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2">
        <v>0</v>
      </c>
      <c r="I81" s="93">
        <v>26</v>
      </c>
      <c r="J81" s="81" t="s">
        <v>196</v>
      </c>
      <c r="K81" s="90" t="str">
        <f>VLOOKUP(I81,[8]stage_hints!$A:$C,3,FALSE)</f>
        <v>スキルレベルの効果</v>
      </c>
      <c r="L81" s="91" t="str">
        <f>VLOOKUP(I81,[8]stage_hints!$A:$D,4,FALSE)</f>
        <v>スキルレベルが上がると_x000D_短いターンでスキルを使うことができます</v>
      </c>
      <c r="M81" s="55" t="s">
        <v>208</v>
      </c>
    </row>
    <row r="82" spans="1:13" x14ac:dyDescent="0.15">
      <c r="A82" s="78" t="s">
        <v>198</v>
      </c>
      <c r="B82" s="79">
        <v>13400</v>
      </c>
      <c r="C82" s="80" t="str">
        <f ca="1">VLOOKUP($B82,OFFSET([2]quests!$A$1,0,0,COUNTA([2]quests!$A:$A),MATCH(C$1,[2]quests!$1:$1,0)-MATCH($B$1,[2]quests!$1:$1,0)+1),MATCH(C$1,[2]quests!$1:$1,0)-MATCH($B$1,[2]quests!$1:$1,0)+1,FALSE)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2" s="80" t="str">
        <f ca="1">VLOOKUP($B82,OFFSET([2]quests!$A$1,0,0,COUNTA([2]quests!$A:$A),MATCH(D$1,[2]quests!$1:$1,0)-MATCH($B$1,[2]quests!$1:$1,0)+1),MATCH(D$1,[2]quests!$1:$1,0)-MATCH($B$1,[2]quests!$1:$1,0)+1,FALSE)</f>
        <v>タワーオブザクイーン2本目</v>
      </c>
      <c r="E82" s="84" t="s">
        <v>213</v>
      </c>
      <c r="F82" s="80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0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2">
        <v>0</v>
      </c>
      <c r="I82" s="93">
        <v>27</v>
      </c>
      <c r="J82" s="81" t="s">
        <v>196</v>
      </c>
      <c r="K82" s="90" t="str">
        <f>VLOOKUP(I82,[8]stage_hints!$A:$C,3,FALSE)</f>
        <v>ホーム画面からデッキを編成</v>
      </c>
      <c r="L82" s="91" t="str">
        <f>VLOOKUP(I82,[8]stage_hints!$A:$D,4,FALSE)</f>
        <v>ホーム画面でユニットを長押しすると_x000D_すぐにパーティ編成に移動できます</v>
      </c>
      <c r="M82" s="55" t="s">
        <v>208</v>
      </c>
    </row>
    <row r="83" spans="1:13" x14ac:dyDescent="0.15">
      <c r="A83" s="78" t="s">
        <v>198</v>
      </c>
      <c r="B83" s="79">
        <v>13400</v>
      </c>
      <c r="C83" s="80" t="str">
        <f ca="1">VLOOKUP($B83,OFFSET([2]quests!$A$1,0,0,COUNTA([2]quests!$A:$A),MATCH(C$1,[2]quests!$1:$1,0)-MATCH($B$1,[2]quests!$1:$1,0)+1),MATCH(C$1,[2]quests!$1:$1,0)-MATCH($B$1,[2]quests!$1:$1,0)+1,FALSE)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3" s="80" t="str">
        <f ca="1">VLOOKUP($B83,OFFSET([2]quests!$A$1,0,0,COUNTA([2]quests!$A:$A),MATCH(D$1,[2]quests!$1:$1,0)-MATCH($B$1,[2]quests!$1:$1,0)+1),MATCH(D$1,[2]quests!$1:$1,0)-MATCH($B$1,[2]quests!$1:$1,0)+1,FALSE)</f>
        <v>タワーオブザクイーン2本目</v>
      </c>
      <c r="E83" s="84" t="s">
        <v>213</v>
      </c>
      <c r="F83" s="80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0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2">
        <v>0</v>
      </c>
      <c r="I83" s="93">
        <v>28</v>
      </c>
      <c r="J83" s="81" t="s">
        <v>196</v>
      </c>
      <c r="K83" s="90" t="str">
        <f>VLOOKUP(I83,[8]stage_hints!$A:$C,3,FALSE)</f>
        <v>ステータス情報は長押しで</v>
      </c>
      <c r="L83" s="91" t="str">
        <f>VLOOKUP(I83,[8]stage_hints!$A:$D,4,FALSE)</f>
        <v>ユニットのアイコンを長押しすると_x000D_ステータス情報を確認することができます</v>
      </c>
      <c r="M83" s="55" t="s">
        <v>208</v>
      </c>
    </row>
    <row r="84" spans="1:13" x14ac:dyDescent="0.15">
      <c r="A84" s="78" t="s">
        <v>198</v>
      </c>
      <c r="B84" s="79">
        <v>13400</v>
      </c>
      <c r="C84" s="80" t="str">
        <f ca="1">VLOOKUP($B84,OFFSET([2]quests!$A$1,0,0,COUNTA([2]quests!$A:$A),MATCH(C$1,[2]quests!$1:$1,0)-MATCH($B$1,[2]quests!$1:$1,0)+1),MATCH(C$1,[2]quests!$1:$1,0)-MATCH($B$1,[2]quests!$1:$1,0)+1,FALSE)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4" s="80" t="str">
        <f ca="1">VLOOKUP($B84,OFFSET([2]quests!$A$1,0,0,COUNTA([2]quests!$A:$A),MATCH(D$1,[2]quests!$1:$1,0)-MATCH($B$1,[2]quests!$1:$1,0)+1),MATCH(D$1,[2]quests!$1:$1,0)-MATCH($B$1,[2]quests!$1:$1,0)+1,FALSE)</f>
        <v>タワーオブザクイーン2本目</v>
      </c>
      <c r="E84" s="84" t="s">
        <v>213</v>
      </c>
      <c r="F84" s="80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0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2">
        <v>0</v>
      </c>
      <c r="I84" s="93">
        <v>29</v>
      </c>
      <c r="J84" s="81" t="s">
        <v>196</v>
      </c>
      <c r="K84" s="90" t="str">
        <f>VLOOKUP(I84,[8]stage_hints!$A:$C,3,FALSE)</f>
        <v>「バグ」のメリット</v>
      </c>
      <c r="L84" s="91" t="str">
        <f>VLOOKUP(I84,[8]stage_hints!$A:$D,4,FALSE)</f>
        <v>ユニットの「バグ」を増やすと_x000D_報酬をもらえる確率がアップします</v>
      </c>
      <c r="M84" s="55" t="s">
        <v>208</v>
      </c>
    </row>
    <row r="85" spans="1:13" x14ac:dyDescent="0.15">
      <c r="A85" s="78" t="s">
        <v>198</v>
      </c>
      <c r="B85" s="79">
        <v>13400</v>
      </c>
      <c r="C85" s="80" t="str">
        <f ca="1">VLOOKUP($B85,OFFSET([2]quests!$A$1,0,0,COUNTA([2]quests!$A:$A),MATCH(C$1,[2]quests!$1:$1,0)-MATCH($B$1,[2]quests!$1:$1,0)+1),MATCH(C$1,[2]quests!$1:$1,0)-MATCH($B$1,[2]quests!$1:$1,0)+1,FALSE)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5" s="80" t="str">
        <f ca="1">VLOOKUP($B85,OFFSET([2]quests!$A$1,0,0,COUNTA([2]quests!$A:$A),MATCH(D$1,[2]quests!$1:$1,0)-MATCH($B$1,[2]quests!$1:$1,0)+1),MATCH(D$1,[2]quests!$1:$1,0)-MATCH($B$1,[2]quests!$1:$1,0)+1,FALSE)</f>
        <v>タワーオブザクイーン2本目</v>
      </c>
      <c r="E85" s="84" t="s">
        <v>213</v>
      </c>
      <c r="F85" s="80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0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2">
        <v>0</v>
      </c>
      <c r="I85" s="93">
        <v>30</v>
      </c>
      <c r="J85" s="81" t="s">
        <v>196</v>
      </c>
      <c r="K85" s="90" t="str">
        <f>VLOOKUP(I85,[8]stage_hints!$A:$C,3,FALSE)</f>
        <v>「バグ」の増やし方</v>
      </c>
      <c r="L85" s="91" t="str">
        <f>VLOOKUP(I85,[8]stage_hints!$A:$D,4,FALSE)</f>
        <v>同じユニット同士を強化で合成すると_x000D_「バグ」を増やすことができます</v>
      </c>
      <c r="M85" s="55" t="s">
        <v>208</v>
      </c>
    </row>
    <row r="86" spans="1:13" x14ac:dyDescent="0.15">
      <c r="A86" s="78" t="s">
        <v>198</v>
      </c>
      <c r="B86" s="79">
        <v>13400</v>
      </c>
      <c r="C86" s="80" t="str">
        <f ca="1">VLOOKUP($B86,OFFSET([2]quests!$A$1,0,0,COUNTA([2]quests!$A:$A),MATCH(C$1,[2]quests!$1:$1,0)-MATCH($B$1,[2]quests!$1:$1,0)+1),MATCH(C$1,[2]quests!$1:$1,0)-MATCH($B$1,[2]quests!$1:$1,0)+1,FALSE)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6" s="80" t="str">
        <f ca="1">VLOOKUP($B86,OFFSET([2]quests!$A$1,0,0,COUNTA([2]quests!$A:$A),MATCH(D$1,[2]quests!$1:$1,0)-MATCH($B$1,[2]quests!$1:$1,0)+1),MATCH(D$1,[2]quests!$1:$1,0)-MATCH($B$1,[2]quests!$1:$1,0)+1,FALSE)</f>
        <v>タワーオブザクイーン2本目</v>
      </c>
      <c r="E86" s="84" t="s">
        <v>213</v>
      </c>
      <c r="F86" s="80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0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2">
        <v>0</v>
      </c>
      <c r="I86" s="93">
        <v>31</v>
      </c>
      <c r="J86" s="81" t="s">
        <v>196</v>
      </c>
      <c r="K86" s="90" t="str">
        <f>VLOOKUP(I86,[8]stage_hints!$A:$C,3,FALSE)</f>
        <v>イベントはお知らせでチェック</v>
      </c>
      <c r="L86" s="91" t="str">
        <f>VLOOKUP(I86,[8]stage_hints!$A:$D,4,FALSE)</f>
        <v>イベント限定ユニットを取り忘れないように_x000D_お知らせをこまめにチェックしましょう</v>
      </c>
      <c r="M86" s="55" t="s">
        <v>208</v>
      </c>
    </row>
    <row r="87" spans="1:13" x14ac:dyDescent="0.15">
      <c r="A87" s="78" t="s">
        <v>198</v>
      </c>
      <c r="B87" s="79">
        <v>13400</v>
      </c>
      <c r="C87" s="80" t="str">
        <f ca="1">VLOOKUP($B87,OFFSET([2]quests!$A$1,0,0,COUNTA([2]quests!$A:$A),MATCH(C$1,[2]quests!$1:$1,0)-MATCH($B$1,[2]quests!$1:$1,0)+1),MATCH(C$1,[2]quests!$1:$1,0)-MATCH($B$1,[2]quests!$1:$1,0)+1,FALSE)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7" s="80" t="str">
        <f ca="1">VLOOKUP($B87,OFFSET([2]quests!$A$1,0,0,COUNTA([2]quests!$A:$A),MATCH(D$1,[2]quests!$1:$1,0)-MATCH($B$1,[2]quests!$1:$1,0)+1),MATCH(D$1,[2]quests!$1:$1,0)-MATCH($B$1,[2]quests!$1:$1,0)+1,FALSE)</f>
        <v>タワーオブザクイーン2本目</v>
      </c>
      <c r="E87" s="84" t="s">
        <v>213</v>
      </c>
      <c r="F87" s="80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0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2">
        <v>0</v>
      </c>
      <c r="I87" s="93">
        <v>32</v>
      </c>
      <c r="J87" s="81" t="s">
        <v>196</v>
      </c>
      <c r="K87" s="90" t="str">
        <f>VLOOKUP(I87,[8]stage_hints!$A:$C,3,FALSE)</f>
        <v>敵の連続攻撃には</v>
      </c>
      <c r="L87" s="91" t="str">
        <f>VLOOKUP(I87,[8]stage_hints!$A:$D,4,FALSE)</f>
        <v>カウンタースキルを持つユニットがいれば_x000D_ダメージ回数分の反撃ができます</v>
      </c>
      <c r="M87" s="55" t="s">
        <v>208</v>
      </c>
    </row>
    <row r="88" spans="1:13" x14ac:dyDescent="0.15">
      <c r="A88" s="78" t="s">
        <v>198</v>
      </c>
      <c r="B88" s="79">
        <v>13400</v>
      </c>
      <c r="C88" s="80" t="str">
        <f ca="1">VLOOKUP($B88,OFFSET([2]quests!$A$1,0,0,COUNTA([2]quests!$A:$A),MATCH(C$1,[2]quests!$1:$1,0)-MATCH($B$1,[2]quests!$1:$1,0)+1),MATCH(C$1,[2]quests!$1:$1,0)-MATCH($B$1,[2]quests!$1:$1,0)+1,FALSE)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8" s="80" t="str">
        <f ca="1">VLOOKUP($B88,OFFSET([2]quests!$A$1,0,0,COUNTA([2]quests!$A:$A),MATCH(D$1,[2]quests!$1:$1,0)-MATCH($B$1,[2]quests!$1:$1,0)+1),MATCH(D$1,[2]quests!$1:$1,0)-MATCH($B$1,[2]quests!$1:$1,0)+1,FALSE)</f>
        <v>タワーオブザクイーン2本目</v>
      </c>
      <c r="E88" s="84" t="s">
        <v>213</v>
      </c>
      <c r="F88" s="80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0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2">
        <v>0</v>
      </c>
      <c r="I88" s="93">
        <v>33</v>
      </c>
      <c r="J88" s="81" t="s">
        <v>196</v>
      </c>
      <c r="K88" s="90" t="str">
        <f>VLOOKUP(I88,[8]stage_hints!$A:$C,3,FALSE)</f>
        <v>敵のカウンター攻撃には</v>
      </c>
      <c r="L88" s="91" t="str">
        <f>VLOOKUP(I88,[8]stage_hints!$A:$D,4,FALSE)</f>
        <v>カウンターブレイクスキルを持っていれば_x000D_敵のカウンターを解除して攻撃ができます</v>
      </c>
      <c r="M88" s="55" t="s">
        <v>208</v>
      </c>
    </row>
    <row r="89" spans="1:13" x14ac:dyDescent="0.15">
      <c r="A89" s="78" t="s">
        <v>198</v>
      </c>
      <c r="B89" s="79">
        <v>13400</v>
      </c>
      <c r="C89" s="80" t="str">
        <f ca="1">VLOOKUP($B89,OFFSET([2]quests!$A$1,0,0,COUNTA([2]quests!$A:$A),MATCH(C$1,[2]quests!$1:$1,0)-MATCH($B$1,[2]quests!$1:$1,0)+1),MATCH(C$1,[2]quests!$1:$1,0)-MATCH($B$1,[2]quests!$1:$1,0)+1,FALSE)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89" s="80" t="str">
        <f ca="1">VLOOKUP($B89,OFFSET([2]quests!$A$1,0,0,COUNTA([2]quests!$A:$A),MATCH(D$1,[2]quests!$1:$1,0)-MATCH($B$1,[2]quests!$1:$1,0)+1),MATCH(D$1,[2]quests!$1:$1,0)-MATCH($B$1,[2]quests!$1:$1,0)+1,FALSE)</f>
        <v>タワーオブザクイーン2本目</v>
      </c>
      <c r="E89" s="84" t="s">
        <v>213</v>
      </c>
      <c r="F89" s="80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0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2">
        <v>0</v>
      </c>
      <c r="I89" s="93">
        <v>34</v>
      </c>
      <c r="J89" s="81" t="s">
        <v>196</v>
      </c>
      <c r="K89" s="90" t="str">
        <f>VLOOKUP(I89,[8]stage_hints!$A:$C,3,FALSE)</f>
        <v>ステータスをスキルで下げられたら</v>
      </c>
      <c r="L89" s="91" t="str">
        <f>VLOOKUP(I89,[8]stage_hints!$A:$D,4,FALSE)</f>
        <v>ステータスダウンのスキルを受けたら_x000D_ステータスアップスキルで上書きしましょう</v>
      </c>
      <c r="M89" s="55" t="s">
        <v>208</v>
      </c>
    </row>
    <row r="90" spans="1:13" x14ac:dyDescent="0.15">
      <c r="A90" s="78" t="s">
        <v>198</v>
      </c>
      <c r="B90" s="79">
        <v>13400</v>
      </c>
      <c r="C90" s="80" t="str">
        <f ca="1">VLOOKUP($B90,OFFSET([2]quests!$A$1,0,0,COUNTA([2]quests!$A:$A),MATCH(C$1,[2]quests!$1:$1,0)-MATCH($B$1,[2]quests!$1:$1,0)+1),MATCH(C$1,[2]quests!$1:$1,0)-MATCH($B$1,[2]quests!$1:$1,0)+1,FALSE)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0" s="80" t="str">
        <f ca="1">VLOOKUP($B90,OFFSET([2]quests!$A$1,0,0,COUNTA([2]quests!$A:$A),MATCH(D$1,[2]quests!$1:$1,0)-MATCH($B$1,[2]quests!$1:$1,0)+1),MATCH(D$1,[2]quests!$1:$1,0)-MATCH($B$1,[2]quests!$1:$1,0)+1,FALSE)</f>
        <v>タワーオブザクイーン2本目</v>
      </c>
      <c r="E90" s="84" t="s">
        <v>213</v>
      </c>
      <c r="F90" s="80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0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2">
        <v>0</v>
      </c>
      <c r="I90" s="93">
        <v>35</v>
      </c>
      <c r="J90" s="81" t="s">
        <v>196</v>
      </c>
      <c r="K90" s="90" t="str">
        <f>VLOOKUP(I90,[8]stage_hints!$A:$C,3,FALSE)</f>
        <v>敵のステータスがスキルで上がったら</v>
      </c>
      <c r="L90" s="91" t="str">
        <f>VLOOKUP(I90,[8]stage_hints!$A:$D,4,FALSE)</f>
        <v>敵のステータスがスキルでアップしたときは_x000D_ステータスダウンスキルで上書きしましょう</v>
      </c>
      <c r="M90" s="55" t="s">
        <v>208</v>
      </c>
    </row>
    <row r="91" spans="1:13" x14ac:dyDescent="0.15">
      <c r="A91" s="78" t="s">
        <v>198</v>
      </c>
      <c r="B91" s="79">
        <v>13400</v>
      </c>
      <c r="C91" s="80" t="str">
        <f ca="1">VLOOKUP($B91,OFFSET([2]quests!$A$1,0,0,COUNTA([2]quests!$A:$A),MATCH(C$1,[2]quests!$1:$1,0)-MATCH($B$1,[2]quests!$1:$1,0)+1),MATCH(C$1,[2]quests!$1:$1,0)-MATCH($B$1,[2]quests!$1:$1,0)+1,FALSE)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1" s="80" t="str">
        <f ca="1">VLOOKUP($B91,OFFSET([2]quests!$A$1,0,0,COUNTA([2]quests!$A:$A),MATCH(D$1,[2]quests!$1:$1,0)-MATCH($B$1,[2]quests!$1:$1,0)+1),MATCH(D$1,[2]quests!$1:$1,0)-MATCH($B$1,[2]quests!$1:$1,0)+1,FALSE)</f>
        <v>タワーオブザクイーン2本目</v>
      </c>
      <c r="E91" s="84" t="s">
        <v>213</v>
      </c>
      <c r="F91" s="80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0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2">
        <v>0</v>
      </c>
      <c r="I91" s="93">
        <v>36</v>
      </c>
      <c r="J91" s="81" t="s">
        <v>196</v>
      </c>
      <c r="K91" s="90" t="str">
        <f>VLOOKUP(I91,[8]stage_hints!$A:$C,3,FALSE)</f>
        <v>タワーオブザクイーンのボス</v>
      </c>
      <c r="L91" s="91" t="str">
        <f>VLOOKUP(I91,[8]stage_hints!$A:$D,4,FALSE)</f>
        <v>「タワーオブザクイーン」最上階のボスは_x000D_15階の初回クリア報酬で獲得できるほか_x000D_その階にて低確率でドロップもします</v>
      </c>
      <c r="M91" s="55" t="s">
        <v>208</v>
      </c>
    </row>
    <row r="92" spans="1:13" x14ac:dyDescent="0.15">
      <c r="A92" s="78" t="s">
        <v>198</v>
      </c>
      <c r="B92" s="79">
        <v>13400</v>
      </c>
      <c r="C92" s="80" t="str">
        <f ca="1">VLOOKUP($B92,OFFSET([2]quests!$A$1,0,0,COUNTA([2]quests!$A:$A),MATCH(C$1,[2]quests!$1:$1,0)-MATCH($B$1,[2]quests!$1:$1,0)+1),MATCH(C$1,[2]quests!$1:$1,0)-MATCH($B$1,[2]quests!$1:$1,0)+1,FALSE)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2" s="80" t="str">
        <f ca="1">VLOOKUP($B92,OFFSET([2]quests!$A$1,0,0,COUNTA([2]quests!$A:$A),MATCH(D$1,[2]quests!$1:$1,0)-MATCH($B$1,[2]quests!$1:$1,0)+1),MATCH(D$1,[2]quests!$1:$1,0)-MATCH($B$1,[2]quests!$1:$1,0)+1,FALSE)</f>
        <v>タワーオブザクイーン2本目</v>
      </c>
      <c r="E92" s="84" t="s">
        <v>213</v>
      </c>
      <c r="F92" s="80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0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2">
        <v>0</v>
      </c>
      <c r="I92" s="93">
        <v>37</v>
      </c>
      <c r="J92" s="81" t="s">
        <v>196</v>
      </c>
      <c r="K92" s="90" t="str">
        <f>VLOOKUP(I92,[8]stage_hints!$A:$C,3,FALSE)</f>
        <v>限界突破値の引き継ぎ</v>
      </c>
      <c r="L92" s="91" t="str">
        <f>VLOOKUP(I92,[8]stage_hints!$A:$D,4,FALSE)</f>
        <v>同じユニットを強化で合成すると_x000D_限界突破値を引き継げます（覚醒前後も可）</v>
      </c>
      <c r="M92" s="55" t="s">
        <v>208</v>
      </c>
    </row>
    <row r="93" spans="1:13" x14ac:dyDescent="0.15">
      <c r="A93" s="78" t="s">
        <v>198</v>
      </c>
      <c r="B93" s="79">
        <v>13400</v>
      </c>
      <c r="C93" s="80" t="str">
        <f ca="1">VLOOKUP($B93,OFFSET([2]quests!$A$1,0,0,COUNTA([2]quests!$A:$A),MATCH(C$1,[2]quests!$1:$1,0)-MATCH($B$1,[2]quests!$1:$1,0)+1),MATCH(C$1,[2]quests!$1:$1,0)-MATCH($B$1,[2]quests!$1:$1,0)+1,FALSE)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3" s="80" t="str">
        <f ca="1">VLOOKUP($B93,OFFSET([2]quests!$A$1,0,0,COUNTA([2]quests!$A:$A),MATCH(D$1,[2]quests!$1:$1,0)-MATCH($B$1,[2]quests!$1:$1,0)+1),MATCH(D$1,[2]quests!$1:$1,0)-MATCH($B$1,[2]quests!$1:$1,0)+1,FALSE)</f>
        <v>タワーオブザクイーン2本目</v>
      </c>
      <c r="E93" s="84" t="s">
        <v>213</v>
      </c>
      <c r="F93" s="80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0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2">
        <v>0</v>
      </c>
      <c r="I93" s="93">
        <v>39</v>
      </c>
      <c r="J93" s="81" t="s">
        <v>196</v>
      </c>
      <c r="K93" s="90" t="str">
        <f>VLOOKUP(I93,[8]stage_hints!$A:$C,3,FALSE)</f>
        <v>システム適合者を確認</v>
      </c>
      <c r="L93" s="91" t="str">
        <f>VLOOKUP(I93,[8]stage_hints!$A:$D,4,FALSE)</f>
        <v>ALICEが 「アナタ」を呼んでいます</v>
      </c>
      <c r="M93" s="55" t="s">
        <v>208</v>
      </c>
    </row>
    <row r="94" spans="1:13" x14ac:dyDescent="0.15">
      <c r="A94" s="78" t="s">
        <v>198</v>
      </c>
      <c r="B94" s="79">
        <v>13400</v>
      </c>
      <c r="C94" s="80" t="str">
        <f ca="1">VLOOKUP($B94,OFFSET([2]quests!$A$1,0,0,COUNTA([2]quests!$A:$A),MATCH(C$1,[2]quests!$1:$1,0)-MATCH($B$1,[2]quests!$1:$1,0)+1),MATCH(C$1,[2]quests!$1:$1,0)-MATCH($B$1,[2]quests!$1:$1,0)+1,FALSE)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4" s="80" t="str">
        <f ca="1">VLOOKUP($B94,OFFSET([2]quests!$A$1,0,0,COUNTA([2]quests!$A:$A),MATCH(D$1,[2]quests!$1:$1,0)-MATCH($B$1,[2]quests!$1:$1,0)+1),MATCH(D$1,[2]quests!$1:$1,0)-MATCH($B$1,[2]quests!$1:$1,0)+1,FALSE)</f>
        <v>タワーオブザクイーン2本目</v>
      </c>
      <c r="E94" s="84" t="s">
        <v>214</v>
      </c>
      <c r="F94" s="80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0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2">
        <v>0</v>
      </c>
      <c r="I94">
        <v>12</v>
      </c>
      <c r="J94" s="81" t="s">
        <v>196</v>
      </c>
      <c r="K94" s="90" t="str">
        <f>VLOOKUP(I94,[8]stage_hints!$A:$C,3,FALSE)</f>
        <v>ユニットのお気に入り登録</v>
      </c>
      <c r="L94" s="91" t="str">
        <f>VLOOKUP(I94,[8]stage_hints!$A:$D,4,FALSE)</f>
        <v>大事なユニットを誤って消さないように_x000D_フォルダから「お気に入り登録」しましょう</v>
      </c>
      <c r="M94" s="55" t="s">
        <v>208</v>
      </c>
    </row>
    <row r="95" spans="1:13" x14ac:dyDescent="0.15">
      <c r="A95" s="78" t="s">
        <v>198</v>
      </c>
      <c r="B95" s="79">
        <v>13400</v>
      </c>
      <c r="C95" s="80" t="str">
        <f ca="1">VLOOKUP($B95,OFFSET([2]quests!$A$1,0,0,COUNTA([2]quests!$A:$A),MATCH(C$1,[2]quests!$1:$1,0)-MATCH($B$1,[2]quests!$1:$1,0)+1),MATCH(C$1,[2]quests!$1:$1,0)-MATCH($B$1,[2]quests!$1:$1,0)+1,FALSE)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5" s="80" t="str">
        <f ca="1">VLOOKUP($B95,OFFSET([2]quests!$A$1,0,0,COUNTA([2]quests!$A:$A),MATCH(D$1,[2]quests!$1:$1,0)-MATCH($B$1,[2]quests!$1:$1,0)+1),MATCH(D$1,[2]quests!$1:$1,0)-MATCH($B$1,[2]quests!$1:$1,0)+1,FALSE)</f>
        <v>タワーオブザクイーン2本目</v>
      </c>
      <c r="E95" s="84" t="s">
        <v>214</v>
      </c>
      <c r="F95" s="80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0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2">
        <v>0</v>
      </c>
      <c r="I95">
        <v>17</v>
      </c>
      <c r="J95" s="81" t="s">
        <v>196</v>
      </c>
      <c r="K95" s="90" t="str">
        <f>VLOOKUP(I95,[8]stage_hints!$A:$C,3,FALSE)</f>
        <v>リンクガチャ</v>
      </c>
      <c r="L95" s="91" t="str">
        <f>VLOOKUP(I95,[8]stage_hints!$A:$D,4,FALSE)</f>
        <v>無料のリンクガチャを回して_x000D_経験値素材や売却素材を獲得しましょう</v>
      </c>
      <c r="M95" s="55" t="s">
        <v>208</v>
      </c>
    </row>
    <row r="96" spans="1:13" x14ac:dyDescent="0.15">
      <c r="A96" s="78" t="s">
        <v>198</v>
      </c>
      <c r="B96" s="79">
        <v>13400</v>
      </c>
      <c r="C96" s="80" t="str">
        <f ca="1">VLOOKUP($B96,OFFSET([2]quests!$A$1,0,0,COUNTA([2]quests!$A:$A),MATCH(C$1,[2]quests!$1:$1,0)-MATCH($B$1,[2]quests!$1:$1,0)+1),MATCH(C$1,[2]quests!$1:$1,0)-MATCH($B$1,[2]quests!$1:$1,0)+1,FALSE)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6" s="80" t="str">
        <f ca="1">VLOOKUP($B96,OFFSET([2]quests!$A$1,0,0,COUNTA([2]quests!$A:$A),MATCH(D$1,[2]quests!$1:$1,0)-MATCH($B$1,[2]quests!$1:$1,0)+1),MATCH(D$1,[2]quests!$1:$1,0)-MATCH($B$1,[2]quests!$1:$1,0)+1,FALSE)</f>
        <v>タワーオブザクイーン2本目</v>
      </c>
      <c r="E96" s="84" t="s">
        <v>214</v>
      </c>
      <c r="F96" s="80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0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2">
        <v>0</v>
      </c>
      <c r="I96">
        <v>19</v>
      </c>
      <c r="J96" s="81" t="s">
        <v>196</v>
      </c>
      <c r="K96" s="90" t="str">
        <f>VLOOKUP(I96,[8]stage_hints!$A:$C,3,FALSE)</f>
        <v>ソロ専用タワーオブザクイーン</v>
      </c>
      <c r="L96" s="91" t="str">
        <f>VLOOKUP(I96,[8]stage_hints!$A:$D,4,FALSE)</f>
        <v>ソロ専用の「タワーオブザクイーン」は_x000D_期間限定で定期的に開催されます_x000D_ここでしか獲得できない報酬もあるようです</v>
      </c>
      <c r="M96" s="55" t="s">
        <v>208</v>
      </c>
    </row>
    <row r="97" spans="1:13" x14ac:dyDescent="0.15">
      <c r="A97" s="78" t="s">
        <v>198</v>
      </c>
      <c r="B97" s="79">
        <v>13400</v>
      </c>
      <c r="C97" s="80" t="str">
        <f ca="1">VLOOKUP($B97,OFFSET([2]quests!$A$1,0,0,COUNTA([2]quests!$A:$A),MATCH(C$1,[2]quests!$1:$1,0)-MATCH($B$1,[2]quests!$1:$1,0)+1),MATCH(C$1,[2]quests!$1:$1,0)-MATCH($B$1,[2]quests!$1:$1,0)+1,FALSE)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7" s="80" t="str">
        <f ca="1">VLOOKUP($B97,OFFSET([2]quests!$A$1,0,0,COUNTA([2]quests!$A:$A),MATCH(D$1,[2]quests!$1:$1,0)-MATCH($B$1,[2]quests!$1:$1,0)+1),MATCH(D$1,[2]quests!$1:$1,0)-MATCH($B$1,[2]quests!$1:$1,0)+1,FALSE)</f>
        <v>タワーオブザクイーン2本目</v>
      </c>
      <c r="E97" s="84" t="s">
        <v>214</v>
      </c>
      <c r="F97" s="80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0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2">
        <v>0</v>
      </c>
      <c r="I97">
        <v>21</v>
      </c>
      <c r="J97" s="81" t="s">
        <v>196</v>
      </c>
      <c r="K97" s="90" t="str">
        <f>VLOOKUP(I97,[8]stage_hints!$A:$C,3,FALSE)</f>
        <v>スキルを有効に</v>
      </c>
      <c r="L97" s="91" t="str">
        <f>VLOOKUP(I97,[8]stage_hints!$A:$D,4,FALSE)</f>
        <v>ターン経過でユニットのスキルが使えます_x000D_強力スキルでバトルを有利に進めましょう</v>
      </c>
      <c r="M97" s="55" t="s">
        <v>208</v>
      </c>
    </row>
    <row r="98" spans="1:13" x14ac:dyDescent="0.15">
      <c r="A98" s="78" t="s">
        <v>198</v>
      </c>
      <c r="B98" s="79">
        <v>13400</v>
      </c>
      <c r="C98" s="80" t="str">
        <f ca="1">VLOOKUP($B98,OFFSET([2]quests!$A$1,0,0,COUNTA([2]quests!$A:$A),MATCH(C$1,[2]quests!$1:$1,0)-MATCH($B$1,[2]quests!$1:$1,0)+1),MATCH(C$1,[2]quests!$1:$1,0)-MATCH($B$1,[2]quests!$1:$1,0)+1,FALSE)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8" s="80" t="str">
        <f ca="1">VLOOKUP($B98,OFFSET([2]quests!$A$1,0,0,COUNTA([2]quests!$A:$A),MATCH(D$1,[2]quests!$1:$1,0)-MATCH($B$1,[2]quests!$1:$1,0)+1),MATCH(D$1,[2]quests!$1:$1,0)-MATCH($B$1,[2]quests!$1:$1,0)+1,FALSE)</f>
        <v>タワーオブザクイーン2本目</v>
      </c>
      <c r="E98" s="84" t="s">
        <v>214</v>
      </c>
      <c r="F98" s="80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0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2">
        <v>0</v>
      </c>
      <c r="I98">
        <v>27</v>
      </c>
      <c r="J98" s="81" t="s">
        <v>196</v>
      </c>
      <c r="K98" s="90" t="str">
        <f>VLOOKUP(I98,[8]stage_hints!$A:$C,3,FALSE)</f>
        <v>ホーム画面からデッキを編成</v>
      </c>
      <c r="L98" s="91" t="str">
        <f>VLOOKUP(I98,[8]stage_hints!$A:$D,4,FALSE)</f>
        <v>ホーム画面でユニットを長押しすると_x000D_すぐにパーティ編成に移動できます</v>
      </c>
      <c r="M98" s="55" t="s">
        <v>208</v>
      </c>
    </row>
    <row r="99" spans="1:13" x14ac:dyDescent="0.15">
      <c r="A99" s="78" t="s">
        <v>198</v>
      </c>
      <c r="B99" s="79">
        <v>13400</v>
      </c>
      <c r="C99" s="80" t="str">
        <f ca="1">VLOOKUP($B99,OFFSET([2]quests!$A$1,0,0,COUNTA([2]quests!$A:$A),MATCH(C$1,[2]quests!$1:$1,0)-MATCH($B$1,[2]quests!$1:$1,0)+1),MATCH(C$1,[2]quests!$1:$1,0)-MATCH($B$1,[2]quests!$1:$1,0)+1,FALSE)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99" s="80" t="str">
        <f ca="1">VLOOKUP($B99,OFFSET([2]quests!$A$1,0,0,COUNTA([2]quests!$A:$A),MATCH(D$1,[2]quests!$1:$1,0)-MATCH($B$1,[2]quests!$1:$1,0)+1),MATCH(D$1,[2]quests!$1:$1,0)-MATCH($B$1,[2]quests!$1:$1,0)+1,FALSE)</f>
        <v>タワーオブザクイーン2本目</v>
      </c>
      <c r="E99" s="84" t="s">
        <v>214</v>
      </c>
      <c r="F99" s="80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0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2">
        <v>0</v>
      </c>
      <c r="I99">
        <v>28</v>
      </c>
      <c r="J99" s="81" t="s">
        <v>196</v>
      </c>
      <c r="K99" s="90" t="str">
        <f>VLOOKUP(I99,[8]stage_hints!$A:$C,3,FALSE)</f>
        <v>ステータス情報は長押しで</v>
      </c>
      <c r="L99" s="91" t="str">
        <f>VLOOKUP(I99,[8]stage_hints!$A:$D,4,FALSE)</f>
        <v>ユニットのアイコンを長押しすると_x000D_ステータス情報を確認することができます</v>
      </c>
      <c r="M99" s="55" t="s">
        <v>208</v>
      </c>
    </row>
    <row r="100" spans="1:13" x14ac:dyDescent="0.15">
      <c r="A100" s="78" t="s">
        <v>198</v>
      </c>
      <c r="B100" s="79">
        <v>13400</v>
      </c>
      <c r="C100" s="80" t="str">
        <f ca="1">VLOOKUP($B100,OFFSET([2]quests!$A$1,0,0,COUNTA([2]quests!$A:$A),MATCH(C$1,[2]quests!$1:$1,0)-MATCH($B$1,[2]quests!$1:$1,0)+1),MATCH(C$1,[2]quests!$1:$1,0)-MATCH($B$1,[2]quests!$1:$1,0)+1,FALSE)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0" s="80" t="str">
        <f ca="1">VLOOKUP($B100,OFFSET([2]quests!$A$1,0,0,COUNTA([2]quests!$A:$A),MATCH(D$1,[2]quests!$1:$1,0)-MATCH($B$1,[2]quests!$1:$1,0)+1),MATCH(D$1,[2]quests!$1:$1,0)-MATCH($B$1,[2]quests!$1:$1,0)+1,FALSE)</f>
        <v>タワーオブザクイーン2本目</v>
      </c>
      <c r="E100" s="84" t="s">
        <v>214</v>
      </c>
      <c r="F100" s="80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0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2">
        <v>0</v>
      </c>
      <c r="I100">
        <v>29</v>
      </c>
      <c r="J100" s="81" t="s">
        <v>196</v>
      </c>
      <c r="K100" s="90" t="str">
        <f>VLOOKUP(I100,[8]stage_hints!$A:$C,3,FALSE)</f>
        <v>「バグ」のメリット</v>
      </c>
      <c r="L100" s="91" t="str">
        <f>VLOOKUP(I100,[8]stage_hints!$A:$D,4,FALSE)</f>
        <v>ユニットの「バグ」を増やすと_x000D_報酬をもらえる確率がアップします</v>
      </c>
      <c r="M100" s="55" t="s">
        <v>208</v>
      </c>
    </row>
    <row r="101" spans="1:13" x14ac:dyDescent="0.15">
      <c r="A101" s="78" t="s">
        <v>198</v>
      </c>
      <c r="B101" s="79">
        <v>13400</v>
      </c>
      <c r="C101" s="80" t="str">
        <f ca="1">VLOOKUP($B101,OFFSET([2]quests!$A$1,0,0,COUNTA([2]quests!$A:$A),MATCH(C$1,[2]quests!$1:$1,0)-MATCH($B$1,[2]quests!$1:$1,0)+1),MATCH(C$1,[2]quests!$1:$1,0)-MATCH($B$1,[2]quests!$1:$1,0)+1,FALSE)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1" s="80" t="str">
        <f ca="1">VLOOKUP($B101,OFFSET([2]quests!$A$1,0,0,COUNTA([2]quests!$A:$A),MATCH(D$1,[2]quests!$1:$1,0)-MATCH($B$1,[2]quests!$1:$1,0)+1),MATCH(D$1,[2]quests!$1:$1,0)-MATCH($B$1,[2]quests!$1:$1,0)+1,FALSE)</f>
        <v>タワーオブザクイーン2本目</v>
      </c>
      <c r="E101" s="84" t="s">
        <v>214</v>
      </c>
      <c r="F101" s="80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0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2">
        <v>0</v>
      </c>
      <c r="I101">
        <v>30</v>
      </c>
      <c r="J101" s="81" t="s">
        <v>196</v>
      </c>
      <c r="K101" s="90" t="str">
        <f>VLOOKUP(I101,[8]stage_hints!$A:$C,3,FALSE)</f>
        <v>「バグ」の増やし方</v>
      </c>
      <c r="L101" s="91" t="str">
        <f>VLOOKUP(I101,[8]stage_hints!$A:$D,4,FALSE)</f>
        <v>同じユニット同士を強化で合成すると_x000D_「バグ」を増やすことができます</v>
      </c>
      <c r="M101" s="55" t="s">
        <v>208</v>
      </c>
    </row>
    <row r="102" spans="1:13" x14ac:dyDescent="0.15">
      <c r="A102" s="78" t="s">
        <v>198</v>
      </c>
      <c r="B102" s="79">
        <v>13400</v>
      </c>
      <c r="C102" s="80" t="str">
        <f ca="1">VLOOKUP($B102,OFFSET([2]quests!$A$1,0,0,COUNTA([2]quests!$A:$A),MATCH(C$1,[2]quests!$1:$1,0)-MATCH($B$1,[2]quests!$1:$1,0)+1),MATCH(C$1,[2]quests!$1:$1,0)-MATCH($B$1,[2]quests!$1:$1,0)+1,FALSE)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2" s="80" t="str">
        <f ca="1">VLOOKUP($B102,OFFSET([2]quests!$A$1,0,0,COUNTA([2]quests!$A:$A),MATCH(D$1,[2]quests!$1:$1,0)-MATCH($B$1,[2]quests!$1:$1,0)+1),MATCH(D$1,[2]quests!$1:$1,0)-MATCH($B$1,[2]quests!$1:$1,0)+1,FALSE)</f>
        <v>タワーオブザクイーン2本目</v>
      </c>
      <c r="E102" s="84" t="s">
        <v>214</v>
      </c>
      <c r="F102" s="80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0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2">
        <v>0</v>
      </c>
      <c r="I102">
        <v>32</v>
      </c>
      <c r="J102" s="81" t="s">
        <v>196</v>
      </c>
      <c r="K102" s="90" t="str">
        <f>VLOOKUP(I102,[8]stage_hints!$A:$C,3,FALSE)</f>
        <v>敵の連続攻撃には</v>
      </c>
      <c r="L102" s="91" t="str">
        <f>VLOOKUP(I102,[8]stage_hints!$A:$D,4,FALSE)</f>
        <v>カウンタースキルを持つユニットがいれば_x000D_ダメージ回数分の反撃ができます</v>
      </c>
      <c r="M102" s="55" t="s">
        <v>208</v>
      </c>
    </row>
    <row r="103" spans="1:13" x14ac:dyDescent="0.15">
      <c r="A103" s="78" t="s">
        <v>198</v>
      </c>
      <c r="B103" s="79">
        <v>13400</v>
      </c>
      <c r="C103" s="80" t="str">
        <f ca="1">VLOOKUP($B103,OFFSET([2]quests!$A$1,0,0,COUNTA([2]quests!$A:$A),MATCH(C$1,[2]quests!$1:$1,0)-MATCH($B$1,[2]quests!$1:$1,0)+1),MATCH(C$1,[2]quests!$1:$1,0)-MATCH($B$1,[2]quests!$1:$1,0)+1,FALSE)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3" s="80" t="str">
        <f ca="1">VLOOKUP($B103,OFFSET([2]quests!$A$1,0,0,COUNTA([2]quests!$A:$A),MATCH(D$1,[2]quests!$1:$1,0)-MATCH($B$1,[2]quests!$1:$1,0)+1),MATCH(D$1,[2]quests!$1:$1,0)-MATCH($B$1,[2]quests!$1:$1,0)+1,FALSE)</f>
        <v>タワーオブザクイーン2本目</v>
      </c>
      <c r="E103" s="84" t="s">
        <v>214</v>
      </c>
      <c r="F103" s="80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0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2">
        <v>0</v>
      </c>
      <c r="I103">
        <v>33</v>
      </c>
      <c r="J103" s="81" t="s">
        <v>196</v>
      </c>
      <c r="K103" s="90" t="str">
        <f>VLOOKUP(I103,[8]stage_hints!$A:$C,3,FALSE)</f>
        <v>敵のカウンター攻撃には</v>
      </c>
      <c r="L103" s="91" t="str">
        <f>VLOOKUP(I103,[8]stage_hints!$A:$D,4,FALSE)</f>
        <v>カウンターブレイクスキルを持っていれば_x000D_敵のカウンターを解除して攻撃ができます</v>
      </c>
      <c r="M103" s="55" t="s">
        <v>208</v>
      </c>
    </row>
    <row r="104" spans="1:13" x14ac:dyDescent="0.15">
      <c r="A104" s="78" t="s">
        <v>198</v>
      </c>
      <c r="B104" s="79">
        <v>13400</v>
      </c>
      <c r="C104" s="80" t="str">
        <f ca="1">VLOOKUP($B104,OFFSET([2]quests!$A$1,0,0,COUNTA([2]quests!$A:$A),MATCH(C$1,[2]quests!$1:$1,0)-MATCH($B$1,[2]quests!$1:$1,0)+1),MATCH(C$1,[2]quests!$1:$1,0)-MATCH($B$1,[2]quests!$1:$1,0)+1,FALSE)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4" s="80" t="str">
        <f ca="1">VLOOKUP($B104,OFFSET([2]quests!$A$1,0,0,COUNTA([2]quests!$A:$A),MATCH(D$1,[2]quests!$1:$1,0)-MATCH($B$1,[2]quests!$1:$1,0)+1),MATCH(D$1,[2]quests!$1:$1,0)-MATCH($B$1,[2]quests!$1:$1,0)+1,FALSE)</f>
        <v>タワーオブザクイーン2本目</v>
      </c>
      <c r="E104" s="84" t="s">
        <v>214</v>
      </c>
      <c r="F104" s="80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0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2">
        <v>0</v>
      </c>
      <c r="I104">
        <v>34</v>
      </c>
      <c r="J104" s="81" t="s">
        <v>196</v>
      </c>
      <c r="K104" s="90" t="str">
        <f>VLOOKUP(I104,[8]stage_hints!$A:$C,3,FALSE)</f>
        <v>ステータスをスキルで下げられたら</v>
      </c>
      <c r="L104" s="91" t="str">
        <f>VLOOKUP(I104,[8]stage_hints!$A:$D,4,FALSE)</f>
        <v>ステータスダウンのスキルを受けたら_x000D_ステータスアップスキルで上書きしましょう</v>
      </c>
      <c r="M104" s="55" t="s">
        <v>208</v>
      </c>
    </row>
    <row r="105" spans="1:13" x14ac:dyDescent="0.15">
      <c r="A105" s="78" t="s">
        <v>198</v>
      </c>
      <c r="B105" s="79">
        <v>13400</v>
      </c>
      <c r="C105" s="80" t="str">
        <f ca="1">VLOOKUP($B105,OFFSET([2]quests!$A$1,0,0,COUNTA([2]quests!$A:$A),MATCH(C$1,[2]quests!$1:$1,0)-MATCH($B$1,[2]quests!$1:$1,0)+1),MATCH(C$1,[2]quests!$1:$1,0)-MATCH($B$1,[2]quests!$1:$1,0)+1,FALSE)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5" s="80" t="str">
        <f ca="1">VLOOKUP($B105,OFFSET([2]quests!$A$1,0,0,COUNTA([2]quests!$A:$A),MATCH(D$1,[2]quests!$1:$1,0)-MATCH($B$1,[2]quests!$1:$1,0)+1),MATCH(D$1,[2]quests!$1:$1,0)-MATCH($B$1,[2]quests!$1:$1,0)+1,FALSE)</f>
        <v>タワーオブザクイーン2本目</v>
      </c>
      <c r="E105" s="84" t="s">
        <v>214</v>
      </c>
      <c r="F105" s="80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0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2">
        <v>0</v>
      </c>
      <c r="I105">
        <v>35</v>
      </c>
      <c r="J105" s="81" t="s">
        <v>196</v>
      </c>
      <c r="K105" s="90" t="str">
        <f>VLOOKUP(I105,[8]stage_hints!$A:$C,3,FALSE)</f>
        <v>敵のステータスがスキルで上がったら</v>
      </c>
      <c r="L105" s="91" t="str">
        <f>VLOOKUP(I105,[8]stage_hints!$A:$D,4,FALSE)</f>
        <v>敵のステータスがスキルでアップしたときは_x000D_ステータスダウンスキルで上書きしましょう</v>
      </c>
      <c r="M105" s="55" t="s">
        <v>208</v>
      </c>
    </row>
    <row r="106" spans="1:13" x14ac:dyDescent="0.15">
      <c r="A106" s="78" t="s">
        <v>198</v>
      </c>
      <c r="B106" s="79">
        <v>13400</v>
      </c>
      <c r="C106" s="80" t="str">
        <f ca="1">VLOOKUP($B106,OFFSET([2]quests!$A$1,0,0,COUNTA([2]quests!$A:$A),MATCH(C$1,[2]quests!$1:$1,0)-MATCH($B$1,[2]quests!$1:$1,0)+1),MATCH(C$1,[2]quests!$1:$1,0)-MATCH($B$1,[2]quests!$1:$1,0)+1,FALSE)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6" s="80" t="str">
        <f ca="1">VLOOKUP($B106,OFFSET([2]quests!$A$1,0,0,COUNTA([2]quests!$A:$A),MATCH(D$1,[2]quests!$1:$1,0)-MATCH($B$1,[2]quests!$1:$1,0)+1),MATCH(D$1,[2]quests!$1:$1,0)-MATCH($B$1,[2]quests!$1:$1,0)+1,FALSE)</f>
        <v>タワーオブザクイーン2本目</v>
      </c>
      <c r="E106" s="84" t="s">
        <v>214</v>
      </c>
      <c r="F106" s="80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0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2">
        <v>0</v>
      </c>
      <c r="I106">
        <v>36</v>
      </c>
      <c r="J106" s="81" t="s">
        <v>196</v>
      </c>
      <c r="K106" s="90" t="str">
        <f>VLOOKUP(I106,[8]stage_hints!$A:$C,3,FALSE)</f>
        <v>タワーオブザクイーンのボス</v>
      </c>
      <c r="L106" s="91" t="str">
        <f>VLOOKUP(I106,[8]stage_hints!$A:$D,4,FALSE)</f>
        <v>「タワーオブザクイーン」最上階のボスは_x000D_15階の初回クリア報酬で獲得できるほか_x000D_その階にて低確率でドロップもします</v>
      </c>
      <c r="M106" s="55" t="s">
        <v>208</v>
      </c>
    </row>
    <row r="107" spans="1:13" x14ac:dyDescent="0.15">
      <c r="A107" s="78" t="s">
        <v>198</v>
      </c>
      <c r="B107" s="79">
        <v>13400</v>
      </c>
      <c r="C107" s="80" t="str">
        <f ca="1">VLOOKUP($B107,OFFSET([2]quests!$A$1,0,0,COUNTA([2]quests!$A:$A),MATCH(C$1,[2]quests!$1:$1,0)-MATCH($B$1,[2]quests!$1:$1,0)+1),MATCH(C$1,[2]quests!$1:$1,0)-MATCH($B$1,[2]quests!$1:$1,0)+1,FALSE)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7" s="80" t="str">
        <f ca="1">VLOOKUP($B107,OFFSET([2]quests!$A$1,0,0,COUNTA([2]quests!$A:$A),MATCH(D$1,[2]quests!$1:$1,0)-MATCH($B$1,[2]quests!$1:$1,0)+1),MATCH(D$1,[2]quests!$1:$1,0)-MATCH($B$1,[2]quests!$1:$1,0)+1,FALSE)</f>
        <v>タワーオブザクイーン2本目</v>
      </c>
      <c r="E107" s="84" t="s">
        <v>214</v>
      </c>
      <c r="F107" s="80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0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2">
        <v>0</v>
      </c>
      <c r="I107">
        <v>37</v>
      </c>
      <c r="J107" s="81" t="s">
        <v>196</v>
      </c>
      <c r="K107" s="90" t="str">
        <f>VLOOKUP(I107,[8]stage_hints!$A:$C,3,FALSE)</f>
        <v>限界突破値の引き継ぎ</v>
      </c>
      <c r="L107" s="91" t="str">
        <f>VLOOKUP(I107,[8]stage_hints!$A:$D,4,FALSE)</f>
        <v>同じユニットを強化で合成すると_x000D_限界突破値を引き継げます（覚醒前後も可）</v>
      </c>
      <c r="M107" s="55" t="s">
        <v>208</v>
      </c>
    </row>
    <row r="108" spans="1:13" x14ac:dyDescent="0.15">
      <c r="A108" s="78" t="s">
        <v>198</v>
      </c>
      <c r="B108" s="79">
        <v>13400</v>
      </c>
      <c r="C108" s="80" t="str">
        <f ca="1">VLOOKUP($B108,OFFSET([2]quests!$A$1,0,0,COUNTA([2]quests!$A:$A),MATCH(C$1,[2]quests!$1:$1,0)-MATCH($B$1,[2]quests!$1:$1,0)+1),MATCH(C$1,[2]quests!$1:$1,0)-MATCH($B$1,[2]quests!$1:$1,0)+1,FALSE)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8" s="80" t="str">
        <f ca="1">VLOOKUP($B108,OFFSET([2]quests!$A$1,0,0,COUNTA([2]quests!$A:$A),MATCH(D$1,[2]quests!$1:$1,0)-MATCH($B$1,[2]quests!$1:$1,0)+1),MATCH(D$1,[2]quests!$1:$1,0)-MATCH($B$1,[2]quests!$1:$1,0)+1,FALSE)</f>
        <v>タワーオブザクイーン2本目</v>
      </c>
      <c r="E108" s="84" t="s">
        <v>214</v>
      </c>
      <c r="F108" s="80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0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2">
        <v>0</v>
      </c>
      <c r="I108">
        <v>39</v>
      </c>
      <c r="J108" s="81" t="s">
        <v>196</v>
      </c>
      <c r="K108" s="90" t="str">
        <f>VLOOKUP(I108,[8]stage_hints!$A:$C,3,FALSE)</f>
        <v>システム適合者を確認</v>
      </c>
      <c r="L108" s="91" t="str">
        <f>VLOOKUP(I108,[8]stage_hints!$A:$D,4,FALSE)</f>
        <v>ALICEが 「アナタ」を呼んでいます</v>
      </c>
      <c r="M108" s="55" t="s">
        <v>208</v>
      </c>
    </row>
    <row r="109" spans="1:13" x14ac:dyDescent="0.15">
      <c r="A109" s="78" t="s">
        <v>198</v>
      </c>
      <c r="B109" s="79">
        <v>13400</v>
      </c>
      <c r="C109" s="80" t="str">
        <f ca="1">VLOOKUP($B109,OFFSET([2]quests!$A$1,0,0,COUNTA([2]quests!$A:$A),MATCH(C$1,[2]quests!$1:$1,0)-MATCH($B$1,[2]quests!$1:$1,0)+1),MATCH(C$1,[2]quests!$1:$1,0)-MATCH($B$1,[2]quests!$1:$1,0)+1,FALSE)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09" s="80" t="str">
        <f ca="1">VLOOKUP($B109,OFFSET([2]quests!$A$1,0,0,COUNTA([2]quests!$A:$A),MATCH(D$1,[2]quests!$1:$1,0)-MATCH($B$1,[2]quests!$1:$1,0)+1),MATCH(D$1,[2]quests!$1:$1,0)-MATCH($B$1,[2]quests!$1:$1,0)+1,FALSE)</f>
        <v>タワーオブザクイーン2本目</v>
      </c>
      <c r="E109" s="84" t="s">
        <v>215</v>
      </c>
      <c r="F109" s="80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0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2">
        <v>0</v>
      </c>
      <c r="I109">
        <v>12</v>
      </c>
      <c r="J109" s="81" t="s">
        <v>196</v>
      </c>
      <c r="K109" s="90" t="str">
        <f>VLOOKUP(I109,[8]stage_hints!$A:$C,3,FALSE)</f>
        <v>ユニットのお気に入り登録</v>
      </c>
      <c r="L109" s="91" t="str">
        <f>VLOOKUP(I109,[8]stage_hints!$A:$D,4,FALSE)</f>
        <v>大事なユニットを誤って消さないように_x000D_フォルダから「お気に入り登録」しましょう</v>
      </c>
      <c r="M109" s="55" t="s">
        <v>208</v>
      </c>
    </row>
    <row r="110" spans="1:13" x14ac:dyDescent="0.15">
      <c r="A110" s="78" t="s">
        <v>198</v>
      </c>
      <c r="B110" s="79">
        <v>13400</v>
      </c>
      <c r="C110" s="80" t="str">
        <f ca="1">VLOOKUP($B110,OFFSET([2]quests!$A$1,0,0,COUNTA([2]quests!$A:$A),MATCH(C$1,[2]quests!$1:$1,0)-MATCH($B$1,[2]quests!$1:$1,0)+1),MATCH(C$1,[2]quests!$1:$1,0)-MATCH($B$1,[2]quests!$1:$1,0)+1,FALSE)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0" s="80" t="str">
        <f ca="1">VLOOKUP($B110,OFFSET([2]quests!$A$1,0,0,COUNTA([2]quests!$A:$A),MATCH(D$1,[2]quests!$1:$1,0)-MATCH($B$1,[2]quests!$1:$1,0)+1),MATCH(D$1,[2]quests!$1:$1,0)-MATCH($B$1,[2]quests!$1:$1,0)+1,FALSE)</f>
        <v>タワーオブザクイーン2本目</v>
      </c>
      <c r="E110" s="84" t="s">
        <v>215</v>
      </c>
      <c r="F110" s="80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0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2">
        <v>0</v>
      </c>
      <c r="I110">
        <v>17</v>
      </c>
      <c r="J110" s="81" t="s">
        <v>196</v>
      </c>
      <c r="K110" s="90" t="str">
        <f>VLOOKUP(I110,[8]stage_hints!$A:$C,3,FALSE)</f>
        <v>リンクガチャ</v>
      </c>
      <c r="L110" s="91" t="str">
        <f>VLOOKUP(I110,[8]stage_hints!$A:$D,4,FALSE)</f>
        <v>無料のリンクガチャを回して_x000D_経験値素材や売却素材を獲得しましょう</v>
      </c>
      <c r="M110" s="55" t="s">
        <v>208</v>
      </c>
    </row>
    <row r="111" spans="1:13" x14ac:dyDescent="0.15">
      <c r="A111" s="78" t="s">
        <v>198</v>
      </c>
      <c r="B111" s="79">
        <v>13400</v>
      </c>
      <c r="C111" s="80" t="str">
        <f ca="1">VLOOKUP($B111,OFFSET([2]quests!$A$1,0,0,COUNTA([2]quests!$A:$A),MATCH(C$1,[2]quests!$1:$1,0)-MATCH($B$1,[2]quests!$1:$1,0)+1),MATCH(C$1,[2]quests!$1:$1,0)-MATCH($B$1,[2]quests!$1:$1,0)+1,FALSE)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1" s="80" t="str">
        <f ca="1">VLOOKUP($B111,OFFSET([2]quests!$A$1,0,0,COUNTA([2]quests!$A:$A),MATCH(D$1,[2]quests!$1:$1,0)-MATCH($B$1,[2]quests!$1:$1,0)+1),MATCH(D$1,[2]quests!$1:$1,0)-MATCH($B$1,[2]quests!$1:$1,0)+1,FALSE)</f>
        <v>タワーオブザクイーン2本目</v>
      </c>
      <c r="E111" s="84" t="s">
        <v>215</v>
      </c>
      <c r="F111" s="80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0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2">
        <v>0</v>
      </c>
      <c r="I111">
        <v>19</v>
      </c>
      <c r="J111" s="81" t="s">
        <v>196</v>
      </c>
      <c r="K111" s="90" t="str">
        <f>VLOOKUP(I111,[8]stage_hints!$A:$C,3,FALSE)</f>
        <v>ソロ専用タワーオブザクイーン</v>
      </c>
      <c r="L111" s="91" t="str">
        <f>VLOOKUP(I111,[8]stage_hints!$A:$D,4,FALSE)</f>
        <v>ソロ専用の「タワーオブザクイーン」は_x000D_期間限定で定期的に開催されます_x000D_ここでしか獲得できない報酬もあるようです</v>
      </c>
      <c r="M111" s="55" t="s">
        <v>208</v>
      </c>
    </row>
    <row r="112" spans="1:13" x14ac:dyDescent="0.15">
      <c r="A112" s="78" t="s">
        <v>198</v>
      </c>
      <c r="B112" s="79">
        <v>13400</v>
      </c>
      <c r="C112" s="80" t="str">
        <f ca="1">VLOOKUP($B112,OFFSET([2]quests!$A$1,0,0,COUNTA([2]quests!$A:$A),MATCH(C$1,[2]quests!$1:$1,0)-MATCH($B$1,[2]quests!$1:$1,0)+1),MATCH(C$1,[2]quests!$1:$1,0)-MATCH($B$1,[2]quests!$1:$1,0)+1,FALSE)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2" s="80" t="str">
        <f ca="1">VLOOKUP($B112,OFFSET([2]quests!$A$1,0,0,COUNTA([2]quests!$A:$A),MATCH(D$1,[2]quests!$1:$1,0)-MATCH($B$1,[2]quests!$1:$1,0)+1),MATCH(D$1,[2]quests!$1:$1,0)-MATCH($B$1,[2]quests!$1:$1,0)+1,FALSE)</f>
        <v>タワーオブザクイーン2本目</v>
      </c>
      <c r="E112" s="84" t="s">
        <v>215</v>
      </c>
      <c r="F112" s="80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0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2">
        <v>0</v>
      </c>
      <c r="I112">
        <v>21</v>
      </c>
      <c r="J112" s="81" t="s">
        <v>196</v>
      </c>
      <c r="K112" s="90" t="str">
        <f>VLOOKUP(I112,[8]stage_hints!$A:$C,3,FALSE)</f>
        <v>スキルを有効に</v>
      </c>
      <c r="L112" s="91" t="str">
        <f>VLOOKUP(I112,[8]stage_hints!$A:$D,4,FALSE)</f>
        <v>ターン経過でユニットのスキルが使えます_x000D_強力スキルでバトルを有利に進めましょう</v>
      </c>
      <c r="M112" s="55" t="s">
        <v>208</v>
      </c>
    </row>
    <row r="113" spans="1:13" x14ac:dyDescent="0.15">
      <c r="A113" s="78" t="s">
        <v>198</v>
      </c>
      <c r="B113" s="79">
        <v>13400</v>
      </c>
      <c r="C113" s="80" t="str">
        <f ca="1">VLOOKUP($B113,OFFSET([2]quests!$A$1,0,0,COUNTA([2]quests!$A:$A),MATCH(C$1,[2]quests!$1:$1,0)-MATCH($B$1,[2]quests!$1:$1,0)+1),MATCH(C$1,[2]quests!$1:$1,0)-MATCH($B$1,[2]quests!$1:$1,0)+1,FALSE)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3" s="80" t="str">
        <f ca="1">VLOOKUP($B113,OFFSET([2]quests!$A$1,0,0,COUNTA([2]quests!$A:$A),MATCH(D$1,[2]quests!$1:$1,0)-MATCH($B$1,[2]quests!$1:$1,0)+1),MATCH(D$1,[2]quests!$1:$1,0)-MATCH($B$1,[2]quests!$1:$1,0)+1,FALSE)</f>
        <v>タワーオブザクイーン2本目</v>
      </c>
      <c r="E113" s="84" t="s">
        <v>215</v>
      </c>
      <c r="F113" s="80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0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2">
        <v>0</v>
      </c>
      <c r="I113">
        <v>29</v>
      </c>
      <c r="J113" s="81" t="s">
        <v>196</v>
      </c>
      <c r="K113" s="90" t="str">
        <f>VLOOKUP(I113,[8]stage_hints!$A:$C,3,FALSE)</f>
        <v>「バグ」のメリット</v>
      </c>
      <c r="L113" s="91" t="str">
        <f>VLOOKUP(I113,[8]stage_hints!$A:$D,4,FALSE)</f>
        <v>ユニットの「バグ」を増やすと_x000D_報酬をもらえる確率がアップします</v>
      </c>
      <c r="M113" s="55" t="s">
        <v>208</v>
      </c>
    </row>
    <row r="114" spans="1:13" x14ac:dyDescent="0.15">
      <c r="A114" s="78" t="s">
        <v>198</v>
      </c>
      <c r="B114" s="79">
        <v>13400</v>
      </c>
      <c r="C114" s="80" t="str">
        <f ca="1">VLOOKUP($B114,OFFSET([2]quests!$A$1,0,0,COUNTA([2]quests!$A:$A),MATCH(C$1,[2]quests!$1:$1,0)-MATCH($B$1,[2]quests!$1:$1,0)+1),MATCH(C$1,[2]quests!$1:$1,0)-MATCH($B$1,[2]quests!$1:$1,0)+1,FALSE)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4" s="80" t="str">
        <f ca="1">VLOOKUP($B114,OFFSET([2]quests!$A$1,0,0,COUNTA([2]quests!$A:$A),MATCH(D$1,[2]quests!$1:$1,0)-MATCH($B$1,[2]quests!$1:$1,0)+1),MATCH(D$1,[2]quests!$1:$1,0)-MATCH($B$1,[2]quests!$1:$1,0)+1,FALSE)</f>
        <v>タワーオブザクイーン2本目</v>
      </c>
      <c r="E114" s="84" t="s">
        <v>215</v>
      </c>
      <c r="F114" s="80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0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2">
        <v>0</v>
      </c>
      <c r="I114">
        <v>30</v>
      </c>
      <c r="J114" s="81" t="s">
        <v>196</v>
      </c>
      <c r="K114" s="90" t="str">
        <f>VLOOKUP(I114,[8]stage_hints!$A:$C,3,FALSE)</f>
        <v>「バグ」の増やし方</v>
      </c>
      <c r="L114" s="91" t="str">
        <f>VLOOKUP(I114,[8]stage_hints!$A:$D,4,FALSE)</f>
        <v>同じユニット同士を強化で合成すると_x000D_「バグ」を増やすことができます</v>
      </c>
      <c r="M114" s="55" t="s">
        <v>208</v>
      </c>
    </row>
    <row r="115" spans="1:13" x14ac:dyDescent="0.15">
      <c r="A115" s="78" t="s">
        <v>198</v>
      </c>
      <c r="B115" s="79">
        <v>13400</v>
      </c>
      <c r="C115" s="80" t="str">
        <f ca="1">VLOOKUP($B115,OFFSET([2]quests!$A$1,0,0,COUNTA([2]quests!$A:$A),MATCH(C$1,[2]quests!$1:$1,0)-MATCH($B$1,[2]quests!$1:$1,0)+1),MATCH(C$1,[2]quests!$1:$1,0)-MATCH($B$1,[2]quests!$1:$1,0)+1,FALSE)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5" s="80" t="str">
        <f ca="1">VLOOKUP($B115,OFFSET([2]quests!$A$1,0,0,COUNTA([2]quests!$A:$A),MATCH(D$1,[2]quests!$1:$1,0)-MATCH($B$1,[2]quests!$1:$1,0)+1),MATCH(D$1,[2]quests!$1:$1,0)-MATCH($B$1,[2]quests!$1:$1,0)+1,FALSE)</f>
        <v>タワーオブザクイーン2本目</v>
      </c>
      <c r="E115" s="84" t="s">
        <v>215</v>
      </c>
      <c r="F115" s="80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0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2">
        <v>0</v>
      </c>
      <c r="I115">
        <v>32</v>
      </c>
      <c r="J115" s="81" t="s">
        <v>196</v>
      </c>
      <c r="K115" s="90" t="str">
        <f>VLOOKUP(I115,[8]stage_hints!$A:$C,3,FALSE)</f>
        <v>敵の連続攻撃には</v>
      </c>
      <c r="L115" s="91" t="str">
        <f>VLOOKUP(I115,[8]stage_hints!$A:$D,4,FALSE)</f>
        <v>カウンタースキルを持つユニットがいれば_x000D_ダメージ回数分の反撃ができます</v>
      </c>
      <c r="M115" s="55" t="s">
        <v>208</v>
      </c>
    </row>
    <row r="116" spans="1:13" x14ac:dyDescent="0.15">
      <c r="A116" s="78" t="s">
        <v>198</v>
      </c>
      <c r="B116" s="79">
        <v>13400</v>
      </c>
      <c r="C116" s="80" t="str">
        <f ca="1">VLOOKUP($B116,OFFSET([2]quests!$A$1,0,0,COUNTA([2]quests!$A:$A),MATCH(C$1,[2]quests!$1:$1,0)-MATCH($B$1,[2]quests!$1:$1,0)+1),MATCH(C$1,[2]quests!$1:$1,0)-MATCH($B$1,[2]quests!$1:$1,0)+1,FALSE)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6" s="80" t="str">
        <f ca="1">VLOOKUP($B116,OFFSET([2]quests!$A$1,0,0,COUNTA([2]quests!$A:$A),MATCH(D$1,[2]quests!$1:$1,0)-MATCH($B$1,[2]quests!$1:$1,0)+1),MATCH(D$1,[2]quests!$1:$1,0)-MATCH($B$1,[2]quests!$1:$1,0)+1,FALSE)</f>
        <v>タワーオブザクイーン2本目</v>
      </c>
      <c r="E116" s="84" t="s">
        <v>215</v>
      </c>
      <c r="F116" s="80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0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2">
        <v>0</v>
      </c>
      <c r="I116">
        <v>33</v>
      </c>
      <c r="J116" s="81" t="s">
        <v>196</v>
      </c>
      <c r="K116" s="90" t="str">
        <f>VLOOKUP(I116,[8]stage_hints!$A:$C,3,FALSE)</f>
        <v>敵のカウンター攻撃には</v>
      </c>
      <c r="L116" s="91" t="str">
        <f>VLOOKUP(I116,[8]stage_hints!$A:$D,4,FALSE)</f>
        <v>カウンターブレイクスキルを持っていれば_x000D_敵のカウンターを解除して攻撃ができます</v>
      </c>
      <c r="M116" s="55" t="s">
        <v>208</v>
      </c>
    </row>
    <row r="117" spans="1:13" x14ac:dyDescent="0.15">
      <c r="A117" s="78" t="s">
        <v>198</v>
      </c>
      <c r="B117" s="79">
        <v>13400</v>
      </c>
      <c r="C117" s="80" t="str">
        <f ca="1">VLOOKUP($B117,OFFSET([2]quests!$A$1,0,0,COUNTA([2]quests!$A:$A),MATCH(C$1,[2]quests!$1:$1,0)-MATCH($B$1,[2]quests!$1:$1,0)+1),MATCH(C$1,[2]quests!$1:$1,0)-MATCH($B$1,[2]quests!$1:$1,0)+1,FALSE)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7" s="80" t="str">
        <f ca="1">VLOOKUP($B117,OFFSET([2]quests!$A$1,0,0,COUNTA([2]quests!$A:$A),MATCH(D$1,[2]quests!$1:$1,0)-MATCH($B$1,[2]quests!$1:$1,0)+1),MATCH(D$1,[2]quests!$1:$1,0)-MATCH($B$1,[2]quests!$1:$1,0)+1,FALSE)</f>
        <v>タワーオブザクイーン2本目</v>
      </c>
      <c r="E117" s="84" t="s">
        <v>215</v>
      </c>
      <c r="F117" s="80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0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2">
        <v>0</v>
      </c>
      <c r="I117">
        <v>34</v>
      </c>
      <c r="J117" s="81" t="s">
        <v>196</v>
      </c>
      <c r="K117" s="90" t="str">
        <f>VLOOKUP(I117,[8]stage_hints!$A:$C,3,FALSE)</f>
        <v>ステータスをスキルで下げられたら</v>
      </c>
      <c r="L117" s="91" t="str">
        <f>VLOOKUP(I117,[8]stage_hints!$A:$D,4,FALSE)</f>
        <v>ステータスダウンのスキルを受けたら_x000D_ステータスアップスキルで上書きしましょう</v>
      </c>
      <c r="M117" s="55" t="s">
        <v>208</v>
      </c>
    </row>
    <row r="118" spans="1:13" x14ac:dyDescent="0.15">
      <c r="A118" s="78" t="s">
        <v>198</v>
      </c>
      <c r="B118" s="79">
        <v>13400</v>
      </c>
      <c r="C118" s="80" t="str">
        <f ca="1">VLOOKUP($B118,OFFSET([2]quests!$A$1,0,0,COUNTA([2]quests!$A:$A),MATCH(C$1,[2]quests!$1:$1,0)-MATCH($B$1,[2]quests!$1:$1,0)+1),MATCH(C$1,[2]quests!$1:$1,0)-MATCH($B$1,[2]quests!$1:$1,0)+1,FALSE)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8" s="80" t="str">
        <f ca="1">VLOOKUP($B118,OFFSET([2]quests!$A$1,0,0,COUNTA([2]quests!$A:$A),MATCH(D$1,[2]quests!$1:$1,0)-MATCH($B$1,[2]quests!$1:$1,0)+1),MATCH(D$1,[2]quests!$1:$1,0)-MATCH($B$1,[2]quests!$1:$1,0)+1,FALSE)</f>
        <v>タワーオブザクイーン2本目</v>
      </c>
      <c r="E118" s="84" t="s">
        <v>215</v>
      </c>
      <c r="F118" s="80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0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2">
        <v>0</v>
      </c>
      <c r="I118">
        <v>35</v>
      </c>
      <c r="J118" s="81" t="s">
        <v>196</v>
      </c>
      <c r="K118" s="90" t="str">
        <f>VLOOKUP(I118,[8]stage_hints!$A:$C,3,FALSE)</f>
        <v>敵のステータスがスキルで上がったら</v>
      </c>
      <c r="L118" s="91" t="str">
        <f>VLOOKUP(I118,[8]stage_hints!$A:$D,4,FALSE)</f>
        <v>敵のステータスがスキルでアップしたときは_x000D_ステータスダウンスキルで上書きしましょう</v>
      </c>
      <c r="M118" s="55" t="s">
        <v>208</v>
      </c>
    </row>
    <row r="119" spans="1:13" x14ac:dyDescent="0.15">
      <c r="A119" s="78" t="s">
        <v>198</v>
      </c>
      <c r="B119" s="79">
        <v>13400</v>
      </c>
      <c r="C119" s="80" t="str">
        <f ca="1">VLOOKUP($B119,OFFSET([2]quests!$A$1,0,0,COUNTA([2]quests!$A:$A),MATCH(C$1,[2]quests!$1:$1,0)-MATCH($B$1,[2]quests!$1:$1,0)+1),MATCH(C$1,[2]quests!$1:$1,0)-MATCH($B$1,[2]quests!$1:$1,0)+1,FALSE)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19" s="80" t="str">
        <f ca="1">VLOOKUP($B119,OFFSET([2]quests!$A$1,0,0,COUNTA([2]quests!$A:$A),MATCH(D$1,[2]quests!$1:$1,0)-MATCH($B$1,[2]quests!$1:$1,0)+1),MATCH(D$1,[2]quests!$1:$1,0)-MATCH($B$1,[2]quests!$1:$1,0)+1,FALSE)</f>
        <v>タワーオブザクイーン2本目</v>
      </c>
      <c r="E119" s="84" t="s">
        <v>215</v>
      </c>
      <c r="F119" s="80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0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2">
        <v>0</v>
      </c>
      <c r="I119">
        <v>36</v>
      </c>
      <c r="J119" s="81" t="s">
        <v>196</v>
      </c>
      <c r="K119" s="90" t="str">
        <f>VLOOKUP(I119,[8]stage_hints!$A:$C,3,FALSE)</f>
        <v>タワーオブザクイーンのボス</v>
      </c>
      <c r="L119" s="91" t="str">
        <f>VLOOKUP(I119,[8]stage_hints!$A:$D,4,FALSE)</f>
        <v>「タワーオブザクイーン」最上階のボスは_x000D_15階の初回クリア報酬で獲得できるほか_x000D_その階にて低確率でドロップもします</v>
      </c>
      <c r="M119" s="55" t="s">
        <v>208</v>
      </c>
    </row>
    <row r="120" spans="1:13" x14ac:dyDescent="0.15">
      <c r="A120" s="78" t="s">
        <v>198</v>
      </c>
      <c r="B120" s="79">
        <v>13400</v>
      </c>
      <c r="C120" s="80" t="str">
        <f ca="1">VLOOKUP($B120,OFFSET([2]quests!$A$1,0,0,COUNTA([2]quests!$A:$A),MATCH(C$1,[2]quests!$1:$1,0)-MATCH($B$1,[2]quests!$1:$1,0)+1),MATCH(C$1,[2]quests!$1:$1,0)-MATCH($B$1,[2]quests!$1:$1,0)+1,FALSE)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0" s="80" t="str">
        <f ca="1">VLOOKUP($B120,OFFSET([2]quests!$A$1,0,0,COUNTA([2]quests!$A:$A),MATCH(D$1,[2]quests!$1:$1,0)-MATCH($B$1,[2]quests!$1:$1,0)+1),MATCH(D$1,[2]quests!$1:$1,0)-MATCH($B$1,[2]quests!$1:$1,0)+1,FALSE)</f>
        <v>タワーオブザクイーン2本目</v>
      </c>
      <c r="E120" s="84" t="s">
        <v>215</v>
      </c>
      <c r="F120" s="80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0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2">
        <v>0</v>
      </c>
      <c r="I120">
        <v>37</v>
      </c>
      <c r="J120" s="81" t="s">
        <v>196</v>
      </c>
      <c r="K120" s="90" t="str">
        <f>VLOOKUP(I120,[8]stage_hints!$A:$C,3,FALSE)</f>
        <v>限界突破値の引き継ぎ</v>
      </c>
      <c r="L120" s="91" t="str">
        <f>VLOOKUP(I120,[8]stage_hints!$A:$D,4,FALSE)</f>
        <v>同じユニットを強化で合成すると_x000D_限界突破値を引き継げます（覚醒前後も可）</v>
      </c>
      <c r="M120" s="55" t="s">
        <v>208</v>
      </c>
    </row>
    <row r="121" spans="1:13" x14ac:dyDescent="0.15">
      <c r="A121" s="78" t="s">
        <v>198</v>
      </c>
      <c r="B121" s="79">
        <v>13400</v>
      </c>
      <c r="C121" s="80" t="str">
        <f ca="1">VLOOKUP($B121,OFFSET([2]quests!$A$1,0,0,COUNTA([2]quests!$A:$A),MATCH(C$1,[2]quests!$1:$1,0)-MATCH($B$1,[2]quests!$1:$1,0)+1),MATCH(C$1,[2]quests!$1:$1,0)-MATCH($B$1,[2]quests!$1:$1,0)+1,FALSE)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1" s="80" t="str">
        <f ca="1">VLOOKUP($B121,OFFSET([2]quests!$A$1,0,0,COUNTA([2]quests!$A:$A),MATCH(D$1,[2]quests!$1:$1,0)-MATCH($B$1,[2]quests!$1:$1,0)+1),MATCH(D$1,[2]quests!$1:$1,0)-MATCH($B$1,[2]quests!$1:$1,0)+1,FALSE)</f>
        <v>タワーオブザクイーン2本目</v>
      </c>
      <c r="E121" s="84" t="s">
        <v>215</v>
      </c>
      <c r="F121" s="80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0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2">
        <v>0</v>
      </c>
      <c r="I121">
        <v>39</v>
      </c>
      <c r="J121" s="81" t="s">
        <v>196</v>
      </c>
      <c r="K121" s="90" t="str">
        <f>VLOOKUP(I121,[8]stage_hints!$A:$C,3,FALSE)</f>
        <v>システム適合者を確認</v>
      </c>
      <c r="L121" s="91" t="str">
        <f>VLOOKUP(I121,[8]stage_hints!$A:$D,4,FALSE)</f>
        <v>ALICEが 「アナタ」を呼んでいます</v>
      </c>
      <c r="M121" s="55" t="s">
        <v>208</v>
      </c>
    </row>
    <row r="122" spans="1:13" x14ac:dyDescent="0.15">
      <c r="A122" s="78" t="s">
        <v>198</v>
      </c>
      <c r="B122" s="79">
        <v>13400</v>
      </c>
      <c r="C122" s="80" t="str">
        <f ca="1">VLOOKUP($B122,OFFSET([2]quests!$A$1,0,0,COUNTA([2]quests!$A:$A),MATCH(C$1,[2]quests!$1:$1,0)-MATCH($B$1,[2]quests!$1:$1,0)+1),MATCH(C$1,[2]quests!$1:$1,0)-MATCH($B$1,[2]quests!$1:$1,0)+1,FALSE)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2" s="80" t="str">
        <f ca="1">VLOOKUP($B122,OFFSET([2]quests!$A$1,0,0,COUNTA([2]quests!$A:$A),MATCH(D$1,[2]quests!$1:$1,0)-MATCH($B$1,[2]quests!$1:$1,0)+1),MATCH(D$1,[2]quests!$1:$1,0)-MATCH($B$1,[2]quests!$1:$1,0)+1,FALSE)</f>
        <v>タワーオブザクイーン2本目</v>
      </c>
      <c r="E122" s="84" t="s">
        <v>216</v>
      </c>
      <c r="F122" s="80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0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2">
        <v>0</v>
      </c>
      <c r="I122">
        <v>12</v>
      </c>
      <c r="J122" s="81" t="s">
        <v>196</v>
      </c>
      <c r="K122" s="90" t="str">
        <f>VLOOKUP(I122,[8]stage_hints!$A:$C,3,FALSE)</f>
        <v>ユニットのお気に入り登録</v>
      </c>
      <c r="L122" s="91" t="str">
        <f>VLOOKUP(I122,[8]stage_hints!$A:$D,4,FALSE)</f>
        <v>大事なユニットを誤って消さないように_x000D_フォルダから「お気に入り登録」しましょう</v>
      </c>
      <c r="M122" s="55" t="s">
        <v>208</v>
      </c>
    </row>
    <row r="123" spans="1:13" x14ac:dyDescent="0.15">
      <c r="A123" s="78" t="s">
        <v>198</v>
      </c>
      <c r="B123" s="79">
        <v>13400</v>
      </c>
      <c r="C123" s="80" t="str">
        <f ca="1">VLOOKUP($B123,OFFSET([2]quests!$A$1,0,0,COUNTA([2]quests!$A:$A),MATCH(C$1,[2]quests!$1:$1,0)-MATCH($B$1,[2]quests!$1:$1,0)+1),MATCH(C$1,[2]quests!$1:$1,0)-MATCH($B$1,[2]quests!$1:$1,0)+1,FALSE)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3" s="80" t="str">
        <f ca="1">VLOOKUP($B123,OFFSET([2]quests!$A$1,0,0,COUNTA([2]quests!$A:$A),MATCH(D$1,[2]quests!$1:$1,0)-MATCH($B$1,[2]quests!$1:$1,0)+1),MATCH(D$1,[2]quests!$1:$1,0)-MATCH($B$1,[2]quests!$1:$1,0)+1,FALSE)</f>
        <v>タワーオブザクイーン2本目</v>
      </c>
      <c r="E123" s="84" t="s">
        <v>216</v>
      </c>
      <c r="F123" s="80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0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2">
        <v>0</v>
      </c>
      <c r="I123">
        <v>17</v>
      </c>
      <c r="J123" s="81" t="s">
        <v>196</v>
      </c>
      <c r="K123" s="90" t="str">
        <f>VLOOKUP(I123,[8]stage_hints!$A:$C,3,FALSE)</f>
        <v>リンクガチャ</v>
      </c>
      <c r="L123" s="91" t="str">
        <f>VLOOKUP(I123,[8]stage_hints!$A:$D,4,FALSE)</f>
        <v>無料のリンクガチャを回して_x000D_経験値素材や売却素材を獲得しましょう</v>
      </c>
      <c r="M123" s="55" t="s">
        <v>208</v>
      </c>
    </row>
    <row r="124" spans="1:13" x14ac:dyDescent="0.15">
      <c r="A124" s="78" t="s">
        <v>198</v>
      </c>
      <c r="B124" s="79">
        <v>13400</v>
      </c>
      <c r="C124" s="80" t="str">
        <f ca="1">VLOOKUP($B124,OFFSET([2]quests!$A$1,0,0,COUNTA([2]quests!$A:$A),MATCH(C$1,[2]quests!$1:$1,0)-MATCH($B$1,[2]quests!$1:$1,0)+1),MATCH(C$1,[2]quests!$1:$1,0)-MATCH($B$1,[2]quests!$1:$1,0)+1,FALSE)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4" s="80" t="str">
        <f ca="1">VLOOKUP($B124,OFFSET([2]quests!$A$1,0,0,COUNTA([2]quests!$A:$A),MATCH(D$1,[2]quests!$1:$1,0)-MATCH($B$1,[2]quests!$1:$1,0)+1),MATCH(D$1,[2]quests!$1:$1,0)-MATCH($B$1,[2]quests!$1:$1,0)+1,FALSE)</f>
        <v>タワーオブザクイーン2本目</v>
      </c>
      <c r="E124" s="84" t="s">
        <v>216</v>
      </c>
      <c r="F124" s="80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0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2">
        <v>0</v>
      </c>
      <c r="I124">
        <v>19</v>
      </c>
      <c r="J124" s="81" t="s">
        <v>196</v>
      </c>
      <c r="K124" s="90" t="str">
        <f>VLOOKUP(I124,[8]stage_hints!$A:$C,3,FALSE)</f>
        <v>ソロ専用タワーオブザクイーン</v>
      </c>
      <c r="L124" s="91" t="str">
        <f>VLOOKUP(I124,[8]stage_hints!$A:$D,4,FALSE)</f>
        <v>ソロ専用の「タワーオブザクイーン」は_x000D_期間限定で定期的に開催されます_x000D_ここでしか獲得できない報酬もあるようです</v>
      </c>
      <c r="M124" s="55" t="s">
        <v>208</v>
      </c>
    </row>
    <row r="125" spans="1:13" x14ac:dyDescent="0.15">
      <c r="A125" s="78" t="s">
        <v>198</v>
      </c>
      <c r="B125" s="79">
        <v>13400</v>
      </c>
      <c r="C125" s="80" t="str">
        <f ca="1">VLOOKUP($B125,OFFSET([2]quests!$A$1,0,0,COUNTA([2]quests!$A:$A),MATCH(C$1,[2]quests!$1:$1,0)-MATCH($B$1,[2]quests!$1:$1,0)+1),MATCH(C$1,[2]quests!$1:$1,0)-MATCH($B$1,[2]quests!$1:$1,0)+1,FALSE)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5" s="80" t="str">
        <f ca="1">VLOOKUP($B125,OFFSET([2]quests!$A$1,0,0,COUNTA([2]quests!$A:$A),MATCH(D$1,[2]quests!$1:$1,0)-MATCH($B$1,[2]quests!$1:$1,0)+1),MATCH(D$1,[2]quests!$1:$1,0)-MATCH($B$1,[2]quests!$1:$1,0)+1,FALSE)</f>
        <v>タワーオブザクイーン2本目</v>
      </c>
      <c r="E125" s="84" t="s">
        <v>216</v>
      </c>
      <c r="F125" s="80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0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2">
        <v>0</v>
      </c>
      <c r="I125">
        <v>21</v>
      </c>
      <c r="J125" s="81" t="s">
        <v>196</v>
      </c>
      <c r="K125" s="90" t="str">
        <f>VLOOKUP(I125,[8]stage_hints!$A:$C,3,FALSE)</f>
        <v>スキルを有効に</v>
      </c>
      <c r="L125" s="91" t="str">
        <f>VLOOKUP(I125,[8]stage_hints!$A:$D,4,FALSE)</f>
        <v>ターン経過でユニットのスキルが使えます_x000D_強力スキルでバトルを有利に進めましょう</v>
      </c>
      <c r="M125" s="55" t="s">
        <v>208</v>
      </c>
    </row>
    <row r="126" spans="1:13" x14ac:dyDescent="0.15">
      <c r="A126" s="78" t="s">
        <v>198</v>
      </c>
      <c r="B126" s="79">
        <v>13400</v>
      </c>
      <c r="C126" s="80" t="str">
        <f ca="1">VLOOKUP($B126,OFFSET([2]quests!$A$1,0,0,COUNTA([2]quests!$A:$A),MATCH(C$1,[2]quests!$1:$1,0)-MATCH($B$1,[2]quests!$1:$1,0)+1),MATCH(C$1,[2]quests!$1:$1,0)-MATCH($B$1,[2]quests!$1:$1,0)+1,FALSE)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6" s="80" t="str">
        <f ca="1">VLOOKUP($B126,OFFSET([2]quests!$A$1,0,0,COUNTA([2]quests!$A:$A),MATCH(D$1,[2]quests!$1:$1,0)-MATCH($B$1,[2]quests!$1:$1,0)+1),MATCH(D$1,[2]quests!$1:$1,0)-MATCH($B$1,[2]quests!$1:$1,0)+1,FALSE)</f>
        <v>タワーオブザクイーン2本目</v>
      </c>
      <c r="E126" s="84" t="s">
        <v>216</v>
      </c>
      <c r="F126" s="80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0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2">
        <v>0</v>
      </c>
      <c r="I126">
        <v>29</v>
      </c>
      <c r="J126" s="81" t="s">
        <v>196</v>
      </c>
      <c r="K126" s="90" t="str">
        <f>VLOOKUP(I126,[8]stage_hints!$A:$C,3,FALSE)</f>
        <v>「バグ」のメリット</v>
      </c>
      <c r="L126" s="91" t="str">
        <f>VLOOKUP(I126,[8]stage_hints!$A:$D,4,FALSE)</f>
        <v>ユニットの「バグ」を増やすと_x000D_報酬をもらえる確率がアップします</v>
      </c>
      <c r="M126" s="55" t="s">
        <v>208</v>
      </c>
    </row>
    <row r="127" spans="1:13" x14ac:dyDescent="0.15">
      <c r="A127" s="78" t="s">
        <v>198</v>
      </c>
      <c r="B127" s="79">
        <v>13400</v>
      </c>
      <c r="C127" s="80" t="str">
        <f ca="1">VLOOKUP($B127,OFFSET([2]quests!$A$1,0,0,COUNTA([2]quests!$A:$A),MATCH(C$1,[2]quests!$1:$1,0)-MATCH($B$1,[2]quests!$1:$1,0)+1),MATCH(C$1,[2]quests!$1:$1,0)-MATCH($B$1,[2]quests!$1:$1,0)+1,FALSE)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7" s="80" t="str">
        <f ca="1">VLOOKUP($B127,OFFSET([2]quests!$A$1,0,0,COUNTA([2]quests!$A:$A),MATCH(D$1,[2]quests!$1:$1,0)-MATCH($B$1,[2]quests!$1:$1,0)+1),MATCH(D$1,[2]quests!$1:$1,0)-MATCH($B$1,[2]quests!$1:$1,0)+1,FALSE)</f>
        <v>タワーオブザクイーン2本目</v>
      </c>
      <c r="E127" s="84" t="s">
        <v>216</v>
      </c>
      <c r="F127" s="80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0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2">
        <v>0</v>
      </c>
      <c r="I127">
        <v>30</v>
      </c>
      <c r="J127" s="81" t="s">
        <v>196</v>
      </c>
      <c r="K127" s="90" t="str">
        <f>VLOOKUP(I127,[8]stage_hints!$A:$C,3,FALSE)</f>
        <v>「バグ」の増やし方</v>
      </c>
      <c r="L127" s="91" t="str">
        <f>VLOOKUP(I127,[8]stage_hints!$A:$D,4,FALSE)</f>
        <v>同じユニット同士を強化で合成すると_x000D_「バグ」を増やすことができます</v>
      </c>
      <c r="M127" s="55" t="s">
        <v>208</v>
      </c>
    </row>
    <row r="128" spans="1:13" x14ac:dyDescent="0.15">
      <c r="A128" s="78" t="s">
        <v>198</v>
      </c>
      <c r="B128" s="79">
        <v>13400</v>
      </c>
      <c r="C128" s="80" t="str">
        <f ca="1">VLOOKUP($B128,OFFSET([2]quests!$A$1,0,0,COUNTA([2]quests!$A:$A),MATCH(C$1,[2]quests!$1:$1,0)-MATCH($B$1,[2]quests!$1:$1,0)+1),MATCH(C$1,[2]quests!$1:$1,0)-MATCH($B$1,[2]quests!$1:$1,0)+1,FALSE)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8" s="80" t="str">
        <f ca="1">VLOOKUP($B128,OFFSET([2]quests!$A$1,0,0,COUNTA([2]quests!$A:$A),MATCH(D$1,[2]quests!$1:$1,0)-MATCH($B$1,[2]quests!$1:$1,0)+1),MATCH(D$1,[2]quests!$1:$1,0)-MATCH($B$1,[2]quests!$1:$1,0)+1,FALSE)</f>
        <v>タワーオブザクイーン2本目</v>
      </c>
      <c r="E128" s="84" t="s">
        <v>216</v>
      </c>
      <c r="F128" s="80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0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2">
        <v>0</v>
      </c>
      <c r="I128">
        <v>32</v>
      </c>
      <c r="J128" s="81" t="s">
        <v>196</v>
      </c>
      <c r="K128" s="90" t="str">
        <f>VLOOKUP(I128,[8]stage_hints!$A:$C,3,FALSE)</f>
        <v>敵の連続攻撃には</v>
      </c>
      <c r="L128" s="91" t="str">
        <f>VLOOKUP(I128,[8]stage_hints!$A:$D,4,FALSE)</f>
        <v>カウンタースキルを持つユニットがいれば_x000D_ダメージ回数分の反撃ができます</v>
      </c>
      <c r="M128" s="55" t="s">
        <v>208</v>
      </c>
    </row>
    <row r="129" spans="1:13" x14ac:dyDescent="0.15">
      <c r="A129" s="78" t="s">
        <v>198</v>
      </c>
      <c r="B129" s="79">
        <v>13400</v>
      </c>
      <c r="C129" s="80" t="str">
        <f ca="1">VLOOKUP($B129,OFFSET([2]quests!$A$1,0,0,COUNTA([2]quests!$A:$A),MATCH(C$1,[2]quests!$1:$1,0)-MATCH($B$1,[2]quests!$1:$1,0)+1),MATCH(C$1,[2]quests!$1:$1,0)-MATCH($B$1,[2]quests!$1:$1,0)+1,FALSE)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29" s="80" t="str">
        <f ca="1">VLOOKUP($B129,OFFSET([2]quests!$A$1,0,0,COUNTA([2]quests!$A:$A),MATCH(D$1,[2]quests!$1:$1,0)-MATCH($B$1,[2]quests!$1:$1,0)+1),MATCH(D$1,[2]quests!$1:$1,0)-MATCH($B$1,[2]quests!$1:$1,0)+1,FALSE)</f>
        <v>タワーオブザクイーン2本目</v>
      </c>
      <c r="E129" s="84" t="s">
        <v>216</v>
      </c>
      <c r="F129" s="80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0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2">
        <v>0</v>
      </c>
      <c r="I129">
        <v>33</v>
      </c>
      <c r="J129" s="81" t="s">
        <v>196</v>
      </c>
      <c r="K129" s="90" t="str">
        <f>VLOOKUP(I129,[8]stage_hints!$A:$C,3,FALSE)</f>
        <v>敵のカウンター攻撃には</v>
      </c>
      <c r="L129" s="91" t="str">
        <f>VLOOKUP(I129,[8]stage_hints!$A:$D,4,FALSE)</f>
        <v>カウンターブレイクスキルを持っていれば_x000D_敵のカウンターを解除して攻撃ができます</v>
      </c>
      <c r="M129" s="55" t="s">
        <v>208</v>
      </c>
    </row>
    <row r="130" spans="1:13" x14ac:dyDescent="0.15">
      <c r="A130" s="78" t="s">
        <v>198</v>
      </c>
      <c r="B130" s="79">
        <v>13400</v>
      </c>
      <c r="C130" s="80" t="str">
        <f ca="1">VLOOKUP($B130,OFFSET([2]quests!$A$1,0,0,COUNTA([2]quests!$A:$A),MATCH(C$1,[2]quests!$1:$1,0)-MATCH($B$1,[2]quests!$1:$1,0)+1),MATCH(C$1,[2]quests!$1:$1,0)-MATCH($B$1,[2]quests!$1:$1,0)+1,FALSE)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0" s="80" t="str">
        <f ca="1">VLOOKUP($B130,OFFSET([2]quests!$A$1,0,0,COUNTA([2]quests!$A:$A),MATCH(D$1,[2]quests!$1:$1,0)-MATCH($B$1,[2]quests!$1:$1,0)+1),MATCH(D$1,[2]quests!$1:$1,0)-MATCH($B$1,[2]quests!$1:$1,0)+1,FALSE)</f>
        <v>タワーオブザクイーン2本目</v>
      </c>
      <c r="E130" s="84" t="s">
        <v>216</v>
      </c>
      <c r="F130" s="80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0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2">
        <v>0</v>
      </c>
      <c r="I130">
        <v>34</v>
      </c>
      <c r="J130" s="81" t="s">
        <v>196</v>
      </c>
      <c r="K130" s="90" t="str">
        <f>VLOOKUP(I130,[8]stage_hints!$A:$C,3,FALSE)</f>
        <v>ステータスをスキルで下げられたら</v>
      </c>
      <c r="L130" s="91" t="str">
        <f>VLOOKUP(I130,[8]stage_hints!$A:$D,4,FALSE)</f>
        <v>ステータスダウンのスキルを受けたら_x000D_ステータスアップスキルで上書きしましょう</v>
      </c>
      <c r="M130" s="55" t="s">
        <v>208</v>
      </c>
    </row>
    <row r="131" spans="1:13" x14ac:dyDescent="0.15">
      <c r="A131" s="78" t="s">
        <v>198</v>
      </c>
      <c r="B131" s="79">
        <v>13400</v>
      </c>
      <c r="C131" s="80" t="str">
        <f ca="1">VLOOKUP($B131,OFFSET([2]quests!$A$1,0,0,COUNTA([2]quests!$A:$A),MATCH(C$1,[2]quests!$1:$1,0)-MATCH($B$1,[2]quests!$1:$1,0)+1),MATCH(C$1,[2]quests!$1:$1,0)-MATCH($B$1,[2]quests!$1:$1,0)+1,FALSE)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1" s="80" t="str">
        <f ca="1">VLOOKUP($B131,OFFSET([2]quests!$A$1,0,0,COUNTA([2]quests!$A:$A),MATCH(D$1,[2]quests!$1:$1,0)-MATCH($B$1,[2]quests!$1:$1,0)+1),MATCH(D$1,[2]quests!$1:$1,0)-MATCH($B$1,[2]quests!$1:$1,0)+1,FALSE)</f>
        <v>タワーオブザクイーン2本目</v>
      </c>
      <c r="E131" s="84" t="s">
        <v>216</v>
      </c>
      <c r="F131" s="80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0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2">
        <v>0</v>
      </c>
      <c r="I131">
        <v>35</v>
      </c>
      <c r="J131" s="81" t="s">
        <v>196</v>
      </c>
      <c r="K131" s="90" t="str">
        <f>VLOOKUP(I131,[8]stage_hints!$A:$C,3,FALSE)</f>
        <v>敵のステータスがスキルで上がったら</v>
      </c>
      <c r="L131" s="91" t="str">
        <f>VLOOKUP(I131,[8]stage_hints!$A:$D,4,FALSE)</f>
        <v>敵のステータスがスキルでアップしたときは_x000D_ステータスダウンスキルで上書きしましょう</v>
      </c>
      <c r="M131" s="55" t="s">
        <v>208</v>
      </c>
    </row>
    <row r="132" spans="1:13" x14ac:dyDescent="0.15">
      <c r="A132" s="78" t="s">
        <v>198</v>
      </c>
      <c r="B132" s="79">
        <v>13400</v>
      </c>
      <c r="C132" s="80" t="str">
        <f ca="1">VLOOKUP($B132,OFFSET([2]quests!$A$1,0,0,COUNTA([2]quests!$A:$A),MATCH(C$1,[2]quests!$1:$1,0)-MATCH($B$1,[2]quests!$1:$1,0)+1),MATCH(C$1,[2]quests!$1:$1,0)-MATCH($B$1,[2]quests!$1:$1,0)+1,FALSE)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2" s="80" t="str">
        <f ca="1">VLOOKUP($B132,OFFSET([2]quests!$A$1,0,0,COUNTA([2]quests!$A:$A),MATCH(D$1,[2]quests!$1:$1,0)-MATCH($B$1,[2]quests!$1:$1,0)+1),MATCH(D$1,[2]quests!$1:$1,0)-MATCH($B$1,[2]quests!$1:$1,0)+1,FALSE)</f>
        <v>タワーオブザクイーン2本目</v>
      </c>
      <c r="E132" s="84" t="s">
        <v>216</v>
      </c>
      <c r="F132" s="80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0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2">
        <v>0</v>
      </c>
      <c r="I132">
        <v>36</v>
      </c>
      <c r="J132" s="81" t="s">
        <v>196</v>
      </c>
      <c r="K132" s="90" t="str">
        <f>VLOOKUP(I132,[8]stage_hints!$A:$C,3,FALSE)</f>
        <v>タワーオブザクイーンのボス</v>
      </c>
      <c r="L132" s="91" t="str">
        <f>VLOOKUP(I132,[8]stage_hints!$A:$D,4,FALSE)</f>
        <v>「タワーオブザクイーン」最上階のボスは_x000D_15階の初回クリア報酬で獲得できるほか_x000D_その階にて低確率でドロップもします</v>
      </c>
      <c r="M132" s="55" t="s">
        <v>208</v>
      </c>
    </row>
    <row r="133" spans="1:13" x14ac:dyDescent="0.15">
      <c r="A133" s="78" t="s">
        <v>198</v>
      </c>
      <c r="B133" s="79">
        <v>13400</v>
      </c>
      <c r="C133" s="80" t="str">
        <f ca="1">VLOOKUP($B133,OFFSET([2]quests!$A$1,0,0,COUNTA([2]quests!$A:$A),MATCH(C$1,[2]quests!$1:$1,0)-MATCH($B$1,[2]quests!$1:$1,0)+1),MATCH(C$1,[2]quests!$1:$1,0)-MATCH($B$1,[2]quests!$1:$1,0)+1,FALSE)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3" s="80" t="str">
        <f ca="1">VLOOKUP($B133,OFFSET([2]quests!$A$1,0,0,COUNTA([2]quests!$A:$A),MATCH(D$1,[2]quests!$1:$1,0)-MATCH($B$1,[2]quests!$1:$1,0)+1),MATCH(D$1,[2]quests!$1:$1,0)-MATCH($B$1,[2]quests!$1:$1,0)+1,FALSE)</f>
        <v>タワーオブザクイーン2本目</v>
      </c>
      <c r="E133" s="84" t="s">
        <v>216</v>
      </c>
      <c r="F133" s="80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0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2">
        <v>0</v>
      </c>
      <c r="I133">
        <v>37</v>
      </c>
      <c r="J133" s="81" t="s">
        <v>196</v>
      </c>
      <c r="K133" s="90" t="str">
        <f>VLOOKUP(I133,[8]stage_hints!$A:$C,3,FALSE)</f>
        <v>限界突破値の引き継ぎ</v>
      </c>
      <c r="L133" s="91" t="str">
        <f>VLOOKUP(I133,[8]stage_hints!$A:$D,4,FALSE)</f>
        <v>同じユニットを強化で合成すると_x000D_限界突破値を引き継げます（覚醒前後も可）</v>
      </c>
      <c r="M133" s="55" t="s">
        <v>208</v>
      </c>
    </row>
    <row r="134" spans="1:13" x14ac:dyDescent="0.15">
      <c r="A134" s="78" t="s">
        <v>198</v>
      </c>
      <c r="B134" s="79">
        <v>13400</v>
      </c>
      <c r="C134" s="80" t="str">
        <f ca="1">VLOOKUP($B134,OFFSET([2]quests!$A$1,0,0,COUNTA([2]quests!$A:$A),MATCH(C$1,[2]quests!$1:$1,0)-MATCH($B$1,[2]quests!$1:$1,0)+1),MATCH(C$1,[2]quests!$1:$1,0)-MATCH($B$1,[2]quests!$1:$1,0)+1,FALSE)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134" s="80" t="str">
        <f ca="1">VLOOKUP($B134,OFFSET([2]quests!$A$1,0,0,COUNTA([2]quests!$A:$A),MATCH(D$1,[2]quests!$1:$1,0)-MATCH($B$1,[2]quests!$1:$1,0)+1),MATCH(D$1,[2]quests!$1:$1,0)-MATCH($B$1,[2]quests!$1:$1,0)+1,FALSE)</f>
        <v>タワーオブザクイーン2本目</v>
      </c>
      <c r="E134" s="84" t="s">
        <v>216</v>
      </c>
      <c r="F134" s="80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0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2">
        <v>0</v>
      </c>
      <c r="I134">
        <v>39</v>
      </c>
      <c r="J134" s="81" t="s">
        <v>196</v>
      </c>
      <c r="K134" s="90" t="str">
        <f>VLOOKUP(I134,[8]stage_hints!$A:$C,3,FALSE)</f>
        <v>システム適合者を確認</v>
      </c>
      <c r="L134" s="91" t="str">
        <f>VLOOKUP(I134,[8]stage_hints!$A:$D,4,FALSE)</f>
        <v>ALICEが 「アナタ」を呼んでいます</v>
      </c>
      <c r="M134" s="55" t="s">
        <v>208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P7"/>
  <sheetViews>
    <sheetView showGridLines="0" workbookViewId="0">
      <pane ySplit="1" topLeftCell="A2" activePane="bottomLeft" state="frozen"/>
      <selection pane="bottomLeft" activeCell="M3" sqref="M3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40.83203125" customWidth="1"/>
  </cols>
  <sheetData>
    <row r="1" spans="1:16" x14ac:dyDescent="0.15">
      <c r="A1" s="73" t="s">
        <v>186</v>
      </c>
      <c r="B1" s="70" t="s">
        <v>148</v>
      </c>
      <c r="C1" s="74" t="s">
        <v>188</v>
      </c>
      <c r="D1" s="74" t="s">
        <v>33</v>
      </c>
      <c r="E1" s="70" t="s">
        <v>189</v>
      </c>
      <c r="F1" s="74" t="s">
        <v>18</v>
      </c>
      <c r="G1" s="74" t="s">
        <v>33</v>
      </c>
      <c r="H1" s="70" t="s">
        <v>191</v>
      </c>
      <c r="I1" s="86" t="s">
        <v>192</v>
      </c>
      <c r="J1" s="88" t="s">
        <v>193</v>
      </c>
      <c r="K1" s="76" t="s">
        <v>125</v>
      </c>
      <c r="L1" s="75" t="s">
        <v>184</v>
      </c>
      <c r="M1" s="89" t="s">
        <v>183</v>
      </c>
      <c r="N1" s="77" t="s">
        <v>194</v>
      </c>
      <c r="O1" s="89" t="s">
        <v>258</v>
      </c>
    </row>
    <row r="2" spans="1:16" ht="82" customHeight="1" x14ac:dyDescent="0.15">
      <c r="A2" s="78" t="s">
        <v>195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14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14階 コスト制限なし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>
        <v>1</v>
      </c>
      <c r="I2" s="87">
        <f>ROW()-1</f>
        <v>1</v>
      </c>
      <c r="J2" s="83">
        <v>13400800</v>
      </c>
      <c r="K2" s="81" t="s">
        <v>196</v>
      </c>
      <c r="L2" s="84" t="s">
        <v>254</v>
      </c>
      <c r="M2" s="114" t="s">
        <v>411</v>
      </c>
      <c r="N2" s="55" t="s">
        <v>197</v>
      </c>
      <c r="O2" s="109" t="str">
        <f>"１２３４５６７８９０１２３４５６７８９０"&amp;M2</f>
        <v>１２３４５６７８９０１２３４５６７８９０セトは1ゲージ目で赤・緑パネルを_x000D_プロテクトしてドロップさせます_x000D__x000D_プロテクトパネルに対応できるユニットを_x000D_連れて行きましょう</v>
      </c>
      <c r="P2">
        <f>LEN(M2)</f>
        <v>63</v>
      </c>
    </row>
    <row r="3" spans="1:16" ht="91" customHeight="1" x14ac:dyDescent="0.15">
      <c r="A3" s="78" t="s">
        <v>195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14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14階 コスト制限なし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>
        <v>1</v>
      </c>
      <c r="I3" s="87">
        <f>ROW()-1</f>
        <v>2</v>
      </c>
      <c r="J3" s="83">
        <v>13400801</v>
      </c>
      <c r="K3" s="81" t="s">
        <v>196</v>
      </c>
      <c r="L3" s="84" t="s">
        <v>254</v>
      </c>
      <c r="M3" s="114" t="s">
        <v>407</v>
      </c>
      <c r="N3" s="55" t="s">
        <v>197</v>
      </c>
      <c r="O3" s="109" t="str">
        <f>"１２３４５６７８９０１２３４５６７８９０"&amp;M3</f>
        <v>１２３４５６７８９０１２３４５６７８９０セトは2ゲージ目に移行しHPが減ると_x000D_青パネルを出現させなくします_x000D__x000D_パーティの編成によっては_x000D_上手く利用できるかもしれません</v>
      </c>
      <c r="P3">
        <f t="shared" ref="P3:P6" si="0">LEN(M3)</f>
        <v>63</v>
      </c>
    </row>
    <row r="4" spans="1:16" ht="91" customHeight="1" x14ac:dyDescent="0.15">
      <c r="A4" s="78" t="s">
        <v>195</v>
      </c>
      <c r="B4" s="79">
        <v>13400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1">
        <v>14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14階 コスト制限なし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タワーオブザクイーン2本目</v>
      </c>
      <c r="H4" s="82">
        <v>1</v>
      </c>
      <c r="I4" s="87">
        <f>ROW()-1</f>
        <v>3</v>
      </c>
      <c r="J4" s="83">
        <v>13400802</v>
      </c>
      <c r="K4" s="81" t="s">
        <v>196</v>
      </c>
      <c r="L4" s="84" t="s">
        <v>254</v>
      </c>
      <c r="M4" s="114" t="s">
        <v>410</v>
      </c>
      <c r="N4" s="55" t="s">
        <v>197</v>
      </c>
      <c r="O4" s="109" t="str">
        <f>"１２３４５６７８９０１２３４５６７８９０"&amp;M4</f>
        <v>１２３４５６７８９０１２３４５６７８９０セトは3ゲージ目に移行すると_x000D_回復力をDOWNさせるスキルを_x000D_頻繁に使用します_x000D__x000D_Cスキルによる回復力UPが有効でしょう</v>
      </c>
      <c r="P4">
        <f t="shared" ref="P4" si="1">LEN(M4)</f>
        <v>60</v>
      </c>
    </row>
    <row r="5" spans="1:16" ht="95" customHeight="1" x14ac:dyDescent="0.15">
      <c r="A5" s="78" t="s">
        <v>195</v>
      </c>
      <c r="B5" s="79">
        <v>13400</v>
      </c>
      <c r="C5" s="80" t="str">
        <f ca="1">VLOOKUP($B5,OFFSET([2]quests!$A$1,0,0,COUNTA([2]quests!$A:$A),MATCH(C$1,[2]quests!$1:$1,0)-MATCH($B$1,[2]quests!$1:$1,0)+1),MATCH(C$1,[2]quests!$1:$1,0)-MATCH($B$1,[2]quests!$1:$1,0)+1,FALSE)</f>
        <v>タワーオブザクイーン -セカンド（仮）-</v>
      </c>
      <c r="D5" s="80" t="str">
        <f ca="1">VLOOKUP($B5,OFFSET([2]quests!$A$1,0,0,COUNTA([2]quests!$A:$A),MATCH(D$1,[2]quests!$1:$1,0)-MATCH($B$1,[2]quests!$1:$1,0)+1),MATCH(D$1,[2]quests!$1:$1,0)-MATCH($B$1,[2]quests!$1:$1,0)+1,FALSE)</f>
        <v>タワーオブザクイーン2本目</v>
      </c>
      <c r="E5" s="81">
        <v>14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14階 コスト制限なし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タワーオブザクイーン2本目</v>
      </c>
      <c r="H5" s="82">
        <v>2</v>
      </c>
      <c r="I5" s="87">
        <f>ROW()-1</f>
        <v>4</v>
      </c>
      <c r="J5" s="83">
        <v>13400803</v>
      </c>
      <c r="K5" s="81" t="s">
        <v>196</v>
      </c>
      <c r="L5" s="84" t="s">
        <v>254</v>
      </c>
      <c r="M5" s="114" t="s">
        <v>409</v>
      </c>
      <c r="N5" s="55" t="s">
        <v>197</v>
      </c>
      <c r="O5" s="109" t="str">
        <f>"１２３４５６７８９０１２３４５６７８９０"&amp;M5</f>
        <v>１２３４５６７８９０１２３４５６７８９０ロキは1ゲージ目の1ターン目に_x000D_黄属性を狙う強力な単体攻撃を使用します_x000D__x000D_パーティを編成する際には_x000D_属性に気を付けましょう</v>
      </c>
      <c r="P5">
        <f t="shared" si="0"/>
        <v>61</v>
      </c>
    </row>
    <row r="6" spans="1:16" ht="61" customHeight="1" x14ac:dyDescent="0.15">
      <c r="A6" s="78" t="s">
        <v>195</v>
      </c>
      <c r="B6" s="79">
        <v>13400</v>
      </c>
      <c r="C6" s="80" t="str">
        <f ca="1">VLOOKUP($B6,OFFSET([2]quests!$A$1,0,0,COUNTA([2]quests!$A:$A),MATCH(C$1,[2]quests!$1:$1,0)-MATCH($B$1,[2]quests!$1:$1,0)+1),MATCH(C$1,[2]quests!$1:$1,0)-MATCH($B$1,[2]quests!$1:$1,0)+1,FALSE)</f>
        <v>タワーオブザクイーン -セカンド（仮）-</v>
      </c>
      <c r="D6" s="80" t="str">
        <f ca="1">VLOOKUP($B6,OFFSET([2]quests!$A$1,0,0,COUNTA([2]quests!$A:$A),MATCH(D$1,[2]quests!$1:$1,0)-MATCH($B$1,[2]quests!$1:$1,0)+1),MATCH(D$1,[2]quests!$1:$1,0)-MATCH($B$1,[2]quests!$1:$1,0)+1,FALSE)</f>
        <v>タワーオブザクイーン2本目</v>
      </c>
      <c r="E6" s="81">
        <v>14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14階 コスト制限なし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タワーオブザクイーン2本目</v>
      </c>
      <c r="H6" s="82">
        <v>2</v>
      </c>
      <c r="I6" s="87">
        <f>ROW()-1</f>
        <v>5</v>
      </c>
      <c r="J6" s="83">
        <v>13400804</v>
      </c>
      <c r="K6" s="81" t="s">
        <v>196</v>
      </c>
      <c r="L6" s="84" t="s">
        <v>254</v>
      </c>
      <c r="M6" s="114" t="s">
        <v>405</v>
      </c>
      <c r="N6" s="55" t="s">
        <v>197</v>
      </c>
      <c r="O6" s="109" t="str">
        <f>"１２３４５６７８９０１２３４５６７８９０"&amp;M6</f>
        <v>１２３４５６７８９０１２３４５６７８９０ロキは2ゲージ目に移行し_x000D_一定のターンが経過すると_x000D_黄パネルを確率で先頭ユニットの_x000D_Cパネルとしてドロップさせます</v>
      </c>
      <c r="P6">
        <f t="shared" si="0"/>
        <v>57</v>
      </c>
    </row>
    <row r="7" spans="1:16" ht="86" customHeight="1" x14ac:dyDescent="0.15">
      <c r="A7" s="78" t="s">
        <v>195</v>
      </c>
      <c r="B7" s="79">
        <v>13400</v>
      </c>
      <c r="C7" s="80" t="str">
        <f ca="1">VLOOKUP($B7,OFFSET([2]quests!$A$1,0,0,COUNTA([2]quests!$A:$A),MATCH(C$1,[2]quests!$1:$1,0)-MATCH($B$1,[2]quests!$1:$1,0)+1),MATCH(C$1,[2]quests!$1:$1,0)-MATCH($B$1,[2]quests!$1:$1,0)+1,FALSE)</f>
        <v>タワーオブザクイーン -セカンド（仮）-</v>
      </c>
      <c r="D7" s="80" t="str">
        <f ca="1">VLOOKUP($B7,OFFSET([2]quests!$A$1,0,0,COUNTA([2]quests!$A:$A),MATCH(D$1,[2]quests!$1:$1,0)-MATCH($B$1,[2]quests!$1:$1,0)+1),MATCH(D$1,[2]quests!$1:$1,0)-MATCH($B$1,[2]quests!$1:$1,0)+1,FALSE)</f>
        <v>タワーオブザクイーン2本目</v>
      </c>
      <c r="E7" s="81">
        <v>14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14階 コスト制限なし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タワーオブザクイーン2本目</v>
      </c>
      <c r="H7" s="82">
        <v>2</v>
      </c>
      <c r="I7" s="87">
        <f>ROW()-1</f>
        <v>6</v>
      </c>
      <c r="J7" s="83">
        <v>13400805</v>
      </c>
      <c r="K7" s="81" t="s">
        <v>196</v>
      </c>
      <c r="L7" s="84" t="s">
        <v>254</v>
      </c>
      <c r="M7" s="114" t="s">
        <v>408</v>
      </c>
      <c r="N7" s="55" t="s">
        <v>197</v>
      </c>
      <c r="O7" s="109" t="str">
        <f>"１２３４５６７８９０１２３４５６７８９０"&amp;M7</f>
        <v>１２３４５６７８９０１２３４５６７８９０ロキは属性パネルをダメージパネルへ_x000D_変換するスキルを頻繁に使用します_x000D__x000D_ダメージパネルに対応できるユニットを_x000D_連れて行きましょう</v>
      </c>
      <c r="P7">
        <f t="shared" ref="P7" si="2">LEN(M7)</f>
        <v>64</v>
      </c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O2" sqref="O2:X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217</v>
      </c>
      <c r="B1" s="95" t="s">
        <v>218</v>
      </c>
      <c r="C1" s="74" t="s">
        <v>219</v>
      </c>
      <c r="D1" s="74" t="s">
        <v>33</v>
      </c>
      <c r="E1" s="95" t="s">
        <v>220</v>
      </c>
      <c r="F1" s="74" t="s">
        <v>221</v>
      </c>
      <c r="G1" s="74" t="s">
        <v>33</v>
      </c>
      <c r="H1" s="95" t="s">
        <v>222</v>
      </c>
      <c r="I1" s="95" t="s">
        <v>223</v>
      </c>
      <c r="J1" s="95" t="s">
        <v>224</v>
      </c>
      <c r="K1" s="70" t="s">
        <v>225</v>
      </c>
      <c r="L1" s="70" t="s">
        <v>226</v>
      </c>
      <c r="M1" s="70" t="s">
        <v>154</v>
      </c>
      <c r="N1" s="74" t="s">
        <v>16</v>
      </c>
      <c r="O1" s="70" t="s">
        <v>227</v>
      </c>
      <c r="P1" s="70" t="s">
        <v>56</v>
      </c>
      <c r="Q1" s="70" t="s">
        <v>228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229</v>
      </c>
      <c r="X1" s="70" t="s">
        <v>230</v>
      </c>
    </row>
    <row r="2" spans="1:24" x14ac:dyDescent="0.15">
      <c r="A2" s="96" t="str">
        <f>B2&amp;"_"&amp;E2&amp;"_"&amp;H2&amp;"_"&amp;I2&amp;"_"&amp;J2</f>
        <v>13400_14_singleonly_clear_1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14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14階 コスト制限なし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 t="s">
        <v>345</v>
      </c>
      <c r="I2" s="81" t="s">
        <v>346</v>
      </c>
      <c r="J2" s="81">
        <v>1</v>
      </c>
      <c r="K2" s="81">
        <v>430</v>
      </c>
      <c r="L2" s="81" t="s">
        <v>166</v>
      </c>
      <c r="M2" s="81">
        <v>26000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1" t="s">
        <v>344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8" t="s">
        <v>347</v>
      </c>
      <c r="X2" s="99" t="s">
        <v>168</v>
      </c>
    </row>
    <row r="3" spans="1:24" x14ac:dyDescent="0.15">
      <c r="A3" s="96" t="str">
        <f>B3&amp;"_"&amp;E3&amp;"_"&amp;H3&amp;"_"&amp;I3&amp;"_"&amp;J3</f>
        <v>13400_14_singleonly_clear_2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14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14階 コスト制限なし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 t="s">
        <v>345</v>
      </c>
      <c r="I3" s="81" t="s">
        <v>346</v>
      </c>
      <c r="J3" s="81">
        <v>2</v>
      </c>
      <c r="K3" s="81">
        <v>570</v>
      </c>
      <c r="L3" s="81" t="s">
        <v>166</v>
      </c>
      <c r="M3" s="81">
        <v>62000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1" t="s">
        <v>344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8" t="s">
        <v>347</v>
      </c>
      <c r="X3" s="99" t="s">
        <v>168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2017-03-23T07:28:11Z</dcterms:modified>
</cp:coreProperties>
</file>