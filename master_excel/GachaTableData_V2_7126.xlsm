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0" yWindow="0" windowWidth="25600" windowHeight="16000" tabRatio="943" activeTab="2"/>
  </bookViews>
  <sheets>
    <sheet name="確率の考え方" sheetId="110" r:id="rId1"/>
    <sheet name="Sheet1" sheetId="107" r:id="rId2"/>
    <sheet name="output" sheetId="103" r:id="rId3"/>
    <sheet name="tables_7126101" sheetId="132" r:id="rId4"/>
    <sheet name="tables_7126102" sheetId="133" r:id="rId5"/>
    <sheet name="tables_7126103" sheetId="134" r:id="rId6"/>
    <sheet name="tables_7126104" sheetId="135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3" hidden="1">tables_7126101!$A$1:$V$134</definedName>
    <definedName name="_xlnm._FilterDatabase" localSheetId="4" hidden="1">tables_7126102!$A$1:$V$134</definedName>
    <definedName name="_xlnm._FilterDatabase" localSheetId="5" hidden="1">tables_7126103!$A$1:$V$133</definedName>
    <definedName name="_xlnm._FilterDatabase" localSheetId="6" hidden="1">tables_7126104!$A$1:$V$133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03" l="1"/>
  <c r="E6" i="103"/>
  <c r="C5" i="103"/>
  <c r="E5" i="103"/>
  <c r="C4" i="103"/>
  <c r="E4" i="103"/>
  <c r="I5" i="135"/>
  <c r="D5" i="135"/>
  <c r="I3" i="135"/>
  <c r="D3" i="135"/>
  <c r="I4" i="135"/>
  <c r="D4" i="135"/>
  <c r="P5" i="135"/>
  <c r="N5" i="135"/>
  <c r="M5" i="135"/>
  <c r="L5" i="135"/>
  <c r="K5" i="135"/>
  <c r="J5" i="135"/>
  <c r="H5" i="135"/>
  <c r="F5" i="135"/>
  <c r="E5" i="135"/>
  <c r="C5" i="135"/>
  <c r="P4" i="135"/>
  <c r="N4" i="135"/>
  <c r="M4" i="135"/>
  <c r="L4" i="135"/>
  <c r="K4" i="135"/>
  <c r="J4" i="135"/>
  <c r="H4" i="135"/>
  <c r="F4" i="135"/>
  <c r="E4" i="135"/>
  <c r="C4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I2" i="135"/>
  <c r="H2" i="135"/>
  <c r="F2" i="135"/>
  <c r="E2" i="135"/>
  <c r="D2" i="135"/>
  <c r="C2" i="135"/>
  <c r="I2" i="134"/>
  <c r="D2" i="134"/>
  <c r="I3" i="134"/>
  <c r="D3" i="134"/>
  <c r="I4" i="134"/>
  <c r="D4" i="134"/>
  <c r="I5" i="134"/>
  <c r="D5" i="134"/>
  <c r="P5" i="134"/>
  <c r="N5" i="134"/>
  <c r="M5" i="134"/>
  <c r="L5" i="134"/>
  <c r="K5" i="134"/>
  <c r="J5" i="134"/>
  <c r="H5" i="134"/>
  <c r="F5" i="134"/>
  <c r="E5" i="134"/>
  <c r="C5" i="134"/>
  <c r="P4" i="134"/>
  <c r="N4" i="134"/>
  <c r="M4" i="134"/>
  <c r="L4" i="134"/>
  <c r="K4" i="134"/>
  <c r="J4" i="134"/>
  <c r="H4" i="134"/>
  <c r="F4" i="134"/>
  <c r="E4" i="134"/>
  <c r="C4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I2" i="133"/>
  <c r="D2" i="133"/>
  <c r="I3" i="133"/>
  <c r="D3" i="133"/>
  <c r="I5" i="133"/>
  <c r="D5" i="133"/>
  <c r="I4" i="133"/>
  <c r="D4" i="133"/>
  <c r="P5" i="133"/>
  <c r="N5" i="133"/>
  <c r="M5" i="133"/>
  <c r="L5" i="133"/>
  <c r="K5" i="133"/>
  <c r="J5" i="133"/>
  <c r="H5" i="133"/>
  <c r="F5" i="133"/>
  <c r="E5" i="133"/>
  <c r="C5" i="133"/>
  <c r="P4" i="133"/>
  <c r="N4" i="133"/>
  <c r="M4" i="133"/>
  <c r="L4" i="133"/>
  <c r="K4" i="133"/>
  <c r="J4" i="133"/>
  <c r="H4" i="133"/>
  <c r="F4" i="133"/>
  <c r="E4" i="133"/>
  <c r="C4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I5" i="132"/>
  <c r="D5" i="132"/>
  <c r="O5" i="132"/>
  <c r="I4" i="132"/>
  <c r="D4" i="132"/>
  <c r="O4" i="132"/>
  <c r="I3" i="132"/>
  <c r="D3" i="132"/>
  <c r="O3" i="132"/>
  <c r="I2" i="132"/>
  <c r="D2" i="132"/>
  <c r="O2" i="132"/>
  <c r="C2" i="103"/>
  <c r="E2" i="103"/>
  <c r="J2" i="132"/>
  <c r="J3" i="132"/>
  <c r="J4" i="132"/>
  <c r="J5" i="132"/>
  <c r="P5" i="132"/>
  <c r="N5" i="132"/>
  <c r="M5" i="132"/>
  <c r="L5" i="132"/>
  <c r="K5" i="132"/>
  <c r="H5" i="132"/>
  <c r="F5" i="132"/>
  <c r="E5" i="132"/>
  <c r="C5" i="132"/>
  <c r="P4" i="132"/>
  <c r="N4" i="132"/>
  <c r="M4" i="132"/>
  <c r="L4" i="132"/>
  <c r="K4" i="132"/>
  <c r="H4" i="132"/>
  <c r="F4" i="132"/>
  <c r="E4" i="132"/>
  <c r="C4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C3" i="103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<sst xmlns="http://schemas.openxmlformats.org/spreadsheetml/2006/main" count="280" uniqueCount="128">
  <si>
    <t>character_id</t>
  </si>
  <si>
    <t>character_id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</si>
  <si>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</si>
  <si>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</si>
  <si>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</si>
  <si>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</si>
  <si>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</si>
  <si>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</si>
  <si>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</si>
  <si>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1"/>
  </si>
  <si>
    <t>character_id</t>
    <phoneticPr fontId="11"/>
  </si>
  <si>
    <t>name</t>
    <phoneticPr fontId="11"/>
  </si>
  <si>
    <t>接頭語</t>
    <rPh sb="0" eb="3">
      <t>セットウゴ</t>
    </rPh>
    <phoneticPr fontId="44"/>
  </si>
  <si>
    <t>識別子</t>
    <rPh sb="0" eb="3">
      <t>シキベツシ</t>
    </rPh>
    <phoneticPr fontId="44"/>
  </si>
  <si>
    <t>形式</t>
    <rPh sb="0" eb="2">
      <t>ケイシキ</t>
    </rPh>
    <phoneticPr fontId="44"/>
  </si>
  <si>
    <t>出力ファイル名</t>
    <rPh sb="0" eb="2">
      <t>シュツリョク</t>
    </rPh>
    <rPh sb="6" eb="7">
      <t>メイ</t>
    </rPh>
    <phoneticPr fontId="44"/>
  </si>
  <si>
    <t>入力シート名</t>
    <rPh sb="0" eb="2">
      <t>ニュウリョク</t>
    </rPh>
    <rPh sb="5" eb="6">
      <t>メイ</t>
    </rPh>
    <phoneticPr fontId="44"/>
  </si>
  <si>
    <t>出力データ</t>
    <rPh sb="0" eb="2">
      <t>シュツリョク</t>
    </rPh>
    <phoneticPr fontId="44"/>
  </si>
  <si>
    <t>.tmp</t>
    <phoneticPr fontId="44"/>
  </si>
  <si>
    <t>出力flg</t>
    <rPh sb="0" eb="2">
      <t>シュツリョク</t>
    </rPh>
    <phoneticPr fontId="44"/>
  </si>
  <si>
    <t>性別</t>
    <rPh sb="0" eb="2">
      <t>セイベツ</t>
    </rPh>
    <phoneticPr fontId="11"/>
  </si>
  <si>
    <t>ピックアップ確率</t>
    <rPh sb="6" eb="8">
      <t>カクリツ</t>
    </rPh>
    <phoneticPr fontId="11"/>
  </si>
  <si>
    <t>確率</t>
    <rPh sb="0" eb="2">
      <t>カクリツ</t>
    </rPh>
    <phoneticPr fontId="11"/>
  </si>
  <si>
    <t>名前</t>
    <rPh sb="0" eb="2">
      <t>ナマエ</t>
    </rPh>
    <phoneticPr fontId="11"/>
  </si>
  <si>
    <t>テーブルを増やしたい場合</t>
    <rPh sb="5" eb="6">
      <t>フ</t>
    </rPh>
    <rPh sb="10" eb="12">
      <t>バアイ</t>
    </rPh>
    <phoneticPr fontId="1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</si>
  <si>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</si>
  <si>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1"/>
  </si>
  <si>
    <t>３．outputシートで２で作ったtablesを指定する</t>
    <rPh sb="14" eb="15">
      <t>ツク</t>
    </rPh>
    <rPh sb="24" eb="26">
      <t>シテイ</t>
    </rPh>
    <phoneticPr fontId="11"/>
  </si>
  <si>
    <t>table_no</t>
    <phoneticPr fontId="11"/>
  </si>
  <si>
    <t>ラベル確率で考えましょう</t>
    <rPh sb="6" eb="7">
      <t>カンガエマショウ</t>
    </rPh>
    <phoneticPr fontId="44"/>
  </si>
  <si>
    <t>ラベル</t>
    <phoneticPr fontId="44"/>
  </si>
  <si>
    <t>レアリティ</t>
    <phoneticPr fontId="44"/>
  </si>
  <si>
    <t>{W}</t>
    <phoneticPr fontId="44"/>
  </si>
  <si>
    <t>{N,S}</t>
    <phoneticPr fontId="44"/>
  </si>
  <si>
    <t>{N,S}R3less</t>
    <phoneticPr fontId="44"/>
  </si>
  <si>
    <t>{N,S}R6release</t>
    <phoneticPr fontId="44"/>
  </si>
  <si>
    <t>{SS}</t>
    <phoneticPr fontId="44"/>
  </si>
  <si>
    <t>{SS}R6only</t>
    <phoneticPr fontId="44"/>
  </si>
  <si>
    <t>小計</t>
    <rPh sb="0" eb="2">
      <t>ショウケイ</t>
    </rPh>
    <phoneticPr fontId="44"/>
  </si>
  <si>
    <t>A</t>
    <phoneticPr fontId="44"/>
  </si>
  <si>
    <t>C</t>
    <phoneticPr fontId="44"/>
  </si>
  <si>
    <t>H</t>
    <phoneticPr fontId="44"/>
  </si>
  <si>
    <t>B</t>
    <phoneticPr fontId="44"/>
  </si>
  <si>
    <t>D</t>
    <phoneticPr fontId="44"/>
  </si>
  <si>
    <t>F</t>
    <phoneticPr fontId="44"/>
  </si>
  <si>
    <t>I</t>
    <phoneticPr fontId="44"/>
  </si>
  <si>
    <t>K</t>
    <phoneticPr fontId="44"/>
  </si>
  <si>
    <t>E</t>
    <phoneticPr fontId="44"/>
  </si>
  <si>
    <t>G</t>
    <phoneticPr fontId="44"/>
  </si>
  <si>
    <t>J</t>
    <phoneticPr fontId="44"/>
  </si>
  <si>
    <t>L</t>
    <phoneticPr fontId="44"/>
  </si>
  <si>
    <t>M</t>
    <phoneticPr fontId="44"/>
  </si>
  <si>
    <t>→</t>
    <phoneticPr fontId="44"/>
  </si>
  <si>
    <t>1-SS率</t>
    <rPh sb="4" eb="5">
      <t>リツ</t>
    </rPh>
    <phoneticPr fontId="44"/>
  </si>
  <si>
    <t>SS率</t>
    <rPh sb="2" eb="3">
      <t>リツ</t>
    </rPh>
    <phoneticPr fontId="44"/>
  </si>
  <si>
    <t>考え方を変える</t>
    <rPh sb="0" eb="1">
      <t>カンガエカタ</t>
    </rPh>
    <rPh sb="4" eb="5">
      <t>カエル</t>
    </rPh>
    <phoneticPr fontId="44"/>
  </si>
  <si>
    <t>SS4%は確定事項</t>
    <rPh sb="5" eb="7">
      <t>カクテイ</t>
    </rPh>
    <rPh sb="7" eb="9">
      <t>ジコウ</t>
    </rPh>
    <phoneticPr fontId="44"/>
  </si>
  <si>
    <t>当たりは分配</t>
    <rPh sb="0" eb="1">
      <t>アタリ</t>
    </rPh>
    <rPh sb="4" eb="6">
      <t>ブンパイ</t>
    </rPh>
    <phoneticPr fontId="4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</si>
  <si>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4"/>
  </si>
  <si>
    <t>=</t>
    <phoneticPr fontId="44"/>
  </si>
  <si>
    <t>X*{SS R5only}</t>
    <phoneticPr fontId="44"/>
  </si>
  <si>
    <t>K</t>
    <phoneticPr fontId="44"/>
  </si>
  <si>
    <t>=</t>
    <phoneticPr fontId="44"/>
  </si>
  <si>
    <t>X*{SS}*(R3率+R4率)</t>
    <rPh sb="10" eb="11">
      <t>リツ</t>
    </rPh>
    <rPh sb="14" eb="15">
      <t>リツ</t>
    </rPh>
    <phoneticPr fontId="44"/>
  </si>
  <si>
    <t>L</t>
    <phoneticPr fontId="44"/>
  </si>
  <si>
    <t>X*{SS}*R5率</t>
    <rPh sb="9" eb="10">
      <t>リツ</t>
    </rPh>
    <phoneticPr fontId="44"/>
  </si>
  <si>
    <t>X*{R6release}*R3率</t>
    <rPh sb="16" eb="17">
      <t>リツ</t>
    </rPh>
    <phoneticPr fontId="44"/>
  </si>
  <si>
    <t>X*{R6release}*R4率</t>
    <rPh sb="16" eb="17">
      <t>リツ</t>
    </rPh>
    <phoneticPr fontId="44"/>
  </si>
  <si>
    <t>J</t>
    <phoneticPr fontId="44"/>
  </si>
  <si>
    <t>X*{R6release}*R5率</t>
    <rPh sb="16" eb="17">
      <t>リツ</t>
    </rPh>
    <phoneticPr fontId="44"/>
  </si>
  <si>
    <t>ハズレで確率を整える</t>
    <rPh sb="4" eb="6">
      <t>カクリツ</t>
    </rPh>
    <rPh sb="7" eb="8">
      <t>トトノエル</t>
    </rPh>
    <phoneticPr fontId="4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</si>
  <si>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4"/>
  </si>
  <si>
    <t>A + C</t>
    <phoneticPr fontId="44"/>
  </si>
  <si>
    <t>=</t>
    <phoneticPr fontId="44"/>
  </si>
  <si>
    <t>50%-H</t>
    <phoneticPr fontId="44"/>
  </si>
  <si>
    <t>①</t>
    <phoneticPr fontId="44"/>
  </si>
  <si>
    <t>B + D + F</t>
    <phoneticPr fontId="44"/>
  </si>
  <si>
    <t>45%-I-K</t>
    <phoneticPr fontId="44"/>
  </si>
  <si>
    <t>②</t>
    <phoneticPr fontId="44"/>
  </si>
  <si>
    <t>E+G</t>
    <phoneticPr fontId="44"/>
  </si>
  <si>
    <t>5%-J-L-M</t>
    <phoneticPr fontId="44"/>
  </si>
  <si>
    <t>③</t>
    <phoneticPr fontId="44"/>
  </si>
  <si>
    <t>A+B</t>
    <phoneticPr fontId="44"/>
  </si>
  <si>
    <t>Y*{W}</t>
    <phoneticPr fontId="44"/>
  </si>
  <si>
    <t>④</t>
    <phoneticPr fontId="44"/>
  </si>
  <si>
    <t>C+D+E</t>
    <phoneticPr fontId="44"/>
  </si>
  <si>
    <t>Y*{N,S}</t>
    <phoneticPr fontId="44"/>
  </si>
  <si>
    <t>⑤</t>
    <phoneticPr fontId="44"/>
  </si>
  <si>
    <t>F+G</t>
    <phoneticPr fontId="44"/>
  </si>
  <si>
    <t>Y*{N,S R3less}</t>
    <phoneticPr fontId="44"/>
  </si>
  <si>
    <t>⑥</t>
    <phoneticPr fontId="44"/>
  </si>
  <si>
    <t>A+B+C+D+E+F+G</t>
    <phoneticPr fontId="44"/>
  </si>
  <si>
    <t>⑦</t>
    <phoneticPr fontId="44"/>
  </si>
  <si>
    <t>←これは4,5,6で作れるのでダメだわ</t>
    <rPh sb="10" eb="11">
      <t>ツクレル</t>
    </rPh>
    <phoneticPr fontId="44"/>
  </si>
  <si>
    <t>E*R3率/R5率</t>
    <rPh sb="4" eb="5">
      <t>リツ</t>
    </rPh>
    <rPh sb="8" eb="9">
      <t>リツ</t>
    </rPh>
    <phoneticPr fontId="4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</si>
  <si>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4"/>
  </si>
  <si>
    <t>E*R4率/R5率</t>
    <rPh sb="4" eb="5">
      <t>リツ</t>
    </rPh>
    <rPh sb="8" eb="9">
      <t>リツ</t>
    </rPh>
    <phoneticPr fontId="44"/>
  </si>
  <si>
    <t>∴</t>
    <phoneticPr fontId="44"/>
  </si>
  <si>
    <t>E</t>
    <phoneticPr fontId="44"/>
  </si>
  <si>
    <t>Y*{N,S}*R5率</t>
    <rPh sb="10" eb="11">
      <t>リツ</t>
    </rPh>
    <phoneticPr fontId="44"/>
  </si>
  <si>
    <t>Y*{N,S}*R4率</t>
    <rPh sb="10" eb="11">
      <t>リツ</t>
    </rPh>
    <phoneticPr fontId="44"/>
  </si>
  <si>
    <t>Y*{N,S}*R3率</t>
    <rPh sb="10" eb="11">
      <t>リツ</t>
    </rPh>
    <phoneticPr fontId="44"/>
  </si>
  <si>
    <t>50%-H-C</t>
    <phoneticPr fontId="44"/>
  </si>
  <si>
    <t>Y*{W}-A</t>
    <phoneticPr fontId="44"/>
  </si>
  <si>
    <t>5%-J-L-M-E</t>
    <phoneticPr fontId="44"/>
  </si>
  <si>
    <t>Y*{N,S R3less} - G</t>
    <phoneticPr fontId="44"/>
  </si>
  <si>
    <t>R6境界前後</t>
    <rPh sb="2" eb="4">
      <t>キョウカイ</t>
    </rPh>
    <rPh sb="4" eb="6">
      <t>ゼンゴ</t>
    </rPh>
    <phoneticPr fontId="11"/>
  </si>
  <si>
    <t>R6事後開放N,S</t>
    <rPh sb="2" eb="6">
      <t>ジゴカイホウ</t>
    </rPh>
    <phoneticPr fontId="11"/>
  </si>
  <si>
    <t>table_no</t>
    <phoneticPr fontId="11"/>
  </si>
  <si>
    <t>character_id</t>
    <phoneticPr fontId="11"/>
  </si>
  <si>
    <t>drop_label2</t>
    <phoneticPr fontId="11"/>
  </si>
  <si>
    <t>color2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</si>
  <si>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</si>
  <si>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</si>
  <si>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</si>
  <si>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</si>
  <si>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</si>
  <si>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</si>
  <si>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weight</t>
    <phoneticPr fontId="11"/>
  </si>
  <si>
    <t>unit_level</t>
    <phoneticPr fontId="11"/>
  </si>
  <si>
    <t>old</t>
    <phoneticPr fontId="11"/>
  </si>
  <si>
    <t>gacha_select_tables_</t>
    <phoneticPr fontId="11"/>
  </si>
  <si>
    <t>skip</t>
    <phoneticPr fontId="11"/>
  </si>
  <si>
    <t>tables_7126100</t>
    <phoneticPr fontId="11"/>
  </si>
  <si>
    <t>tables_7126101</t>
    <phoneticPr fontId="11"/>
  </si>
  <si>
    <t>tables_7126102</t>
    <phoneticPr fontId="11"/>
  </si>
  <si>
    <t>tables_7126103</t>
    <phoneticPr fontId="11"/>
  </si>
  <si>
    <t>tables_7126104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</si>
</sst>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1" fillId="5" borderId="2" applyNumberFormat="0" applyAlignment="0" applyProtection="0"/>
    <xf numFmtId="0" fontId="22" fillId="6" borderId="0" applyNumberFormat="0" applyBorder="0" applyAlignment="0" applyProtection="0"/>
    <xf numFmtId="0" fontId="23" fillId="7" borderId="3" applyNumberFormat="0" applyAlignment="0" applyProtection="0"/>
    <xf numFmtId="0" fontId="24" fillId="0" borderId="0" applyNumberFormat="0" applyFill="0" applyBorder="0" applyAlignment="0" applyProtection="0"/>
    <xf numFmtId="0" fontId="25" fillId="8" borderId="0" applyNumberFormat="0" applyBorder="0" applyAlignment="0" applyProtection="0"/>
    <xf numFmtId="0" fontId="26" fillId="9" borderId="4" applyNumberFormat="0" applyAlignment="0" applyProtection="0"/>
    <xf numFmtId="0" fontId="27" fillId="0" borderId="0" applyNumberFormat="0" applyFill="0" applyBorder="0" applyAlignment="0" applyProtection="0"/>
    <xf numFmtId="0" fontId="28" fillId="0" borderId="5" applyNumberFormat="0" applyFill="0" applyAlignment="0" applyProtection="0"/>
    <xf numFmtId="0" fontId="29" fillId="0" borderId="6" applyNumberFormat="0" applyFill="0" applyAlignment="0" applyProtection="0"/>
    <xf numFmtId="0" fontId="30" fillId="0" borderId="7" applyNumberFormat="0" applyFill="0" applyAlignment="0" applyProtection="0"/>
    <xf numFmtId="0" fontId="30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31" fillId="6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1" borderId="0" applyNumberFormat="0" applyBorder="0" applyAlignment="0" applyProtection="0"/>
    <xf numFmtId="0" fontId="31" fillId="5" borderId="0" applyNumberFormat="0" applyBorder="0" applyAlignment="0" applyProtection="0"/>
    <xf numFmtId="0" fontId="31" fillId="7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3" borderId="0" applyNumberFormat="0" applyBorder="0" applyAlignment="0" applyProtection="0"/>
    <xf numFmtId="0" fontId="31" fillId="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4" borderId="0" applyNumberFormat="0" applyBorder="0" applyAlignment="0" applyProtection="0"/>
    <xf numFmtId="0" fontId="32" fillId="6" borderId="0" applyNumberFormat="0" applyBorder="0" applyAlignment="0" applyProtection="0"/>
    <xf numFmtId="0" fontId="24" fillId="0" borderId="0" applyNumberFormat="0" applyFill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0" borderId="0" applyNumberFormat="0" applyBorder="0" applyAlignment="0" applyProtection="0"/>
    <xf numFmtId="0" fontId="32" fillId="16" borderId="0" applyNumberFormat="0" applyBorder="0" applyAlignment="0" applyProtection="0"/>
    <xf numFmtId="0" fontId="32" fillId="14" borderId="0" applyNumberFormat="0" applyBorder="0" applyAlignment="0" applyProtection="0"/>
    <xf numFmtId="0" fontId="32" fillId="12" borderId="0" applyNumberFormat="0" applyBorder="0" applyAlignment="0" applyProtection="0"/>
    <xf numFmtId="0" fontId="33" fillId="17" borderId="0" applyNumberFormat="0" applyBorder="0" applyAlignment="0" applyProtection="0"/>
    <xf numFmtId="0" fontId="22" fillId="6" borderId="0" applyNumberFormat="0" applyBorder="0" applyAlignment="0" applyProtection="0"/>
    <xf numFmtId="0" fontId="34" fillId="0" borderId="8" applyNumberFormat="0" applyFill="0" applyAlignment="0" applyProtection="0"/>
    <xf numFmtId="0" fontId="35" fillId="7" borderId="9" applyNumberFormat="0" applyAlignment="0" applyProtection="0"/>
    <xf numFmtId="0" fontId="35" fillId="18" borderId="9" applyNumberFormat="0" applyAlignment="0" applyProtection="0"/>
    <xf numFmtId="0" fontId="23" fillId="6" borderId="3" applyNumberFormat="0" applyAlignment="0" applyProtection="0"/>
    <xf numFmtId="0" fontId="36" fillId="0" borderId="10" applyNumberFormat="0" applyFill="0" applyAlignment="0" applyProtection="0"/>
    <xf numFmtId="0" fontId="37" fillId="18" borderId="3" applyNumberFormat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0" fillId="19" borderId="0" applyNumberFormat="0" applyBorder="0" applyAlignment="0" applyProtection="0"/>
    <xf numFmtId="0" fontId="41" fillId="20" borderId="0" applyNumberFormat="0" applyBorder="0" applyAlignment="0" applyProtection="0"/>
    <xf numFmtId="0" fontId="9" fillId="0" borderId="0"/>
    <xf numFmtId="0" fontId="42" fillId="20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8" fillId="0" borderId="0"/>
    <xf numFmtId="0" fontId="45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7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4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6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6" fillId="2" borderId="1" xfId="2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1" borderId="1" xfId="2978" applyFont="1" applyFill="1" applyBorder="1"/>
    <xf numFmtId="0" fontId="8" fillId="21" borderId="1" xfId="2978" applyFill="1" applyBorder="1"/>
    <xf numFmtId="0" fontId="8" fillId="0" borderId="0" xfId="2978"/>
    <xf numFmtId="0" fontId="8" fillId="0" borderId="1" xfId="2978" applyBorder="1"/>
    <xf numFmtId="0" fontId="9" fillId="2" borderId="1" xfId="19" applyFill="1" applyBorder="1"/>
    <xf numFmtId="0" fontId="18" fillId="21" borderId="1" xfId="0" applyFont="1" applyFill="1" applyBorder="1"/>
    <xf numFmtId="0" fontId="43" fillId="2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15" fillId="23" borderId="1" xfId="0" applyFont="1" applyFill="1" applyBorder="1" applyAlignment="1">
      <alignment horizontal="right" vertical="center"/>
    </xf>
    <xf numFmtId="0" fontId="5" fillId="0" borderId="0" xfId="3662"/>
    <xf numFmtId="0" fontId="5" fillId="4" borderId="0" xfId="3662" applyFill="1"/>
    <xf numFmtId="9" fontId="5" fillId="0" borderId="0" xfId="3662" applyNumberFormat="1"/>
    <xf numFmtId="0" fontId="5" fillId="0" borderId="0" xfId="3662" applyFill="1"/>
    <xf numFmtId="9" fontId="5" fillId="0" borderId="0" xfId="3662" applyNumberFormat="1" applyAlignment="1"/>
    <xf numFmtId="0" fontId="5" fillId="0" borderId="0" xfId="3662" applyNumberFormat="1"/>
    <xf numFmtId="0" fontId="4" fillId="0" borderId="1" xfId="3036" applyFont="1" applyBorder="1"/>
    <xf numFmtId="0" fontId="16" fillId="0" borderId="0" xfId="2" applyFont="1" applyFill="1" applyBorder="1" applyAlignment="1">
      <alignment vertical="center"/>
    </xf>
    <xf numFmtId="0" fontId="15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3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16" fillId="0" borderId="1" xfId="2" applyFont="1" applyFill="1" applyBorder="1" applyAlignment="1">
      <alignment vertical="center"/>
    </xf>
    <xf numFmtId="0" fontId="15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3" fillId="0" borderId="1" xfId="0" applyFont="1" applyFill="1" applyBorder="1" applyAlignment="1">
      <alignment vertical="center"/>
    </xf>
    <xf numFmtId="0" fontId="16" fillId="0" borderId="0" xfId="2" applyFont="1" applyFill="1" applyAlignment="1">
      <alignment vertical="center"/>
    </xf>
    <xf numFmtId="0" fontId="17" fillId="0" borderId="1" xfId="0" applyFont="1" applyFill="1" applyBorder="1" applyAlignment="1">
      <alignment vertical="center"/>
    </xf>
    <xf numFmtId="0" fontId="3" fillId="0" borderId="1" xfId="2978" applyFont="1" applyBorder="1"/>
    <xf numFmtId="0" fontId="2" fillId="0" borderId="1" xfId="3036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red</v>
          </cell>
          <cell r="I1789">
            <v>6</v>
          </cell>
          <cell r="J1789" t="str">
            <v>DropWizSS</v>
          </cell>
          <cell r="K1789" t="str">
            <v>hp</v>
          </cell>
          <cell r="L1789" t="str">
            <v>体力タイプ</v>
          </cell>
          <cell r="M1789" t="str">
            <v>hero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red</v>
          </cell>
          <cell r="I1790">
            <v>6</v>
          </cell>
          <cell r="J1790" t="str">
            <v>DropWizSS</v>
          </cell>
          <cell r="K1790" t="str">
            <v>hp</v>
          </cell>
          <cell r="L1790" t="str">
            <v>体力タイプ</v>
          </cell>
          <cell r="M1790" t="str">
            <v>hero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DropWizSS</v>
          </cell>
          <cell r="K1791" t="str">
            <v>hp</v>
          </cell>
          <cell r="L1791" t="str">
            <v>体力タイプ</v>
          </cell>
          <cell r="M1791" t="str">
            <v>hero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/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54" t="s">
        <v>122</v>
      </c>
      <c r="B2" s="53" t="s">
        <v>121</v>
      </c>
      <c r="C2" s="29" t="str">
        <f>RIGHT(F2,7)</f>
        <v>7126100</v>
      </c>
      <c r="D2" s="18" t="s">
        <v>18</v>
      </c>
      <c r="E2" s="16" t="str">
        <f t="shared" ref="E2" si="0">B2&amp;C2&amp;D2</f>
        <v>gacha_select_tables_7126100.tmp</v>
      </c>
      <c r="F2" s="55" t="s">
        <v>123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7126101</v>
      </c>
      <c r="D3" s="18" t="s">
        <v>18</v>
      </c>
      <c r="E3" s="16" t="str">
        <f t="shared" ref="E3:E4" si="1">B3&amp;C3&amp;D3</f>
        <v>gacha_select_tables_7126101.tmp</v>
      </c>
      <c r="F3" s="55" t="s">
        <v>124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7126102</v>
      </c>
      <c r="D4" s="18" t="s">
        <v>18</v>
      </c>
      <c r="E4" s="16" t="str">
        <f t="shared" si="1"/>
        <v>gacha_select_tables_7126102.tmp</v>
      </c>
      <c r="F4" s="55" t="s">
        <v>125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7126103</v>
      </c>
      <c r="D5" s="18" t="s">
        <v>18</v>
      </c>
      <c r="E5" s="16" t="str">
        <f t="shared" ref="E5" si="2">B5&amp;C5&amp;D5</f>
        <v>gacha_select_tables_7126103.tmp</v>
      </c>
      <c r="F5" s="55" t="s">
        <v>126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7126104</v>
      </c>
      <c r="D6" s="18" t="s">
        <v>18</v>
      </c>
      <c r="E6" s="16" t="str">
        <f t="shared" ref="E6" si="3">B6&amp;C6&amp;D6</f>
        <v>gacha_select_tables_7126104.tmp</v>
      </c>
      <c r="F6" s="55" t="s">
        <v>127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B7" sqref="B7:B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7126101</v>
      </c>
      <c r="B2" s="6">
        <v>1137</v>
      </c>
      <c r="C2" s="7" t="str">
        <f t="shared" ref="C2:C5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諸葛亮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7">
        <f t="shared" ref="O2:O5" si="1">((IF(D2="premium",27075,1805))/1805)*10</f>
        <v>10</v>
      </c>
      <c r="P2" s="27">
        <f t="shared" ref="P2:P5" si="2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7126101</v>
      </c>
      <c r="B3" s="6">
        <v>1332</v>
      </c>
      <c r="C3" s="7" t="str">
        <f t="shared" si="0"/>
        <v>PremiumSS5R5only</v>
      </c>
      <c r="D3" s="7" t="str">
        <f t="shared" ref="D3:D5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クシナダヒメ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god</v>
      </c>
      <c r="N3" s="7">
        <f>VLOOKUP(B3,[1]characters!$A:$G,7,FALSE)</f>
        <v>0</v>
      </c>
      <c r="O3" s="7">
        <f t="shared" si="1"/>
        <v>10</v>
      </c>
      <c r="P3" s="27">
        <f t="shared" si="2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7126101</v>
      </c>
      <c r="B4" s="6">
        <v>475</v>
      </c>
      <c r="C4" s="7" t="str">
        <f t="shared" si="0"/>
        <v>PremiumSS5</v>
      </c>
      <c r="D4" s="7" t="str">
        <f t="shared" si="3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緋王 キング・ドライグ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dragon</v>
      </c>
      <c r="N4" s="7" t="str">
        <f>VLOOKUP(B4,[1]characters!$A:$G,7,FALSE)</f>
        <v>不明</v>
      </c>
      <c r="O4" s="7">
        <f t="shared" si="1"/>
        <v>10</v>
      </c>
      <c r="P4" s="27">
        <f t="shared" si="2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7126101</v>
      </c>
      <c r="B5" s="6">
        <v>1244</v>
      </c>
      <c r="C5" s="7" t="str">
        <f t="shared" si="0"/>
        <v>PremiumSS5R5only</v>
      </c>
      <c r="D5" s="7" t="str">
        <f t="shared" si="3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猿飛佐助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attack</v>
      </c>
      <c r="M5" s="7" t="str">
        <f>VLOOKUP(B5,[1]characters!$A:$M,13,FALSE)</f>
        <v>human</v>
      </c>
      <c r="N5" s="7">
        <f>VLOOKUP(B5,[1]characters!$A:$G,7,FALSE)</f>
        <v>0</v>
      </c>
      <c r="O5" s="7">
        <f t="shared" si="1"/>
        <v>10</v>
      </c>
      <c r="P5" s="27">
        <f t="shared" si="2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26"/>
      <c r="P36" s="27"/>
      <c r="Q36" s="22"/>
      <c r="R36" s="22"/>
      <c r="S36" s="22"/>
      <c r="T36" s="22"/>
      <c r="U36" s="22"/>
      <c r="V36" s="22"/>
    </row>
    <row r="37" spans="1:22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5"/>
  <sheetViews>
    <sheetView showGridLines="0" workbookViewId="0">
      <pane ySplit="1" topLeftCell="A2" activePane="bottomLeft" state="frozen"/>
      <selection activeCell="E6" sqref="E6"/>
      <selection pane="bottomLeft" activeCell="B4" sqref="B4:B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7126102</v>
      </c>
      <c r="B2" s="6">
        <v>1031</v>
      </c>
      <c r="C2" s="7" t="str">
        <f t="shared" ref="C2:C5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紫式部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男性</v>
      </c>
      <c r="O2" s="7">
        <v>10</v>
      </c>
      <c r="P2" s="27">
        <f t="shared" ref="P2:P5" si="1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7126102</v>
      </c>
      <c r="B3" s="6">
        <v>732</v>
      </c>
      <c r="C3" s="7" t="str">
        <f t="shared" si="0"/>
        <v>PremiumSS5R5only</v>
      </c>
      <c r="D3" s="7" t="str">
        <f t="shared" ref="D3:D5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上杉謙信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7">
        <v>10</v>
      </c>
      <c r="P3" s="27">
        <f t="shared" si="1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7126102</v>
      </c>
      <c r="B4" s="6">
        <v>1072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エンキドゥ</v>
      </c>
      <c r="I4" s="7" t="str">
        <f>VLOOKUP(B4,[1]characters!$A:$J,10,FALSE)</f>
        <v>PremiumSSw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v>10</v>
      </c>
      <c r="P4" s="27">
        <f t="shared" si="1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7126102</v>
      </c>
      <c r="B5" s="6">
        <v>1228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芥川龍之介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>
        <f>VLOOKUP(B5,[1]characters!$A:$G,7,FALSE)</f>
        <v>0</v>
      </c>
      <c r="O5" s="7">
        <v>10</v>
      </c>
      <c r="P5" s="27">
        <f t="shared" si="1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27"/>
      <c r="Q36" s="22"/>
      <c r="R36" s="22"/>
      <c r="S36" s="22"/>
      <c r="T36" s="22"/>
      <c r="U36" s="22"/>
      <c r="V36" s="22"/>
    </row>
    <row r="37" spans="1:22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4"/>
  <sheetViews>
    <sheetView showGridLines="0" workbookViewId="0">
      <pane ySplit="1" topLeftCell="A2" activePane="bottomLeft" state="frozen"/>
      <selection activeCell="E6" sqref="E6"/>
      <selection pane="bottomLeft" activeCell="B4" sqref="B4:B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7126103</v>
      </c>
      <c r="B2" s="6">
        <v>466</v>
      </c>
      <c r="C2" s="7" t="str">
        <f t="shared" ref="C2:C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真断の勇覇 ランスロット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7">
        <v>10</v>
      </c>
      <c r="P2" s="27">
        <f t="shared" ref="P2:P5" si="1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7126103</v>
      </c>
      <c r="B3" s="6">
        <v>1102</v>
      </c>
      <c r="C3" s="7" t="str">
        <f t="shared" si="0"/>
        <v>PremiumSS5R5only</v>
      </c>
      <c r="D3" s="7" t="str">
        <f t="shared" ref="D3:D5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ドガ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不明</v>
      </c>
      <c r="O3" s="7">
        <v>10</v>
      </c>
      <c r="P3" s="27">
        <f t="shared" si="1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7126103</v>
      </c>
      <c r="B4" s="6">
        <v>1153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ラクシュミー</v>
      </c>
      <c r="I4" s="7" t="str">
        <f>VLOOKUP(B4,[1]characters!$A:$J,10,FALSE)</f>
        <v>PremiumSSw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god</v>
      </c>
      <c r="N4" s="7" t="str">
        <f>VLOOKUP(B4,[1]characters!$A:$G,7,FALSE)</f>
        <v>不明</v>
      </c>
      <c r="O4" s="7">
        <v>10</v>
      </c>
      <c r="P4" s="27">
        <f t="shared" si="1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7126103</v>
      </c>
      <c r="B5" s="6">
        <v>1262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イズン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heal</v>
      </c>
      <c r="M5" s="7" t="str">
        <f>VLOOKUP(B5,[1]characters!$A:$M,13,FALSE)</f>
        <v>god</v>
      </c>
      <c r="N5" s="7">
        <f>VLOOKUP(B5,[1]characters!$A:$G,7,FALSE)</f>
        <v>0</v>
      </c>
      <c r="O5" s="7">
        <v>10</v>
      </c>
      <c r="P5" s="27">
        <f t="shared" si="1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s="45" customFormat="1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26"/>
      <c r="P36" s="27"/>
      <c r="Q36" s="22"/>
      <c r="R36" s="22"/>
      <c r="S36" s="22"/>
      <c r="T36" s="22"/>
      <c r="U36" s="22"/>
      <c r="V36" s="22"/>
    </row>
    <row r="37" spans="1:22" s="45" customFormat="1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s="45" customFormat="1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s="9" customFormat="1" ht="21" customHeight="1" thickBot="1" x14ac:dyDescent="0.2">
      <c r="A65" s="2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s="51" customFormat="1" ht="21" customHeight="1" x14ac:dyDescent="0.15">
      <c r="A74" s="2"/>
      <c r="B74" s="4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8"/>
      <c r="P77" s="49"/>
      <c r="Q77" s="50"/>
      <c r="R77" s="50"/>
      <c r="S77" s="50"/>
      <c r="T77" s="50"/>
      <c r="U77" s="50"/>
      <c r="V77" s="50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52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s="12" customFormat="1" ht="21" customHeight="1" thickBot="1" x14ac:dyDescent="0.2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4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s="9" customFormat="1" ht="21" customHeight="1" thickBot="1" x14ac:dyDescent="0.2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</row>
    <row r="190" spans="1:36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s="45" customFormat="1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4"/>
  <sheetViews>
    <sheetView showGridLines="0" workbookViewId="0">
      <pane ySplit="1" topLeftCell="A2" activePane="bottomLeft" state="frozen"/>
      <selection activeCell="E6" sqref="E6"/>
      <selection pane="bottomLeft" activeCell="H5" sqref="H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7126104</v>
      </c>
      <c r="B2" s="6">
        <v>500</v>
      </c>
      <c r="C2" s="7" t="str">
        <f t="shared" ref="C2:C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脈動の禁髪 ラプンツェル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7">
        <v>10</v>
      </c>
      <c r="P2" s="27">
        <f t="shared" ref="P2:P5" si="1">O2/SUM(O:O)</f>
        <v>0.25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7126104</v>
      </c>
      <c r="B3" s="6">
        <v>1214</v>
      </c>
      <c r="C3" s="7" t="str">
        <f t="shared" si="0"/>
        <v>PremiumSS5R5only</v>
      </c>
      <c r="D3" s="7" t="str">
        <f t="shared" ref="D3:D5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アルテミス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god</v>
      </c>
      <c r="N3" s="7">
        <f>VLOOKUP(B3,[1]characters!$A:$G,7,FALSE)</f>
        <v>0</v>
      </c>
      <c r="O3" s="7">
        <v>10</v>
      </c>
      <c r="P3" s="27">
        <f t="shared" si="1"/>
        <v>0.25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7126104</v>
      </c>
      <c r="B4" s="6">
        <v>1250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真田幸村</v>
      </c>
      <c r="I4" s="7" t="str">
        <f>VLOOKUP(B4,[1]characters!$A:$J,10,FALSE)</f>
        <v>PremiumSSw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human</v>
      </c>
      <c r="N4" s="7">
        <f>VLOOKUP(B4,[1]characters!$A:$G,7,FALSE)</f>
        <v>0</v>
      </c>
      <c r="O4" s="7">
        <v>10</v>
      </c>
      <c r="P4" s="27">
        <f t="shared" si="1"/>
        <v>0.25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7126104</v>
      </c>
      <c r="B5" s="6">
        <v>734</v>
      </c>
      <c r="C5" s="7" t="str">
        <f t="shared" si="0"/>
        <v>PremiumSS5R5only</v>
      </c>
      <c r="D5" s="7" t="str">
        <f t="shared" si="2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伊達政宗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7">
        <v>10</v>
      </c>
      <c r="P5" s="27">
        <f t="shared" si="1"/>
        <v>0.25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27"/>
      <c r="Q6" s="22"/>
      <c r="R6" s="22"/>
      <c r="S6" s="22"/>
      <c r="T6" s="22"/>
      <c r="U6" s="22"/>
      <c r="V6" s="22"/>
    </row>
    <row r="7" spans="1:22" ht="21" customHeight="1" x14ac:dyDescent="0.15">
      <c r="A7" s="2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27"/>
      <c r="Q7" s="22"/>
      <c r="R7" s="22"/>
      <c r="S7" s="22"/>
      <c r="T7" s="22"/>
      <c r="U7" s="22"/>
      <c r="V7" s="22"/>
    </row>
    <row r="8" spans="1:22" ht="21" customHeight="1" x14ac:dyDescent="0.15">
      <c r="A8" s="2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27"/>
      <c r="Q8" s="22"/>
      <c r="R8" s="22"/>
      <c r="S8" s="22"/>
      <c r="T8" s="22"/>
      <c r="U8" s="22"/>
      <c r="V8" s="22"/>
    </row>
    <row r="9" spans="1:22" ht="21" customHeight="1" x14ac:dyDescent="0.15">
      <c r="A9" s="2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27"/>
      <c r="Q9" s="22"/>
      <c r="R9" s="22"/>
      <c r="S9" s="22"/>
      <c r="T9" s="22"/>
      <c r="U9" s="22"/>
      <c r="V9" s="22"/>
    </row>
    <row r="10" spans="1:22" ht="21" customHeight="1" x14ac:dyDescent="0.15">
      <c r="A10" s="2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27"/>
      <c r="Q10" s="22"/>
      <c r="R10" s="22"/>
      <c r="S10" s="22"/>
      <c r="T10" s="22"/>
      <c r="U10" s="22"/>
      <c r="V10" s="22"/>
    </row>
    <row r="11" spans="1:22" ht="21" customHeight="1" x14ac:dyDescent="0.15">
      <c r="A11" s="2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27"/>
      <c r="Q11" s="22"/>
      <c r="R11" s="22"/>
      <c r="S11" s="22"/>
      <c r="T11" s="22"/>
      <c r="U11" s="22"/>
      <c r="V11" s="22"/>
    </row>
    <row r="12" spans="1:22" ht="21" customHeight="1" x14ac:dyDescent="0.15">
      <c r="A12" s="2"/>
      <c r="B12" s="8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27"/>
      <c r="Q12" s="22"/>
      <c r="R12" s="22"/>
      <c r="S12" s="22"/>
      <c r="T12" s="22"/>
      <c r="U12" s="22"/>
      <c r="V12" s="22"/>
    </row>
    <row r="13" spans="1:22" ht="21" customHeight="1" x14ac:dyDescent="0.15">
      <c r="A13" s="2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27"/>
      <c r="Q13" s="22"/>
      <c r="R13" s="22"/>
      <c r="S13" s="22"/>
      <c r="T13" s="22"/>
      <c r="U13" s="22"/>
      <c r="V13" s="22"/>
    </row>
    <row r="14" spans="1:22" ht="21" customHeight="1" x14ac:dyDescent="0.15">
      <c r="A14" s="2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27"/>
      <c r="Q14" s="22"/>
      <c r="R14" s="22"/>
      <c r="S14" s="22"/>
      <c r="T14" s="22"/>
      <c r="U14" s="22"/>
      <c r="V14" s="22"/>
    </row>
    <row r="15" spans="1:22" ht="21" customHeight="1" x14ac:dyDescent="0.15">
      <c r="A15" s="2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27"/>
      <c r="Q15" s="22"/>
      <c r="R15" s="22"/>
      <c r="S15" s="22"/>
      <c r="T15" s="22"/>
      <c r="U15" s="22"/>
      <c r="V15" s="22"/>
    </row>
    <row r="16" spans="1:22" ht="21" customHeight="1" x14ac:dyDescent="0.15">
      <c r="A16" s="2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27"/>
      <c r="Q16" s="22"/>
      <c r="R16" s="22"/>
      <c r="S16" s="22"/>
      <c r="T16" s="22"/>
      <c r="U16" s="22"/>
      <c r="V16" s="22"/>
    </row>
    <row r="17" spans="1:36" ht="21" customHeight="1" x14ac:dyDescent="0.15">
      <c r="A17" s="2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27"/>
      <c r="Q17" s="22"/>
      <c r="R17" s="22"/>
      <c r="S17" s="22"/>
      <c r="T17" s="22"/>
      <c r="U17" s="22"/>
      <c r="V17" s="22"/>
    </row>
    <row r="18" spans="1:36" ht="21" customHeight="1" x14ac:dyDescent="0.15">
      <c r="A18" s="2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27"/>
      <c r="Q18" s="22"/>
      <c r="R18" s="22"/>
      <c r="S18" s="22"/>
      <c r="T18" s="22"/>
      <c r="U18" s="22"/>
      <c r="V18" s="22"/>
    </row>
    <row r="19" spans="1:36" s="12" customFormat="1" ht="21" customHeight="1" thickBot="1" x14ac:dyDescent="0.2">
      <c r="A19" s="2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27"/>
      <c r="Q19" s="22"/>
      <c r="R19" s="22"/>
      <c r="S19" s="22"/>
      <c r="T19" s="22"/>
      <c r="U19" s="22"/>
      <c r="V19" s="22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27"/>
      <c r="Q20" s="22"/>
      <c r="R20" s="22"/>
      <c r="S20" s="22"/>
      <c r="T20" s="22"/>
      <c r="U20" s="22"/>
      <c r="V20" s="22"/>
    </row>
    <row r="21" spans="1:36" ht="21" customHeight="1" x14ac:dyDescent="0.15">
      <c r="A21" s="2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27"/>
      <c r="Q21" s="22"/>
      <c r="R21" s="22"/>
      <c r="S21" s="22"/>
      <c r="T21" s="22"/>
      <c r="U21" s="22"/>
      <c r="V21" s="22"/>
    </row>
    <row r="22" spans="1:36" ht="21" customHeight="1" x14ac:dyDescent="0.15">
      <c r="A22" s="2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27"/>
      <c r="Q22" s="22"/>
      <c r="R22" s="22"/>
      <c r="S22" s="22"/>
      <c r="T22" s="22"/>
      <c r="U22" s="22"/>
      <c r="V22" s="22"/>
    </row>
    <row r="23" spans="1:36" ht="21" customHeight="1" x14ac:dyDescent="0.15">
      <c r="A23" s="2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27"/>
      <c r="Q23" s="22"/>
      <c r="R23" s="22"/>
      <c r="S23" s="22"/>
      <c r="T23" s="22"/>
      <c r="U23" s="22"/>
      <c r="V23" s="22"/>
    </row>
    <row r="24" spans="1:36" ht="21" customHeight="1" x14ac:dyDescent="0.15">
      <c r="A24" s="2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27"/>
      <c r="Q24" s="22"/>
      <c r="R24" s="22"/>
      <c r="S24" s="22"/>
      <c r="T24" s="22"/>
      <c r="U24" s="22"/>
      <c r="V24" s="22"/>
    </row>
    <row r="25" spans="1:36" ht="21" customHeight="1" x14ac:dyDescent="0.15">
      <c r="A25" s="2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27"/>
      <c r="Q25" s="22"/>
      <c r="R25" s="22"/>
      <c r="S25" s="22"/>
      <c r="T25" s="22"/>
      <c r="U25" s="22"/>
      <c r="V25" s="22"/>
    </row>
    <row r="26" spans="1:36" ht="21" customHeight="1" x14ac:dyDescent="0.15">
      <c r="A26" s="2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27"/>
      <c r="Q26" s="22"/>
      <c r="R26" s="22"/>
      <c r="S26" s="22"/>
      <c r="T26" s="22"/>
      <c r="U26" s="22"/>
      <c r="V26" s="22"/>
    </row>
    <row r="27" spans="1:36" ht="21" customHeight="1" x14ac:dyDescent="0.15">
      <c r="A27" s="2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27"/>
      <c r="Q27" s="22"/>
      <c r="R27" s="22"/>
      <c r="S27" s="22"/>
      <c r="T27" s="22"/>
      <c r="U27" s="22"/>
      <c r="V27" s="22"/>
    </row>
    <row r="28" spans="1:36" ht="21" customHeight="1" x14ac:dyDescent="0.15">
      <c r="A28" s="2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27"/>
      <c r="Q28" s="22"/>
      <c r="R28" s="22"/>
      <c r="S28" s="22"/>
      <c r="T28" s="22"/>
      <c r="U28" s="22"/>
      <c r="V28" s="22"/>
    </row>
    <row r="29" spans="1:36" ht="21" customHeight="1" x14ac:dyDescent="0.15">
      <c r="A29" s="2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27"/>
      <c r="Q29" s="22"/>
      <c r="R29" s="22"/>
      <c r="S29" s="22"/>
      <c r="T29" s="22"/>
      <c r="U29" s="22"/>
      <c r="V29" s="22"/>
    </row>
    <row r="30" spans="1:36" ht="21" customHeight="1" x14ac:dyDescent="0.15">
      <c r="A30" s="2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27"/>
      <c r="Q30" s="22"/>
      <c r="R30" s="22"/>
      <c r="S30" s="22"/>
      <c r="T30" s="22"/>
      <c r="U30" s="22"/>
      <c r="V30" s="22"/>
    </row>
    <row r="31" spans="1:36" ht="21" customHeight="1" x14ac:dyDescent="0.15">
      <c r="A31" s="2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27"/>
      <c r="Q31" s="22"/>
      <c r="R31" s="22"/>
      <c r="S31" s="22"/>
      <c r="T31" s="22"/>
      <c r="U31" s="22"/>
      <c r="V31" s="22"/>
    </row>
    <row r="32" spans="1:36" ht="21" customHeight="1" x14ac:dyDescent="0.15">
      <c r="A32" s="2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27"/>
      <c r="Q32" s="22"/>
      <c r="R32" s="22"/>
      <c r="S32" s="22"/>
      <c r="T32" s="22"/>
      <c r="U32" s="22"/>
      <c r="V32" s="22"/>
    </row>
    <row r="33" spans="1:22" ht="21" customHeight="1" x14ac:dyDescent="0.15">
      <c r="A33" s="2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27"/>
      <c r="Q33" s="22"/>
      <c r="R33" s="22"/>
      <c r="S33" s="22"/>
      <c r="T33" s="22"/>
      <c r="U33" s="22"/>
      <c r="V33" s="22"/>
    </row>
    <row r="34" spans="1:22" ht="21" customHeight="1" x14ac:dyDescent="0.15">
      <c r="A34" s="2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27"/>
      <c r="Q34" s="22"/>
      <c r="R34" s="22"/>
      <c r="S34" s="22"/>
      <c r="T34" s="22"/>
      <c r="U34" s="22"/>
      <c r="V34" s="22"/>
    </row>
    <row r="35" spans="1:22" ht="21" customHeight="1" x14ac:dyDescent="0.15">
      <c r="A35" s="2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27"/>
      <c r="Q35" s="22"/>
      <c r="R35" s="22"/>
      <c r="S35" s="22"/>
      <c r="T35" s="22"/>
      <c r="U35" s="22"/>
      <c r="V35" s="22"/>
    </row>
    <row r="36" spans="1:22" s="45" customFormat="1" ht="21" customHeight="1" x14ac:dyDescent="0.15">
      <c r="A36" s="2"/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27"/>
      <c r="Q36" s="22"/>
      <c r="R36" s="22"/>
      <c r="S36" s="22"/>
      <c r="T36" s="22"/>
      <c r="U36" s="22"/>
      <c r="V36" s="22"/>
    </row>
    <row r="37" spans="1:22" s="45" customFormat="1" ht="21" customHeight="1" x14ac:dyDescent="0.15">
      <c r="A37" s="2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26"/>
      <c r="P37" s="27"/>
      <c r="Q37" s="22"/>
      <c r="R37" s="22"/>
      <c r="S37" s="22"/>
      <c r="T37" s="22"/>
      <c r="U37" s="22"/>
      <c r="V37" s="22"/>
    </row>
    <row r="38" spans="1:22" s="45" customFormat="1" ht="21" customHeight="1" x14ac:dyDescent="0.15">
      <c r="A38" s="2"/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26"/>
      <c r="P38" s="27"/>
      <c r="Q38" s="22"/>
      <c r="R38" s="22"/>
      <c r="S38" s="22"/>
      <c r="T38" s="22"/>
      <c r="U38" s="22"/>
      <c r="V38" s="22"/>
    </row>
    <row r="39" spans="1:22" s="45" customFormat="1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s="9" customFormat="1" ht="21" customHeight="1" thickBot="1" x14ac:dyDescent="0.2">
      <c r="A65" s="2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</row>
    <row r="66" spans="1:36" ht="21" customHeight="1" x14ac:dyDescent="0.15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s="51" customFormat="1" ht="21" customHeight="1" x14ac:dyDescent="0.15">
      <c r="A74" s="2"/>
      <c r="B74" s="4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8"/>
      <c r="P77" s="49"/>
      <c r="Q77" s="50"/>
      <c r="R77" s="50"/>
      <c r="S77" s="50"/>
      <c r="T77" s="50"/>
      <c r="U77" s="50"/>
      <c r="V77" s="50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52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s="12" customFormat="1" ht="21" customHeight="1" thickBot="1" x14ac:dyDescent="0.2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  <c r="AJ142" s="45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45" customFormat="1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4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s="9" customFormat="1" ht="21" customHeight="1" thickBot="1" x14ac:dyDescent="0.2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  <c r="AJ189" s="45"/>
    </row>
    <row r="190" spans="1:36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s="45" customFormat="1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</sheetData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tables_7126101</vt:lpstr>
      <vt:lpstr>tables_7126102</vt:lpstr>
      <vt:lpstr>tables_7126103</vt:lpstr>
      <vt:lpstr>tables_7126104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2017-04-28T19:50:48Z</dcterms:modified>
</cp:coreProperties>
</file>